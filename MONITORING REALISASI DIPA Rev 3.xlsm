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4.xml" ContentType="application/vnd.openxmlformats-officedocument.spreadsheetml.pivotTable+xml"/>
  <Override PartName="/xl/tables/table9.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27CD5663-C145-49BD-9461-368CE1A7BE92}" xr6:coauthVersionLast="47" xr6:coauthVersionMax="47" xr10:uidLastSave="{00000000-0000-0000-0000-000000000000}"/>
  <bookViews>
    <workbookView xWindow="-120" yWindow="-120" windowWidth="29040" windowHeight="15840" tabRatio="872" firstSheet="5"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heet1" sheetId="36" r:id="rId10"/>
    <sheet name="SP2D" sheetId="16" r:id="rId11"/>
    <sheet name="SP2D Gaji" sheetId="32" r:id="rId12"/>
    <sheet name="PER BULAN" sheetId="13" r:id="rId13"/>
    <sheet name="Sheet2" sheetId="29" r:id="rId14"/>
    <sheet name="PERSUBBID - Gaji" sheetId="14" r:id="rId15"/>
    <sheet name="PERSUBBID - Gaji Non Blokir" sheetId="34" r:id="rId16"/>
    <sheet name="TANPA GAJI" sheetId="17" r:id="rId17"/>
    <sheet name="PERSUBBID + GAJI" sheetId="33" r:id="rId18"/>
    <sheet name="PERSUBBID + GAJI Non Blokir" sheetId="35" r:id="rId19"/>
    <sheet name="DENGAN GAJI" sheetId="27" r:id="rId20"/>
    <sheet name="DIPA2" sheetId="28"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2" hidden="1">'PER BULAN'!$B$4:$BK$231</definedName>
    <definedName name="_xlnm._FilterDatabase" localSheetId="7" hidden="1">PERAKUN!$C$1:$H$246</definedName>
    <definedName name="_xlnm._FilterDatabase" localSheetId="10" hidden="1">'SP2D'!$A$3:$AW$144</definedName>
    <definedName name="_xlnm._FilterDatabase" localSheetId="11"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20">#REF!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20">#REF!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20">#REF!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20">#REF!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20">#REF!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20">#REF!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20">#REF!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20">#REF!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20">#REF!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20">#REF!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20">#REF!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20">#REF!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20">#REF!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20">#REF!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20">#REF!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20">#REF!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20">#REF!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20" hidden="1">DIPA2!$A$1:$Q$276</definedName>
    <definedName name="FILTER_LAP" localSheetId="20">'[1]DASHBOARD SP2D'!#REF!</definedName>
    <definedName name="FILTER_LAP">'[1]DASHBOARD SP2D'!#REF!</definedName>
    <definedName name="kegiatan" localSheetId="4">Cetak_Pusdik!#REF!</definedName>
    <definedName name="kegiatan" localSheetId="3">'Cetak_Pusdik (2)'!#REF!</definedName>
    <definedName name="kegiatan" localSheetId="20">[3]DIPA_AWAL!$T$2:$T$2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2">'PER BULAN'!$B$234:$AU$255</definedName>
    <definedName name="_xlnm.Print_Area" localSheetId="7">PERAKUN!$C$1:$H$222</definedName>
    <definedName name="_xlnm.Print_Area" localSheetId="14">'PERSUBBID - Gaji'!$A$1:$J$56</definedName>
    <definedName name="_xlnm.Print_Area" localSheetId="15">'PERSUBBID - Gaji Non Blokir'!$A$1:$J$56</definedName>
    <definedName name="_xlnm.Print_Area" localSheetId="17">'PERSUBBID + GAJI'!$A$1:$J$60</definedName>
    <definedName name="_xlnm.Print_Area" localSheetId="18">'PERSUBBID + GAJI Non Blokir'!$A$1:$J$60</definedName>
    <definedName name="_xlnm.Print_Area" localSheetId="9">Sheet1!$C$3:$N$58</definedName>
    <definedName name="_xlnm.Print_Area" localSheetId="6">Table1[[#Headers],[#Data],[No]:[Deskripsi]]</definedName>
    <definedName name="_xlnm.Print_Area" localSheetId="16">'TANPA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2">'PER BULAN'!$12:$14</definedName>
    <definedName name="_xlnm.Print_Titles" localSheetId="7">PERAKUN!$5:$5</definedName>
    <definedName name="_xlnm.Print_Titles" localSheetId="6">'SP2D ON'!$10:$10</definedName>
    <definedName name="rngSP2D" localSheetId="20">'[4]Tambahan Realisasi'!$C$2</definedName>
    <definedName name="rngSP2D">'[5]Tambahan Realisasi'!$C$2</definedName>
    <definedName name="rowEselon2" localSheetId="4">Cetak_Pusdik!#REF!</definedName>
    <definedName name="rowEselon2" localSheetId="3">'Cetak_Pusdik (2)'!#REF!</definedName>
    <definedName name="rowEselon2" localSheetId="20">#REF!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20">#REF!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20">#REF!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20">#REF!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koordinator1">#N/A</definedName>
    <definedName name="Slicer_Pagu">#N/A</definedName>
    <definedName name="Slicer_Subkoordinator">#N/A</definedName>
    <definedName name="Slicer_Subkoordinator1">#N/A</definedName>
    <definedName name="SSBP" localSheetId="20">[1]SSBP!#REF!</definedName>
    <definedName name="SSBP">[1]SSBP!#REF!</definedName>
    <definedName name="Start_Jadi" localSheetId="4">Cetak_Pusdik!$B$13</definedName>
    <definedName name="Start_Jadi" localSheetId="3">'Cetak_Pusdik (2)'!$B$13</definedName>
    <definedName name="Start_Jadi" localSheetId="20">#REF!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3" r:id="rId27"/>
    <pivotCache cacheId="5" r:id="rId28"/>
    <pivotCache cacheId="10" r:id="rId29"/>
    <pivotCache cacheId="22" r:id="rId30"/>
  </pivotCaches>
  <extLs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55" i="16" l="1"/>
  <c r="AV55" i="16"/>
  <c r="AW55" i="16"/>
  <c r="AX55" i="16"/>
  <c r="AY55" i="16"/>
  <c r="AZ55" i="16"/>
  <c r="BA55" i="16"/>
  <c r="BB55" i="16"/>
  <c r="BC55" i="16"/>
  <c r="AT55" i="16"/>
  <c r="BC144" i="16"/>
  <c r="BC4" i="16"/>
  <c r="BC5" i="16"/>
  <c r="BC6" i="16"/>
  <c r="BC7" i="16"/>
  <c r="BC8" i="16"/>
  <c r="BC9" i="16"/>
  <c r="BC10" i="16"/>
  <c r="BC11" i="16"/>
  <c r="BC12" i="16"/>
  <c r="BC13" i="16"/>
  <c r="BC14" i="16"/>
  <c r="BC15" i="16"/>
  <c r="BC16" i="16"/>
  <c r="BC17" i="16"/>
  <c r="BC18" i="16"/>
  <c r="BC19" i="16"/>
  <c r="BC20" i="16"/>
  <c r="BC21" i="16"/>
  <c r="BC22" i="16"/>
  <c r="BC23" i="16"/>
  <c r="BC24" i="16"/>
  <c r="BC25" i="16"/>
  <c r="BC26" i="16"/>
  <c r="BC27" i="16"/>
  <c r="BC28" i="16"/>
  <c r="BC29" i="16"/>
  <c r="BC30" i="16"/>
  <c r="BC31" i="16"/>
  <c r="BC32" i="16"/>
  <c r="BC33" i="16"/>
  <c r="BC34" i="16"/>
  <c r="BC35" i="16"/>
  <c r="BC36" i="16"/>
  <c r="BC37" i="16"/>
  <c r="BC38" i="16"/>
  <c r="BC39" i="16"/>
  <c r="BC40" i="16"/>
  <c r="BC41" i="16"/>
  <c r="BC42" i="16"/>
  <c r="BC43" i="16"/>
  <c r="BC44" i="16"/>
  <c r="BC45" i="16"/>
  <c r="BC46" i="16"/>
  <c r="BC47" i="16"/>
  <c r="BC48" i="16"/>
  <c r="BC49" i="16"/>
  <c r="BC50" i="16"/>
  <c r="BC51" i="16"/>
  <c r="BC52" i="16"/>
  <c r="BC53" i="16"/>
  <c r="BC54" i="16"/>
  <c r="BC56" i="16"/>
  <c r="BC57" i="16"/>
  <c r="BC58" i="16"/>
  <c r="BC59" i="16"/>
  <c r="BC60" i="16"/>
  <c r="BC61" i="16"/>
  <c r="BC62" i="16"/>
  <c r="BC63" i="16"/>
  <c r="BC64" i="16"/>
  <c r="BC65" i="16"/>
  <c r="BC66" i="16"/>
  <c r="BC67" i="16"/>
  <c r="BC68" i="16"/>
  <c r="BC69" i="16"/>
  <c r="BC70" i="16"/>
  <c r="BC71" i="16"/>
  <c r="BC72" i="16"/>
  <c r="BC73" i="16"/>
  <c r="BC74" i="16"/>
  <c r="BC75" i="16"/>
  <c r="BC76" i="16"/>
  <c r="BC77" i="16"/>
  <c r="BC78" i="16"/>
  <c r="BC79" i="16"/>
  <c r="BC80" i="16"/>
  <c r="BC81" i="16"/>
  <c r="BC82" i="16"/>
  <c r="BC83" i="16"/>
  <c r="BC84" i="16"/>
  <c r="BC85" i="16"/>
  <c r="BC86" i="16"/>
  <c r="BC87" i="16"/>
  <c r="BC88" i="16"/>
  <c r="BC89" i="16"/>
  <c r="BC90" i="16"/>
  <c r="BC91" i="16"/>
  <c r="BC92" i="16"/>
  <c r="BC93" i="16"/>
  <c r="BC94" i="16"/>
  <c r="BC95" i="16"/>
  <c r="BC96" i="16"/>
  <c r="BC97" i="16"/>
  <c r="BC98" i="16"/>
  <c r="BC99" i="16"/>
  <c r="BC100" i="16"/>
  <c r="BC101" i="16"/>
  <c r="BC102" i="16"/>
  <c r="BC103" i="16"/>
  <c r="BC104" i="16"/>
  <c r="BC105" i="16"/>
  <c r="BC106" i="16"/>
  <c r="BC107" i="16"/>
  <c r="BC108" i="16"/>
  <c r="BC109" i="16"/>
  <c r="BC110" i="16"/>
  <c r="BC111" i="16"/>
  <c r="BC112" i="16"/>
  <c r="BC113" i="16"/>
  <c r="BC114" i="16"/>
  <c r="BC115" i="16"/>
  <c r="BC116" i="16"/>
  <c r="BC117" i="16"/>
  <c r="BC118" i="16"/>
  <c r="BC119" i="16"/>
  <c r="BC120" i="16"/>
  <c r="BC121" i="16"/>
  <c r="BC122" i="16"/>
  <c r="BC123" i="16"/>
  <c r="BC124" i="16"/>
  <c r="BC125" i="16"/>
  <c r="BC126" i="16"/>
  <c r="BC127" i="16"/>
  <c r="BC128" i="16"/>
  <c r="BC129" i="16"/>
  <c r="BC130" i="16"/>
  <c r="BC131" i="16"/>
  <c r="BC132" i="16"/>
  <c r="BC133" i="16"/>
  <c r="BC134" i="16"/>
  <c r="BC135" i="16"/>
  <c r="BC136" i="16"/>
  <c r="BC137" i="16"/>
  <c r="BC138" i="16"/>
  <c r="BC139" i="16"/>
  <c r="BC140" i="16"/>
  <c r="BC141" i="16"/>
  <c r="BC142" i="16"/>
  <c r="BC143" i="16"/>
  <c r="AC126" i="13"/>
  <c r="AC129" i="13"/>
  <c r="AC130" i="13"/>
  <c r="AC132" i="13"/>
  <c r="AC136" i="13"/>
  <c r="BJ228" i="13"/>
  <c r="BJ227" i="13" s="1"/>
  <c r="BJ225" i="13"/>
  <c r="BJ221" i="13"/>
  <c r="BJ215" i="13"/>
  <c r="BJ208" i="13"/>
  <c r="BJ200" i="13"/>
  <c r="BJ183" i="13" s="1"/>
  <c r="BJ182" i="13" s="1"/>
  <c r="BJ197" i="13"/>
  <c r="BJ193" i="13"/>
  <c r="BJ190" i="13"/>
  <c r="BJ187" i="13"/>
  <c r="BJ184" i="13"/>
  <c r="BJ178" i="13"/>
  <c r="BJ177" i="13" s="1"/>
  <c r="BJ171" i="13"/>
  <c r="BJ167" i="13"/>
  <c r="BJ160" i="13"/>
  <c r="BJ148" i="13" s="1"/>
  <c r="BJ147" i="13" s="1"/>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BJ32" i="13" l="1"/>
  <c r="BJ77" i="13"/>
  <c r="BJ76" i="13" s="1"/>
  <c r="BJ166" i="13"/>
  <c r="BJ165" i="13" s="1"/>
  <c r="BJ146" i="13" s="1"/>
  <c r="BJ124" i="13"/>
  <c r="BJ123" i="13" s="1"/>
  <c r="BJ207" i="13"/>
  <c r="BJ18" i="13"/>
  <c r="BJ17" i="13" s="1"/>
  <c r="BJ16" i="13" s="1"/>
  <c r="BJ15" i="13" s="1"/>
  <c r="BJ206" i="13"/>
  <c r="BJ205" i="13" s="1"/>
  <c r="BJ204" i="13" s="1"/>
  <c r="BJ67" i="13" l="1"/>
  <c r="BJ61" i="13" s="1"/>
  <c r="BJ60" i="13" s="1"/>
  <c r="BJ14" i="13" s="1"/>
  <c r="F206" i="23" l="1"/>
  <c r="AC24" i="13"/>
  <c r="AC29" i="13"/>
  <c r="AC28" i="13" s="1"/>
  <c r="AC33" i="13"/>
  <c r="AC41" i="13"/>
  <c r="AC48" i="13"/>
  <c r="AC54" i="13"/>
  <c r="AC53" i="13" s="1"/>
  <c r="AC65" i="13"/>
  <c r="AC64" i="13" s="1"/>
  <c r="AC63" i="13" s="1"/>
  <c r="AC62" i="13" s="1"/>
  <c r="AC70" i="13"/>
  <c r="AC69" i="13" s="1"/>
  <c r="AC68" i="13" s="1"/>
  <c r="AC78" i="13"/>
  <c r="AC82" i="13"/>
  <c r="AC86" i="13"/>
  <c r="AC91" i="13"/>
  <c r="AC95" i="13"/>
  <c r="AC102" i="13"/>
  <c r="AC108" i="13"/>
  <c r="AC113" i="13"/>
  <c r="AC118" i="13"/>
  <c r="AC125" i="13"/>
  <c r="AC128" i="13"/>
  <c r="AC131" i="13"/>
  <c r="AC134" i="13"/>
  <c r="AC137" i="13"/>
  <c r="AC144" i="13"/>
  <c r="AC143" i="13" s="1"/>
  <c r="AC142" i="13" s="1"/>
  <c r="AC141" i="13" s="1"/>
  <c r="AC149" i="13"/>
  <c r="AC154" i="13"/>
  <c r="AC160" i="13"/>
  <c r="AB23" i="13"/>
  <c r="AB85" i="13"/>
  <c r="AB39" i="13"/>
  <c r="AT9" i="13"/>
  <c r="C4" i="36"/>
  <c r="C3" i="36"/>
  <c r="AB248"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AC32" i="13" l="1"/>
  <c r="AC77" i="13"/>
  <c r="AC76" i="13" s="1"/>
  <c r="AC124" i="13"/>
  <c r="AC123" i="13" s="1"/>
  <c r="AC148" i="13"/>
  <c r="AC147" i="13" s="1"/>
  <c r="BI166" i="13"/>
  <c r="BI77" i="13"/>
  <c r="BI76" i="13" s="1"/>
  <c r="BI124" i="13"/>
  <c r="BI123" i="13" s="1"/>
  <c r="BI32" i="13"/>
  <c r="BB144" i="16"/>
  <c r="BI19" i="13"/>
  <c r="BI148" i="13"/>
  <c r="BI147" i="13" s="1"/>
  <c r="BI183" i="13"/>
  <c r="BI182" i="13" s="1"/>
  <c r="BI207" i="13"/>
  <c r="BI206" i="13" s="1"/>
  <c r="BI205" i="13" s="1"/>
  <c r="BI204" i="13" s="1"/>
  <c r="BI165" i="13"/>
  <c r="Y217" i="13"/>
  <c r="AC67" i="13" l="1"/>
  <c r="BI67" i="13"/>
  <c r="BI18" i="13"/>
  <c r="BI17" i="13" s="1"/>
  <c r="BI16" i="13" s="1"/>
  <c r="BI15" i="13" s="1"/>
  <c r="BI146" i="13"/>
  <c r="BI61" i="13" s="1"/>
  <c r="BI60"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BI14" i="13" l="1"/>
  <c r="C17" i="35"/>
  <c r="D23" i="35"/>
  <c r="C23" i="35"/>
  <c r="C22" i="34"/>
  <c r="D20" i="35"/>
  <c r="C16" i="34"/>
  <c r="D22" i="34"/>
  <c r="D19" i="34"/>
  <c r="D16" i="34"/>
  <c r="D17" i="35"/>
  <c r="Y142" i="16"/>
  <c r="B3" i="27"/>
  <c r="B1" i="27"/>
  <c r="D32" i="33"/>
  <c r="E32" i="33"/>
  <c r="C32" i="33"/>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AP15" i="32"/>
  <c r="AQ15" i="32"/>
  <c r="AR15" i="32"/>
  <c r="AS15" i="32"/>
  <c r="S144" i="16"/>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F12" i="35" s="1" a="1"/>
  <c r="F12" i="35" s="1"/>
  <c r="F32" i="35" s="1"/>
  <c r="AF4" i="32"/>
  <c r="AE4" i="32"/>
  <c r="AD4" i="32"/>
  <c r="AC4" i="32"/>
  <c r="AB4" i="32"/>
  <c r="AA4" i="32"/>
  <c r="Z4" i="32"/>
  <c r="X4" i="32"/>
  <c r="W4" i="32"/>
  <c r="V4" i="32"/>
  <c r="U4" i="32"/>
  <c r="I235" i="13"/>
  <c r="I238" i="13"/>
  <c r="I239" i="13"/>
  <c r="I240" i="13"/>
  <c r="I241" i="13"/>
  <c r="I242" i="13"/>
  <c r="I243" i="13"/>
  <c r="I244" i="13"/>
  <c r="I245" i="13"/>
  <c r="I246" i="13"/>
  <c r="I247" i="13"/>
  <c r="I248"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37" i="13"/>
  <c r="I187" i="13" l="1"/>
  <c r="F12" i="33" a="1"/>
  <c r="F12" i="33" s="1"/>
  <c r="F32" i="33" s="1"/>
  <c r="I29" i="13"/>
  <c r="I28" i="13" s="1"/>
  <c r="I128" i="13"/>
  <c r="I134" i="13"/>
  <c r="I197" i="13"/>
  <c r="I221" i="13"/>
  <c r="I228" i="13"/>
  <c r="I227" i="13" s="1"/>
  <c r="I24" i="13"/>
  <c r="I78" i="13"/>
  <c r="I95" i="13"/>
  <c r="I118" i="13"/>
  <c r="I131" i="13"/>
  <c r="I149" i="13"/>
  <c r="I154" i="13"/>
  <c r="I160" i="13"/>
  <c r="I171" i="13"/>
  <c r="I184" i="13"/>
  <c r="I190" i="13"/>
  <c r="I193" i="13"/>
  <c r="I200" i="13"/>
  <c r="I208" i="13"/>
  <c r="I54" i="13"/>
  <c r="I53" i="13" s="1"/>
  <c r="I70" i="13"/>
  <c r="I69" i="13" s="1"/>
  <c r="I68" i="13" s="1"/>
  <c r="I167" i="13"/>
  <c r="I166" i="13" s="1"/>
  <c r="C17" i="33"/>
  <c r="D20" i="33"/>
  <c r="D23" i="33"/>
  <c r="D17" i="33"/>
  <c r="C23" i="33"/>
  <c r="D19" i="14"/>
  <c r="D16" i="14"/>
  <c r="D22" i="14"/>
  <c r="AL13" i="32"/>
  <c r="AM13" i="32" s="1"/>
  <c r="AL8" i="32"/>
  <c r="AM8" i="32" s="1"/>
  <c r="AN13" i="32"/>
  <c r="AO13" i="32" s="1"/>
  <c r="AL12" i="32"/>
  <c r="AM12" i="32" s="1"/>
  <c r="I48" i="13"/>
  <c r="I91" i="13"/>
  <c r="I215" i="13"/>
  <c r="I33" i="13"/>
  <c r="I41" i="13"/>
  <c r="I86" i="13"/>
  <c r="I178" i="13"/>
  <c r="I177" i="13" s="1"/>
  <c r="I20" i="13"/>
  <c r="I19" i="13" s="1"/>
  <c r="I82" i="13"/>
  <c r="I102" i="13"/>
  <c r="I108" i="13"/>
  <c r="I113" i="13"/>
  <c r="I125" i="13"/>
  <c r="I124" i="13" l="1"/>
  <c r="I123" i="13" s="1"/>
  <c r="I183" i="13"/>
  <c r="I182" i="13" s="1"/>
  <c r="I148" i="13"/>
  <c r="I147" i="13" s="1"/>
  <c r="I165" i="13"/>
  <c r="I207" i="13"/>
  <c r="I206" i="13" s="1"/>
  <c r="I205" i="13" s="1"/>
  <c r="I204" i="13" s="1"/>
  <c r="I32" i="13"/>
  <c r="I18" i="13" s="1"/>
  <c r="I17" i="13" s="1"/>
  <c r="I16" i="13" s="1"/>
  <c r="I15" i="13" s="1"/>
  <c r="I77" i="13"/>
  <c r="I76" i="13" s="1"/>
  <c r="I67" i="13" s="1"/>
  <c r="AN8" i="32"/>
  <c r="AO8" i="32" s="1"/>
  <c r="AN12" i="32"/>
  <c r="AO12" i="32" s="1"/>
  <c r="I146" i="13" l="1"/>
  <c r="I61" i="13"/>
  <c r="I60" i="13" s="1"/>
  <c r="I14" i="13" s="1"/>
  <c r="F249" i="13" l="1"/>
  <c r="G249" i="13"/>
  <c r="I249" i="13" s="1"/>
  <c r="H249" i="13"/>
  <c r="AR249" i="13"/>
  <c r="AQ249" i="13"/>
  <c r="AP249" i="13"/>
  <c r="AO249" i="13"/>
  <c r="AN249" i="13"/>
  <c r="AE15" i="32" s="1"/>
  <c r="AM249" i="13"/>
  <c r="AL249" i="13"/>
  <c r="AK249" i="13"/>
  <c r="AD15" i="32" s="1"/>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U15" i="32" l="1"/>
  <c r="Y15" i="32"/>
  <c r="AC15" i="32"/>
  <c r="W15" i="32"/>
  <c r="AA15" i="32"/>
  <c r="V15" i="32"/>
  <c r="X15" i="32"/>
  <c r="AB15" i="32"/>
  <c r="AF15" i="32"/>
  <c r="Z15" i="32"/>
  <c r="AT249" i="13"/>
  <c r="AU249" i="1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L15" i="32" l="1"/>
  <c r="AM15" i="32" s="1"/>
  <c r="AN15" i="32"/>
  <c r="AO15" i="32" s="1"/>
  <c r="H67" i="13"/>
  <c r="H146" i="13"/>
  <c r="H61" i="13" l="1"/>
  <c r="H60" i="13" s="1"/>
  <c r="H14" i="13" s="1"/>
  <c r="AT247" i="13"/>
  <c r="AV247" i="13" s="1"/>
  <c r="AW247" i="13" s="1"/>
  <c r="AT246" i="13"/>
  <c r="AT254" i="13" s="1"/>
  <c r="AT242" i="13"/>
  <c r="AV242" i="13" s="1"/>
  <c r="AW242" i="13" s="1"/>
  <c r="AU98" i="13"/>
  <c r="Y248" i="13"/>
  <c r="Z14" i="32" s="1"/>
  <c r="V248" i="13"/>
  <c r="Y245" i="13"/>
  <c r="Z11" i="32" s="1"/>
  <c r="S245" i="13"/>
  <c r="V244" i="13"/>
  <c r="Y243" i="13"/>
  <c r="Y241" i="13"/>
  <c r="Y240" i="13"/>
  <c r="V239" i="13"/>
  <c r="Y5" i="32" s="1"/>
  <c r="AL5" i="32" s="1"/>
  <c r="V238" i="13"/>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AA236" i="13" s="1"/>
  <c r="Z237" i="13"/>
  <c r="Z236" i="13" s="1"/>
  <c r="W237" i="13"/>
  <c r="W236" i="13" s="1"/>
  <c r="U237" i="13"/>
  <c r="U236" i="13" s="1"/>
  <c r="T237" i="13"/>
  <c r="T236" i="13" s="1"/>
  <c r="S237" i="13"/>
  <c r="S236" i="13" s="1"/>
  <c r="Q237" i="13"/>
  <c r="Q236" i="13" s="1"/>
  <c r="P237" i="13"/>
  <c r="P236" i="13" s="1"/>
  <c r="O237" i="13"/>
  <c r="O236" i="13" s="1"/>
  <c r="N237" i="13"/>
  <c r="N236" i="13" s="1"/>
  <c r="M237" i="13"/>
  <c r="M236" i="13" s="1"/>
  <c r="L237" i="13"/>
  <c r="L236" i="13" s="1"/>
  <c r="K237" i="13"/>
  <c r="K236" i="13" s="1"/>
  <c r="J237" i="13"/>
  <c r="G237" i="13"/>
  <c r="F237" i="13"/>
  <c r="F236" i="13" s="1"/>
  <c r="AQ236" i="13"/>
  <c r="AP236" i="13"/>
  <c r="AL236" i="13"/>
  <c r="G236" i="13" l="1"/>
  <c r="I236" i="13" s="1"/>
  <c r="I237" i="13"/>
  <c r="AT241" i="13"/>
  <c r="AU241" i="13" s="1"/>
  <c r="Z7" i="32"/>
  <c r="AL7" i="32" s="1"/>
  <c r="AT238" i="13"/>
  <c r="Y4" i="32"/>
  <c r="AL4" i="32" s="1"/>
  <c r="AT243" i="13"/>
  <c r="Z9" i="32"/>
  <c r="AL9" i="32" s="1"/>
  <c r="AT248" i="13"/>
  <c r="Y14" i="32"/>
  <c r="AL14" i="32" s="1"/>
  <c r="AM5" i="32"/>
  <c r="AN5" i="32"/>
  <c r="AO5" i="32" s="1"/>
  <c r="AT244" i="13"/>
  <c r="AU244" i="13" s="1"/>
  <c r="Y10" i="32"/>
  <c r="AL10" i="32" s="1"/>
  <c r="AT240" i="13"/>
  <c r="Z6" i="32"/>
  <c r="AL6" i="32" s="1"/>
  <c r="AT245" i="13"/>
  <c r="AU245" i="13" s="1"/>
  <c r="X11" i="32"/>
  <c r="AL11" i="32" s="1"/>
  <c r="AU248" i="13"/>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M6" i="32" l="1"/>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T253" i="13"/>
  <c r="AV239" i="13"/>
  <c r="AW239" i="13" s="1"/>
  <c r="AT236" i="13"/>
  <c r="AU236" i="13" s="1"/>
  <c r="AT237" i="13"/>
  <c r="G32" i="33" l="1"/>
  <c r="I12" i="33"/>
  <c r="J12" i="33" s="1"/>
  <c r="H12" i="33"/>
  <c r="I12" i="35"/>
  <c r="J12" i="35" s="1"/>
  <c r="G32" i="35"/>
  <c r="H12" i="35"/>
  <c r="AV236" i="13"/>
  <c r="AW236" i="13" s="1"/>
  <c r="AU237" i="13"/>
  <c r="AV237" i="13"/>
  <c r="AW237" i="13" s="1"/>
  <c r="I32" i="35" l="1"/>
  <c r="J32" i="35" s="1"/>
  <c r="H32" i="35"/>
  <c r="I32" i="33"/>
  <c r="J32" i="33" s="1"/>
  <c r="H32" i="3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H44" i="34" l="1"/>
  <c r="I48" i="33"/>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E30" i="14" s="1"/>
  <c r="E35" i="14" s="1"/>
  <c r="D37" i="14" s="1"/>
  <c r="T144" i="16"/>
  <c r="E15" i="33" a="1"/>
  <c r="E15" i="33" s="1"/>
  <c r="E14" i="33" s="1" a="1"/>
  <c r="E14" i="33" s="1"/>
  <c r="E17" i="33" s="1"/>
  <c r="E54" i="14"/>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Q32" i="13"/>
  <c r="AR19" i="13"/>
  <c r="AN19" i="13"/>
  <c r="AJ19" i="13"/>
  <c r="AF19" i="13"/>
  <c r="AB19" i="13"/>
  <c r="X19" i="13"/>
  <c r="T19" i="13"/>
  <c r="P19" i="13"/>
  <c r="L19" i="13"/>
  <c r="AP19" i="13"/>
  <c r="AH19" i="13"/>
  <c r="Z19" i="13"/>
  <c r="N19" i="13"/>
  <c r="AH77" i="13"/>
  <c r="AH76" i="13" s="1"/>
  <c r="AD19" i="13"/>
  <c r="V19" i="13"/>
  <c r="R19" i="13"/>
  <c r="AS19" i="13"/>
  <c r="AO19" i="13"/>
  <c r="AK19" i="13"/>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AK18" i="13" l="1"/>
  <c r="AK17" i="13" s="1"/>
  <c r="AK16" i="13" s="1"/>
  <c r="AK15" i="13" s="1"/>
  <c r="G69" i="2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C61" i="13" s="1"/>
  <c r="AC60"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14" i="13"/>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T10" i="13" s="1"/>
  <c r="AV11"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AU14" i="13" l="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H25" i="35" s="1"/>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<sst xmlns="http://schemas.openxmlformats.org/spreadsheetml/2006/main" count="22923" uniqueCount="5719">
  <si>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</si>
  <si>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</si>
  <si>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</si>
  <si>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</si>
  <si>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</si>
  <si>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</si>
  <si>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</si>
  <si>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</si>
  <si>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</si>
  <si>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</si>
  <si>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</si>
  <si>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</si>
  <si>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</si>
  <si>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</si>
  <si>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</si>
  <si>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</si>
  <si>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</si>
  <si>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</si>
  <si>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</si>
  <si>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</si>
  <si>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</si>
  <si>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</si>
  <si>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</si>
  <si>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</si>
  <si>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</si>
  <si>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</si>
  <si>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</si>
  <si>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</si>
  <si>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</si>
  <si>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</si>
  <si>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</si>
  <si>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</si>
  <si>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</si>
  <si>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</si>
  <si>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</si>
  <si>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</si>
  <si>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</si>
  <si>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</si>
  <si>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</si>
  <si>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</si>
  <si>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</si>
  <si>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</si>
  <si>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</si>
  <si>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</si>
  <si>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</si>
  <si>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</si>
  <si>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</si>
  <si>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</si>
  <si>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</si>
  <si>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</si>
  <si>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</si>
  <si>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</si>
  <si>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</si>
  <si>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</si>
  <si>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</si>
  <si>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</si>
  <si>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</si>
  <si>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</si>
  <si>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</si>
  <si>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</si>
  <si>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</si>
  <si>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</si>
  <si>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</si>
  <si>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</si>
  <si>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</si>
  <si>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</si>
  <si>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</si>
  <si>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</si>
  <si>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</si>
  <si>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</si>
  <si>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</si>
  <si>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</si>
  <si>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</si>
  <si>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</si>
  <si>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</si>
  <si>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</si>
  <si>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</si>
  <si>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</si>
  <si>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</si>
  <si>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</si>
  <si>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</si>
  <si>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</si>
  <si>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</si>
  <si>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</si>
  <si>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</si>
  <si>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</si>
  <si>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</si>
  <si>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</si>
  <si>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</si>
  <si>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</si>
  <si>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</si>
  <si>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</si>
  <si>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</si>
  <si>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</si>
  <si>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</si>
  <si>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</si>
  <si>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</si>
  <si>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</si>
  <si>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</si>
  <si>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</si>
  <si>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</si>
  <si>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</si>
  <si>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</si>
  <si>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</si>
  <si>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</si>
  <si>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</si>
  <si>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</si>
  <si>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</si>
  <si>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</si>
  <si>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</si>
  <si>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</si>
  <si>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</si>
  <si>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</si>
  <si>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</si>
  <si>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</si>
  <si>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</si>
  <si>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</si>
  <si>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</si>
  <si>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</si>
  <si>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</si>
  <si>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</si>
  <si>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</si>
  <si>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</si>
  <si>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</si>
  <si>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</si>
  <si>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</si>
  <si>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</si>
  <si>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</si>
  <si>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</si>
  <si>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</si>
  <si>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</si>
  <si>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</si>
  <si>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</si>
  <si>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</si>
  <si>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</si>
  <si>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</si>
  <si>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</si>
  <si>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</si>
  <si>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</si>
  <si>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</si>
  <si>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</si>
  <si>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</si>
  <si>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</si>
  <si>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</si>
  <si>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</si>
  <si>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</si>
  <si>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</si>
  <si>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</si>
  <si>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</si>
  <si>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</si>
  <si>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</si>
  <si>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</si>
  <si>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</si>
  <si>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</si>
  <si>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</si>
  <si>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</si>
  <si>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</si>
  <si>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</si>
  <si>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</si>
  <si>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</si>
  <si>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</si>
  <si>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</si>
  <si>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</si>
  <si>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</si>
  <si>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</si>
  <si>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</si>
  <si>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</si>
  <si>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</si>
  <si>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</si>
  <si>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</si>
  <si>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</si>
  <si>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</si>
  <si>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</si>
  <si>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</si>
  <si>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</si>
  <si>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</si>
  <si>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</si>
  <si>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</si>
  <si>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</si>
  <si>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</si>
  <si>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</si>
  <si>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</si>
  <si>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</si>
  <si>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</si>
  <si>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</si>
  <si>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</si>
  <si>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</si>
  <si>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</si>
  <si>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</si>
  <si>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</si>
  <si>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</si>
  <si>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</si>
  <si>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</si>
  <si>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</si>
  <si>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</si>
  <si>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</si>
  <si>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</si>
  <si>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</si>
  <si>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</si>
  <si>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</si>
  <si>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</si>
  <si>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</si>
  <si>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</si>
  <si>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</si>
  <si>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</si>
  <si>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</si>
  <si>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</si>
  <si>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</si>
  <si>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</si>
  <si>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</si>
  <si>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</si>
  <si>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</si>
  <si>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</si>
  <si>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</si>
  <si>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</si>
  <si>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</si>
  <si>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</si>
  <si>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</si>
  <si>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</si>
  <si>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</si>
  <si>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</si>
  <si>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</si>
  <si>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</si>
  <si>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</si>
  <si>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</si>
  <si>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</si>
  <si>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</si>
  <si>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</si>
  <si>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</si>
  <si>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</si>
  <si>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</si>
  <si>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</si>
  <si>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</si>
  <si>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</si>
  <si>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</si>
  <si>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</si>
  <si>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</si>
  <si>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</si>
  <si>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</si>
  <si>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</si>
  <si>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</si>
  <si>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</si>
  <si>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</si>
  <si>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</si>
  <si>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</si>
  <si>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</si>
  <si>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</si>
  <si>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</si>
  <si>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</si>
  <si>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</si>
  <si>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</si>
  <si>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</si>
  <si>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</si>
  <si>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</si>
  <si>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</si>
  <si>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</si>
  <si>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</si>
  <si>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</si>
  <si>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</si>
  <si>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</si>
  <si>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</si>
  <si>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</si>
  <si>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</si>
  <si>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</si>
  <si>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</si>
  <si>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</si>
  <si>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</si>
  <si>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</si>
  <si>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</si>
  <si>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</si>
  <si>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</si>
  <si>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</si>
  <si>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</si>
  <si>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</si>
  <si>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</si>
  <si>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</si>
  <si>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</si>
  <si>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</si>
  <si>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</si>
  <si>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</si>
  <si>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</si>
  <si>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</si>
  <si>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</si>
  <si>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</si>
  <si>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</si>
  <si>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</si>
  <si>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</si>
  <si>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</si>
  <si>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</si>
  <si>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</si>
  <si>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</si>
  <si>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</si>
  <si>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</si>
  <si>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</si>
  <si>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</si>
  <si>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</si>
  <si>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</si>
  <si>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</si>
  <si>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</si>
  <si>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</si>
  <si>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</si>
  <si>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</si>
  <si>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</si>
  <si>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</si>
  <si>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</si>
  <si>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</si>
  <si>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</si>
  <si>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</si>
  <si>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</si>
  <si>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</si>
  <si>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</si>
  <si>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</si>
  <si>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</si>
  <si>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</si>
  <si>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</si>
  <si>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</si>
  <si>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</si>
  <si>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</si>
  <si>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</si>
  <si>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</si>
  <si>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</si>
  <si>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</si>
  <si>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</si>
  <si>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</si>
  <si>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</si>
  <si>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</si>
  <si>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</si>
  <si>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</si>
  <si>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</si>
  <si>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</si>
  <si>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</si>
  <si>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</si>
  <si>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</si>
  <si>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</si>
  <si>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</si>
  <si>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</si>
  <si>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</si>
  <si>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</si>
  <si>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</si>
  <si>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</si>
  <si>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</si>
  <si>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</si>
  <si>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</si>
  <si>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</si>
  <si>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</si>
  <si>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</si>
  <si>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</si>
  <si>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</si>
  <si>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</si>
  <si>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</si>
  <si>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</si>
  <si>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</si>
  <si>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</si>
  <si>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</si>
  <si>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</si>
  <si>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</si>
  <si>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</si>
  <si>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</si>
  <si>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</si>
  <si>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</si>
  <si>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</si>
  <si>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</si>
  <si>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</si>
  <si>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</si>
  <si>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</si>
  <si>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</si>
  <si>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</si>
  <si>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</si>
  <si>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</si>
  <si>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</si>
  <si>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</si>
  <si>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</si>
  <si>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</si>
  <si>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</si>
  <si>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</si>
  <si>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</si>
  <si>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</si>
  <si>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</si>
  <si>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</si>
  <si>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</si>
  <si>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</si>
  <si>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</si>
  <si>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</si>
  <si>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</si>
  <si>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</si>
  <si>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</si>
  <si>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</si>
  <si>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</si>
  <si>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</si>
  <si>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</si>
  <si>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</si>
  <si>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</si>
  <si>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</si>
  <si>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</si>
  <si>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</si>
  <si>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</si>
  <si>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</si>
  <si>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</si>
  <si>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</si>
  <si>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</si>
  <si>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</si>
  <si>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</si>
  <si>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</si>
  <si>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</si>
  <si>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</si>
  <si>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</si>
  <si>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</si>
  <si>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</si>
  <si>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</si>
  <si>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</si>
  <si>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</si>
  <si>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</si>
  <si>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</si>
  <si>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</si>
  <si>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</si>
  <si>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</si>
  <si>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</si>
  <si>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</si>
  <si>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</si>
  <si>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</si>
  <si>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</si>
  <si>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</si>
  <si>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</si>
  <si>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</si>
  <si>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</si>
  <si>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</si>
  <si>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</si>
  <si>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</si>
  <si>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</si>
  <si>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</si>
  <si>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</si>
  <si>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</si>
  <si>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</si>
  <si>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</si>
  <si>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</si>
  <si>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</si>
  <si>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</si>
  <si>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</si>
  <si>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</si>
  <si>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</si>
  <si>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</si>
  <si>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</si>
  <si>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</si>
  <si>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</si>
  <si>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</si>
  <si>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</si>
  <si>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</si>
  <si>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</si>
  <si>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</si>
  <si>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</si>
  <si>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</si>
  <si>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</si>
  <si>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</si>
  <si>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</si>
  <si>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</si>
  <si>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</si>
  <si>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</si>
  <si>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</si>
  <si>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</si>
  <si>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</si>
  <si>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</si>
  <si>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</si>
  <si>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</si>
  <si>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</si>
  <si>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</si>
  <si>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</si>
  <si>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</si>
  <si>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</si>
  <si>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</si>
  <si>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</si>
  <si>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</si>
  <si>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</si>
  <si>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</si>
  <si>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</si>
  <si>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</si>
  <si>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</si>
  <si>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</si>
  <si>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</si>
  <si>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</si>
  <si>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</si>
  <si>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</si>
  <si>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</si>
  <si>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</si>
  <si>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</si>
  <si>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</si>
  <si>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</si>
  <si>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</si>
  <si>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</si>
  <si>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</si>
  <si>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</si>
  <si>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</si>
  <si>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</si>
  <si>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</si>
  <si>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</si>
  <si>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</si>
  <si>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</si>
  <si>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</si>
  <si>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</si>
  <si>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</si>
  <si>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</si>
  <si>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</si>
  <si>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</si>
  <si>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</si>
  <si>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</si>
  <si>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</si>
  <si>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</si>
  <si>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</si>
  <si>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</si>
  <si>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</si>
  <si>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</si>
  <si>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</si>
  <si>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</si>
  <si>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</si>
  <si>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</si>
  <si>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</si>
  <si>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</si>
  <si>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</si>
  <si>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</si>
  <si>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</si>
  <si>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</si>
  <si>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</si>
  <si>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</si>
  <si>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</si>
  <si>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</si>
  <si>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</si>
  <si>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</si>
  <si>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</si>
  <si>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</si>
  <si>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</si>
  <si>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</si>
  <si>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</si>
  <si>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</si>
  <si>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</si>
  <si>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</si>
  <si>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</si>
  <si>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</si>
  <si>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</si>
  <si>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</si>
  <si>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</si>
  <si>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</si>
  <si>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</si>
  <si>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</si>
  <si>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</si>
  <si>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</si>
  <si>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</si>
  <si>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</si>
  <si>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</si>
  <si>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</si>
  <si>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</si>
  <si>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</si>
  <si>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</si>
  <si>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</si>
  <si>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</si>
  <si>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</si>
  <si>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</si>
  <si>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</si>
  <si>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</si>
  <si>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</si>
  <si>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</si>
  <si>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</si>
  <si>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</si>
  <si>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</si>
  <si>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</si>
  <si>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</si>
  <si>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</si>
  <si>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</si>
  <si>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</si>
  <si>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</si>
  <si>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</si>
  <si>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</si>
  <si>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</si>
  <si>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</si>
  <si>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</si>
  <si>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</si>
  <si>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</si>
  <si>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</si>
  <si>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</si>
  <si>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</si>
  <si>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</si>
  <si>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</si>
  <si>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</si>
  <si>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</si>
  <si>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</si>
  <si>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</si>
  <si>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</si>
  <si>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</si>
  <si>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</si>
  <si>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</si>
  <si>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</si>
  <si>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</si>
  <si>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</si>
  <si>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</si>
  <si>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</si>
  <si>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</si>
  <si>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</si>
  <si>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</si>
  <si>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</si>
  <si>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</si>
  <si>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</si>
  <si>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</si>
  <si>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</si>
  <si>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</si>
  <si>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</si>
  <si>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</si>
  <si>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</si>
  <si>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</si>
  <si>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</si>
  <si>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</si>
  <si>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</si>
  <si>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</si>
  <si>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</si>
  <si>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</si>
  <si>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</si>
  <si>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</si>
  <si>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</si>
  <si>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</si>
  <si>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</si>
  <si>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</si>
  <si>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</si>
  <si>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</si>
  <si>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</si>
  <si>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</si>
  <si>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</si>
  <si>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</si>
  <si>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</si>
  <si>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</si>
  <si>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</si>
  <si>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</si>
  <si>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</si>
  <si>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</si>
  <si>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</si>
  <si>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</si>
  <si>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</si>
  <si>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</si>
  <si>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</si>
  <si>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</si>
  <si>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</si>
  <si>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</si>
  <si>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</si>
  <si>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</si>
  <si>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</si>
  <si>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</si>
  <si>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</si>
  <si>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</si>
  <si>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</si>
  <si>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</si>
  <si>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</si>
  <si>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</si>
  <si>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</si>
  <si>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</si>
  <si>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</si>
  <si>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</si>
  <si>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</si>
  <si>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</si>
  <si>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</si>
  <si>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</si>
  <si>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</si>
  <si>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</si>
  <si>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</si>
  <si>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</si>
  <si>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</si>
  <si>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</si>
  <si>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</si>
  <si>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</si>
  <si>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</si>
  <si>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</si>
  <si>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</si>
  <si>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</si>
  <si>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</si>
  <si>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</si>
  <si>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</si>
  <si>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</si>
  <si>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</si>
  <si>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</si>
  <si>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</si>
  <si>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</si>
  <si>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</si>
  <si>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</si>
  <si>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</si>
  <si>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</si>
  <si>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</si>
  <si>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</si>
  <si>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</si>
  <si>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</si>
  <si>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</si>
  <si>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</si>
  <si>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</si>
  <si>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</si>
  <si>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</si>
  <si>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</si>
  <si>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</si>
  <si>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</si>
  <si>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</si>
  <si>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</si>
  <si>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</si>
  <si>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</si>
  <si>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</si>
  <si>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</si>
  <si>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</si>
  <si>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</si>
  <si>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</si>
  <si>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</si>
  <si>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</si>
  <si>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</si>
  <si>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</si>
  <si>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</si>
  <si>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</si>
  <si>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</si>
  <si>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</si>
  <si>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</si>
  <si>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</si>
  <si>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</si>
  <si>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</si>
  <si>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</si>
  <si>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</si>
  <si>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</si>
  <si>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</si>
  <si>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</si>
  <si>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</si>
  <si>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</si>
  <si>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</si>
  <si>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</si>
  <si>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</si>
  <si>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</si>
  <si>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</si>
  <si>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</si>
  <si>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</si>
  <si>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</si>
  <si>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</si>
  <si>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</si>
  <si>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</si>
  <si>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</si>
  <si>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</si>
  <si>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</si>
  <si>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</si>
  <si>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</si>
  <si>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</si>
  <si>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</si>
  <si>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</si>
  <si>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</si>
  <si>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</si>
  <si>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</si>
  <si>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</si>
  <si>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</si>
  <si>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</si>
  <si>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</si>
  <si>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</si>
  <si>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</si>
  <si>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</si>
  <si>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</si>
  <si>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</si>
  <si>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</si>
  <si>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</si>
  <si>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</si>
  <si>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</si>
  <si>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</si>
  <si>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</si>
  <si>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</si>
  <si>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</si>
  <si>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</si>
  <si>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</si>
  <si>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</si>
  <si>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</si>
  <si>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</si>
  <si>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</si>
  <si>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</si>
  <si>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</si>
  <si>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</si>
  <si>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</si>
  <si>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</si>
  <si>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</si>
  <si>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</si>
  <si>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</si>
  <si>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</si>
  <si>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</si>
  <si>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</si>
  <si>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</si>
  <si>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</si>
  <si>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</si>
  <si>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</si>
  <si>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</si>
  <si>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</si>
  <si>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</si>
  <si>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</si>
  <si>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</si>
  <si>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</si>
  <si>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</si>
  <si>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</si>
  <si>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</si>
  <si>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</si>
  <si>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</si>
  <si>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</si>
  <si>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</si>
  <si>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</si>
  <si>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</si>
  <si>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</si>
  <si>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</si>
  <si>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</si>
  <si>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</si>
  <si>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</si>
  <si>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</si>
  <si>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</si>
  <si>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</si>
  <si>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</si>
  <si>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</si>
  <si>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</si>
  <si>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</si>
  <si>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</si>
  <si>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</si>
  <si>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</si>
  <si>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</si>
  <si>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</si>
  <si>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</si>
  <si>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</si>
  <si>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</si>
  <si>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</si>
  <si>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</si>
  <si>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</si>
  <si>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</si>
  <si>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</si>
  <si>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</si>
  <si>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</si>
  <si>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</si>
  <si>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</si>
  <si>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</si>
  <si>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</si>
  <si>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</si>
  <si>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</si>
  <si>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</si>
  <si>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</si>
  <si>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</si>
  <si>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</si>
  <si>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</si>
  <si>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</si>
  <si>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</si>
  <si>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</si>
  <si>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</si>
  <si>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</si>
  <si>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</si>
  <si>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</si>
  <si>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</si>
  <si>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</si>
  <si>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</si>
  <si>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</si>
  <si>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</si>
  <si>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</si>
  <si>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</si>
  <si>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</si>
  <si>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</si>
  <si>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</si>
  <si>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</si>
  <si>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</si>
  <si>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</si>
  <si>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</si>
  <si>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</si>
  <si>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</si>
  <si>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</si>
  <si>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</si>
  <si>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</si>
  <si>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</si>
  <si>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</si>
  <si>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</si>
  <si>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</si>
  <si>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</si>
  <si>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</si>
  <si>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</si>
  <si>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</si>
  <si>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</si>
  <si>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</si>
  <si>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</si>
  <si>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</si>
  <si>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</si>
  <si>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</si>
  <si>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</si>
  <si>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</si>
  <si>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</si>
  <si>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</si>
  <si>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</si>
  <si>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</si>
  <si>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</si>
  <si>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</si>
  <si>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</si>
  <si>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</si>
  <si>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</si>
  <si>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</si>
  <si>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</si>
  <si>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</si>
  <si>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</si>
  <si>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</si>
  <si>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</si>
  <si>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</si>
  <si>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</si>
  <si>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</si>
  <si>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</si>
  <si>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</si>
  <si>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</si>
  <si>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</si>
  <si>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</si>
  <si>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</si>
  <si>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</si>
  <si>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</si>
  <si>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</si>
  <si>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</si>
  <si>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</si>
  <si>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</si>
  <si>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</si>
  <si>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</si>
  <si>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</si>
  <si>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</si>
  <si>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</si>
  <si>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</si>
  <si>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</si>
  <si>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</si>
  <si>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</si>
  <si>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</si>
  <si>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</si>
  <si>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</si>
  <si>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</si>
  <si>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</si>
  <si>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</si>
  <si>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</si>
  <si>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</si>
  <si>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</si>
  <si>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</si>
  <si>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</si>
  <si>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</si>
  <si>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</si>
  <si>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</si>
  <si>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</si>
  <si>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</si>
  <si>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</si>
  <si>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</si>
  <si>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</si>
  <si>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</si>
  <si>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</si>
  <si>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</si>
  <si>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</si>
  <si>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</si>
  <si>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</si>
  <si>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</si>
  <si>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</si>
  <si>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</si>
  <si>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</si>
  <si>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</si>
  <si>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</si>
  <si>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</si>
  <si>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</si>
  <si>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</si>
  <si>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</si>
  <si>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</si>
  <si>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</si>
  <si>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</si>
  <si>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</si>
  <si>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</si>
  <si>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</si>
  <si>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</si>
  <si>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</si>
  <si>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</si>
  <si>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</si>
  <si>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</si>
  <si>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</si>
  <si>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</si>
  <si>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</si>
  <si>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</si>
  <si>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</si>
  <si>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</si>
  <si>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</si>
  <si>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</si>
  <si>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</si>
  <si>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</si>
  <si>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</si>
  <si>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</si>
  <si>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</si>
  <si>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</si>
  <si>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</si>
  <si>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</si>
  <si>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</si>
  <si>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</si>
  <si>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</si>
  <si>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</si>
  <si>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</si>
  <si>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</si>
  <si>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</si>
  <si>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</si>
  <si>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</si>
  <si>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</si>
  <si>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</si>
  <si>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</si>
  <si>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</si>
  <si>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</si>
  <si>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</si>
  <si>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</si>
  <si>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</si>
  <si>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</si>
  <si>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</si>
  <si>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</si>
  <si>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</si>
  <si>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</si>
  <si>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</si>
  <si>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</si>
  <si>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</si>
  <si>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</si>
  <si>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</si>
  <si>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</si>
  <si>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</si>
  <si>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</si>
  <si>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</si>
  <si>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</si>
  <si>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</si>
  <si>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</si>
  <si>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</si>
  <si>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</si>
  <si>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</si>
  <si>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</si>
  <si>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</si>
  <si>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</si>
  <si>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</si>
  <si>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</si>
  <si>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</si>
  <si>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</si>
  <si>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</si>
  <si>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</si>
  <si>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</si>
  <si>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</si>
  <si>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</si>
  <si>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</si>
  <si>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</si>
  <si>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</si>
  <si>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</si>
  <si>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</si>
  <si>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</si>
  <si>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</si>
  <si>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</si>
  <si>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</si>
  <si>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</si>
  <si>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</si>
  <si>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</si>
  <si>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</si>
  <si>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</si>
  <si>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</si>
  <si>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</si>
  <si>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</si>
  <si>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</si>
  <si>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</si>
  <si>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</si>
  <si>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</si>
  <si>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</si>
  <si>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</si>
  <si>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</si>
  <si>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</si>
  <si>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</si>
  <si>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</si>
  <si>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</si>
  <si>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</si>
  <si>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</si>
  <si>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</si>
  <si>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</si>
  <si>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</si>
  <si>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</si>
  <si>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</si>
  <si>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</si>
  <si>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</si>
  <si>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</si>
  <si>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</si>
  <si>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</si>
  <si>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</si>
  <si>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</si>
  <si>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</si>
  <si>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</si>
  <si>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</si>
  <si>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</si>
  <si>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</si>
  <si>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</si>
  <si>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</si>
  <si>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</si>
  <si>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</si>
  <si>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</si>
  <si>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</si>
  <si>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</si>
  <si>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</si>
  <si>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</si>
  <si>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</si>
  <si>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</si>
  <si>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</si>
  <si>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</si>
  <si>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</si>
  <si>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</si>
  <si>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</si>
  <si>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</si>
  <si>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</si>
  <si>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</si>
  <si>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</si>
  <si>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</si>
  <si>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</si>
  <si>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</si>
  <si>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</si>
  <si>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</si>
  <si>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</si>
  <si>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</si>
  <si>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</si>
  <si>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</si>
  <si>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</si>
  <si>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</si>
  <si>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</si>
  <si>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</si>
  <si>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</si>
  <si>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</si>
  <si>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</si>
  <si>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</si>
  <si>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</si>
  <si>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</si>
  <si>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</si>
  <si>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</si>
  <si>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</si>
  <si>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</si>
  <si>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</si>
  <si>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</si>
  <si>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</si>
  <si>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</si>
  <si>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</si>
  <si>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</si>
  <si>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</si>
  <si>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</si>
  <si>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</si>
  <si>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</si>
  <si>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</si>
  <si>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</si>
  <si>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</si>
  <si>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</si>
  <si>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</si>
  <si>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</si>
  <si>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</si>
  <si>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</si>
  <si>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</si>
  <si>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</si>
  <si>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</si>
  <si>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</si>
  <si>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</si>
  <si>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</si>
  <si>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</si>
  <si>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</si>
  <si>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</si>
  <si>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</si>
  <si>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</si>
  <si>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</si>
  <si>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</si>
  <si>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</si>
  <si>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</si>
  <si>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</si>
  <si>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</si>
  <si>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</si>
  <si>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</si>
  <si>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</si>
  <si>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</si>
  <si>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</si>
  <si>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</si>
  <si>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</si>
  <si>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</si>
  <si>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</si>
  <si>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</si>
  <si>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</si>
  <si>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</si>
  <si>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</si>
  <si>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</si>
  <si>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</si>
  <si>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</si>
  <si>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</si>
  <si>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</si>
  <si>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</si>
  <si>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</si>
  <si>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</si>
  <si>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</si>
  <si>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</si>
  <si>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</si>
  <si>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</si>
  <si>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</si>
  <si>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</si>
  <si>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</si>
  <si>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</si>
  <si>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</si>
  <si>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</si>
  <si>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</si>
  <si>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</si>
  <si>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</si>
  <si>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</si>
  <si>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</si>
  <si>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</si>
  <si>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</si>
  <si>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</si>
  <si>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</si>
  <si>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</si>
  <si>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</si>
  <si>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</si>
  <si>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</si>
  <si>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</si>
  <si>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</si>
  <si>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</si>
  <si>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</si>
  <si>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</si>
  <si>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</si>
  <si>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</si>
  <si>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</si>
  <si>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</si>
  <si>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</si>
  <si>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</si>
  <si>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</si>
  <si>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</si>
  <si>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</si>
  <si>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</si>
  <si>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</si>
  <si>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</si>
  <si>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</si>
  <si>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</si>
  <si>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</si>
  <si>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</si>
  <si>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</si>
  <si>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</si>
  <si>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</si>
  <si>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</si>
  <si>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</si>
  <si>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</si>
  <si>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</si>
  <si>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</si>
  <si>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</si>
  <si>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</si>
  <si>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</si>
  <si>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</si>
  <si>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</si>
  <si>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</si>
  <si>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</si>
  <si>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</si>
  <si>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</si>
  <si>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</si>
  <si>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</si>
  <si>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</si>
  <si>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</si>
  <si>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</si>
  <si>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</si>
  <si>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</si>
  <si>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</si>
  <si>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</si>
  <si>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</si>
  <si>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</si>
  <si>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</si>
  <si>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</si>
  <si>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</si>
  <si>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</si>
  <si>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</si>
  <si>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</si>
  <si>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</si>
  <si>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</si>
  <si>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</si>
  <si>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</si>
  <si>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</si>
  <si>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</si>
  <si>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</si>
  <si>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</si>
  <si>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</si>
  <si>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</si>
  <si>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</si>
  <si>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</si>
  <si>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</si>
  <si>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</si>
  <si>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</si>
  <si>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</si>
  <si>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</si>
  <si>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</si>
  <si>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</si>
  <si>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</si>
  <si>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</si>
  <si>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</si>
  <si>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</si>
  <si>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</si>
  <si>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</si>
  <si>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</si>
  <si>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</si>
  <si>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</si>
  <si>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</si>
  <si>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</si>
  <si>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</si>
  <si>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</si>
  <si>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</si>
  <si>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</si>
  <si>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</si>
  <si>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</si>
  <si>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</si>
  <si>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</si>
  <si>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</si>
  <si>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</si>
  <si>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</si>
  <si>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</si>
  <si>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</si>
  <si>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</si>
  <si>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</si>
  <si>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</si>
  <si>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</si>
  <si>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</si>
  <si>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</si>
  <si>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</si>
  <si>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</si>
  <si>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</si>
  <si>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</si>
  <si>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</si>
  <si>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</si>
  <si>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</si>
  <si>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</si>
  <si>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</si>
  <si>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</si>
  <si>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</si>
  <si>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</si>
  <si>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</si>
  <si>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</si>
  <si>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</si>
  <si>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</si>
  <si>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</si>
  <si>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</si>
  <si>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</si>
  <si>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</si>
  <si>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</si>
  <si>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</si>
  <si>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</si>
  <si>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</si>
  <si>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</si>
  <si>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</si>
  <si>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</si>
  <si>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</si>
  <si>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</si>
  <si>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</si>
  <si>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</si>
  <si>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</si>
  <si>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</si>
  <si>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</si>
  <si>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</si>
  <si>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</si>
  <si>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</si>
  <si>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</si>
  <si>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</si>
  <si>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</si>
  <si>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</si>
  <si>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</si>
  <si>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</si>
  <si>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</si>
  <si>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</si>
  <si>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</si>
  <si>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</si>
  <si>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</si>
  <si>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</si>
  <si>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</si>
  <si>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</si>
  <si>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</si>
  <si>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</si>
  <si>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</si>
  <si>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</si>
  <si>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</si>
  <si>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</si>
  <si>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</si>
  <si>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</si>
  <si>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</si>
  <si>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</si>
  <si>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</si>
  <si>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</si>
  <si>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</si>
  <si>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</si>
  <si>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</si>
  <si>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</si>
  <si>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</si>
  <si>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</si>
  <si>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</si>
  <si>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</si>
  <si>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</si>
  <si>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</si>
  <si>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</si>
  <si>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</si>
  <si>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</si>
  <si>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</si>
  <si>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</si>
  <si>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</si>
  <si>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</si>
  <si>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</si>
  <si>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</si>
  <si>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</si>
  <si>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</si>
  <si>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</si>
  <si>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</si>
  <si>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</si>
  <si>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</si>
  <si>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</si>
  <si>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</si>
  <si>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</si>
  <si>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</si>
  <si>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</si>
  <si>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</si>
  <si>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</si>
  <si>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</si>
  <si>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</si>
  <si>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</si>
  <si>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</si>
  <si>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</si>
  <si>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</si>
  <si>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</si>
  <si>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</si>
  <si>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</si>
  <si>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</si>
  <si>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</si>
  <si>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</si>
  <si>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</si>
  <si>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</si>
  <si>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</si>
  <si>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</si>
  <si>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</si>
  <si>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</si>
  <si>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</si>
  <si>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</si>
  <si>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</si>
  <si>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</si>
  <si>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</si>
  <si>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</si>
  <si>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</si>
  <si>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</si>
  <si>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</si>
  <si>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</si>
  <si>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</si>
  <si>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</si>
  <si>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</si>
  <si>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</si>
  <si>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</si>
  <si>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</si>
  <si>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</si>
  <si>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</si>
  <si>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</si>
  <si>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</si>
  <si>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</si>
  <si>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</si>
  <si>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</si>
  <si>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</si>
  <si>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</si>
  <si>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</si>
  <si>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</si>
  <si>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</si>
  <si>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</si>
  <si>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</si>
  <si>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</si>
  <si>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</si>
  <si>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</si>
  <si>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</si>
  <si>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</si>
  <si>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</si>
  <si>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</si>
  <si>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</si>
  <si>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</si>
  <si>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</si>
  <si>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</si>
  <si>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</si>
  <si>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</si>
  <si>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</si>
  <si>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</si>
  <si>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</si>
  <si>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</si>
  <si>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</si>
  <si>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</si>
  <si>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</si>
  <si>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</si>
  <si>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</si>
  <si>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</si>
  <si>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</si>
  <si>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</si>
  <si>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</si>
  <si>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</si>
  <si>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</si>
  <si>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</si>
  <si>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</si>
  <si>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</si>
  <si>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</si>
  <si>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</si>
  <si>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</si>
  <si>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</si>
  <si>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</si>
  <si>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</si>
  <si>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</si>
  <si>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</si>
  <si>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</si>
  <si>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</si>
  <si>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</si>
  <si>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</si>
  <si>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</si>
  <si>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</si>
  <si>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</si>
  <si>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</si>
  <si>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</si>
  <si>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</si>
  <si>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</si>
  <si>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</si>
  <si>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</si>
  <si>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</si>
  <si>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</si>
  <si>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</si>
  <si>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</si>
  <si>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</si>
  <si>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</si>
  <si>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</si>
  <si>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</si>
  <si>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</si>
  <si>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</si>
  <si>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</si>
  <si>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</si>
  <si>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</si>
  <si>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</si>
  <si>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</si>
  <si>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</si>
  <si>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</si>
  <si>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</si>
  <si>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</si>
  <si>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</si>
  <si>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</si>
  <si>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</si>
  <si>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</si>
  <si>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</si>
  <si>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</si>
  <si>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</si>
  <si>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</si>
  <si>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</si>
  <si>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</si>
  <si>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</si>
  <si>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</si>
  <si>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</si>
  <si>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</si>
  <si>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</si>
  <si>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</si>
  <si>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</si>
  <si>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</si>
  <si>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</si>
  <si>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</si>
  <si>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</si>
  <si>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</si>
  <si>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</si>
  <si>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</si>
  <si>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</si>
  <si>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</si>
  <si>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</si>
  <si>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</si>
  <si>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</si>
  <si>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</si>
  <si>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</si>
  <si>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</si>
  <si>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</si>
  <si>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</si>
  <si>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</si>
  <si>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</si>
  <si>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</si>
  <si>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</si>
  <si>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</si>
  <si>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</si>
  <si>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</si>
  <si>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</si>
  <si>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</si>
  <si>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</si>
  <si>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</si>
  <si>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</si>
  <si>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</si>
  <si>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</si>
  <si>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</si>
  <si>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</si>
  <si>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</si>
  <si>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</si>
  <si>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</si>
  <si>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</si>
  <si>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</si>
  <si>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</si>
  <si>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</si>
  <si>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</si>
  <si>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</si>
  <si>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</si>
  <si>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</si>
  <si>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</si>
  <si>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</si>
  <si>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</si>
  <si>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</si>
  <si>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</si>
  <si>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</si>
  <si>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</si>
  <si>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</si>
  <si>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</si>
  <si>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</si>
  <si>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</si>
  <si>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</si>
  <si>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</si>
  <si>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</si>
  <si>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</si>
  <si>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</si>
  <si>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</si>
  <si>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</si>
  <si>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</si>
  <si>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</si>
  <si>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</si>
  <si>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</si>
  <si>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</si>
  <si>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</si>
  <si>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</si>
  <si>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</si>
  <si>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</si>
  <si>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</si>
  <si>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</si>
  <si>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</si>
  <si>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</si>
  <si>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</si>
  <si>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</si>
  <si>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</si>
  <si>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</si>
  <si>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</si>
  <si>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</si>
  <si>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</si>
  <si>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</si>
  <si>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</si>
  <si>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</si>
  <si>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</si>
  <si>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</si>
  <si>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</si>
  <si>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</si>
  <si>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</si>
  <si>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</si>
  <si>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</si>
  <si>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</si>
  <si>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</si>
  <si>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</si>
  <si>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</si>
  <si>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</si>
  <si>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</si>
  <si>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</si>
  <si>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</si>
  <si>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</si>
  <si>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</si>
  <si>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</si>
  <si>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</si>
  <si>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</si>
  <si>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</si>
  <si>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</si>
  <si>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</si>
  <si>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</si>
  <si>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</si>
  <si>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</si>
  <si>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</si>
  <si>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</si>
  <si>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</si>
  <si>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</si>
  <si>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</si>
  <si>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</si>
  <si>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</si>
  <si>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</si>
  <si>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</si>
  <si>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</si>
  <si>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</si>
  <si>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</si>
  <si>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</si>
  <si>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</si>
  <si>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</si>
  <si>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</si>
  <si>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</si>
  <si>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</si>
  <si>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</si>
  <si>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</si>
  <si>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</si>
  <si>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</si>
  <si>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</si>
  <si>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</si>
  <si>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</si>
  <si>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</si>
  <si>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</si>
  <si>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</si>
  <si>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</si>
  <si>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</si>
  <si>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</si>
  <si>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</si>
  <si>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</si>
  <si>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</si>
  <si>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</si>
  <si>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</si>
  <si>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</si>
  <si>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</si>
  <si>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</si>
  <si>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</si>
  <si>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</si>
  <si>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</si>
  <si>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</si>
  <si>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</si>
  <si>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</si>
  <si>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</si>
  <si>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</si>
  <si>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</si>
  <si>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</si>
  <si>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</si>
  <si>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</si>
  <si>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</si>
  <si>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</si>
  <si>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</si>
  <si>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</si>
  <si>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</si>
  <si>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</si>
  <si>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</si>
  <si>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</si>
  <si>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</si>
  <si>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</si>
  <si>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</si>
  <si>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</si>
  <si>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</si>
  <si>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</si>
  <si>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</si>
  <si>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</si>
  <si>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</si>
  <si>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</si>
  <si>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</si>
  <si>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</si>
  <si>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</si>
  <si>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</si>
  <si>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</si>
  <si>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</si>
  <si>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</si>
  <si>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</si>
  <si>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</si>
  <si>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</si>
  <si>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</si>
  <si>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</si>
  <si>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</si>
  <si>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</si>
  <si>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</si>
  <si>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</si>
  <si>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</si>
  <si>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</si>
  <si>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</si>
  <si>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</si>
  <si>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</si>
  <si>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</si>
  <si>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</si>
  <si>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</si>
  <si>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</si>
  <si>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</si>
  <si>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</si>
  <si>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</si>
  <si>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</si>
  <si>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</si>
  <si>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</si>
  <si>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</si>
  <si>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</si>
  <si>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</si>
  <si>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</si>
  <si>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</si>
  <si>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</si>
  <si>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</si>
  <si>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</si>
  <si>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</si>
  <si>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</si>
  <si>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</si>
  <si>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</si>
  <si>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</si>
  <si>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</si>
  <si>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</si>
  <si>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</si>
  <si>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</si>
  <si>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</si>
  <si>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</si>
  <si>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</si>
  <si>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</si>
  <si>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</si>
  <si>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</si>
  <si>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</si>
  <si>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</si>
  <si>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</si>
  <si>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</si>
  <si>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</si>
  <si>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</si>
  <si>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</si>
  <si>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</si>
  <si>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</si>
  <si>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</si>
  <si>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</si>
  <si>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</si>
  <si>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</si>
  <si>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</si>
  <si>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</si>
  <si>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</si>
  <si>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</si>
  <si>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</si>
  <si>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</si>
  <si>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</si>
  <si>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</si>
  <si>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</si>
  <si>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</si>
  <si>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</si>
  <si>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</si>
  <si>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</si>
  <si>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</si>
  <si>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</si>
  <si>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</si>
  <si>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</si>
  <si>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</si>
  <si>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</si>
  <si>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</si>
  <si>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</si>
  <si>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</si>
  <si>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</si>
  <si>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</si>
  <si>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</si>
  <si>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</si>
  <si>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</si>
  <si>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</si>
  <si>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</si>
  <si>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</si>
  <si>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</si>
  <si>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</si>
  <si>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</si>
  <si>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</si>
  <si>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</si>
  <si>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</si>
  <si>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</si>
  <si>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</si>
  <si>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</si>
  <si>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</si>
  <si>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</si>
  <si>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</si>
  <si>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</si>
  <si>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</si>
  <si>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</si>
  <si>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</si>
  <si>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</si>
  <si>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</si>
  <si>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</si>
  <si>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</si>
  <si>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</si>
  <si>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</si>
  <si>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</si>
  <si>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</si>
  <si>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</si>
  <si>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</si>
  <si>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</si>
  <si>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</si>
  <si>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</si>
  <si>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</si>
  <si>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</si>
  <si>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</si>
  <si>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</si>
  <si>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</si>
  <si>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</si>
  <si>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</si>
  <si>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</si>
  <si>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</si>
  <si>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</si>
  <si>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</si>
  <si>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</si>
  <si>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</si>
  <si>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</si>
  <si>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</si>
  <si>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</si>
  <si>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</si>
  <si>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</si>
  <si>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</si>
  <si>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</si>
  <si>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</si>
  <si>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</si>
  <si>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</si>
  <si>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</si>
  <si>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</si>
  <si>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</si>
  <si>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</si>
  <si>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</si>
  <si>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</si>
  <si>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</si>
  <si>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</si>
  <si>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</si>
  <si>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</si>
  <si>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</si>
  <si>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</si>
  <si>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</si>
  <si>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</si>
  <si>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</si>
  <si>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</si>
  <si>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</si>
  <si>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</si>
  <si>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</si>
  <si>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</si>
  <si>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</si>
  <si>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</si>
  <si>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</si>
  <si>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</si>
  <si>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</si>
  <si>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</si>
  <si>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</si>
  <si>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</si>
  <si>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</si>
  <si>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</si>
  <si>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</si>
  <si>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</si>
  <si>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</si>
  <si>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</si>
  <si>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</si>
  <si>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</si>
  <si>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</si>
  <si>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</si>
  <si>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</si>
  <si>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</si>
  <si>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</si>
  <si>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</si>
  <si>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</si>
  <si>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</si>
  <si>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</si>
  <si>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</si>
  <si>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</si>
  <si>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</si>
  <si>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</si>
  <si>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</si>
  <si>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</si>
  <si>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</si>
  <si>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</si>
  <si>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</si>
  <si>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</si>
  <si>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</si>
  <si>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</si>
  <si>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</si>
  <si>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</si>
  <si>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</si>
  <si>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</si>
  <si>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</si>
  <si>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</si>
  <si>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</si>
  <si>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</si>
  <si>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</si>
  <si>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</si>
  <si>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</si>
  <si>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</si>
  <si>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</si>
  <si>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</si>
  <si>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</si>
  <si>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</si>
  <si>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</si>
  <si>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</si>
  <si>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</si>
  <si>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</si>
  <si>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</si>
  <si>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</si>
  <si>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</si>
  <si>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</si>
  <si>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</si>
  <si>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</si>
  <si>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</si>
  <si>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</si>
  <si>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</si>
  <si>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</si>
  <si>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</si>
  <si>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</si>
  <si>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</si>
  <si>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</si>
  <si>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</si>
  <si>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</si>
  <si>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</si>
  <si>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</si>
  <si>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</si>
  <si>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</si>
  <si>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</si>
  <si>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</si>
  <si>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</si>
  <si>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</si>
  <si>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</si>
  <si>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</si>
  <si>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</si>
  <si>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</si>
  <si>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</si>
  <si>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</si>
  <si>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</si>
  <si>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</si>
  <si>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</si>
  <si>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</si>
  <si>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</si>
  <si>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</si>
  <si>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</si>
  <si>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</si>
  <si>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</si>
  <si>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</si>
  <si>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</si>
  <si>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</si>
  <si>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</si>
  <si>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</si>
  <si>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</si>
  <si>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</si>
  <si>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</si>
  <si>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</si>
  <si>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</si>
  <si>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</si>
  <si>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</si>
  <si>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</si>
  <si>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</si>
  <si>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</si>
  <si>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</si>
  <si>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</si>
  <si>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</si>
  <si>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</si>
  <si>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</si>
  <si>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</si>
  <si>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</si>
  <si>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</si>
  <si>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</si>
  <si>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</si>
  <si>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</si>
  <si>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</si>
  <si>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</si>
  <si>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</si>
  <si>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</si>
  <si>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</si>
  <si>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</si>
  <si>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</si>
  <si>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</si>
  <si>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</si>
  <si>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</si>
  <si>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</si>
  <si>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</si>
  <si>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</si>
  <si>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</si>
  <si>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</si>
  <si>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</si>
  <si>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</si>
  <si>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</si>
  <si>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</si>
  <si>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</si>
  <si>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</si>
  <si>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</si>
  <si>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</si>
  <si>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</si>
  <si>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</si>
  <si>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</si>
  <si>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</si>
  <si>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</si>
  <si>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</si>
  <si>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</si>
  <si>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</si>
  <si>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</si>
  <si>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</si>
  <si>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</si>
  <si>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</si>
  <si>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</si>
  <si>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</si>
  <si>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</si>
  <si>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</si>
  <si>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</si>
  <si>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</si>
  <si>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</si>
  <si>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</si>
  <si>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</si>
  <si>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</si>
  <si>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</si>
  <si>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</si>
  <si>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</si>
  <si>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</si>
  <si>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</si>
  <si>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</si>
  <si>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</si>
  <si>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</si>
  <si>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</si>
  <si>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</si>
  <si>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</si>
  <si>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</si>
  <si>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</si>
  <si>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</si>
  <si>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</si>
  <si>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</si>
  <si>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</si>
  <si>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</si>
  <si>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</si>
  <si>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</si>
  <si>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</si>
  <si>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</si>
  <si>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</si>
  <si>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</si>
  <si>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</si>
  <si>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</si>
  <si>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</si>
  <si>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</si>
  <si>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</si>
  <si>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</si>
  <si>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</si>
  <si>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</si>
  <si>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</si>
  <si>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</si>
  <si>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</si>
  <si>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</si>
  <si>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</si>
  <si>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</si>
  <si>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</si>
  <si>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</si>
  <si>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</si>
  <si>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</si>
  <si>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</si>
  <si>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</si>
  <si>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</si>
  <si>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</si>
  <si>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</si>
  <si>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</si>
  <si>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</si>
  <si>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</si>
  <si>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</si>
  <si>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</si>
  <si>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</si>
  <si>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</si>
  <si>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</si>
  <si>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</si>
  <si>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</si>
  <si>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</si>
  <si>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</si>
  <si>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</si>
  <si>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</si>
  <si>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</si>
  <si>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</si>
  <si>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</si>
  <si>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</si>
  <si>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</si>
  <si>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</si>
  <si>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</si>
  <si>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</si>
  <si>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</si>
  <si>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</si>
  <si>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</si>
  <si>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</si>
  <si>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</si>
  <si>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</si>
  <si>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</si>
  <si>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</si>
  <si>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</si>
  <si>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</si>
  <si>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</si>
  <si>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</si>
  <si>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</si>
  <si>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</si>
  <si>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</si>
  <si>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</si>
  <si>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</si>
  <si>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</si>
  <si>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</si>
  <si>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</si>
  <si>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</si>
  <si>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</si>
  <si>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</si>
  <si>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</si>
  <si>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</si>
  <si>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</si>
  <si>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</si>
  <si>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</si>
  <si>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</si>
  <si>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</si>
  <si>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</si>
  <si>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</si>
  <si>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</si>
  <si>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</si>
  <si>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</si>
  <si>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</si>
  <si>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</si>
  <si>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</si>
  <si>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</si>
  <si>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</si>
  <si>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</si>
  <si>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</si>
  <si>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</si>
  <si>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</si>
  <si>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</si>
  <si>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</si>
  <si>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</si>
  <si>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</si>
  <si>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</si>
  <si>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</si>
  <si>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</si>
  <si>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</si>
  <si>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</si>
  <si>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</si>
  <si>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</si>
  <si>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</si>
  <si>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</si>
  <si>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</si>
  <si>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</si>
  <si>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</si>
  <si>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</si>
  <si>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</si>
  <si>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</si>
  <si>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</si>
  <si>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</si>
  <si>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</si>
  <si>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</si>
  <si>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</si>
  <si>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</si>
  <si>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</si>
  <si>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</si>
  <si>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</si>
  <si>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</si>
  <si>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</si>
  <si>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</si>
  <si>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</si>
  <si>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</si>
  <si>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</si>
  <si>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</si>
  <si>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</si>
  <si>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</si>
  <si>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</si>
  <si>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</si>
  <si>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</si>
  <si>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</si>
  <si>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</si>
  <si>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</si>
  <si>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</si>
  <si>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</si>
  <si>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</si>
  <si>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</si>
  <si>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</si>
  <si>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</si>
  <si>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</si>
  <si>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</si>
  <si>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</si>
  <si>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</si>
  <si>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</si>
  <si>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</si>
  <si>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</si>
  <si>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</si>
  <si>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</si>
  <si>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</si>
  <si>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</si>
  <si>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</si>
  <si>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</si>
  <si>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</si>
  <si>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</si>
  <si>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</si>
  <si>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</si>
  <si>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</si>
  <si>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</si>
  <si>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</si>
  <si>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</si>
  <si>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</si>
  <si>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</si>
  <si>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</si>
  <si>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</si>
  <si>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</si>
  <si>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</si>
  <si>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</si>
  <si>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</si>
  <si>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</si>
  <si>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</si>
  <si>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</si>
  <si>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</si>
  <si>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</si>
  <si>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</si>
  <si>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</si>
  <si>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</si>
  <si>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</si>
  <si>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</si>
  <si>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</si>
  <si>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</si>
  <si>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</si>
  <si>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</si>
  <si>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</si>
  <si>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</si>
  <si>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</si>
  <si>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</si>
  <si>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</si>
  <si>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</si>
  <si>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</si>
  <si>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</si>
  <si>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</si>
  <si>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</si>
  <si>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</si>
  <si>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</si>
  <si>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</si>
  <si>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</si>
  <si>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</si>
  <si>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</si>
  <si>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</si>
  <si>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</si>
  <si>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</si>
  <si>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</si>
  <si>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</si>
  <si>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</si>
  <si>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</si>
  <si>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</si>
  <si>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</si>
  <si>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</si>
  <si>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</si>
  <si>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</si>
  <si>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</si>
  <si>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</si>
  <si>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</si>
  <si>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</si>
  <si>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</si>
  <si>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</si>
  <si>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</si>
  <si>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</si>
  <si>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</si>
  <si>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</si>
  <si>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</si>
  <si>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</si>
  <si>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</si>
  <si>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</si>
  <si>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</si>
  <si>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</si>
  <si>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</si>
  <si>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</si>
  <si>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</si>
  <si>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</si>
  <si>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</si>
  <si>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</si>
  <si>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</si>
  <si>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</si>
  <si>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</si>
  <si>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</si>
  <si>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</si>
  <si>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</si>
  <si>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</si>
  <si>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</si>
  <si>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</si>
  <si>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</si>
  <si>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</si>
  <si>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</si>
  <si>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</si>
  <si>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</si>
  <si>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</si>
  <si>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</si>
  <si>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</si>
  <si>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</si>
  <si>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</si>
  <si>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</si>
  <si>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</si>
  <si>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</si>
  <si>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</si>
  <si>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</si>
  <si>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</si>
  <si>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</si>
  <si>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</si>
  <si>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</si>
  <si>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</si>
  <si>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</si>
  <si>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</si>
  <si>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</si>
  <si>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</si>
  <si>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</si>
  <si>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</si>
  <si>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</si>
  <si>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</si>
  <si>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</si>
  <si>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</si>
  <si>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</si>
  <si>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</si>
  <si>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</si>
  <si>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</si>
  <si>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</si>
  <si>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</si>
  <si>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</si>
  <si>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</si>
  <si>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</si>
  <si>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</si>
  <si>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</si>
  <si>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</si>
  <si>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</si>
  <si>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</si>
  <si>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</si>
  <si>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</si>
  <si>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</si>
  <si>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</si>
  <si>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</si>
  <si>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</si>
  <si>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</si>
  <si>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</si>
  <si>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</si>
  <si>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</si>
  <si>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</si>
  <si>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</si>
  <si>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</si>
  <si>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</si>
  <si>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</si>
  <si>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</si>
  <si>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</si>
  <si>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</si>
  <si>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</si>
  <si>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</si>
  <si>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</si>
  <si>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</si>
  <si>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</si>
  <si>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</si>
  <si>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</si>
  <si>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</si>
  <si>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</si>
  <si>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</si>
  <si>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</si>
  <si>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</si>
  <si>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</si>
  <si>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</si>
  <si>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</si>
  <si>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</si>
  <si>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</si>
  <si>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</si>
  <si>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</si>
  <si>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</si>
  <si>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</si>
  <si>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</si>
  <si>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</si>
  <si>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</si>
  <si>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</si>
  <si>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</si>
  <si>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</si>
  <si>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</si>
  <si>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</si>
  <si>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</si>
  <si>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</si>
  <si>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</si>
  <si>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</si>
  <si>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</si>
  <si>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</si>
  <si>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</si>
  <si>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</si>
  <si>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</si>
  <si>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</si>
  <si>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</si>
  <si>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</si>
  <si>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</si>
  <si>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</si>
  <si>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</si>
  <si>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</si>
  <si>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</si>
  <si>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</si>
  <si>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</si>
  <si>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</si>
  <si>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</si>
  <si>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</si>
  <si>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</si>
  <si>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</si>
  <si>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</si>
  <si>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</si>
  <si>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</si>
  <si>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</si>
  <si>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</si>
  <si>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</si>
  <si>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</si>
  <si>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</si>
  <si>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</si>
  <si>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</si>
  <si>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</si>
  <si>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</si>
  <si>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</si>
  <si>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</si>
  <si>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</si>
  <si>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</si>
  <si>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</si>
  <si>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</si>
  <si>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</si>
  <si>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</si>
  <si>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</si>
  <si>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</si>
  <si>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</si>
  <si>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</si>
  <si>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</si>
  <si>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</si>
  <si>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</si>
  <si>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</si>
  <si>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</si>
  <si>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</si>
  <si>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</si>
  <si>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</si>
  <si>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</si>
  <si>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</si>
  <si>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</si>
  <si>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</si>
  <si>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</si>
  <si>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</si>
  <si>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</si>
  <si>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</si>
  <si>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</si>
  <si>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</si>
  <si>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</si>
  <si>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</si>
  <si>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</si>
  <si>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</si>
  <si>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</si>
  <si>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</si>
  <si>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</si>
  <si>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</si>
  <si>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</si>
  <si>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</si>
  <si>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</si>
  <si>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</si>
  <si>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</si>
  <si>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</si>
  <si>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</si>
  <si>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</si>
  <si>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</si>
  <si>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</si>
  <si>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</si>
  <si>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</si>
  <si>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</si>
  <si>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</si>
  <si>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</si>
  <si>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</si>
  <si>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</si>
  <si>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</si>
  <si>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</si>
  <si>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</si>
  <si>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</si>
  <si>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</si>
  <si>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</si>
  <si>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</si>
  <si>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</si>
  <si>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</si>
  <si>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</si>
  <si>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</si>
  <si>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</si>
  <si>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</si>
  <si>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</si>
  <si>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</si>
  <si>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</si>
  <si>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</si>
  <si>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</si>
  <si>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</si>
  <si>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</si>
  <si>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</si>
  <si>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</si>
  <si>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</si>
  <si>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</si>
  <si>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</si>
  <si>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</si>
  <si>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</si>
  <si>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</si>
  <si>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</si>
  <si>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</si>
  <si>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</si>
  <si>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</si>
  <si>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</si>
  <si>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</si>
  <si>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</si>
  <si>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</si>
  <si>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</si>
  <si>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</si>
  <si>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</si>
  <si>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</si>
  <si>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</si>
  <si>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</si>
  <si>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</si>
  <si>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</si>
  <si>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</si>
  <si>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</si>
  <si>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</si>
  <si>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</si>
  <si>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</si>
  <si>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</si>
  <si>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</si>
  <si>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</si>
  <si>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</si>
  <si>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</si>
  <si>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</si>
  <si>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</si>
  <si>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</si>
  <si>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</si>
  <si>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</si>
  <si>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</si>
  <si>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</si>
  <si>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</si>
  <si>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</si>
  <si>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</si>
  <si>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</si>
  <si>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</si>
  <si>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</si>
  <si>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</si>
  <si>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</si>
  <si>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</si>
  <si>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</si>
  <si>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</si>
  <si>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</si>
  <si>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</si>
  <si>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</si>
  <si>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</si>
  <si>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</si>
  <si>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</si>
  <si>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</si>
  <si>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</si>
  <si>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</si>
  <si>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</si>
  <si>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</si>
  <si>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</si>
  <si>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</si>
  <si>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</si>
  <si>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</si>
  <si>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</si>
  <si>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</si>
  <si>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</si>
  <si>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</si>
  <si>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</si>
  <si>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</si>
  <si>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</si>
  <si>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</si>
  <si>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</si>
  <si>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</si>
  <si>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</si>
  <si>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</si>
  <si>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</si>
  <si>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</si>
  <si>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</si>
  <si>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</si>
  <si>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</si>
  <si>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</si>
  <si>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</si>
  <si>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</si>
  <si>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</si>
  <si>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</si>
  <si>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</si>
  <si>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</si>
  <si>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</si>
  <si>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</si>
  <si>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</si>
  <si>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</si>
  <si>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</si>
  <si>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</si>
  <si>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</si>
  <si>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</si>
  <si>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</si>
  <si>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</si>
  <si>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</si>
  <si>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</si>
  <si>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</si>
  <si>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</si>
  <si>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</si>
  <si>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</si>
  <si>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</si>
  <si>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</si>
  <si>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</si>
  <si>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</si>
  <si>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</si>
  <si>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</si>
  <si>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</si>
  <si>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</si>
  <si>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</si>
  <si>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</si>
  <si>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</si>
  <si>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</si>
  <si>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</si>
  <si>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</si>
  <si>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</si>
  <si>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</si>
  <si>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</si>
  <si>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</si>
  <si>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</si>
  <si>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</si>
  <si>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</si>
  <si>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</si>
  <si>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</si>
  <si>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</si>
  <si>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</si>
  <si>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</si>
  <si>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</si>
  <si>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</si>
  <si>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</si>
  <si>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</si>
  <si>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</si>
  <si>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</si>
  <si>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</si>
  <si>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</si>
  <si>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</si>
  <si>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</si>
  <si>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</si>
  <si>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</si>
  <si>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</si>
  <si>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</si>
  <si>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</si>
  <si>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</si>
  <si>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</si>
  <si>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</si>
  <si>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</si>
  <si>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</si>
  <si>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</si>
  <si>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</si>
  <si>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</si>
  <si>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</si>
  <si>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</si>
  <si>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</si>
  <si>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</si>
  <si>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</si>
  <si>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</si>
  <si>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</si>
  <si>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</si>
  <si>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</si>
  <si>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</si>
  <si>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</si>
  <si>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</si>
  <si>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</si>
  <si>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</si>
  <si>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</si>
  <si>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</si>
  <si>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</si>
  <si>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</si>
  <si>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</si>
  <si>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</si>
  <si>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</si>
  <si>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</si>
  <si>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</si>
  <si>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</si>
  <si>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</si>
  <si>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</si>
  <si>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</si>
  <si>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</si>
  <si>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</si>
  <si>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</si>
  <si>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</si>
  <si>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</si>
  <si>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</si>
  <si>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</si>
  <si>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</si>
  <si>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</si>
  <si>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</si>
  <si>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</si>
  <si>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</si>
  <si>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</si>
  <si>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</si>
  <si>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</si>
  <si>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</si>
  <si>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</si>
  <si>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</si>
  <si>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</si>
  <si>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</si>
  <si>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</si>
  <si>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</si>
  <si>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</si>
  <si>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</si>
  <si>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</si>
  <si>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</si>
  <si>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</si>
  <si>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</si>
  <si>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</si>
  <si>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</si>
  <si>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</si>
  <si>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</si>
  <si>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</si>
  <si>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</si>
  <si>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</si>
  <si>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</si>
  <si>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</si>
  <si>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</si>
  <si>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</si>
  <si>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</si>
  <si>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</si>
  <si>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</si>
  <si>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</si>
  <si>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</si>
  <si>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</si>
  <si>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</si>
  <si>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</si>
  <si>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</si>
  <si>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</si>
  <si>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</si>
  <si>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</si>
  <si>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</si>
  <si>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</si>
  <si>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</si>
  <si>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</si>
  <si>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</si>
  <si>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</si>
  <si>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</si>
  <si>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</si>
  <si>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</si>
  <si>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</si>
  <si>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</si>
  <si>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</si>
  <si>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</si>
  <si>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</si>
  <si>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</si>
  <si>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</si>
  <si>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</si>
  <si>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</si>
  <si>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</si>
  <si>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</si>
  <si>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</si>
  <si>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</si>
  <si>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</si>
  <si>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</si>
  <si>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</si>
  <si>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</si>
  <si>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</si>
  <si>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</si>
  <si>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</si>
  <si>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</si>
  <si>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</si>
  <si>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</si>
  <si>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</si>
  <si>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</si>
  <si>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</si>
  <si>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</si>
  <si>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</si>
  <si>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</si>
  <si>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</si>
  <si>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</si>
  <si>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</si>
  <si>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</si>
  <si>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</si>
  <si>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</si>
  <si>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</si>
  <si>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</si>
  <si>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</si>
  <si>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</si>
  <si>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</si>
  <si>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</si>
  <si>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</si>
  <si>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</si>
  <si>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</si>
  <si>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</si>
  <si>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</si>
  <si>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</si>
  <si>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</si>
  <si>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</si>
  <si>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</si>
  <si>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</si>
  <si>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</si>
  <si>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</si>
  <si>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</si>
  <si>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</si>
  <si>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</si>
  <si>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</si>
  <si>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</si>
  <si>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</si>
  <si>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</si>
  <si>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</si>
  <si>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</si>
  <si>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</si>
  <si>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</si>
  <si>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</si>
  <si>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</si>
  <si>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</si>
  <si>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</si>
  <si>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</si>
  <si>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</si>
  <si>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</si>
  <si>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</si>
  <si>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</si>
  <si>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</si>
  <si>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</si>
  <si>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</si>
  <si>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</si>
  <si>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</si>
  <si>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</si>
  <si>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</si>
  <si>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</si>
  <si>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</si>
  <si>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</si>
  <si>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</si>
  <si>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</si>
  <si>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</si>
  <si>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</si>
  <si>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</si>
  <si>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</si>
  <si>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</si>
  <si>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</si>
  <si>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</si>
  <si>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</si>
  <si>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</si>
  <si>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</si>
  <si>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</si>
  <si>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</si>
  <si>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</si>
  <si>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</si>
  <si>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</si>
  <si>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</si>
  <si>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</si>
  <si>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</si>
  <si>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</si>
  <si>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</si>
  <si>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</si>
  <si>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</si>
  <si>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</si>
  <si>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</si>
  <si>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</si>
  <si>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</si>
  <si>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</si>
  <si>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</si>
  <si>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</si>
  <si>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</si>
  <si>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</si>
  <si>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</si>
  <si>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</si>
  <si>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</si>
  <si>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</si>
  <si>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</si>
  <si>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</si>
  <si>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</si>
  <si>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</si>
  <si>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</si>
  <si>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</si>
  <si>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</si>
  <si>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</si>
  <si>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</si>
  <si>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</si>
  <si>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</si>
  <si>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</si>
  <si>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</si>
  <si>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</si>
  <si>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</si>
  <si>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</si>
  <si>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</si>
  <si>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</si>
  <si>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</si>
  <si>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</si>
  <si>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</si>
  <si>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</si>
  <si>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</si>
  <si>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</si>
  <si>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</si>
  <si>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</si>
  <si>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</si>
  <si>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</si>
  <si>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</si>
  <si>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</si>
  <si>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</si>
  <si>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</si>
  <si>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</si>
  <si>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</si>
  <si>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</si>
  <si>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</si>
  <si>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</si>
  <si>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</si>
  <si>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</si>
  <si>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</si>
  <si>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</si>
  <si>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</si>
  <si>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</si>
  <si>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</si>
  <si>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</si>
  <si>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</si>
  <si>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</si>
  <si>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</si>
  <si>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</si>
  <si>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</si>
  <si>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</si>
  <si>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</si>
  <si>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</si>
  <si>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</si>
  <si>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</si>
  <si>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</si>
  <si>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</si>
  <si>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</si>
  <si>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</si>
  <si>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</si>
  <si>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</si>
  <si>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</si>
  <si>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</si>
  <si>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</si>
  <si>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</si>
  <si>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</si>
  <si>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</si>
  <si>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</si>
  <si>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</si>
  <si>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</si>
  <si>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</si>
  <si>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</si>
  <si>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</si>
  <si>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</si>
  <si>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</si>
  <si>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</si>
  <si>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</si>
  <si>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</si>
  <si>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</si>
  <si>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</si>
  <si>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</si>
  <si>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</si>
  <si>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</si>
  <si>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</si>
  <si>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</si>
  <si>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</si>
  <si>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</si>
  <si>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</si>
  <si>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</si>
  <si>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</si>
  <si>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</si>
  <si>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</si>
  <si>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</si>
  <si>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</si>
  <si>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</si>
  <si>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</si>
  <si>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</si>
  <si>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</si>
  <si>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</si>
  <si>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</si>
  <si>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</si>
  <si>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</si>
  <si>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</si>
  <si>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</si>
  <si>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</si>
  <si>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</si>
  <si>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</si>
  <si>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</si>
  <si>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</si>
  <si>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</si>
  <si>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</si>
  <si>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</si>
  <si>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</si>
  <si>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</si>
  <si>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</si>
  <si>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</si>
  <si>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</si>
  <si>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</si>
  <si>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</si>
  <si>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</si>
  <si>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</si>
  <si>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</si>
  <si>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</si>
  <si>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</si>
  <si>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</si>
  <si>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</si>
  <si>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</si>
  <si>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</si>
  <si>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</si>
  <si>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</si>
  <si>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</si>
  <si>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</si>
  <si>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</si>
  <si>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</si>
  <si>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</si>
  <si>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</si>
  <si>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</si>
  <si>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</si>
  <si>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</si>
  <si>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</si>
  <si>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</si>
  <si>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</si>
  <si>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</si>
  <si>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</si>
  <si>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</si>
  <si>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</si>
  <si>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</si>
  <si>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</si>
  <si>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</si>
  <si>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</si>
  <si>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</si>
  <si>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</si>
  <si>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</si>
  <si>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</si>
  <si>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</si>
  <si>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</si>
  <si>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</si>
  <si>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</si>
  <si>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</si>
  <si>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</si>
  <si>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</si>
  <si>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</si>
  <si>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</si>
  <si>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</si>
  <si>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</si>
  <si>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</si>
  <si>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</si>
  <si>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</si>
  <si>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</si>
  <si>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</si>
  <si>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</si>
  <si>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</si>
  <si>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</si>
  <si>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</si>
  <si>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</si>
  <si>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</si>
  <si>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</si>
  <si>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</si>
  <si>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</si>
  <si>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</si>
  <si>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</si>
  <si>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</si>
  <si>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</si>
  <si>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</si>
  <si>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</si>
  <si>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</si>
  <si>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</si>
  <si>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</si>
  <si>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</si>
  <si>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</si>
  <si>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</si>
  <si>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</si>
  <si>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</si>
  <si>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</si>
  <si>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</si>
  <si>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</si>
  <si>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</si>
  <si>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</si>
  <si>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</si>
  <si>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</si>
  <si>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</si>
  <si>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</si>
  <si>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</si>
  <si>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</si>
  <si>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</si>
  <si>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</si>
  <si>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</si>
  <si>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</si>
  <si>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</si>
  <si>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</si>
  <si>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</si>
  <si>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</si>
  <si>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</si>
  <si>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</si>
  <si>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</si>
  <si>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</si>
  <si>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</si>
  <si>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</si>
  <si>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</si>
  <si>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</si>
  <si>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</si>
  <si>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</si>
  <si>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</si>
  <si>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</si>
  <si>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</si>
  <si>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</si>
  <si>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</si>
  <si>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</si>
  <si>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</si>
  <si>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</si>
  <si>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</si>
  <si>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</si>
  <si>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</si>
  <si>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</si>
  <si>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</si>
  <si>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</si>
  <si>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</si>
  <si>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</si>
  <si>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</si>
  <si>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</si>
  <si>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</si>
  <si>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</si>
  <si>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</si>
  <si>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</si>
  <si>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</si>
  <si>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</si>
  <si>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</si>
  <si>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</si>
  <si>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</si>
  <si>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</si>
  <si>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</si>
  <si>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</si>
  <si>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</si>
  <si>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</si>
  <si>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</si>
  <si>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</si>
  <si>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</si>
  <si>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</si>
  <si>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</si>
  <si>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</si>
  <si>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</si>
  <si>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</si>
  <si>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</si>
  <si>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</si>
  <si>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</si>
  <si>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</si>
  <si>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</si>
  <si>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</si>
  <si>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</si>
  <si>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</si>
  <si>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</si>
  <si>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</si>
  <si>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</si>
  <si>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</si>
  <si>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</si>
  <si>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</si>
  <si>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</si>
  <si>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</si>
  <si>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</si>
  <si>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</si>
  <si>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</si>
  <si>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</si>
  <si>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</si>
  <si>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</si>
  <si>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</si>
  <si>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</si>
  <si>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</si>
  <si>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</si>
  <si>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</si>
  <si>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</si>
  <si>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</si>
  <si>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</si>
  <si>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</si>
  <si>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</si>
  <si>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</si>
  <si>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</si>
  <si>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</si>
  <si>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</si>
  <si>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</si>
  <si>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</si>
  <si>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</si>
  <si>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</si>
  <si>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</si>
  <si>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</si>
  <si>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</si>
  <si>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</si>
  <si>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</si>
  <si>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</si>
  <si>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</si>
  <si>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</si>
  <si>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</si>
  <si>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</si>
  <si>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</si>
  <si>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</si>
  <si>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</si>
  <si>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</si>
  <si>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</si>
  <si>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</si>
  <si>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</si>
  <si>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</si>
  <si>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</si>
  <si>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</si>
  <si>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</si>
  <si>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</si>
  <si>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</si>
  <si>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</si>
  <si>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</si>
  <si>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</si>
  <si>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</si>
  <si>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</si>
  <si>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</si>
  <si>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</si>
  <si>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</si>
  <si>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</si>
  <si>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</si>
  <si>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</si>
  <si>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</si>
  <si>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</si>
  <si>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</si>
  <si>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</si>
  <si>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</si>
  <si>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</si>
  <si>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</si>
  <si>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</si>
  <si>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</si>
  <si>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</si>
  <si>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</si>
  <si>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</si>
  <si>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</si>
  <si>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</si>
  <si>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</si>
  <si>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</si>
  <si>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</si>
  <si>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</si>
  <si>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</si>
  <si>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</si>
  <si>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</si>
  <si>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</si>
  <si>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</si>
  <si>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</si>
  <si>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</si>
  <si>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</si>
  <si>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</si>
  <si>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</si>
  <si>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</si>
  <si>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</si>
  <si>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</si>
  <si>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</si>
  <si>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</si>
  <si>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</si>
  <si>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</si>
  <si>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</si>
  <si>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</si>
  <si>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</si>
  <si>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</si>
  <si>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</si>
  <si>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</si>
  <si>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</si>
  <si>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</si>
  <si>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</si>
  <si>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</si>
  <si>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</si>
  <si>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</si>
  <si>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</si>
  <si>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</si>
  <si>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</si>
  <si>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</si>
  <si>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</si>
  <si>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</si>
  <si>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</si>
  <si>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</si>
  <si>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</si>
  <si>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</si>
  <si>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</si>
  <si>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</si>
  <si>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</si>
  <si>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</si>
  <si>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</si>
  <si>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</si>
  <si>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</si>
  <si>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</si>
  <si>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</si>
  <si>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</si>
  <si>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</si>
  <si>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</si>
  <si>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</si>
  <si>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</si>
  <si>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</si>
  <si>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</si>
  <si>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</si>
  <si>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</si>
  <si>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</si>
  <si>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</si>
  <si>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</si>
  <si>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</si>
  <si>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</si>
  <si>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</si>
  <si>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</si>
  <si>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</si>
  <si>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</si>
  <si>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</si>
  <si>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</si>
  <si>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</si>
  <si>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</si>
  <si>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</si>
  <si>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</si>
  <si>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</si>
  <si>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</si>
  <si>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</si>
  <si>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</si>
  <si>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</si>
  <si>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</si>
  <si>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</si>
  <si>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</si>
  <si>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</si>
  <si>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</si>
  <si>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</si>
  <si>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</si>
  <si>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</si>
  <si>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</si>
  <si>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</si>
  <si>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</si>
  <si>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</si>
  <si>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</si>
  <si>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</si>
  <si>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</si>
  <si>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</si>
  <si>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</si>
  <si>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</si>
  <si>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</si>
  <si>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</si>
  <si>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</si>
  <si>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</si>
  <si>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</si>
  <si>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</si>
  <si>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</si>
  <si>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</si>
  <si>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</si>
  <si>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</si>
  <si>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</si>
  <si>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</si>
  <si>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</si>
  <si>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</si>
  <si>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</si>
  <si>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</si>
  <si>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</si>
  <si>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</si>
  <si>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</si>
  <si>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</si>
  <si>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</si>
  <si>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</si>
  <si>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</si>
  <si>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</si>
  <si>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</si>
  <si>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</si>
  <si>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</si>
  <si>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</si>
  <si>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</si>
  <si>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</si>
  <si>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</si>
  <si>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</si>
  <si>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</si>
  <si>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</si>
  <si>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</si>
  <si>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</si>
  <si>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</si>
  <si>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</si>
  <si>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</si>
  <si>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</si>
  <si>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</si>
  <si>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</si>
  <si>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</si>
  <si>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</si>
  <si>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</si>
  <si>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</si>
  <si>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</si>
  <si>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</si>
  <si>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</si>
  <si>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</si>
  <si>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</si>
  <si>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</si>
  <si>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</si>
  <si>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</si>
  <si>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</si>
  <si>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</si>
  <si>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</si>
  <si>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</si>
  <si>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</si>
  <si>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</si>
  <si>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</si>
  <si>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</si>
  <si>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</si>
  <si>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</si>
  <si>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</si>
  <si>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</si>
  <si>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</si>
  <si>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</si>
  <si>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</si>
  <si>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</si>
  <si>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</si>
  <si>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</si>
  <si>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</si>
  <si>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</si>
  <si>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</si>
  <si>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</si>
  <si>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</si>
  <si>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</si>
  <si>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</si>
  <si>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</si>
  <si>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</si>
  <si>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</si>
  <si>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</si>
  <si>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</si>
  <si>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</si>
  <si>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</si>
  <si>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</si>
  <si>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</si>
  <si>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</si>
  <si>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</si>
  <si>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</si>
  <si>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</si>
  <si>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</si>
  <si>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</si>
  <si>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</si>
  <si>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</si>
  <si>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</si>
  <si>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</si>
  <si>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</si>
  <si>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</si>
  <si>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</si>
  <si>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</si>
  <si>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</si>
  <si>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</si>
  <si>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</si>
  <si>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</si>
  <si>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</si>
  <si>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</si>
  <si>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</si>
  <si>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</si>
  <si>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</si>
  <si>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</si>
  <si>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</si>
  <si>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</si>
  <si>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</si>
  <si>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</si>
  <si>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</si>
  <si>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</si>
  <si>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</si>
  <si>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</si>
  <si>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</si>
  <si>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</si>
  <si>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</si>
  <si>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</si>
  <si>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</si>
  <si>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</si>
  <si>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</si>
  <si>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</si>
  <si>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</si>
  <si>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</si>
  <si>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</si>
  <si>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</si>
  <si>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</si>
  <si>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</si>
  <si>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</si>
  <si>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</si>
  <si>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</si>
  <si>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</si>
  <si>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</si>
  <si>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</si>
  <si>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</si>
  <si>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</si>
  <si>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</si>
  <si>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</si>
  <si>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</si>
  <si>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</si>
  <si>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</si>
  <si>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</si>
  <si>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</si>
  <si>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</si>
  <si>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</si>
  <si>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</si>
  <si>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</si>
  <si>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</si>
  <si>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</si>
  <si>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</si>
  <si>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</si>
  <si>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</si>
  <si>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</si>
  <si>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</si>
  <si>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</si>
  <si>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</si>
  <si>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</si>
  <si>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</si>
  <si>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</si>
  <si>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</si>
  <si>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</si>
  <si>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</si>
  <si>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</si>
  <si>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</si>
  <si>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</si>
  <si>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</si>
  <si>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</si>
  <si>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</si>
  <si>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</si>
  <si>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</si>
  <si>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</si>
  <si>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</si>
  <si>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</si>
  <si>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</si>
  <si>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</si>
  <si>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</si>
  <si>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</si>
  <si>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</si>
  <si>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</si>
  <si>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</si>
  <si>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</si>
  <si>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</si>
  <si>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</si>
  <si>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</si>
  <si>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</si>
  <si>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</si>
  <si>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</si>
  <si>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</si>
  <si>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</si>
  <si>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</si>
  <si>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</si>
  <si>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</si>
  <si>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</si>
  <si>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</si>
  <si>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</si>
  <si>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</si>
  <si>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</si>
  <si>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</si>
  <si>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</si>
  <si>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</si>
  <si>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</si>
  <si>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</si>
  <si>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</si>
  <si>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</si>
  <si>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</si>
  <si>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</si>
  <si>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</si>
  <si>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</si>
  <si>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</si>
  <si>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</si>
  <si>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</si>
  <si>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</si>
  <si>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</si>
  <si>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</si>
  <si>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</si>
  <si>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</si>
  <si>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</si>
  <si>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</si>
  <si>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</si>
  <si>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</si>
  <si>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</si>
  <si>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</si>
  <si>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</si>
  <si>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</si>
  <si>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</si>
  <si>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</si>
  <si>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</si>
  <si>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</si>
  <si>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</si>
  <si>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</si>
  <si>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</si>
  <si>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</si>
  <si>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</si>
  <si>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</si>
  <si>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</si>
  <si>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</si>
  <si>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</si>
  <si>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</si>
  <si>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</si>
  <si>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</si>
  <si>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</si>
  <si>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</si>
  <si>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</si>
  <si>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</si>
  <si>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</si>
  <si>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</si>
  <si>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</si>
  <si>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</si>
  <si>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</si>
  <si>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</si>
  <si>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</si>
  <si>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</si>
  <si>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</si>
  <si>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</si>
  <si>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</si>
  <si>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</si>
  <si>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</si>
  <si>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</si>
  <si>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</si>
  <si>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</si>
  <si>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</si>
  <si>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</si>
  <si>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</si>
  <si>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</si>
  <si>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</si>
  <si>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</si>
  <si>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</si>
  <si>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</si>
  <si>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</si>
  <si>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</si>
  <si>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</si>
  <si>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</si>
  <si>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</si>
  <si>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</si>
  <si>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</si>
  <si>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</si>
  <si>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</si>
  <si>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</si>
  <si>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</si>
  <si>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</si>
  <si>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</si>
  <si>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</si>
  <si>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</si>
  <si>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</si>
  <si>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</si>
  <si>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</si>
  <si>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</si>
  <si>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</si>
  <si>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</si>
  <si>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</si>
  <si>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</si>
  <si>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</si>
  <si>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</si>
  <si>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</si>
  <si>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</si>
  <si>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</si>
  <si>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</si>
  <si>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</si>
  <si>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</si>
  <si>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</si>
  <si>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</si>
  <si>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</si>
  <si>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</si>
  <si>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</si>
  <si>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</si>
  <si>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</si>
  <si>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</si>
  <si>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</si>
  <si>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</si>
  <si>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</si>
  <si>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</si>
  <si>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</si>
  <si>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</si>
  <si>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</si>
  <si>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</si>
  <si>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</si>
  <si>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</si>
  <si>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</si>
  <si>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</si>
  <si>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</si>
  <si>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</si>
  <si>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</si>
  <si>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</si>
  <si>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</si>
  <si>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</si>
  <si>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</si>
  <si>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</si>
  <si>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</si>
  <si>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</si>
  <si>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</si>
  <si>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</si>
  <si>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</si>
  <si>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</si>
  <si>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</si>
  <si>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</si>
  <si>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</si>
  <si>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</si>
  <si>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</si>
  <si>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</si>
  <si>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</si>
  <si>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</si>
  <si>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</si>
  <si>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</si>
  <si>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</si>
  <si>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</si>
  <si>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</si>
  <si>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</si>
  <si>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</si>
  <si>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</si>
  <si>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</si>
  <si>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</si>
  <si>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</si>
  <si>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</si>
  <si>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</si>
  <si>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</si>
  <si>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</si>
  <si>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</si>
  <si>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</si>
  <si>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</si>
  <si>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</si>
  <si>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</si>
  <si>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</si>
  <si>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</si>
  <si>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</si>
  <si>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</si>
  <si>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</si>
  <si>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</si>
  <si>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</si>
  <si>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</si>
  <si>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</si>
  <si>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</si>
  <si>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</si>
  <si>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</si>
  <si>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</si>
  <si>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</si>
  <si>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</si>
  <si>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</si>
  <si>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</si>
  <si>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</si>
  <si>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</si>
  <si>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</si>
  <si>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</si>
  <si>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</si>
  <si>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</si>
  <si>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</si>
  <si>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</si>
  <si>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</si>
  <si>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</si>
  <si>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</si>
  <si>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</si>
  <si>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</si>
  <si>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</si>
  <si>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</si>
  <si>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</si>
  <si>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</si>
  <si>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</si>
  <si>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</si>
  <si>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</si>
  <si>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</si>
  <si>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</si>
  <si>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</si>
  <si>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</si>
  <si>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</si>
  <si>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</si>
  <si>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</si>
  <si>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</si>
  <si>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</si>
  <si>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</si>
  <si>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</si>
  <si>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</si>
  <si>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</si>
  <si>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</si>
  <si>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</si>
  <si>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</si>
  <si>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</si>
  <si>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</si>
  <si>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</si>
  <si>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</si>
  <si>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</si>
  <si>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</si>
  <si>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</si>
  <si>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</si>
  <si>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</si>
  <si>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</si>
  <si>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</si>
  <si>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</si>
  <si>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</si>
  <si>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</si>
  <si>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</si>
  <si>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</si>
  <si>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</si>
  <si>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</si>
  <si>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</si>
  <si>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</si>
  <si>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</si>
  <si>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</si>
  <si>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</si>
  <si>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</si>
  <si>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</si>
  <si>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</si>
  <si>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</si>
  <si>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</si>
  <si>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</si>
  <si>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</si>
  <si>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</si>
  <si>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</si>
  <si>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</si>
  <si>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</si>
  <si>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</si>
  <si>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</si>
  <si>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</si>
  <si>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</si>
  <si>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</si>
  <si>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</si>
  <si>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</si>
  <si>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</si>
  <si>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</si>
  <si>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</si>
  <si>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</si>
  <si>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</si>
  <si>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</si>
  <si>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</si>
  <si>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</si>
  <si>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</si>
  <si>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</si>
  <si>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</si>
  <si>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</si>
  <si>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</si>
  <si>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</si>
  <si>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</si>
  <si>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</si>
  <si>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</si>
  <si>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</si>
  <si>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</si>
  <si>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</si>
  <si>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</si>
  <si>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</si>
  <si>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</si>
  <si>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</si>
  <si>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</si>
  <si>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</si>
  <si>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</si>
  <si>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</si>
  <si>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</si>
  <si>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</si>
  <si>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</si>
  <si>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</si>
  <si>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</si>
  <si>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</si>
  <si>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</si>
  <si>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</si>
  <si>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</si>
  <si>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</si>
  <si>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</si>
  <si>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</si>
  <si>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</si>
  <si>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</si>
  <si>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</si>
  <si>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</si>
  <si>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</si>
  <si>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</si>
  <si>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</si>
  <si>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</si>
  <si>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</si>
  <si>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</si>
  <si>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</si>
  <si>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</si>
  <si>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</si>
  <si>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</si>
  <si>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</si>
  <si>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</si>
  <si>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</si>
  <si>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</si>
  <si>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</si>
  <si>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</si>
  <si>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</si>
  <si>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</si>
  <si>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</si>
  <si>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</si>
  <si>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</si>
  <si>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</si>
  <si>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</si>
  <si>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</si>
  <si>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</si>
  <si>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</si>
  <si>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</si>
  <si>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</si>
  <si>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</si>
  <si>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</si>
  <si>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</si>
  <si>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</si>
  <si>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</si>
  <si>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</si>
  <si>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</si>
  <si>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</si>
  <si>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</si>
  <si>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</si>
  <si>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</si>
  <si>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</si>
  <si>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</si>
  <si>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</si>
  <si>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</si>
  <si>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</si>
  <si>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</si>
  <si>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</si>
  <si>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</si>
  <si>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</si>
  <si>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</si>
  <si>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</si>
  <si>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</si>
  <si>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</si>
  <si>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</si>
  <si>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</si>
  <si>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</si>
  <si>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</si>
  <si>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</si>
  <si>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</si>
  <si>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</si>
  <si>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</si>
  <si>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</si>
  <si>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</si>
  <si>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</si>
  <si>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</si>
  <si>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</si>
  <si>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</si>
  <si>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</si>
  <si>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</si>
  <si>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</si>
  <si>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</si>
  <si>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</si>
  <si>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</si>
  <si>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</si>
  <si>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</si>
  <si>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</si>
  <si>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</si>
  <si>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</si>
  <si>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</si>
  <si>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</si>
  <si>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</si>
  <si>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</si>
  <si>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</si>
  <si>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</si>
  <si>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</si>
  <si>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</si>
  <si>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</si>
  <si>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</si>
  <si>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</si>
  <si>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</si>
  <si>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</si>
  <si>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</si>
  <si>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</si>
  <si>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</si>
  <si>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</si>
  <si>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</si>
  <si>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</si>
  <si>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</si>
  <si>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</si>
  <si>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</si>
  <si>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</si>
  <si>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</si>
  <si>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</si>
  <si>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</si>
  <si>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</si>
  <si>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</si>
  <si>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</si>
  <si>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</si>
  <si>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</si>
  <si>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</si>
  <si>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</si>
  <si>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</si>
  <si>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</si>
  <si>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</si>
  <si>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</si>
  <si>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</si>
  <si>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</si>
  <si>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</si>
  <si>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</si>
  <si>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</si>
  <si>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</si>
  <si>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</si>
  <si>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</si>
  <si>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</si>
  <si>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</si>
  <si>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</si>
  <si>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</si>
  <si>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</si>
  <si>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</si>
  <si>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</si>
  <si>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</si>
  <si>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</si>
  <si>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</si>
  <si>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</si>
  <si>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</si>
  <si>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</si>
  <si>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</si>
  <si>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</si>
  <si>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</si>
  <si>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</si>
  <si>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</si>
  <si>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</si>
  <si>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</si>
  <si>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</si>
  <si>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</si>
  <si>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</si>
  <si>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</si>
  <si>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</si>
  <si>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</si>
  <si>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</si>
  <si>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</si>
  <si>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</si>
  <si>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</si>
  <si>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</si>
  <si>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</si>
  <si>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</si>
  <si>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</si>
  <si>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</si>
  <si>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</si>
  <si>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</si>
  <si>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</si>
  <si>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</si>
  <si>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</si>
  <si>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</si>
  <si>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</si>
  <si>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</si>
  <si>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</si>
  <si>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</si>
  <si>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</si>
  <si>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</si>
  <si>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</si>
  <si>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</si>
  <si>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</si>
  <si>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</si>
  <si>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</si>
  <si>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</si>
  <si>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</si>
  <si>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</si>
  <si>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</si>
  <si>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</si>
  <si>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</si>
  <si>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</si>
  <si>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</si>
  <si>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</si>
  <si>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</si>
  <si>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</si>
  <si>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</si>
  <si>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</si>
  <si>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</si>
  <si>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</si>
  <si>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</si>
  <si>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</si>
  <si>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</si>
  <si>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</si>
  <si>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</si>
  <si>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</si>
  <si>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</si>
  <si>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</si>
  <si>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</si>
  <si>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</si>
  <si>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</si>
  <si>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</si>
  <si>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</si>
  <si>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</si>
  <si>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</si>
  <si>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</si>
  <si>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</si>
  <si>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</si>
  <si>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</si>
  <si>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</si>
  <si>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</si>
  <si>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</si>
  <si>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</si>
  <si>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</si>
  <si>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</si>
  <si>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</si>
  <si>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</si>
  <si>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</si>
  <si>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</si>
  <si>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</si>
  <si>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</si>
  <si>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</si>
  <si>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</si>
  <si>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</si>
  <si>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</si>
  <si>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</si>
  <si>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</si>
  <si>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</si>
  <si>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</si>
  <si>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</si>
  <si>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</si>
  <si>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</si>
  <si>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</si>
  <si>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</si>
  <si>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</si>
  <si>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</si>
  <si>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</si>
  <si>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</si>
  <si>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</si>
  <si>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</si>
  <si>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</si>
  <si>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</si>
  <si>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</si>
  <si>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</si>
  <si>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</si>
  <si>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</si>
  <si>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</si>
  <si>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</si>
  <si>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</si>
  <si>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</si>
  <si>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</si>
  <si>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</si>
  <si>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</si>
  <si>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</si>
  <si>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</si>
  <si>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</si>
  <si>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</si>
  <si>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</si>
  <si>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</si>
  <si>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</si>
  <si>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</si>
  <si>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</si>
  <si>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</si>
  <si>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</si>
  <si>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</si>
  <si>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</si>
  <si>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</si>
  <si>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</si>
  <si>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</si>
  <si>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</si>
  <si>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</si>
  <si>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</si>
  <si>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</si>
  <si>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</si>
  <si>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</si>
  <si>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</si>
  <si>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</si>
  <si>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</si>
  <si>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</si>
  <si>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</si>
  <si>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</si>
  <si>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</si>
  <si>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</si>
  <si>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</si>
  <si>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</si>
  <si>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</si>
  <si>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</si>
  <si>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</si>
  <si>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</si>
  <si>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</si>
  <si>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</si>
  <si>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</si>
  <si>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</si>
  <si>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</si>
  <si>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</si>
  <si>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</si>
  <si>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</si>
  <si>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</si>
  <si>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</si>
  <si>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</si>
  <si>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</si>
  <si>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</si>
  <si>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</si>
  <si>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</si>
  <si>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</si>
  <si>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</si>
  <si>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</si>
  <si>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</si>
  <si>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</si>
  <si>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</si>
  <si>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</si>
  <si>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</si>
  <si>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</si>
  <si>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</si>
  <si>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</si>
  <si>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</si>
  <si>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</si>
  <si>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</si>
  <si>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</si>
  <si>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</si>
  <si>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</si>
  <si>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</si>
  <si>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</si>
  <si>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</si>
  <si>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</si>
  <si>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</si>
  <si>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</si>
  <si>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</si>
  <si>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</si>
  <si>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</si>
  <si>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</si>
  <si>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</si>
  <si>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</si>
  <si>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</si>
  <si>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</si>
  <si>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</si>
  <si>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</si>
  <si>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</si>
  <si>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</si>
  <si>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</si>
  <si>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</si>
  <si>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</si>
  <si>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</si>
  <si>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</si>
  <si>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</si>
  <si>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</si>
  <si>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</si>
  <si>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</si>
  <si>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</si>
  <si>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</si>
  <si>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</si>
  <si>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</si>
  <si>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</si>
  <si>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</si>
  <si>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</si>
  <si>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</si>
  <si>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</si>
  <si>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</si>
  <si>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</si>
  <si>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</si>
  <si>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</si>
  <si>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</si>
  <si>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</si>
  <si>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</si>
  <si>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</si>
  <si>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</si>
  <si>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</si>
  <si>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</si>
  <si>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</si>
  <si>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</si>
  <si>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</si>
  <si>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</si>
  <si>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</si>
  <si>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</si>
  <si>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</si>
  <si>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</si>
  <si>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</si>
  <si>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</si>
  <si>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</si>
  <si>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</si>
  <si>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</si>
  <si>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</si>
  <si>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</si>
  <si>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</si>
  <si>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</si>
  <si>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</si>
  <si>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</si>
  <si>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</si>
  <si>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</si>
  <si>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</si>
  <si>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</si>
  <si>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</si>
  <si>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</si>
  <si>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</si>
  <si>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</si>
  <si>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</si>
  <si>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</si>
  <si>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</si>
  <si>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</si>
  <si>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</si>
  <si>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</si>
  <si>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</si>
  <si>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</si>
  <si>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</si>
  <si>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</si>
  <si>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</si>
  <si>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</si>
  <si>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</si>
  <si>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</si>
  <si>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</si>
  <si>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</si>
  <si>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</si>
  <si>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</si>
  <si>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</si>
  <si>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</si>
  <si>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</si>
  <si>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</si>
  <si>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</si>
  <si>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</si>
  <si>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</si>
  <si>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</si>
  <si>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</si>
  <si>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</si>
  <si>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</si>
  <si>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</si>
  <si>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</si>
  <si>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</si>
  <si>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</si>
  <si>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</si>
  <si>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</si>
  <si>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</si>
  <si>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</si>
  <si>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</si>
  <si>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</si>
  <si>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</si>
  <si>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</si>
  <si>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</si>
  <si>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</si>
  <si>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</si>
  <si>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</si>
  <si>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</si>
  <si>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</si>
  <si>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</si>
  <si>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</si>
  <si>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</si>
  <si>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</si>
  <si>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</si>
  <si>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</si>
  <si>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</si>
  <si>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</si>
  <si>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</si>
  <si>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</si>
  <si>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</si>
  <si>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</si>
  <si>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</si>
  <si>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</si>
  <si>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</si>
  <si>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</si>
  <si>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</si>
  <si>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</si>
  <si>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</si>
  <si>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</si>
  <si>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</si>
  <si>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</si>
  <si>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</si>
  <si>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</si>
  <si>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</si>
  <si>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</si>
  <si>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</si>
  <si>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</si>
  <si>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</si>
  <si>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</si>
  <si>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</si>
  <si>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</si>
  <si>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</si>
  <si>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</si>
  <si>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</si>
  <si>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</si>
  <si>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</si>
  <si>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</si>
  <si>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</si>
  <si>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</si>
  <si>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</si>
  <si>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</si>
  <si>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</si>
  <si>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</si>
  <si>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</si>
  <si>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</si>
  <si>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</si>
  <si>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</si>
  <si>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</si>
  <si>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</si>
  <si>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</si>
  <si>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</si>
  <si>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</si>
  <si>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</si>
  <si>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</si>
  <si>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</si>
  <si>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</si>
  <si>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</si>
  <si>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</si>
  <si>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</si>
  <si>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</si>
  <si>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</si>
  <si>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</si>
  <si>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</si>
  <si>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</si>
  <si>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</si>
  <si>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</si>
  <si>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</si>
  <si>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</si>
  <si>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</si>
  <si>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</si>
  <si>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</si>
  <si>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</si>
  <si>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</si>
  <si>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</si>
  <si>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</si>
  <si>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</si>
  <si>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</si>
  <si>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</si>
  <si>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</si>
  <si>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</si>
  <si>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</si>
  <si>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</si>
  <si>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</si>
  <si>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</si>
  <si>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</si>
  <si>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</si>
  <si>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</si>
  <si>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</si>
  <si>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</si>
  <si>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</si>
  <si>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</si>
  <si>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</si>
  <si>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</si>
  <si>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</si>
  <si>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</si>
  <si>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</si>
  <si>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</si>
  <si>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</si>
  <si>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</si>
  <si>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</si>
  <si>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</si>
  <si>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</si>
  <si>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</si>
  <si>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</si>
  <si>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</si>
  <si>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</si>
  <si>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</si>
  <si>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</si>
  <si>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</si>
  <si>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</si>
  <si>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</si>
  <si>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</si>
  <si>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</si>
  <si>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</si>
  <si>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</si>
  <si>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</si>
  <si>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</si>
  <si>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</si>
  <si>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</si>
  <si>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</si>
  <si>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</si>
  <si>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</si>
  <si>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</si>
  <si>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</si>
  <si>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</si>
  <si>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</si>
  <si>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</si>
  <si>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</si>
  <si>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</si>
  <si>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</si>
  <si>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</si>
  <si>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</si>
  <si>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</si>
  <si>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</si>
  <si>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</si>
  <si>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</si>
  <si>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</si>
  <si>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</si>
  <si>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</si>
  <si>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</si>
  <si>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</si>
  <si>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</si>
  <si>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</si>
  <si>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</si>
  <si>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</si>
  <si>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</si>
  <si>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</si>
  <si>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</si>
  <si>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</si>
  <si>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</si>
  <si>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</si>
  <si>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</si>
  <si>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</si>
  <si>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</si>
  <si>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</si>
  <si>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</si>
  <si>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</si>
  <si>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</si>
  <si>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</si>
  <si>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</si>
  <si>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</si>
  <si>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</si>
  <si>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</si>
  <si>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</si>
  <si>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</si>
  <si>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</si>
  <si>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</si>
  <si>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</si>
  <si>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</si>
  <si>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</si>
  <si>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</si>
  <si>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</si>
  <si>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</si>
  <si>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</si>
  <si>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</si>
  <si>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</si>
  <si>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</si>
  <si>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</si>
  <si>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</si>
  <si>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</si>
  <si>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</si>
  <si>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</si>
  <si>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</si>
  <si>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</si>
  <si>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</si>
  <si>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</si>
  <si>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</si>
  <si>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</si>
  <si>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</si>
  <si>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</si>
  <si>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</si>
  <si>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</si>
  <si>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</si>
  <si>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</si>
  <si>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</si>
  <si>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</si>
  <si>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</si>
  <si>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</si>
  <si>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</si>
  <si>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</si>
  <si>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</si>
  <si>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</si>
  <si>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</si>
  <si>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</si>
  <si>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</si>
  <si>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</si>
  <si>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</si>
  <si>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</si>
  <si>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</si>
  <si>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</si>
  <si>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</si>
  <si>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</si>
  <si>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</si>
  <si>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</si>
  <si>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</si>
  <si>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</si>
  <si>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</si>
  <si>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</si>
  <si>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</si>
  <si>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</si>
  <si>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</si>
  <si>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</si>
  <si>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</si>
  <si>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</si>
  <si>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</si>
  <si>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</si>
  <si>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</si>
  <si>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</si>
  <si>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</si>
  <si>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</si>
  <si>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</si>
  <si>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</si>
  <si>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</si>
  <si>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</si>
  <si>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</si>
  <si>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</si>
  <si>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</si>
  <si>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</si>
  <si>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</si>
  <si>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</si>
  <si>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</si>
  <si>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</si>
  <si>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</si>
  <si>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</si>
  <si>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</si>
  <si>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</si>
  <si>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</si>
  <si>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</si>
  <si>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</si>
  <si>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</si>
  <si>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</si>
  <si>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</si>
  <si>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</si>
  <si>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</si>
  <si>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</si>
  <si>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</si>
  <si>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</si>
  <si>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</si>
  <si>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</si>
  <si>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</si>
  <si>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</si>
  <si>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</si>
  <si>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</si>
  <si>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</si>
  <si>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</si>
  <si>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</si>
  <si>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</si>
  <si>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</si>
  <si>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</si>
  <si>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</si>
  <si>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</si>
  <si>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</si>
  <si>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</si>
  <si>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</si>
  <si>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</si>
  <si>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</si>
  <si>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</si>
  <si>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</si>
  <si>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</si>
  <si>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</si>
  <si>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</si>
  <si>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</si>
  <si>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</si>
  <si>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</si>
  <si>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</si>
  <si>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</si>
  <si>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</si>
  <si>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</si>
  <si>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</si>
  <si>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</si>
  <si>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</si>
  <si>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</si>
  <si>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</si>
  <si>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</si>
  <si>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</si>
  <si>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</si>
  <si>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</si>
  <si>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</si>
  <si>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</si>
  <si>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</si>
  <si>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</si>
  <si>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</si>
  <si>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</si>
  <si>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</si>
  <si>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</si>
  <si>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</si>
  <si>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</si>
  <si>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</si>
  <si>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</si>
  <si>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</si>
  <si>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</si>
  <si>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</si>
  <si>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</si>
  <si>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</si>
  <si>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</si>
  <si>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</si>
  <si>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</si>
  <si>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</si>
  <si>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</si>
  <si>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</si>
  <si>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</si>
  <si>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</si>
  <si>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</si>
  <si>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</si>
  <si>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</si>
  <si>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</si>
  <si>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</si>
  <si>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</si>
  <si>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</si>
  <si>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</si>
  <si>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</si>
  <si>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</si>
  <si>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</si>
  <si>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</si>
  <si>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</si>
  <si>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</si>
  <si>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</si>
  <si>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</si>
  <si>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</si>
  <si>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</si>
  <si>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</si>
  <si>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</si>
  <si>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</si>
  <si>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</si>
  <si>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</si>
  <si>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</si>
  <si>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</si>
  <si>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</si>
  <si>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</si>
  <si>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</si>
  <si>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</si>
  <si>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</si>
  <si>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</si>
  <si>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</si>
  <si>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</si>
  <si>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</si>
  <si>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</si>
  <si>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</si>
  <si>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</si>
  <si>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</si>
  <si>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</si>
  <si>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</si>
  <si>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</si>
  <si>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</si>
  <si>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</si>
  <si>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</si>
  <si>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</si>
  <si>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</si>
  <si>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</si>
  <si>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</si>
  <si>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</si>
  <si>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</si>
  <si>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</si>
  <si>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</si>
  <si>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</si>
  <si>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</si>
  <si>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</si>
  <si>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</si>
  <si>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</si>
  <si>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</si>
  <si>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</si>
  <si>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</si>
  <si>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</si>
  <si>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</si>
  <si>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</si>
  <si>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</si>
  <si>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</si>
  <si>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</si>
  <si>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</si>
  <si>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</si>
  <si>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</si>
  <si>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</si>
  <si>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</si>
  <si>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</si>
  <si>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</si>
  <si>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</si>
  <si>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</si>
  <si>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</si>
  <si>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</si>
  <si>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</si>
  <si>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</si>
  <si>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</si>
  <si>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</si>
  <si>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</si>
  <si>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</si>
  <si>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</si>
  <si>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</si>
  <si>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</si>
  <si>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</si>
  <si>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</si>
  <si>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</si>
  <si>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</si>
  <si>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</si>
  <si>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</si>
  <si>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</si>
  <si>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</si>
  <si>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</si>
  <si>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</si>
  <si>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</si>
  <si>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</si>
  <si>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</si>
  <si>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</si>
  <si>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</si>
  <si>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</si>
  <si>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</si>
  <si>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</si>
  <si>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</si>
  <si>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</si>
  <si>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</si>
  <si>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</si>
  <si>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</si>
  <si>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</si>
  <si>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</si>
  <si>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</si>
  <si>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</si>
  <si>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</si>
  <si>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</si>
  <si>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</si>
  <si>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</si>
  <si>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</si>
  <si>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</si>
  <si>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</si>
  <si>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</si>
  <si>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</si>
  <si>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</si>
  <si>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</si>
  <si>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</si>
  <si>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</si>
  <si>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</si>
  <si>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</si>
  <si>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</si>
  <si>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</si>
  <si>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</si>
  <si>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</si>
  <si>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</si>
  <si>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</si>
  <si>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</si>
  <si>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</si>
  <si>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</si>
  <si>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</si>
  <si>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</si>
  <si>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</si>
  <si>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</si>
  <si>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</si>
  <si>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</si>
  <si>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</si>
  <si>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</si>
  <si>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</si>
  <si>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</si>
  <si>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</si>
  <si>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</si>
  <si>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</si>
  <si>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</si>
  <si>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</si>
  <si>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</si>
  <si>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</si>
  <si>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</si>
  <si>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</si>
  <si>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</si>
  <si>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</si>
  <si>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</si>
  <si>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</si>
  <si>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</si>
  <si>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</si>
  <si>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</si>
  <si>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</si>
  <si>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</si>
  <si>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</si>
  <si>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</si>
  <si>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</si>
  <si>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</si>
  <si>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</si>
  <si>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</si>
  <si>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</si>
  <si>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</si>
  <si>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</si>
  <si>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</si>
  <si>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</si>
  <si>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</si>
  <si>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</si>
  <si>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</si>
  <si>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</si>
  <si>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</si>
  <si>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</si>
  <si>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</si>
  <si>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</si>
  <si>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</si>
  <si>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</si>
  <si>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</si>
  <si>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</si>
  <si>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</si>
  <si>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</si>
  <si>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</si>
  <si>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</si>
  <si>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</si>
  <si>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</si>
  <si>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</si>
  <si>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</si>
  <si>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</si>
  <si>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</si>
  <si>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</si>
  <si>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</si>
  <si>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</si>
  <si>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</si>
  <si>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</si>
  <si>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</si>
  <si>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</si>
  <si>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</si>
  <si>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</si>
  <si>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</si>
  <si>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</si>
  <si>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</si>
  <si>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</si>
  <si>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</si>
  <si>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</si>
  <si>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</si>
  <si>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</si>
  <si>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</si>
  <si>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</si>
  <si>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</si>
  <si>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</si>
  <si>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</si>
  <si>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</si>
  <si>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</si>
  <si>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</si>
  <si>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</si>
  <si>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</si>
  <si>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</si>
  <si>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</si>
  <si>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</si>
  <si>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</si>
  <si>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</si>
  <si>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</si>
  <si>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</si>
  <si>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</si>
  <si>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</si>
  <si>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</si>
  <si>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</si>
  <si>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</si>
  <si>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</si>
  <si>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</si>
  <si>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</si>
  <si>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</si>
  <si>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</si>
  <si>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</si>
  <si>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</si>
  <si>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</si>
  <si>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</si>
  <si>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</si>
  <si>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</si>
  <si>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</si>
  <si>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</si>
  <si>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</si>
  <si>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</si>
  <si>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</si>
  <si>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</si>
  <si>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</si>
  <si>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</si>
  <si>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</si>
  <si>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</si>
  <si>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</si>
  <si>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</si>
  <si>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</si>
  <si>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</si>
  <si>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</si>
  <si>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</si>
  <si>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</si>
  <si>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</si>
  <si>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</si>
  <si>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</si>
  <si>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</si>
  <si>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</si>
  <si>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</si>
  <si>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</si>
  <si>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</si>
  <si>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</si>
  <si>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</si>
  <si>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</si>
  <si>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</si>
  <si>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</si>
  <si>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</si>
  <si>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</si>
  <si>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</si>
  <si>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</si>
  <si>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</si>
  <si>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</si>
  <si>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</si>
  <si>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</si>
  <si>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</si>
  <si>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</si>
  <si>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</si>
  <si>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</si>
  <si>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</si>
  <si>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</si>
  <si>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</si>
  <si>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</si>
  <si>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</si>
  <si>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</si>
  <si>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</si>
  <si>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</si>
  <si>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</si>
  <si>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</si>
  <si>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</si>
  <si>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</si>
  <si>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</si>
  <si>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</si>
  <si>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</si>
  <si>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</si>
  <si>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</si>
  <si>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</si>
  <si>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</si>
  <si>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</si>
  <si>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</si>
  <si>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</si>
  <si>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</si>
  <si>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</si>
  <si>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</si>
  <si>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</si>
  <si>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</si>
  <si>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</si>
  <si>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</si>
  <si>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</si>
  <si>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</si>
  <si>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</si>
  <si>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</si>
  <si>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</si>
  <si>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</si>
  <si>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</si>
  <si>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</si>
  <si>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</si>
  <si>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</si>
  <si>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</si>
  <si>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</si>
  <si>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</si>
  <si>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</si>
  <si>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</si>
  <si>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</si>
  <si>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</si>
  <si>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</si>
  <si>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</si>
  <si>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</si>
  <si>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</si>
  <si>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</si>
  <si>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</si>
  <si>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</si>
  <si>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</si>
  <si>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</si>
  <si>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</si>
  <si>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</si>
  <si>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</si>
  <si>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</si>
  <si>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</si>
  <si>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</si>
  <si>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</si>
  <si>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</si>
  <si>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</si>
  <si>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</si>
  <si>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</si>
  <si>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</si>
  <si>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</si>
  <si>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</si>
  <si>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</si>
  <si>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</si>
  <si>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</si>
  <si>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</si>
  <si>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</si>
  <si>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</si>
  <si>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</si>
  <si>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</si>
  <si>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</si>
  <si>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</si>
  <si>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</si>
  <si>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</si>
  <si>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</si>
  <si>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</si>
  <si>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</si>
  <si>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</si>
  <si>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</si>
  <si>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</si>
  <si>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</si>
  <si>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</si>
  <si>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</si>
  <si>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</si>
  <si>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</si>
  <si>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</si>
  <si>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</si>
  <si>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</si>
  <si>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</si>
  <si>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</si>
  <si>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</si>
  <si>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</si>
  <si>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</si>
  <si>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</si>
  <si>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</si>
  <si>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</si>
  <si>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</si>
  <si>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</si>
  <si>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</si>
  <si>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</si>
  <si>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</si>
  <si>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</si>
  <si>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</si>
  <si>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</si>
  <si>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</si>
  <si>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</si>
  <si>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</si>
  <si>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</si>
  <si>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</si>
  <si>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</si>
  <si>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</si>
  <si>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</si>
  <si>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</si>
  <si>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</si>
  <si>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</si>
  <si>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</si>
  <si>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</si>
  <si>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</si>
  <si>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</si>
  <si>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</si>
  <si>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</si>
  <si>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</si>
  <si>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</si>
  <si>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</si>
  <si>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</si>
  <si>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</si>
  <si>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</si>
  <si>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</si>
  <si>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</si>
  <si>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</si>
  <si>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</si>
  <si>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</si>
  <si>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</si>
  <si>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</si>
  <si>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</si>
  <si>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</si>
  <si>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</si>
  <si>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</si>
  <si>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</si>
  <si>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</si>
  <si>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</si>
  <si>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</si>
  <si>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</si>
  <si>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</si>
  <si>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</si>
  <si>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</si>
  <si>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</si>
  <si>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</si>
  <si>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</si>
  <si>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</si>
  <si>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</si>
  <si>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</si>
  <si>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</si>
  <si>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</si>
  <si>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</si>
  <si>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</si>
  <si>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</si>
  <si>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</si>
  <si>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</si>
  <si>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</si>
  <si>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</si>
  <si>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</si>
  <si>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</si>
  <si>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</si>
  <si>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</si>
  <si>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</si>
  <si>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</si>
  <si>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</si>
  <si>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</si>
  <si>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</si>
  <si>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</si>
  <si>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</si>
  <si>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</si>
  <si>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</si>
  <si>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</si>
  <si>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</si>
  <si>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</si>
  <si>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</si>
  <si>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</si>
  <si>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</si>
  <si>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</si>
  <si>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</si>
  <si>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</si>
  <si>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</si>
  <si>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</si>
  <si>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</si>
  <si>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</si>
  <si>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</si>
  <si>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</si>
  <si>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</si>
  <si>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</si>
  <si>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</si>
  <si>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</si>
  <si>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</si>
  <si>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</si>
  <si>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</si>
  <si>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</si>
  <si>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</si>
  <si>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</si>
  <si>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</si>
  <si>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</si>
  <si>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</si>
  <si>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</si>
  <si>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</si>
  <si>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</si>
  <si>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</si>
  <si>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</si>
  <si>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</si>
  <si>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</si>
  <si>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</si>
  <si>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</si>
  <si>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</si>
  <si>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</si>
  <si>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</si>
  <si>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</si>
  <si>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</si>
  <si>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</si>
  <si>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</si>
  <si>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</si>
  <si>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</si>
  <si>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</si>
  <si>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</si>
  <si>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</si>
  <si>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</si>
  <si>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</si>
  <si>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</si>
  <si>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</si>
  <si>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</si>
  <si>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</si>
  <si>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</si>
  <si>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</si>
  <si>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</si>
  <si>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</si>
  <si>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</si>
  <si>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</si>
  <si>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</si>
  <si>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</si>
  <si>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</si>
  <si>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</si>
  <si>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</si>
  <si>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</si>
  <si>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</si>
  <si>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</si>
  <si>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</si>
  <si>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</si>
  <si>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</si>
  <si>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</si>
  <si>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</si>
  <si>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</si>
  <si>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</si>
  <si>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</si>
  <si>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</si>
  <si>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</si>
  <si>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</si>
  <si>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</si>
  <si>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</si>
  <si>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</si>
  <si>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</si>
  <si>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</si>
  <si>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</si>
  <si>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</si>
  <si>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</si>
  <si>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</si>
  <si>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</si>
  <si>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</si>
  <si>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</si>
  <si>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</si>
  <si>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</si>
  <si>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</si>
  <si>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</si>
  <si>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</si>
  <si>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</si>
  <si>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</si>
  <si>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</si>
  <si>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</si>
  <si>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</si>
  <si>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</si>
  <si>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</si>
  <si>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</si>
  <si>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</si>
  <si>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</si>
  <si>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</si>
  <si>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</si>
  <si>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</si>
  <si>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</si>
  <si>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</si>
  <si>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</si>
  <si>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</si>
  <si>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</si>
  <si>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</si>
  <si>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</si>
  <si>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</si>
  <si>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</si>
  <si>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</si>
  <si>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</si>
  <si>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</si>
  <si>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</si>
  <si>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</si>
  <si>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</si>
  <si>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</si>
  <si>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</si>
  <si>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</si>
  <si>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</si>
  <si>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</si>
  <si>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</si>
  <si>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</si>
  <si>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</si>
  <si>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</si>
  <si>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</si>
  <si>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</si>
  <si>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</si>
  <si>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</si>
  <si>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</si>
  <si>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</si>
  <si>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</si>
  <si>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</si>
  <si>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</si>
  <si>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</si>
  <si>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</si>
  <si>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</si>
  <si>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</si>
  <si>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</si>
  <si>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</si>
  <si>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</si>
  <si>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</si>
  <si>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</si>
  <si>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</si>
  <si>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</si>
  <si>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</si>
  <si>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</si>
  <si>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</si>
  <si>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</si>
  <si>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</si>
  <si>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</si>
  <si>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</si>
  <si>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</si>
  <si>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</si>
  <si>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</si>
  <si>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</si>
  <si>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</si>
  <si>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</si>
  <si>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</si>
  <si>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</si>
  <si>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</si>
  <si>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</si>
  <si>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</si>
  <si>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</si>
  <si>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</si>
  <si>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</si>
  <si>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</si>
  <si>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</si>
  <si>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</si>
  <si>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</si>
  <si>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</si>
  <si>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</si>
  <si>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</si>
  <si>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</si>
  <si>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</si>
  <si>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</si>
  <si>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</si>
  <si>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</si>
  <si>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</si>
  <si>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</si>
  <si>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</si>
  <si>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</si>
  <si>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</si>
  <si>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</si>
  <si>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</si>
  <si>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</si>
  <si>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</si>
  <si>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</si>
  <si>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</si>
  <si>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</si>
  <si>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</si>
  <si>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</si>
  <si>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</si>
  <si>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</si>
  <si>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</si>
  <si>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</si>
  <si>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</si>
  <si>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</si>
  <si>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</si>
  <si>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</si>
  <si>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</si>
  <si>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</si>
  <si>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</si>
  <si>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</si>
  <si>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</si>
  <si>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</si>
  <si>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</si>
  <si>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</si>
  <si>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</si>
  <si>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</si>
  <si>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</si>
  <si>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</si>
  <si>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</si>
  <si>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</si>
  <si>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</si>
  <si>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</si>
  <si>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</si>
  <si>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</si>
  <si>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</si>
  <si>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</si>
  <si>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</si>
  <si>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</si>
  <si>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</si>
  <si>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</si>
  <si>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</si>
  <si>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</si>
  <si>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</si>
  <si>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</si>
  <si>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</si>
  <si>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</si>
  <si>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</si>
  <si>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</si>
  <si>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</si>
  <si>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</si>
  <si>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</si>
  <si>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</si>
  <si>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</si>
  <si>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</si>
  <si>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</si>
  <si>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</si>
  <si>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</si>
  <si>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</si>
  <si>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</si>
  <si>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</si>
  <si>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</si>
  <si>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</si>
  <si>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</si>
  <si>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</si>
  <si>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</si>
  <si>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</si>
  <si>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</si>
  <si>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</si>
  <si>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</si>
  <si>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</si>
  <si>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</si>
  <si>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</si>
  <si>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</si>
  <si>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</si>
  <si>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</si>
  <si>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</si>
  <si>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</si>
  <si>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</si>
  <si>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</si>
  <si>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</si>
  <si>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</si>
  <si>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</si>
  <si>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</si>
  <si>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</si>
  <si>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</si>
  <si>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</si>
  <si>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</si>
  <si>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</si>
  <si>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</si>
  <si>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</si>
  <si>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</si>
  <si>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</si>
  <si>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</si>
  <si>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</si>
  <si>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</si>
  <si>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</si>
  <si>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</si>
  <si>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</si>
  <si>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</si>
  <si>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</si>
  <si>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</si>
  <si>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</si>
  <si>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</si>
  <si>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</si>
  <si>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</si>
  <si>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</si>
  <si>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</si>
  <si>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</si>
  <si>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</si>
  <si>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</si>
  <si>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</si>
  <si>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</si>
  <si>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</si>
  <si>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</si>
  <si>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</si>
  <si>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</si>
  <si>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</si>
  <si>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</si>
  <si>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</si>
  <si>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</si>
  <si>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</si>
  <si>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</si>
  <si>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</si>
  <si>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</si>
  <si>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</si>
  <si>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</si>
  <si>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</si>
  <si>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</si>
  <si>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</si>
  <si>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</si>
  <si>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</si>
  <si>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</si>
  <si>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</si>
  <si>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</si>
  <si>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</si>
  <si>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</si>
  <si>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</si>
  <si>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</si>
  <si>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</si>
  <si>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</si>
  <si>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</si>
  <si>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</si>
  <si>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</si>
  <si>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</si>
  <si>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</si>
  <si>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</si>
  <si>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</si>
  <si>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</si>
  <si>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</si>
  <si>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</si>
  <si>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</si>
  <si>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</si>
  <si>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</si>
  <si>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</si>
  <si>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</si>
  <si>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</si>
  <si>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</si>
  <si>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</si>
  <si>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</si>
  <si>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</si>
  <si>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</si>
  <si>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</si>
  <si>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</si>
  <si>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</si>
  <si>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</si>
  <si>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</si>
  <si>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</si>
  <si>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</si>
  <si>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</si>
  <si>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</si>
  <si>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</si>
  <si>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</si>
  <si>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</si>
  <si>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</si>
  <si>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</si>
  <si>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</si>
  <si>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</si>
  <si>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</si>
  <si>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</si>
  <si>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</si>
  <si>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</si>
  <si>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</si>
  <si>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</si>
  <si>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</si>
  <si>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</si>
  <si>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</si>
  <si>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</si>
  <si>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</si>
  <si>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</si>
  <si>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</si>
  <si>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</si>
  <si>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</si>
  <si>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</si>
  <si>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</si>
  <si>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</si>
  <si>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</si>
  <si>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</si>
  <si>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</si>
  <si>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</si>
  <si>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</si>
  <si>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</si>
  <si>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</si>
  <si>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</si>
  <si>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</si>
  <si>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</si>
  <si>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</si>
  <si>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</si>
  <si>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</si>
  <si>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</si>
  <si>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</si>
  <si>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</si>
  <si>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</si>
  <si>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</si>
  <si>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</si>
  <si>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</si>
  <si>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</si>
  <si>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</si>
  <si>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</si>
  <si>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</si>
  <si>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</si>
  <si>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</si>
  <si>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</si>
  <si>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</si>
  <si>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</si>
  <si>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</si>
  <si>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</si>
  <si>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</si>
  <si>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</si>
  <si>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</si>
  <si>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</si>
  <si>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</si>
  <si>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</si>
  <si>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</si>
  <si>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</si>
  <si>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</si>
  <si>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</si>
  <si>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</si>
  <si>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</si>
  <si>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</si>
  <si>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</si>
  <si>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</si>
  <si>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</si>
  <si>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</si>
  <si>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</si>
  <si>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</si>
  <si>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</si>
  <si>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</si>
  <si>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</si>
  <si>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</si>
  <si>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</si>
  <si>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</si>
  <si>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</si>
  <si>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</si>
  <si>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</si>
  <si>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</si>
  <si>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</si>
  <si>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</si>
  <si>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</si>
  <si>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</si>
  <si>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</si>
  <si>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</si>
  <si>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</si>
  <si>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</si>
  <si>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</si>
  <si>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</si>
  <si>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</si>
  <si>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</si>
  <si>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</si>
  <si>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</si>
  <si>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</si>
  <si>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</si>
  <si>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</si>
  <si>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</si>
  <si>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</si>
  <si>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</si>
  <si>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</si>
  <si>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</si>
  <si>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</si>
  <si>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</si>
  <si>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</si>
  <si>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</si>
  <si>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</si>
  <si>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</si>
  <si>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</si>
  <si>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</si>
  <si>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</si>
  <si>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</si>
  <si>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</si>
  <si>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</si>
  <si>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</si>
  <si>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</si>
  <si>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</si>
  <si>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</si>
  <si>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</si>
  <si>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</si>
  <si>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</si>
  <si>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</si>
  <si>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</si>
  <si>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</si>
  <si>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</si>
  <si>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</si>
  <si>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</si>
  <si>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</si>
  <si>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</si>
  <si>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</si>
  <si>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</si>
  <si>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</si>
  <si>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</si>
  <si>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</si>
  <si>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</si>
  <si>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</si>
  <si>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</si>
  <si>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</si>
  <si>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</si>
  <si>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</si>
  <si>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</si>
  <si>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</si>
  <si>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</si>
  <si>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</si>
  <si>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</si>
  <si>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</si>
  <si>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</si>
  <si>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</si>
  <si>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</si>
  <si>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</si>
  <si>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</si>
  <si>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</si>
  <si>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</si>
  <si>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</si>
  <si>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</si>
  <si>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</si>
  <si>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</si>
  <si>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</si>
  <si>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</si>
  <si>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</si>
  <si>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</si>
  <si>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</si>
  <si>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</si>
  <si>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</si>
  <si>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</si>
  <si>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</si>
  <si>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</si>
  <si>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</si>
  <si>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</si>
  <si>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</si>
  <si>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</si>
  <si>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</si>
  <si>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</si>
  <si>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</si>
  <si>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</si>
  <si>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</si>
  <si>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</si>
  <si>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</si>
  <si>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</si>
  <si>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</si>
  <si>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</si>
  <si>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</si>
  <si>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</si>
  <si>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</si>
  <si>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</si>
  <si>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</si>
  <si>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</si>
  <si>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</si>
  <si>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</si>
  <si>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</si>
  <si>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</si>
  <si>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</si>
  <si>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</si>
  <si>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</si>
  <si>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</si>
  <si>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</si>
  <si>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</si>
  <si>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</si>
  <si>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</si>
  <si>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</si>
  <si>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</si>
  <si>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</si>
  <si>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</si>
  <si>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</si>
  <si>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</si>
  <si>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</si>
  <si>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</si>
  <si>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</si>
  <si>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</si>
  <si>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</si>
  <si>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</si>
  <si>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</si>
  <si>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</si>
  <si>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</si>
  <si>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</si>
  <si>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</si>
  <si>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</si>
  <si>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</si>
  <si>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</si>
  <si>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</si>
  <si>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</si>
  <si>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</si>
  <si>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</si>
  <si>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</si>
  <si>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</si>
  <si>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</si>
  <si>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</si>
  <si>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</si>
  <si>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</si>
  <si>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</si>
  <si>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</si>
  <si>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</si>
  <si>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</si>
  <si>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</si>
  <si>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</si>
  <si>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</si>
  <si>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</si>
  <si>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</si>
  <si>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</si>
  <si>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</si>
  <si>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</si>
  <si>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</si>
  <si>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</si>
  <si>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</si>
  <si>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</si>
  <si>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Sum of Pagu</t>
  </si>
  <si>
    <t>SAMPAI DENGAN 13 JULI 2022</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</si>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</sst>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7">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2" fontId="0" fillId="0" borderId="0" xfId="0" applyNumberFormat="1"/>
    <xf numFmtId="0" fontId="0" fillId="0" borderId="1" xfId="0" applyBorder="1" applyAlignment="1">
      <alignment horizontal="left" indent="2"/>
    </xf>
    <xf numFmtId="0" fontId="30" fillId="0" borderId="0" xfId="0" applyFont="1" applyAlignment="1">
      <alignment horizont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xf numFmtId="0" fontId="49" fillId="0" borderId="0" xfId="0" applyFont="1" applyAlignment="1">
      <alignment horizontal="center"/>
    </xf>
    <xf numFmtId="0" fontId="50" fillId="0" borderId="1" xfId="0" applyFont="1" applyBorder="1" applyAlignment="1">
      <alignment horizontal="center" vertical="center"/>
    </xf>
    <xf numFmtId="41" fontId="50" fillId="0" borderId="1" xfId="1" applyFont="1" applyBorder="1" applyAlignment="1">
      <alignment horizontal="center" vertical="center"/>
    </xf>
    <xf numFmtId="0" fontId="50"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333">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1930398</xdr:colOff>
      <xdr:row>14</xdr:row>
      <xdr:rowOff>285750</xdr:rowOff>
    </xdr:from>
    <xdr:to>
      <xdr:col>19</xdr:col>
      <xdr:colOff>4730749</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253090</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152400</xdr:colOff>
      <xdr:row>20</xdr:row>
      <xdr:rowOff>9525</xdr:rowOff>
    </xdr:from>
    <xdr:to>
      <xdr:col>17</xdr:col>
      <xdr:colOff>152400</xdr:colOff>
      <xdr:row>33</xdr:row>
      <xdr:rowOff>57150</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16116300" y="3819525"/>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161925</xdr:colOff>
      <xdr:row>6</xdr:row>
      <xdr:rowOff>38100</xdr:rowOff>
    </xdr:from>
    <xdr:to>
      <xdr:col>17</xdr:col>
      <xdr:colOff>161925</xdr:colOff>
      <xdr:row>19</xdr:row>
      <xdr:rowOff>85725</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16125825" y="1181100"/>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E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E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F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F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000-000007000000}"/>
                </a:ext>
              </a:extLst>
            </xdr:cNvPr>
            <xdr:cNvPicPr>
              <a:picLocks noChangeAspect="1" noChangeArrowheads="1"/>
              <a:extLst>
                <a:ext uri="{84589F7E-364E-4C9E-8A38-B11213B215E9}">
                  <a14:cameraTool cellRange="'PERSUBBID - Gaji'!$A$5:$J$56" spid="_x0000_s85076"/>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PERSUBBID + GAJI'!$A$5:$J$60" spid="_x0000_s39640"/>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6063657408" createdVersion="8" refreshedVersion="8" minRefreshableVersion="3" recordCount="140" xr:uid="{7333C91F-CEE5-4046-A42B-C06D019F4C95}">
  <cacheSource type="worksheet">
    <worksheetSource ref="A3:BB143" sheet="SP2D"/>
  </cacheSource>
  <cacheFields count="55">
    <cacheField name="kddept" numFmtId="0">
      <sharedItems/>
    </cacheField>
    <cacheField name="kdunit" numFmtId="0">
      <sharedItems count="1">
        <s v="12"/>
      </sharedItems>
    </cacheField>
    <cacheField name="kdprogram" numFmtId="0">
      <sharedItems count="2">
        <s v="DL"/>
        <s v="WA"/>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ount="6">
        <s v="AFA"/>
        <s v="CAN"/>
        <s v="EBA"/>
        <s v="EBB"/>
        <s v="EBD"/>
        <s v="EBC"/>
      </sharedItems>
    </cacheField>
    <cacheField name="Output" numFmtId="0">
      <sharedItems count="6">
        <s v="2376.AFA. Norma, Standard, Prosedur dan Kriteria"/>
        <s v="2378.CAN. Sarana Bidang Teknologi Informasi dan Komunikasi"/>
        <s v="2378.EBA. Layanan Dukungan Manajemen Internal"/>
        <s v="2378.EBB. Layanan Sarana dan Prasarana Internal"/>
        <s v="2378.EBD. Layanan Manajemen Kinerja Internal"/>
        <s v="4345.EAM. Layanan Manajemen SDM Internal"/>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ount="23">
        <s v="521211"/>
        <s v="522151"/>
        <s v="524111"/>
        <n v="521211"/>
        <n v="521219"/>
        <s v="521811"/>
        <s v="522192"/>
        <s v="524113"/>
        <n v="521811"/>
        <n v="522151"/>
        <n v="532111"/>
        <n v="522141"/>
        <n v="521241"/>
        <n v="522191"/>
        <n v="521111"/>
        <n v="521114"/>
        <n v="523121"/>
        <n v="523199"/>
        <n v="521115"/>
        <n v="524111"/>
        <n v="524113"/>
        <n v="524211"/>
        <n v="522192"/>
      </sharedItems>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acheField>
    <cacheField name="koordinator" numFmtId="0">
      <sharedItems count="4">
        <s v="Penyelenggaraan Pendidikan"/>
        <s v="Kelembagaan dan Ketenagaan"/>
        <s v="Tata Usaha"/>
        <s v="Perencanaan dan Evaluasi"/>
      </sharedItems>
    </cacheField>
    <cacheField name="Subkoordinator" numFmtId="0">
      <sharedItems count="8">
        <s v="Metode dan Kurikulum"/>
        <s v="Peserta Didik dan Sarana Prasarana"/>
        <s v="Kelembagaan"/>
        <s v="Ketenagaan"/>
        <s v="Umum"/>
        <s v="Perencanaan"/>
        <s v="Evaluasi"/>
        <s v="Keuangan"/>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 name="GUP 6" numFmtId="41">
      <sharedItems containsString="0" containsBlank="1" containsNumber="1" containsInteger="1" minValue="0" maxValue="50000000"/>
    </cacheField>
    <cacheField name="GUP 7" numFmtId="41">
      <sharedItems containsString="0" containsBlank="1" containsNumber="1" containsInteger="1" minValue="0" maxValue="38886520"/>
    </cacheField>
  </cacheFields>
  <extLst>
    <ext xmlns:x14="http://schemas.microsoft.com/office/spreadsheetml/2009/9/main" uri="{725AE2AE-9491-48be-B2B4-4EB974FC3084}">
      <x14:pivotCacheDefinition pivotCacheId="168348791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2.62812789352" createdVersion="8" refreshedVersion="8" minRefreshableVersion="3" recordCount="141" xr:uid="{757D62EC-08FF-4059-B53B-F6996535DB7C}">
  <cacheSource type="worksheet">
    <worksheetSource ref="A3:BB144" sheet="SP2D"/>
  </cacheSource>
  <cacheFields count="54">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358333153"/>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841305185"/>
    </cacheField>
    <cacheField name="Real %" numFmtId="0">
      <sharedItems containsSemiMixedTypes="0" containsString="0" containsNumber="1" minValue="0" maxValue="100"/>
    </cacheField>
    <cacheField name="Sisa" numFmtId="41">
      <sharedItems containsSemiMixedTypes="0" containsString="0" containsNumber="1" containsInteger="1" minValue="0" maxValue="4534498815"/>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2.636476041669"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8">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5000"/>
        <n v="1605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n v="82534000" u="1"/>
        <n v="1606000" u="1"/>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88910853"/>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x v="0"/>
    <x v="0"/>
    <x v="0"/>
    <s v="2376"/>
    <x v="0"/>
    <x v="0"/>
    <x v="0"/>
    <s v="001"/>
    <x v="0"/>
    <s v="051"/>
    <s v="051. NSPK Metode dan Kurikulum Pendidikan KP"/>
    <s v="A"/>
    <x v="0"/>
    <x v="0"/>
    <x v="0"/>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x v="0"/>
    <x v="0"/>
    <x v="0"/>
    <s v="2376"/>
    <x v="0"/>
    <x v="0"/>
    <x v="0"/>
    <s v="001"/>
    <x v="0"/>
    <s v="051"/>
    <s v="051. NSPK Metode dan Kurikulum Pendidikan KP"/>
    <s v="A"/>
    <x v="0"/>
    <x v="1"/>
    <x v="1"/>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x v="0"/>
    <x v="0"/>
    <x v="0"/>
    <s v="2376"/>
    <x v="0"/>
    <x v="0"/>
    <x v="0"/>
    <s v="001"/>
    <x v="0"/>
    <s v="051"/>
    <s v="051. NSPK Metode dan Kurikulum Pendidikan KP"/>
    <s v="A"/>
    <x v="0"/>
    <x v="2"/>
    <x v="2"/>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x v="0"/>
    <x v="0"/>
    <x v="0"/>
    <s v="2376"/>
    <x v="0"/>
    <x v="0"/>
    <x v="0"/>
    <s v="001"/>
    <x v="0"/>
    <s v="051"/>
    <s v="051. NSPK Metode dan Kurikulum Pendidikan KP"/>
    <s v="B"/>
    <x v="1"/>
    <x v="0"/>
    <x v="0"/>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x v="0"/>
    <x v="0"/>
    <x v="0"/>
    <s v="2376"/>
    <x v="0"/>
    <x v="0"/>
    <x v="0"/>
    <s v="001"/>
    <x v="0"/>
    <s v="051"/>
    <s v="051. NSPK Metode dan Kurikulum Pendidikan KP"/>
    <s v="B"/>
    <x v="1"/>
    <x v="1"/>
    <x v="1"/>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x v="0"/>
    <x v="0"/>
    <x v="0"/>
    <s v="2376"/>
    <x v="0"/>
    <x v="0"/>
    <x v="0"/>
    <s v="001"/>
    <x v="0"/>
    <s v="051"/>
    <s v="051. NSPK Metode dan Kurikulum Pendidikan KP"/>
    <s v="B"/>
    <x v="1"/>
    <x v="2"/>
    <x v="2"/>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x v="0"/>
    <x v="0"/>
    <x v="0"/>
    <s v="2376"/>
    <x v="0"/>
    <x v="0"/>
    <x v="0"/>
    <s v="001"/>
    <x v="0"/>
    <s v="052"/>
    <s v="052. NSPK Peserta Didik Sarana dan Prasarana Pendidikan KP"/>
    <s v="A"/>
    <x v="2"/>
    <x v="0"/>
    <x v="0"/>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x v="0"/>
    <x v="0"/>
    <x v="0"/>
    <s v="2376"/>
    <x v="0"/>
    <x v="0"/>
    <x v="0"/>
    <s v="001"/>
    <x v="0"/>
    <s v="052"/>
    <s v="052. NSPK Peserta Didik Sarana dan Prasarana Pendidikan KP"/>
    <s v="A"/>
    <x v="2"/>
    <x v="2"/>
    <x v="2"/>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x v="0"/>
    <x v="0"/>
    <x v="0"/>
    <s v="2376"/>
    <x v="0"/>
    <x v="0"/>
    <x v="0"/>
    <s v="001"/>
    <x v="0"/>
    <s v="053"/>
    <s v="053. NSPK Kelembagaan Pendidikan KP"/>
    <s v="A"/>
    <x v="3"/>
    <x v="3"/>
    <x v="0"/>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x v="0"/>
    <x v="0"/>
    <x v="0"/>
    <s v="2376"/>
    <x v="0"/>
    <x v="0"/>
    <x v="0"/>
    <s v="001"/>
    <x v="0"/>
    <s v="053"/>
    <s v="053. NSPK Kelembagaan Pendidikan KP"/>
    <s v="A"/>
    <x v="3"/>
    <x v="4"/>
    <x v="3"/>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x v="0"/>
    <x v="0"/>
    <x v="0"/>
    <s v="2376"/>
    <x v="0"/>
    <x v="0"/>
    <x v="0"/>
    <s v="001"/>
    <x v="0"/>
    <s v="053"/>
    <s v="053. NSPK Kelembagaan Pendidikan KP"/>
    <s v="A"/>
    <x v="3"/>
    <x v="5"/>
    <x v="4"/>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x v="0"/>
    <x v="0"/>
    <x v="0"/>
    <s v="2376"/>
    <x v="0"/>
    <x v="0"/>
    <x v="0"/>
    <s v="001"/>
    <x v="0"/>
    <s v="053"/>
    <s v="053. NSPK Kelembagaan Pendidikan KP"/>
    <s v="A"/>
    <x v="3"/>
    <x v="1"/>
    <x v="1"/>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x v="0"/>
    <x v="0"/>
    <x v="0"/>
    <s v="2376"/>
    <x v="0"/>
    <x v="0"/>
    <x v="0"/>
    <s v="001"/>
    <x v="0"/>
    <s v="053"/>
    <s v="053. NSPK Kelembagaan Pendidikan KP"/>
    <s v="A"/>
    <x v="3"/>
    <x v="6"/>
    <x v="5"/>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x v="0"/>
    <x v="0"/>
    <x v="0"/>
    <s v="2376"/>
    <x v="0"/>
    <x v="0"/>
    <x v="0"/>
    <s v="001"/>
    <x v="0"/>
    <s v="053"/>
    <s v="053. NSPK Kelembagaan Pendidikan KP"/>
    <s v="A"/>
    <x v="3"/>
    <x v="2"/>
    <x v="2"/>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x v="0"/>
    <x v="0"/>
    <x v="0"/>
    <s v="2376"/>
    <x v="0"/>
    <x v="0"/>
    <x v="0"/>
    <s v="001"/>
    <x v="0"/>
    <s v="053"/>
    <s v="053. NSPK Kelembagaan Pendidikan KP"/>
    <s v="A"/>
    <x v="3"/>
    <x v="7"/>
    <x v="6"/>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x v="0"/>
    <x v="0"/>
    <x v="0"/>
    <s v="2376"/>
    <x v="0"/>
    <x v="0"/>
    <x v="0"/>
    <s v="001"/>
    <x v="0"/>
    <s v="053"/>
    <s v="053. NSPK Kelembagaan Pendidikan KP"/>
    <s v="B"/>
    <x v="4"/>
    <x v="3"/>
    <x v="0"/>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x v="0"/>
    <x v="0"/>
    <x v="0"/>
    <s v="2376"/>
    <x v="0"/>
    <x v="0"/>
    <x v="0"/>
    <s v="001"/>
    <x v="0"/>
    <s v="053"/>
    <s v="053. NSPK Kelembagaan Pendidikan KP"/>
    <s v="B"/>
    <x v="4"/>
    <x v="4"/>
    <x v="3"/>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x v="0"/>
    <x v="0"/>
    <x v="0"/>
    <s v="2376"/>
    <x v="0"/>
    <x v="0"/>
    <x v="0"/>
    <s v="001"/>
    <x v="0"/>
    <s v="053"/>
    <s v="053. NSPK Kelembagaan Pendidikan KP"/>
    <s v="B"/>
    <x v="4"/>
    <x v="8"/>
    <x v="4"/>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x v="0"/>
    <x v="0"/>
    <x v="0"/>
    <s v="2376"/>
    <x v="0"/>
    <x v="0"/>
    <x v="0"/>
    <s v="001"/>
    <x v="0"/>
    <s v="053"/>
    <s v="053. NSPK Kelembagaan Pendidikan KP"/>
    <s v="B"/>
    <x v="4"/>
    <x v="9"/>
    <x v="1"/>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x v="0"/>
    <x v="0"/>
    <x v="0"/>
    <s v="2376"/>
    <x v="0"/>
    <x v="0"/>
    <x v="0"/>
    <s v="001"/>
    <x v="0"/>
    <s v="053"/>
    <s v="053. NSPK Kelembagaan Pendidikan KP"/>
    <s v="B"/>
    <x v="4"/>
    <x v="6"/>
    <x v="5"/>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x v="0"/>
    <x v="0"/>
    <x v="0"/>
    <s v="2376"/>
    <x v="0"/>
    <x v="0"/>
    <x v="0"/>
    <s v="001"/>
    <x v="0"/>
    <s v="053"/>
    <s v="053. NSPK Kelembagaan Pendidikan KP"/>
    <s v="B"/>
    <x v="4"/>
    <x v="2"/>
    <x v="2"/>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x v="0"/>
    <x v="0"/>
    <x v="0"/>
    <s v="2376"/>
    <x v="0"/>
    <x v="0"/>
    <x v="0"/>
    <s v="001"/>
    <x v="0"/>
    <s v="053"/>
    <s v="053. NSPK Kelembagaan Pendidikan KP"/>
    <s v="C"/>
    <x v="5"/>
    <x v="3"/>
    <x v="0"/>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x v="0"/>
    <x v="0"/>
    <x v="0"/>
    <s v="2376"/>
    <x v="0"/>
    <x v="0"/>
    <x v="0"/>
    <s v="001"/>
    <x v="0"/>
    <s v="053"/>
    <s v="053. NSPK Kelembagaan Pendidikan KP"/>
    <s v="C"/>
    <x v="5"/>
    <x v="4"/>
    <x v="3"/>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x v="0"/>
    <x v="0"/>
    <x v="0"/>
    <s v="2376"/>
    <x v="0"/>
    <x v="0"/>
    <x v="0"/>
    <s v="001"/>
    <x v="0"/>
    <s v="053"/>
    <s v="053. NSPK Kelembagaan Pendidikan KP"/>
    <s v="C"/>
    <x v="5"/>
    <x v="9"/>
    <x v="1"/>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x v="0"/>
    <x v="0"/>
    <x v="0"/>
    <s v="2376"/>
    <x v="0"/>
    <x v="0"/>
    <x v="0"/>
    <s v="001"/>
    <x v="0"/>
    <s v="053"/>
    <s v="053. NSPK Kelembagaan Pendidikan KP"/>
    <s v="C"/>
    <x v="5"/>
    <x v="2"/>
    <x v="2"/>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x v="0"/>
    <x v="0"/>
    <x v="0"/>
    <s v="2376"/>
    <x v="0"/>
    <x v="0"/>
    <x v="0"/>
    <s v="001"/>
    <x v="0"/>
    <s v="054"/>
    <s v="054. NSPK Ketenagaan Pendidikan KP"/>
    <s v="A"/>
    <x v="6"/>
    <x v="3"/>
    <x v="0"/>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x v="0"/>
    <x v="0"/>
    <x v="0"/>
    <s v="2376"/>
    <x v="0"/>
    <x v="0"/>
    <x v="0"/>
    <s v="001"/>
    <x v="0"/>
    <s v="054"/>
    <s v="054. NSPK Ketenagaan Pendidikan KP"/>
    <s v="A"/>
    <x v="6"/>
    <x v="4"/>
    <x v="3"/>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x v="0"/>
    <x v="0"/>
    <x v="0"/>
    <s v="2376"/>
    <x v="0"/>
    <x v="0"/>
    <x v="0"/>
    <s v="001"/>
    <x v="0"/>
    <s v="054"/>
    <s v="054. NSPK Ketenagaan Pendidikan KP"/>
    <s v="A"/>
    <x v="6"/>
    <x v="9"/>
    <x v="1"/>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x v="0"/>
    <x v="0"/>
    <x v="0"/>
    <s v="2376"/>
    <x v="0"/>
    <x v="0"/>
    <x v="0"/>
    <s v="001"/>
    <x v="0"/>
    <s v="054"/>
    <s v="054. NSPK Ketenagaan Pendidikan KP"/>
    <s v="A"/>
    <x v="6"/>
    <x v="6"/>
    <x v="5"/>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x v="0"/>
    <x v="0"/>
    <x v="0"/>
    <s v="2376"/>
    <x v="0"/>
    <x v="0"/>
    <x v="0"/>
    <s v="001"/>
    <x v="0"/>
    <s v="054"/>
    <s v="054. NSPK Ketenagaan Pendidikan KP"/>
    <s v="A"/>
    <x v="6"/>
    <x v="2"/>
    <x v="2"/>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x v="0"/>
    <x v="1"/>
    <x v="1"/>
    <s v="2378"/>
    <x v="1"/>
    <x v="1"/>
    <x v="1"/>
    <s v="001"/>
    <x v="1"/>
    <n v="301"/>
    <s v="301. Sarana Teknologi Informasi dan Komunikasi (TIK) Pendidikan Kelautan dan Perikanan"/>
    <s v="A"/>
    <x v="7"/>
    <x v="10"/>
    <x v="7"/>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x v="0"/>
    <x v="1"/>
    <x v="1"/>
    <s v="2378"/>
    <x v="1"/>
    <x v="2"/>
    <x v="2"/>
    <n v="958"/>
    <x v="2"/>
    <n v="311"/>
    <s v="311. Pelayanan Kerja Sama Pendidikan Kelautan dan Perikanan"/>
    <s v="A"/>
    <x v="8"/>
    <x v="3"/>
    <x v="0"/>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x v="0"/>
    <x v="1"/>
    <x v="1"/>
    <s v="2378"/>
    <x v="1"/>
    <x v="2"/>
    <x v="2"/>
    <n v="958"/>
    <x v="2"/>
    <n v="311"/>
    <s v="311. Pelayanan Kerja Sama Pendidikan Kelautan dan Perikanan"/>
    <s v="A"/>
    <x v="8"/>
    <x v="4"/>
    <x v="3"/>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x v="0"/>
    <x v="1"/>
    <x v="1"/>
    <s v="2378"/>
    <x v="1"/>
    <x v="2"/>
    <x v="2"/>
    <n v="958"/>
    <x v="2"/>
    <n v="311"/>
    <s v="311. Pelayanan Kerja Sama Pendidikan Kelautan dan Perikanan"/>
    <s v="A"/>
    <x v="8"/>
    <x v="8"/>
    <x v="4"/>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x v="0"/>
    <x v="1"/>
    <x v="1"/>
    <s v="2378"/>
    <x v="1"/>
    <x v="2"/>
    <x v="2"/>
    <n v="958"/>
    <x v="2"/>
    <n v="311"/>
    <s v="311. Pelayanan Kerja Sama Pendidikan Kelautan dan Perikanan"/>
    <s v="A"/>
    <x v="8"/>
    <x v="9"/>
    <x v="1"/>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x v="0"/>
    <x v="1"/>
    <x v="1"/>
    <s v="2378"/>
    <x v="1"/>
    <x v="2"/>
    <x v="2"/>
    <n v="958"/>
    <x v="2"/>
    <n v="311"/>
    <s v="311. Pelayanan Kerja Sama Pendidikan Kelautan dan Perikanan"/>
    <s v="A"/>
    <x v="8"/>
    <x v="2"/>
    <x v="2"/>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x v="0"/>
    <x v="1"/>
    <x v="1"/>
    <s v="2378"/>
    <x v="1"/>
    <x v="2"/>
    <x v="2"/>
    <n v="962"/>
    <x v="3"/>
    <n v="301"/>
    <s v="301. Pelayanan Tata Usaha dan Kerumahtanggaan Pendidikan Kelautan dan Perikanan"/>
    <s v="A"/>
    <x v="9"/>
    <x v="3"/>
    <x v="0"/>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x v="0"/>
    <x v="1"/>
    <x v="1"/>
    <s v="2378"/>
    <x v="1"/>
    <x v="2"/>
    <x v="2"/>
    <n v="962"/>
    <x v="3"/>
    <n v="301"/>
    <s v="301. Pelayanan Tata Usaha dan Kerumahtanggaan Pendidikan Kelautan dan Perikanan"/>
    <s v="A"/>
    <x v="9"/>
    <x v="2"/>
    <x v="2"/>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x v="0"/>
    <x v="1"/>
    <x v="1"/>
    <s v="2378"/>
    <x v="1"/>
    <x v="2"/>
    <x v="2"/>
    <n v="962"/>
    <x v="3"/>
    <n v="301"/>
    <s v="301. Pelayanan Tata Usaha dan Kerumahtanggaan Pendidikan Kelautan dan Perikanan"/>
    <s v="A"/>
    <x v="9"/>
    <x v="7"/>
    <x v="6"/>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x v="0"/>
    <x v="1"/>
    <x v="1"/>
    <s v="2378"/>
    <x v="1"/>
    <x v="2"/>
    <x v="2"/>
    <n v="962"/>
    <x v="3"/>
    <n v="301"/>
    <s v="301. Pelayanan Tata Usaha dan Kerumahtanggaan Pendidikan Kelautan dan Perikanan"/>
    <s v="B"/>
    <x v="10"/>
    <x v="3"/>
    <x v="0"/>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x v="0"/>
    <x v="1"/>
    <x v="1"/>
    <s v="2378"/>
    <x v="1"/>
    <x v="2"/>
    <x v="2"/>
    <n v="962"/>
    <x v="3"/>
    <n v="301"/>
    <s v="301. Pelayanan Tata Usaha dan Kerumahtanggaan Pendidikan Kelautan dan Perikanan"/>
    <s v="B"/>
    <x v="10"/>
    <x v="6"/>
    <x v="5"/>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x v="0"/>
    <x v="1"/>
    <x v="1"/>
    <s v="2378"/>
    <x v="1"/>
    <x v="2"/>
    <x v="2"/>
    <n v="962"/>
    <x v="3"/>
    <n v="301"/>
    <s v="301. Pelayanan Tata Usaha dan Kerumahtanggaan Pendidikan Kelautan dan Perikanan"/>
    <s v="B"/>
    <x v="10"/>
    <x v="2"/>
    <x v="2"/>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x v="0"/>
    <x v="1"/>
    <x v="1"/>
    <s v="2378"/>
    <x v="1"/>
    <x v="2"/>
    <x v="2"/>
    <n v="962"/>
    <x v="3"/>
    <n v="301"/>
    <s v="301. Pelayanan Tata Usaha dan Kerumahtanggaan Pendidikan Kelautan dan Perikanan"/>
    <s v="C"/>
    <x v="11"/>
    <x v="3"/>
    <x v="0"/>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x v="0"/>
    <x v="1"/>
    <x v="1"/>
    <s v="2378"/>
    <x v="1"/>
    <x v="2"/>
    <x v="2"/>
    <n v="962"/>
    <x v="3"/>
    <n v="301"/>
    <s v="301. Pelayanan Tata Usaha dan Kerumahtanggaan Pendidikan Kelautan dan Perikanan"/>
    <s v="C"/>
    <x v="11"/>
    <x v="11"/>
    <x v="8"/>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x v="0"/>
    <x v="1"/>
    <x v="1"/>
    <s v="2378"/>
    <x v="1"/>
    <x v="2"/>
    <x v="2"/>
    <n v="962"/>
    <x v="3"/>
    <n v="301"/>
    <s v="301. Pelayanan Tata Usaha dan Kerumahtanggaan Pendidikan Kelautan dan Perikanan"/>
    <s v="C"/>
    <x v="11"/>
    <x v="2"/>
    <x v="2"/>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x v="0"/>
    <x v="1"/>
    <x v="1"/>
    <s v="2378"/>
    <x v="1"/>
    <x v="2"/>
    <x v="2"/>
    <n v="962"/>
    <x v="3"/>
    <n v="301"/>
    <s v="301. Pelayanan Tata Usaha dan Kerumahtanggaan Pendidikan Kelautan dan Perikanan"/>
    <s v="C"/>
    <x v="11"/>
    <x v="7"/>
    <x v="6"/>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x v="0"/>
    <x v="1"/>
    <x v="1"/>
    <s v="2378"/>
    <x v="1"/>
    <x v="2"/>
    <x v="2"/>
    <n v="962"/>
    <x v="3"/>
    <n v="301"/>
    <s v="301. Pelayanan Tata Usaha dan Kerumahtanggaan Pendidikan Kelautan dan Perikanan"/>
    <s v="D"/>
    <x v="12"/>
    <x v="3"/>
    <x v="0"/>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x v="0"/>
    <x v="1"/>
    <x v="1"/>
    <s v="2378"/>
    <x v="1"/>
    <x v="2"/>
    <x v="2"/>
    <n v="962"/>
    <x v="3"/>
    <n v="301"/>
    <s v="301. Pelayanan Tata Usaha dan Kerumahtanggaan Pendidikan Kelautan dan Perikanan"/>
    <s v="D"/>
    <x v="12"/>
    <x v="2"/>
    <x v="2"/>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x v="0"/>
    <x v="1"/>
    <x v="1"/>
    <s v="2378"/>
    <x v="1"/>
    <x v="2"/>
    <x v="2"/>
    <n v="962"/>
    <x v="3"/>
    <n v="301"/>
    <s v="301. Pelayanan Tata Usaha dan Kerumahtanggaan Pendidikan Kelautan dan Perikanan"/>
    <s v="D"/>
    <x v="12"/>
    <x v="7"/>
    <x v="6"/>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x v="0"/>
    <x v="1"/>
    <x v="1"/>
    <s v="2378"/>
    <x v="1"/>
    <x v="2"/>
    <x v="2"/>
    <n v="962"/>
    <x v="3"/>
    <n v="301"/>
    <s v="301. Pelayanan Tata Usaha dan Kerumahtanggaan Pendidikan Kelautan dan Perikanan"/>
    <s v="E"/>
    <x v="13"/>
    <x v="3"/>
    <x v="0"/>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x v="0"/>
    <x v="1"/>
    <x v="1"/>
    <s v="2378"/>
    <x v="1"/>
    <x v="2"/>
    <x v="2"/>
    <n v="962"/>
    <x v="3"/>
    <n v="301"/>
    <s v="301. Pelayanan Tata Usaha dan Kerumahtanggaan Pendidikan Kelautan dan Perikanan"/>
    <s v="E"/>
    <x v="13"/>
    <x v="12"/>
    <x v="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x v="0"/>
    <x v="1"/>
    <x v="1"/>
    <s v="2378"/>
    <x v="1"/>
    <x v="2"/>
    <x v="2"/>
    <n v="962"/>
    <x v="3"/>
    <n v="301"/>
    <s v="301. Pelayanan Tata Usaha dan Kerumahtanggaan Pendidikan Kelautan dan Perikanan"/>
    <s v="E"/>
    <x v="13"/>
    <x v="13"/>
    <x v="10"/>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x v="0"/>
    <x v="1"/>
    <x v="1"/>
    <s v="2378"/>
    <x v="1"/>
    <x v="2"/>
    <x v="2"/>
    <n v="962"/>
    <x v="3"/>
    <n v="301"/>
    <s v="301. Pelayanan Tata Usaha dan Kerumahtanggaan Pendidikan Kelautan dan Perikanan"/>
    <s v="E"/>
    <x v="13"/>
    <x v="6"/>
    <x v="5"/>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x v="0"/>
    <x v="1"/>
    <x v="1"/>
    <s v="2378"/>
    <x v="1"/>
    <x v="2"/>
    <x v="2"/>
    <n v="962"/>
    <x v="3"/>
    <n v="301"/>
    <s v="301. Pelayanan Tata Usaha dan Kerumahtanggaan Pendidikan Kelautan dan Perikanan"/>
    <s v="E"/>
    <x v="13"/>
    <x v="2"/>
    <x v="2"/>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x v="0"/>
    <x v="1"/>
    <x v="1"/>
    <s v="2378"/>
    <x v="1"/>
    <x v="2"/>
    <x v="2"/>
    <n v="962"/>
    <x v="3"/>
    <n v="301"/>
    <s v="301. Pelayanan Tata Usaha dan Kerumahtanggaan Pendidikan Kelautan dan Perikanan"/>
    <s v="E"/>
    <x v="13"/>
    <x v="7"/>
    <x v="6"/>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x v="0"/>
    <x v="1"/>
    <x v="1"/>
    <s v="2378"/>
    <x v="1"/>
    <x v="2"/>
    <x v="2"/>
    <n v="962"/>
    <x v="3"/>
    <n v="301"/>
    <s v="301. Pelayanan Tata Usaha dan Kerumahtanggaan Pendidikan Kelautan dan Perikanan"/>
    <s v="F"/>
    <x v="14"/>
    <x v="3"/>
    <x v="0"/>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x v="0"/>
    <x v="1"/>
    <x v="1"/>
    <s v="2378"/>
    <x v="1"/>
    <x v="2"/>
    <x v="2"/>
    <n v="962"/>
    <x v="3"/>
    <n v="301"/>
    <s v="301. Pelayanan Tata Usaha dan Kerumahtanggaan Pendidikan Kelautan dan Perikanan"/>
    <s v="F"/>
    <x v="14"/>
    <x v="4"/>
    <x v="3"/>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x v="0"/>
    <x v="1"/>
    <x v="1"/>
    <s v="2378"/>
    <x v="1"/>
    <x v="2"/>
    <x v="2"/>
    <n v="962"/>
    <x v="3"/>
    <n v="301"/>
    <s v="301. Pelayanan Tata Usaha dan Kerumahtanggaan Pendidikan Kelautan dan Perikanan"/>
    <s v="F"/>
    <x v="14"/>
    <x v="9"/>
    <x v="1"/>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x v="0"/>
    <x v="1"/>
    <x v="1"/>
    <s v="2378"/>
    <x v="1"/>
    <x v="2"/>
    <x v="2"/>
    <n v="962"/>
    <x v="3"/>
    <n v="301"/>
    <s v="301. Pelayanan Tata Usaha dan Kerumahtanggaan Pendidikan Kelautan dan Perikanan"/>
    <s v="F"/>
    <x v="14"/>
    <x v="6"/>
    <x v="5"/>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x v="0"/>
    <x v="1"/>
    <x v="1"/>
    <s v="2378"/>
    <x v="1"/>
    <x v="2"/>
    <x v="2"/>
    <n v="962"/>
    <x v="3"/>
    <n v="301"/>
    <s v="301. Pelayanan Tata Usaha dan Kerumahtanggaan Pendidikan Kelautan dan Perikanan"/>
    <s v="F"/>
    <x v="14"/>
    <x v="2"/>
    <x v="2"/>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x v="0"/>
    <x v="1"/>
    <x v="1"/>
    <s v="2378"/>
    <x v="1"/>
    <x v="2"/>
    <x v="2"/>
    <n v="962"/>
    <x v="3"/>
    <n v="301"/>
    <s v="301. Pelayanan Tata Usaha dan Kerumahtanggaan Pendidikan Kelautan dan Perikanan"/>
    <s v="G"/>
    <x v="15"/>
    <x v="3"/>
    <x v="0"/>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x v="0"/>
    <x v="1"/>
    <x v="1"/>
    <s v="2378"/>
    <x v="1"/>
    <x v="2"/>
    <x v="2"/>
    <n v="962"/>
    <x v="3"/>
    <n v="301"/>
    <s v="301. Pelayanan Tata Usaha dan Kerumahtanggaan Pendidikan Kelautan dan Perikanan"/>
    <s v="G"/>
    <x v="15"/>
    <x v="4"/>
    <x v="3"/>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x v="0"/>
    <x v="1"/>
    <x v="1"/>
    <s v="2378"/>
    <x v="1"/>
    <x v="2"/>
    <x v="2"/>
    <n v="962"/>
    <x v="3"/>
    <n v="301"/>
    <s v="301. Pelayanan Tata Usaha dan Kerumahtanggaan Pendidikan Kelautan dan Perikanan"/>
    <s v="G"/>
    <x v="15"/>
    <x v="9"/>
    <x v="1"/>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x v="0"/>
    <x v="1"/>
    <x v="1"/>
    <s v="2378"/>
    <x v="1"/>
    <x v="2"/>
    <x v="2"/>
    <n v="962"/>
    <x v="3"/>
    <n v="301"/>
    <s v="301. Pelayanan Tata Usaha dan Kerumahtanggaan Pendidikan Kelautan dan Perikanan"/>
    <s v="G"/>
    <x v="15"/>
    <x v="2"/>
    <x v="2"/>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x v="0"/>
    <x v="1"/>
    <x v="1"/>
    <s v="2378"/>
    <x v="1"/>
    <x v="2"/>
    <x v="2"/>
    <n v="962"/>
    <x v="3"/>
    <n v="301"/>
    <s v="301. Pelayanan Tata Usaha dan Kerumahtanggaan Pendidikan Kelautan dan Perikanan"/>
    <s v="H"/>
    <x v="16"/>
    <x v="3"/>
    <x v="0"/>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x v="0"/>
    <x v="1"/>
    <x v="1"/>
    <s v="2378"/>
    <x v="1"/>
    <x v="2"/>
    <x v="2"/>
    <n v="962"/>
    <x v="3"/>
    <n v="301"/>
    <s v="301. Pelayanan Tata Usaha dan Kerumahtanggaan Pendidikan Kelautan dan Perikanan"/>
    <s v="H"/>
    <x v="16"/>
    <x v="4"/>
    <x v="3"/>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x v="0"/>
    <x v="1"/>
    <x v="1"/>
    <s v="2378"/>
    <x v="1"/>
    <x v="2"/>
    <x v="2"/>
    <n v="962"/>
    <x v="3"/>
    <n v="301"/>
    <s v="301. Pelayanan Tata Usaha dan Kerumahtanggaan Pendidikan Kelautan dan Perikanan"/>
    <s v="H"/>
    <x v="16"/>
    <x v="11"/>
    <x v="8"/>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x v="0"/>
    <x v="1"/>
    <x v="1"/>
    <s v="2378"/>
    <x v="1"/>
    <x v="2"/>
    <x v="2"/>
    <n v="962"/>
    <x v="3"/>
    <n v="301"/>
    <s v="301. Pelayanan Tata Usaha dan Kerumahtanggaan Pendidikan Kelautan dan Perikanan"/>
    <s v="H"/>
    <x v="16"/>
    <x v="2"/>
    <x v="2"/>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x v="0"/>
    <x v="1"/>
    <x v="1"/>
    <s v="2378"/>
    <x v="1"/>
    <x v="2"/>
    <x v="2"/>
    <n v="962"/>
    <x v="3"/>
    <n v="301"/>
    <s v="301. Pelayanan Tata Usaha dan Kerumahtanggaan Pendidikan Kelautan dan Perikanan"/>
    <s v="I"/>
    <x v="17"/>
    <x v="3"/>
    <x v="0"/>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x v="0"/>
    <x v="1"/>
    <x v="1"/>
    <s v="2378"/>
    <x v="1"/>
    <x v="2"/>
    <x v="2"/>
    <n v="962"/>
    <x v="3"/>
    <n v="301"/>
    <s v="301. Pelayanan Tata Usaha dan Kerumahtanggaan Pendidikan Kelautan dan Perikanan"/>
    <s v="I"/>
    <x v="17"/>
    <x v="4"/>
    <x v="3"/>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x v="0"/>
    <x v="1"/>
    <x v="1"/>
    <s v="2378"/>
    <x v="1"/>
    <x v="2"/>
    <x v="2"/>
    <n v="962"/>
    <x v="3"/>
    <n v="301"/>
    <s v="301. Pelayanan Tata Usaha dan Kerumahtanggaan Pendidikan Kelautan dan Perikanan"/>
    <s v="I"/>
    <x v="17"/>
    <x v="9"/>
    <x v="1"/>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x v="0"/>
    <x v="1"/>
    <x v="1"/>
    <s v="2378"/>
    <x v="1"/>
    <x v="2"/>
    <x v="2"/>
    <n v="962"/>
    <x v="3"/>
    <n v="301"/>
    <s v="301. Pelayanan Tata Usaha dan Kerumahtanggaan Pendidikan Kelautan dan Perikanan"/>
    <s v="I"/>
    <x v="17"/>
    <x v="2"/>
    <x v="2"/>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x v="0"/>
    <x v="1"/>
    <x v="1"/>
    <s v="2378"/>
    <x v="1"/>
    <x v="2"/>
    <x v="2"/>
    <n v="994"/>
    <x v="4"/>
    <s v="002"/>
    <s v="002. Operasional dan Pemeliharaan Kantor"/>
    <s v="GA"/>
    <x v="18"/>
    <x v="14"/>
    <x v="11"/>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x v="0"/>
    <x v="1"/>
    <x v="1"/>
    <s v="2378"/>
    <x v="1"/>
    <x v="2"/>
    <x v="2"/>
    <n v="994"/>
    <x v="4"/>
    <s v="002"/>
    <s v="002. Operasional dan Pemeliharaan Kantor"/>
    <s v="GA"/>
    <x v="18"/>
    <x v="8"/>
    <x v="4"/>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x v="0"/>
    <x v="1"/>
    <x v="1"/>
    <s v="2378"/>
    <x v="1"/>
    <x v="2"/>
    <x v="2"/>
    <n v="994"/>
    <x v="4"/>
    <s v="002"/>
    <s v="002. Operasional dan Pemeliharaan Kantor"/>
    <s v="GB"/>
    <x v="19"/>
    <x v="15"/>
    <x v="12"/>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x v="0"/>
    <x v="1"/>
    <x v="1"/>
    <s v="2378"/>
    <x v="1"/>
    <x v="2"/>
    <x v="2"/>
    <n v="994"/>
    <x v="4"/>
    <s v="002"/>
    <s v="002. Operasional dan Pemeliharaan Kantor"/>
    <s v="GB"/>
    <x v="19"/>
    <x v="11"/>
    <x v="8"/>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x v="0"/>
    <x v="1"/>
    <x v="1"/>
    <s v="2378"/>
    <x v="1"/>
    <x v="2"/>
    <x v="2"/>
    <n v="994"/>
    <x v="4"/>
    <s v="002"/>
    <s v="002. Operasional dan Pemeliharaan Kantor"/>
    <s v="GC"/>
    <x v="20"/>
    <x v="16"/>
    <x v="13"/>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x v="0"/>
    <x v="1"/>
    <x v="1"/>
    <s v="2378"/>
    <x v="1"/>
    <x v="2"/>
    <x v="2"/>
    <n v="994"/>
    <x v="4"/>
    <s v="002"/>
    <s v="002. Operasional dan Pemeliharaan Kantor"/>
    <s v="GC"/>
    <x v="20"/>
    <x v="17"/>
    <x v="14"/>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x v="0"/>
    <x v="1"/>
    <x v="1"/>
    <s v="2378"/>
    <x v="1"/>
    <x v="2"/>
    <x v="2"/>
    <n v="994"/>
    <x v="4"/>
    <s v="002"/>
    <s v="002. Operasional dan Pemeliharaan Kantor"/>
    <s v="GD"/>
    <x v="21"/>
    <x v="14"/>
    <x v="11"/>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x v="0"/>
    <x v="1"/>
    <x v="1"/>
    <s v="2378"/>
    <x v="1"/>
    <x v="2"/>
    <x v="2"/>
    <n v="994"/>
    <x v="4"/>
    <s v="002"/>
    <s v="002. Operasional dan Pemeliharaan Kantor"/>
    <s v="GD"/>
    <x v="21"/>
    <x v="18"/>
    <x v="15"/>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x v="0"/>
    <x v="1"/>
    <x v="1"/>
    <s v="2378"/>
    <x v="1"/>
    <x v="2"/>
    <x v="2"/>
    <n v="994"/>
    <x v="4"/>
    <s v="002"/>
    <s v="002. Operasional dan Pemeliharaan Kantor"/>
    <s v="GE"/>
    <x v="22"/>
    <x v="14"/>
    <x v="11"/>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x v="0"/>
    <x v="1"/>
    <x v="1"/>
    <s v="2378"/>
    <x v="1"/>
    <x v="2"/>
    <x v="2"/>
    <n v="994"/>
    <x v="4"/>
    <s v="002"/>
    <s v="002. Operasional dan Pemeliharaan Kantor"/>
    <s v="GE"/>
    <x v="22"/>
    <x v="8"/>
    <x v="4"/>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x v="0"/>
    <x v="1"/>
    <x v="1"/>
    <s v="2378"/>
    <x v="1"/>
    <x v="2"/>
    <x v="2"/>
    <n v="994"/>
    <x v="4"/>
    <s v="002"/>
    <s v="002. Operasional dan Pemeliharaan Kantor"/>
    <s v="GE"/>
    <x v="22"/>
    <x v="16"/>
    <x v="13"/>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x v="0"/>
    <x v="1"/>
    <x v="1"/>
    <s v="2378"/>
    <x v="1"/>
    <x v="3"/>
    <x v="3"/>
    <n v="951"/>
    <x v="5"/>
    <n v="301"/>
    <s v="301. Kendaraan Bermotor Pendidikan Kelautan dan Perikanan"/>
    <s v="A"/>
    <x v="23"/>
    <x v="10"/>
    <x v="7"/>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x v="0"/>
    <x v="1"/>
    <x v="1"/>
    <s v="2378"/>
    <x v="1"/>
    <x v="4"/>
    <x v="4"/>
    <n v="952"/>
    <x v="6"/>
    <n v="301"/>
    <s v="301. Pelayanan Perencanaan dan Penganggaran Internal Pendidikan Kelautan"/>
    <s v="A"/>
    <x v="24"/>
    <x v="3"/>
    <x v="0"/>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x v="0"/>
    <x v="1"/>
    <x v="1"/>
    <s v="2378"/>
    <x v="1"/>
    <x v="4"/>
    <x v="4"/>
    <n v="952"/>
    <x v="6"/>
    <n v="301"/>
    <s v="301. Pelayanan Perencanaan dan Penganggaran Internal Pendidikan Kelautan"/>
    <s v="A"/>
    <x v="24"/>
    <x v="4"/>
    <x v="3"/>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x v="0"/>
    <x v="1"/>
    <x v="1"/>
    <s v="2378"/>
    <x v="1"/>
    <x v="4"/>
    <x v="4"/>
    <n v="952"/>
    <x v="6"/>
    <n v="301"/>
    <s v="301. Pelayanan Perencanaan dan Penganggaran Internal Pendidikan Kelautan"/>
    <s v="A"/>
    <x v="24"/>
    <x v="8"/>
    <x v="4"/>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x v="0"/>
    <x v="1"/>
    <x v="1"/>
    <s v="2378"/>
    <x v="1"/>
    <x v="4"/>
    <x v="4"/>
    <n v="952"/>
    <x v="6"/>
    <n v="301"/>
    <s v="301. Pelayanan Perencanaan dan Penganggaran Internal Pendidikan Kelautan"/>
    <s v="A"/>
    <x v="24"/>
    <x v="19"/>
    <x v="2"/>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x v="0"/>
    <x v="1"/>
    <x v="1"/>
    <s v="2378"/>
    <x v="1"/>
    <x v="4"/>
    <x v="4"/>
    <n v="952"/>
    <x v="6"/>
    <n v="301"/>
    <s v="301. Pelayanan Perencanaan dan Penganggaran Internal Pendidikan Kelautan"/>
    <s v="B"/>
    <x v="25"/>
    <x v="3"/>
    <x v="0"/>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x v="0"/>
    <x v="1"/>
    <x v="1"/>
    <s v="2378"/>
    <x v="1"/>
    <x v="4"/>
    <x v="4"/>
    <n v="952"/>
    <x v="6"/>
    <n v="301"/>
    <s v="301. Pelayanan Perencanaan dan Penganggaran Internal Pendidikan Kelautan"/>
    <s v="B"/>
    <x v="25"/>
    <x v="4"/>
    <x v="3"/>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x v="0"/>
    <x v="1"/>
    <x v="1"/>
    <s v="2378"/>
    <x v="1"/>
    <x v="4"/>
    <x v="4"/>
    <n v="952"/>
    <x v="6"/>
    <n v="301"/>
    <s v="301. Pelayanan Perencanaan dan Penganggaran Internal Pendidikan Kelautan"/>
    <s v="B"/>
    <x v="25"/>
    <x v="8"/>
    <x v="4"/>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x v="0"/>
    <x v="1"/>
    <x v="1"/>
    <s v="2378"/>
    <x v="1"/>
    <x v="4"/>
    <x v="4"/>
    <n v="952"/>
    <x v="6"/>
    <n v="301"/>
    <s v="301. Pelayanan Perencanaan dan Penganggaran Internal Pendidikan Kelautan"/>
    <s v="B"/>
    <x v="25"/>
    <x v="9"/>
    <x v="1"/>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x v="0"/>
    <x v="1"/>
    <x v="1"/>
    <s v="2378"/>
    <x v="1"/>
    <x v="4"/>
    <x v="4"/>
    <n v="952"/>
    <x v="6"/>
    <n v="301"/>
    <s v="301. Pelayanan Perencanaan dan Penganggaran Internal Pendidikan Kelautan"/>
    <s v="B"/>
    <x v="25"/>
    <x v="19"/>
    <x v="2"/>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x v="0"/>
    <x v="1"/>
    <x v="1"/>
    <s v="2378"/>
    <x v="1"/>
    <x v="4"/>
    <x v="4"/>
    <n v="952"/>
    <x v="6"/>
    <n v="301"/>
    <s v="301. Pelayanan Perencanaan dan Penganggaran Internal Pendidikan Kelautan"/>
    <s v="C"/>
    <x v="26"/>
    <x v="3"/>
    <x v="0"/>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x v="0"/>
    <x v="1"/>
    <x v="1"/>
    <s v="2378"/>
    <x v="1"/>
    <x v="4"/>
    <x v="4"/>
    <n v="952"/>
    <x v="6"/>
    <n v="301"/>
    <s v="301. Pelayanan Perencanaan dan Penganggaran Internal Pendidikan Kelautan"/>
    <s v="C"/>
    <x v="26"/>
    <x v="8"/>
    <x v="4"/>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x v="0"/>
    <x v="1"/>
    <x v="1"/>
    <s v="2378"/>
    <x v="1"/>
    <x v="4"/>
    <x v="4"/>
    <n v="952"/>
    <x v="6"/>
    <n v="301"/>
    <s v="301. Pelayanan Perencanaan dan Penganggaran Internal Pendidikan Kelautan"/>
    <s v="C"/>
    <x v="26"/>
    <x v="9"/>
    <x v="1"/>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x v="0"/>
    <x v="1"/>
    <x v="1"/>
    <s v="2378"/>
    <x v="1"/>
    <x v="4"/>
    <x v="4"/>
    <n v="952"/>
    <x v="6"/>
    <n v="301"/>
    <s v="301. Pelayanan Perencanaan dan Penganggaran Internal Pendidikan Kelautan"/>
    <s v="C"/>
    <x v="26"/>
    <x v="19"/>
    <x v="2"/>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x v="0"/>
    <x v="1"/>
    <x v="1"/>
    <s v="2378"/>
    <x v="1"/>
    <x v="4"/>
    <x v="4"/>
    <n v="953"/>
    <x v="7"/>
    <n v="301"/>
    <s v="301. Pelayanan Monitoring dan Evaluasi Pendidikan Kelautan dan Perikanan"/>
    <s v="A"/>
    <x v="27"/>
    <x v="3"/>
    <x v="0"/>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x v="0"/>
    <x v="1"/>
    <x v="1"/>
    <s v="2378"/>
    <x v="1"/>
    <x v="4"/>
    <x v="4"/>
    <n v="953"/>
    <x v="7"/>
    <n v="301"/>
    <s v="301. Pelayanan Monitoring dan Evaluasi Pendidikan Kelautan dan Perikanan"/>
    <s v="A"/>
    <x v="27"/>
    <x v="4"/>
    <x v="3"/>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x v="0"/>
    <x v="1"/>
    <x v="1"/>
    <s v="2378"/>
    <x v="1"/>
    <x v="4"/>
    <x v="4"/>
    <n v="953"/>
    <x v="7"/>
    <n v="301"/>
    <s v="301. Pelayanan Monitoring dan Evaluasi Pendidikan Kelautan dan Perikanan"/>
    <s v="A"/>
    <x v="27"/>
    <x v="19"/>
    <x v="2"/>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x v="0"/>
    <x v="1"/>
    <x v="1"/>
    <s v="2378"/>
    <x v="1"/>
    <x v="4"/>
    <x v="4"/>
    <n v="953"/>
    <x v="7"/>
    <n v="301"/>
    <s v="301. Pelayanan Monitoring dan Evaluasi Pendidikan Kelautan dan Perikanan"/>
    <s v="B"/>
    <x v="28"/>
    <x v="3"/>
    <x v="0"/>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x v="0"/>
    <x v="1"/>
    <x v="1"/>
    <s v="2378"/>
    <x v="1"/>
    <x v="4"/>
    <x v="4"/>
    <n v="953"/>
    <x v="7"/>
    <n v="301"/>
    <s v="301. Pelayanan Monitoring dan Evaluasi Pendidikan Kelautan dan Perikanan"/>
    <s v="B"/>
    <x v="28"/>
    <x v="4"/>
    <x v="3"/>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x v="0"/>
    <x v="1"/>
    <x v="1"/>
    <s v="2378"/>
    <x v="1"/>
    <x v="4"/>
    <x v="4"/>
    <n v="953"/>
    <x v="7"/>
    <n v="301"/>
    <s v="301. Pelayanan Monitoring dan Evaluasi Pendidikan Kelautan dan Perikanan"/>
    <s v="B"/>
    <x v="28"/>
    <x v="9"/>
    <x v="1"/>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x v="0"/>
    <x v="1"/>
    <x v="1"/>
    <s v="2378"/>
    <x v="1"/>
    <x v="4"/>
    <x v="4"/>
    <n v="953"/>
    <x v="7"/>
    <n v="301"/>
    <s v="301. Pelayanan Monitoring dan Evaluasi Pendidikan Kelautan dan Perikanan"/>
    <s v="B"/>
    <x v="28"/>
    <x v="19"/>
    <x v="2"/>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x v="0"/>
    <x v="1"/>
    <x v="1"/>
    <s v="2378"/>
    <x v="1"/>
    <x v="4"/>
    <x v="4"/>
    <n v="953"/>
    <x v="7"/>
    <n v="301"/>
    <s v="301. Pelayanan Monitoring dan Evaluasi Pendidikan Kelautan dan Perikanan"/>
    <s v="B"/>
    <x v="28"/>
    <x v="20"/>
    <x v="6"/>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x v="0"/>
    <x v="1"/>
    <x v="1"/>
    <s v="2378"/>
    <x v="1"/>
    <x v="4"/>
    <x v="4"/>
    <n v="953"/>
    <x v="7"/>
    <n v="302"/>
    <s v="302. Pelayanan Pelaporan Kinerja Pendidikan Kelautan dan Perikanan"/>
    <s v="A"/>
    <x v="29"/>
    <x v="3"/>
    <x v="0"/>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x v="0"/>
    <x v="1"/>
    <x v="1"/>
    <s v="2378"/>
    <x v="1"/>
    <x v="4"/>
    <x v="4"/>
    <n v="953"/>
    <x v="7"/>
    <n v="302"/>
    <s v="302. Pelayanan Pelaporan Kinerja Pendidikan Kelautan dan Perikanan"/>
    <s v="A"/>
    <x v="29"/>
    <x v="4"/>
    <x v="3"/>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x v="0"/>
    <x v="1"/>
    <x v="1"/>
    <s v="2378"/>
    <x v="1"/>
    <x v="4"/>
    <x v="4"/>
    <n v="953"/>
    <x v="7"/>
    <n v="302"/>
    <s v="302. Pelayanan Pelaporan Kinerja Pendidikan Kelautan dan Perikanan"/>
    <s v="A"/>
    <x v="29"/>
    <x v="19"/>
    <x v="2"/>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x v="0"/>
    <x v="1"/>
    <x v="1"/>
    <s v="2378"/>
    <x v="1"/>
    <x v="4"/>
    <x v="4"/>
    <n v="955"/>
    <x v="8"/>
    <n v="301"/>
    <s v="301. Pelayanan Keuangan Pendidikan Kelautan dan Perikanan"/>
    <s v="A"/>
    <x v="30"/>
    <x v="3"/>
    <x v="0"/>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x v="0"/>
    <x v="1"/>
    <x v="1"/>
    <s v="2378"/>
    <x v="1"/>
    <x v="4"/>
    <x v="4"/>
    <n v="955"/>
    <x v="8"/>
    <n v="301"/>
    <s v="301. Pelayanan Keuangan Pendidikan Kelautan dan Perikanan"/>
    <s v="A"/>
    <x v="30"/>
    <x v="19"/>
    <x v="2"/>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x v="0"/>
    <x v="1"/>
    <x v="1"/>
    <s v="2378"/>
    <x v="1"/>
    <x v="4"/>
    <x v="4"/>
    <n v="955"/>
    <x v="8"/>
    <n v="301"/>
    <s v="301. Pelayanan Keuangan Pendidikan Kelautan dan Perikanan"/>
    <s v="B"/>
    <x v="31"/>
    <x v="3"/>
    <x v="0"/>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x v="0"/>
    <x v="1"/>
    <x v="1"/>
    <s v="2378"/>
    <x v="1"/>
    <x v="4"/>
    <x v="4"/>
    <n v="955"/>
    <x v="8"/>
    <n v="301"/>
    <s v="301. Pelayanan Keuangan Pendidikan Kelautan dan Perikanan"/>
    <s v="B"/>
    <x v="31"/>
    <x v="19"/>
    <x v="2"/>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x v="0"/>
    <x v="1"/>
    <x v="1"/>
    <s v="2378"/>
    <x v="1"/>
    <x v="4"/>
    <x v="4"/>
    <n v="955"/>
    <x v="8"/>
    <n v="301"/>
    <s v="301. Pelayanan Keuangan Pendidikan Kelautan dan Perikanan"/>
    <s v="C"/>
    <x v="32"/>
    <x v="3"/>
    <x v="0"/>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x v="0"/>
    <x v="1"/>
    <x v="1"/>
    <s v="2378"/>
    <x v="1"/>
    <x v="4"/>
    <x v="4"/>
    <n v="955"/>
    <x v="8"/>
    <n v="301"/>
    <s v="301. Pelayanan Keuangan Pendidikan Kelautan dan Perikanan"/>
    <s v="C"/>
    <x v="32"/>
    <x v="19"/>
    <x v="2"/>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x v="0"/>
    <x v="1"/>
    <x v="1"/>
    <s v="2378"/>
    <x v="1"/>
    <x v="4"/>
    <x v="4"/>
    <n v="955"/>
    <x v="8"/>
    <n v="301"/>
    <s v="301. Pelayanan Keuangan Pendidikan Kelautan dan Perikanan"/>
    <s v="D"/>
    <x v="33"/>
    <x v="3"/>
    <x v="0"/>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x v="0"/>
    <x v="1"/>
    <x v="1"/>
    <s v="2378"/>
    <x v="1"/>
    <x v="4"/>
    <x v="4"/>
    <n v="955"/>
    <x v="8"/>
    <n v="301"/>
    <s v="301. Pelayanan Keuangan Pendidikan Kelautan dan Perikanan"/>
    <s v="D"/>
    <x v="33"/>
    <x v="9"/>
    <x v="1"/>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x v="0"/>
    <x v="1"/>
    <x v="1"/>
    <s v="2378"/>
    <x v="1"/>
    <x v="4"/>
    <x v="4"/>
    <n v="955"/>
    <x v="8"/>
    <n v="301"/>
    <s v="301. Pelayanan Keuangan Pendidikan Kelautan dan Perikanan"/>
    <s v="D"/>
    <x v="33"/>
    <x v="19"/>
    <x v="2"/>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x v="0"/>
    <x v="1"/>
    <x v="1"/>
    <s v="2378"/>
    <x v="1"/>
    <x v="4"/>
    <x v="4"/>
    <n v="955"/>
    <x v="8"/>
    <n v="301"/>
    <s v="301. Pelayanan Keuangan Pendidikan Kelautan dan Perikanan"/>
    <s v="E"/>
    <x v="34"/>
    <x v="3"/>
    <x v="0"/>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x v="0"/>
    <x v="1"/>
    <x v="1"/>
    <s v="2378"/>
    <x v="1"/>
    <x v="4"/>
    <x v="4"/>
    <n v="955"/>
    <x v="8"/>
    <n v="301"/>
    <s v="301. Pelayanan Keuangan Pendidikan Kelautan dan Perikanan"/>
    <s v="E"/>
    <x v="34"/>
    <x v="19"/>
    <x v="2"/>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x v="0"/>
    <x v="1"/>
    <x v="1"/>
    <s v="2378"/>
    <x v="1"/>
    <x v="4"/>
    <x v="4"/>
    <n v="955"/>
    <x v="8"/>
    <n v="301"/>
    <s v="301. Pelayanan Keuangan Pendidikan Kelautan dan Perikanan"/>
    <s v="F"/>
    <x v="35"/>
    <x v="3"/>
    <x v="0"/>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x v="0"/>
    <x v="1"/>
    <x v="1"/>
    <s v="2378"/>
    <x v="1"/>
    <x v="4"/>
    <x v="4"/>
    <n v="955"/>
    <x v="8"/>
    <n v="301"/>
    <s v="301. Pelayanan Keuangan Pendidikan Kelautan dan Perikanan"/>
    <s v="F"/>
    <x v="35"/>
    <x v="8"/>
    <x v="4"/>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x v="0"/>
    <x v="1"/>
    <x v="1"/>
    <s v="2378"/>
    <x v="1"/>
    <x v="4"/>
    <x v="4"/>
    <n v="955"/>
    <x v="8"/>
    <n v="301"/>
    <s v="301. Pelayanan Keuangan Pendidikan Kelautan dan Perikanan"/>
    <s v="F"/>
    <x v="35"/>
    <x v="19"/>
    <x v="2"/>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x v="0"/>
    <x v="1"/>
    <x v="1"/>
    <s v="4345"/>
    <x v="2"/>
    <x v="5"/>
    <x v="5"/>
    <n v="996"/>
    <x v="9"/>
    <n v="301"/>
    <s v="301. Aparatur KKP yang Diberikan Beasiswa"/>
    <s v="A"/>
    <x v="36"/>
    <x v="3"/>
    <x v="0"/>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x v="0"/>
    <x v="1"/>
    <x v="1"/>
    <s v="4345"/>
    <x v="2"/>
    <x v="5"/>
    <x v="5"/>
    <n v="996"/>
    <x v="9"/>
    <n v="301"/>
    <s v="301. Aparatur KKP yang Diberikan Beasiswa"/>
    <s v="A"/>
    <x v="36"/>
    <x v="4"/>
    <x v="3"/>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x v="0"/>
    <x v="1"/>
    <x v="1"/>
    <s v="4345"/>
    <x v="2"/>
    <x v="5"/>
    <x v="5"/>
    <n v="996"/>
    <x v="9"/>
    <n v="301"/>
    <s v="301. Aparatur KKP yang Diberikan Beasiswa"/>
    <s v="A"/>
    <x v="36"/>
    <x v="8"/>
    <x v="4"/>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x v="0"/>
    <x v="1"/>
    <x v="1"/>
    <s v="4345"/>
    <x v="2"/>
    <x v="5"/>
    <x v="5"/>
    <n v="996"/>
    <x v="9"/>
    <n v="301"/>
    <s v="301. Aparatur KKP yang Diberikan Beasiswa"/>
    <s v="A"/>
    <x v="36"/>
    <x v="9"/>
    <x v="1"/>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x v="0"/>
    <x v="1"/>
    <x v="1"/>
    <s v="4345"/>
    <x v="2"/>
    <x v="5"/>
    <x v="5"/>
    <n v="996"/>
    <x v="9"/>
    <n v="301"/>
    <s v="301. Aparatur KKP yang Diberikan Beasiswa"/>
    <s v="A"/>
    <x v="36"/>
    <x v="13"/>
    <x v="10"/>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x v="0"/>
    <x v="1"/>
    <x v="1"/>
    <s v="4345"/>
    <x v="2"/>
    <x v="5"/>
    <x v="5"/>
    <n v="996"/>
    <x v="9"/>
    <n v="301"/>
    <s v="301. Aparatur KKP yang Diberikan Beasiswa"/>
    <s v="A"/>
    <x v="36"/>
    <x v="19"/>
    <x v="2"/>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x v="0"/>
    <x v="1"/>
    <x v="1"/>
    <s v="4345"/>
    <x v="2"/>
    <x v="5"/>
    <x v="5"/>
    <n v="996"/>
    <x v="9"/>
    <n v="301"/>
    <s v="301. Aparatur KKP yang Diberikan Beasiswa"/>
    <s v="B"/>
    <x v="37"/>
    <x v="3"/>
    <x v="0"/>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x v="0"/>
    <x v="1"/>
    <x v="1"/>
    <s v="4345"/>
    <x v="2"/>
    <x v="5"/>
    <x v="5"/>
    <n v="996"/>
    <x v="9"/>
    <n v="301"/>
    <s v="301. Aparatur KKP yang Diberikan Beasiswa"/>
    <s v="B"/>
    <x v="37"/>
    <x v="4"/>
    <x v="3"/>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x v="0"/>
    <x v="1"/>
    <x v="1"/>
    <s v="4345"/>
    <x v="2"/>
    <x v="5"/>
    <x v="5"/>
    <n v="996"/>
    <x v="9"/>
    <n v="301"/>
    <s v="301. Aparatur KKP yang Diberikan Beasiswa"/>
    <s v="B"/>
    <x v="37"/>
    <x v="8"/>
    <x v="4"/>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x v="0"/>
    <x v="1"/>
    <x v="1"/>
    <s v="4345"/>
    <x v="2"/>
    <x v="5"/>
    <x v="5"/>
    <n v="996"/>
    <x v="9"/>
    <n v="301"/>
    <s v="301. Aparatur KKP yang Diberikan Beasiswa"/>
    <s v="B"/>
    <x v="37"/>
    <x v="9"/>
    <x v="1"/>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x v="0"/>
    <x v="1"/>
    <x v="1"/>
    <s v="4345"/>
    <x v="2"/>
    <x v="5"/>
    <x v="5"/>
    <n v="996"/>
    <x v="9"/>
    <n v="301"/>
    <s v="301. Aparatur KKP yang Diberikan Beasiswa"/>
    <s v="B"/>
    <x v="37"/>
    <x v="19"/>
    <x v="2"/>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x v="0"/>
    <x v="1"/>
    <x v="1"/>
    <s v="4345"/>
    <x v="2"/>
    <x v="5"/>
    <x v="5"/>
    <n v="996"/>
    <x v="9"/>
    <n v="301"/>
    <s v="301. Aparatur KKP yang Diberikan Beasiswa"/>
    <s v="C"/>
    <x v="38"/>
    <x v="3"/>
    <x v="0"/>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x v="0"/>
    <x v="1"/>
    <x v="1"/>
    <s v="4345"/>
    <x v="2"/>
    <x v="5"/>
    <x v="5"/>
    <n v="996"/>
    <x v="9"/>
    <n v="301"/>
    <s v="301. Aparatur KKP yang Diberikan Beasiswa"/>
    <s v="C"/>
    <x v="38"/>
    <x v="4"/>
    <x v="3"/>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x v="0"/>
    <x v="1"/>
    <x v="1"/>
    <s v="4345"/>
    <x v="2"/>
    <x v="5"/>
    <x v="5"/>
    <n v="996"/>
    <x v="9"/>
    <n v="301"/>
    <s v="301. Aparatur KKP yang Diberikan Beasiswa"/>
    <s v="C"/>
    <x v="38"/>
    <x v="21"/>
    <x v="16"/>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x v="0"/>
    <x v="1"/>
    <x v="1"/>
    <s v="4345"/>
    <x v="2"/>
    <x v="5"/>
    <x v="5"/>
    <n v="996"/>
    <x v="9"/>
    <n v="301"/>
    <s v="301. Aparatur KKP yang Diberikan Beasiswa"/>
    <s v="D"/>
    <x v="39"/>
    <x v="22"/>
    <x v="5"/>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x v="0"/>
    <x v="1"/>
    <x v="1"/>
    <s v="4345"/>
    <x v="2"/>
    <x v="5"/>
    <x v="5"/>
    <n v="996"/>
    <x v="9"/>
    <n v="302"/>
    <s v="302. Aparatur KKP yang Diberikan Izin Belajar"/>
    <s v="A"/>
    <x v="40"/>
    <x v="3"/>
    <x v="0"/>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x v="0"/>
    <x v="1"/>
    <x v="1"/>
    <s v="4345"/>
    <x v="2"/>
    <x v="5"/>
    <x v="5"/>
    <n v="996"/>
    <x v="9"/>
    <n v="302"/>
    <s v="302. Aparatur KKP yang Diberikan Izin Belajar"/>
    <s v="A"/>
    <x v="40"/>
    <x v="8"/>
    <x v="4"/>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x v="0"/>
    <x v="1"/>
    <x v="1"/>
    <s v="4345"/>
    <x v="2"/>
    <x v="5"/>
    <x v="5"/>
    <n v="996"/>
    <x v="9"/>
    <n v="302"/>
    <s v="302. Aparatur KKP yang Diberikan Izin Belajar"/>
    <s v="A"/>
    <x v="40"/>
    <x v="19"/>
    <x v="2"/>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1120000"/>
    <n v="0"/>
    <n v="0"/>
    <n v="0"/>
    <n v="0"/>
    <n v="0"/>
    <s v="Pusat Pendidikan KP"/>
    <x v="0"/>
    <x v="0"/>
    <s v="52"/>
    <s v="SEKRETARIAT BADAN RISET DAN SUMBERDAYA MANUSIA KELAUTAN DAN PERIKANAN"/>
    <n v="27396000"/>
    <n v="63.328710124826628"/>
    <n v="15864000"/>
    <n v="36.671289875173372"/>
    <s v="DL.2376.AFA.001.051.A.524111"/>
    <s v="Non COVID"/>
    <s v="PERJALANAN DINAS"/>
    <s v="Belanja Barang Non Operasional"/>
    <n v="0"/>
    <n v="10950000"/>
    <n v="0"/>
    <n v="0"/>
    <n v="0"/>
    <n v="18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226200000"/>
    <m/>
    <n v="14366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35000000"/>
    <m/>
    <n v="3339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r>
  <r>
    <m/>
    <m/>
    <m/>
    <m/>
    <m/>
    <m/>
    <m/>
    <m/>
    <m/>
    <m/>
    <m/>
    <m/>
    <m/>
    <m/>
    <m/>
    <m/>
    <n v="11375804000"/>
    <n v="16863164000"/>
    <n v="100000000"/>
    <n v="5387360000"/>
    <n v="0"/>
    <n v="74237800"/>
    <n v="672277677"/>
    <n v="1892688850"/>
    <n v="1260934024"/>
    <n v="2582833681"/>
    <n v="358333153"/>
    <n v="0"/>
    <n v="0"/>
    <n v="0"/>
    <n v="0"/>
    <n v="0"/>
    <m/>
    <x v="4"/>
    <x v="8"/>
    <m/>
    <m/>
    <n v="6841305185"/>
    <n v="60.139091575417439"/>
    <n v="4534498815"/>
    <n v="39.860908424582561"/>
    <m/>
    <m/>
    <m/>
    <m/>
    <n v="99961115"/>
    <n v="410500187"/>
    <n v="98176375"/>
    <n v="95254996"/>
    <n v="95439616"/>
    <n v="93838577"/>
    <n v="312088731"/>
    <n v="7559500"/>
    <n v="9342390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1120000"/>
    <n v="0"/>
    <n v="0"/>
    <n v="0"/>
    <n v="0"/>
    <n v="0"/>
    <x v="0"/>
    <x v="0"/>
    <x v="0"/>
    <s v="52"/>
    <s v="SEKRETARIAT BADAN RISET DAN SUMBERDAYA MANUSIA KELAUTAN DAN PERIKANAN"/>
    <n v="27396000"/>
    <n v="63.328710124826628"/>
    <n v="15864000"/>
    <n v="36.671289875173372"/>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33484900"/>
    <n v="0"/>
    <n v="0"/>
    <n v="0"/>
    <n v="0"/>
    <n v="0"/>
    <x v="0"/>
    <x v="1"/>
    <x v="2"/>
    <s v="52"/>
    <s v="SEKRETARIAT BADAN RISET DAN SUMBERDAYA MANUSIA KELAUTAN DAN PERIKANAN"/>
    <n v="66713550"/>
    <n v="26.335266299284712"/>
    <n v="186610450"/>
    <n v="73.664733700715288"/>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46539280"/>
    <n v="0"/>
    <n v="0"/>
    <n v="0"/>
    <n v="0"/>
    <n v="0"/>
    <x v="0"/>
    <x v="2"/>
    <x v="4"/>
    <s v="52"/>
    <s v="SEKRETARIAT BADAN RISET DAN SUMBERDAYA MANUSIA KELAUTAN DAN PERIKANAN"/>
    <n v="207119741"/>
    <n v="55.433858000074942"/>
    <n v="166514259"/>
    <n v="44.566141999925065"/>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5000"/>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x v="44"/>
    <n v="35000000"/>
    <m/>
    <n v="33395000"/>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9">
        <item h="1" x="30"/>
        <item x="21"/>
        <item x="33"/>
        <item x="65"/>
        <item x="50"/>
        <item x="13"/>
        <item x="44"/>
        <item h="1" m="1" x="97"/>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h="1" m="1" x="9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5">
    <format dxfId="1327">
      <pivotArea outline="0" collapsedLevelsAreSubtotals="1" fieldPosition="0">
        <references count="1">
          <reference field="4294967294" count="1" selected="0">
            <x v="2"/>
          </reference>
        </references>
      </pivotArea>
    </format>
    <format dxfId="1326">
      <pivotArea outline="0" collapsedLevelsAreSubtotals="1" fieldPosition="0">
        <references count="1">
          <reference field="4294967294" count="1" selected="0">
            <x v="4"/>
          </reference>
        </references>
      </pivotArea>
    </format>
    <format dxfId="1325">
      <pivotArea outline="0" collapsedLevelsAreSubtotals="1" fieldPosition="0">
        <references count="1">
          <reference field="4294967294" count="1" selected="0">
            <x v="3"/>
          </reference>
        </references>
      </pivotArea>
    </format>
    <format dxfId="1324">
      <pivotArea outline="0" collapsedLevelsAreSubtotals="1" fieldPosition="0">
        <references count="1">
          <reference field="4294967294" count="1" selected="0">
            <x v="1"/>
          </reference>
        </references>
      </pivotArea>
    </format>
    <format dxfId="1323">
      <pivotArea outline="0" collapsedLevelsAreSubtotals="1" fieldPosition="0">
        <references count="1">
          <reference field="4294967294" count="1" selected="0">
            <x v="0"/>
          </reference>
        </references>
      </pivotArea>
    </format>
    <format dxfId="1322">
      <pivotArea dataOnly="0" labelOnly="1" fieldPosition="0">
        <references count="1">
          <reference field="3" count="0"/>
        </references>
      </pivotArea>
    </format>
    <format dxfId="1321">
      <pivotArea dataOnly="0" labelOnly="1" fieldPosition="0">
        <references count="1">
          <reference field="5" count="0"/>
        </references>
      </pivotArea>
    </format>
    <format dxfId="1320">
      <pivotArea dataOnly="0" labelOnly="1" fieldPosition="0">
        <references count="1">
          <reference field="9" count="0"/>
        </references>
      </pivotArea>
    </format>
    <format dxfId="1319">
      <pivotArea dataOnly="0" labelOnly="1" fieldPosition="0">
        <references count="1">
          <reference field="11" count="0"/>
        </references>
      </pivotArea>
    </format>
    <format dxfId="1318">
      <pivotArea dataOnly="0" labelOnly="1" fieldPosition="0">
        <references count="1">
          <reference field="13" count="0"/>
        </references>
      </pivotArea>
    </format>
    <format dxfId="1317">
      <pivotArea dataOnly="0" labelOnly="1" outline="0" fieldPosition="0">
        <references count="1">
          <reference field="4294967294" count="5">
            <x v="0"/>
            <x v="1"/>
            <x v="2"/>
            <x v="3"/>
            <x v="4"/>
          </reference>
        </references>
      </pivotArea>
    </format>
    <format dxfId="1316">
      <pivotArea type="all" dataOnly="0" outline="0" fieldPosition="0"/>
    </format>
    <format dxfId="1315">
      <pivotArea outline="0" collapsedLevelsAreSubtotals="1" fieldPosition="0"/>
    </format>
    <format dxfId="1314">
      <pivotArea field="3" type="button" dataOnly="0" labelOnly="1" outline="0" axis="axisRow" fieldPosition="1"/>
    </format>
    <format dxfId="1313">
      <pivotArea dataOnly="0" labelOnly="1" fieldPosition="0">
        <references count="1">
          <reference field="3" count="0"/>
        </references>
      </pivotArea>
    </format>
    <format dxfId="1312">
      <pivotArea dataOnly="0" labelOnly="1" grandRow="1" outline="0" fieldPosition="0"/>
    </format>
    <format dxfId="1311">
      <pivotArea dataOnly="0" labelOnly="1" fieldPosition="0">
        <references count="2">
          <reference field="3" count="1" selected="0">
            <x v="0"/>
          </reference>
          <reference field="5" count="1">
            <x v="0"/>
          </reference>
        </references>
      </pivotArea>
    </format>
    <format dxfId="1310">
      <pivotArea dataOnly="0" labelOnly="1" fieldPosition="0">
        <references count="2">
          <reference field="3" count="1" selected="0">
            <x v="1"/>
          </reference>
          <reference field="5" count="2">
            <x v="1"/>
            <x v="2"/>
          </reference>
        </references>
      </pivotArea>
    </format>
    <format dxfId="1309">
      <pivotArea dataOnly="0" labelOnly="1" fieldPosition="0">
        <references count="3">
          <reference field="3" count="1" selected="0">
            <x v="0"/>
          </reference>
          <reference field="5" count="1" selected="0">
            <x v="0"/>
          </reference>
          <reference field="9" count="1">
            <x v="0"/>
          </reference>
        </references>
      </pivotArea>
    </format>
    <format dxfId="1308">
      <pivotArea dataOnly="0" labelOnly="1" fieldPosition="0">
        <references count="3">
          <reference field="3" count="1" selected="0">
            <x v="1"/>
          </reference>
          <reference field="5" count="1" selected="0">
            <x v="1"/>
          </reference>
          <reference field="9" count="8">
            <x v="1"/>
            <x v="2"/>
            <x v="3"/>
            <x v="4"/>
            <x v="5"/>
            <x v="6"/>
            <x v="7"/>
            <x v="8"/>
          </reference>
        </references>
      </pivotArea>
    </format>
    <format dxfId="1307">
      <pivotArea dataOnly="0" labelOnly="1" fieldPosition="0">
        <references count="3">
          <reference field="3" count="1" selected="0">
            <x v="1"/>
          </reference>
          <reference field="5" count="1" selected="0">
            <x v="2"/>
          </reference>
          <reference field="9" count="1">
            <x v="9"/>
          </reference>
        </references>
      </pivotArea>
    </format>
    <format dxfId="130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0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0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0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0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0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0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9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9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9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9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9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9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9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9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9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9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8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8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8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8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8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8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8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8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81">
      <pivotArea dataOnly="0" labelOnly="1" outline="0" fieldPosition="0">
        <references count="1">
          <reference field="4294967294" count="5">
            <x v="0"/>
            <x v="1"/>
            <x v="2"/>
            <x v="3"/>
            <x v="4"/>
          </reference>
        </references>
      </pivotArea>
    </format>
    <format dxfId="1280">
      <pivotArea type="all" dataOnly="0" outline="0" fieldPosition="0"/>
    </format>
    <format dxfId="1279">
      <pivotArea outline="0" collapsedLevelsAreSubtotals="1" fieldPosition="0"/>
    </format>
    <format dxfId="1278">
      <pivotArea field="3" type="button" dataOnly="0" labelOnly="1" outline="0" axis="axisRow" fieldPosition="1"/>
    </format>
    <format dxfId="1277">
      <pivotArea dataOnly="0" labelOnly="1" fieldPosition="0">
        <references count="1">
          <reference field="3" count="0"/>
        </references>
      </pivotArea>
    </format>
    <format dxfId="1276">
      <pivotArea dataOnly="0" labelOnly="1" grandRow="1" outline="0" fieldPosition="0"/>
    </format>
    <format dxfId="1275">
      <pivotArea dataOnly="0" labelOnly="1" fieldPosition="0">
        <references count="2">
          <reference field="3" count="1" selected="0">
            <x v="0"/>
          </reference>
          <reference field="5" count="1">
            <x v="0"/>
          </reference>
        </references>
      </pivotArea>
    </format>
    <format dxfId="1274">
      <pivotArea dataOnly="0" labelOnly="1" fieldPosition="0">
        <references count="2">
          <reference field="3" count="1" selected="0">
            <x v="1"/>
          </reference>
          <reference field="5" count="2">
            <x v="1"/>
            <x v="2"/>
          </reference>
        </references>
      </pivotArea>
    </format>
    <format dxfId="1273">
      <pivotArea dataOnly="0" labelOnly="1" fieldPosition="0">
        <references count="3">
          <reference field="3" count="1" selected="0">
            <x v="0"/>
          </reference>
          <reference field="5" count="1" selected="0">
            <x v="0"/>
          </reference>
          <reference field="9" count="1">
            <x v="0"/>
          </reference>
        </references>
      </pivotArea>
    </format>
    <format dxfId="1272">
      <pivotArea dataOnly="0" labelOnly="1" fieldPosition="0">
        <references count="3">
          <reference field="3" count="1" selected="0">
            <x v="1"/>
          </reference>
          <reference field="5" count="1" selected="0">
            <x v="1"/>
          </reference>
          <reference field="9" count="8">
            <x v="1"/>
            <x v="2"/>
            <x v="3"/>
            <x v="4"/>
            <x v="5"/>
            <x v="6"/>
            <x v="7"/>
            <x v="8"/>
          </reference>
        </references>
      </pivotArea>
    </format>
    <format dxfId="1271">
      <pivotArea dataOnly="0" labelOnly="1" fieldPosition="0">
        <references count="3">
          <reference field="3" count="1" selected="0">
            <x v="1"/>
          </reference>
          <reference field="5" count="1" selected="0">
            <x v="2"/>
          </reference>
          <reference field="9" count="1">
            <x v="9"/>
          </reference>
        </references>
      </pivotArea>
    </format>
    <format dxfId="127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6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6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6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6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6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6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6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6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6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6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5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5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5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5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5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5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5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5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5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5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4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4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4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4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45">
      <pivotArea dataOnly="0" labelOnly="1" outline="0" fieldPosition="0">
        <references count="1">
          <reference field="4294967294" count="5">
            <x v="0"/>
            <x v="1"/>
            <x v="2"/>
            <x v="3"/>
            <x v="4"/>
          </reference>
        </references>
      </pivotArea>
    </format>
    <format dxfId="1244">
      <pivotArea collapsedLevelsAreSubtotals="1" fieldPosition="0">
        <references count="1">
          <reference field="3" count="1">
            <x v="0"/>
          </reference>
        </references>
      </pivotArea>
    </format>
    <format dxfId="1243">
      <pivotArea collapsedLevelsAreSubtotals="1" fieldPosition="0">
        <references count="1">
          <reference field="3" count="1">
            <x v="1"/>
          </reference>
        </references>
      </pivotArea>
    </format>
    <format dxfId="1242">
      <pivotArea collapsedLevelsAreSubtotals="1" fieldPosition="0">
        <references count="3">
          <reference field="3" count="1" selected="0">
            <x v="0"/>
          </reference>
          <reference field="5" count="1" selected="0">
            <x v="0"/>
          </reference>
          <reference field="9" count="1">
            <x v="0"/>
          </reference>
        </references>
      </pivotArea>
    </format>
    <format dxfId="1241">
      <pivotArea collapsedLevelsAreSubtotals="1" fieldPosition="0">
        <references count="3">
          <reference field="3" count="1" selected="0">
            <x v="1"/>
          </reference>
          <reference field="5" count="1" selected="0">
            <x v="1"/>
          </reference>
          <reference field="9" count="1">
            <x v="1"/>
          </reference>
        </references>
      </pivotArea>
    </format>
    <format dxfId="1240">
      <pivotArea collapsedLevelsAreSubtotals="1" fieldPosition="0">
        <references count="3">
          <reference field="3" count="1" selected="0">
            <x v="1"/>
          </reference>
          <reference field="5" count="1" selected="0">
            <x v="1"/>
          </reference>
          <reference field="9" count="1">
            <x v="2"/>
          </reference>
        </references>
      </pivotArea>
    </format>
    <format dxfId="1239">
      <pivotArea collapsedLevelsAreSubtotals="1" fieldPosition="0">
        <references count="3">
          <reference field="3" count="1" selected="0">
            <x v="1"/>
          </reference>
          <reference field="5" count="1" selected="0">
            <x v="1"/>
          </reference>
          <reference field="9" count="1">
            <x v="3"/>
          </reference>
        </references>
      </pivotArea>
    </format>
    <format dxfId="1238">
      <pivotArea collapsedLevelsAreSubtotals="1" fieldPosition="0">
        <references count="3">
          <reference field="3" count="1" selected="0">
            <x v="1"/>
          </reference>
          <reference field="5" count="1" selected="0">
            <x v="1"/>
          </reference>
          <reference field="9" count="1">
            <x v="4"/>
          </reference>
        </references>
      </pivotArea>
    </format>
    <format dxfId="1237">
      <pivotArea collapsedLevelsAreSubtotals="1" fieldPosition="0">
        <references count="3">
          <reference field="3" count="1" selected="0">
            <x v="1"/>
          </reference>
          <reference field="5" count="1" selected="0">
            <x v="1"/>
          </reference>
          <reference field="9" count="1">
            <x v="5"/>
          </reference>
        </references>
      </pivotArea>
    </format>
    <format dxfId="1236">
      <pivotArea collapsedLevelsAreSubtotals="1" fieldPosition="0">
        <references count="3">
          <reference field="3" count="1" selected="0">
            <x v="1"/>
          </reference>
          <reference field="5" count="1" selected="0">
            <x v="1"/>
          </reference>
          <reference field="9" count="1">
            <x v="6"/>
          </reference>
        </references>
      </pivotArea>
    </format>
    <format dxfId="1235">
      <pivotArea collapsedLevelsAreSubtotals="1" fieldPosition="0">
        <references count="3">
          <reference field="3" count="1" selected="0">
            <x v="1"/>
          </reference>
          <reference field="5" count="1" selected="0">
            <x v="1"/>
          </reference>
          <reference field="9" count="1">
            <x v="7"/>
          </reference>
        </references>
      </pivotArea>
    </format>
    <format dxfId="1234">
      <pivotArea collapsedLevelsAreSubtotals="1" fieldPosition="0">
        <references count="3">
          <reference field="3" count="1" selected="0">
            <x v="1"/>
          </reference>
          <reference field="5" count="1" selected="0">
            <x v="1"/>
          </reference>
          <reference field="9" count="1">
            <x v="8"/>
          </reference>
        </references>
      </pivotArea>
    </format>
    <format dxfId="1233">
      <pivotArea collapsedLevelsAreSubtotals="1" fieldPosition="0">
        <references count="3">
          <reference field="3" count="1" selected="0">
            <x v="1"/>
          </reference>
          <reference field="5" count="1" selected="0">
            <x v="2"/>
          </reference>
          <reference field="9" count="1">
            <x v="9"/>
          </reference>
        </references>
      </pivotArea>
    </format>
    <format dxfId="1232">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231">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230">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229">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228">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227">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226">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225">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224">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223">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222">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221">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220">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219">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218">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21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21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215">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1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21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21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211">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10">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09">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0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0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0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19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19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19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19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19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194">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9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19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19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19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18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188">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8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18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18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18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18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18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18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18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17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17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177">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76">
      <pivotArea collapsedLevelsAreSubtotals="1" fieldPosition="0">
        <references count="2">
          <reference field="3" count="1" selected="0">
            <x v="1"/>
          </reference>
          <reference field="5" count="1">
            <x v="1"/>
          </reference>
        </references>
      </pivotArea>
    </format>
    <format dxfId="1175">
      <pivotArea field="3" type="button" dataOnly="0" labelOnly="1" outline="0" axis="axisRow" fieldPosition="1"/>
    </format>
    <format dxfId="1174">
      <pivotArea collapsedLevelsAreSubtotals="1" fieldPosition="0">
        <references count="2">
          <reference field="3" count="1" selected="0">
            <x v="1"/>
          </reference>
          <reference field="5" count="1">
            <x v="2"/>
          </reference>
        </references>
      </pivotArea>
    </format>
    <format dxfId="1173">
      <pivotArea collapsedLevelsAreSubtotals="1" fieldPosition="0">
        <references count="2">
          <reference field="3" count="1" selected="0">
            <x v="0"/>
          </reference>
          <reference field="5" count="1">
            <x v="0"/>
          </reference>
        </references>
      </pivotArea>
    </format>
    <format dxfId="1172">
      <pivotArea field="3" type="button" dataOnly="0" labelOnly="1" outline="0" axis="axisRow" fieldPosition="1"/>
    </format>
    <format dxfId="1171">
      <pivotArea dataOnly="0" labelOnly="1" outline="0" fieldPosition="0">
        <references count="1">
          <reference field="4294967294" count="5">
            <x v="0"/>
            <x v="1"/>
            <x v="2"/>
            <x v="3"/>
            <x v="4"/>
          </reference>
        </references>
      </pivotArea>
    </format>
    <format dxfId="1170">
      <pivotArea field="3" type="button" dataOnly="0" labelOnly="1" outline="0" axis="axisRow" fieldPosition="1"/>
    </format>
    <format dxfId="1169">
      <pivotArea dataOnly="0" labelOnly="1" outline="0" fieldPosition="0">
        <references count="1">
          <reference field="4294967294" count="5">
            <x v="0"/>
            <x v="1"/>
            <x v="2"/>
            <x v="3"/>
            <x v="4"/>
          </reference>
        </references>
      </pivotArea>
    </format>
    <format dxfId="1168">
      <pivotArea field="3" type="button" dataOnly="0" labelOnly="1" outline="0" axis="axisRow" fieldPosition="1"/>
    </format>
    <format dxfId="1167">
      <pivotArea dataOnly="0" labelOnly="1" fieldPosition="0">
        <references count="1">
          <reference field="3" count="0"/>
        </references>
      </pivotArea>
    </format>
    <format dxfId="1166">
      <pivotArea dataOnly="0" labelOnly="1" grandRow="1" outline="0" fieldPosition="0"/>
    </format>
    <format dxfId="1165">
      <pivotArea dataOnly="0" labelOnly="1" fieldPosition="0">
        <references count="2">
          <reference field="3" count="1" selected="0">
            <x v="0"/>
          </reference>
          <reference field="5" count="1">
            <x v="0"/>
          </reference>
        </references>
      </pivotArea>
    </format>
    <format dxfId="1164">
      <pivotArea dataOnly="0" labelOnly="1" fieldPosition="0">
        <references count="2">
          <reference field="3" count="1" selected="0">
            <x v="1"/>
          </reference>
          <reference field="5" count="2">
            <x v="1"/>
            <x v="2"/>
          </reference>
        </references>
      </pivotArea>
    </format>
    <format dxfId="1163">
      <pivotArea dataOnly="0" labelOnly="1" fieldPosition="0">
        <references count="3">
          <reference field="3" count="1" selected="0">
            <x v="0"/>
          </reference>
          <reference field="5" count="1" selected="0">
            <x v="0"/>
          </reference>
          <reference field="9" count="1">
            <x v="0"/>
          </reference>
        </references>
      </pivotArea>
    </format>
    <format dxfId="1162">
      <pivotArea dataOnly="0" labelOnly="1" fieldPosition="0">
        <references count="3">
          <reference field="3" count="1" selected="0">
            <x v="1"/>
          </reference>
          <reference field="5" count="1" selected="0">
            <x v="1"/>
          </reference>
          <reference field="9" count="8">
            <x v="1"/>
            <x v="2"/>
            <x v="3"/>
            <x v="4"/>
            <x v="5"/>
            <x v="6"/>
            <x v="7"/>
            <x v="8"/>
          </reference>
        </references>
      </pivotArea>
    </format>
    <format dxfId="1161">
      <pivotArea dataOnly="0" labelOnly="1" fieldPosition="0">
        <references count="3">
          <reference field="3" count="1" selected="0">
            <x v="1"/>
          </reference>
          <reference field="5" count="1" selected="0">
            <x v="2"/>
          </reference>
          <reference field="9" count="1">
            <x v="9"/>
          </reference>
        </references>
      </pivotArea>
    </format>
    <format dxfId="116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5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5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5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5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5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5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5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5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5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5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4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4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4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4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4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4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4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4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3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3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3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3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35">
      <pivotArea dataOnly="0" labelOnly="1" fieldPosition="0">
        <references count="1">
          <reference field="13" count="0"/>
        </references>
      </pivotArea>
    </format>
    <format dxfId="1134">
      <pivotArea dataOnly="0" labelOnly="1" fieldPosition="0">
        <references count="1">
          <reference field="13" count="0"/>
        </references>
      </pivotArea>
    </format>
    <format dxfId="1133">
      <pivotArea type="all" dataOnly="0" outline="0" fieldPosition="0"/>
    </format>
    <format dxfId="1132">
      <pivotArea outline="0" collapsedLevelsAreSubtotals="1" fieldPosition="0"/>
    </format>
    <format dxfId="1131">
      <pivotArea field="32" type="button" dataOnly="0" labelOnly="1" outline="0" axis="axisRow" fieldPosition="0"/>
    </format>
    <format dxfId="1130">
      <pivotArea dataOnly="0" labelOnly="1" grandRow="1" outline="0" fieldPosition="0"/>
    </format>
    <format dxfId="1129">
      <pivotArea dataOnly="0" labelOnly="1" fieldPosition="0">
        <references count="2">
          <reference field="3" count="0"/>
          <reference field="32" count="0" selected="0"/>
        </references>
      </pivotArea>
    </format>
    <format dxfId="1128">
      <pivotArea dataOnly="0" labelOnly="1" fieldPosition="0">
        <references count="3">
          <reference field="3" count="1" selected="0">
            <x v="0"/>
          </reference>
          <reference field="5" count="1">
            <x v="0"/>
          </reference>
          <reference field="32" count="0" selected="0"/>
        </references>
      </pivotArea>
    </format>
    <format dxfId="1127">
      <pivotArea dataOnly="0" labelOnly="1" fieldPosition="0">
        <references count="3">
          <reference field="3" count="1" selected="0">
            <x v="1"/>
          </reference>
          <reference field="5" count="2">
            <x v="1"/>
            <x v="2"/>
          </reference>
          <reference field="32" count="0" selected="0"/>
        </references>
      </pivotArea>
    </format>
    <format dxfId="1126">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1125">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1124">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1123">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1122">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1121">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1120">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1119">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1118">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1117">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1116">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1115">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1114">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11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112">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111">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11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10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10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107">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110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10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104">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103">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10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101">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1100">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099">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1098">
      <pivotArea dataOnly="0" labelOnly="1" outline="0" fieldPosition="0">
        <references count="1">
          <reference field="4294967294" count="5">
            <x v="0"/>
            <x v="1"/>
            <x v="2"/>
            <x v="3"/>
            <x v="4"/>
          </reference>
        </references>
      </pivotArea>
    </format>
    <format dxfId="1097">
      <pivotArea dataOnly="0" labelOnly="1" fieldPosition="0">
        <references count="1">
          <reference field="33" count="0"/>
        </references>
      </pivotArea>
    </format>
    <format dxfId="1096">
      <pivotArea dataOnly="0" labelOnly="1" fieldPosition="0">
        <references count="1">
          <reference field="34" count="0"/>
        </references>
      </pivotArea>
    </format>
    <format dxfId="1095">
      <pivotArea dataOnly="0" labelOnly="1" fieldPosition="0">
        <references count="1">
          <reference field="34" count="0"/>
        </references>
      </pivotArea>
    </format>
    <format dxfId="1094">
      <pivotArea dataOnly="0" labelOnly="1" fieldPosition="0">
        <references count="1">
          <reference field="34" count="0"/>
        </references>
      </pivotArea>
    </format>
    <format dxfId="1093">
      <pivotArea dataOnly="0" labelOnly="1" fieldPosition="0">
        <references count="1">
          <reference field="34" count="0"/>
        </references>
      </pivotArea>
    </format>
    <format dxfId="1092">
      <pivotArea dataOnly="0" labelOnly="1" fieldPosition="0">
        <references count="1">
          <reference field="33" count="0"/>
        </references>
      </pivotArea>
    </format>
    <format dxfId="1091">
      <pivotArea dataOnly="0" labelOnly="1" fieldPosition="0">
        <references count="1">
          <reference field="33" count="0"/>
        </references>
      </pivotArea>
    </format>
    <format dxfId="1090">
      <pivotArea dataOnly="0" labelOnly="1" fieldPosition="0">
        <references count="1">
          <reference field="33" count="0"/>
        </references>
      </pivotArea>
    </format>
    <format dxfId="1089">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1088">
      <pivotArea dataOnly="0" labelOnly="1" fieldPosition="0">
        <references count="4">
          <reference field="3" count="1" selected="0">
            <x v="0"/>
          </reference>
          <reference field="5" count="1" selected="0">
            <x v="0"/>
          </reference>
          <reference field="32" count="0" selected="0"/>
          <reference field="33" count="1">
            <x v="0"/>
          </reference>
        </references>
      </pivotArea>
    </format>
    <format dxfId="1087">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1086">
      <pivotArea dataOnly="0" labelOnly="1" fieldPosition="0">
        <references count="4">
          <reference field="3" count="1" selected="0">
            <x v="0"/>
          </reference>
          <reference field="5" count="1" selected="0">
            <x v="0"/>
          </reference>
          <reference field="32" count="0" selected="0"/>
          <reference field="33" count="1">
            <x v="1"/>
          </reference>
        </references>
      </pivotArea>
    </format>
    <format dxfId="1085">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1084">
      <pivotArea dataOnly="0" labelOnly="1" fieldPosition="0">
        <references count="4">
          <reference field="3" count="1" selected="0">
            <x v="1"/>
          </reference>
          <reference field="5" count="1" selected="0">
            <x v="1"/>
          </reference>
          <reference field="32" count="0" selected="0"/>
          <reference field="33" count="1">
            <x v="0"/>
          </reference>
        </references>
      </pivotArea>
    </format>
    <format dxfId="1083">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1082">
      <pivotArea dataOnly="0" labelOnly="1" fieldPosition="0">
        <references count="4">
          <reference field="3" count="1" selected="0">
            <x v="1"/>
          </reference>
          <reference field="5" count="1" selected="0">
            <x v="1"/>
          </reference>
          <reference field="32" count="0" selected="0"/>
          <reference field="33" count="1">
            <x v="1"/>
          </reference>
        </references>
      </pivotArea>
    </format>
    <format dxfId="1081">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1080">
      <pivotArea dataOnly="0" labelOnly="1" fieldPosition="0">
        <references count="4">
          <reference field="3" count="1" selected="0">
            <x v="1"/>
          </reference>
          <reference field="5" count="1" selected="0">
            <x v="1"/>
          </reference>
          <reference field="32" count="0" selected="0"/>
          <reference field="33" count="1">
            <x v="2"/>
          </reference>
        </references>
      </pivotArea>
    </format>
    <format dxfId="1079">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1078">
      <pivotArea dataOnly="0" labelOnly="1" fieldPosition="0">
        <references count="4">
          <reference field="3" count="1" selected="0">
            <x v="1"/>
          </reference>
          <reference field="5" count="1" selected="0">
            <x v="1"/>
          </reference>
          <reference field="32" count="0" selected="0"/>
          <reference field="33" count="1">
            <x v="3"/>
          </reference>
        </references>
      </pivotArea>
    </format>
    <format dxfId="1077">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1076">
      <pivotArea dataOnly="0" labelOnly="1" fieldPosition="0">
        <references count="4">
          <reference field="3" count="1" selected="0">
            <x v="1"/>
          </reference>
          <reference field="5" count="1" selected="0">
            <x v="2"/>
          </reference>
          <reference field="32" count="0" selected="0"/>
          <reference field="33" count="1">
            <x v="2"/>
          </reference>
        </references>
      </pivotArea>
    </format>
    <format dxfId="1075">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074">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073">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072">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071">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070">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069">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068">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067">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066">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065">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064">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063">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062">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061">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060">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059">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058">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057">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056">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05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054">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053">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052">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051">
      <pivotArea dataOnly="0" labelOnly="1" fieldPosition="0">
        <references count="1">
          <reference field="32" count="0"/>
        </references>
      </pivotArea>
    </format>
    <format dxfId="1050">
      <pivotArea collapsedLevelsAreSubtotals="1" fieldPosition="0">
        <references count="1">
          <reference field="32" count="0"/>
        </references>
      </pivotArea>
    </format>
    <format dxfId="1049">
      <pivotArea dataOnly="0" labelOnly="1" fieldPosition="0">
        <references count="1">
          <reference field="32" count="0"/>
        </references>
      </pivotArea>
    </format>
    <format dxfId="1048">
      <pivotArea dataOnly="0" labelOnly="1" fieldPosition="0">
        <references count="1">
          <reference field="13" count="0"/>
        </references>
      </pivotArea>
    </format>
    <format dxfId="104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04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04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04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04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04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041">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04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03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03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03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03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035">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03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0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0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0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0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02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0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02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0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02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02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02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02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021">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02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019">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01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01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01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01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01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01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01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01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0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00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0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00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00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00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00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00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0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00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00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999">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99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9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9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9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9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99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9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99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9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98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9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98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98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98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98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98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98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98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98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97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97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977">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97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97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97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97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97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97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97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96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96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967">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96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965">
      <pivotArea dataOnly="0" labelOnly="1" fieldPosition="0">
        <references count="1">
          <reference field="11" count="0"/>
        </references>
      </pivotArea>
    </format>
    <format dxfId="964">
      <pivotArea dataOnly="0" labelOnly="1" fieldPosition="0">
        <references count="1">
          <reference field="11" count="0"/>
        </references>
      </pivotArea>
    </format>
    <format dxfId="963">
      <pivotArea dataOnly="0" labelOnly="1" fieldPosition="0">
        <references count="1">
          <reference field="13" count="0"/>
        </references>
      </pivotArea>
    </format>
    <format dxfId="962">
      <pivotArea dataOnly="0" labelOnly="1" fieldPosition="0">
        <references count="1">
          <reference field="13" count="0"/>
        </references>
      </pivotArea>
    </format>
    <format dxfId="961">
      <pivotArea dataOnly="0" labelOnly="1" fieldPosition="0">
        <references count="1">
          <reference field="34" count="0"/>
        </references>
      </pivotArea>
    </format>
    <format dxfId="960">
      <pivotArea dataOnly="0" labelOnly="1" fieldPosition="0">
        <references count="1">
          <reference field="34" count="0"/>
        </references>
      </pivotArea>
    </format>
    <format dxfId="9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2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2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2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2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2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1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1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91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91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91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91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913">
      <pivotArea dataOnly="0" labelOnly="1" fieldPosition="0">
        <references count="1">
          <reference field="11" count="0"/>
        </references>
      </pivotArea>
    </format>
    <format dxfId="912">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1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10">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09">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08">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07">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06">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0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0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0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0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0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0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89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898">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897">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896">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895">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894">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893">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892">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891">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890">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89">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88">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8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8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8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84">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88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882">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8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80">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879">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878">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877">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87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87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874">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87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872">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87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870">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86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86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86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86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86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86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86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862">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86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860">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859">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85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85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85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85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854">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5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52">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5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5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4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4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84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84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45">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44">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84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842">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84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840">
      <pivotArea outline="0" collapsedLevelsAreSubtotals="1" fieldPosition="0"/>
    </format>
    <format dxfId="83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83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83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83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835">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834">
      <pivotArea dataOnly="0" labelOnly="1" grandRow="1" outline="0" fieldPosition="0"/>
    </format>
    <format dxfId="833">
      <pivotArea collapsedLevelsAreSubtotals="1" fieldPosition="0">
        <references count="2">
          <reference field="4294967294" count="1" selected="0">
            <x v="4"/>
          </reference>
          <reference field="3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4">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832">
      <pivotArea outline="0" collapsedLevelsAreSubtotals="1" fieldPosition="0"/>
    </format>
    <format dxfId="831">
      <pivotArea type="all" dataOnly="0" outline="0" fieldPosition="0"/>
    </format>
    <format dxfId="830">
      <pivotArea outline="0" collapsedLevelsAreSubtotals="1" fieldPosition="0"/>
    </format>
    <format dxfId="829">
      <pivotArea field="33" type="button" dataOnly="0" labelOnly="1" outline="0" axis="axisRow" fieldPosition="0"/>
    </format>
    <format dxfId="828">
      <pivotArea dataOnly="0" labelOnly="1" grandRow="1" outline="0" fieldPosition="0"/>
    </format>
    <format dxfId="827">
      <pivotArea dataOnly="0" labelOnly="1" outline="0" fieldPosition="0">
        <references count="1">
          <reference field="4294967294" count="4">
            <x v="0"/>
            <x v="1"/>
            <x v="2"/>
            <x v="3"/>
          </reference>
        </references>
      </pivotArea>
    </format>
    <format dxfId="826">
      <pivotArea dataOnly="0" labelOnly="1" fieldPosition="0">
        <references count="1">
          <reference field="33" count="0"/>
        </references>
      </pivotArea>
    </format>
    <format dxfId="825">
      <pivotArea collapsedLevelsAreSubtotals="1" fieldPosition="0">
        <references count="1">
          <reference field="33" count="1">
            <x v="0"/>
          </reference>
        </references>
      </pivotArea>
    </format>
    <format dxfId="824">
      <pivotArea dataOnly="0" labelOnly="1" fieldPosition="0">
        <references count="1">
          <reference field="33" count="1">
            <x v="0"/>
          </reference>
        </references>
      </pivotArea>
    </format>
    <format dxfId="823">
      <pivotArea collapsedLevelsAreSubtotals="1" fieldPosition="0">
        <references count="1">
          <reference field="33" count="1">
            <x v="1"/>
          </reference>
        </references>
      </pivotArea>
    </format>
    <format dxfId="822">
      <pivotArea dataOnly="0" labelOnly="1" fieldPosition="0">
        <references count="1">
          <reference field="33" count="1">
            <x v="1"/>
          </reference>
        </references>
      </pivotArea>
    </format>
    <format dxfId="821">
      <pivotArea collapsedLevelsAreSubtotals="1" fieldPosition="0">
        <references count="1">
          <reference field="33" count="1">
            <x v="2"/>
          </reference>
        </references>
      </pivotArea>
    </format>
    <format dxfId="820">
      <pivotArea dataOnly="0" labelOnly="1" fieldPosition="0">
        <references count="1">
          <reference field="33" count="1">
            <x v="2"/>
          </reference>
        </references>
      </pivotArea>
    </format>
    <format dxfId="819">
      <pivotArea collapsedLevelsAreSubtotals="1" fieldPosition="0">
        <references count="1">
          <reference field="33" count="1">
            <x v="3"/>
          </reference>
        </references>
      </pivotArea>
    </format>
    <format dxfId="818">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F794B-297B-4E74-89C7-5B3BEC3E056C}"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N58" firstHeaderRow="0" firstDataRow="1" firstDataCol="1"/>
  <pivotFields count="55">
    <pivotField showAll="0"/>
    <pivotField showAll="0">
      <items count="2">
        <item x="0"/>
        <item t="default"/>
      </items>
    </pivotField>
    <pivotField showAll="0">
      <items count="3">
        <item x="0"/>
        <item x="1"/>
        <item t="default"/>
      </items>
    </pivotField>
    <pivotField axis="axisRow" showAll="0">
      <items count="3">
        <item x="0"/>
        <item x="1"/>
        <item t="default"/>
      </items>
    </pivotField>
    <pivotField showAll="0"/>
    <pivotField axis="axisRow" showAll="0">
      <items count="4">
        <item x="0"/>
        <item x="1"/>
        <item x="2"/>
        <item t="default"/>
      </items>
    </pivotField>
    <pivotField showAll="0">
      <items count="7">
        <item x="0"/>
        <item x="1"/>
        <item x="2"/>
        <item x="3"/>
        <item x="5"/>
        <item x="4"/>
        <item t="default"/>
      </items>
    </pivotField>
    <pivotField showAll="0">
      <items count="7">
        <item x="0"/>
        <item x="1"/>
        <item x="2"/>
        <item x="3"/>
        <item x="4"/>
        <item x="5"/>
        <item t="default"/>
      </items>
    </pivotField>
    <pivotField showAll="0"/>
    <pivotField axis="axisRow" showAll="0">
      <items count="11">
        <item x="0"/>
        <item x="1"/>
        <item x="2"/>
        <item x="3"/>
        <item x="4"/>
        <item x="5"/>
        <item x="6"/>
        <item x="7"/>
        <item x="8"/>
        <item x="9"/>
        <item t="default"/>
      </items>
    </pivotField>
    <pivotField showAll="0"/>
    <pivotField showAll="0"/>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items count="24">
        <item x="14"/>
        <item x="15"/>
        <item x="18"/>
        <item x="3"/>
        <item x="4"/>
        <item x="12"/>
        <item x="8"/>
        <item x="11"/>
        <item x="9"/>
        <item x="13"/>
        <item x="22"/>
        <item x="16"/>
        <item x="17"/>
        <item x="19"/>
        <item x="20"/>
        <item x="21"/>
        <item x="10"/>
        <item x="0"/>
        <item x="5"/>
        <item x="1"/>
        <item x="6"/>
        <item x="2"/>
        <item x="7"/>
        <item t="default"/>
      </items>
    </pivotField>
    <pivotField axis="axisRow" showAll="0">
      <items count="18">
        <item x="11"/>
        <item x="12"/>
        <item x="15"/>
        <item x="0"/>
        <item x="3"/>
        <item x="9"/>
        <item x="4"/>
        <item x="8"/>
        <item x="1"/>
        <item x="10"/>
        <item x="5"/>
        <item x="13"/>
        <item x="14"/>
        <item x="2"/>
        <item x="6"/>
        <item x="16"/>
        <item x="7"/>
        <item t="default"/>
      </items>
    </pivotField>
    <pivotField dataField="1" numFmtId="41" showAll="0"/>
    <pivotField numFmtId="41"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showAll="0"/>
    <pivotField showAll="0">
      <items count="5">
        <item x="1"/>
        <item x="0"/>
        <item x="3"/>
        <item x="2"/>
        <item t="default"/>
      </items>
    </pivotField>
    <pivotField showAll="0">
      <items count="9">
        <item h="1" x="6"/>
        <item h="1" x="2"/>
        <item h="1" x="3"/>
        <item h="1" x="7"/>
        <item h="1" x="0"/>
        <item h="1" x="5"/>
        <item h="1" x="1"/>
        <item x="4"/>
        <item t="default"/>
      </items>
    </pivotField>
    <pivotField showAll="0"/>
    <pivotField showAll="0"/>
    <pivotField numFmtId="41" showAll="0"/>
    <pivotField numFmtId="43" showAll="0"/>
    <pivotField numFmtId="41" showAll="0"/>
    <pivotField numFmtId="43"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3"/>
    <field x="5"/>
    <field x="9"/>
    <field x="13"/>
    <field x="15"/>
  </rowFields>
  <rowItems count="51">
    <i>
      <x v="1"/>
    </i>
    <i r="1">
      <x v="1"/>
    </i>
    <i r="2">
      <x v="1"/>
    </i>
    <i r="3">
      <x/>
    </i>
    <i r="4">
      <x v="16"/>
    </i>
    <i r="2">
      <x v="3"/>
    </i>
    <i r="3">
      <x v="4"/>
    </i>
    <i r="4">
      <x v="3"/>
    </i>
    <i r="4">
      <x v="13"/>
    </i>
    <i r="4">
      <x v="14"/>
    </i>
    <i r="3">
      <x v="16"/>
    </i>
    <i r="4">
      <x v="3"/>
    </i>
    <i r="4">
      <x v="10"/>
    </i>
    <i r="4">
      <x v="13"/>
    </i>
    <i r="3">
      <x v="22"/>
    </i>
    <i r="4">
      <x v="3"/>
    </i>
    <i r="4">
      <x v="7"/>
    </i>
    <i r="4">
      <x v="13"/>
    </i>
    <i r="4">
      <x v="14"/>
    </i>
    <i r="3">
      <x v="28"/>
    </i>
    <i r="4">
      <x v="3"/>
    </i>
    <i r="4">
      <x v="13"/>
    </i>
    <i r="4">
      <x v="14"/>
    </i>
    <i r="3">
      <x v="29"/>
    </i>
    <i r="4">
      <x v="3"/>
    </i>
    <i r="4">
      <x v="5"/>
    </i>
    <i r="4">
      <x v="9"/>
    </i>
    <i r="4">
      <x v="10"/>
    </i>
    <i r="4">
      <x v="13"/>
    </i>
    <i r="4">
      <x v="14"/>
    </i>
    <i r="2">
      <x v="4"/>
    </i>
    <i r="3">
      <x v="34"/>
    </i>
    <i r="4">
      <x/>
    </i>
    <i r="4">
      <x v="6"/>
    </i>
    <i r="3">
      <x v="35"/>
    </i>
    <i r="4">
      <x v="1"/>
    </i>
    <i r="4">
      <x v="7"/>
    </i>
    <i r="3">
      <x v="36"/>
    </i>
    <i r="4">
      <x v="11"/>
    </i>
    <i r="4">
      <x v="12"/>
    </i>
    <i r="3">
      <x v="37"/>
    </i>
    <i r="4">
      <x/>
    </i>
    <i r="4">
      <x v="2"/>
    </i>
    <i r="3">
      <x v="38"/>
    </i>
    <i r="4">
      <x/>
    </i>
    <i r="4">
      <x v="6"/>
    </i>
    <i r="4">
      <x v="11"/>
    </i>
    <i r="2">
      <x v="5"/>
    </i>
    <i r="3">
      <x v="5"/>
    </i>
    <i r="4">
      <x v="16"/>
    </i>
    <i t="grand">
      <x/>
    </i>
  </rowItems>
  <colFields count="1">
    <field x="-2"/>
  </colFields>
  <colItems count="11">
    <i>
      <x/>
    </i>
    <i i="1">
      <x v="1"/>
    </i>
    <i i="2">
      <x v="2"/>
    </i>
    <i i="3">
      <x v="3"/>
    </i>
    <i i="4">
      <x v="4"/>
    </i>
    <i i="5">
      <x v="5"/>
    </i>
    <i i="6">
      <x v="6"/>
    </i>
    <i i="7">
      <x v="7"/>
    </i>
    <i i="8">
      <x v="8"/>
    </i>
    <i i="9">
      <x v="9"/>
    </i>
    <i i="10">
      <x v="10"/>
    </i>
  </colItems>
  <dataFields count="11">
    <dataField name="Sum of Pagu" fld="16" baseField="0" baseItem="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25">
    <format dxfId="817">
      <pivotArea outline="0" collapsedLevelsAreSubtotals="1" fieldPosition="0"/>
    </format>
    <format dxfId="816">
      <pivotArea type="all" dataOnly="0" outline="0" fieldPosition="0"/>
    </format>
    <format dxfId="815">
      <pivotArea outline="0" collapsedLevelsAreSubtotals="1" fieldPosition="0"/>
    </format>
    <format dxfId="814">
      <pivotArea field="3" type="button" dataOnly="0" labelOnly="1" outline="0" axis="axisRow" fieldPosition="0"/>
    </format>
    <format dxfId="813">
      <pivotArea dataOnly="0" labelOnly="1" fieldPosition="0">
        <references count="1">
          <reference field="3" count="1">
            <x v="1"/>
          </reference>
        </references>
      </pivotArea>
    </format>
    <format dxfId="812">
      <pivotArea dataOnly="0" labelOnly="1" grandRow="1" outline="0" fieldPosition="0"/>
    </format>
    <format dxfId="811">
      <pivotArea dataOnly="0" labelOnly="1" fieldPosition="0">
        <references count="2">
          <reference field="3" count="1" selected="0">
            <x v="1"/>
          </reference>
          <reference field="5" count="1">
            <x v="1"/>
          </reference>
        </references>
      </pivotArea>
    </format>
    <format dxfId="810">
      <pivotArea dataOnly="0" labelOnly="1" fieldPosition="0">
        <references count="3">
          <reference field="3" count="1" selected="0">
            <x v="1"/>
          </reference>
          <reference field="5" count="1" selected="0">
            <x v="1"/>
          </reference>
          <reference field="9" count="4">
            <x v="1"/>
            <x v="3"/>
            <x v="4"/>
            <x v="5"/>
          </reference>
        </references>
      </pivotArea>
    </format>
    <format dxfId="809">
      <pivotArea dataOnly="0" labelOnly="1" fieldPosition="0">
        <references count="4">
          <reference field="3" count="1" selected="0">
            <x v="1"/>
          </reference>
          <reference field="5" count="1" selected="0">
            <x v="1"/>
          </reference>
          <reference field="9" count="1" selected="0">
            <x v="1"/>
          </reference>
          <reference field="13" count="1">
            <x v="0"/>
          </reference>
        </references>
      </pivotArea>
    </format>
    <format dxfId="808">
      <pivotArea dataOnly="0" labelOnly="1" fieldPosition="0">
        <references count="4">
          <reference field="3" count="1" selected="0">
            <x v="1"/>
          </reference>
          <reference field="5" count="1" selected="0">
            <x v="1"/>
          </reference>
          <reference field="9" count="1" selected="0">
            <x v="3"/>
          </reference>
          <reference field="13" count="5">
            <x v="4"/>
            <x v="16"/>
            <x v="22"/>
            <x v="28"/>
            <x v="29"/>
          </reference>
        </references>
      </pivotArea>
    </format>
    <format dxfId="807">
      <pivotArea dataOnly="0" labelOnly="1" fieldPosition="0">
        <references count="4">
          <reference field="3" count="1" selected="0">
            <x v="1"/>
          </reference>
          <reference field="5" count="1" selected="0">
            <x v="1"/>
          </reference>
          <reference field="9" count="1" selected="0">
            <x v="4"/>
          </reference>
          <reference field="13" count="5">
            <x v="34"/>
            <x v="35"/>
            <x v="36"/>
            <x v="37"/>
            <x v="38"/>
          </reference>
        </references>
      </pivotArea>
    </format>
    <format dxfId="806">
      <pivotArea dataOnly="0" labelOnly="1" fieldPosition="0">
        <references count="4">
          <reference field="3" count="1" selected="0">
            <x v="1"/>
          </reference>
          <reference field="5" count="1" selected="0">
            <x v="1"/>
          </reference>
          <reference field="9" count="1" selected="0">
            <x v="5"/>
          </reference>
          <reference field="13" count="1">
            <x v="5"/>
          </reference>
        </references>
      </pivotArea>
    </format>
    <format dxfId="805">
      <pivotArea dataOnly="0" labelOnly="1" fieldPosition="0">
        <references count="5">
          <reference field="3" count="1" selected="0">
            <x v="1"/>
          </reference>
          <reference field="5" count="1" selected="0">
            <x v="1"/>
          </reference>
          <reference field="9" count="1" selected="0">
            <x v="1"/>
          </reference>
          <reference field="13" count="1" selected="0">
            <x v="0"/>
          </reference>
          <reference field="15" count="1">
            <x v="16"/>
          </reference>
        </references>
      </pivotArea>
    </format>
    <format dxfId="804">
      <pivotArea dataOnly="0" labelOnly="1" fieldPosition="0">
        <references count="5">
          <reference field="3" count="1" selected="0">
            <x v="1"/>
          </reference>
          <reference field="5" count="1" selected="0">
            <x v="1"/>
          </reference>
          <reference field="9" count="1" selected="0">
            <x v="3"/>
          </reference>
          <reference field="13" count="1" selected="0">
            <x v="4"/>
          </reference>
          <reference field="15" count="3">
            <x v="3"/>
            <x v="13"/>
            <x v="14"/>
          </reference>
        </references>
      </pivotArea>
    </format>
    <format dxfId="803">
      <pivotArea dataOnly="0" labelOnly="1" fieldPosition="0">
        <references count="5">
          <reference field="3" count="1" selected="0">
            <x v="1"/>
          </reference>
          <reference field="5" count="1" selected="0">
            <x v="1"/>
          </reference>
          <reference field="9" count="1" selected="0">
            <x v="3"/>
          </reference>
          <reference field="13" count="1" selected="0">
            <x v="16"/>
          </reference>
          <reference field="15" count="3">
            <x v="3"/>
            <x v="10"/>
            <x v="13"/>
          </reference>
        </references>
      </pivotArea>
    </format>
    <format dxfId="802">
      <pivotArea dataOnly="0" labelOnly="1" fieldPosition="0">
        <references count="5">
          <reference field="3" count="1" selected="0">
            <x v="1"/>
          </reference>
          <reference field="5" count="1" selected="0">
            <x v="1"/>
          </reference>
          <reference field="9" count="1" selected="0">
            <x v="3"/>
          </reference>
          <reference field="13" count="1" selected="0">
            <x v="22"/>
          </reference>
          <reference field="15" count="4">
            <x v="3"/>
            <x v="7"/>
            <x v="13"/>
            <x v="14"/>
          </reference>
        </references>
      </pivotArea>
    </format>
    <format dxfId="801">
      <pivotArea dataOnly="0" labelOnly="1" fieldPosition="0">
        <references count="5">
          <reference field="3" count="1" selected="0">
            <x v="1"/>
          </reference>
          <reference field="5" count="1" selected="0">
            <x v="1"/>
          </reference>
          <reference field="9" count="1" selected="0">
            <x v="3"/>
          </reference>
          <reference field="13" count="1" selected="0">
            <x v="28"/>
          </reference>
          <reference field="15" count="3">
            <x v="3"/>
            <x v="13"/>
            <x v="14"/>
          </reference>
        </references>
      </pivotArea>
    </format>
    <format dxfId="800">
      <pivotArea dataOnly="0" labelOnly="1" fieldPosition="0">
        <references count="5">
          <reference field="3" count="1" selected="0">
            <x v="1"/>
          </reference>
          <reference field="5" count="1" selected="0">
            <x v="1"/>
          </reference>
          <reference field="9" count="1" selected="0">
            <x v="3"/>
          </reference>
          <reference field="13" count="1" selected="0">
            <x v="29"/>
          </reference>
          <reference field="15" count="6">
            <x v="3"/>
            <x v="5"/>
            <x v="9"/>
            <x v="10"/>
            <x v="13"/>
            <x v="14"/>
          </reference>
        </references>
      </pivotArea>
    </format>
    <format dxfId="799">
      <pivotArea dataOnly="0" labelOnly="1" fieldPosition="0">
        <references count="5">
          <reference field="3" count="1" selected="0">
            <x v="1"/>
          </reference>
          <reference field="5" count="1" selected="0">
            <x v="1"/>
          </reference>
          <reference field="9" count="1" selected="0">
            <x v="4"/>
          </reference>
          <reference field="13" count="1" selected="0">
            <x v="34"/>
          </reference>
          <reference field="15" count="2">
            <x v="0"/>
            <x v="6"/>
          </reference>
        </references>
      </pivotArea>
    </format>
    <format dxfId="798">
      <pivotArea dataOnly="0" labelOnly="1" fieldPosition="0">
        <references count="5">
          <reference field="3" count="1" selected="0">
            <x v="1"/>
          </reference>
          <reference field="5" count="1" selected="0">
            <x v="1"/>
          </reference>
          <reference field="9" count="1" selected="0">
            <x v="4"/>
          </reference>
          <reference field="13" count="1" selected="0">
            <x v="35"/>
          </reference>
          <reference field="15" count="2">
            <x v="1"/>
            <x v="7"/>
          </reference>
        </references>
      </pivotArea>
    </format>
    <format dxfId="797">
      <pivotArea dataOnly="0" labelOnly="1" fieldPosition="0">
        <references count="5">
          <reference field="3" count="1" selected="0">
            <x v="1"/>
          </reference>
          <reference field="5" count="1" selected="0">
            <x v="1"/>
          </reference>
          <reference field="9" count="1" selected="0">
            <x v="4"/>
          </reference>
          <reference field="13" count="1" selected="0">
            <x v="36"/>
          </reference>
          <reference field="15" count="2">
            <x v="11"/>
            <x v="12"/>
          </reference>
        </references>
      </pivotArea>
    </format>
    <format dxfId="796">
      <pivotArea dataOnly="0" labelOnly="1" fieldPosition="0">
        <references count="5">
          <reference field="3" count="1" selected="0">
            <x v="1"/>
          </reference>
          <reference field="5" count="1" selected="0">
            <x v="1"/>
          </reference>
          <reference field="9" count="1" selected="0">
            <x v="4"/>
          </reference>
          <reference field="13" count="1" selected="0">
            <x v="37"/>
          </reference>
          <reference field="15" count="2">
            <x v="0"/>
            <x v="2"/>
          </reference>
        </references>
      </pivotArea>
    </format>
    <format dxfId="795">
      <pivotArea dataOnly="0" labelOnly="1" fieldPosition="0">
        <references count="5">
          <reference field="3" count="1" selected="0">
            <x v="1"/>
          </reference>
          <reference field="5" count="1" selected="0">
            <x v="1"/>
          </reference>
          <reference field="9" count="1" selected="0">
            <x v="4"/>
          </reference>
          <reference field="13" count="1" selected="0">
            <x v="38"/>
          </reference>
          <reference field="15" count="3">
            <x v="0"/>
            <x v="6"/>
            <x v="11"/>
          </reference>
        </references>
      </pivotArea>
    </format>
    <format dxfId="794">
      <pivotArea dataOnly="0" labelOnly="1" fieldPosition="0">
        <references count="5">
          <reference field="3" count="1" selected="0">
            <x v="1"/>
          </reference>
          <reference field="5" count="1" selected="0">
            <x v="1"/>
          </reference>
          <reference field="9" count="1" selected="0">
            <x v="5"/>
          </reference>
          <reference field="13" count="1" selected="0">
            <x v="5"/>
          </reference>
          <reference field="15" count="1">
            <x v="16"/>
          </reference>
        </references>
      </pivotArea>
    </format>
    <format dxfId="793">
      <pivotArea dataOnly="0" labelOnly="1" outline="0" fieldPosition="0">
        <references count="1">
          <reference field="4294967294" count="11">
            <x v="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8">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 x="97" nd="1"/>
        <i x="9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1FC5E36-EC82-4355-B7F1-3B68190081A8}" sourceName="koordinator">
  <pivotTables>
    <pivotTable tabId="36" name="PivotTable1"/>
  </pivotTables>
  <data>
    <tabular pivotCacheId="1683487919">
      <items count="4">
        <i x="2" s="1"/>
        <i x="1"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831F1E8E-AB45-4BC7-A453-C3B79CC5F6DA}" sourceName="Subkoordinator">
  <pivotTables>
    <pivotTable tabId="36" name="PivotTable1"/>
  </pivotTables>
  <data>
    <tabular pivotCacheId="1683487919">
      <items count="8">
        <i x="6"/>
        <i x="2"/>
        <i x="3"/>
        <i x="7"/>
        <i x="0"/>
        <i x="5"/>
        <i x="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BC96931-33D5-4F01-879D-1E7A8786A160}" cache="Slicer_koordinator1" caption="koordinator" rowHeight="241300"/>
  <slicer name="Subkoordinator 1" xr10:uid="{B7098EE5-7AB4-4CDF-822E-A068484D526B}" cache="Slicer_Subkoordinator1"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332">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331">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330">
      <calculatedColumnFormula>_xlfn.TEXTJOIN(" - ",TRUE,Subkoord[[#This Row],[id]],Subkoord[[#This Row],[skrdklpk]])</calculatedColumnFormula>
    </tableColumn>
    <tableColumn id="7" xr3:uid="{BB0E08D1-7433-45E1-9A8E-F09478BEE345}" name="Koordinator" dataDxfId="1329">
      <calculatedColumnFormula array="1">INDEX(Koord[Koordinator],MATCH(1,(Subkoord[[#This Row],[id2]]=Koord[id2])*(Subkoord[[#This Row],[id3]]=Koord[id]),0))</calculatedColumnFormula>
    </tableColumn>
    <tableColumn id="8" xr3:uid="{CE9A8D26-5115-4AB0-A0D6-173532BAC073}" name="Eselon2" dataDxfId="1328">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559" dataDxfId="558" totalsRowDxfId="557" headerRowBorderDxfId="555" tableBorderDxfId="556" totalsRowBorderDxfId="554">
  <autoFilter ref="B10:O205" xr:uid="{5439E600-4AE6-4A9C-BF96-1F8B4649EF5E}"/>
  <sortState xmlns:xlrd2="http://schemas.microsoft.com/office/spreadsheetml/2017/richdata2" ref="B11:O181">
    <sortCondition ref="C10:C181"/>
  </sortState>
  <tableColumns count="14">
    <tableColumn id="1" xr3:uid="{EA3EA993-E9B8-4175-AE78-56C2DE826084}" name="No" dataDxfId="553" totalsRowDxfId="539" dataCellStyle="Normal 4"/>
    <tableColumn id="14" xr3:uid="{39BE1E11-4C0D-43C9-A7CF-CFD7B6D88EC1}" name="Urut" dataDxfId="552" totalsRowDxfId="538" dataCellStyle="Normal 4"/>
    <tableColumn id="2" xr3:uid="{55765DF9-9B2D-49B2-8C10-51C6F4795A2B}" name="Nomor SP2D" dataDxfId="551" totalsRowDxfId="537"/>
    <tableColumn id="3" xr3:uid="{95F2A4A6-178D-4D09-BEC2-A35DA9DD284C}" name="Tanggal SP2D" dataDxfId="550" totalsRowDxfId="536"/>
    <tableColumn id="4" xr3:uid="{1BFC6E15-B107-44FC-880F-0FA398A70437}" name="Nilai SP2D" totalsRowFunction="sum" dataDxfId="549" totalsRowDxfId="535" dataCellStyle="Comma [0]"/>
    <tableColumn id="5" xr3:uid="{BA79B4B6-6D4D-4C40-A794-FBA956D546A8}" name="Jenis SPM" dataDxfId="548" totalsRowDxfId="534"/>
    <tableColumn id="6" xr3:uid="{0728F6B3-877B-4801-849D-78A7FD394756}" name="Nomor Invoice" dataDxfId="547" totalsRowDxfId="533"/>
    <tableColumn id="7" xr3:uid="{BC8C9A9E-906E-4F73-AA7C-36C21228DCD0}" name="Tanggal Invoice" dataDxfId="546" totalsRowDxfId="532"/>
    <tableColumn id="8" xr3:uid="{4F370E97-CC92-41D4-B70A-C2C397F13E5F}" name="Jenis SP2D" dataDxfId="545" totalsRowDxfId="531"/>
    <tableColumn id="9" xr3:uid="{5AB0F2BB-729E-4A36-99C2-531506F2E0D4}" name="Deskripsi" dataDxfId="544" totalsRowDxfId="530"/>
    <tableColumn id="10" xr3:uid="{E9855FB4-726E-4E0F-A40E-89C5AF4CAAE7}" name="Bagian / Bidang" dataDxfId="543" totalsRowDxfId="529" dataCellStyle="Normal 4"/>
    <tableColumn id="11" xr3:uid="{07CEE088-AC9A-406D-AECA-D9F23626D4D5}" name="Subbagian / Subbidang" dataDxfId="542" totalsRowDxfId="528" dataCellStyle="Normal 4"/>
    <tableColumn id="13" xr3:uid="{7D701C80-B1AD-4D78-B3C3-525A71261916}" name="Status Realisasi" dataDxfId="541" totalsRowDxfId="527" dataCellStyle="Normal 4"/>
    <tableColumn id="12" xr3:uid="{BE916C21-2F59-4DE9-9BDF-707A1C1956B2}" name="all" dataDxfId="540" totalsRowDxfId="52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792" dataDxfId="791">
  <autoFilter ref="A3:BA143" xr:uid="{0C46C9EE-53F2-428C-9BE4-AA19FA2987DF}"/>
  <tableColumns count="53">
    <tableColumn id="1" xr3:uid="{A2BC3788-B1CE-4A3F-B6F3-D1D27F201210}" name="kddept" dataDxfId="790"/>
    <tableColumn id="2" xr3:uid="{2DB0BCF7-353A-4057-BFD0-5A9AFD7AD377}" name="kdunit" dataDxfId="789"/>
    <tableColumn id="3" xr3:uid="{6BCC3689-465C-41AB-AA41-B61148952378}" name="kdprogram" dataDxfId="788"/>
    <tableColumn id="4" xr3:uid="{2A5A7B58-839E-4216-A115-BA31451747CC}" name="Program" dataDxfId="787"/>
    <tableColumn id="5" xr3:uid="{B90B5CFD-D8F4-48C4-81DF-60CCA43D8B33}" name="kdgiat" dataDxfId="786"/>
    <tableColumn id="6" xr3:uid="{665306DE-5004-4796-BA54-AF3E581B23DE}" name="Kegiatan" dataDxfId="785"/>
    <tableColumn id="7" xr3:uid="{896282BA-49FB-4172-920C-20AE0DBD436D}" name="kdoutput" dataDxfId="784"/>
    <tableColumn id="8" xr3:uid="{81ACE6BC-C81E-44B5-AC16-FA7339E6C95D}" name="Output" dataDxfId="783"/>
    <tableColumn id="9" xr3:uid="{B9A79FBA-908D-418C-864B-733536EBB6AD}" name="kdsoutput" dataDxfId="782"/>
    <tableColumn id="10" xr3:uid="{8730A0E5-24CD-4DD0-97C9-7EB5897F6937}" name="SubOutput" dataDxfId="781"/>
    <tableColumn id="11" xr3:uid="{A1213678-0772-43DE-9A68-4CCAC2CAB97F}" name="kdkmpnen" dataDxfId="780"/>
    <tableColumn id="12" xr3:uid="{13F01672-806F-47CD-8E7B-DBEF02211C49}" name="Komponen" dataDxfId="779"/>
    <tableColumn id="13" xr3:uid="{EE24777D-4C50-49CF-9D51-B1D10E6B59C5}" name="kdskmpnen" dataDxfId="778"/>
    <tableColumn id="14" xr3:uid="{6B16732C-65AB-40BC-9BE7-38F27B545CA4}" name="SubKomponen" dataDxfId="777"/>
    <tableColumn id="15" xr3:uid="{9DE11426-CAD6-4307-AF79-5BA31FE425C4}" name="kdakun" dataDxfId="776"/>
    <tableColumn id="16" xr3:uid="{95D2AD80-8C0A-4582-9C73-FCD7148568BD}" name="Akun" dataDxfId="775"/>
    <tableColumn id="17" xr3:uid="{1099A73B-6EFE-4758-9112-C98BE9AF6233}" name="Pagu" dataDxfId="774" dataCellStyle="Comma [0]">
      <calculatedColumnFormula array="1">SUM(_xlfn._xlws.FILTER(DIPA2[PaguRevisi],DIPA2[Akun]=SP2D[[#This Row],[Kode Akun]],0))</calculatedColumnFormula>
    </tableColumn>
    <tableColumn id="18" xr3:uid="{F5761B11-9E81-4F7C-BD95-CB52A5BA049C}" name="Pagu Semula" dataDxfId="773" dataCellStyle="Comma [0]"/>
    <tableColumn id="52" xr3:uid="{756AF1CD-7E6D-49D5-9982-55502306D24E}" name="Blokir AA ke 1" dataDxfId="772" dataCellStyle="Comma [0]"/>
    <tableColumn id="53" xr3:uid="{6DF30DE6-28F7-4458-802A-BCB387ECC2BB}" name="Blokir AA ke 2" dataDxfId="771" dataCellStyle="Comma [0]">
      <calculatedColumnFormula>SP2D[[#This Row],[Pagu Semula]]-SP2D[[#This Row],[Pagu]]</calculatedColumnFormula>
    </tableColumn>
    <tableColumn id="19" xr3:uid="{D85464D1-34A4-4D62-B202-AA5B44380AE8}" name="Jan" dataDxfId="770">
      <calculatedColumnFormula>SUM('PER BULAN'!J92:L92)</calculatedColumnFormula>
    </tableColumn>
    <tableColumn id="20" xr3:uid="{59AFB7C3-9561-4F72-BA75-233CA8574E0E}" name="Feb" dataDxfId="769"/>
    <tableColumn id="21" xr3:uid="{339941D9-EB6A-4D9E-AAFD-8BC87914D9CD}" name="Mar" dataDxfId="768"/>
    <tableColumn id="22" xr3:uid="{4DB8271D-A562-4BDB-AF86-6803F5A0D6B6}" name="Apr" dataDxfId="767"/>
    <tableColumn id="23" xr3:uid="{A6296B83-2C3A-4B7B-B349-C7B81EF82E20}" name="Mei" dataDxfId="766"/>
    <tableColumn id="24" xr3:uid="{E35B9BB8-2C59-4938-BD17-AB6DA6D49836}" name="Jun" dataDxfId="765"/>
    <tableColumn id="25" xr3:uid="{0B56CE2F-22F5-4935-B179-82B908FFA45C}" name="Jul" dataDxfId="764"/>
    <tableColumn id="26" xr3:uid="{C5C2C340-1544-4521-9059-33AEBE3423A8}" name="Ags" dataDxfId="763"/>
    <tableColumn id="27" xr3:uid="{86511B91-6FBB-44C6-BFE0-FC75035E6D40}" name="Sep" dataDxfId="762"/>
    <tableColumn id="28" xr3:uid="{2C0763CA-B0D1-4434-BD74-3778A7A332E6}" name="Okt" dataDxfId="761"/>
    <tableColumn id="29" xr3:uid="{1D2AE206-2433-4713-B023-179D69FA3E25}" name="Nov" dataDxfId="760"/>
    <tableColumn id="30" xr3:uid="{C1E5584B-01F1-4175-8FA8-D285D3701F44}" name="Des" dataDxfId="759"/>
    <tableColumn id="31" xr3:uid="{3BEE2055-AE9D-40FE-AE62-8E331B1816BF}" name="eselon2" dataDxfId="758"/>
    <tableColumn id="32" xr3:uid="{A002471B-4101-4577-BC3A-704405B733FB}" name="koordinator" dataDxfId="757"/>
    <tableColumn id="33" xr3:uid="{D023DF90-D6C9-428C-971B-7DDF8C7D5F03}" name="Subkoordinator" dataDxfId="756"/>
    <tableColumn id="34" xr3:uid="{FE48F7A1-0956-4644-89C0-EA36C183F595}" name="Jns_Belanja" dataDxfId="755"/>
    <tableColumn id="35" xr3:uid="{BE3FC102-4A2C-4D3D-B515-5052A70FFDEB}" name="satker" dataDxfId="754"/>
    <tableColumn id="36" xr3:uid="{C44DBFA7-2D15-465C-8D00-F06B638B5ED4}" name="Realisasi" dataDxfId="753" dataCellStyle="Comma [0]">
      <calculatedColumnFormula>SUM(U4:AF4)</calculatedColumnFormula>
    </tableColumn>
    <tableColumn id="37" xr3:uid="{DE361282-2992-4D2B-992E-4096AF6D8E40}" name="Real %" dataDxfId="752">
      <calculatedColumnFormula>IFERROR(AL4/Q4*100,0)</calculatedColumnFormula>
    </tableColumn>
    <tableColumn id="38" xr3:uid="{EEF961EF-FF6A-40D5-A0B6-ED634EBADFBC}" name="Sisa" dataDxfId="751" dataCellStyle="Comma [0]">
      <calculatedColumnFormula>Q4-AL4</calculatedColumnFormula>
    </tableColumn>
    <tableColumn id="39" xr3:uid="{85643851-7A65-42C2-A08E-B6A7A8DA03F0}" name="Real %2" dataDxfId="750">
      <calculatedColumnFormula>IFERROR(AN4/Q4*100,0)</calculatedColumnFormula>
    </tableColumn>
    <tableColumn id="40" xr3:uid="{9E4F31F6-8A80-4410-976A-8EEA7368EA20}" name="Kode Akun" dataDxfId="749">
      <calculatedColumnFormula>_xlfn.TEXTJOIN(".",TRUE,C4,E4,G4,I4,K4,M4,O4)</calculatedColumnFormula>
    </tableColumn>
    <tableColumn id="41" xr3:uid="{0FDDBC90-1CC8-4C07-8122-50D2362EF739}" name="Status Covid" dataDxfId="748">
      <calculatedColumnFormula>IF(ISNUMBER(SEARCH("COVID",SP2D[[#This Row],[Akun]])),"COVID","Non COVID")</calculatedColumnFormula>
    </tableColumn>
    <tableColumn id="42" xr3:uid="{3D9BDB80-A0C7-4422-BA12-733AF91AF0E5}" name="Status Realisasi" dataDxfId="747">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746">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745"/>
    <tableColumn id="45" xr3:uid="{4B827D21-BED7-493A-98C2-BF92D20ACB6E}" name="TUP 1" dataDxfId="744"/>
    <tableColumn id="46" xr3:uid="{1A108E85-F9A8-4C5A-B9B2-E8E733C3D3EB}" name="GUP 2" dataDxfId="743"/>
    <tableColumn id="47" xr3:uid="{197D7FA7-EA56-478F-AC63-0B5D47D9765B}" name="GUP 3" dataDxfId="742"/>
    <tableColumn id="48" xr3:uid="{4614C9FA-2AB0-4D2D-AA55-13680C8EE8C5}" name="GUP 4" dataDxfId="741"/>
    <tableColumn id="49" xr3:uid="{9B9C7D3C-BD3B-413C-9633-5B1476894793}" name="GUP 5" dataDxfId="740"/>
    <tableColumn id="50" xr3:uid="{7F81D278-F155-4728-BD7E-4DD553D05EAC}" name="TUP 2 (1)" dataDxfId="739"/>
    <tableColumn id="51" xr3:uid="{40F6E74E-B62F-4684-A934-E1FBCD0EDECE}" name="TUP 2 (2)" dataDxfId="7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C143" totalsRowShown="0" headerRowDxfId="737" dataDxfId="736">
  <autoFilter ref="BB3:BC143" xr:uid="{9BE31371-6D84-40BC-BC89-6EB614AAFDED}"/>
  <tableColumns count="2">
    <tableColumn id="1" xr3:uid="{FFEC0591-1F8E-4D42-8DB7-95FE40C6A4FA}" name="GUP 6" dataDxfId="735"/>
    <tableColumn id="2" xr3:uid="{53B91740-F7E5-49C9-B6EF-884B25AEA288}" name="GUP 7" dataDxfId="4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734" dataDxfId="733">
  <autoFilter ref="A3:BA15" xr:uid="{0218787B-FAFB-4E31-BAF7-C07090CCABB5}"/>
  <tableColumns count="53">
    <tableColumn id="1" xr3:uid="{80105D8C-B6CC-4C67-A0D5-A51108634790}" name="kddept" dataDxfId="732"/>
    <tableColumn id="2" xr3:uid="{79F788C4-BE24-4442-B4A5-787846FC3242}" name="kdunit" dataDxfId="731"/>
    <tableColumn id="3" xr3:uid="{F5607343-B1C5-442F-9F62-66DAB70DF978}" name="kdprogram" dataDxfId="730"/>
    <tableColumn id="4" xr3:uid="{67275D4D-383A-492A-9FB0-586605819489}" name="Program" dataDxfId="729"/>
    <tableColumn id="5" xr3:uid="{7E089115-5279-4639-B5C8-B5B142691A5E}" name="kdgiat" dataDxfId="728"/>
    <tableColumn id="6" xr3:uid="{86B452FA-0999-4C13-97B6-34303305E62C}" name="Kegiatan" dataDxfId="727"/>
    <tableColumn id="7" xr3:uid="{098073A3-0D75-44F5-98F3-9D58ABD0F494}" name="kdoutput" dataDxfId="726"/>
    <tableColumn id="8" xr3:uid="{DD29FD42-F6B4-48DB-ABD5-0B9035D7350B}" name="Output" dataDxfId="725"/>
    <tableColumn id="9" xr3:uid="{DD7BECAC-0FA2-4D83-AFED-EA1423BBAE3B}" name="kdsoutput" dataDxfId="724"/>
    <tableColumn id="10" xr3:uid="{41EDA2EB-4FE5-485A-9A85-BC1CF6F808E6}" name="SubOutput" dataDxfId="723"/>
    <tableColumn id="11" xr3:uid="{0C0092F1-3B9A-4262-87F2-DF8809ADB48A}" name="kdkmpnen" dataDxfId="722"/>
    <tableColumn id="12" xr3:uid="{7F02E6EE-4073-428C-A01E-C7F9404E22AB}" name="Komponen" dataDxfId="721"/>
    <tableColumn id="13" xr3:uid="{D5E22675-8A73-40C8-BA6D-4D22AD4BD880}" name="kdskmpnen" dataDxfId="720"/>
    <tableColumn id="14" xr3:uid="{21C5F2BB-4B18-41F3-8B47-CA7C999E1D95}" name="SubKomponen" dataDxfId="719"/>
    <tableColumn id="15" xr3:uid="{7EF6CEAB-DE31-4DEA-B8DF-BDD5AD5C3604}" name="kdakun" dataDxfId="718"/>
    <tableColumn id="16" xr3:uid="{897A6630-15AA-4E92-AF17-989B50249F0B}" name="Akun" dataDxfId="717"/>
    <tableColumn id="17" xr3:uid="{F469B670-C97B-4C45-BFA1-11EC2F3BBE30}" name="Pagu" dataDxfId="716" dataCellStyle="Comma [0]">
      <calculatedColumnFormula array="1">SUM(_xlfn._xlws.FILTER(DIPA2[PaguRevisi],DIPA2[Akun]=SP2D_GAJI[[#This Row],[Kode Akun]],0))</calculatedColumnFormula>
    </tableColumn>
    <tableColumn id="18" xr3:uid="{331F462C-70B7-43E1-8F2C-778E95ACAEA1}" name="Pagu Semula" dataDxfId="715" dataCellStyle="Comma [0]"/>
    <tableColumn id="52" xr3:uid="{2F016D06-D133-47D7-B695-4667F3490729}" name="Blokir AA ke 1" dataDxfId="714" dataCellStyle="Comma [0]"/>
    <tableColumn id="53" xr3:uid="{165EF6BA-1776-4571-B8AD-920C3A030766}" name="Blokir AA ke 2" dataDxfId="713" dataCellStyle="Comma [0]"/>
    <tableColumn id="19" xr3:uid="{D0C2276A-7026-4576-85D7-919441521A6C}" name="Jan" dataDxfId="712">
      <calculatedColumnFormula>SUM('PER BULAN'!J238:L238)</calculatedColumnFormula>
    </tableColumn>
    <tableColumn id="20" xr3:uid="{A9EF8502-8C6E-4766-AD68-658B4D1E747D}" name="Feb" dataDxfId="711">
      <calculatedColumnFormula>SUM('PER BULAN'!M238:O238)</calculatedColumnFormula>
    </tableColumn>
    <tableColumn id="21" xr3:uid="{746DC00C-C89E-4DDA-BBC9-1D134830D029}" name="Mar" dataDxfId="710">
      <calculatedColumnFormula>SUM('PER BULAN'!P238:R238)</calculatedColumnFormula>
    </tableColumn>
    <tableColumn id="22" xr3:uid="{05F5FC17-0CBB-4151-889F-60CFCD7C34DD}" name="Apr" dataDxfId="709">
      <calculatedColumnFormula>SUM('PER BULAN'!S238:U238)</calculatedColumnFormula>
    </tableColumn>
    <tableColumn id="23" xr3:uid="{C42FB8F4-7097-4474-A778-F18CBF2B07B1}" name="Mei" dataDxfId="708">
      <calculatedColumnFormula>SUM('PER BULAN'!V238:X238)</calculatedColumnFormula>
    </tableColumn>
    <tableColumn id="24" xr3:uid="{F4454E89-E22D-410A-82EB-5F0DC627F170}" name="Jun" dataDxfId="707">
      <calculatedColumnFormula>SUM('PER BULAN'!Y238:AA238)</calculatedColumnFormula>
    </tableColumn>
    <tableColumn id="25" xr3:uid="{2AA6CCE9-FDEE-48C4-8B21-D75DF41DA271}" name="Jul" dataDxfId="706">
      <calculatedColumnFormula>SUM('PER BULAN'!AB238:AD238)</calculatedColumnFormula>
    </tableColumn>
    <tableColumn id="26" xr3:uid="{7FACB806-C5A3-48BA-9D07-F51AF74D0E09}" name="Ags" dataDxfId="705">
      <calculatedColumnFormula>SUM('PER BULAN'!AE238:AG238)</calculatedColumnFormula>
    </tableColumn>
    <tableColumn id="27" xr3:uid="{C4B9A446-705C-463E-B7DA-7A0740B8C905}" name="Sep" dataDxfId="704">
      <calculatedColumnFormula>SUM('PER BULAN'!AH238:AJ238)</calculatedColumnFormula>
    </tableColumn>
    <tableColumn id="28" xr3:uid="{5AAFBEBC-03FC-4E4A-83F9-E67BEB3D5981}" name="Okt" dataDxfId="703">
      <calculatedColumnFormula>SUM('PER BULAN'!AK238:AM238)</calculatedColumnFormula>
    </tableColumn>
    <tableColumn id="29" xr3:uid="{4906B5CD-CEE5-4A98-B22E-AC637B561A64}" name="Nov" dataDxfId="702">
      <calculatedColumnFormula>SUM('PER BULAN'!AN238:AP238)</calculatedColumnFormula>
    </tableColumn>
    <tableColumn id="30" xr3:uid="{CE67CAFB-1501-4D81-9EF9-85B2D20132C0}" name="Des" dataDxfId="701">
      <calculatedColumnFormula>SUM('PER BULAN'!AQ238:AS238)</calculatedColumnFormula>
    </tableColumn>
    <tableColumn id="31" xr3:uid="{68D2BC5B-AA42-4205-92C2-22EE6E2A455F}" name="eselon2" dataDxfId="700"/>
    <tableColumn id="32" xr3:uid="{BA84A518-BE39-4F09-B013-2F165F75B2C4}" name="koordinator" dataDxfId="699"/>
    <tableColumn id="33" xr3:uid="{056A603E-AF28-4BB5-BFC3-BCB9B9C999CA}" name="Subkoordinator" dataDxfId="698"/>
    <tableColumn id="34" xr3:uid="{D4673DE9-E399-427A-A7FA-55224584489E}" name="Jns_Belanja" dataDxfId="697"/>
    <tableColumn id="35" xr3:uid="{A8855799-45D2-43E8-83A2-AA11614A2AB5}" name="satker" dataDxfId="696"/>
    <tableColumn id="36" xr3:uid="{7FE40A5B-7697-4CF3-B532-E8DEA6942EA1}" name="Realisasi" dataDxfId="695" dataCellStyle="Comma [0]">
      <calculatedColumnFormula>SUM(U4:AF4)</calculatedColumnFormula>
    </tableColumn>
    <tableColumn id="37" xr3:uid="{485221C0-0D00-438E-BDE5-343CD7B9DEA0}" name="Real %" dataDxfId="694">
      <calculatedColumnFormula>IFERROR(AL4/Q4*100,0)</calculatedColumnFormula>
    </tableColumn>
    <tableColumn id="38" xr3:uid="{8B93FCA3-495B-49BB-8273-31AF01368B83}" name="Sisa" dataDxfId="693" dataCellStyle="Comma [0]">
      <calculatedColumnFormula>Q4-AL4</calculatedColumnFormula>
    </tableColumn>
    <tableColumn id="39" xr3:uid="{E92777FB-21B0-4FEC-B74B-99E5CBE0B3F9}" name="Real %2" dataDxfId="692">
      <calculatedColumnFormula>IFERROR(AN4/Q4*100,0)</calculatedColumnFormula>
    </tableColumn>
    <tableColumn id="40" xr3:uid="{AF8769F5-B4D9-4C85-9DA8-FD27BDBB1A6C}" name="Kode Akun" dataDxfId="691">
      <calculatedColumnFormula>_xlfn.TEXTJOIN(".",TRUE,C4,E4,G4,I4,K4,M4,O4)</calculatedColumnFormula>
    </tableColumn>
    <tableColumn id="41" xr3:uid="{3D3B549A-EABA-490D-9DA6-37523724BE61}" name="Status Covid" dataDxfId="690">
      <calculatedColumnFormula>IF(ISNUMBER(SEARCH("COVID",SP2D_GAJI[[#This Row],[Akun]])),"COVID","Non COVID")</calculatedColumnFormula>
    </tableColumn>
    <tableColumn id="42" xr3:uid="{184FBB69-68B1-4E38-891F-51917E4DC587}" name="Status Realisasi" dataDxfId="68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68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687"/>
    <tableColumn id="45" xr3:uid="{9C1934D8-99CF-4988-9800-1BFA557120E5}" name="TUP 1" dataDxfId="686"/>
    <tableColumn id="46" xr3:uid="{A4CF8F3D-CD3D-44F3-9820-88903E09EF80}" name="GUP 2" dataDxfId="685"/>
    <tableColumn id="47" xr3:uid="{099E42CD-67D0-44DB-B845-55EC12EB7D6E}" name="GUP 3" dataDxfId="684"/>
    <tableColumn id="48" xr3:uid="{B5E0BACE-F6DB-4087-90C7-B2D17ED966B6}" name="GUP 4" dataDxfId="683"/>
    <tableColumn id="49" xr3:uid="{BDAA27ED-0F52-48FE-B061-0279E351DC40}" name="GUP 5" dataDxfId="68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681" headerRowBorderDxfId="680" tableBorderDxfId="679">
  <autoFilter ref="B234:BH250" xr:uid="{A3F03F6D-6A59-461B-A929-C35C787407F3}"/>
  <tableColumns count="59">
    <tableColumn id="1" xr3:uid="{006731C9-F32D-4A40-8CDB-A1548E10C0D4}" name="KODE" dataDxfId="678"/>
    <tableColumn id="2" xr3:uid="{A9307D7A-2701-4752-B274-B25BEF4C5078}" name="URAIAN" dataDxfId="677"/>
    <tableColumn id="3" xr3:uid="{FCCF3154-C285-471C-AC86-6DCF2BB5907D}" name="VOL" dataDxfId="676"/>
    <tableColumn id="4" xr3:uid="{C6A127B2-6CDD-4E0C-AF9D-730F6DDD09BC}" name="SATUAN" dataDxfId="675"/>
    <tableColumn id="5" xr3:uid="{3F90CE26-DF36-4D37-9C47-12A1CEB8D773}" name="Pagu Revisi" dataDxfId="674" dataCellStyle="Comma [0]"/>
    <tableColumn id="6" xr3:uid="{A2F11568-8A8E-4AFC-9F99-BFB17EAEEC9C}" name="Pagu Semula" dataDxfId="673" dataCellStyle="Comma [0]"/>
    <tableColumn id="7" xr3:uid="{B7EE8BCB-D0ED-4450-8EBB-6FD673560D7C}" name="Blokir AA ke 1" dataDxfId="672" dataCellStyle="Comma [0]"/>
    <tableColumn id="8" xr3:uid="{9EDAF3A8-6D97-400A-848D-D47BF571F43E}" name="Blokir AA ke 2" dataDxfId="671" dataCellStyle="Comma [0]">
      <calculatedColumnFormula>G235-F235</calculatedColumnFormula>
    </tableColumn>
    <tableColumn id="9" xr3:uid="{63315451-3A2B-4613-A63E-C9450FC73D6C}" name="JANUARI" dataDxfId="670" dataCellStyle="Comma [0]"/>
    <tableColumn id="10" xr3:uid="{16EC35FF-13CF-4870-920C-AAB913E770C7}" name="Column4" dataDxfId="669" dataCellStyle="Comma [0]"/>
    <tableColumn id="11" xr3:uid="{729D99E3-0A52-4B2E-A9C0-DE02E05ED840}" name="Column5" dataDxfId="668" dataCellStyle="Comma [0]"/>
    <tableColumn id="12" xr3:uid="{AB374DB6-7598-4C30-A85F-F63F132B7BA1}" name="FEBRUARI" dataDxfId="667" dataCellStyle="Normal 5"/>
    <tableColumn id="13" xr3:uid="{2D1151EC-AD11-4F11-9D1D-698FBA569F26}" name="Column6" dataDxfId="666" dataCellStyle="Comma [0]"/>
    <tableColumn id="14" xr3:uid="{C25F446B-37CA-4C46-8DE3-5CBDF83F99DF}" name="Column7" dataDxfId="665" dataCellStyle="Comma [0]"/>
    <tableColumn id="15" xr3:uid="{2B771376-C41A-4F53-BC5F-03146D6453D2}" name="MARET" dataDxfId="664" dataCellStyle="Normal 5"/>
    <tableColumn id="16" xr3:uid="{26AE15C1-AF2B-46A7-ADBC-F20B8677DE0D}" name="Column8" dataDxfId="663" dataCellStyle="Comma [0]"/>
    <tableColumn id="17" xr3:uid="{DFBDA772-EF7F-41E6-9DFB-E477C75E4388}" name="Column9" dataDxfId="662" dataCellStyle="Comma [0]"/>
    <tableColumn id="18" xr3:uid="{041FDBBB-13D6-40FC-B497-A1E84A4034E8}" name="APRIL" dataDxfId="661" dataCellStyle="Normal 5"/>
    <tableColumn id="19" xr3:uid="{6168E056-C134-418C-BAA8-73541257F097}" name="Column10" dataDxfId="660" dataCellStyle="Comma [0]"/>
    <tableColumn id="20" xr3:uid="{ECE7E801-4FE3-4CB0-B83E-AEDB75DF320F}" name="Column11" dataDxfId="659" dataCellStyle="Comma [0]"/>
    <tableColumn id="21" xr3:uid="{44FEDD28-091B-4680-A5C6-30F0F745EBBE}" name="MEI" dataDxfId="658"/>
    <tableColumn id="22" xr3:uid="{34244EC1-125A-49F5-8D4B-77C41595EB78}" name="Column12" dataDxfId="657" dataCellStyle="Comma [0]"/>
    <tableColumn id="23" xr3:uid="{695AAE0C-3DE2-4C12-A556-529DF387A4B7}" name="Column13" dataDxfId="656" dataCellStyle="Comma [0]"/>
    <tableColumn id="24" xr3:uid="{EE45409D-1AE3-4403-87A9-813634308CF5}" name="JUNI" dataDxfId="655" dataCellStyle="Comma [0]"/>
    <tableColumn id="25" xr3:uid="{5F933D02-7432-46D2-889E-A346FBEB81C1}" name="Column14" dataDxfId="654" dataCellStyle="Comma [0]"/>
    <tableColumn id="26" xr3:uid="{E340073A-FA27-4696-9028-62785F671D51}" name="Column15" dataDxfId="653" dataCellStyle="Comma [0]"/>
    <tableColumn id="27" xr3:uid="{3C80F9B3-4335-4BCB-A2DB-8F873DB578A1}" name="JULI" dataDxfId="652" dataCellStyle="Comma [0]"/>
    <tableColumn id="28" xr3:uid="{0B52D128-430F-4AE8-AF42-C77BCC1DE967}" name="Column16" dataDxfId="651" dataCellStyle="Comma [0]"/>
    <tableColumn id="29" xr3:uid="{9AA400AA-D217-47D3-8A29-9AD35366E1E5}" name="Column17" dataDxfId="650" dataCellStyle="Comma [0]"/>
    <tableColumn id="30" xr3:uid="{7A16243F-CC4F-4632-957C-54DF727D1493}" name="AGUSTUS" dataDxfId="649" dataCellStyle="Comma [0]"/>
    <tableColumn id="31" xr3:uid="{F53FA9C1-6878-4D23-96E5-3E23407112F3}" name="Column18" dataDxfId="648" dataCellStyle="Comma [0]"/>
    <tableColumn id="32" xr3:uid="{56226304-FD99-45E9-B47F-4A0989BC4182}" name="Column19" dataDxfId="647" dataCellStyle="Comma [0]"/>
    <tableColumn id="33" xr3:uid="{918328DE-54FE-4538-8A7A-0C76AA1E939A}" name="SEPTEMBER" dataDxfId="646" dataCellStyle="Comma [0]"/>
    <tableColumn id="34" xr3:uid="{D961E510-3ED4-4CF9-A7AF-9649B976EA3E}" name="Column20" dataDxfId="645" dataCellStyle="Comma [0]"/>
    <tableColumn id="35" xr3:uid="{91DB1DE3-8092-461D-A09A-AE460872B6BA}" name="Column21" dataDxfId="644" dataCellStyle="Comma [0]"/>
    <tableColumn id="36" xr3:uid="{CE58699D-2136-4257-BAD1-7398B982526B}" name="OKTOBER" dataDxfId="643" dataCellStyle="Comma [0]"/>
    <tableColumn id="37" xr3:uid="{1F4E6F0B-F4F1-4921-A7D5-72862BF6A622}" name="Column22" dataDxfId="642" dataCellStyle="Comma [0]"/>
    <tableColumn id="38" xr3:uid="{B76BAD65-739D-4E3A-852D-D26916987757}" name="Column23" dataDxfId="641" dataCellStyle="Comma [0]"/>
    <tableColumn id="39" xr3:uid="{12105BE2-33F4-4402-9A97-62E8F6987E7A}" name="NOVEMBER" dataDxfId="640" dataCellStyle="Comma [0]"/>
    <tableColumn id="40" xr3:uid="{C58384D0-120F-4BEC-B941-E06587266945}" name="Column24" dataDxfId="639" dataCellStyle="Comma [0]"/>
    <tableColumn id="41" xr3:uid="{A058820D-F058-4589-9874-D1A00D172D60}" name="Column25" dataDxfId="638" dataCellStyle="Comma [0]"/>
    <tableColumn id="42" xr3:uid="{CE32C95C-C534-407E-B4B0-C5BE507ACC7B}" name="DESEMBER" dataDxfId="637" dataCellStyle="Comma [0]"/>
    <tableColumn id="43" xr3:uid="{4AA20C6C-166D-40D3-B153-84B32F3DA47E}" name="Column26" dataDxfId="636" dataCellStyle="Comma [0]"/>
    <tableColumn id="44" xr3:uid="{B6199075-DD1D-4379-9C80-D5E0E5D4086B}" name="Column27" dataDxfId="635" dataCellStyle="Comma [0]"/>
    <tableColumn id="45" xr3:uid="{025D8148-41D1-493D-8F91-43A4491832E5}" name="REALISASI" dataDxfId="634" dataCellStyle="Comma [0]">
      <calculatedColumnFormula>SUM(J235:AS235)</calculatedColumnFormula>
    </tableColumn>
    <tableColumn id="46" xr3:uid="{EB91123A-1AE6-419C-99DE-3A8BFD669434}" name="%" dataDxfId="633">
      <calculatedColumnFormula>IFERROR(AT235/F235*100,0)</calculatedColumnFormula>
    </tableColumn>
    <tableColumn id="47" xr3:uid="{B367B8B8-4A10-4559-8042-C79AD776D92F}" name="SISA PAGU" dataDxfId="632">
      <calculatedColumnFormula>F235-AT235</calculatedColumnFormula>
    </tableColumn>
    <tableColumn id="48" xr3:uid="{4447787F-4DC2-4E59-B3FB-02DC54A3FEB4}" name="%28" dataDxfId="631">
      <calculatedColumnFormula>AV235/F235*100</calculatedColumnFormula>
    </tableColumn>
    <tableColumn id="49" xr3:uid="{C7CC6506-6ABE-4181-9F4B-FEC5B702B017}" name="KOORDINATOR" dataDxfId="630"/>
    <tableColumn id="50" xr3:uid="{048FA016-E7FA-4ECE-BABA-429AD0AEF890}" name="Subkoordinator"/>
    <tableColumn id="51" xr3:uid="{B38F358A-82BF-496A-A23D-71F2B98B29E5}" name="Jenis Belanja Barang"/>
    <tableColumn id="52" xr3:uid="{DB80BE10-1DFD-4F7D-BB32-35C9FE353EFD}" name="SPBy" dataDxfId="629" dataCellStyle="Comma [0]"/>
    <tableColumn id="53" xr3:uid="{078C675B-A0F3-404E-848C-5D5DFFD077BC}" name="Column29"/>
    <tableColumn id="54" xr3:uid="{434FFD64-27FE-4383-9669-FEE5F6BE4180}" name="Column30" dataDxfId="628"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627" totalsRowDxfId="626"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58" t="s">
        <v>598</v>
      </c>
      <c r="C1" s="458"/>
      <c r="D1" s="458"/>
      <c r="E1" s="458"/>
      <c r="F1" s="458"/>
      <c r="G1" s="458"/>
      <c r="I1" s="9"/>
    </row>
    <row r="2" spans="1:10" ht="15">
      <c r="B2" s="459" t="s">
        <v>614</v>
      </c>
      <c r="C2" s="459"/>
      <c r="D2" s="459"/>
      <c r="E2" s="459"/>
      <c r="F2" s="459"/>
      <c r="G2" s="459"/>
      <c r="I2" s="10"/>
    </row>
    <row r="3" spans="1:10" ht="15">
      <c r="B3" s="65"/>
      <c r="C3" s="65"/>
      <c r="D3" s="65"/>
      <c r="E3" s="65"/>
      <c r="F3" s="65"/>
      <c r="G3" s="65"/>
      <c r="I3" s="10"/>
    </row>
    <row r="4" spans="1:10">
      <c r="B4" s="49" t="s">
        <v>599</v>
      </c>
      <c r="C4" s="49" t="s">
        <v>600</v>
      </c>
      <c r="D4" s="49"/>
      <c r="E4" s="52"/>
      <c r="F4" s="49"/>
      <c r="G4" s="49"/>
      <c r="I4" s="10"/>
    </row>
    <row r="5" spans="1:10" ht="15">
      <c r="B5" s="49" t="s">
        <v>601</v>
      </c>
      <c r="C5" s="49" t="s">
        <v>602</v>
      </c>
      <c r="D5" s="50"/>
      <c r="E5" s="53"/>
      <c r="F5" s="50"/>
      <c r="G5" s="50"/>
      <c r="I5" s="10"/>
    </row>
    <row r="6" spans="1:10" ht="15">
      <c r="B6" s="49" t="s">
        <v>603</v>
      </c>
      <c r="C6" s="49" t="s">
        <v>604</v>
      </c>
      <c r="D6" s="50"/>
      <c r="E6" s="53"/>
      <c r="F6" s="50"/>
      <c r="G6" s="50"/>
      <c r="I6" s="10"/>
    </row>
    <row r="7" spans="1:10" ht="15">
      <c r="B7" s="49" t="s">
        <v>605</v>
      </c>
      <c r="C7" s="51" t="str">
        <f>":  Rp. " &amp; TEXT(G12,"#.##")</f>
        <v xml:space="preserve">:  Rp. </v>
      </c>
      <c r="D7" s="50"/>
      <c r="E7" s="53"/>
      <c r="F7" s="50"/>
      <c r="G7" s="50"/>
      <c r="I7" s="10"/>
    </row>
    <row r="8" spans="1:10">
      <c r="B8" s="48"/>
      <c r="C8" s="48"/>
      <c r="D8" s="48"/>
      <c r="F8" s="48"/>
      <c r="G8" s="48"/>
      <c r="I8" s="10"/>
    </row>
    <row r="9" spans="1:10">
      <c r="B9" s="460" t="s">
        <v>606</v>
      </c>
      <c r="C9" s="462" t="s">
        <v>607</v>
      </c>
      <c r="D9" s="463" t="s">
        <v>608</v>
      </c>
      <c r="E9" s="460" t="s">
        <v>609</v>
      </c>
      <c r="F9" s="463" t="s">
        <v>610</v>
      </c>
      <c r="G9" s="463" t="s">
        <v>611</v>
      </c>
      <c r="I9" s="14"/>
    </row>
    <row r="10" spans="1:10" s="16" customFormat="1" ht="15">
      <c r="A10" s="15" t="s">
        <v>499</v>
      </c>
      <c r="B10" s="461"/>
      <c r="C10" s="461"/>
      <c r="D10" s="461"/>
      <c r="E10" s="464"/>
      <c r="F10" s="461"/>
      <c r="G10" s="461"/>
      <c r="I10" s="17"/>
    </row>
    <row r="11" spans="1:10" s="16" customFormat="1" ht="15">
      <c r="A11" s="15"/>
      <c r="B11" s="72">
        <v>1</v>
      </c>
      <c r="C11" s="72">
        <v>2</v>
      </c>
      <c r="D11" s="72">
        <v>3</v>
      </c>
      <c r="E11" s="72">
        <v>4</v>
      </c>
      <c r="F11" s="72">
        <v>5</v>
      </c>
      <c r="G11" s="72">
        <v>6</v>
      </c>
      <c r="I11" s="17"/>
    </row>
    <row r="12" spans="1:10" s="16" customFormat="1" ht="15">
      <c r="A12" s="15"/>
      <c r="B12" s="73" t="s">
        <v>612</v>
      </c>
      <c r="C12" s="74" t="s">
        <v>613</v>
      </c>
      <c r="D12" s="75"/>
      <c r="E12" s="76"/>
      <c r="F12" s="75"/>
      <c r="G12" s="77"/>
      <c r="I12" s="17"/>
    </row>
    <row r="13" spans="1:10">
      <c r="A13" s="7" t="s">
        <v>0</v>
      </c>
      <c r="B13" s="22" t="s">
        <v>0</v>
      </c>
      <c r="C13" s="23" t="s">
        <v>1</v>
      </c>
      <c r="D13" s="22"/>
      <c r="E13" s="54"/>
      <c r="F13" s="24"/>
      <c r="G13" s="24">
        <v>2500000000</v>
      </c>
      <c r="I13" s="455" t="s">
        <v>596</v>
      </c>
      <c r="J13" s="456" t="s">
        <v>597</v>
      </c>
    </row>
    <row r="14" spans="1:10">
      <c r="A14" s="7" t="s">
        <v>199</v>
      </c>
      <c r="B14" s="25" t="s">
        <v>194</v>
      </c>
      <c r="C14" s="26" t="s">
        <v>2</v>
      </c>
      <c r="D14" s="25"/>
      <c r="E14" s="55"/>
      <c r="F14" s="27"/>
      <c r="G14" s="27">
        <v>1500000000</v>
      </c>
      <c r="I14" s="455"/>
      <c r="J14" s="456"/>
    </row>
    <row r="15" spans="1:10">
      <c r="A15" s="7" t="s">
        <v>200</v>
      </c>
      <c r="B15" s="28" t="s">
        <v>3</v>
      </c>
      <c r="C15" s="29" t="s">
        <v>615</v>
      </c>
      <c r="D15" s="46"/>
      <c r="E15" s="56"/>
      <c r="F15" s="30"/>
      <c r="G15" s="30">
        <v>1500000000</v>
      </c>
      <c r="I15" s="1" t="s">
        <v>496</v>
      </c>
      <c r="J15" s="18" t="b">
        <v>0</v>
      </c>
    </row>
    <row r="16" spans="1:10" ht="25.5">
      <c r="A16" s="7" t="s">
        <v>201</v>
      </c>
      <c r="B16" s="31" t="s">
        <v>616</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593</v>
      </c>
      <c r="J17" s="18" t="b">
        <v>0</v>
      </c>
    </row>
    <row r="18" spans="1:10" ht="25.5">
      <c r="A18" s="7" t="s">
        <v>203</v>
      </c>
      <c r="B18" s="37" t="s">
        <v>8</v>
      </c>
      <c r="C18" s="38" t="s">
        <v>6</v>
      </c>
      <c r="D18" s="37"/>
      <c r="E18" s="59"/>
      <c r="F18" s="39"/>
      <c r="G18" s="39">
        <v>72820000</v>
      </c>
      <c r="I18" s="66" t="s">
        <v>594</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617</v>
      </c>
      <c r="D20" s="47">
        <v>1</v>
      </c>
      <c r="E20" s="61" t="s">
        <v>9</v>
      </c>
      <c r="F20" s="45">
        <v>750000</v>
      </c>
      <c r="G20" s="45">
        <v>750000</v>
      </c>
      <c r="I20" s="5" t="s">
        <v>595</v>
      </c>
      <c r="J20" s="18" t="b">
        <v>0</v>
      </c>
    </row>
    <row r="21" spans="1:10">
      <c r="A21" s="7" t="s">
        <v>206</v>
      </c>
      <c r="B21" s="43" t="s">
        <v>195</v>
      </c>
      <c r="C21" s="44" t="s">
        <v>618</v>
      </c>
      <c r="D21" s="47">
        <v>60</v>
      </c>
      <c r="E21" s="61" t="s">
        <v>25</v>
      </c>
      <c r="F21" s="45">
        <v>69000</v>
      </c>
      <c r="G21" s="45">
        <v>4140000</v>
      </c>
      <c r="I21" s="6" t="s">
        <v>499</v>
      </c>
      <c r="J21" s="18" t="b">
        <v>1</v>
      </c>
    </row>
    <row r="22" spans="1:10">
      <c r="A22" s="7" t="s">
        <v>207</v>
      </c>
      <c r="B22" s="43" t="s">
        <v>195</v>
      </c>
      <c r="C22" s="44" t="s">
        <v>619</v>
      </c>
      <c r="D22" s="47">
        <v>1</v>
      </c>
      <c r="E22" s="61" t="s">
        <v>9</v>
      </c>
      <c r="F22" s="45">
        <v>1000000</v>
      </c>
      <c r="G22" s="45">
        <v>1000000</v>
      </c>
      <c r="I22" s="457"/>
      <c r="J22" s="457"/>
    </row>
    <row r="23" spans="1:10">
      <c r="A23" s="7" t="s">
        <v>208</v>
      </c>
      <c r="B23" s="43" t="s">
        <v>195</v>
      </c>
      <c r="C23" s="44" t="s">
        <v>620</v>
      </c>
      <c r="D23" s="47">
        <v>1</v>
      </c>
      <c r="E23" s="61" t="s">
        <v>9</v>
      </c>
      <c r="F23" s="45">
        <v>1000000</v>
      </c>
      <c r="G23" s="45">
        <v>1000000</v>
      </c>
      <c r="I23" s="457"/>
      <c r="J23" s="457"/>
    </row>
    <row r="24" spans="1:10">
      <c r="A24" s="7" t="s">
        <v>209</v>
      </c>
      <c r="B24" s="40" t="s">
        <v>516</v>
      </c>
      <c r="C24" s="41" t="s">
        <v>11</v>
      </c>
      <c r="D24" s="40"/>
      <c r="E24" s="60"/>
      <c r="F24" s="42"/>
      <c r="G24" s="42">
        <v>9000000</v>
      </c>
      <c r="I24" s="457"/>
      <c r="J24" s="457"/>
    </row>
    <row r="25" spans="1:10">
      <c r="A25" s="7" t="s">
        <v>210</v>
      </c>
      <c r="B25" s="43" t="s">
        <v>195</v>
      </c>
      <c r="C25" s="44" t="s">
        <v>621</v>
      </c>
      <c r="D25" s="47">
        <v>10</v>
      </c>
      <c r="E25" s="61" t="s">
        <v>54</v>
      </c>
      <c r="F25" s="45">
        <v>900000</v>
      </c>
      <c r="G25" s="45">
        <v>9000000</v>
      </c>
      <c r="I25" s="19"/>
      <c r="J25" s="19"/>
    </row>
    <row r="26" spans="1:10">
      <c r="A26" s="7" t="s">
        <v>211</v>
      </c>
      <c r="B26" s="40" t="s">
        <v>507</v>
      </c>
      <c r="C26" s="41" t="s">
        <v>13</v>
      </c>
      <c r="D26" s="40"/>
      <c r="E26" s="60"/>
      <c r="F26" s="42"/>
      <c r="G26" s="42">
        <v>900000</v>
      </c>
    </row>
    <row r="27" spans="1:10">
      <c r="A27" s="7" t="s">
        <v>212</v>
      </c>
      <c r="B27" s="43" t="s">
        <v>195</v>
      </c>
      <c r="C27" s="44" t="s">
        <v>622</v>
      </c>
      <c r="D27" s="47">
        <v>6</v>
      </c>
      <c r="E27" s="61" t="s">
        <v>25</v>
      </c>
      <c r="F27" s="45">
        <v>150000</v>
      </c>
      <c r="G27" s="45">
        <v>900000</v>
      </c>
    </row>
    <row r="28" spans="1:10">
      <c r="A28" s="7" t="s">
        <v>213</v>
      </c>
      <c r="B28" s="40" t="s">
        <v>509</v>
      </c>
      <c r="C28" s="41" t="s">
        <v>14</v>
      </c>
      <c r="D28" s="40"/>
      <c r="E28" s="60"/>
      <c r="F28" s="42"/>
      <c r="G28" s="42">
        <v>780000</v>
      </c>
    </row>
    <row r="29" spans="1:10">
      <c r="A29" s="7" t="s">
        <v>214</v>
      </c>
      <c r="B29" s="43" t="s">
        <v>195</v>
      </c>
      <c r="C29" s="44" t="s">
        <v>623</v>
      </c>
      <c r="D29" s="47">
        <v>6</v>
      </c>
      <c r="E29" s="61" t="s">
        <v>25</v>
      </c>
      <c r="F29" s="45">
        <v>130000</v>
      </c>
      <c r="G29" s="45">
        <v>780000</v>
      </c>
    </row>
    <row r="30" spans="1:10">
      <c r="A30" s="7" t="s">
        <v>215</v>
      </c>
      <c r="B30" s="40" t="s">
        <v>510</v>
      </c>
      <c r="C30" s="41" t="s">
        <v>15</v>
      </c>
      <c r="D30" s="40"/>
      <c r="E30" s="60"/>
      <c r="F30" s="42"/>
      <c r="G30" s="42">
        <v>55250000</v>
      </c>
      <c r="I30" s="20"/>
    </row>
    <row r="31" spans="1:10">
      <c r="A31" s="7" t="s">
        <v>216</v>
      </c>
      <c r="B31" s="40" t="s">
        <v>195</v>
      </c>
      <c r="C31" s="41" t="s">
        <v>624</v>
      </c>
      <c r="D31" s="40">
        <v>50</v>
      </c>
      <c r="E31" s="60" t="s">
        <v>25</v>
      </c>
      <c r="F31" s="42">
        <v>450000</v>
      </c>
      <c r="G31" s="42">
        <v>22500000</v>
      </c>
    </row>
    <row r="32" spans="1:10">
      <c r="A32" s="7" t="s">
        <v>217</v>
      </c>
      <c r="B32" s="43" t="s">
        <v>195</v>
      </c>
      <c r="C32" s="44" t="s">
        <v>625</v>
      </c>
      <c r="D32" s="47">
        <v>50</v>
      </c>
      <c r="E32" s="61" t="s">
        <v>25</v>
      </c>
      <c r="F32" s="45">
        <v>105000</v>
      </c>
      <c r="G32" s="45">
        <v>5250000</v>
      </c>
    </row>
    <row r="33" spans="1:7" ht="25.5">
      <c r="A33" s="7" t="s">
        <v>218</v>
      </c>
      <c r="B33" s="43" t="s">
        <v>195</v>
      </c>
      <c r="C33" s="44" t="s">
        <v>626</v>
      </c>
      <c r="D33" s="47">
        <v>50</v>
      </c>
      <c r="E33" s="61" t="s">
        <v>25</v>
      </c>
      <c r="F33" s="45">
        <v>550000</v>
      </c>
      <c r="G33" s="45">
        <v>27500000</v>
      </c>
    </row>
    <row r="34" spans="1:7" ht="25.5">
      <c r="A34" s="7" t="s">
        <v>219</v>
      </c>
      <c r="B34" s="37" t="s">
        <v>511</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617</v>
      </c>
      <c r="D36" s="40">
        <v>1</v>
      </c>
      <c r="E36" s="60" t="s">
        <v>9</v>
      </c>
      <c r="F36" s="42">
        <v>500000</v>
      </c>
      <c r="G36" s="42">
        <v>500000</v>
      </c>
    </row>
    <row r="37" spans="1:7">
      <c r="A37" s="7" t="s">
        <v>222</v>
      </c>
      <c r="B37" s="43" t="s">
        <v>195</v>
      </c>
      <c r="C37" s="44" t="s">
        <v>627</v>
      </c>
      <c r="D37" s="47">
        <v>160</v>
      </c>
      <c r="E37" s="61" t="s">
        <v>25</v>
      </c>
      <c r="F37" s="45">
        <v>47000</v>
      </c>
      <c r="G37" s="45">
        <v>7520000</v>
      </c>
    </row>
    <row r="38" spans="1:7">
      <c r="A38" s="7" t="s">
        <v>223</v>
      </c>
      <c r="B38" s="40" t="s">
        <v>195</v>
      </c>
      <c r="C38" s="41" t="s">
        <v>628</v>
      </c>
      <c r="D38" s="40">
        <v>160</v>
      </c>
      <c r="E38" s="60" t="s">
        <v>25</v>
      </c>
      <c r="F38" s="42">
        <v>22000</v>
      </c>
      <c r="G38" s="42">
        <v>3520000</v>
      </c>
    </row>
    <row r="39" spans="1:7">
      <c r="A39" s="7" t="s">
        <v>224</v>
      </c>
      <c r="B39" s="43" t="s">
        <v>195</v>
      </c>
      <c r="C39" s="44" t="s">
        <v>619</v>
      </c>
      <c r="D39" s="47">
        <v>1</v>
      </c>
      <c r="E39" s="61" t="s">
        <v>9</v>
      </c>
      <c r="F39" s="45">
        <v>1000000</v>
      </c>
      <c r="G39" s="45">
        <v>1000000</v>
      </c>
    </row>
    <row r="40" spans="1:7">
      <c r="A40" s="7" t="s">
        <v>225</v>
      </c>
      <c r="B40" s="37" t="s">
        <v>195</v>
      </c>
      <c r="C40" s="38" t="s">
        <v>620</v>
      </c>
      <c r="D40" s="37">
        <v>1</v>
      </c>
      <c r="E40" s="59" t="s">
        <v>9</v>
      </c>
      <c r="F40" s="39">
        <v>1000000</v>
      </c>
      <c r="G40" s="39">
        <v>1000000</v>
      </c>
    </row>
    <row r="41" spans="1:7">
      <c r="A41" s="7" t="s">
        <v>226</v>
      </c>
      <c r="B41" s="40" t="s">
        <v>516</v>
      </c>
      <c r="C41" s="41" t="s">
        <v>11</v>
      </c>
      <c r="D41" s="40"/>
      <c r="E41" s="60"/>
      <c r="F41" s="42"/>
      <c r="G41" s="42">
        <v>18000000</v>
      </c>
    </row>
    <row r="42" spans="1:7">
      <c r="A42" s="7" t="s">
        <v>227</v>
      </c>
      <c r="B42" s="43" t="s">
        <v>195</v>
      </c>
      <c r="C42" s="44" t="s">
        <v>629</v>
      </c>
      <c r="D42" s="47">
        <v>20</v>
      </c>
      <c r="E42" s="61" t="s">
        <v>54</v>
      </c>
      <c r="F42" s="45">
        <v>900000</v>
      </c>
      <c r="G42" s="45">
        <v>18000000</v>
      </c>
    </row>
    <row r="43" spans="1:7">
      <c r="A43" s="7" t="s">
        <v>228</v>
      </c>
      <c r="B43" s="40" t="s">
        <v>507</v>
      </c>
      <c r="C43" s="41" t="s">
        <v>13</v>
      </c>
      <c r="D43" s="71"/>
      <c r="E43" s="60"/>
      <c r="F43" s="42"/>
      <c r="G43" s="42">
        <v>14000000</v>
      </c>
    </row>
    <row r="44" spans="1:7">
      <c r="A44" s="7" t="s">
        <v>229</v>
      </c>
      <c r="B44" s="43" t="s">
        <v>195</v>
      </c>
      <c r="C44" s="44" t="s">
        <v>630</v>
      </c>
      <c r="D44" s="47">
        <v>50</v>
      </c>
      <c r="E44" s="61" t="s">
        <v>25</v>
      </c>
      <c r="F44" s="45">
        <v>150000</v>
      </c>
      <c r="G44" s="45">
        <v>7500000</v>
      </c>
    </row>
    <row r="45" spans="1:7">
      <c r="A45" s="7" t="s">
        <v>631</v>
      </c>
      <c r="B45" s="43" t="s">
        <v>195</v>
      </c>
      <c r="C45" s="44" t="s">
        <v>623</v>
      </c>
      <c r="D45" s="47">
        <v>50</v>
      </c>
      <c r="E45" s="61" t="s">
        <v>25</v>
      </c>
      <c r="F45" s="45">
        <v>130000</v>
      </c>
      <c r="G45" s="45">
        <v>6500000</v>
      </c>
    </row>
    <row r="46" spans="1:7">
      <c r="A46" s="7" t="s">
        <v>230</v>
      </c>
      <c r="B46" s="40" t="s">
        <v>510</v>
      </c>
      <c r="C46" s="41" t="s">
        <v>15</v>
      </c>
      <c r="D46" s="40"/>
      <c r="E46" s="60"/>
      <c r="F46" s="42"/>
      <c r="G46" s="42">
        <v>55250000</v>
      </c>
    </row>
    <row r="47" spans="1:7">
      <c r="A47" s="7" t="s">
        <v>231</v>
      </c>
      <c r="B47" s="43" t="s">
        <v>195</v>
      </c>
      <c r="C47" s="44" t="s">
        <v>624</v>
      </c>
      <c r="D47" s="47">
        <v>50</v>
      </c>
      <c r="E47" s="61" t="s">
        <v>25</v>
      </c>
      <c r="F47" s="45">
        <v>450000</v>
      </c>
      <c r="G47" s="45">
        <v>22500000</v>
      </c>
    </row>
    <row r="48" spans="1:7">
      <c r="A48" s="7" t="s">
        <v>232</v>
      </c>
      <c r="B48" s="40" t="s">
        <v>195</v>
      </c>
      <c r="C48" s="41" t="s">
        <v>632</v>
      </c>
      <c r="D48" s="40">
        <v>50</v>
      </c>
      <c r="E48" s="60" t="s">
        <v>25</v>
      </c>
      <c r="F48" s="42">
        <v>105000</v>
      </c>
      <c r="G48" s="42">
        <v>5250000</v>
      </c>
    </row>
    <row r="49" spans="1:7" ht="25.5">
      <c r="A49" s="7" t="s">
        <v>233</v>
      </c>
      <c r="B49" s="43" t="s">
        <v>195</v>
      </c>
      <c r="C49" s="44" t="s">
        <v>633</v>
      </c>
      <c r="D49" s="47">
        <v>50</v>
      </c>
      <c r="E49" s="61" t="s">
        <v>25</v>
      </c>
      <c r="F49" s="45">
        <v>550000</v>
      </c>
      <c r="G49" s="45">
        <v>27500000</v>
      </c>
    </row>
    <row r="50" spans="1:7">
      <c r="A50" s="7" t="s">
        <v>234</v>
      </c>
      <c r="B50" s="37" t="s">
        <v>512</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617</v>
      </c>
      <c r="D52" s="34">
        <v>1</v>
      </c>
      <c r="E52" s="58" t="s">
        <v>9</v>
      </c>
      <c r="F52" s="36">
        <v>750000</v>
      </c>
      <c r="G52" s="36">
        <v>750000</v>
      </c>
    </row>
    <row r="53" spans="1:7">
      <c r="A53" s="7" t="s">
        <v>237</v>
      </c>
      <c r="B53" s="37" t="s">
        <v>195</v>
      </c>
      <c r="C53" s="38" t="s">
        <v>634</v>
      </c>
      <c r="D53" s="37">
        <v>30</v>
      </c>
      <c r="E53" s="59" t="s">
        <v>25</v>
      </c>
      <c r="F53" s="39">
        <v>69000</v>
      </c>
      <c r="G53" s="39">
        <v>2070000</v>
      </c>
    </row>
    <row r="54" spans="1:7">
      <c r="A54" s="7" t="s">
        <v>238</v>
      </c>
      <c r="B54" s="40" t="s">
        <v>195</v>
      </c>
      <c r="C54" s="41" t="s">
        <v>619</v>
      </c>
      <c r="D54" s="40">
        <v>1</v>
      </c>
      <c r="E54" s="60" t="s">
        <v>9</v>
      </c>
      <c r="F54" s="42">
        <v>1000000</v>
      </c>
      <c r="G54" s="42">
        <v>1000000</v>
      </c>
    </row>
    <row r="55" spans="1:7">
      <c r="A55" s="7" t="s">
        <v>239</v>
      </c>
      <c r="B55" s="43" t="s">
        <v>195</v>
      </c>
      <c r="C55" s="44" t="s">
        <v>620</v>
      </c>
      <c r="D55" s="47">
        <v>1</v>
      </c>
      <c r="E55" s="61" t="s">
        <v>9</v>
      </c>
      <c r="F55" s="45">
        <v>1000000</v>
      </c>
      <c r="G55" s="45">
        <v>1000000</v>
      </c>
    </row>
    <row r="56" spans="1:7">
      <c r="A56" s="7" t="s">
        <v>240</v>
      </c>
      <c r="B56" s="40" t="s">
        <v>513</v>
      </c>
      <c r="C56" s="41" t="s">
        <v>19</v>
      </c>
      <c r="D56" s="71"/>
      <c r="E56" s="60"/>
      <c r="F56" s="42"/>
      <c r="G56" s="42">
        <v>40000000</v>
      </c>
    </row>
    <row r="57" spans="1:7" ht="25.5">
      <c r="A57" s="7" t="s">
        <v>241</v>
      </c>
      <c r="B57" s="43" t="s">
        <v>195</v>
      </c>
      <c r="C57" s="44" t="s">
        <v>635</v>
      </c>
      <c r="D57" s="47">
        <v>8</v>
      </c>
      <c r="E57" s="61" t="s">
        <v>25</v>
      </c>
      <c r="F57" s="45">
        <v>5000000</v>
      </c>
      <c r="G57" s="45">
        <v>40000000</v>
      </c>
    </row>
    <row r="58" spans="1:7">
      <c r="A58" s="7" t="s">
        <v>636</v>
      </c>
      <c r="B58" s="40" t="s">
        <v>507</v>
      </c>
      <c r="C58" s="41" t="s">
        <v>13</v>
      </c>
      <c r="D58" s="71"/>
      <c r="E58" s="60"/>
      <c r="F58" s="42"/>
      <c r="G58" s="42">
        <v>1200000</v>
      </c>
    </row>
    <row r="59" spans="1:7">
      <c r="A59" s="7" t="s">
        <v>637</v>
      </c>
      <c r="B59" s="43" t="s">
        <v>195</v>
      </c>
      <c r="C59" s="44" t="s">
        <v>638</v>
      </c>
      <c r="D59" s="47">
        <v>8</v>
      </c>
      <c r="E59" s="61" t="s">
        <v>25</v>
      </c>
      <c r="F59" s="45">
        <v>150000</v>
      </c>
      <c r="G59" s="45">
        <v>1200000</v>
      </c>
    </row>
    <row r="60" spans="1:7">
      <c r="A60" s="7" t="s">
        <v>639</v>
      </c>
      <c r="B60" s="40" t="s">
        <v>509</v>
      </c>
      <c r="C60" s="41" t="s">
        <v>14</v>
      </c>
      <c r="D60" s="71"/>
      <c r="E60" s="60"/>
      <c r="F60" s="42"/>
      <c r="G60" s="42">
        <v>1040000</v>
      </c>
    </row>
    <row r="61" spans="1:7">
      <c r="A61" s="7" t="s">
        <v>640</v>
      </c>
      <c r="B61" s="43" t="s">
        <v>195</v>
      </c>
      <c r="C61" s="44" t="s">
        <v>623</v>
      </c>
      <c r="D61" s="47">
        <v>8</v>
      </c>
      <c r="E61" s="61" t="s">
        <v>25</v>
      </c>
      <c r="F61" s="45">
        <v>130000</v>
      </c>
      <c r="G61" s="45">
        <v>1040000</v>
      </c>
    </row>
    <row r="62" spans="1:7">
      <c r="A62" s="7" t="s">
        <v>242</v>
      </c>
      <c r="B62" s="37" t="s">
        <v>514</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617</v>
      </c>
      <c r="D64" s="40">
        <v>6</v>
      </c>
      <c r="E64" s="60" t="s">
        <v>9</v>
      </c>
      <c r="F64" s="42">
        <v>750000</v>
      </c>
      <c r="G64" s="42">
        <v>4500000</v>
      </c>
    </row>
    <row r="65" spans="1:7">
      <c r="A65" s="7" t="s">
        <v>245</v>
      </c>
      <c r="B65" s="43" t="s">
        <v>195</v>
      </c>
      <c r="C65" s="44" t="s">
        <v>641</v>
      </c>
      <c r="D65" s="47">
        <v>160</v>
      </c>
      <c r="E65" s="61" t="s">
        <v>25</v>
      </c>
      <c r="F65" s="45">
        <v>69000</v>
      </c>
      <c r="G65" s="45">
        <v>11040000</v>
      </c>
    </row>
    <row r="66" spans="1:7">
      <c r="A66" s="7" t="s">
        <v>246</v>
      </c>
      <c r="B66" s="40" t="s">
        <v>195</v>
      </c>
      <c r="C66" s="41" t="s">
        <v>619</v>
      </c>
      <c r="D66" s="40">
        <v>6</v>
      </c>
      <c r="E66" s="60" t="s">
        <v>9</v>
      </c>
      <c r="F66" s="42">
        <v>1000000</v>
      </c>
      <c r="G66" s="42">
        <v>6000000</v>
      </c>
    </row>
    <row r="67" spans="1:7">
      <c r="A67" s="7" t="s">
        <v>247</v>
      </c>
      <c r="B67" s="43" t="s">
        <v>195</v>
      </c>
      <c r="C67" s="44" t="s">
        <v>620</v>
      </c>
      <c r="D67" s="47">
        <v>6</v>
      </c>
      <c r="E67" s="61" t="s">
        <v>9</v>
      </c>
      <c r="F67" s="45">
        <v>1000000</v>
      </c>
      <c r="G67" s="45">
        <v>6000000</v>
      </c>
    </row>
    <row r="68" spans="1:7" ht="25.5">
      <c r="A68" s="7" t="s">
        <v>248</v>
      </c>
      <c r="B68" s="40" t="s">
        <v>515</v>
      </c>
      <c r="C68" s="41" t="s">
        <v>642</v>
      </c>
      <c r="D68" s="40"/>
      <c r="E68" s="60"/>
      <c r="F68" s="42"/>
      <c r="G68" s="42">
        <v>14400000</v>
      </c>
    </row>
    <row r="69" spans="1:7" ht="25.5">
      <c r="A69" s="7" t="s">
        <v>249</v>
      </c>
      <c r="B69" s="40" t="s">
        <v>195</v>
      </c>
      <c r="C69" s="41" t="s">
        <v>643</v>
      </c>
      <c r="D69" s="40">
        <v>72</v>
      </c>
      <c r="E69" s="60" t="s">
        <v>32</v>
      </c>
      <c r="F69" s="42">
        <v>200000</v>
      </c>
      <c r="G69" s="42">
        <v>14400000</v>
      </c>
    </row>
    <row r="70" spans="1:7">
      <c r="A70" s="7" t="s">
        <v>250</v>
      </c>
      <c r="B70" s="40" t="s">
        <v>516</v>
      </c>
      <c r="C70" s="41" t="s">
        <v>11</v>
      </c>
      <c r="D70" s="71"/>
      <c r="E70" s="60"/>
      <c r="F70" s="42"/>
      <c r="G70" s="42">
        <v>9000000</v>
      </c>
    </row>
    <row r="71" spans="1:7">
      <c r="A71" s="7" t="s">
        <v>251</v>
      </c>
      <c r="B71" s="43" t="s">
        <v>195</v>
      </c>
      <c r="C71" s="44" t="s">
        <v>621</v>
      </c>
      <c r="D71" s="47">
        <v>10</v>
      </c>
      <c r="E71" s="61" t="s">
        <v>54</v>
      </c>
      <c r="F71" s="45">
        <v>900000</v>
      </c>
      <c r="G71" s="45">
        <v>9000000</v>
      </c>
    </row>
    <row r="72" spans="1:7">
      <c r="A72" s="7" t="s">
        <v>252</v>
      </c>
      <c r="B72" s="40" t="s">
        <v>517</v>
      </c>
      <c r="C72" s="41" t="s">
        <v>22</v>
      </c>
      <c r="D72" s="71"/>
      <c r="E72" s="60"/>
      <c r="F72" s="42"/>
      <c r="G72" s="42">
        <v>96000000</v>
      </c>
    </row>
    <row r="73" spans="1:7">
      <c r="A73" s="7" t="s">
        <v>253</v>
      </c>
      <c r="B73" s="43" t="s">
        <v>195</v>
      </c>
      <c r="C73" s="44" t="s">
        <v>644</v>
      </c>
      <c r="D73" s="47">
        <v>1</v>
      </c>
      <c r="E73" s="61" t="s">
        <v>9</v>
      </c>
      <c r="F73" s="45">
        <v>80000000</v>
      </c>
      <c r="G73" s="45">
        <v>80000000</v>
      </c>
    </row>
    <row r="74" spans="1:7">
      <c r="A74" s="7" t="s">
        <v>254</v>
      </c>
      <c r="B74" s="43" t="s">
        <v>195</v>
      </c>
      <c r="C74" s="44" t="s">
        <v>645</v>
      </c>
      <c r="D74" s="47">
        <v>1</v>
      </c>
      <c r="E74" s="61" t="s">
        <v>9</v>
      </c>
      <c r="F74" s="45">
        <v>16000000</v>
      </c>
      <c r="G74" s="45">
        <v>16000000</v>
      </c>
    </row>
    <row r="75" spans="1:7">
      <c r="A75" s="7" t="s">
        <v>255</v>
      </c>
      <c r="B75" s="40" t="s">
        <v>513</v>
      </c>
      <c r="C75" s="41" t="s">
        <v>19</v>
      </c>
      <c r="D75" s="40"/>
      <c r="E75" s="60"/>
      <c r="F75" s="42"/>
      <c r="G75" s="42">
        <v>53000000</v>
      </c>
    </row>
    <row r="76" spans="1:7" ht="25.5">
      <c r="A76" s="7" t="s">
        <v>256</v>
      </c>
      <c r="B76" s="43" t="s">
        <v>195</v>
      </c>
      <c r="C76" s="44" t="s">
        <v>646</v>
      </c>
      <c r="D76" s="47">
        <v>10</v>
      </c>
      <c r="E76" s="61" t="s">
        <v>25</v>
      </c>
      <c r="F76" s="45">
        <v>2500000</v>
      </c>
      <c r="G76" s="45">
        <v>25000000</v>
      </c>
    </row>
    <row r="77" spans="1:7" ht="25.5">
      <c r="A77" s="7" t="s">
        <v>647</v>
      </c>
      <c r="B77" s="40" t="s">
        <v>195</v>
      </c>
      <c r="C77" s="41" t="s">
        <v>648</v>
      </c>
      <c r="D77" s="40">
        <v>7</v>
      </c>
      <c r="E77" s="60" t="s">
        <v>25</v>
      </c>
      <c r="F77" s="42">
        <v>4000000</v>
      </c>
      <c r="G77" s="42">
        <v>28000000</v>
      </c>
    </row>
    <row r="78" spans="1:7">
      <c r="A78" s="7" t="s">
        <v>649</v>
      </c>
      <c r="B78" s="40" t="s">
        <v>507</v>
      </c>
      <c r="C78" s="41" t="s">
        <v>13</v>
      </c>
      <c r="D78" s="71"/>
      <c r="E78" s="60"/>
      <c r="F78" s="42"/>
      <c r="G78" s="42">
        <v>1500000</v>
      </c>
    </row>
    <row r="79" spans="1:7">
      <c r="A79" s="7" t="s">
        <v>650</v>
      </c>
      <c r="B79" s="37" t="s">
        <v>195</v>
      </c>
      <c r="C79" s="38" t="s">
        <v>630</v>
      </c>
      <c r="D79" s="37">
        <v>10</v>
      </c>
      <c r="E79" s="59" t="s">
        <v>10</v>
      </c>
      <c r="F79" s="39">
        <v>150000</v>
      </c>
      <c r="G79" s="39">
        <v>1500000</v>
      </c>
    </row>
    <row r="80" spans="1:7">
      <c r="A80" s="7" t="s">
        <v>651</v>
      </c>
      <c r="B80" s="40" t="s">
        <v>509</v>
      </c>
      <c r="C80" s="41" t="s">
        <v>14</v>
      </c>
      <c r="D80" s="40"/>
      <c r="E80" s="60"/>
      <c r="F80" s="42"/>
      <c r="G80" s="42">
        <v>1300000</v>
      </c>
    </row>
    <row r="81" spans="1:7">
      <c r="A81" s="7" t="s">
        <v>652</v>
      </c>
      <c r="B81" s="43" t="s">
        <v>195</v>
      </c>
      <c r="C81" s="44" t="s">
        <v>623</v>
      </c>
      <c r="D81" s="47">
        <v>10</v>
      </c>
      <c r="E81" s="61" t="s">
        <v>25</v>
      </c>
      <c r="F81" s="45">
        <v>130000</v>
      </c>
      <c r="G81" s="45">
        <v>1300000</v>
      </c>
    </row>
    <row r="82" spans="1:7">
      <c r="A82" s="7" t="s">
        <v>257</v>
      </c>
      <c r="B82" s="37" t="s">
        <v>519</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619</v>
      </c>
      <c r="D84" s="40">
        <v>2</v>
      </c>
      <c r="E84" s="60" t="s">
        <v>9</v>
      </c>
      <c r="F84" s="42">
        <v>1000000</v>
      </c>
      <c r="G84" s="42">
        <v>2000000</v>
      </c>
    </row>
    <row r="85" spans="1:7">
      <c r="A85" s="7" t="s">
        <v>260</v>
      </c>
      <c r="B85" s="43" t="s">
        <v>195</v>
      </c>
      <c r="C85" s="44" t="s">
        <v>620</v>
      </c>
      <c r="D85" s="47">
        <v>2</v>
      </c>
      <c r="E85" s="61" t="s">
        <v>9</v>
      </c>
      <c r="F85" s="45">
        <v>1000000</v>
      </c>
      <c r="G85" s="45">
        <v>2000000</v>
      </c>
    </row>
    <row r="86" spans="1:7">
      <c r="A86" s="7" t="s">
        <v>261</v>
      </c>
      <c r="B86" s="34" t="s">
        <v>195</v>
      </c>
      <c r="C86" s="35" t="s">
        <v>617</v>
      </c>
      <c r="D86" s="34">
        <v>2</v>
      </c>
      <c r="E86" s="58" t="s">
        <v>9</v>
      </c>
      <c r="F86" s="36">
        <v>500000</v>
      </c>
      <c r="G86" s="36">
        <v>1000000</v>
      </c>
    </row>
    <row r="87" spans="1:7">
      <c r="A87" s="7" t="s">
        <v>262</v>
      </c>
      <c r="B87" s="37" t="s">
        <v>195</v>
      </c>
      <c r="C87" s="38" t="s">
        <v>653</v>
      </c>
      <c r="D87" s="37">
        <v>60</v>
      </c>
      <c r="E87" s="59" t="s">
        <v>9</v>
      </c>
      <c r="F87" s="39">
        <v>69000</v>
      </c>
      <c r="G87" s="39">
        <v>4140000</v>
      </c>
    </row>
    <row r="88" spans="1:7">
      <c r="A88" s="7" t="s">
        <v>263</v>
      </c>
      <c r="B88" s="40" t="s">
        <v>516</v>
      </c>
      <c r="C88" s="41" t="s">
        <v>11</v>
      </c>
      <c r="D88" s="40"/>
      <c r="E88" s="60"/>
      <c r="F88" s="42"/>
      <c r="G88" s="42">
        <v>5400000</v>
      </c>
    </row>
    <row r="89" spans="1:7">
      <c r="A89" s="7" t="s">
        <v>264</v>
      </c>
      <c r="B89" s="43" t="s">
        <v>195</v>
      </c>
      <c r="C89" s="44" t="s">
        <v>654</v>
      </c>
      <c r="D89" s="47">
        <v>6</v>
      </c>
      <c r="E89" s="61" t="s">
        <v>54</v>
      </c>
      <c r="F89" s="45">
        <v>900000</v>
      </c>
      <c r="G89" s="45">
        <v>5400000</v>
      </c>
    </row>
    <row r="90" spans="1:7">
      <c r="A90" s="7" t="s">
        <v>265</v>
      </c>
      <c r="B90" s="40" t="s">
        <v>513</v>
      </c>
      <c r="C90" s="41" t="s">
        <v>19</v>
      </c>
      <c r="D90" s="71"/>
      <c r="E90" s="60"/>
      <c r="F90" s="42"/>
      <c r="G90" s="42">
        <v>10000000</v>
      </c>
    </row>
    <row r="91" spans="1:7">
      <c r="A91" s="7" t="s">
        <v>266</v>
      </c>
      <c r="B91" s="40" t="s">
        <v>195</v>
      </c>
      <c r="C91" s="41" t="s">
        <v>655</v>
      </c>
      <c r="D91" s="40">
        <v>4</v>
      </c>
      <c r="E91" s="60" t="s">
        <v>25</v>
      </c>
      <c r="F91" s="42">
        <v>2500000</v>
      </c>
      <c r="G91" s="42">
        <v>10000000</v>
      </c>
    </row>
    <row r="92" spans="1:7">
      <c r="A92" s="7" t="s">
        <v>656</v>
      </c>
      <c r="B92" s="40" t="s">
        <v>507</v>
      </c>
      <c r="C92" s="41" t="s">
        <v>13</v>
      </c>
      <c r="D92" s="71"/>
      <c r="E92" s="60"/>
      <c r="F92" s="42"/>
      <c r="G92" s="42">
        <v>1200000</v>
      </c>
    </row>
    <row r="93" spans="1:7">
      <c r="A93" s="7" t="s">
        <v>657</v>
      </c>
      <c r="B93" s="43" t="s">
        <v>195</v>
      </c>
      <c r="C93" s="44" t="s">
        <v>630</v>
      </c>
      <c r="D93" s="47">
        <v>8</v>
      </c>
      <c r="E93" s="61" t="s">
        <v>25</v>
      </c>
      <c r="F93" s="45">
        <v>150000</v>
      </c>
      <c r="G93" s="45">
        <v>1200000</v>
      </c>
    </row>
    <row r="94" spans="1:7">
      <c r="A94" s="7" t="s">
        <v>658</v>
      </c>
      <c r="B94" s="40" t="s">
        <v>509</v>
      </c>
      <c r="C94" s="41" t="s">
        <v>14</v>
      </c>
      <c r="D94" s="40"/>
      <c r="E94" s="60"/>
      <c r="F94" s="42"/>
      <c r="G94" s="42">
        <v>1040000</v>
      </c>
    </row>
    <row r="95" spans="1:7">
      <c r="A95" s="7" t="s">
        <v>659</v>
      </c>
      <c r="B95" s="43" t="s">
        <v>195</v>
      </c>
      <c r="C95" s="44" t="s">
        <v>623</v>
      </c>
      <c r="D95" s="47">
        <v>8</v>
      </c>
      <c r="E95" s="61" t="s">
        <v>25</v>
      </c>
      <c r="F95" s="45">
        <v>130000</v>
      </c>
      <c r="G95" s="45">
        <v>1040000</v>
      </c>
    </row>
    <row r="96" spans="1:7">
      <c r="A96" s="7" t="s">
        <v>660</v>
      </c>
      <c r="B96" s="37" t="s">
        <v>578</v>
      </c>
      <c r="C96" s="38" t="s">
        <v>661</v>
      </c>
      <c r="D96" s="70"/>
      <c r="E96" s="59"/>
      <c r="F96" s="39"/>
      <c r="G96" s="39">
        <v>149810000</v>
      </c>
    </row>
    <row r="97" spans="1:7">
      <c r="A97" s="7" t="s">
        <v>662</v>
      </c>
      <c r="B97" s="40" t="s">
        <v>503</v>
      </c>
      <c r="C97" s="41" t="s">
        <v>7</v>
      </c>
      <c r="D97" s="40"/>
      <c r="E97" s="60"/>
      <c r="F97" s="42"/>
      <c r="G97" s="42">
        <v>17280000</v>
      </c>
    </row>
    <row r="98" spans="1:7">
      <c r="A98" s="7" t="s">
        <v>663</v>
      </c>
      <c r="B98" s="43" t="s">
        <v>195</v>
      </c>
      <c r="C98" s="44" t="s">
        <v>664</v>
      </c>
      <c r="D98" s="47">
        <v>120</v>
      </c>
      <c r="E98" s="61" t="s">
        <v>25</v>
      </c>
      <c r="F98" s="45">
        <v>69000</v>
      </c>
      <c r="G98" s="45">
        <v>8280000</v>
      </c>
    </row>
    <row r="99" spans="1:7">
      <c r="A99" s="7" t="s">
        <v>665</v>
      </c>
      <c r="B99" s="40" t="s">
        <v>195</v>
      </c>
      <c r="C99" s="41" t="s">
        <v>619</v>
      </c>
      <c r="D99" s="40">
        <v>2</v>
      </c>
      <c r="E99" s="60" t="s">
        <v>9</v>
      </c>
      <c r="F99" s="42">
        <v>1000000</v>
      </c>
      <c r="G99" s="42">
        <v>2000000</v>
      </c>
    </row>
    <row r="100" spans="1:7">
      <c r="A100" s="7" t="s">
        <v>666</v>
      </c>
      <c r="B100" s="43" t="s">
        <v>195</v>
      </c>
      <c r="C100" s="44" t="s">
        <v>620</v>
      </c>
      <c r="D100" s="47">
        <v>2</v>
      </c>
      <c r="E100" s="61" t="s">
        <v>9</v>
      </c>
      <c r="F100" s="45">
        <v>1000000</v>
      </c>
      <c r="G100" s="45">
        <v>2000000</v>
      </c>
    </row>
    <row r="101" spans="1:7">
      <c r="A101" s="7" t="s">
        <v>667</v>
      </c>
      <c r="B101" s="40" t="s">
        <v>195</v>
      </c>
      <c r="C101" s="41" t="s">
        <v>668</v>
      </c>
      <c r="D101" s="40">
        <v>2</v>
      </c>
      <c r="E101" s="60" t="s">
        <v>9</v>
      </c>
      <c r="F101" s="42">
        <v>2500000</v>
      </c>
      <c r="G101" s="42">
        <v>5000000</v>
      </c>
    </row>
    <row r="102" spans="1:7">
      <c r="A102" s="7" t="s">
        <v>669</v>
      </c>
      <c r="B102" s="40" t="s">
        <v>516</v>
      </c>
      <c r="C102" s="41" t="s">
        <v>11</v>
      </c>
      <c r="D102" s="71"/>
      <c r="E102" s="60"/>
      <c r="F102" s="42"/>
      <c r="G102" s="42">
        <v>10800000</v>
      </c>
    </row>
    <row r="103" spans="1:7">
      <c r="A103" s="7" t="s">
        <v>670</v>
      </c>
      <c r="B103" s="40" t="s">
        <v>195</v>
      </c>
      <c r="C103" s="41" t="s">
        <v>671</v>
      </c>
      <c r="D103" s="40">
        <v>12</v>
      </c>
      <c r="E103" s="60" t="s">
        <v>54</v>
      </c>
      <c r="F103" s="42">
        <v>900000</v>
      </c>
      <c r="G103" s="42">
        <v>10800000</v>
      </c>
    </row>
    <row r="104" spans="1:7">
      <c r="A104" s="7" t="s">
        <v>672</v>
      </c>
      <c r="B104" s="40" t="s">
        <v>513</v>
      </c>
      <c r="C104" s="41" t="s">
        <v>19</v>
      </c>
      <c r="D104" s="71"/>
      <c r="E104" s="60"/>
      <c r="F104" s="42"/>
      <c r="G104" s="42">
        <v>121730000</v>
      </c>
    </row>
    <row r="105" spans="1:7" ht="25.5">
      <c r="A105" s="7" t="s">
        <v>673</v>
      </c>
      <c r="B105" s="37" t="s">
        <v>195</v>
      </c>
      <c r="C105" s="38" t="s">
        <v>674</v>
      </c>
      <c r="D105" s="37">
        <v>20</v>
      </c>
      <c r="E105" s="59" t="s">
        <v>25</v>
      </c>
      <c r="F105" s="39">
        <v>3043000</v>
      </c>
      <c r="G105" s="39">
        <v>60865000</v>
      </c>
    </row>
    <row r="106" spans="1:7" ht="25.5">
      <c r="A106" s="7" t="s">
        <v>675</v>
      </c>
      <c r="B106" s="40" t="s">
        <v>195</v>
      </c>
      <c r="C106" s="41" t="s">
        <v>676</v>
      </c>
      <c r="D106" s="40">
        <v>20</v>
      </c>
      <c r="E106" s="60" t="s">
        <v>10</v>
      </c>
      <c r="F106" s="42">
        <v>3043000</v>
      </c>
      <c r="G106" s="42">
        <v>60865000</v>
      </c>
    </row>
    <row r="107" spans="1:7">
      <c r="A107" s="7" t="s">
        <v>267</v>
      </c>
      <c r="B107" s="34" t="s">
        <v>520</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619</v>
      </c>
      <c r="D110" s="47">
        <v>1</v>
      </c>
      <c r="E110" s="61" t="s">
        <v>9</v>
      </c>
      <c r="F110" s="45">
        <v>1000000</v>
      </c>
      <c r="G110" s="45">
        <v>1000000</v>
      </c>
    </row>
    <row r="111" spans="1:7">
      <c r="A111" s="7" t="s">
        <v>271</v>
      </c>
      <c r="B111" s="40" t="s">
        <v>195</v>
      </c>
      <c r="C111" s="41" t="s">
        <v>620</v>
      </c>
      <c r="D111" s="40">
        <v>1</v>
      </c>
      <c r="E111" s="60" t="s">
        <v>9</v>
      </c>
      <c r="F111" s="42">
        <v>1000000</v>
      </c>
      <c r="G111" s="42">
        <v>1000000</v>
      </c>
    </row>
    <row r="112" spans="1:7" ht="25.5">
      <c r="A112" s="7" t="s">
        <v>272</v>
      </c>
      <c r="B112" s="43" t="s">
        <v>195</v>
      </c>
      <c r="C112" s="44" t="s">
        <v>677</v>
      </c>
      <c r="D112" s="47">
        <v>60</v>
      </c>
      <c r="E112" s="61" t="s">
        <v>10</v>
      </c>
      <c r="F112" s="45">
        <v>60000</v>
      </c>
      <c r="G112" s="45">
        <v>3600000</v>
      </c>
    </row>
    <row r="113" spans="1:7" ht="25.5">
      <c r="A113" s="7" t="s">
        <v>273</v>
      </c>
      <c r="B113" s="37" t="s">
        <v>511</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619</v>
      </c>
      <c r="D115" s="47">
        <v>1</v>
      </c>
      <c r="E115" s="61" t="s">
        <v>9</v>
      </c>
      <c r="F115" s="45">
        <v>1000000</v>
      </c>
      <c r="G115" s="45">
        <v>1000000</v>
      </c>
    </row>
    <row r="116" spans="1:7">
      <c r="A116" s="7" t="s">
        <v>276</v>
      </c>
      <c r="B116" s="40" t="s">
        <v>195</v>
      </c>
      <c r="C116" s="41" t="s">
        <v>620</v>
      </c>
      <c r="D116" s="40">
        <v>1</v>
      </c>
      <c r="E116" s="60" t="s">
        <v>9</v>
      </c>
      <c r="F116" s="42">
        <v>1000000</v>
      </c>
      <c r="G116" s="42">
        <v>1000000</v>
      </c>
    </row>
    <row r="117" spans="1:7" ht="25.5">
      <c r="A117" s="7" t="s">
        <v>277</v>
      </c>
      <c r="B117" s="43" t="s">
        <v>195</v>
      </c>
      <c r="C117" s="44" t="s">
        <v>678</v>
      </c>
      <c r="D117" s="47">
        <v>60</v>
      </c>
      <c r="E117" s="61" t="s">
        <v>10</v>
      </c>
      <c r="F117" s="45">
        <v>60000</v>
      </c>
      <c r="G117" s="45">
        <v>3600000</v>
      </c>
    </row>
    <row r="118" spans="1:7">
      <c r="A118" s="7" t="s">
        <v>278</v>
      </c>
      <c r="B118" s="40" t="s">
        <v>195</v>
      </c>
      <c r="C118" s="41" t="s">
        <v>679</v>
      </c>
      <c r="D118" s="40">
        <v>80</v>
      </c>
      <c r="E118" s="60" t="s">
        <v>117</v>
      </c>
      <c r="F118" s="42">
        <v>50000</v>
      </c>
      <c r="G118" s="42">
        <v>4000000</v>
      </c>
    </row>
    <row r="119" spans="1:7">
      <c r="A119" s="7" t="s">
        <v>279</v>
      </c>
      <c r="B119" s="40" t="s">
        <v>522</v>
      </c>
      <c r="C119" s="41" t="s">
        <v>30</v>
      </c>
      <c r="D119" s="71"/>
      <c r="E119" s="60"/>
      <c r="F119" s="42"/>
      <c r="G119" s="42">
        <v>60000000</v>
      </c>
    </row>
    <row r="120" spans="1:7">
      <c r="A120" s="7" t="s">
        <v>280</v>
      </c>
      <c r="B120" s="34" t="s">
        <v>195</v>
      </c>
      <c r="C120" s="35" t="s">
        <v>680</v>
      </c>
      <c r="D120" s="34">
        <v>12</v>
      </c>
      <c r="E120" s="58" t="s">
        <v>31</v>
      </c>
      <c r="F120" s="36">
        <v>5000000</v>
      </c>
      <c r="G120" s="36">
        <v>60000000</v>
      </c>
    </row>
    <row r="121" spans="1:7">
      <c r="A121" s="7" t="s">
        <v>281</v>
      </c>
      <c r="B121" s="40" t="s">
        <v>518</v>
      </c>
      <c r="C121" s="41" t="s">
        <v>24</v>
      </c>
      <c r="D121" s="40"/>
      <c r="E121" s="60"/>
      <c r="F121" s="42"/>
      <c r="G121" s="42">
        <v>12000000</v>
      </c>
    </row>
    <row r="122" spans="1:7">
      <c r="A122" s="7" t="s">
        <v>282</v>
      </c>
      <c r="B122" s="40" t="s">
        <v>195</v>
      </c>
      <c r="C122" s="41" t="s">
        <v>681</v>
      </c>
      <c r="D122" s="40">
        <v>80</v>
      </c>
      <c r="E122" s="60" t="s">
        <v>10</v>
      </c>
      <c r="F122" s="42">
        <v>150000</v>
      </c>
      <c r="G122" s="42">
        <v>12000000</v>
      </c>
    </row>
    <row r="123" spans="1:7">
      <c r="A123" s="7" t="s">
        <v>283</v>
      </c>
      <c r="B123" s="40" t="s">
        <v>513</v>
      </c>
      <c r="C123" s="41" t="s">
        <v>19</v>
      </c>
      <c r="D123" s="71"/>
      <c r="E123" s="60"/>
      <c r="F123" s="42"/>
      <c r="G123" s="42">
        <v>4940000</v>
      </c>
    </row>
    <row r="124" spans="1:7" ht="25.5">
      <c r="A124" s="7" t="s">
        <v>284</v>
      </c>
      <c r="B124" s="43" t="s">
        <v>195</v>
      </c>
      <c r="C124" s="44" t="s">
        <v>682</v>
      </c>
      <c r="D124" s="47">
        <v>2</v>
      </c>
      <c r="E124" s="61" t="s">
        <v>10</v>
      </c>
      <c r="F124" s="45">
        <v>2470000</v>
      </c>
      <c r="G124" s="45">
        <v>4940000</v>
      </c>
    </row>
    <row r="125" spans="1:7">
      <c r="A125" s="7" t="s">
        <v>285</v>
      </c>
      <c r="B125" s="40" t="s">
        <v>510</v>
      </c>
      <c r="C125" s="41" t="s">
        <v>15</v>
      </c>
      <c r="D125" s="71"/>
      <c r="E125" s="60"/>
      <c r="F125" s="42"/>
      <c r="G125" s="42">
        <v>104000000</v>
      </c>
    </row>
    <row r="126" spans="1:7" ht="25.5">
      <c r="A126" s="7" t="s">
        <v>286</v>
      </c>
      <c r="B126" s="40" t="s">
        <v>195</v>
      </c>
      <c r="C126" s="41" t="s">
        <v>683</v>
      </c>
      <c r="D126" s="40">
        <v>80</v>
      </c>
      <c r="E126" s="60" t="s">
        <v>10</v>
      </c>
      <c r="F126" s="42">
        <v>350000</v>
      </c>
      <c r="G126" s="42">
        <v>28000000</v>
      </c>
    </row>
    <row r="127" spans="1:7" ht="25.5">
      <c r="A127" s="7" t="s">
        <v>287</v>
      </c>
      <c r="B127" s="43" t="s">
        <v>195</v>
      </c>
      <c r="C127" s="44" t="s">
        <v>684</v>
      </c>
      <c r="D127" s="47">
        <v>160</v>
      </c>
      <c r="E127" s="61" t="s">
        <v>10</v>
      </c>
      <c r="F127" s="45">
        <v>150000</v>
      </c>
      <c r="G127" s="45">
        <v>24000000</v>
      </c>
    </row>
    <row r="128" spans="1:7">
      <c r="A128" s="7" t="s">
        <v>288</v>
      </c>
      <c r="B128" s="43" t="s">
        <v>195</v>
      </c>
      <c r="C128" s="44" t="s">
        <v>685</v>
      </c>
      <c r="D128" s="47">
        <v>80</v>
      </c>
      <c r="E128" s="61" t="s">
        <v>16</v>
      </c>
      <c r="F128" s="45">
        <v>650000</v>
      </c>
      <c r="G128" s="45">
        <v>52000000</v>
      </c>
    </row>
    <row r="129" spans="1:8" ht="25.5">
      <c r="A129" s="7" t="s">
        <v>289</v>
      </c>
      <c r="B129" s="37" t="s">
        <v>512</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619</v>
      </c>
      <c r="D131" s="40">
        <v>1</v>
      </c>
      <c r="E131" s="60" t="s">
        <v>9</v>
      </c>
      <c r="F131" s="42">
        <v>1000000</v>
      </c>
      <c r="G131" s="42">
        <v>1000000</v>
      </c>
    </row>
    <row r="132" spans="1:8">
      <c r="A132" s="7" t="s">
        <v>292</v>
      </c>
      <c r="B132" s="43" t="s">
        <v>195</v>
      </c>
      <c r="C132" s="44" t="s">
        <v>620</v>
      </c>
      <c r="D132" s="47">
        <v>1</v>
      </c>
      <c r="E132" s="61" t="s">
        <v>9</v>
      </c>
      <c r="F132" s="45">
        <v>1000000</v>
      </c>
      <c r="G132" s="45">
        <v>1000000</v>
      </c>
    </row>
    <row r="133" spans="1:8" ht="25.5">
      <c r="A133" s="7" t="s">
        <v>293</v>
      </c>
      <c r="B133" s="22" t="s">
        <v>195</v>
      </c>
      <c r="C133" s="23" t="s">
        <v>686</v>
      </c>
      <c r="D133" s="22">
        <v>30</v>
      </c>
      <c r="E133" s="54" t="s">
        <v>10</v>
      </c>
      <c r="F133" s="24">
        <v>60000</v>
      </c>
      <c r="G133" s="24">
        <v>1800000</v>
      </c>
      <c r="H133" s="8">
        <f>LEN(A133)</f>
        <v>30</v>
      </c>
    </row>
    <row r="134" spans="1:8" ht="25.5">
      <c r="A134" s="7" t="s">
        <v>294</v>
      </c>
      <c r="B134" s="37" t="s">
        <v>514</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619</v>
      </c>
      <c r="D136" s="31">
        <v>1</v>
      </c>
      <c r="E136" s="57" t="s">
        <v>9</v>
      </c>
      <c r="F136" s="33">
        <v>1000000</v>
      </c>
      <c r="G136" s="33">
        <v>1000000</v>
      </c>
    </row>
    <row r="137" spans="1:8">
      <c r="A137" s="21" t="s">
        <v>297</v>
      </c>
      <c r="B137" s="34" t="s">
        <v>195</v>
      </c>
      <c r="C137" s="35" t="s">
        <v>620</v>
      </c>
      <c r="D137" s="34">
        <v>1</v>
      </c>
      <c r="E137" s="58" t="s">
        <v>9</v>
      </c>
      <c r="F137" s="36">
        <v>1000000</v>
      </c>
      <c r="G137" s="36">
        <v>1000000</v>
      </c>
    </row>
    <row r="138" spans="1:8" ht="25.5">
      <c r="A138" s="21" t="s">
        <v>298</v>
      </c>
      <c r="B138" s="37" t="s">
        <v>195</v>
      </c>
      <c r="C138" s="38" t="s">
        <v>687</v>
      </c>
      <c r="D138" s="37">
        <v>30</v>
      </c>
      <c r="E138" s="59" t="s">
        <v>10</v>
      </c>
      <c r="F138" s="39">
        <v>60000</v>
      </c>
      <c r="G138" s="39">
        <v>1800000</v>
      </c>
    </row>
    <row r="139" spans="1:8">
      <c r="A139" s="21" t="s">
        <v>299</v>
      </c>
      <c r="B139" s="40" t="s">
        <v>195</v>
      </c>
      <c r="C139" s="41" t="s">
        <v>679</v>
      </c>
      <c r="D139" s="40">
        <v>30</v>
      </c>
      <c r="E139" s="60" t="s">
        <v>117</v>
      </c>
      <c r="F139" s="42">
        <v>50000</v>
      </c>
      <c r="G139" s="42">
        <v>1500000</v>
      </c>
    </row>
    <row r="140" spans="1:8">
      <c r="A140" s="21" t="s">
        <v>300</v>
      </c>
      <c r="B140" s="40" t="s">
        <v>522</v>
      </c>
      <c r="C140" s="41" t="s">
        <v>30</v>
      </c>
      <c r="D140" s="71"/>
      <c r="E140" s="60"/>
      <c r="F140" s="42"/>
      <c r="G140" s="42">
        <v>30000000</v>
      </c>
    </row>
    <row r="141" spans="1:8">
      <c r="A141" s="21" t="s">
        <v>301</v>
      </c>
      <c r="B141" s="43" t="s">
        <v>195</v>
      </c>
      <c r="C141" s="44" t="s">
        <v>680</v>
      </c>
      <c r="D141" s="47">
        <v>6</v>
      </c>
      <c r="E141" s="61" t="s">
        <v>31</v>
      </c>
      <c r="F141" s="45">
        <v>5000000</v>
      </c>
      <c r="G141" s="45">
        <v>30000000</v>
      </c>
    </row>
    <row r="142" spans="1:8">
      <c r="A142" s="21" t="s">
        <v>302</v>
      </c>
      <c r="B142" s="40" t="s">
        <v>518</v>
      </c>
      <c r="C142" s="41" t="s">
        <v>24</v>
      </c>
      <c r="D142" s="40"/>
      <c r="E142" s="60"/>
      <c r="F142" s="42"/>
      <c r="G142" s="42">
        <v>6000000</v>
      </c>
    </row>
    <row r="143" spans="1:8">
      <c r="A143" s="21" t="s">
        <v>303</v>
      </c>
      <c r="B143" s="43" t="s">
        <v>195</v>
      </c>
      <c r="C143" s="44" t="s">
        <v>681</v>
      </c>
      <c r="D143" s="47">
        <v>40</v>
      </c>
      <c r="E143" s="61" t="s">
        <v>10</v>
      </c>
      <c r="F143" s="45">
        <v>150000</v>
      </c>
      <c r="G143" s="45">
        <v>6000000</v>
      </c>
    </row>
    <row r="144" spans="1:8">
      <c r="A144" s="21" t="s">
        <v>304</v>
      </c>
      <c r="B144" s="40" t="s">
        <v>510</v>
      </c>
      <c r="C144" s="41" t="s">
        <v>15</v>
      </c>
      <c r="D144" s="40"/>
      <c r="E144" s="60"/>
      <c r="F144" s="42"/>
      <c r="G144" s="42">
        <v>52000000</v>
      </c>
    </row>
    <row r="145" spans="1:7" ht="25.5">
      <c r="A145" s="21" t="s">
        <v>305</v>
      </c>
      <c r="B145" s="43" t="s">
        <v>195</v>
      </c>
      <c r="C145" s="44" t="s">
        <v>688</v>
      </c>
      <c r="D145" s="47">
        <v>40</v>
      </c>
      <c r="E145" s="61" t="s">
        <v>10</v>
      </c>
      <c r="F145" s="45">
        <v>350000</v>
      </c>
      <c r="G145" s="45">
        <v>14000000</v>
      </c>
    </row>
    <row r="146" spans="1:7" ht="25.5">
      <c r="A146" s="21" t="s">
        <v>306</v>
      </c>
      <c r="B146" s="43" t="s">
        <v>195</v>
      </c>
      <c r="C146" s="44" t="s">
        <v>689</v>
      </c>
      <c r="D146" s="47">
        <v>80</v>
      </c>
      <c r="E146" s="61" t="s">
        <v>10</v>
      </c>
      <c r="F146" s="45">
        <v>150000</v>
      </c>
      <c r="G146" s="45">
        <v>12000000</v>
      </c>
    </row>
    <row r="147" spans="1:7">
      <c r="A147" s="21" t="s">
        <v>307</v>
      </c>
      <c r="B147" s="40" t="s">
        <v>195</v>
      </c>
      <c r="C147" s="41" t="s">
        <v>690</v>
      </c>
      <c r="D147" s="40">
        <v>40</v>
      </c>
      <c r="E147" s="60" t="s">
        <v>16</v>
      </c>
      <c r="F147" s="42">
        <v>650000</v>
      </c>
      <c r="G147" s="42">
        <v>26000000</v>
      </c>
    </row>
    <row r="148" spans="1:7" ht="25.5">
      <c r="A148" s="21" t="s">
        <v>308</v>
      </c>
      <c r="B148" s="37" t="s">
        <v>519</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619</v>
      </c>
      <c r="D150" s="47">
        <v>1</v>
      </c>
      <c r="E150" s="61" t="s">
        <v>9</v>
      </c>
      <c r="F150" s="45">
        <v>1000000</v>
      </c>
      <c r="G150" s="45">
        <v>1000000</v>
      </c>
    </row>
    <row r="151" spans="1:7">
      <c r="A151" s="7" t="s">
        <v>311</v>
      </c>
      <c r="B151" s="28" t="s">
        <v>195</v>
      </c>
      <c r="C151" s="29" t="s">
        <v>620</v>
      </c>
      <c r="D151" s="46">
        <v>1</v>
      </c>
      <c r="E151" s="56" t="s">
        <v>9</v>
      </c>
      <c r="F151" s="30">
        <v>1000000</v>
      </c>
      <c r="G151" s="30">
        <v>1000000</v>
      </c>
    </row>
    <row r="152" spans="1:7">
      <c r="A152" s="7" t="s">
        <v>312</v>
      </c>
      <c r="B152" s="31" t="s">
        <v>195</v>
      </c>
      <c r="C152" s="32" t="s">
        <v>691</v>
      </c>
      <c r="D152" s="31">
        <v>30</v>
      </c>
      <c r="E152" s="57" t="s">
        <v>10</v>
      </c>
      <c r="F152" s="33">
        <v>60000</v>
      </c>
      <c r="G152" s="33">
        <v>1800000</v>
      </c>
    </row>
    <row r="153" spans="1:7">
      <c r="A153" s="21" t="s">
        <v>313</v>
      </c>
      <c r="B153" s="34" t="s">
        <v>195</v>
      </c>
      <c r="C153" s="35" t="s">
        <v>692</v>
      </c>
      <c r="D153" s="34">
        <v>20</v>
      </c>
      <c r="E153" s="58" t="s">
        <v>117</v>
      </c>
      <c r="F153" s="36">
        <v>50000</v>
      </c>
      <c r="G153" s="36">
        <v>1000000</v>
      </c>
    </row>
    <row r="154" spans="1:7">
      <c r="A154" s="21" t="s">
        <v>314</v>
      </c>
      <c r="B154" s="40" t="s">
        <v>507</v>
      </c>
      <c r="C154" s="41" t="s">
        <v>13</v>
      </c>
      <c r="D154" s="40"/>
      <c r="E154" s="60"/>
      <c r="F154" s="42"/>
      <c r="G154" s="42">
        <v>1050000</v>
      </c>
    </row>
    <row r="155" spans="1:7">
      <c r="A155" s="21" t="s">
        <v>315</v>
      </c>
      <c r="B155" s="40" t="s">
        <v>195</v>
      </c>
      <c r="C155" s="41" t="s">
        <v>630</v>
      </c>
      <c r="D155" s="40">
        <v>7</v>
      </c>
      <c r="E155" s="60" t="s">
        <v>10</v>
      </c>
      <c r="F155" s="42">
        <v>150000</v>
      </c>
      <c r="G155" s="42">
        <v>1050000</v>
      </c>
    </row>
    <row r="156" spans="1:7">
      <c r="A156" s="21" t="s">
        <v>316</v>
      </c>
      <c r="B156" s="40" t="s">
        <v>509</v>
      </c>
      <c r="C156" s="41" t="s">
        <v>14</v>
      </c>
      <c r="D156" s="71"/>
      <c r="E156" s="60"/>
      <c r="F156" s="42"/>
      <c r="G156" s="42">
        <v>910000</v>
      </c>
    </row>
    <row r="157" spans="1:7">
      <c r="A157" s="21" t="s">
        <v>317</v>
      </c>
      <c r="B157" s="43" t="s">
        <v>195</v>
      </c>
      <c r="C157" s="44" t="s">
        <v>623</v>
      </c>
      <c r="D157" s="47">
        <v>7</v>
      </c>
      <c r="E157" s="61" t="s">
        <v>10</v>
      </c>
      <c r="F157" s="45">
        <v>130000</v>
      </c>
      <c r="G157" s="45">
        <v>910000</v>
      </c>
    </row>
    <row r="158" spans="1:7" ht="25.5">
      <c r="A158" s="21" t="s">
        <v>318</v>
      </c>
      <c r="B158" s="34" t="s">
        <v>523</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619</v>
      </c>
      <c r="D161" s="47">
        <v>1</v>
      </c>
      <c r="E161" s="61" t="s">
        <v>9</v>
      </c>
      <c r="F161" s="45">
        <v>1000000</v>
      </c>
      <c r="G161" s="45">
        <v>1000000</v>
      </c>
    </row>
    <row r="162" spans="1:7">
      <c r="A162" s="21" t="s">
        <v>322</v>
      </c>
      <c r="B162" s="43" t="s">
        <v>195</v>
      </c>
      <c r="C162" s="44" t="s">
        <v>693</v>
      </c>
      <c r="D162" s="47">
        <v>1</v>
      </c>
      <c r="E162" s="61" t="s">
        <v>9</v>
      </c>
      <c r="F162" s="45">
        <v>1000000</v>
      </c>
      <c r="G162" s="45">
        <v>1000000</v>
      </c>
    </row>
    <row r="163" spans="1:7">
      <c r="A163" s="21" t="s">
        <v>323</v>
      </c>
      <c r="B163" s="40" t="s">
        <v>195</v>
      </c>
      <c r="C163" s="41" t="s">
        <v>694</v>
      </c>
      <c r="D163" s="40">
        <v>1</v>
      </c>
      <c r="E163" s="60" t="s">
        <v>9</v>
      </c>
      <c r="F163" s="42">
        <v>6000000</v>
      </c>
      <c r="G163" s="42">
        <v>6000000</v>
      </c>
    </row>
    <row r="164" spans="1:7">
      <c r="A164" s="21" t="s">
        <v>324</v>
      </c>
      <c r="B164" s="43" t="s">
        <v>195</v>
      </c>
      <c r="C164" s="44" t="s">
        <v>695</v>
      </c>
      <c r="D164" s="47">
        <v>40</v>
      </c>
      <c r="E164" s="61" t="s">
        <v>10</v>
      </c>
      <c r="F164" s="45">
        <v>150000</v>
      </c>
      <c r="G164" s="45">
        <v>6000000</v>
      </c>
    </row>
    <row r="165" spans="1:7">
      <c r="A165" s="21" t="s">
        <v>325</v>
      </c>
      <c r="B165" s="43" t="s">
        <v>195</v>
      </c>
      <c r="C165" s="44" t="s">
        <v>696</v>
      </c>
      <c r="D165" s="47">
        <v>80</v>
      </c>
      <c r="E165" s="61" t="s">
        <v>10</v>
      </c>
      <c r="F165" s="45">
        <v>69000</v>
      </c>
      <c r="G165" s="45">
        <v>5520000</v>
      </c>
    </row>
    <row r="166" spans="1:7">
      <c r="A166" s="21" t="s">
        <v>326</v>
      </c>
      <c r="B166" s="43" t="s">
        <v>195</v>
      </c>
      <c r="C166" s="44" t="s">
        <v>697</v>
      </c>
      <c r="D166" s="47">
        <v>20</v>
      </c>
      <c r="E166" s="61" t="s">
        <v>10</v>
      </c>
      <c r="F166" s="45">
        <v>65000</v>
      </c>
      <c r="G166" s="45">
        <v>1300000</v>
      </c>
    </row>
    <row r="167" spans="1:7" ht="25.5">
      <c r="A167" s="21" t="s">
        <v>698</v>
      </c>
      <c r="B167" s="40" t="s">
        <v>195</v>
      </c>
      <c r="C167" s="41" t="s">
        <v>699</v>
      </c>
      <c r="D167" s="40">
        <v>40</v>
      </c>
      <c r="E167" s="60" t="s">
        <v>10</v>
      </c>
      <c r="F167" s="42">
        <v>65000</v>
      </c>
      <c r="G167" s="42">
        <v>2600000</v>
      </c>
    </row>
    <row r="168" spans="1:7" ht="25.5">
      <c r="A168" s="21" t="s">
        <v>327</v>
      </c>
      <c r="B168" s="40" t="s">
        <v>515</v>
      </c>
      <c r="C168" s="41" t="s">
        <v>642</v>
      </c>
      <c r="D168" s="71"/>
      <c r="E168" s="60"/>
      <c r="F168" s="42"/>
      <c r="G168" s="42">
        <v>14400000</v>
      </c>
    </row>
    <row r="169" spans="1:7" ht="25.5">
      <c r="A169" s="21" t="s">
        <v>328</v>
      </c>
      <c r="B169" s="43" t="s">
        <v>195</v>
      </c>
      <c r="C169" s="44" t="s">
        <v>700</v>
      </c>
      <c r="D169" s="47">
        <v>72</v>
      </c>
      <c r="E169" s="61" t="s">
        <v>21</v>
      </c>
      <c r="F169" s="45">
        <v>200000</v>
      </c>
      <c r="G169" s="45">
        <v>14400000</v>
      </c>
    </row>
    <row r="170" spans="1:7">
      <c r="A170" s="21" t="s">
        <v>329</v>
      </c>
      <c r="B170" s="40" t="s">
        <v>516</v>
      </c>
      <c r="C170" s="41" t="s">
        <v>11</v>
      </c>
      <c r="D170" s="71"/>
      <c r="E170" s="60"/>
      <c r="F170" s="42"/>
      <c r="G170" s="42">
        <v>4000000</v>
      </c>
    </row>
    <row r="171" spans="1:7" ht="25.5">
      <c r="A171" s="21" t="s">
        <v>330</v>
      </c>
      <c r="B171" s="40" t="s">
        <v>195</v>
      </c>
      <c r="C171" s="41" t="s">
        <v>701</v>
      </c>
      <c r="D171" s="40">
        <v>4</v>
      </c>
      <c r="E171" s="60" t="s">
        <v>12</v>
      </c>
      <c r="F171" s="42">
        <v>1000000</v>
      </c>
      <c r="G171" s="42">
        <v>4000000</v>
      </c>
    </row>
    <row r="172" spans="1:7">
      <c r="A172" s="21" t="s">
        <v>331</v>
      </c>
      <c r="B172" s="40" t="s">
        <v>518</v>
      </c>
      <c r="C172" s="41" t="s">
        <v>24</v>
      </c>
      <c r="D172" s="71"/>
      <c r="E172" s="60"/>
      <c r="F172" s="42"/>
      <c r="G172" s="42">
        <v>5000000</v>
      </c>
    </row>
    <row r="173" spans="1:7">
      <c r="A173" s="21" t="s">
        <v>332</v>
      </c>
      <c r="B173" s="43" t="s">
        <v>195</v>
      </c>
      <c r="C173" s="44" t="s">
        <v>702</v>
      </c>
      <c r="D173" s="47">
        <v>20</v>
      </c>
      <c r="E173" s="61" t="s">
        <v>10</v>
      </c>
      <c r="F173" s="45">
        <v>250000</v>
      </c>
      <c r="G173" s="45">
        <v>5000000</v>
      </c>
    </row>
    <row r="174" spans="1:7">
      <c r="A174" s="21" t="s">
        <v>333</v>
      </c>
      <c r="B174" s="40" t="s">
        <v>513</v>
      </c>
      <c r="C174" s="41" t="s">
        <v>19</v>
      </c>
      <c r="D174" s="71"/>
      <c r="E174" s="60"/>
      <c r="F174" s="42"/>
      <c r="G174" s="42">
        <v>37500000</v>
      </c>
    </row>
    <row r="175" spans="1:7" ht="25.5">
      <c r="A175" s="21" t="s">
        <v>334</v>
      </c>
      <c r="B175" s="40" t="s">
        <v>195</v>
      </c>
      <c r="C175" s="41" t="s">
        <v>703</v>
      </c>
      <c r="D175" s="40">
        <v>6</v>
      </c>
      <c r="E175" s="60" t="s">
        <v>10</v>
      </c>
      <c r="F175" s="42">
        <v>4500000</v>
      </c>
      <c r="G175" s="42">
        <v>27000000</v>
      </c>
    </row>
    <row r="176" spans="1:7">
      <c r="A176" s="21" t="s">
        <v>335</v>
      </c>
      <c r="B176" s="43" t="s">
        <v>195</v>
      </c>
      <c r="C176" s="44" t="s">
        <v>704</v>
      </c>
      <c r="D176" s="47">
        <v>6</v>
      </c>
      <c r="E176" s="61" t="s">
        <v>10</v>
      </c>
      <c r="F176" s="45">
        <v>4500000</v>
      </c>
      <c r="G176" s="45">
        <v>27000000</v>
      </c>
    </row>
    <row r="177" spans="1:7">
      <c r="A177" s="21" t="s">
        <v>705</v>
      </c>
      <c r="B177" s="43" t="s">
        <v>195</v>
      </c>
      <c r="C177" s="44" t="s">
        <v>706</v>
      </c>
      <c r="D177" s="47">
        <v>6</v>
      </c>
      <c r="E177" s="61" t="s">
        <v>10</v>
      </c>
      <c r="F177" s="45">
        <v>1750000</v>
      </c>
      <c r="G177" s="45">
        <v>10500000</v>
      </c>
    </row>
    <row r="178" spans="1:7">
      <c r="A178" s="21" t="s">
        <v>336</v>
      </c>
      <c r="B178" s="40" t="s">
        <v>510</v>
      </c>
      <c r="C178" s="41" t="s">
        <v>15</v>
      </c>
      <c r="D178" s="71"/>
      <c r="E178" s="60"/>
      <c r="F178" s="42"/>
      <c r="G178" s="42">
        <v>24100000</v>
      </c>
    </row>
    <row r="179" spans="1:7">
      <c r="A179" s="21" t="s">
        <v>337</v>
      </c>
      <c r="B179" s="40" t="s">
        <v>195</v>
      </c>
      <c r="C179" s="41" t="s">
        <v>707</v>
      </c>
      <c r="D179" s="40">
        <v>20</v>
      </c>
      <c r="E179" s="60" t="s">
        <v>10</v>
      </c>
      <c r="F179" s="42">
        <v>105000</v>
      </c>
      <c r="G179" s="42">
        <v>2100000</v>
      </c>
    </row>
    <row r="180" spans="1:7">
      <c r="A180" s="21" t="s">
        <v>338</v>
      </c>
      <c r="B180" s="43" t="s">
        <v>195</v>
      </c>
      <c r="C180" s="44" t="s">
        <v>708</v>
      </c>
      <c r="D180" s="47">
        <v>20</v>
      </c>
      <c r="E180" s="61" t="s">
        <v>10</v>
      </c>
      <c r="F180" s="45">
        <v>400000</v>
      </c>
      <c r="G180" s="45">
        <v>8000000</v>
      </c>
    </row>
    <row r="181" spans="1:7" ht="25.5">
      <c r="A181" s="21" t="s">
        <v>709</v>
      </c>
      <c r="B181" s="43" t="s">
        <v>195</v>
      </c>
      <c r="C181" s="44" t="s">
        <v>710</v>
      </c>
      <c r="D181" s="47">
        <v>40</v>
      </c>
      <c r="E181" s="61" t="s">
        <v>10</v>
      </c>
      <c r="F181" s="45">
        <v>100000</v>
      </c>
      <c r="G181" s="45">
        <v>4000000</v>
      </c>
    </row>
    <row r="182" spans="1:7" ht="25.5">
      <c r="A182" s="21" t="s">
        <v>711</v>
      </c>
      <c r="B182" s="43" t="s">
        <v>195</v>
      </c>
      <c r="C182" s="44" t="s">
        <v>712</v>
      </c>
      <c r="D182" s="47">
        <v>40</v>
      </c>
      <c r="E182" s="61" t="s">
        <v>10</v>
      </c>
      <c r="F182" s="45">
        <v>250000</v>
      </c>
      <c r="G182" s="45">
        <v>10000000</v>
      </c>
    </row>
    <row r="183" spans="1:7" ht="25.5">
      <c r="A183" s="21" t="s">
        <v>339</v>
      </c>
      <c r="B183" s="37" t="s">
        <v>511</v>
      </c>
      <c r="C183" s="38" t="s">
        <v>713</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619</v>
      </c>
      <c r="D185" s="40">
        <v>2</v>
      </c>
      <c r="E185" s="60" t="s">
        <v>9</v>
      </c>
      <c r="F185" s="42">
        <v>1000000</v>
      </c>
      <c r="G185" s="42">
        <v>2000000</v>
      </c>
    </row>
    <row r="186" spans="1:7">
      <c r="A186" s="21" t="s">
        <v>342</v>
      </c>
      <c r="B186" s="43" t="s">
        <v>195</v>
      </c>
      <c r="C186" s="44" t="s">
        <v>693</v>
      </c>
      <c r="D186" s="47">
        <v>2</v>
      </c>
      <c r="E186" s="61" t="s">
        <v>9</v>
      </c>
      <c r="F186" s="45">
        <v>1000000</v>
      </c>
      <c r="G186" s="45">
        <v>2000000</v>
      </c>
    </row>
    <row r="187" spans="1:7">
      <c r="A187" s="21" t="s">
        <v>343</v>
      </c>
      <c r="B187" s="40" t="s">
        <v>195</v>
      </c>
      <c r="C187" s="41" t="s">
        <v>714</v>
      </c>
      <c r="D187" s="40">
        <v>2</v>
      </c>
      <c r="E187" s="60" t="s">
        <v>9</v>
      </c>
      <c r="F187" s="42">
        <v>915000</v>
      </c>
      <c r="G187" s="42">
        <v>1830000</v>
      </c>
    </row>
    <row r="188" spans="1:7">
      <c r="A188" s="21" t="s">
        <v>344</v>
      </c>
      <c r="B188" s="43" t="s">
        <v>195</v>
      </c>
      <c r="C188" s="44" t="s">
        <v>715</v>
      </c>
      <c r="D188" s="47">
        <v>40</v>
      </c>
      <c r="E188" s="61" t="s">
        <v>25</v>
      </c>
      <c r="F188" s="45">
        <v>22000</v>
      </c>
      <c r="G188" s="45">
        <v>880000</v>
      </c>
    </row>
    <row r="189" spans="1:7">
      <c r="A189" s="21" t="s">
        <v>716</v>
      </c>
      <c r="B189" s="43" t="s">
        <v>195</v>
      </c>
      <c r="C189" s="44" t="s">
        <v>717</v>
      </c>
      <c r="D189" s="47">
        <v>100</v>
      </c>
      <c r="E189" s="61" t="s">
        <v>25</v>
      </c>
      <c r="F189" s="45">
        <v>69000</v>
      </c>
      <c r="G189" s="45">
        <v>6900000</v>
      </c>
    </row>
    <row r="190" spans="1:7">
      <c r="A190" s="21" t="s">
        <v>345</v>
      </c>
      <c r="B190" s="40" t="s">
        <v>516</v>
      </c>
      <c r="C190" s="41" t="s">
        <v>11</v>
      </c>
      <c r="D190" s="71"/>
      <c r="E190" s="60"/>
      <c r="F190" s="42"/>
      <c r="G190" s="42">
        <v>8000000</v>
      </c>
    </row>
    <row r="191" spans="1:7" ht="25.5">
      <c r="A191" s="21" t="s">
        <v>346</v>
      </c>
      <c r="B191" s="37" t="s">
        <v>195</v>
      </c>
      <c r="C191" s="38" t="s">
        <v>718</v>
      </c>
      <c r="D191" s="37">
        <v>8</v>
      </c>
      <c r="E191" s="59" t="s">
        <v>54</v>
      </c>
      <c r="F191" s="39">
        <v>1000000</v>
      </c>
      <c r="G191" s="39">
        <v>8000000</v>
      </c>
    </row>
    <row r="192" spans="1:7">
      <c r="A192" s="21" t="s">
        <v>719</v>
      </c>
      <c r="B192" s="40" t="s">
        <v>513</v>
      </c>
      <c r="C192" s="41" t="s">
        <v>19</v>
      </c>
      <c r="D192" s="40"/>
      <c r="E192" s="60"/>
      <c r="F192" s="42"/>
      <c r="G192" s="42">
        <v>36400000</v>
      </c>
    </row>
    <row r="193" spans="1:7" ht="25.5">
      <c r="A193" s="21" t="s">
        <v>720</v>
      </c>
      <c r="B193" s="43" t="s">
        <v>195</v>
      </c>
      <c r="C193" s="44" t="s">
        <v>721</v>
      </c>
      <c r="D193" s="47">
        <v>8</v>
      </c>
      <c r="E193" s="61" t="s">
        <v>54</v>
      </c>
      <c r="F193" s="45">
        <v>4550000</v>
      </c>
      <c r="G193" s="45">
        <v>36400000</v>
      </c>
    </row>
    <row r="194" spans="1:7">
      <c r="A194" s="21" t="s">
        <v>347</v>
      </c>
      <c r="B194" s="37" t="s">
        <v>512</v>
      </c>
      <c r="C194" s="38" t="s">
        <v>722</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619</v>
      </c>
      <c r="D196" s="40">
        <v>1</v>
      </c>
      <c r="E196" s="60" t="s">
        <v>9</v>
      </c>
      <c r="F196" s="42">
        <v>1000000</v>
      </c>
      <c r="G196" s="42">
        <v>1000000</v>
      </c>
    </row>
    <row r="197" spans="1:7">
      <c r="A197" s="21" t="s">
        <v>350</v>
      </c>
      <c r="B197" s="43" t="s">
        <v>195</v>
      </c>
      <c r="C197" s="44" t="s">
        <v>693</v>
      </c>
      <c r="D197" s="47">
        <v>1</v>
      </c>
      <c r="E197" s="61" t="s">
        <v>9</v>
      </c>
      <c r="F197" s="45">
        <v>1000000</v>
      </c>
      <c r="G197" s="45">
        <v>1000000</v>
      </c>
    </row>
    <row r="198" spans="1:7">
      <c r="A198" s="21" t="s">
        <v>351</v>
      </c>
      <c r="B198" s="43" t="s">
        <v>195</v>
      </c>
      <c r="C198" s="44" t="s">
        <v>714</v>
      </c>
      <c r="D198" s="47">
        <v>1</v>
      </c>
      <c r="E198" s="61" t="s">
        <v>9</v>
      </c>
      <c r="F198" s="45">
        <v>1000000</v>
      </c>
      <c r="G198" s="45">
        <v>1000000</v>
      </c>
    </row>
    <row r="199" spans="1:7" ht="25.5">
      <c r="A199" s="21" t="s">
        <v>352</v>
      </c>
      <c r="B199" s="43" t="s">
        <v>195</v>
      </c>
      <c r="C199" s="44" t="s">
        <v>723</v>
      </c>
      <c r="D199" s="47">
        <v>40</v>
      </c>
      <c r="E199" s="61" t="s">
        <v>10</v>
      </c>
      <c r="F199" s="45">
        <v>69000</v>
      </c>
      <c r="G199" s="45">
        <v>2760000</v>
      </c>
    </row>
    <row r="200" spans="1:7" ht="25.5">
      <c r="A200" s="21" t="s">
        <v>353</v>
      </c>
      <c r="B200" s="43" t="s">
        <v>195</v>
      </c>
      <c r="C200" s="44" t="s">
        <v>724</v>
      </c>
      <c r="D200" s="47">
        <v>90</v>
      </c>
      <c r="E200" s="61" t="s">
        <v>10</v>
      </c>
      <c r="F200" s="45">
        <v>65000</v>
      </c>
      <c r="G200" s="45">
        <v>5850000</v>
      </c>
    </row>
    <row r="201" spans="1:7">
      <c r="A201" s="21" t="s">
        <v>354</v>
      </c>
      <c r="B201" s="40" t="s">
        <v>516</v>
      </c>
      <c r="C201" s="41" t="s">
        <v>11</v>
      </c>
      <c r="D201" s="71"/>
      <c r="E201" s="60"/>
      <c r="F201" s="42"/>
      <c r="G201" s="42">
        <v>5400000</v>
      </c>
    </row>
    <row r="202" spans="1:7" ht="25.5">
      <c r="A202" s="21" t="s">
        <v>355</v>
      </c>
      <c r="B202" s="43" t="s">
        <v>195</v>
      </c>
      <c r="C202" s="44" t="s">
        <v>725</v>
      </c>
      <c r="D202" s="47">
        <v>6</v>
      </c>
      <c r="E202" s="61" t="s">
        <v>12</v>
      </c>
      <c r="F202" s="45">
        <v>900000</v>
      </c>
      <c r="G202" s="45">
        <v>5400000</v>
      </c>
    </row>
    <row r="203" spans="1:7">
      <c r="A203" s="21" t="s">
        <v>356</v>
      </c>
      <c r="B203" s="40" t="s">
        <v>513</v>
      </c>
      <c r="C203" s="41" t="s">
        <v>19</v>
      </c>
      <c r="D203" s="71"/>
      <c r="E203" s="60"/>
      <c r="F203" s="42"/>
      <c r="G203" s="42">
        <v>24000000</v>
      </c>
    </row>
    <row r="204" spans="1:7" ht="38.25">
      <c r="A204" s="21" t="s">
        <v>357</v>
      </c>
      <c r="B204" s="43" t="s">
        <v>195</v>
      </c>
      <c r="C204" s="44" t="s">
        <v>726</v>
      </c>
      <c r="D204" s="47">
        <v>6</v>
      </c>
      <c r="E204" s="61" t="s">
        <v>10</v>
      </c>
      <c r="F204" s="45">
        <v>4000000</v>
      </c>
      <c r="G204" s="45">
        <v>24000000</v>
      </c>
    </row>
    <row r="205" spans="1:7">
      <c r="A205" s="21" t="s">
        <v>358</v>
      </c>
      <c r="B205" s="40" t="s">
        <v>510</v>
      </c>
      <c r="C205" s="41" t="s">
        <v>15</v>
      </c>
      <c r="D205" s="71"/>
      <c r="E205" s="60"/>
      <c r="F205" s="42"/>
      <c r="G205" s="42">
        <v>22500000</v>
      </c>
    </row>
    <row r="206" spans="1:7">
      <c r="A206" s="21" t="s">
        <v>359</v>
      </c>
      <c r="B206" s="40" t="s">
        <v>195</v>
      </c>
      <c r="C206" s="41" t="s">
        <v>727</v>
      </c>
      <c r="D206" s="40">
        <v>90</v>
      </c>
      <c r="E206" s="60" t="s">
        <v>10</v>
      </c>
      <c r="F206" s="42">
        <v>100000</v>
      </c>
      <c r="G206" s="42">
        <v>9000000</v>
      </c>
    </row>
    <row r="207" spans="1:7">
      <c r="A207" s="21" t="s">
        <v>360</v>
      </c>
      <c r="B207" s="43" t="s">
        <v>195</v>
      </c>
      <c r="C207" s="44" t="s">
        <v>728</v>
      </c>
      <c r="D207" s="47">
        <v>90</v>
      </c>
      <c r="E207" s="61" t="s">
        <v>10</v>
      </c>
      <c r="F207" s="45">
        <v>150000</v>
      </c>
      <c r="G207" s="45">
        <v>13500000</v>
      </c>
    </row>
    <row r="208" spans="1:7" ht="25.5">
      <c r="A208" s="21" t="s">
        <v>361</v>
      </c>
      <c r="B208" s="37" t="s">
        <v>514</v>
      </c>
      <c r="C208" s="38" t="s">
        <v>729</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619</v>
      </c>
      <c r="D210" s="47">
        <v>1</v>
      </c>
      <c r="E210" s="61" t="s">
        <v>9</v>
      </c>
      <c r="F210" s="45">
        <v>1000000</v>
      </c>
      <c r="G210" s="45">
        <v>1000000</v>
      </c>
    </row>
    <row r="211" spans="1:7">
      <c r="A211" s="21" t="s">
        <v>364</v>
      </c>
      <c r="B211" s="43" t="s">
        <v>195</v>
      </c>
      <c r="C211" s="44" t="s">
        <v>693</v>
      </c>
      <c r="D211" s="47">
        <v>1</v>
      </c>
      <c r="E211" s="61" t="s">
        <v>9</v>
      </c>
      <c r="F211" s="45">
        <v>1000000</v>
      </c>
      <c r="G211" s="45">
        <v>1000000</v>
      </c>
    </row>
    <row r="212" spans="1:7">
      <c r="A212" s="21" t="s">
        <v>365</v>
      </c>
      <c r="B212" s="43" t="s">
        <v>195</v>
      </c>
      <c r="C212" s="44" t="s">
        <v>730</v>
      </c>
      <c r="D212" s="47">
        <v>1</v>
      </c>
      <c r="E212" s="61" t="s">
        <v>9</v>
      </c>
      <c r="F212" s="45">
        <v>1000000</v>
      </c>
      <c r="G212" s="45">
        <v>1000000</v>
      </c>
    </row>
    <row r="213" spans="1:7">
      <c r="A213" s="21" t="s">
        <v>366</v>
      </c>
      <c r="B213" s="43" t="s">
        <v>195</v>
      </c>
      <c r="C213" s="44" t="s">
        <v>731</v>
      </c>
      <c r="D213" s="47">
        <v>60</v>
      </c>
      <c r="E213" s="61" t="s">
        <v>10</v>
      </c>
      <c r="F213" s="45">
        <v>150000</v>
      </c>
      <c r="G213" s="45">
        <v>9000000</v>
      </c>
    </row>
    <row r="214" spans="1:7">
      <c r="A214" s="21" t="s">
        <v>367</v>
      </c>
      <c r="B214" s="43" t="s">
        <v>195</v>
      </c>
      <c r="C214" s="44" t="s">
        <v>732</v>
      </c>
      <c r="D214" s="47">
        <v>40</v>
      </c>
      <c r="E214" s="61" t="s">
        <v>10</v>
      </c>
      <c r="F214" s="45">
        <v>69000</v>
      </c>
      <c r="G214" s="45">
        <v>2760000</v>
      </c>
    </row>
    <row r="215" spans="1:7">
      <c r="A215" s="21" t="s">
        <v>368</v>
      </c>
      <c r="B215" s="40" t="s">
        <v>516</v>
      </c>
      <c r="C215" s="41" t="s">
        <v>11</v>
      </c>
      <c r="D215" s="71"/>
      <c r="E215" s="60"/>
      <c r="F215" s="42"/>
      <c r="G215" s="42">
        <v>4000000</v>
      </c>
    </row>
    <row r="216" spans="1:7" ht="25.5">
      <c r="A216" s="21" t="s">
        <v>369</v>
      </c>
      <c r="B216" s="43" t="s">
        <v>195</v>
      </c>
      <c r="C216" s="44" t="s">
        <v>733</v>
      </c>
      <c r="D216" s="47">
        <v>4</v>
      </c>
      <c r="E216" s="61" t="s">
        <v>12</v>
      </c>
      <c r="F216" s="45">
        <v>1000000</v>
      </c>
      <c r="G216" s="45">
        <v>4000000</v>
      </c>
    </row>
    <row r="217" spans="1:7">
      <c r="A217" s="21" t="s">
        <v>734</v>
      </c>
      <c r="B217" s="40" t="s">
        <v>510</v>
      </c>
      <c r="C217" s="41" t="s">
        <v>15</v>
      </c>
      <c r="D217" s="71"/>
      <c r="E217" s="60"/>
      <c r="F217" s="42"/>
      <c r="G217" s="42">
        <v>51300000</v>
      </c>
    </row>
    <row r="218" spans="1:7">
      <c r="A218" s="21" t="s">
        <v>735</v>
      </c>
      <c r="B218" s="40" t="s">
        <v>195</v>
      </c>
      <c r="C218" s="41" t="s">
        <v>736</v>
      </c>
      <c r="D218" s="40">
        <v>60</v>
      </c>
      <c r="E218" s="60" t="s">
        <v>16</v>
      </c>
      <c r="F218" s="42">
        <v>350000</v>
      </c>
      <c r="G218" s="42">
        <v>21000000</v>
      </c>
    </row>
    <row r="219" spans="1:7">
      <c r="A219" s="21" t="s">
        <v>737</v>
      </c>
      <c r="B219" s="43" t="s">
        <v>195</v>
      </c>
      <c r="C219" s="44" t="s">
        <v>738</v>
      </c>
      <c r="D219" s="47">
        <v>60</v>
      </c>
      <c r="E219" s="61" t="s">
        <v>10</v>
      </c>
      <c r="F219" s="45">
        <v>105000</v>
      </c>
      <c r="G219" s="45">
        <v>6300000</v>
      </c>
    </row>
    <row r="220" spans="1:7">
      <c r="A220" s="21" t="s">
        <v>739</v>
      </c>
      <c r="B220" s="37" t="s">
        <v>195</v>
      </c>
      <c r="C220" s="38" t="s">
        <v>740</v>
      </c>
      <c r="D220" s="37">
        <v>60</v>
      </c>
      <c r="E220" s="59" t="s">
        <v>10</v>
      </c>
      <c r="F220" s="39">
        <v>400000</v>
      </c>
      <c r="G220" s="39">
        <v>24000000</v>
      </c>
    </row>
    <row r="221" spans="1:7">
      <c r="A221" s="21" t="s">
        <v>370</v>
      </c>
      <c r="B221" s="34" t="s">
        <v>526</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619</v>
      </c>
      <c r="D224" s="47">
        <v>1</v>
      </c>
      <c r="E224" s="61" t="s">
        <v>9</v>
      </c>
      <c r="F224" s="45">
        <v>1000000</v>
      </c>
      <c r="G224" s="45">
        <v>1000000</v>
      </c>
    </row>
    <row r="225" spans="1:7">
      <c r="A225" s="21" t="s">
        <v>374</v>
      </c>
      <c r="B225" s="43" t="s">
        <v>195</v>
      </c>
      <c r="C225" s="44" t="s">
        <v>620</v>
      </c>
      <c r="D225" s="47">
        <v>1</v>
      </c>
      <c r="E225" s="61" t="s">
        <v>9</v>
      </c>
      <c r="F225" s="45">
        <v>1000000</v>
      </c>
      <c r="G225" s="45">
        <v>1000000</v>
      </c>
    </row>
    <row r="226" spans="1:7">
      <c r="A226" s="21" t="s">
        <v>375</v>
      </c>
      <c r="B226" s="37" t="s">
        <v>195</v>
      </c>
      <c r="C226" s="38" t="s">
        <v>617</v>
      </c>
      <c r="D226" s="37">
        <v>1</v>
      </c>
      <c r="E226" s="59" t="s">
        <v>9</v>
      </c>
      <c r="F226" s="39">
        <v>10600000</v>
      </c>
      <c r="G226" s="39">
        <v>10600000</v>
      </c>
    </row>
    <row r="227" spans="1:7">
      <c r="A227" s="21" t="s">
        <v>376</v>
      </c>
      <c r="B227" s="40" t="s">
        <v>195</v>
      </c>
      <c r="C227" s="41" t="s">
        <v>741</v>
      </c>
      <c r="D227" s="40">
        <v>60</v>
      </c>
      <c r="E227" s="60" t="s">
        <v>10</v>
      </c>
      <c r="F227" s="42">
        <v>69000</v>
      </c>
      <c r="G227" s="42">
        <v>4140000</v>
      </c>
    </row>
    <row r="228" spans="1:7">
      <c r="A228" s="21" t="s">
        <v>377</v>
      </c>
      <c r="B228" s="43" t="s">
        <v>195</v>
      </c>
      <c r="C228" s="44" t="s">
        <v>742</v>
      </c>
      <c r="D228" s="47">
        <v>80</v>
      </c>
      <c r="E228" s="61" t="s">
        <v>10</v>
      </c>
      <c r="F228" s="45">
        <v>20000</v>
      </c>
      <c r="G228" s="45">
        <v>1600000</v>
      </c>
    </row>
    <row r="229" spans="1:7">
      <c r="A229" s="21" t="s">
        <v>378</v>
      </c>
      <c r="B229" s="43" t="s">
        <v>195</v>
      </c>
      <c r="C229" s="44" t="s">
        <v>743</v>
      </c>
      <c r="D229" s="47">
        <v>40</v>
      </c>
      <c r="E229" s="61" t="s">
        <v>10</v>
      </c>
      <c r="F229" s="45">
        <v>45000</v>
      </c>
      <c r="G229" s="45">
        <v>1800000</v>
      </c>
    </row>
    <row r="230" spans="1:7" ht="25.5">
      <c r="A230" s="21" t="s">
        <v>379</v>
      </c>
      <c r="B230" s="40" t="s">
        <v>515</v>
      </c>
      <c r="C230" s="41" t="s">
        <v>642</v>
      </c>
      <c r="D230" s="71"/>
      <c r="E230" s="60"/>
      <c r="F230" s="42"/>
      <c r="G230" s="42">
        <v>19200000</v>
      </c>
    </row>
    <row r="231" spans="1:7" ht="25.5">
      <c r="A231" s="21" t="s">
        <v>380</v>
      </c>
      <c r="B231" s="43" t="s">
        <v>195</v>
      </c>
      <c r="C231" s="44" t="s">
        <v>744</v>
      </c>
      <c r="D231" s="47">
        <v>96</v>
      </c>
      <c r="E231" s="61" t="s">
        <v>21</v>
      </c>
      <c r="F231" s="45">
        <v>200000</v>
      </c>
      <c r="G231" s="45">
        <v>19200000</v>
      </c>
    </row>
    <row r="232" spans="1:7">
      <c r="A232" s="21" t="s">
        <v>381</v>
      </c>
      <c r="B232" s="40" t="s">
        <v>518</v>
      </c>
      <c r="C232" s="41" t="s">
        <v>24</v>
      </c>
      <c r="D232" s="71"/>
      <c r="E232" s="60"/>
      <c r="F232" s="42"/>
      <c r="G232" s="42">
        <v>4500000</v>
      </c>
    </row>
    <row r="233" spans="1:7">
      <c r="A233" s="21" t="s">
        <v>382</v>
      </c>
      <c r="B233" s="43" t="s">
        <v>195</v>
      </c>
      <c r="C233" s="44" t="s">
        <v>745</v>
      </c>
      <c r="D233" s="47">
        <v>18</v>
      </c>
      <c r="E233" s="61" t="s">
        <v>10</v>
      </c>
      <c r="F233" s="45">
        <v>250000</v>
      </c>
      <c r="G233" s="45">
        <v>4500000</v>
      </c>
    </row>
    <row r="234" spans="1:7">
      <c r="A234" s="21" t="s">
        <v>383</v>
      </c>
      <c r="B234" s="40" t="s">
        <v>513</v>
      </c>
      <c r="C234" s="41" t="s">
        <v>19</v>
      </c>
      <c r="D234" s="71"/>
      <c r="E234" s="60"/>
      <c r="F234" s="42"/>
      <c r="G234" s="42">
        <v>36000000</v>
      </c>
    </row>
    <row r="235" spans="1:7">
      <c r="A235" s="21" t="s">
        <v>384</v>
      </c>
      <c r="B235" s="43" t="s">
        <v>195</v>
      </c>
      <c r="C235" s="44" t="s">
        <v>746</v>
      </c>
      <c r="D235" s="47">
        <v>8</v>
      </c>
      <c r="E235" s="61" t="s">
        <v>10</v>
      </c>
      <c r="F235" s="45">
        <v>1500000</v>
      </c>
      <c r="G235" s="45">
        <v>12000000</v>
      </c>
    </row>
    <row r="236" spans="1:7" ht="25.5">
      <c r="A236" s="21" t="s">
        <v>747</v>
      </c>
      <c r="B236" s="43" t="s">
        <v>195</v>
      </c>
      <c r="C236" s="44" t="s">
        <v>748</v>
      </c>
      <c r="D236" s="47">
        <v>8</v>
      </c>
      <c r="E236" s="61" t="s">
        <v>10</v>
      </c>
      <c r="F236" s="45">
        <v>3000000</v>
      </c>
      <c r="G236" s="45">
        <v>24000000</v>
      </c>
    </row>
    <row r="237" spans="1:7">
      <c r="A237" s="21" t="s">
        <v>385</v>
      </c>
      <c r="B237" s="40" t="s">
        <v>510</v>
      </c>
      <c r="C237" s="41" t="s">
        <v>15</v>
      </c>
      <c r="D237" s="40"/>
      <c r="E237" s="60"/>
      <c r="F237" s="42"/>
      <c r="G237" s="42">
        <v>14000000</v>
      </c>
    </row>
    <row r="238" spans="1:7">
      <c r="A238" s="21" t="s">
        <v>386</v>
      </c>
      <c r="B238" s="43" t="s">
        <v>195</v>
      </c>
      <c r="C238" s="44" t="s">
        <v>749</v>
      </c>
      <c r="D238" s="47">
        <v>40</v>
      </c>
      <c r="E238" s="61" t="s">
        <v>10</v>
      </c>
      <c r="F238" s="45">
        <v>100000</v>
      </c>
      <c r="G238" s="45">
        <v>4000000</v>
      </c>
    </row>
    <row r="239" spans="1:7">
      <c r="A239" s="21" t="s">
        <v>387</v>
      </c>
      <c r="B239" s="37" t="s">
        <v>195</v>
      </c>
      <c r="C239" s="38" t="s">
        <v>750</v>
      </c>
      <c r="D239" s="37">
        <v>40</v>
      </c>
      <c r="E239" s="59" t="s">
        <v>10</v>
      </c>
      <c r="F239" s="39">
        <v>250000</v>
      </c>
      <c r="G239" s="39">
        <v>10000000</v>
      </c>
    </row>
    <row r="240" spans="1:7">
      <c r="A240" s="21" t="s">
        <v>388</v>
      </c>
      <c r="B240" s="37" t="s">
        <v>511</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619</v>
      </c>
      <c r="D242" s="47">
        <v>1</v>
      </c>
      <c r="E242" s="61" t="s">
        <v>9</v>
      </c>
      <c r="F242" s="45">
        <v>1000000</v>
      </c>
      <c r="G242" s="45">
        <v>1000000</v>
      </c>
    </row>
    <row r="243" spans="1:7">
      <c r="A243" s="21" t="s">
        <v>391</v>
      </c>
      <c r="B243" s="40" t="s">
        <v>195</v>
      </c>
      <c r="C243" s="41" t="s">
        <v>620</v>
      </c>
      <c r="D243" s="40">
        <v>1</v>
      </c>
      <c r="E243" s="60" t="s">
        <v>9</v>
      </c>
      <c r="F243" s="42">
        <v>1000000</v>
      </c>
      <c r="G243" s="42">
        <v>1000000</v>
      </c>
    </row>
    <row r="244" spans="1:7">
      <c r="A244" s="21" t="s">
        <v>392</v>
      </c>
      <c r="B244" s="43" t="s">
        <v>195</v>
      </c>
      <c r="C244" s="44" t="s">
        <v>751</v>
      </c>
      <c r="D244" s="47">
        <v>1</v>
      </c>
      <c r="E244" s="61" t="s">
        <v>9</v>
      </c>
      <c r="F244" s="45">
        <v>1000000</v>
      </c>
      <c r="G244" s="45">
        <v>1000000</v>
      </c>
    </row>
    <row r="245" spans="1:7">
      <c r="A245" s="21" t="s">
        <v>393</v>
      </c>
      <c r="B245" s="43" t="s">
        <v>195</v>
      </c>
      <c r="C245" s="44" t="s">
        <v>752</v>
      </c>
      <c r="D245" s="47">
        <v>500</v>
      </c>
      <c r="E245" s="61" t="s">
        <v>117</v>
      </c>
      <c r="F245" s="45">
        <v>75000</v>
      </c>
      <c r="G245" s="45">
        <v>37500000</v>
      </c>
    </row>
    <row r="246" spans="1:7">
      <c r="A246" s="21" t="s">
        <v>394</v>
      </c>
      <c r="B246" s="43" t="s">
        <v>195</v>
      </c>
      <c r="C246" s="44" t="s">
        <v>753</v>
      </c>
      <c r="D246" s="47">
        <v>80</v>
      </c>
      <c r="E246" s="61" t="s">
        <v>10</v>
      </c>
      <c r="F246" s="45">
        <v>75000</v>
      </c>
      <c r="G246" s="45">
        <v>6000000</v>
      </c>
    </row>
    <row r="247" spans="1:7">
      <c r="A247" s="21" t="s">
        <v>395</v>
      </c>
      <c r="B247" s="43" t="s">
        <v>195</v>
      </c>
      <c r="C247" s="44" t="s">
        <v>754</v>
      </c>
      <c r="D247" s="47">
        <v>80</v>
      </c>
      <c r="E247" s="61" t="s">
        <v>10</v>
      </c>
      <c r="F247" s="45">
        <v>20000</v>
      </c>
      <c r="G247" s="45">
        <v>1600000</v>
      </c>
    </row>
    <row r="248" spans="1:7">
      <c r="A248" s="21" t="s">
        <v>396</v>
      </c>
      <c r="B248" s="43" t="s">
        <v>195</v>
      </c>
      <c r="C248" s="44" t="s">
        <v>755</v>
      </c>
      <c r="D248" s="47">
        <v>40</v>
      </c>
      <c r="E248" s="61" t="s">
        <v>10</v>
      </c>
      <c r="F248" s="45">
        <v>46000</v>
      </c>
      <c r="G248" s="45">
        <v>1840000</v>
      </c>
    </row>
    <row r="249" spans="1:7">
      <c r="A249" s="21" t="s">
        <v>397</v>
      </c>
      <c r="B249" s="40" t="s">
        <v>513</v>
      </c>
      <c r="C249" s="41" t="s">
        <v>19</v>
      </c>
      <c r="D249" s="71"/>
      <c r="E249" s="60"/>
      <c r="F249" s="42"/>
      <c r="G249" s="42">
        <v>40000000</v>
      </c>
    </row>
    <row r="250" spans="1:7">
      <c r="A250" s="21" t="s">
        <v>398</v>
      </c>
      <c r="B250" s="43" t="s">
        <v>195</v>
      </c>
      <c r="C250" s="44" t="s">
        <v>756</v>
      </c>
      <c r="D250" s="47">
        <v>10</v>
      </c>
      <c r="E250" s="61" t="s">
        <v>10</v>
      </c>
      <c r="F250" s="45">
        <v>4000000</v>
      </c>
      <c r="G250" s="45">
        <v>40000000</v>
      </c>
    </row>
    <row r="251" spans="1:7">
      <c r="A251" s="21" t="s">
        <v>399</v>
      </c>
      <c r="B251" s="40" t="s">
        <v>510</v>
      </c>
      <c r="C251" s="41" t="s">
        <v>15</v>
      </c>
      <c r="D251" s="71"/>
      <c r="E251" s="60"/>
      <c r="F251" s="42"/>
      <c r="G251" s="42">
        <v>14000000</v>
      </c>
    </row>
    <row r="252" spans="1:7">
      <c r="A252" s="21" t="s">
        <v>400</v>
      </c>
      <c r="B252" s="43" t="s">
        <v>195</v>
      </c>
      <c r="C252" s="44" t="s">
        <v>757</v>
      </c>
      <c r="D252" s="47">
        <v>40</v>
      </c>
      <c r="E252" s="61" t="s">
        <v>10</v>
      </c>
      <c r="F252" s="45">
        <v>100000</v>
      </c>
      <c r="G252" s="45">
        <v>4000000</v>
      </c>
    </row>
    <row r="253" spans="1:7">
      <c r="A253" s="21" t="s">
        <v>401</v>
      </c>
      <c r="B253" s="43" t="s">
        <v>195</v>
      </c>
      <c r="C253" s="44" t="s">
        <v>758</v>
      </c>
      <c r="D253" s="47">
        <v>40</v>
      </c>
      <c r="E253" s="61" t="s">
        <v>10</v>
      </c>
      <c r="F253" s="45">
        <v>250000</v>
      </c>
      <c r="G253" s="45">
        <v>10000000</v>
      </c>
    </row>
    <row r="254" spans="1:7" ht="25.5">
      <c r="A254" s="21" t="s">
        <v>402</v>
      </c>
      <c r="B254" s="37" t="s">
        <v>512</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619</v>
      </c>
      <c r="D256" s="47">
        <v>4</v>
      </c>
      <c r="E256" s="61" t="s">
        <v>9</v>
      </c>
      <c r="F256" s="45">
        <v>1000000</v>
      </c>
      <c r="G256" s="45">
        <v>4000000</v>
      </c>
    </row>
    <row r="257" spans="1:7">
      <c r="A257" s="21" t="s">
        <v>405</v>
      </c>
      <c r="B257" s="40" t="s">
        <v>195</v>
      </c>
      <c r="C257" s="41" t="s">
        <v>620</v>
      </c>
      <c r="D257" s="40">
        <v>4</v>
      </c>
      <c r="E257" s="60" t="s">
        <v>9</v>
      </c>
      <c r="F257" s="42">
        <v>1000000</v>
      </c>
      <c r="G257" s="42">
        <v>4000000</v>
      </c>
    </row>
    <row r="258" spans="1:7">
      <c r="A258" s="21" t="s">
        <v>406</v>
      </c>
      <c r="B258" s="43" t="s">
        <v>195</v>
      </c>
      <c r="C258" s="44" t="s">
        <v>617</v>
      </c>
      <c r="D258" s="47">
        <v>4</v>
      </c>
      <c r="E258" s="61" t="s">
        <v>9</v>
      </c>
      <c r="F258" s="45">
        <v>1000000</v>
      </c>
      <c r="G258" s="45">
        <v>4000000</v>
      </c>
    </row>
    <row r="259" spans="1:7">
      <c r="A259" s="7" t="s">
        <v>407</v>
      </c>
      <c r="B259" s="28" t="s">
        <v>195</v>
      </c>
      <c r="C259" s="29" t="s">
        <v>759</v>
      </c>
      <c r="D259" s="46">
        <v>300</v>
      </c>
      <c r="E259" s="56" t="s">
        <v>10</v>
      </c>
      <c r="F259" s="30">
        <v>22000</v>
      </c>
      <c r="G259" s="30">
        <v>6600000</v>
      </c>
    </row>
    <row r="260" spans="1:7">
      <c r="A260" s="7" t="s">
        <v>408</v>
      </c>
      <c r="B260" s="31" t="s">
        <v>195</v>
      </c>
      <c r="C260" s="32" t="s">
        <v>760</v>
      </c>
      <c r="D260" s="31">
        <v>300</v>
      </c>
      <c r="E260" s="57" t="s">
        <v>10</v>
      </c>
      <c r="F260" s="33">
        <v>47000</v>
      </c>
      <c r="G260" s="33">
        <v>14100000</v>
      </c>
    </row>
    <row r="261" spans="1:7">
      <c r="A261" s="21" t="s">
        <v>409</v>
      </c>
      <c r="B261" s="40" t="s">
        <v>516</v>
      </c>
      <c r="C261" s="41" t="s">
        <v>11</v>
      </c>
      <c r="D261" s="40"/>
      <c r="E261" s="60"/>
      <c r="F261" s="42"/>
      <c r="G261" s="42">
        <v>5000000</v>
      </c>
    </row>
    <row r="262" spans="1:7">
      <c r="A262" s="21" t="s">
        <v>410</v>
      </c>
      <c r="B262" s="37" t="s">
        <v>195</v>
      </c>
      <c r="C262" s="38" t="s">
        <v>761</v>
      </c>
      <c r="D262" s="37">
        <v>10</v>
      </c>
      <c r="E262" s="59" t="s">
        <v>12</v>
      </c>
      <c r="F262" s="39">
        <v>500000</v>
      </c>
      <c r="G262" s="39">
        <v>5000000</v>
      </c>
    </row>
    <row r="263" spans="1:7">
      <c r="A263" s="21" t="s">
        <v>762</v>
      </c>
      <c r="B263" s="40" t="s">
        <v>513</v>
      </c>
      <c r="C263" s="41" t="s">
        <v>19</v>
      </c>
      <c r="D263" s="40"/>
      <c r="E263" s="60"/>
      <c r="F263" s="42"/>
      <c r="G263" s="42">
        <v>15000000</v>
      </c>
    </row>
    <row r="264" spans="1:7">
      <c r="A264" s="21" t="s">
        <v>763</v>
      </c>
      <c r="B264" s="43" t="s">
        <v>195</v>
      </c>
      <c r="C264" s="44" t="s">
        <v>764</v>
      </c>
      <c r="D264" s="47">
        <v>5</v>
      </c>
      <c r="E264" s="61" t="s">
        <v>10</v>
      </c>
      <c r="F264" s="45">
        <v>3000000</v>
      </c>
      <c r="G264" s="45">
        <v>15000000</v>
      </c>
    </row>
    <row r="265" spans="1:7">
      <c r="A265" s="21" t="s">
        <v>411</v>
      </c>
      <c r="B265" s="37" t="s">
        <v>514</v>
      </c>
      <c r="C265" s="38" t="s">
        <v>765</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619</v>
      </c>
      <c r="D267" s="47">
        <v>4</v>
      </c>
      <c r="E267" s="61" t="s">
        <v>9</v>
      </c>
      <c r="F267" s="45">
        <v>1000000</v>
      </c>
      <c r="G267" s="45">
        <v>4000000</v>
      </c>
    </row>
    <row r="268" spans="1:7">
      <c r="A268" s="21" t="s">
        <v>414</v>
      </c>
      <c r="B268" s="43" t="s">
        <v>195</v>
      </c>
      <c r="C268" s="44" t="s">
        <v>620</v>
      </c>
      <c r="D268" s="47">
        <v>4</v>
      </c>
      <c r="E268" s="61" t="s">
        <v>9</v>
      </c>
      <c r="F268" s="45">
        <v>1000000</v>
      </c>
      <c r="G268" s="45">
        <v>4000000</v>
      </c>
    </row>
    <row r="269" spans="1:7">
      <c r="A269" s="21" t="s">
        <v>415</v>
      </c>
      <c r="B269" s="40" t="s">
        <v>195</v>
      </c>
      <c r="C269" s="41" t="s">
        <v>766</v>
      </c>
      <c r="D269" s="40">
        <v>4</v>
      </c>
      <c r="E269" s="60" t="s">
        <v>9</v>
      </c>
      <c r="F269" s="42">
        <v>1000000</v>
      </c>
      <c r="G269" s="42">
        <v>4000000</v>
      </c>
    </row>
    <row r="270" spans="1:7">
      <c r="A270" s="21" t="s">
        <v>416</v>
      </c>
      <c r="B270" s="43" t="s">
        <v>195</v>
      </c>
      <c r="C270" s="44" t="s">
        <v>767</v>
      </c>
      <c r="D270" s="47">
        <v>80</v>
      </c>
      <c r="E270" s="61" t="s">
        <v>10</v>
      </c>
      <c r="F270" s="45">
        <v>22000</v>
      </c>
      <c r="G270" s="45">
        <v>1760000</v>
      </c>
    </row>
    <row r="271" spans="1:7">
      <c r="A271" s="21" t="s">
        <v>768</v>
      </c>
      <c r="B271" s="37" t="s">
        <v>195</v>
      </c>
      <c r="C271" s="38" t="s">
        <v>769</v>
      </c>
      <c r="D271" s="37">
        <v>80</v>
      </c>
      <c r="E271" s="59" t="s">
        <v>10</v>
      </c>
      <c r="F271" s="39">
        <v>47000</v>
      </c>
      <c r="G271" s="39">
        <v>3760000</v>
      </c>
    </row>
    <row r="272" spans="1:7">
      <c r="A272" s="21" t="s">
        <v>417</v>
      </c>
      <c r="B272" s="40" t="s">
        <v>513</v>
      </c>
      <c r="C272" s="41" t="s">
        <v>19</v>
      </c>
      <c r="D272" s="40"/>
      <c r="E272" s="60"/>
      <c r="F272" s="42"/>
      <c r="G272" s="42">
        <v>32000000</v>
      </c>
    </row>
    <row r="273" spans="1:7">
      <c r="A273" s="21" t="s">
        <v>418</v>
      </c>
      <c r="B273" s="43" t="s">
        <v>195</v>
      </c>
      <c r="C273" s="44" t="s">
        <v>770</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615</v>
      </c>
      <c r="D275" s="28"/>
      <c r="E275" s="56"/>
      <c r="F275" s="30"/>
      <c r="G275" s="30">
        <v>1000000000</v>
      </c>
    </row>
    <row r="276" spans="1:7" ht="25.5">
      <c r="A276" s="21" t="s">
        <v>421</v>
      </c>
      <c r="B276" s="43" t="s">
        <v>616</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771</v>
      </c>
      <c r="D280" s="40">
        <v>65</v>
      </c>
      <c r="E280" s="60" t="s">
        <v>10</v>
      </c>
      <c r="F280" s="42">
        <v>75000</v>
      </c>
      <c r="G280" s="42">
        <v>4875000</v>
      </c>
    </row>
    <row r="281" spans="1:7">
      <c r="A281" s="21" t="s">
        <v>426</v>
      </c>
      <c r="B281" s="43" t="s">
        <v>195</v>
      </c>
      <c r="C281" s="44" t="s">
        <v>617</v>
      </c>
      <c r="D281" s="47">
        <v>1</v>
      </c>
      <c r="E281" s="61" t="s">
        <v>106</v>
      </c>
      <c r="F281" s="45">
        <v>1000000</v>
      </c>
      <c r="G281" s="45">
        <v>1000000</v>
      </c>
    </row>
    <row r="282" spans="1:7">
      <c r="A282" s="21" t="s">
        <v>427</v>
      </c>
      <c r="B282" s="40" t="s">
        <v>195</v>
      </c>
      <c r="C282" s="41" t="s">
        <v>619</v>
      </c>
      <c r="D282" s="40">
        <v>1</v>
      </c>
      <c r="E282" s="60" t="s">
        <v>106</v>
      </c>
      <c r="F282" s="42">
        <v>1000000</v>
      </c>
      <c r="G282" s="42">
        <v>1000000</v>
      </c>
    </row>
    <row r="283" spans="1:7">
      <c r="A283" s="21" t="s">
        <v>428</v>
      </c>
      <c r="B283" s="43" t="s">
        <v>195</v>
      </c>
      <c r="C283" s="44" t="s">
        <v>620</v>
      </c>
      <c r="D283" s="47">
        <v>1</v>
      </c>
      <c r="E283" s="61" t="s">
        <v>106</v>
      </c>
      <c r="F283" s="45">
        <v>1500000</v>
      </c>
      <c r="G283" s="45">
        <v>1500000</v>
      </c>
    </row>
    <row r="284" spans="1:7">
      <c r="A284" s="21" t="s">
        <v>772</v>
      </c>
      <c r="B284" s="40" t="s">
        <v>516</v>
      </c>
      <c r="C284" s="41" t="s">
        <v>11</v>
      </c>
      <c r="D284" s="40"/>
      <c r="E284" s="60"/>
      <c r="F284" s="42"/>
      <c r="G284" s="42">
        <v>1000000</v>
      </c>
    </row>
    <row r="285" spans="1:7">
      <c r="A285" s="21" t="s">
        <v>773</v>
      </c>
      <c r="B285" s="40" t="s">
        <v>195</v>
      </c>
      <c r="C285" s="41" t="s">
        <v>774</v>
      </c>
      <c r="D285" s="40">
        <v>1</v>
      </c>
      <c r="E285" s="60" t="s">
        <v>54</v>
      </c>
      <c r="F285" s="42">
        <v>1000000</v>
      </c>
      <c r="G285" s="42">
        <v>1000000</v>
      </c>
    </row>
    <row r="286" spans="1:7">
      <c r="A286" s="21" t="s">
        <v>429</v>
      </c>
      <c r="B286" s="40" t="s">
        <v>513</v>
      </c>
      <c r="C286" s="41" t="s">
        <v>19</v>
      </c>
      <c r="D286" s="71"/>
      <c r="E286" s="60"/>
      <c r="F286" s="42"/>
      <c r="G286" s="42">
        <v>73760000</v>
      </c>
    </row>
    <row r="287" spans="1:7" ht="25.5">
      <c r="A287" s="21" t="s">
        <v>430</v>
      </c>
      <c r="B287" s="43" t="s">
        <v>195</v>
      </c>
      <c r="C287" s="44" t="s">
        <v>775</v>
      </c>
      <c r="D287" s="47">
        <v>12</v>
      </c>
      <c r="E287" s="61" t="s">
        <v>776</v>
      </c>
      <c r="F287" s="45">
        <v>6147000</v>
      </c>
      <c r="G287" s="45">
        <v>73760000</v>
      </c>
    </row>
    <row r="288" spans="1:7">
      <c r="A288" s="21" t="s">
        <v>431</v>
      </c>
      <c r="B288" s="37" t="s">
        <v>511</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771</v>
      </c>
      <c r="D290" s="47">
        <v>43</v>
      </c>
      <c r="E290" s="61" t="s">
        <v>10</v>
      </c>
      <c r="F290" s="45">
        <v>75000</v>
      </c>
      <c r="G290" s="45">
        <v>3225000</v>
      </c>
    </row>
    <row r="291" spans="1:7">
      <c r="A291" s="21" t="s">
        <v>434</v>
      </c>
      <c r="B291" s="40" t="s">
        <v>195</v>
      </c>
      <c r="C291" s="41" t="s">
        <v>617</v>
      </c>
      <c r="D291" s="40">
        <v>1</v>
      </c>
      <c r="E291" s="60" t="s">
        <v>106</v>
      </c>
      <c r="F291" s="42">
        <v>1000000</v>
      </c>
      <c r="G291" s="42">
        <v>1000000</v>
      </c>
    </row>
    <row r="292" spans="1:7">
      <c r="A292" s="21" t="s">
        <v>435</v>
      </c>
      <c r="B292" s="43" t="s">
        <v>195</v>
      </c>
      <c r="C292" s="44" t="s">
        <v>619</v>
      </c>
      <c r="D292" s="47">
        <v>1</v>
      </c>
      <c r="E292" s="61" t="s">
        <v>106</v>
      </c>
      <c r="F292" s="45">
        <v>1000000</v>
      </c>
      <c r="G292" s="45">
        <v>1000000</v>
      </c>
    </row>
    <row r="293" spans="1:7">
      <c r="A293" s="21" t="s">
        <v>436</v>
      </c>
      <c r="B293" s="43" t="s">
        <v>195</v>
      </c>
      <c r="C293" s="44" t="s">
        <v>620</v>
      </c>
      <c r="D293" s="47">
        <v>1</v>
      </c>
      <c r="E293" s="61" t="s">
        <v>106</v>
      </c>
      <c r="F293" s="45">
        <v>1500000</v>
      </c>
      <c r="G293" s="45">
        <v>1500000</v>
      </c>
    </row>
    <row r="294" spans="1:7">
      <c r="A294" s="21" t="s">
        <v>777</v>
      </c>
      <c r="B294" s="40" t="s">
        <v>516</v>
      </c>
      <c r="C294" s="41" t="s">
        <v>11</v>
      </c>
      <c r="D294" s="40"/>
      <c r="E294" s="60"/>
      <c r="F294" s="42"/>
      <c r="G294" s="42">
        <v>1000000</v>
      </c>
    </row>
    <row r="295" spans="1:7">
      <c r="A295" s="21" t="s">
        <v>778</v>
      </c>
      <c r="B295" s="43" t="s">
        <v>195</v>
      </c>
      <c r="C295" s="44" t="s">
        <v>774</v>
      </c>
      <c r="D295" s="47">
        <v>1</v>
      </c>
      <c r="E295" s="61" t="s">
        <v>54</v>
      </c>
      <c r="F295" s="45">
        <v>1000000</v>
      </c>
      <c r="G295" s="45">
        <v>1000000</v>
      </c>
    </row>
    <row r="296" spans="1:7">
      <c r="A296" s="21" t="s">
        <v>437</v>
      </c>
      <c r="B296" s="40" t="s">
        <v>513</v>
      </c>
      <c r="C296" s="41" t="s">
        <v>19</v>
      </c>
      <c r="D296" s="40"/>
      <c r="E296" s="60"/>
      <c r="F296" s="42"/>
      <c r="G296" s="42">
        <v>33240000</v>
      </c>
    </row>
    <row r="297" spans="1:7" ht="25.5">
      <c r="A297" s="21" t="s">
        <v>438</v>
      </c>
      <c r="B297" s="43" t="s">
        <v>195</v>
      </c>
      <c r="C297" s="44" t="s">
        <v>775</v>
      </c>
      <c r="D297" s="47">
        <v>12</v>
      </c>
      <c r="E297" s="61" t="s">
        <v>776</v>
      </c>
      <c r="F297" s="45">
        <v>2770000</v>
      </c>
      <c r="G297" s="45">
        <v>33240000</v>
      </c>
    </row>
    <row r="298" spans="1:7" ht="25.5">
      <c r="A298" s="21" t="s">
        <v>439</v>
      </c>
      <c r="B298" s="34" t="s">
        <v>520</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771</v>
      </c>
      <c r="D301" s="46">
        <v>23</v>
      </c>
      <c r="E301" s="56" t="s">
        <v>10</v>
      </c>
      <c r="F301" s="30">
        <v>75000</v>
      </c>
      <c r="G301" s="30">
        <v>1725000</v>
      </c>
    </row>
    <row r="302" spans="1:7">
      <c r="A302" s="7" t="s">
        <v>443</v>
      </c>
      <c r="B302" s="31" t="s">
        <v>195</v>
      </c>
      <c r="C302" s="32" t="s">
        <v>617</v>
      </c>
      <c r="D302" s="31">
        <v>1</v>
      </c>
      <c r="E302" s="57" t="s">
        <v>106</v>
      </c>
      <c r="F302" s="33">
        <v>1000000</v>
      </c>
      <c r="G302" s="33">
        <v>1000000</v>
      </c>
    </row>
    <row r="303" spans="1:7">
      <c r="A303" s="21" t="s">
        <v>444</v>
      </c>
      <c r="B303" s="34" t="s">
        <v>195</v>
      </c>
      <c r="C303" s="35" t="s">
        <v>619</v>
      </c>
      <c r="D303" s="34">
        <v>2</v>
      </c>
      <c r="E303" s="58" t="s">
        <v>106</v>
      </c>
      <c r="F303" s="36">
        <v>1000000</v>
      </c>
      <c r="G303" s="36">
        <v>2000000</v>
      </c>
    </row>
    <row r="304" spans="1:7">
      <c r="A304" s="21" t="s">
        <v>445</v>
      </c>
      <c r="B304" s="37" t="s">
        <v>195</v>
      </c>
      <c r="C304" s="38" t="s">
        <v>620</v>
      </c>
      <c r="D304" s="37">
        <v>2</v>
      </c>
      <c r="E304" s="59" t="s">
        <v>106</v>
      </c>
      <c r="F304" s="39">
        <v>1500000</v>
      </c>
      <c r="G304" s="39">
        <v>3000000</v>
      </c>
    </row>
    <row r="305" spans="1:7">
      <c r="A305" s="21" t="s">
        <v>446</v>
      </c>
      <c r="B305" s="40" t="s">
        <v>195</v>
      </c>
      <c r="C305" s="41" t="s">
        <v>779</v>
      </c>
      <c r="D305" s="40">
        <v>23</v>
      </c>
      <c r="E305" s="60" t="s">
        <v>176</v>
      </c>
      <c r="F305" s="42">
        <v>250000</v>
      </c>
      <c r="G305" s="42">
        <v>5750000</v>
      </c>
    </row>
    <row r="306" spans="1:7">
      <c r="A306" s="21" t="s">
        <v>447</v>
      </c>
      <c r="B306" s="43" t="s">
        <v>195</v>
      </c>
      <c r="C306" s="44" t="s">
        <v>780</v>
      </c>
      <c r="D306" s="47">
        <v>23</v>
      </c>
      <c r="E306" s="61" t="s">
        <v>58</v>
      </c>
      <c r="F306" s="45">
        <v>250000</v>
      </c>
      <c r="G306" s="45">
        <v>5750000</v>
      </c>
    </row>
    <row r="307" spans="1:7">
      <c r="A307" s="21" t="s">
        <v>448</v>
      </c>
      <c r="B307" s="40" t="s">
        <v>513</v>
      </c>
      <c r="C307" s="41" t="s">
        <v>19</v>
      </c>
      <c r="D307" s="71"/>
      <c r="E307" s="60"/>
      <c r="F307" s="42"/>
      <c r="G307" s="42">
        <v>35275000</v>
      </c>
    </row>
    <row r="308" spans="1:7" ht="25.5">
      <c r="A308" s="21" t="s">
        <v>449</v>
      </c>
      <c r="B308" s="43" t="s">
        <v>195</v>
      </c>
      <c r="C308" s="44" t="s">
        <v>781</v>
      </c>
      <c r="D308" s="47">
        <v>10</v>
      </c>
      <c r="E308" s="61" t="s">
        <v>776</v>
      </c>
      <c r="F308" s="45">
        <v>3528000</v>
      </c>
      <c r="G308" s="45">
        <v>35275000</v>
      </c>
    </row>
    <row r="309" spans="1:7">
      <c r="A309" s="21" t="s">
        <v>450</v>
      </c>
      <c r="B309" s="34" t="s">
        <v>523</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617</v>
      </c>
      <c r="D312" s="40">
        <v>12</v>
      </c>
      <c r="E312" s="60" t="s">
        <v>106</v>
      </c>
      <c r="F312" s="42">
        <v>1500000</v>
      </c>
      <c r="G312" s="42">
        <v>18000000</v>
      </c>
    </row>
    <row r="313" spans="1:7">
      <c r="A313" s="21" t="s">
        <v>454</v>
      </c>
      <c r="B313" s="43" t="s">
        <v>195</v>
      </c>
      <c r="C313" s="44" t="s">
        <v>782</v>
      </c>
      <c r="D313" s="47">
        <v>100</v>
      </c>
      <c r="E313" s="61" t="s">
        <v>25</v>
      </c>
      <c r="F313" s="45">
        <v>69000</v>
      </c>
      <c r="G313" s="45">
        <v>6900000</v>
      </c>
    </row>
    <row r="314" spans="1:7">
      <c r="A314" s="21" t="s">
        <v>783</v>
      </c>
      <c r="B314" s="37" t="s">
        <v>195</v>
      </c>
      <c r="C314" s="38" t="s">
        <v>784</v>
      </c>
      <c r="D314" s="37">
        <v>80</v>
      </c>
      <c r="E314" s="59" t="s">
        <v>58</v>
      </c>
      <c r="F314" s="39">
        <v>500000</v>
      </c>
      <c r="G314" s="39">
        <v>40000000</v>
      </c>
    </row>
    <row r="315" spans="1:7">
      <c r="A315" s="21" t="s">
        <v>455</v>
      </c>
      <c r="B315" s="40" t="s">
        <v>533</v>
      </c>
      <c r="C315" s="41" t="s">
        <v>53</v>
      </c>
      <c r="D315" s="40"/>
      <c r="E315" s="60"/>
      <c r="F315" s="42"/>
      <c r="G315" s="42">
        <v>6000000</v>
      </c>
    </row>
    <row r="316" spans="1:7">
      <c r="A316" s="21" t="s">
        <v>456</v>
      </c>
      <c r="B316" s="43" t="s">
        <v>195</v>
      </c>
      <c r="C316" s="44" t="s">
        <v>785</v>
      </c>
      <c r="D316" s="47">
        <v>4</v>
      </c>
      <c r="E316" s="61" t="s">
        <v>106</v>
      </c>
      <c r="F316" s="45">
        <v>250000</v>
      </c>
      <c r="G316" s="45">
        <v>1000000</v>
      </c>
    </row>
    <row r="317" spans="1:7">
      <c r="A317" s="21" t="s">
        <v>457</v>
      </c>
      <c r="B317" s="43" t="s">
        <v>195</v>
      </c>
      <c r="C317" s="44" t="s">
        <v>786</v>
      </c>
      <c r="D317" s="47">
        <v>10</v>
      </c>
      <c r="E317" s="61" t="s">
        <v>106</v>
      </c>
      <c r="F317" s="45">
        <v>500000</v>
      </c>
      <c r="G317" s="45">
        <v>5000000</v>
      </c>
    </row>
    <row r="318" spans="1:7">
      <c r="A318" s="21" t="s">
        <v>458</v>
      </c>
      <c r="B318" s="40" t="s">
        <v>537</v>
      </c>
      <c r="C318" s="41" t="s">
        <v>64</v>
      </c>
      <c r="D318" s="71"/>
      <c r="E318" s="60"/>
      <c r="F318" s="42"/>
      <c r="G318" s="42">
        <v>30000000</v>
      </c>
    </row>
    <row r="319" spans="1:7">
      <c r="A319" s="21" t="s">
        <v>459</v>
      </c>
      <c r="B319" s="43" t="s">
        <v>195</v>
      </c>
      <c r="C319" s="44" t="s">
        <v>619</v>
      </c>
      <c r="D319" s="47">
        <v>12</v>
      </c>
      <c r="E319" s="61" t="s">
        <v>106</v>
      </c>
      <c r="F319" s="45">
        <v>1000000</v>
      </c>
      <c r="G319" s="45">
        <v>12000000</v>
      </c>
    </row>
    <row r="320" spans="1:7">
      <c r="A320" s="21" t="s">
        <v>460</v>
      </c>
      <c r="B320" s="40" t="s">
        <v>195</v>
      </c>
      <c r="C320" s="41" t="s">
        <v>620</v>
      </c>
      <c r="D320" s="40">
        <v>12</v>
      </c>
      <c r="E320" s="60" t="s">
        <v>106</v>
      </c>
      <c r="F320" s="42">
        <v>1500000</v>
      </c>
      <c r="G320" s="42">
        <v>18000000</v>
      </c>
    </row>
    <row r="321" spans="1:7">
      <c r="A321" s="21" t="s">
        <v>461</v>
      </c>
      <c r="B321" s="40" t="s">
        <v>516</v>
      </c>
      <c r="C321" s="41" t="s">
        <v>11</v>
      </c>
      <c r="D321" s="71"/>
      <c r="E321" s="60"/>
      <c r="F321" s="42"/>
      <c r="G321" s="42">
        <v>25200000</v>
      </c>
    </row>
    <row r="322" spans="1:7">
      <c r="A322" s="21" t="s">
        <v>462</v>
      </c>
      <c r="B322" s="37" t="s">
        <v>195</v>
      </c>
      <c r="C322" s="38" t="s">
        <v>774</v>
      </c>
      <c r="D322" s="37">
        <v>28</v>
      </c>
      <c r="E322" s="59" t="s">
        <v>54</v>
      </c>
      <c r="F322" s="39">
        <v>900000</v>
      </c>
      <c r="G322" s="39">
        <v>25200000</v>
      </c>
    </row>
    <row r="323" spans="1:7">
      <c r="A323" s="21" t="s">
        <v>463</v>
      </c>
      <c r="B323" s="40" t="s">
        <v>518</v>
      </c>
      <c r="C323" s="41" t="s">
        <v>24</v>
      </c>
      <c r="D323" s="40"/>
      <c r="E323" s="60"/>
      <c r="F323" s="42"/>
      <c r="G323" s="42">
        <v>6000000</v>
      </c>
    </row>
    <row r="324" spans="1:7">
      <c r="A324" s="21" t="s">
        <v>464</v>
      </c>
      <c r="B324" s="43" t="s">
        <v>195</v>
      </c>
      <c r="C324" s="44" t="s">
        <v>787</v>
      </c>
      <c r="D324" s="47">
        <v>1</v>
      </c>
      <c r="E324" s="61" t="s">
        <v>60</v>
      </c>
      <c r="F324" s="45">
        <v>6000000</v>
      </c>
      <c r="G324" s="45">
        <v>6000000</v>
      </c>
    </row>
    <row r="325" spans="1:7">
      <c r="A325" s="21" t="s">
        <v>465</v>
      </c>
      <c r="B325" s="40" t="s">
        <v>513</v>
      </c>
      <c r="C325" s="41" t="s">
        <v>19</v>
      </c>
      <c r="D325" s="71"/>
      <c r="E325" s="60"/>
      <c r="F325" s="42"/>
      <c r="G325" s="42">
        <v>253324000</v>
      </c>
    </row>
    <row r="326" spans="1:7" ht="25.5">
      <c r="A326" s="21" t="s">
        <v>466</v>
      </c>
      <c r="B326" s="40" t="s">
        <v>195</v>
      </c>
      <c r="C326" s="41" t="s">
        <v>788</v>
      </c>
      <c r="D326" s="40">
        <v>44</v>
      </c>
      <c r="E326" s="60" t="s">
        <v>776</v>
      </c>
      <c r="F326" s="42">
        <v>5757000</v>
      </c>
      <c r="G326" s="42">
        <v>253324000</v>
      </c>
    </row>
    <row r="327" spans="1:7">
      <c r="A327" s="21" t="s">
        <v>467</v>
      </c>
      <c r="B327" s="40" t="s">
        <v>507</v>
      </c>
      <c r="C327" s="41" t="s">
        <v>13</v>
      </c>
      <c r="D327" s="71"/>
      <c r="E327" s="60"/>
      <c r="F327" s="42"/>
      <c r="G327" s="42">
        <v>1500000</v>
      </c>
    </row>
    <row r="328" spans="1:7">
      <c r="A328" s="21" t="s">
        <v>468</v>
      </c>
      <c r="B328" s="43" t="s">
        <v>195</v>
      </c>
      <c r="C328" s="44" t="s">
        <v>638</v>
      </c>
      <c r="D328" s="47">
        <v>10</v>
      </c>
      <c r="E328" s="61" t="s">
        <v>10</v>
      </c>
      <c r="F328" s="45">
        <v>150000</v>
      </c>
      <c r="G328" s="45">
        <v>1500000</v>
      </c>
    </row>
    <row r="329" spans="1:7">
      <c r="A329" s="21" t="s">
        <v>469</v>
      </c>
      <c r="B329" s="37" t="s">
        <v>511</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782</v>
      </c>
      <c r="D331" s="37">
        <v>224</v>
      </c>
      <c r="E331" s="59" t="s">
        <v>25</v>
      </c>
      <c r="F331" s="39">
        <v>69000</v>
      </c>
      <c r="G331" s="39">
        <v>15456000</v>
      </c>
    </row>
    <row r="332" spans="1:7">
      <c r="A332" s="21" t="s">
        <v>472</v>
      </c>
      <c r="B332" s="40" t="s">
        <v>195</v>
      </c>
      <c r="C332" s="41" t="s">
        <v>617</v>
      </c>
      <c r="D332" s="40">
        <v>4</v>
      </c>
      <c r="E332" s="60" t="s">
        <v>106</v>
      </c>
      <c r="F332" s="42">
        <v>1500000</v>
      </c>
      <c r="G332" s="42">
        <v>6000000</v>
      </c>
    </row>
    <row r="333" spans="1:7">
      <c r="A333" s="21" t="s">
        <v>789</v>
      </c>
      <c r="B333" s="43" t="s">
        <v>195</v>
      </c>
      <c r="C333" s="44" t="s">
        <v>790</v>
      </c>
      <c r="D333" s="47">
        <v>100</v>
      </c>
      <c r="E333" s="61" t="s">
        <v>791</v>
      </c>
      <c r="F333" s="45">
        <v>500000</v>
      </c>
      <c r="G333" s="45">
        <v>50000000</v>
      </c>
    </row>
    <row r="334" spans="1:7">
      <c r="A334" s="21" t="s">
        <v>473</v>
      </c>
      <c r="B334" s="40" t="s">
        <v>533</v>
      </c>
      <c r="C334" s="41" t="s">
        <v>53</v>
      </c>
      <c r="D334" s="71"/>
      <c r="E334" s="60"/>
      <c r="F334" s="42"/>
      <c r="G334" s="42">
        <v>5000000</v>
      </c>
    </row>
    <row r="335" spans="1:7">
      <c r="A335" s="21" t="s">
        <v>474</v>
      </c>
      <c r="B335" s="40" t="s">
        <v>195</v>
      </c>
      <c r="C335" s="41" t="s">
        <v>785</v>
      </c>
      <c r="D335" s="40">
        <v>4</v>
      </c>
      <c r="E335" s="60" t="s">
        <v>106</v>
      </c>
      <c r="F335" s="42">
        <v>250000</v>
      </c>
      <c r="G335" s="42">
        <v>1000000</v>
      </c>
    </row>
    <row r="336" spans="1:7">
      <c r="A336" s="21" t="s">
        <v>792</v>
      </c>
      <c r="B336" s="43" t="s">
        <v>195</v>
      </c>
      <c r="C336" s="44" t="s">
        <v>786</v>
      </c>
      <c r="D336" s="47">
        <v>8</v>
      </c>
      <c r="E336" s="61" t="s">
        <v>106</v>
      </c>
      <c r="F336" s="45">
        <v>500000</v>
      </c>
      <c r="G336" s="45">
        <v>4000000</v>
      </c>
    </row>
    <row r="337" spans="1:7">
      <c r="A337" s="21" t="s">
        <v>475</v>
      </c>
      <c r="B337" s="40" t="s">
        <v>537</v>
      </c>
      <c r="C337" s="41" t="s">
        <v>64</v>
      </c>
      <c r="D337" s="71"/>
      <c r="E337" s="60"/>
      <c r="F337" s="42"/>
      <c r="G337" s="42">
        <v>15000000</v>
      </c>
    </row>
    <row r="338" spans="1:7">
      <c r="A338" s="21" t="s">
        <v>476</v>
      </c>
      <c r="B338" s="40" t="s">
        <v>195</v>
      </c>
      <c r="C338" s="41" t="s">
        <v>619</v>
      </c>
      <c r="D338" s="40">
        <v>6</v>
      </c>
      <c r="E338" s="60" t="s">
        <v>106</v>
      </c>
      <c r="F338" s="42">
        <v>1000000</v>
      </c>
      <c r="G338" s="42">
        <v>6000000</v>
      </c>
    </row>
    <row r="339" spans="1:7">
      <c r="A339" s="21" t="s">
        <v>477</v>
      </c>
      <c r="B339" s="43" t="s">
        <v>195</v>
      </c>
      <c r="C339" s="44" t="s">
        <v>620</v>
      </c>
      <c r="D339" s="47">
        <v>6</v>
      </c>
      <c r="E339" s="61" t="s">
        <v>106</v>
      </c>
      <c r="F339" s="45">
        <v>1500000</v>
      </c>
      <c r="G339" s="45">
        <v>9000000</v>
      </c>
    </row>
    <row r="340" spans="1:7">
      <c r="A340" s="21" t="s">
        <v>478</v>
      </c>
      <c r="B340" s="40" t="s">
        <v>516</v>
      </c>
      <c r="C340" s="41" t="s">
        <v>11</v>
      </c>
      <c r="D340" s="40"/>
      <c r="E340" s="60"/>
      <c r="F340" s="42"/>
      <c r="G340" s="42">
        <v>16200000</v>
      </c>
    </row>
    <row r="341" spans="1:7">
      <c r="A341" s="21" t="s">
        <v>479</v>
      </c>
      <c r="B341" s="40" t="s">
        <v>195</v>
      </c>
      <c r="C341" s="41" t="s">
        <v>774</v>
      </c>
      <c r="D341" s="40">
        <v>18</v>
      </c>
      <c r="E341" s="60" t="s">
        <v>54</v>
      </c>
      <c r="F341" s="42">
        <v>900000</v>
      </c>
      <c r="G341" s="42">
        <v>16200000</v>
      </c>
    </row>
    <row r="342" spans="1:7">
      <c r="A342" s="21" t="s">
        <v>480</v>
      </c>
      <c r="B342" s="40" t="s">
        <v>518</v>
      </c>
      <c r="C342" s="41" t="s">
        <v>24</v>
      </c>
      <c r="D342" s="71"/>
      <c r="E342" s="60"/>
      <c r="F342" s="42"/>
      <c r="G342" s="42">
        <v>2000000</v>
      </c>
    </row>
    <row r="343" spans="1:7">
      <c r="A343" s="21" t="s">
        <v>481</v>
      </c>
      <c r="B343" s="43" t="s">
        <v>195</v>
      </c>
      <c r="C343" s="44" t="s">
        <v>787</v>
      </c>
      <c r="D343" s="47">
        <v>1</v>
      </c>
      <c r="E343" s="61" t="s">
        <v>60</v>
      </c>
      <c r="F343" s="45">
        <v>2000000</v>
      </c>
      <c r="G343" s="45">
        <v>2000000</v>
      </c>
    </row>
    <row r="344" spans="1:7">
      <c r="A344" s="21" t="s">
        <v>482</v>
      </c>
      <c r="B344" s="40" t="s">
        <v>513</v>
      </c>
      <c r="C344" s="41" t="s">
        <v>19</v>
      </c>
      <c r="D344" s="40"/>
      <c r="E344" s="60"/>
      <c r="F344" s="42"/>
      <c r="G344" s="42">
        <v>138160000</v>
      </c>
    </row>
    <row r="345" spans="1:7">
      <c r="A345" s="21" t="s">
        <v>483</v>
      </c>
      <c r="B345" s="43" t="s">
        <v>195</v>
      </c>
      <c r="C345" s="44" t="s">
        <v>793</v>
      </c>
      <c r="D345" s="47">
        <v>22</v>
      </c>
      <c r="E345" s="61" t="s">
        <v>776</v>
      </c>
      <c r="F345" s="45">
        <v>6280000</v>
      </c>
      <c r="G345" s="45">
        <v>138160000</v>
      </c>
    </row>
    <row r="346" spans="1:7">
      <c r="A346" s="21" t="s">
        <v>794</v>
      </c>
      <c r="B346" s="37" t="s">
        <v>512</v>
      </c>
      <c r="C346" s="38" t="s">
        <v>795</v>
      </c>
      <c r="D346" s="70"/>
      <c r="E346" s="59"/>
      <c r="F346" s="39"/>
      <c r="G346" s="39">
        <v>51560000</v>
      </c>
    </row>
    <row r="347" spans="1:7">
      <c r="A347" s="21" t="s">
        <v>796</v>
      </c>
      <c r="B347" s="40" t="s">
        <v>503</v>
      </c>
      <c r="C347" s="41" t="s">
        <v>7</v>
      </c>
      <c r="D347" s="40"/>
      <c r="E347" s="60"/>
      <c r="F347" s="42"/>
      <c r="G347" s="42">
        <v>20830000</v>
      </c>
    </row>
    <row r="348" spans="1:7">
      <c r="A348" s="21" t="s">
        <v>797</v>
      </c>
      <c r="B348" s="43" t="s">
        <v>195</v>
      </c>
      <c r="C348" s="44" t="s">
        <v>619</v>
      </c>
      <c r="D348" s="47">
        <v>4</v>
      </c>
      <c r="E348" s="61" t="s">
        <v>106</v>
      </c>
      <c r="F348" s="45">
        <v>1000000</v>
      </c>
      <c r="G348" s="45">
        <v>4000000</v>
      </c>
    </row>
    <row r="349" spans="1:7">
      <c r="A349" s="21" t="s">
        <v>798</v>
      </c>
      <c r="B349" s="37" t="s">
        <v>195</v>
      </c>
      <c r="C349" s="38" t="s">
        <v>620</v>
      </c>
      <c r="D349" s="37">
        <v>4</v>
      </c>
      <c r="E349" s="59" t="s">
        <v>106</v>
      </c>
      <c r="F349" s="39">
        <v>1500000</v>
      </c>
      <c r="G349" s="39">
        <v>6000000</v>
      </c>
    </row>
    <row r="350" spans="1:7">
      <c r="A350" s="21" t="s">
        <v>799</v>
      </c>
      <c r="B350" s="40" t="s">
        <v>195</v>
      </c>
      <c r="C350" s="41" t="s">
        <v>782</v>
      </c>
      <c r="D350" s="40">
        <v>70</v>
      </c>
      <c r="E350" s="60" t="s">
        <v>25</v>
      </c>
      <c r="F350" s="42">
        <v>69000</v>
      </c>
      <c r="G350" s="42">
        <v>4830000</v>
      </c>
    </row>
    <row r="351" spans="1:7">
      <c r="A351" s="21" t="s">
        <v>800</v>
      </c>
      <c r="B351" s="43" t="s">
        <v>195</v>
      </c>
      <c r="C351" s="44" t="s">
        <v>617</v>
      </c>
      <c r="D351" s="47">
        <v>4</v>
      </c>
      <c r="E351" s="61" t="s">
        <v>106</v>
      </c>
      <c r="F351" s="45">
        <v>1500000</v>
      </c>
      <c r="G351" s="45">
        <v>6000000</v>
      </c>
    </row>
    <row r="352" spans="1:7">
      <c r="A352" s="21" t="s">
        <v>801</v>
      </c>
      <c r="B352" s="40" t="s">
        <v>533</v>
      </c>
      <c r="C352" s="41" t="s">
        <v>53</v>
      </c>
      <c r="D352" s="71"/>
      <c r="E352" s="60"/>
      <c r="F352" s="42"/>
      <c r="G352" s="42">
        <v>500000</v>
      </c>
    </row>
    <row r="353" spans="1:7">
      <c r="A353" s="21" t="s">
        <v>802</v>
      </c>
      <c r="B353" s="40" t="s">
        <v>195</v>
      </c>
      <c r="C353" s="41" t="s">
        <v>785</v>
      </c>
      <c r="D353" s="40">
        <v>2</v>
      </c>
      <c r="E353" s="60" t="s">
        <v>106</v>
      </c>
      <c r="F353" s="42">
        <v>250000</v>
      </c>
      <c r="G353" s="42">
        <v>500000</v>
      </c>
    </row>
    <row r="354" spans="1:7">
      <c r="A354" s="21" t="s">
        <v>803</v>
      </c>
      <c r="B354" s="40" t="s">
        <v>516</v>
      </c>
      <c r="C354" s="41" t="s">
        <v>11</v>
      </c>
      <c r="D354" s="71"/>
      <c r="E354" s="60"/>
      <c r="F354" s="42"/>
      <c r="G354" s="42">
        <v>7200000</v>
      </c>
    </row>
    <row r="355" spans="1:7">
      <c r="A355" s="21" t="s">
        <v>804</v>
      </c>
      <c r="B355" s="43" t="s">
        <v>195</v>
      </c>
      <c r="C355" s="44" t="s">
        <v>774</v>
      </c>
      <c r="D355" s="47">
        <v>8</v>
      </c>
      <c r="E355" s="61" t="s">
        <v>54</v>
      </c>
      <c r="F355" s="45">
        <v>900000</v>
      </c>
      <c r="G355" s="45">
        <v>7200000</v>
      </c>
    </row>
    <row r="356" spans="1:7">
      <c r="A356" s="21" t="s">
        <v>805</v>
      </c>
      <c r="B356" s="40" t="s">
        <v>513</v>
      </c>
      <c r="C356" s="41" t="s">
        <v>19</v>
      </c>
      <c r="D356" s="40"/>
      <c r="E356" s="60"/>
      <c r="F356" s="42"/>
      <c r="G356" s="42">
        <v>23030000</v>
      </c>
    </row>
    <row r="357" spans="1:7">
      <c r="A357" s="21" t="s">
        <v>806</v>
      </c>
      <c r="B357" s="43" t="s">
        <v>195</v>
      </c>
      <c r="C357" s="44" t="s">
        <v>807</v>
      </c>
      <c r="D357" s="47">
        <v>6</v>
      </c>
      <c r="E357" s="61" t="s">
        <v>776</v>
      </c>
      <c r="F357" s="45">
        <v>3838000</v>
      </c>
      <c r="G357" s="45">
        <v>23030000</v>
      </c>
    </row>
    <row r="358" spans="1:7">
      <c r="A358" s="21" t="s">
        <v>484</v>
      </c>
      <c r="B358" s="34" t="s">
        <v>526</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617</v>
      </c>
      <c r="D361" s="37">
        <v>2</v>
      </c>
      <c r="E361" s="59" t="s">
        <v>106</v>
      </c>
      <c r="F361" s="39">
        <v>1500000</v>
      </c>
      <c r="G361" s="39">
        <v>3000000</v>
      </c>
    </row>
    <row r="362" spans="1:7">
      <c r="A362" s="21" t="s">
        <v>488</v>
      </c>
      <c r="B362" s="40" t="s">
        <v>195</v>
      </c>
      <c r="C362" s="41" t="s">
        <v>808</v>
      </c>
      <c r="D362" s="40">
        <v>90</v>
      </c>
      <c r="E362" s="60" t="s">
        <v>25</v>
      </c>
      <c r="F362" s="42">
        <v>66000</v>
      </c>
      <c r="G362" s="42">
        <v>5900000</v>
      </c>
    </row>
    <row r="363" spans="1:7">
      <c r="A363" s="21" t="s">
        <v>489</v>
      </c>
      <c r="B363" s="43" t="s">
        <v>195</v>
      </c>
      <c r="C363" s="44" t="s">
        <v>619</v>
      </c>
      <c r="D363" s="47">
        <v>2</v>
      </c>
      <c r="E363" s="61" t="s">
        <v>106</v>
      </c>
      <c r="F363" s="45">
        <v>1000000</v>
      </c>
      <c r="G363" s="45">
        <v>2000000</v>
      </c>
    </row>
    <row r="364" spans="1:7">
      <c r="A364" s="21" t="s">
        <v>809</v>
      </c>
      <c r="B364" s="43" t="s">
        <v>195</v>
      </c>
      <c r="C364" s="44" t="s">
        <v>620</v>
      </c>
      <c r="D364" s="47">
        <v>2</v>
      </c>
      <c r="E364" s="61" t="s">
        <v>106</v>
      </c>
      <c r="F364" s="45">
        <v>1500000</v>
      </c>
      <c r="G364" s="45">
        <v>3000000</v>
      </c>
    </row>
    <row r="365" spans="1:7">
      <c r="A365" s="21" t="s">
        <v>810</v>
      </c>
      <c r="B365" s="43" t="s">
        <v>195</v>
      </c>
      <c r="C365" s="44" t="s">
        <v>811</v>
      </c>
      <c r="D365" s="47">
        <v>36</v>
      </c>
      <c r="E365" s="61" t="s">
        <v>25</v>
      </c>
      <c r="F365" s="45">
        <v>200000</v>
      </c>
      <c r="G365" s="45">
        <v>7200000</v>
      </c>
    </row>
    <row r="366" spans="1:7">
      <c r="A366" s="21" t="s">
        <v>490</v>
      </c>
      <c r="B366" s="40" t="s">
        <v>533</v>
      </c>
      <c r="C366" s="41" t="s">
        <v>53</v>
      </c>
      <c r="D366" s="71"/>
      <c r="E366" s="60"/>
      <c r="F366" s="42"/>
      <c r="G366" s="42">
        <v>1584000</v>
      </c>
    </row>
    <row r="367" spans="1:7" ht="25.5">
      <c r="A367" s="21" t="s">
        <v>491</v>
      </c>
      <c r="B367" s="40" t="s">
        <v>195</v>
      </c>
      <c r="C367" s="41" t="s">
        <v>812</v>
      </c>
      <c r="D367" s="40">
        <v>36</v>
      </c>
      <c r="E367" s="60" t="s">
        <v>25</v>
      </c>
      <c r="F367" s="42">
        <v>44000</v>
      </c>
      <c r="G367" s="42">
        <v>1584000</v>
      </c>
    </row>
    <row r="368" spans="1:7">
      <c r="A368" s="21" t="s">
        <v>492</v>
      </c>
      <c r="B368" s="40" t="s">
        <v>516</v>
      </c>
      <c r="C368" s="41" t="s">
        <v>11</v>
      </c>
      <c r="D368" s="71"/>
      <c r="E368" s="60"/>
      <c r="F368" s="42"/>
      <c r="G368" s="42">
        <v>10000000</v>
      </c>
    </row>
    <row r="369" spans="1:7">
      <c r="A369" s="21" t="s">
        <v>493</v>
      </c>
      <c r="B369" s="40" t="s">
        <v>195</v>
      </c>
      <c r="C369" s="41" t="s">
        <v>774</v>
      </c>
      <c r="D369" s="40">
        <v>10</v>
      </c>
      <c r="E369" s="60" t="s">
        <v>54</v>
      </c>
      <c r="F369" s="42">
        <v>1000000</v>
      </c>
      <c r="G369" s="42">
        <v>10000000</v>
      </c>
    </row>
    <row r="370" spans="1:7">
      <c r="A370" s="21" t="s">
        <v>813</v>
      </c>
      <c r="B370" s="40" t="s">
        <v>518</v>
      </c>
      <c r="C370" s="41" t="s">
        <v>24</v>
      </c>
      <c r="D370" s="71"/>
      <c r="E370" s="60"/>
      <c r="F370" s="42"/>
      <c r="G370" s="42">
        <v>5000000</v>
      </c>
    </row>
    <row r="371" spans="1:7">
      <c r="A371" s="21" t="s">
        <v>814</v>
      </c>
      <c r="B371" s="34" t="s">
        <v>195</v>
      </c>
      <c r="C371" s="35" t="s">
        <v>815</v>
      </c>
      <c r="D371" s="34">
        <v>1</v>
      </c>
      <c r="E371" s="58" t="s">
        <v>153</v>
      </c>
      <c r="F371" s="36">
        <v>5000000</v>
      </c>
      <c r="G371" s="36">
        <v>5000000</v>
      </c>
    </row>
    <row r="372" spans="1:7">
      <c r="A372" s="21" t="s">
        <v>816</v>
      </c>
      <c r="B372" s="40" t="s">
        <v>513</v>
      </c>
      <c r="C372" s="41" t="s">
        <v>19</v>
      </c>
      <c r="D372" s="40"/>
      <c r="E372" s="60"/>
      <c r="F372" s="42"/>
      <c r="G372" s="42">
        <v>97416000</v>
      </c>
    </row>
    <row r="373" spans="1:7">
      <c r="A373" s="21" t="s">
        <v>817</v>
      </c>
      <c r="B373" s="40" t="s">
        <v>195</v>
      </c>
      <c r="C373" s="41" t="s">
        <v>818</v>
      </c>
      <c r="D373" s="40">
        <v>36</v>
      </c>
      <c r="E373" s="60" t="s">
        <v>776</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819</v>
      </c>
      <c r="B376" s="28" t="s">
        <v>820</v>
      </c>
      <c r="C376" s="29" t="s">
        <v>821</v>
      </c>
      <c r="D376" s="46"/>
      <c r="E376" s="56"/>
      <c r="F376" s="30"/>
      <c r="G376" s="30">
        <v>584676000</v>
      </c>
    </row>
    <row r="377" spans="1:7" ht="25.5">
      <c r="A377" s="21" t="s">
        <v>822</v>
      </c>
      <c r="B377" s="43" t="s">
        <v>823</v>
      </c>
      <c r="C377" s="44" t="s">
        <v>824</v>
      </c>
      <c r="D377" s="47"/>
      <c r="E377" s="61"/>
      <c r="F377" s="45"/>
      <c r="G377" s="45">
        <v>584676000</v>
      </c>
    </row>
    <row r="378" spans="1:7" ht="25.5">
      <c r="A378" s="21" t="s">
        <v>825</v>
      </c>
      <c r="B378" s="34" t="s">
        <v>826</v>
      </c>
      <c r="C378" s="35" t="s">
        <v>824</v>
      </c>
      <c r="D378" s="69"/>
      <c r="E378" s="58"/>
      <c r="F378" s="36"/>
      <c r="G378" s="36">
        <v>469676000</v>
      </c>
    </row>
    <row r="379" spans="1:7">
      <c r="A379" s="21" t="s">
        <v>827</v>
      </c>
      <c r="B379" s="37" t="s">
        <v>8</v>
      </c>
      <c r="C379" s="38" t="s">
        <v>828</v>
      </c>
      <c r="D379" s="37"/>
      <c r="E379" s="59"/>
      <c r="F379" s="39"/>
      <c r="G379" s="39">
        <v>469676000</v>
      </c>
    </row>
    <row r="380" spans="1:7">
      <c r="A380" s="21" t="s">
        <v>829</v>
      </c>
      <c r="B380" s="40" t="s">
        <v>528</v>
      </c>
      <c r="C380" s="41" t="s">
        <v>43</v>
      </c>
      <c r="D380" s="71"/>
      <c r="E380" s="60"/>
      <c r="F380" s="42"/>
      <c r="G380" s="42">
        <v>469676000</v>
      </c>
    </row>
    <row r="381" spans="1:7" ht="25.5">
      <c r="A381" s="21" t="s">
        <v>830</v>
      </c>
      <c r="B381" s="40" t="s">
        <v>195</v>
      </c>
      <c r="C381" s="41" t="s">
        <v>831</v>
      </c>
      <c r="D381" s="40">
        <v>1</v>
      </c>
      <c r="E381" s="60" t="s">
        <v>106</v>
      </c>
      <c r="F381" s="42">
        <v>469676000</v>
      </c>
      <c r="G381" s="42">
        <v>469676000</v>
      </c>
    </row>
    <row r="382" spans="1:7" ht="25.5">
      <c r="A382" s="21" t="s">
        <v>832</v>
      </c>
      <c r="B382" s="34" t="s">
        <v>833</v>
      </c>
      <c r="C382" s="35" t="s">
        <v>834</v>
      </c>
      <c r="D382" s="69"/>
      <c r="E382" s="58"/>
      <c r="F382" s="36"/>
      <c r="G382" s="36">
        <v>115000000</v>
      </c>
    </row>
    <row r="383" spans="1:7">
      <c r="A383" s="21" t="s">
        <v>835</v>
      </c>
      <c r="B383" s="37" t="s">
        <v>8</v>
      </c>
      <c r="C383" s="38" t="s">
        <v>836</v>
      </c>
      <c r="D383" s="37"/>
      <c r="E383" s="59"/>
      <c r="F383" s="39"/>
      <c r="G383" s="39">
        <v>115000000</v>
      </c>
    </row>
    <row r="384" spans="1:7">
      <c r="A384" s="21" t="s">
        <v>837</v>
      </c>
      <c r="B384" s="40" t="s">
        <v>528</v>
      </c>
      <c r="C384" s="41" t="s">
        <v>43</v>
      </c>
      <c r="D384" s="71"/>
      <c r="E384" s="60"/>
      <c r="F384" s="42"/>
      <c r="G384" s="42">
        <v>115000000</v>
      </c>
    </row>
    <row r="385" spans="1:7">
      <c r="A385" s="21" t="s">
        <v>838</v>
      </c>
      <c r="B385" s="37" t="s">
        <v>195</v>
      </c>
      <c r="C385" s="38" t="s">
        <v>839</v>
      </c>
      <c r="D385" s="37">
        <v>1</v>
      </c>
      <c r="E385" s="59" t="s">
        <v>23</v>
      </c>
      <c r="F385" s="39">
        <v>115000000</v>
      </c>
      <c r="G385" s="39">
        <v>115000000</v>
      </c>
    </row>
    <row r="386" spans="1:7">
      <c r="A386" s="21" t="s">
        <v>840</v>
      </c>
      <c r="B386" s="28" t="s">
        <v>841</v>
      </c>
      <c r="C386" s="29" t="s">
        <v>842</v>
      </c>
      <c r="D386" s="28"/>
      <c r="E386" s="56"/>
      <c r="F386" s="30"/>
      <c r="G386" s="30">
        <v>63693463000</v>
      </c>
    </row>
    <row r="387" spans="1:7">
      <c r="A387" s="21" t="s">
        <v>843</v>
      </c>
      <c r="B387" s="43" t="s">
        <v>844</v>
      </c>
      <c r="C387" s="44" t="s">
        <v>845</v>
      </c>
      <c r="D387" s="47"/>
      <c r="E387" s="61"/>
      <c r="F387" s="45"/>
      <c r="G387" s="45">
        <v>1800000000</v>
      </c>
    </row>
    <row r="388" spans="1:7" ht="38.25">
      <c r="A388" s="21" t="s">
        <v>846</v>
      </c>
      <c r="B388" s="34" t="s">
        <v>826</v>
      </c>
      <c r="C388" s="35" t="s">
        <v>847</v>
      </c>
      <c r="D388" s="34"/>
      <c r="E388" s="58"/>
      <c r="F388" s="36"/>
      <c r="G388" s="36">
        <v>1800000000</v>
      </c>
    </row>
    <row r="389" spans="1:7" ht="25.5">
      <c r="A389" s="21" t="s">
        <v>848</v>
      </c>
      <c r="B389" s="37" t="s">
        <v>8</v>
      </c>
      <c r="C389" s="38" t="s">
        <v>849</v>
      </c>
      <c r="D389" s="70"/>
      <c r="E389" s="59"/>
      <c r="F389" s="39"/>
      <c r="G389" s="39">
        <v>227100000</v>
      </c>
    </row>
    <row r="390" spans="1:7">
      <c r="A390" s="21" t="s">
        <v>850</v>
      </c>
      <c r="B390" s="40" t="s">
        <v>503</v>
      </c>
      <c r="C390" s="41" t="s">
        <v>7</v>
      </c>
      <c r="D390" s="71"/>
      <c r="E390" s="60"/>
      <c r="F390" s="42"/>
      <c r="G390" s="42">
        <v>4500000</v>
      </c>
    </row>
    <row r="391" spans="1:7" ht="38.25">
      <c r="A391" s="21" t="s">
        <v>851</v>
      </c>
      <c r="B391" s="37" t="s">
        <v>195</v>
      </c>
      <c r="C391" s="38" t="s">
        <v>852</v>
      </c>
      <c r="D391" s="37">
        <v>9</v>
      </c>
      <c r="E391" s="59" t="s">
        <v>853</v>
      </c>
      <c r="F391" s="39">
        <v>250000</v>
      </c>
      <c r="G391" s="39">
        <v>2250000</v>
      </c>
    </row>
    <row r="392" spans="1:7" ht="25.5">
      <c r="A392" s="21" t="s">
        <v>854</v>
      </c>
      <c r="B392" s="40" t="s">
        <v>195</v>
      </c>
      <c r="C392" s="41" t="s">
        <v>855</v>
      </c>
      <c r="D392" s="40">
        <v>9</v>
      </c>
      <c r="E392" s="60" t="s">
        <v>853</v>
      </c>
      <c r="F392" s="42">
        <v>250000</v>
      </c>
      <c r="G392" s="42">
        <v>2250000</v>
      </c>
    </row>
    <row r="393" spans="1:7">
      <c r="A393" s="21" t="s">
        <v>856</v>
      </c>
      <c r="B393" s="40" t="s">
        <v>537</v>
      </c>
      <c r="C393" s="41" t="s">
        <v>64</v>
      </c>
      <c r="D393" s="71"/>
      <c r="E393" s="60"/>
      <c r="F393" s="42"/>
      <c r="G393" s="42">
        <v>24000000</v>
      </c>
    </row>
    <row r="394" spans="1:7">
      <c r="A394" s="21" t="s">
        <v>857</v>
      </c>
      <c r="B394" s="43" t="s">
        <v>195</v>
      </c>
      <c r="C394" s="44" t="s">
        <v>619</v>
      </c>
      <c r="D394" s="47">
        <v>12</v>
      </c>
      <c r="E394" s="61" t="s">
        <v>52</v>
      </c>
      <c r="F394" s="45">
        <v>1000000</v>
      </c>
      <c r="G394" s="45">
        <v>12000000</v>
      </c>
    </row>
    <row r="395" spans="1:7">
      <c r="A395" s="21" t="s">
        <v>858</v>
      </c>
      <c r="B395" s="43" t="s">
        <v>195</v>
      </c>
      <c r="C395" s="44" t="s">
        <v>859</v>
      </c>
      <c r="D395" s="47">
        <v>12</v>
      </c>
      <c r="E395" s="61" t="s">
        <v>52</v>
      </c>
      <c r="F395" s="45">
        <v>1000000</v>
      </c>
      <c r="G395" s="45">
        <v>12000000</v>
      </c>
    </row>
    <row r="396" spans="1:7">
      <c r="A396" s="21" t="s">
        <v>860</v>
      </c>
      <c r="B396" s="40" t="s">
        <v>518</v>
      </c>
      <c r="C396" s="41" t="s">
        <v>24</v>
      </c>
      <c r="D396" s="71"/>
      <c r="E396" s="60"/>
      <c r="F396" s="42"/>
      <c r="G396" s="42">
        <v>5400000</v>
      </c>
    </row>
    <row r="397" spans="1:7">
      <c r="A397" s="21" t="s">
        <v>861</v>
      </c>
      <c r="B397" s="43" t="s">
        <v>195</v>
      </c>
      <c r="C397" s="44" t="s">
        <v>862</v>
      </c>
      <c r="D397" s="47">
        <v>18</v>
      </c>
      <c r="E397" s="61" t="s">
        <v>25</v>
      </c>
      <c r="F397" s="45">
        <v>300000</v>
      </c>
      <c r="G397" s="45">
        <v>5400000</v>
      </c>
    </row>
    <row r="398" spans="1:7">
      <c r="A398" s="21" t="s">
        <v>863</v>
      </c>
      <c r="B398" s="40" t="s">
        <v>513</v>
      </c>
      <c r="C398" s="41" t="s">
        <v>19</v>
      </c>
      <c r="D398" s="71"/>
      <c r="E398" s="60"/>
      <c r="F398" s="42"/>
      <c r="G398" s="42">
        <v>193200000</v>
      </c>
    </row>
    <row r="399" spans="1:7" ht="38.25">
      <c r="A399" s="21" t="s">
        <v>864</v>
      </c>
      <c r="B399" s="43" t="s">
        <v>195</v>
      </c>
      <c r="C399" s="44" t="s">
        <v>865</v>
      </c>
      <c r="D399" s="47">
        <v>24</v>
      </c>
      <c r="E399" s="61" t="s">
        <v>25</v>
      </c>
      <c r="F399" s="45">
        <v>8050000</v>
      </c>
      <c r="G399" s="45">
        <v>193200000</v>
      </c>
    </row>
    <row r="400" spans="1:7" ht="25.5">
      <c r="A400" s="21" t="s">
        <v>866</v>
      </c>
      <c r="B400" s="37" t="s">
        <v>511</v>
      </c>
      <c r="C400" s="38" t="s">
        <v>184</v>
      </c>
      <c r="D400" s="37"/>
      <c r="E400" s="59"/>
      <c r="F400" s="39"/>
      <c r="G400" s="39">
        <v>172320000</v>
      </c>
    </row>
    <row r="401" spans="1:7">
      <c r="A401" s="21" t="s">
        <v>867</v>
      </c>
      <c r="B401" s="40" t="s">
        <v>503</v>
      </c>
      <c r="C401" s="41" t="s">
        <v>7</v>
      </c>
      <c r="D401" s="71"/>
      <c r="E401" s="60"/>
      <c r="F401" s="42"/>
      <c r="G401" s="42">
        <v>3120000</v>
      </c>
    </row>
    <row r="402" spans="1:7">
      <c r="A402" s="21" t="s">
        <v>868</v>
      </c>
      <c r="B402" s="40" t="s">
        <v>195</v>
      </c>
      <c r="C402" s="41" t="s">
        <v>617</v>
      </c>
      <c r="D402" s="40">
        <v>10</v>
      </c>
      <c r="E402" s="60" t="s">
        <v>853</v>
      </c>
      <c r="F402" s="42">
        <v>312000</v>
      </c>
      <c r="G402" s="42">
        <v>3120000</v>
      </c>
    </row>
    <row r="403" spans="1:7">
      <c r="A403" s="21" t="s">
        <v>869</v>
      </c>
      <c r="B403" s="40" t="s">
        <v>537</v>
      </c>
      <c r="C403" s="41" t="s">
        <v>64</v>
      </c>
      <c r="D403" s="71"/>
      <c r="E403" s="60"/>
      <c r="F403" s="42"/>
      <c r="G403" s="42">
        <v>24000000</v>
      </c>
    </row>
    <row r="404" spans="1:7">
      <c r="A404" s="21" t="s">
        <v>870</v>
      </c>
      <c r="B404" s="37" t="s">
        <v>195</v>
      </c>
      <c r="C404" s="38" t="s">
        <v>619</v>
      </c>
      <c r="D404" s="37">
        <v>12</v>
      </c>
      <c r="E404" s="59" t="s">
        <v>52</v>
      </c>
      <c r="F404" s="39">
        <v>1000000</v>
      </c>
      <c r="G404" s="39">
        <v>12000000</v>
      </c>
    </row>
    <row r="405" spans="1:7">
      <c r="A405" s="21" t="s">
        <v>871</v>
      </c>
      <c r="B405" s="40" t="s">
        <v>195</v>
      </c>
      <c r="C405" s="41" t="s">
        <v>859</v>
      </c>
      <c r="D405" s="40">
        <v>12</v>
      </c>
      <c r="E405" s="60" t="s">
        <v>52</v>
      </c>
      <c r="F405" s="42">
        <v>1000000</v>
      </c>
      <c r="G405" s="42">
        <v>12000000</v>
      </c>
    </row>
    <row r="406" spans="1:7">
      <c r="A406" s="21" t="s">
        <v>872</v>
      </c>
      <c r="B406" s="40" t="s">
        <v>516</v>
      </c>
      <c r="C406" s="41" t="s">
        <v>11</v>
      </c>
      <c r="D406" s="71"/>
      <c r="E406" s="60"/>
      <c r="F406" s="42"/>
      <c r="G406" s="42">
        <v>10800000</v>
      </c>
    </row>
    <row r="407" spans="1:7">
      <c r="A407" s="21" t="s">
        <v>873</v>
      </c>
      <c r="B407" s="43" t="s">
        <v>195</v>
      </c>
      <c r="C407" s="44" t="s">
        <v>874</v>
      </c>
      <c r="D407" s="47">
        <v>12</v>
      </c>
      <c r="E407" s="61" t="s">
        <v>54</v>
      </c>
      <c r="F407" s="45">
        <v>900000</v>
      </c>
      <c r="G407" s="45">
        <v>10800000</v>
      </c>
    </row>
    <row r="408" spans="1:7">
      <c r="A408" s="21" t="s">
        <v>875</v>
      </c>
      <c r="B408" s="40" t="s">
        <v>518</v>
      </c>
      <c r="C408" s="41" t="s">
        <v>24</v>
      </c>
      <c r="D408" s="71"/>
      <c r="E408" s="60"/>
      <c r="F408" s="42"/>
      <c r="G408" s="42">
        <v>4800000</v>
      </c>
    </row>
    <row r="409" spans="1:7">
      <c r="A409" s="21" t="s">
        <v>876</v>
      </c>
      <c r="B409" s="43" t="s">
        <v>195</v>
      </c>
      <c r="C409" s="44" t="s">
        <v>877</v>
      </c>
      <c r="D409" s="47">
        <v>16</v>
      </c>
      <c r="E409" s="61" t="s">
        <v>25</v>
      </c>
      <c r="F409" s="45">
        <v>300000</v>
      </c>
      <c r="G409" s="45">
        <v>4800000</v>
      </c>
    </row>
    <row r="410" spans="1:7">
      <c r="A410" s="21" t="s">
        <v>878</v>
      </c>
      <c r="B410" s="40" t="s">
        <v>513</v>
      </c>
      <c r="C410" s="41" t="s">
        <v>19</v>
      </c>
      <c r="D410" s="40"/>
      <c r="E410" s="60"/>
      <c r="F410" s="42"/>
      <c r="G410" s="42">
        <v>126000000</v>
      </c>
    </row>
    <row r="411" spans="1:7" ht="38.25">
      <c r="A411" s="21" t="s">
        <v>879</v>
      </c>
      <c r="B411" s="43" t="s">
        <v>195</v>
      </c>
      <c r="C411" s="44" t="s">
        <v>880</v>
      </c>
      <c r="D411" s="47">
        <v>18</v>
      </c>
      <c r="E411" s="61" t="s">
        <v>25</v>
      </c>
      <c r="F411" s="45">
        <v>7000000</v>
      </c>
      <c r="G411" s="45">
        <v>126000000</v>
      </c>
    </row>
    <row r="412" spans="1:7">
      <c r="A412" s="21" t="s">
        <v>881</v>
      </c>
      <c r="B412" s="40" t="s">
        <v>507</v>
      </c>
      <c r="C412" s="41" t="s">
        <v>13</v>
      </c>
      <c r="D412" s="40"/>
      <c r="E412" s="60"/>
      <c r="F412" s="42"/>
      <c r="G412" s="42">
        <v>3600000</v>
      </c>
    </row>
    <row r="413" spans="1:7" ht="25.5">
      <c r="A413" s="21" t="s">
        <v>882</v>
      </c>
      <c r="B413" s="43" t="s">
        <v>195</v>
      </c>
      <c r="C413" s="44" t="s">
        <v>883</v>
      </c>
      <c r="D413" s="47">
        <v>24</v>
      </c>
      <c r="E413" s="61" t="s">
        <v>73</v>
      </c>
      <c r="F413" s="45">
        <v>150000</v>
      </c>
      <c r="G413" s="45">
        <v>3600000</v>
      </c>
    </row>
    <row r="414" spans="1:7" ht="25.5">
      <c r="A414" s="21" t="s">
        <v>884</v>
      </c>
      <c r="B414" s="37" t="s">
        <v>512</v>
      </c>
      <c r="C414" s="38" t="s">
        <v>185</v>
      </c>
      <c r="D414" s="37"/>
      <c r="E414" s="59"/>
      <c r="F414" s="39"/>
      <c r="G414" s="39">
        <v>447280000</v>
      </c>
    </row>
    <row r="415" spans="1:7">
      <c r="A415" s="21" t="s">
        <v>885</v>
      </c>
      <c r="B415" s="40" t="s">
        <v>503</v>
      </c>
      <c r="C415" s="41" t="s">
        <v>7</v>
      </c>
      <c r="D415" s="40"/>
      <c r="E415" s="60"/>
      <c r="F415" s="42"/>
      <c r="G415" s="42">
        <v>10000000</v>
      </c>
    </row>
    <row r="416" spans="1:7">
      <c r="A416" s="21" t="s">
        <v>886</v>
      </c>
      <c r="B416" s="43" t="s">
        <v>195</v>
      </c>
      <c r="C416" s="44" t="s">
        <v>617</v>
      </c>
      <c r="D416" s="47">
        <v>50</v>
      </c>
      <c r="E416" s="61" t="s">
        <v>853</v>
      </c>
      <c r="F416" s="45">
        <v>200000</v>
      </c>
      <c r="G416" s="45">
        <v>10000000</v>
      </c>
    </row>
    <row r="417" spans="1:7" ht="25.5">
      <c r="A417" s="21" t="s">
        <v>887</v>
      </c>
      <c r="B417" s="40" t="s">
        <v>515</v>
      </c>
      <c r="C417" s="41" t="s">
        <v>642</v>
      </c>
      <c r="D417" s="71"/>
      <c r="E417" s="60"/>
      <c r="F417" s="42"/>
      <c r="G417" s="42">
        <v>22800000</v>
      </c>
    </row>
    <row r="418" spans="1:7">
      <c r="A418" s="21" t="s">
        <v>888</v>
      </c>
      <c r="B418" s="43" t="s">
        <v>195</v>
      </c>
      <c r="C418" s="44" t="s">
        <v>889</v>
      </c>
      <c r="D418" s="47">
        <v>96</v>
      </c>
      <c r="E418" s="61" t="s">
        <v>25</v>
      </c>
      <c r="F418" s="45">
        <v>200000</v>
      </c>
      <c r="G418" s="45">
        <v>19200000</v>
      </c>
    </row>
    <row r="419" spans="1:7" ht="25.5">
      <c r="A419" s="21" t="s">
        <v>890</v>
      </c>
      <c r="B419" s="43" t="s">
        <v>195</v>
      </c>
      <c r="C419" s="44" t="s">
        <v>891</v>
      </c>
      <c r="D419" s="47">
        <v>12</v>
      </c>
      <c r="E419" s="61" t="s">
        <v>106</v>
      </c>
      <c r="F419" s="45">
        <v>300000</v>
      </c>
      <c r="G419" s="45">
        <v>3600000</v>
      </c>
    </row>
    <row r="420" spans="1:7">
      <c r="A420" s="21" t="s">
        <v>892</v>
      </c>
      <c r="B420" s="40" t="s">
        <v>537</v>
      </c>
      <c r="C420" s="41" t="s">
        <v>64</v>
      </c>
      <c r="D420" s="40"/>
      <c r="E420" s="60"/>
      <c r="F420" s="42"/>
      <c r="G420" s="42">
        <v>24000000</v>
      </c>
    </row>
    <row r="421" spans="1:7">
      <c r="A421" s="21" t="s">
        <v>893</v>
      </c>
      <c r="B421" s="43" t="s">
        <v>195</v>
      </c>
      <c r="C421" s="44" t="s">
        <v>619</v>
      </c>
      <c r="D421" s="47">
        <v>12</v>
      </c>
      <c r="E421" s="61" t="s">
        <v>52</v>
      </c>
      <c r="F421" s="45">
        <v>1000000</v>
      </c>
      <c r="G421" s="45">
        <v>12000000</v>
      </c>
    </row>
    <row r="422" spans="1:7">
      <c r="A422" s="21" t="s">
        <v>894</v>
      </c>
      <c r="B422" s="43" t="s">
        <v>195</v>
      </c>
      <c r="C422" s="44" t="s">
        <v>859</v>
      </c>
      <c r="D422" s="47">
        <v>12</v>
      </c>
      <c r="E422" s="61" t="s">
        <v>52</v>
      </c>
      <c r="F422" s="45">
        <v>1000000</v>
      </c>
      <c r="G422" s="45">
        <v>12000000</v>
      </c>
    </row>
    <row r="423" spans="1:7">
      <c r="A423" s="21" t="s">
        <v>895</v>
      </c>
      <c r="B423" s="40" t="s">
        <v>516</v>
      </c>
      <c r="C423" s="41" t="s">
        <v>11</v>
      </c>
      <c r="D423" s="40"/>
      <c r="E423" s="60"/>
      <c r="F423" s="42"/>
      <c r="G423" s="42">
        <v>14400000</v>
      </c>
    </row>
    <row r="424" spans="1:7">
      <c r="A424" s="21" t="s">
        <v>896</v>
      </c>
      <c r="B424" s="43" t="s">
        <v>195</v>
      </c>
      <c r="C424" s="44" t="s">
        <v>897</v>
      </c>
      <c r="D424" s="47">
        <v>16</v>
      </c>
      <c r="E424" s="61" t="s">
        <v>54</v>
      </c>
      <c r="F424" s="45">
        <v>900000</v>
      </c>
      <c r="G424" s="45">
        <v>14400000</v>
      </c>
    </row>
    <row r="425" spans="1:7">
      <c r="A425" s="21" t="s">
        <v>898</v>
      </c>
      <c r="B425" s="40" t="s">
        <v>518</v>
      </c>
      <c r="C425" s="41" t="s">
        <v>24</v>
      </c>
      <c r="D425" s="40"/>
      <c r="E425" s="60"/>
      <c r="F425" s="42"/>
      <c r="G425" s="42">
        <v>4200000</v>
      </c>
    </row>
    <row r="426" spans="1:7">
      <c r="A426" s="21" t="s">
        <v>899</v>
      </c>
      <c r="B426" s="43" t="s">
        <v>195</v>
      </c>
      <c r="C426" s="44" t="s">
        <v>900</v>
      </c>
      <c r="D426" s="47">
        <v>14</v>
      </c>
      <c r="E426" s="61" t="s">
        <v>25</v>
      </c>
      <c r="F426" s="45">
        <v>300000</v>
      </c>
      <c r="G426" s="45">
        <v>4200000</v>
      </c>
    </row>
    <row r="427" spans="1:7">
      <c r="A427" s="21" t="s">
        <v>901</v>
      </c>
      <c r="B427" s="40" t="s">
        <v>513</v>
      </c>
      <c r="C427" s="41" t="s">
        <v>19</v>
      </c>
      <c r="D427" s="71"/>
      <c r="E427" s="60"/>
      <c r="F427" s="42"/>
      <c r="G427" s="42">
        <v>360000000</v>
      </c>
    </row>
    <row r="428" spans="1:7" ht="38.25">
      <c r="A428" s="21" t="s">
        <v>902</v>
      </c>
      <c r="B428" s="40" t="s">
        <v>195</v>
      </c>
      <c r="C428" s="41" t="s">
        <v>903</v>
      </c>
      <c r="D428" s="40">
        <v>32</v>
      </c>
      <c r="E428" s="60" t="s">
        <v>25</v>
      </c>
      <c r="F428" s="42">
        <v>6000000</v>
      </c>
      <c r="G428" s="42">
        <v>192000000</v>
      </c>
    </row>
    <row r="429" spans="1:7">
      <c r="A429" s="21" t="s">
        <v>904</v>
      </c>
      <c r="B429" s="43" t="s">
        <v>195</v>
      </c>
      <c r="C429" s="44" t="s">
        <v>905</v>
      </c>
      <c r="D429" s="47">
        <v>28</v>
      </c>
      <c r="E429" s="61" t="s">
        <v>25</v>
      </c>
      <c r="F429" s="45">
        <v>6000000</v>
      </c>
      <c r="G429" s="45">
        <v>168000000</v>
      </c>
    </row>
    <row r="430" spans="1:7">
      <c r="A430" s="21" t="s">
        <v>906</v>
      </c>
      <c r="B430" s="40" t="s">
        <v>507</v>
      </c>
      <c r="C430" s="41" t="s">
        <v>13</v>
      </c>
      <c r="D430" s="40"/>
      <c r="E430" s="60"/>
      <c r="F430" s="42"/>
      <c r="G430" s="42">
        <v>5400000</v>
      </c>
    </row>
    <row r="431" spans="1:7">
      <c r="A431" s="21" t="s">
        <v>907</v>
      </c>
      <c r="B431" s="40" t="s">
        <v>195</v>
      </c>
      <c r="C431" s="41" t="s">
        <v>908</v>
      </c>
      <c r="D431" s="40">
        <v>36</v>
      </c>
      <c r="E431" s="60" t="s">
        <v>73</v>
      </c>
      <c r="F431" s="42">
        <v>150000</v>
      </c>
      <c r="G431" s="42">
        <v>5400000</v>
      </c>
    </row>
    <row r="432" spans="1:7">
      <c r="A432" s="21" t="s">
        <v>909</v>
      </c>
      <c r="B432" s="40" t="s">
        <v>509</v>
      </c>
      <c r="C432" s="41" t="s">
        <v>14</v>
      </c>
      <c r="D432" s="71"/>
      <c r="E432" s="60"/>
      <c r="F432" s="42"/>
      <c r="G432" s="42">
        <v>6480000</v>
      </c>
    </row>
    <row r="433" spans="1:7" ht="25.5">
      <c r="A433" s="21" t="s">
        <v>910</v>
      </c>
      <c r="B433" s="40" t="s">
        <v>195</v>
      </c>
      <c r="C433" s="41" t="s">
        <v>911</v>
      </c>
      <c r="D433" s="40">
        <v>18</v>
      </c>
      <c r="E433" s="60" t="s">
        <v>73</v>
      </c>
      <c r="F433" s="42">
        <v>210000</v>
      </c>
      <c r="G433" s="42">
        <v>3780000</v>
      </c>
    </row>
    <row r="434" spans="1:7">
      <c r="A434" s="21" t="s">
        <v>912</v>
      </c>
      <c r="B434" s="43" t="s">
        <v>195</v>
      </c>
      <c r="C434" s="44" t="s">
        <v>638</v>
      </c>
      <c r="D434" s="47">
        <v>18</v>
      </c>
      <c r="E434" s="61" t="s">
        <v>73</v>
      </c>
      <c r="F434" s="45">
        <v>150000</v>
      </c>
      <c r="G434" s="45">
        <v>2700000</v>
      </c>
    </row>
    <row r="435" spans="1:7">
      <c r="A435" s="21" t="s">
        <v>913</v>
      </c>
      <c r="B435" s="37" t="s">
        <v>514</v>
      </c>
      <c r="C435" s="38" t="s">
        <v>914</v>
      </c>
      <c r="D435" s="70"/>
      <c r="E435" s="59"/>
      <c r="F435" s="39"/>
      <c r="G435" s="39">
        <v>339320000</v>
      </c>
    </row>
    <row r="436" spans="1:7">
      <c r="A436" s="21" t="s">
        <v>915</v>
      </c>
      <c r="B436" s="40" t="s">
        <v>503</v>
      </c>
      <c r="C436" s="41" t="s">
        <v>7</v>
      </c>
      <c r="D436" s="71"/>
      <c r="E436" s="60"/>
      <c r="F436" s="42"/>
      <c r="G436" s="42">
        <v>50750000</v>
      </c>
    </row>
    <row r="437" spans="1:7">
      <c r="A437" s="21" t="s">
        <v>916</v>
      </c>
      <c r="B437" s="43" t="s">
        <v>195</v>
      </c>
      <c r="C437" s="44" t="s">
        <v>619</v>
      </c>
      <c r="D437" s="47">
        <v>1</v>
      </c>
      <c r="E437" s="61" t="s">
        <v>52</v>
      </c>
      <c r="F437" s="45">
        <v>2500000</v>
      </c>
      <c r="G437" s="45">
        <v>2500000</v>
      </c>
    </row>
    <row r="438" spans="1:7">
      <c r="A438" s="21" t="s">
        <v>917</v>
      </c>
      <c r="B438" s="40" t="s">
        <v>195</v>
      </c>
      <c r="C438" s="41" t="s">
        <v>859</v>
      </c>
      <c r="D438" s="40">
        <v>1</v>
      </c>
      <c r="E438" s="60" t="s">
        <v>52</v>
      </c>
      <c r="F438" s="42">
        <v>2500000</v>
      </c>
      <c r="G438" s="42">
        <v>2500000</v>
      </c>
    </row>
    <row r="439" spans="1:7">
      <c r="A439" s="21" t="s">
        <v>918</v>
      </c>
      <c r="B439" s="43" t="s">
        <v>195</v>
      </c>
      <c r="C439" s="44" t="s">
        <v>617</v>
      </c>
      <c r="D439" s="47">
        <v>1</v>
      </c>
      <c r="E439" s="61" t="s">
        <v>52</v>
      </c>
      <c r="F439" s="45">
        <v>1000000</v>
      </c>
      <c r="G439" s="45">
        <v>1000000</v>
      </c>
    </row>
    <row r="440" spans="1:7">
      <c r="A440" s="21" t="s">
        <v>919</v>
      </c>
      <c r="B440" s="40" t="s">
        <v>195</v>
      </c>
      <c r="C440" s="41" t="s">
        <v>920</v>
      </c>
      <c r="D440" s="40">
        <v>1</v>
      </c>
      <c r="E440" s="60" t="s">
        <v>52</v>
      </c>
      <c r="F440" s="42">
        <v>1000000</v>
      </c>
      <c r="G440" s="42">
        <v>1000000</v>
      </c>
    </row>
    <row r="441" spans="1:7">
      <c r="A441" s="21" t="s">
        <v>921</v>
      </c>
      <c r="B441" s="43" t="s">
        <v>195</v>
      </c>
      <c r="C441" s="44" t="s">
        <v>922</v>
      </c>
      <c r="D441" s="47">
        <v>125</v>
      </c>
      <c r="E441" s="61" t="s">
        <v>52</v>
      </c>
      <c r="F441" s="45">
        <v>350000</v>
      </c>
      <c r="G441" s="45">
        <v>43750000</v>
      </c>
    </row>
    <row r="442" spans="1:7">
      <c r="A442" s="21" t="s">
        <v>923</v>
      </c>
      <c r="B442" s="40" t="s">
        <v>516</v>
      </c>
      <c r="C442" s="41" t="s">
        <v>11</v>
      </c>
      <c r="D442" s="40"/>
      <c r="E442" s="60"/>
      <c r="F442" s="42"/>
      <c r="G442" s="42">
        <v>11200000</v>
      </c>
    </row>
    <row r="443" spans="1:7">
      <c r="A443" s="21" t="s">
        <v>924</v>
      </c>
      <c r="B443" s="43" t="s">
        <v>195</v>
      </c>
      <c r="C443" s="44" t="s">
        <v>925</v>
      </c>
      <c r="D443" s="47">
        <v>4</v>
      </c>
      <c r="E443" s="61" t="s">
        <v>54</v>
      </c>
      <c r="F443" s="45">
        <v>1000000</v>
      </c>
      <c r="G443" s="45">
        <v>4000000</v>
      </c>
    </row>
    <row r="444" spans="1:7" ht="25.5">
      <c r="A444" s="21" t="s">
        <v>926</v>
      </c>
      <c r="B444" s="37" t="s">
        <v>195</v>
      </c>
      <c r="C444" s="38" t="s">
        <v>927</v>
      </c>
      <c r="D444" s="37">
        <v>8</v>
      </c>
      <c r="E444" s="59" t="s">
        <v>25</v>
      </c>
      <c r="F444" s="39">
        <v>900000</v>
      </c>
      <c r="G444" s="39">
        <v>7200000</v>
      </c>
    </row>
    <row r="445" spans="1:7">
      <c r="A445" s="21" t="s">
        <v>928</v>
      </c>
      <c r="B445" s="40" t="s">
        <v>513</v>
      </c>
      <c r="C445" s="41" t="s">
        <v>19</v>
      </c>
      <c r="D445" s="40"/>
      <c r="E445" s="60"/>
      <c r="F445" s="42"/>
      <c r="G445" s="42">
        <v>277370000</v>
      </c>
    </row>
    <row r="446" spans="1:7">
      <c r="A446" s="21" t="s">
        <v>929</v>
      </c>
      <c r="B446" s="43" t="s">
        <v>195</v>
      </c>
      <c r="C446" s="44" t="s">
        <v>930</v>
      </c>
      <c r="D446" s="47">
        <v>500</v>
      </c>
      <c r="E446" s="61" t="s">
        <v>73</v>
      </c>
      <c r="F446" s="45">
        <v>430000</v>
      </c>
      <c r="G446" s="45">
        <v>215000000</v>
      </c>
    </row>
    <row r="447" spans="1:7">
      <c r="A447" s="21" t="s">
        <v>931</v>
      </c>
      <c r="B447" s="43" t="s">
        <v>195</v>
      </c>
      <c r="C447" s="44" t="s">
        <v>932</v>
      </c>
      <c r="D447" s="47">
        <v>81</v>
      </c>
      <c r="E447" s="61" t="s">
        <v>73</v>
      </c>
      <c r="F447" s="45">
        <v>570000</v>
      </c>
      <c r="G447" s="45">
        <v>46170000</v>
      </c>
    </row>
    <row r="448" spans="1:7" ht="25.5">
      <c r="A448" s="21" t="s">
        <v>933</v>
      </c>
      <c r="B448" s="43" t="s">
        <v>195</v>
      </c>
      <c r="C448" s="44" t="s">
        <v>934</v>
      </c>
      <c r="D448" s="47">
        <v>27</v>
      </c>
      <c r="E448" s="61" t="s">
        <v>25</v>
      </c>
      <c r="F448" s="45">
        <v>600000</v>
      </c>
      <c r="G448" s="45">
        <v>16200000</v>
      </c>
    </row>
    <row r="449" spans="1:7" ht="25.5">
      <c r="A449" s="21" t="s">
        <v>935</v>
      </c>
      <c r="B449" s="37" t="s">
        <v>519</v>
      </c>
      <c r="C449" s="38" t="s">
        <v>186</v>
      </c>
      <c r="D449" s="37"/>
      <c r="E449" s="59"/>
      <c r="F449" s="39"/>
      <c r="G449" s="39">
        <v>230700000</v>
      </c>
    </row>
    <row r="450" spans="1:7">
      <c r="A450" s="21" t="s">
        <v>936</v>
      </c>
      <c r="B450" s="40" t="s">
        <v>503</v>
      </c>
      <c r="C450" s="41" t="s">
        <v>7</v>
      </c>
      <c r="D450" s="71"/>
      <c r="E450" s="60"/>
      <c r="F450" s="42"/>
      <c r="G450" s="42">
        <v>3000000</v>
      </c>
    </row>
    <row r="451" spans="1:7">
      <c r="A451" s="21" t="s">
        <v>937</v>
      </c>
      <c r="B451" s="43" t="s">
        <v>195</v>
      </c>
      <c r="C451" s="44" t="s">
        <v>617</v>
      </c>
      <c r="D451" s="47">
        <v>10</v>
      </c>
      <c r="E451" s="61" t="s">
        <v>52</v>
      </c>
      <c r="F451" s="45">
        <v>300000</v>
      </c>
      <c r="G451" s="45">
        <v>3000000</v>
      </c>
    </row>
    <row r="452" spans="1:7">
      <c r="A452" s="21" t="s">
        <v>938</v>
      </c>
      <c r="B452" s="40" t="s">
        <v>537</v>
      </c>
      <c r="C452" s="41" t="s">
        <v>64</v>
      </c>
      <c r="D452" s="40"/>
      <c r="E452" s="60"/>
      <c r="F452" s="42"/>
      <c r="G452" s="42">
        <v>24000000</v>
      </c>
    </row>
    <row r="453" spans="1:7">
      <c r="A453" s="21" t="s">
        <v>939</v>
      </c>
      <c r="B453" s="43" t="s">
        <v>195</v>
      </c>
      <c r="C453" s="44" t="s">
        <v>619</v>
      </c>
      <c r="D453" s="47">
        <v>12</v>
      </c>
      <c r="E453" s="61" t="s">
        <v>52</v>
      </c>
      <c r="F453" s="45">
        <v>1000000</v>
      </c>
      <c r="G453" s="45">
        <v>12000000</v>
      </c>
    </row>
    <row r="454" spans="1:7">
      <c r="A454" s="21" t="s">
        <v>940</v>
      </c>
      <c r="B454" s="40" t="s">
        <v>195</v>
      </c>
      <c r="C454" s="41" t="s">
        <v>859</v>
      </c>
      <c r="D454" s="40">
        <v>12</v>
      </c>
      <c r="E454" s="60" t="s">
        <v>52</v>
      </c>
      <c r="F454" s="42">
        <v>1000000</v>
      </c>
      <c r="G454" s="42">
        <v>12000000</v>
      </c>
    </row>
    <row r="455" spans="1:7">
      <c r="A455" s="21" t="s">
        <v>941</v>
      </c>
      <c r="B455" s="40" t="s">
        <v>516</v>
      </c>
      <c r="C455" s="41" t="s">
        <v>11</v>
      </c>
      <c r="D455" s="71"/>
      <c r="E455" s="60"/>
      <c r="F455" s="42"/>
      <c r="G455" s="42">
        <v>7200000</v>
      </c>
    </row>
    <row r="456" spans="1:7" ht="25.5">
      <c r="A456" s="21" t="s">
        <v>942</v>
      </c>
      <c r="B456" s="40" t="s">
        <v>195</v>
      </c>
      <c r="C456" s="41" t="s">
        <v>943</v>
      </c>
      <c r="D456" s="40">
        <v>8</v>
      </c>
      <c r="E456" s="60" t="s">
        <v>54</v>
      </c>
      <c r="F456" s="42">
        <v>900000</v>
      </c>
      <c r="G456" s="42">
        <v>7200000</v>
      </c>
    </row>
    <row r="457" spans="1:7">
      <c r="A457" s="21" t="s">
        <v>944</v>
      </c>
      <c r="B457" s="40" t="s">
        <v>518</v>
      </c>
      <c r="C457" s="41" t="s">
        <v>24</v>
      </c>
      <c r="D457" s="71"/>
      <c r="E457" s="60"/>
      <c r="F457" s="42"/>
      <c r="G457" s="42">
        <v>4500000</v>
      </c>
    </row>
    <row r="458" spans="1:7">
      <c r="A458" s="21" t="s">
        <v>945</v>
      </c>
      <c r="B458" s="37" t="s">
        <v>195</v>
      </c>
      <c r="C458" s="38" t="s">
        <v>946</v>
      </c>
      <c r="D458" s="37">
        <v>15</v>
      </c>
      <c r="E458" s="59" t="s">
        <v>25</v>
      </c>
      <c r="F458" s="39">
        <v>300000</v>
      </c>
      <c r="G458" s="39">
        <v>4500000</v>
      </c>
    </row>
    <row r="459" spans="1:7">
      <c r="A459" s="21" t="s">
        <v>947</v>
      </c>
      <c r="B459" s="40" t="s">
        <v>513</v>
      </c>
      <c r="C459" s="41" t="s">
        <v>19</v>
      </c>
      <c r="D459" s="40"/>
      <c r="E459" s="60"/>
      <c r="F459" s="42"/>
      <c r="G459" s="42">
        <v>192000000</v>
      </c>
    </row>
    <row r="460" spans="1:7" ht="38.25">
      <c r="A460" s="21" t="s">
        <v>948</v>
      </c>
      <c r="B460" s="43" t="s">
        <v>195</v>
      </c>
      <c r="C460" s="44" t="s">
        <v>949</v>
      </c>
      <c r="D460" s="47">
        <v>12</v>
      </c>
      <c r="E460" s="61" t="s">
        <v>25</v>
      </c>
      <c r="F460" s="45">
        <v>8000000</v>
      </c>
      <c r="G460" s="45">
        <v>96000000</v>
      </c>
    </row>
    <row r="461" spans="1:7" ht="25.5">
      <c r="A461" s="21" t="s">
        <v>950</v>
      </c>
      <c r="B461" s="43" t="s">
        <v>195</v>
      </c>
      <c r="C461" s="44" t="s">
        <v>951</v>
      </c>
      <c r="D461" s="47">
        <v>12</v>
      </c>
      <c r="E461" s="61" t="s">
        <v>25</v>
      </c>
      <c r="F461" s="45">
        <v>8000000</v>
      </c>
      <c r="G461" s="45">
        <v>96000000</v>
      </c>
    </row>
    <row r="462" spans="1:7">
      <c r="A462" s="21" t="s">
        <v>952</v>
      </c>
      <c r="B462" s="37" t="s">
        <v>578</v>
      </c>
      <c r="C462" s="38" t="s">
        <v>953</v>
      </c>
      <c r="D462" s="70"/>
      <c r="E462" s="59"/>
      <c r="F462" s="39"/>
      <c r="G462" s="39">
        <v>269980000</v>
      </c>
    </row>
    <row r="463" spans="1:7">
      <c r="A463" s="21" t="s">
        <v>954</v>
      </c>
      <c r="B463" s="40" t="s">
        <v>503</v>
      </c>
      <c r="C463" s="41" t="s">
        <v>7</v>
      </c>
      <c r="D463" s="71"/>
      <c r="E463" s="60"/>
      <c r="F463" s="42"/>
      <c r="G463" s="42">
        <v>50750000</v>
      </c>
    </row>
    <row r="464" spans="1:7">
      <c r="A464" s="21" t="s">
        <v>955</v>
      </c>
      <c r="B464" s="40" t="s">
        <v>195</v>
      </c>
      <c r="C464" s="41" t="s">
        <v>619</v>
      </c>
      <c r="D464" s="40">
        <v>1</v>
      </c>
      <c r="E464" s="60" t="s">
        <v>52</v>
      </c>
      <c r="F464" s="42">
        <v>2500000</v>
      </c>
      <c r="G464" s="42">
        <v>2500000</v>
      </c>
    </row>
    <row r="465" spans="1:7">
      <c r="A465" s="21" t="s">
        <v>956</v>
      </c>
      <c r="B465" s="43" t="s">
        <v>195</v>
      </c>
      <c r="C465" s="44" t="s">
        <v>859</v>
      </c>
      <c r="D465" s="47">
        <v>1</v>
      </c>
      <c r="E465" s="61" t="s">
        <v>52</v>
      </c>
      <c r="F465" s="45">
        <v>2500000</v>
      </c>
      <c r="G465" s="45">
        <v>2500000</v>
      </c>
    </row>
    <row r="466" spans="1:7">
      <c r="A466" s="21" t="s">
        <v>957</v>
      </c>
      <c r="B466" s="43" t="s">
        <v>195</v>
      </c>
      <c r="C466" s="44" t="s">
        <v>617</v>
      </c>
      <c r="D466" s="47">
        <v>1</v>
      </c>
      <c r="E466" s="61" t="s">
        <v>52</v>
      </c>
      <c r="F466" s="45">
        <v>1000000</v>
      </c>
      <c r="G466" s="45">
        <v>1000000</v>
      </c>
    </row>
    <row r="467" spans="1:7">
      <c r="A467" s="21" t="s">
        <v>958</v>
      </c>
      <c r="B467" s="40" t="s">
        <v>195</v>
      </c>
      <c r="C467" s="41" t="s">
        <v>920</v>
      </c>
      <c r="D467" s="40">
        <v>1</v>
      </c>
      <c r="E467" s="60" t="s">
        <v>52</v>
      </c>
      <c r="F467" s="42">
        <v>1000000</v>
      </c>
      <c r="G467" s="42">
        <v>1000000</v>
      </c>
    </row>
    <row r="468" spans="1:7">
      <c r="A468" s="21" t="s">
        <v>959</v>
      </c>
      <c r="B468" s="43" t="s">
        <v>195</v>
      </c>
      <c r="C468" s="44" t="s">
        <v>922</v>
      </c>
      <c r="D468" s="47">
        <v>125</v>
      </c>
      <c r="E468" s="61" t="s">
        <v>52</v>
      </c>
      <c r="F468" s="45">
        <v>350000</v>
      </c>
      <c r="G468" s="45">
        <v>43750000</v>
      </c>
    </row>
    <row r="469" spans="1:7">
      <c r="A469" s="21" t="s">
        <v>960</v>
      </c>
      <c r="B469" s="40" t="s">
        <v>516</v>
      </c>
      <c r="C469" s="41" t="s">
        <v>11</v>
      </c>
      <c r="D469" s="40"/>
      <c r="E469" s="60"/>
      <c r="F469" s="42"/>
      <c r="G469" s="42">
        <v>11000000</v>
      </c>
    </row>
    <row r="470" spans="1:7">
      <c r="A470" s="21" t="s">
        <v>961</v>
      </c>
      <c r="B470" s="43" t="s">
        <v>195</v>
      </c>
      <c r="C470" s="44" t="s">
        <v>962</v>
      </c>
      <c r="D470" s="47">
        <v>2</v>
      </c>
      <c r="E470" s="61" t="s">
        <v>54</v>
      </c>
      <c r="F470" s="45">
        <v>1000000</v>
      </c>
      <c r="G470" s="45">
        <v>2000000</v>
      </c>
    </row>
    <row r="471" spans="1:7" ht="25.5">
      <c r="A471" s="21" t="s">
        <v>963</v>
      </c>
      <c r="B471" s="40" t="s">
        <v>195</v>
      </c>
      <c r="C471" s="41" t="s">
        <v>964</v>
      </c>
      <c r="D471" s="40">
        <v>10</v>
      </c>
      <c r="E471" s="60" t="s">
        <v>54</v>
      </c>
      <c r="F471" s="42">
        <v>900000</v>
      </c>
      <c r="G471" s="42">
        <v>9000000</v>
      </c>
    </row>
    <row r="472" spans="1:7">
      <c r="A472" s="21" t="s">
        <v>965</v>
      </c>
      <c r="B472" s="40" t="s">
        <v>513</v>
      </c>
      <c r="C472" s="41" t="s">
        <v>19</v>
      </c>
      <c r="D472" s="71"/>
      <c r="E472" s="60"/>
      <c r="F472" s="42"/>
      <c r="G472" s="42">
        <v>208230000</v>
      </c>
    </row>
    <row r="473" spans="1:7" ht="25.5">
      <c r="A473" s="21" t="s">
        <v>966</v>
      </c>
      <c r="B473" s="40" t="s">
        <v>195</v>
      </c>
      <c r="C473" s="41" t="s">
        <v>967</v>
      </c>
      <c r="D473" s="40">
        <v>40</v>
      </c>
      <c r="E473" s="60" t="s">
        <v>73</v>
      </c>
      <c r="F473" s="42">
        <v>5206000</v>
      </c>
      <c r="G473" s="42">
        <v>208230000</v>
      </c>
    </row>
    <row r="474" spans="1:7">
      <c r="A474" s="21" t="s">
        <v>968</v>
      </c>
      <c r="B474" s="37" t="s">
        <v>579</v>
      </c>
      <c r="C474" s="38" t="s">
        <v>187</v>
      </c>
      <c r="D474" s="70"/>
      <c r="E474" s="59"/>
      <c r="F474" s="39"/>
      <c r="G474" s="39">
        <v>113300000</v>
      </c>
    </row>
    <row r="475" spans="1:7">
      <c r="A475" s="21" t="s">
        <v>969</v>
      </c>
      <c r="B475" s="40" t="s">
        <v>503</v>
      </c>
      <c r="C475" s="41" t="s">
        <v>7</v>
      </c>
      <c r="D475" s="40"/>
      <c r="E475" s="60"/>
      <c r="F475" s="42"/>
      <c r="G475" s="42">
        <v>5000000</v>
      </c>
    </row>
    <row r="476" spans="1:7">
      <c r="A476" s="21" t="s">
        <v>970</v>
      </c>
      <c r="B476" s="40" t="s">
        <v>195</v>
      </c>
      <c r="C476" s="41" t="s">
        <v>617</v>
      </c>
      <c r="D476" s="40">
        <v>20</v>
      </c>
      <c r="E476" s="60" t="s">
        <v>853</v>
      </c>
      <c r="F476" s="42">
        <v>250000</v>
      </c>
      <c r="G476" s="42">
        <v>5000000</v>
      </c>
    </row>
    <row r="477" spans="1:7">
      <c r="A477" s="21" t="s">
        <v>971</v>
      </c>
      <c r="B477" s="40" t="s">
        <v>537</v>
      </c>
      <c r="C477" s="41" t="s">
        <v>64</v>
      </c>
      <c r="D477" s="71"/>
      <c r="E477" s="60"/>
      <c r="F477" s="42"/>
      <c r="G477" s="42">
        <v>24000000</v>
      </c>
    </row>
    <row r="478" spans="1:7">
      <c r="A478" s="21" t="s">
        <v>972</v>
      </c>
      <c r="B478" s="43" t="s">
        <v>195</v>
      </c>
      <c r="C478" s="44" t="s">
        <v>619</v>
      </c>
      <c r="D478" s="47">
        <v>12</v>
      </c>
      <c r="E478" s="61" t="s">
        <v>23</v>
      </c>
      <c r="F478" s="45">
        <v>1000000</v>
      </c>
      <c r="G478" s="45">
        <v>12000000</v>
      </c>
    </row>
    <row r="479" spans="1:7">
      <c r="A479" s="21" t="s">
        <v>973</v>
      </c>
      <c r="B479" s="43" t="s">
        <v>195</v>
      </c>
      <c r="C479" s="44" t="s">
        <v>974</v>
      </c>
      <c r="D479" s="47">
        <v>12</v>
      </c>
      <c r="E479" s="61" t="s">
        <v>23</v>
      </c>
      <c r="F479" s="45">
        <v>1000000</v>
      </c>
      <c r="G479" s="45">
        <v>12000000</v>
      </c>
    </row>
    <row r="480" spans="1:7">
      <c r="A480" s="21" t="s">
        <v>975</v>
      </c>
      <c r="B480" s="40" t="s">
        <v>516</v>
      </c>
      <c r="C480" s="41" t="s">
        <v>11</v>
      </c>
      <c r="D480" s="71"/>
      <c r="E480" s="60"/>
      <c r="F480" s="42"/>
      <c r="G480" s="42">
        <v>7200000</v>
      </c>
    </row>
    <row r="481" spans="1:7" ht="25.5">
      <c r="A481" s="21" t="s">
        <v>976</v>
      </c>
      <c r="B481" s="40" t="s">
        <v>195</v>
      </c>
      <c r="C481" s="41" t="s">
        <v>977</v>
      </c>
      <c r="D481" s="40">
        <v>8</v>
      </c>
      <c r="E481" s="60" t="s">
        <v>54</v>
      </c>
      <c r="F481" s="42">
        <v>900000</v>
      </c>
      <c r="G481" s="42">
        <v>7200000</v>
      </c>
    </row>
    <row r="482" spans="1:7">
      <c r="A482" s="21" t="s">
        <v>978</v>
      </c>
      <c r="B482" s="40" t="s">
        <v>518</v>
      </c>
      <c r="C482" s="41" t="s">
        <v>24</v>
      </c>
      <c r="D482" s="71"/>
      <c r="E482" s="60"/>
      <c r="F482" s="42"/>
      <c r="G482" s="42">
        <v>2400000</v>
      </c>
    </row>
    <row r="483" spans="1:7">
      <c r="A483" s="21" t="s">
        <v>979</v>
      </c>
      <c r="B483" s="40" t="s">
        <v>195</v>
      </c>
      <c r="C483" s="41" t="s">
        <v>980</v>
      </c>
      <c r="D483" s="40">
        <v>8</v>
      </c>
      <c r="E483" s="60" t="s">
        <v>25</v>
      </c>
      <c r="F483" s="42">
        <v>300000</v>
      </c>
      <c r="G483" s="42">
        <v>2400000</v>
      </c>
    </row>
    <row r="484" spans="1:7">
      <c r="A484" s="21" t="s">
        <v>981</v>
      </c>
      <c r="B484" s="40" t="s">
        <v>513</v>
      </c>
      <c r="C484" s="41" t="s">
        <v>19</v>
      </c>
      <c r="D484" s="71"/>
      <c r="E484" s="60"/>
      <c r="F484" s="42"/>
      <c r="G484" s="42">
        <v>72000000</v>
      </c>
    </row>
    <row r="485" spans="1:7" ht="25.5">
      <c r="A485" s="21" t="s">
        <v>982</v>
      </c>
      <c r="B485" s="43" t="s">
        <v>195</v>
      </c>
      <c r="C485" s="44" t="s">
        <v>983</v>
      </c>
      <c r="D485" s="47">
        <v>12</v>
      </c>
      <c r="E485" s="61" t="s">
        <v>91</v>
      </c>
      <c r="F485" s="45">
        <v>6000000</v>
      </c>
      <c r="G485" s="45">
        <v>72000000</v>
      </c>
    </row>
    <row r="486" spans="1:7">
      <c r="A486" s="21" t="s">
        <v>984</v>
      </c>
      <c r="B486" s="40" t="s">
        <v>507</v>
      </c>
      <c r="C486" s="41" t="s">
        <v>13</v>
      </c>
      <c r="D486" s="71"/>
      <c r="E486" s="60"/>
      <c r="F486" s="42"/>
      <c r="G486" s="42">
        <v>2700000</v>
      </c>
    </row>
    <row r="487" spans="1:7">
      <c r="A487" s="7" t="s">
        <v>985</v>
      </c>
      <c r="B487" s="28" t="s">
        <v>195</v>
      </c>
      <c r="C487" s="29" t="s">
        <v>986</v>
      </c>
      <c r="D487" s="46">
        <v>18</v>
      </c>
      <c r="E487" s="56" t="s">
        <v>73</v>
      </c>
      <c r="F487" s="30">
        <v>150000</v>
      </c>
      <c r="G487" s="30">
        <v>2700000</v>
      </c>
    </row>
    <row r="488" spans="1:7">
      <c r="A488" s="7" t="s">
        <v>987</v>
      </c>
      <c r="B488" s="31" t="s">
        <v>988</v>
      </c>
      <c r="C488" s="32" t="s">
        <v>989</v>
      </c>
      <c r="D488" s="31"/>
      <c r="E488" s="57"/>
      <c r="F488" s="33"/>
      <c r="G488" s="33">
        <v>600000000</v>
      </c>
    </row>
    <row r="489" spans="1:7" ht="25.5">
      <c r="A489" s="21" t="s">
        <v>990</v>
      </c>
      <c r="B489" s="34" t="s">
        <v>826</v>
      </c>
      <c r="C489" s="35" t="s">
        <v>991</v>
      </c>
      <c r="D489" s="34"/>
      <c r="E489" s="58"/>
      <c r="F489" s="36"/>
      <c r="G489" s="36">
        <v>600000000</v>
      </c>
    </row>
    <row r="490" spans="1:7">
      <c r="A490" s="21" t="s">
        <v>992</v>
      </c>
      <c r="B490" s="37" t="s">
        <v>8</v>
      </c>
      <c r="C490" s="38" t="s">
        <v>993</v>
      </c>
      <c r="D490" s="37"/>
      <c r="E490" s="59"/>
      <c r="F490" s="39"/>
      <c r="G490" s="39">
        <v>320190000</v>
      </c>
    </row>
    <row r="491" spans="1:7">
      <c r="A491" s="21" t="s">
        <v>994</v>
      </c>
      <c r="B491" s="40" t="s">
        <v>503</v>
      </c>
      <c r="C491" s="41" t="s">
        <v>7</v>
      </c>
      <c r="D491" s="40"/>
      <c r="E491" s="60"/>
      <c r="F491" s="42"/>
      <c r="G491" s="42">
        <v>44990000</v>
      </c>
    </row>
    <row r="492" spans="1:7">
      <c r="A492" s="21" t="s">
        <v>995</v>
      </c>
      <c r="B492" s="43" t="s">
        <v>195</v>
      </c>
      <c r="C492" s="44" t="s">
        <v>996</v>
      </c>
      <c r="D492" s="47">
        <v>10</v>
      </c>
      <c r="E492" s="61" t="s">
        <v>23</v>
      </c>
      <c r="F492" s="45">
        <v>1000000</v>
      </c>
      <c r="G492" s="45">
        <v>10000000</v>
      </c>
    </row>
    <row r="493" spans="1:7">
      <c r="A493" s="21" t="s">
        <v>997</v>
      </c>
      <c r="B493" s="43" t="s">
        <v>195</v>
      </c>
      <c r="C493" s="44" t="s">
        <v>998</v>
      </c>
      <c r="D493" s="47">
        <v>200</v>
      </c>
      <c r="E493" s="61" t="s">
        <v>999</v>
      </c>
      <c r="F493" s="45">
        <v>175000</v>
      </c>
      <c r="G493" s="45">
        <v>34990000</v>
      </c>
    </row>
    <row r="494" spans="1:7" ht="25.5">
      <c r="A494" s="21" t="s">
        <v>1000</v>
      </c>
      <c r="B494" s="40" t="s">
        <v>515</v>
      </c>
      <c r="C494" s="41" t="s">
        <v>642</v>
      </c>
      <c r="D494" s="71"/>
      <c r="E494" s="60"/>
      <c r="F494" s="42"/>
      <c r="G494" s="42">
        <v>19200000</v>
      </c>
    </row>
    <row r="495" spans="1:7" ht="25.5">
      <c r="A495" s="21" t="s">
        <v>1001</v>
      </c>
      <c r="B495" s="43" t="s">
        <v>195</v>
      </c>
      <c r="C495" s="44" t="s">
        <v>1002</v>
      </c>
      <c r="D495" s="47">
        <v>96</v>
      </c>
      <c r="E495" s="61" t="s">
        <v>25</v>
      </c>
      <c r="F495" s="45">
        <v>200000</v>
      </c>
      <c r="G495" s="45">
        <v>19200000</v>
      </c>
    </row>
    <row r="496" spans="1:7">
      <c r="A496" s="21" t="s">
        <v>1003</v>
      </c>
      <c r="B496" s="40" t="s">
        <v>537</v>
      </c>
      <c r="C496" s="41" t="s">
        <v>64</v>
      </c>
      <c r="D496" s="71"/>
      <c r="E496" s="60"/>
      <c r="F496" s="42"/>
      <c r="G496" s="42">
        <v>20000000</v>
      </c>
    </row>
    <row r="497" spans="1:7">
      <c r="A497" s="21" t="s">
        <v>1004</v>
      </c>
      <c r="B497" s="40" t="s">
        <v>195</v>
      </c>
      <c r="C497" s="41" t="s">
        <v>619</v>
      </c>
      <c r="D497" s="40">
        <v>10</v>
      </c>
      <c r="E497" s="60" t="s">
        <v>23</v>
      </c>
      <c r="F497" s="42">
        <v>1000000</v>
      </c>
      <c r="G497" s="42">
        <v>10000000</v>
      </c>
    </row>
    <row r="498" spans="1:7">
      <c r="A498" s="21" t="s">
        <v>1005</v>
      </c>
      <c r="B498" s="43" t="s">
        <v>195</v>
      </c>
      <c r="C498" s="44" t="s">
        <v>1006</v>
      </c>
      <c r="D498" s="47">
        <v>10</v>
      </c>
      <c r="E498" s="61" t="s">
        <v>23</v>
      </c>
      <c r="F498" s="45">
        <v>1000000</v>
      </c>
      <c r="G498" s="45">
        <v>10000000</v>
      </c>
    </row>
    <row r="499" spans="1:7">
      <c r="A499" s="21" t="s">
        <v>1007</v>
      </c>
      <c r="B499" s="40" t="s">
        <v>516</v>
      </c>
      <c r="C499" s="41" t="s">
        <v>11</v>
      </c>
      <c r="D499" s="40"/>
      <c r="E499" s="60"/>
      <c r="F499" s="42"/>
      <c r="G499" s="42">
        <v>8000000</v>
      </c>
    </row>
    <row r="500" spans="1:7">
      <c r="A500" s="21" t="s">
        <v>1008</v>
      </c>
      <c r="B500" s="43" t="s">
        <v>195</v>
      </c>
      <c r="C500" s="44" t="s">
        <v>1009</v>
      </c>
      <c r="D500" s="47">
        <v>8</v>
      </c>
      <c r="E500" s="61" t="s">
        <v>54</v>
      </c>
      <c r="F500" s="45">
        <v>1000000</v>
      </c>
      <c r="G500" s="45">
        <v>8000000</v>
      </c>
    </row>
    <row r="501" spans="1:7">
      <c r="A501" s="21" t="s">
        <v>1010</v>
      </c>
      <c r="B501" s="40" t="s">
        <v>513</v>
      </c>
      <c r="C501" s="41" t="s">
        <v>19</v>
      </c>
      <c r="D501" s="40"/>
      <c r="E501" s="60"/>
      <c r="F501" s="42"/>
      <c r="G501" s="42">
        <v>220800000</v>
      </c>
    </row>
    <row r="502" spans="1:7" ht="38.25">
      <c r="A502" s="21" t="s">
        <v>1011</v>
      </c>
      <c r="B502" s="43" t="s">
        <v>195</v>
      </c>
      <c r="C502" s="44" t="s">
        <v>1012</v>
      </c>
      <c r="D502" s="47">
        <v>46</v>
      </c>
      <c r="E502" s="61" t="s">
        <v>25</v>
      </c>
      <c r="F502" s="45">
        <v>4800000</v>
      </c>
      <c r="G502" s="45">
        <v>220800000</v>
      </c>
    </row>
    <row r="503" spans="1:7">
      <c r="A503" s="21" t="s">
        <v>1013</v>
      </c>
      <c r="B503" s="40" t="s">
        <v>509</v>
      </c>
      <c r="C503" s="41" t="s">
        <v>14</v>
      </c>
      <c r="D503" s="40"/>
      <c r="E503" s="60"/>
      <c r="F503" s="42"/>
      <c r="G503" s="42">
        <v>7200000</v>
      </c>
    </row>
    <row r="504" spans="1:7">
      <c r="A504" s="21" t="s">
        <v>1014</v>
      </c>
      <c r="B504" s="40" t="s">
        <v>195</v>
      </c>
      <c r="C504" s="41" t="s">
        <v>1015</v>
      </c>
      <c r="D504" s="40">
        <v>20</v>
      </c>
      <c r="E504" s="60" t="s">
        <v>25</v>
      </c>
      <c r="F504" s="42">
        <v>210000</v>
      </c>
      <c r="G504" s="42">
        <v>4200000</v>
      </c>
    </row>
    <row r="505" spans="1:7">
      <c r="A505" s="21" t="s">
        <v>1016</v>
      </c>
      <c r="B505" s="43" t="s">
        <v>195</v>
      </c>
      <c r="C505" s="44" t="s">
        <v>630</v>
      </c>
      <c r="D505" s="47">
        <v>20</v>
      </c>
      <c r="E505" s="61" t="s">
        <v>73</v>
      </c>
      <c r="F505" s="45">
        <v>150000</v>
      </c>
      <c r="G505" s="45">
        <v>3000000</v>
      </c>
    </row>
    <row r="506" spans="1:7">
      <c r="A506" s="21" t="s">
        <v>1017</v>
      </c>
      <c r="B506" s="37" t="s">
        <v>511</v>
      </c>
      <c r="C506" s="38" t="s">
        <v>158</v>
      </c>
      <c r="D506" s="70"/>
      <c r="E506" s="59"/>
      <c r="F506" s="39"/>
      <c r="G506" s="39">
        <v>279810000</v>
      </c>
    </row>
    <row r="507" spans="1:7">
      <c r="A507" s="21" t="s">
        <v>1018</v>
      </c>
      <c r="B507" s="40" t="s">
        <v>503</v>
      </c>
      <c r="C507" s="41" t="s">
        <v>7</v>
      </c>
      <c r="D507" s="71"/>
      <c r="E507" s="60"/>
      <c r="F507" s="42"/>
      <c r="G507" s="42">
        <v>10000000</v>
      </c>
    </row>
    <row r="508" spans="1:7">
      <c r="A508" s="21" t="s">
        <v>1019</v>
      </c>
      <c r="B508" s="43" t="s">
        <v>195</v>
      </c>
      <c r="C508" s="44" t="s">
        <v>1020</v>
      </c>
      <c r="D508" s="47">
        <v>10</v>
      </c>
      <c r="E508" s="61" t="s">
        <v>23</v>
      </c>
      <c r="F508" s="45">
        <v>1000000</v>
      </c>
      <c r="G508" s="45">
        <v>10000000</v>
      </c>
    </row>
    <row r="509" spans="1:7">
      <c r="A509" s="21" t="s">
        <v>1021</v>
      </c>
      <c r="B509" s="40" t="s">
        <v>537</v>
      </c>
      <c r="C509" s="41" t="s">
        <v>64</v>
      </c>
      <c r="D509" s="71"/>
      <c r="E509" s="60"/>
      <c r="F509" s="42"/>
      <c r="G509" s="42">
        <v>20000000</v>
      </c>
    </row>
    <row r="510" spans="1:7">
      <c r="A510" s="21" t="s">
        <v>1022</v>
      </c>
      <c r="B510" s="43" t="s">
        <v>195</v>
      </c>
      <c r="C510" s="44" t="s">
        <v>619</v>
      </c>
      <c r="D510" s="47">
        <v>10</v>
      </c>
      <c r="E510" s="61" t="s">
        <v>23</v>
      </c>
      <c r="F510" s="45">
        <v>1000000</v>
      </c>
      <c r="G510" s="45">
        <v>10000000</v>
      </c>
    </row>
    <row r="511" spans="1:7">
      <c r="A511" s="21" t="s">
        <v>1023</v>
      </c>
      <c r="B511" s="43" t="s">
        <v>195</v>
      </c>
      <c r="C511" s="44" t="s">
        <v>1006</v>
      </c>
      <c r="D511" s="47">
        <v>10</v>
      </c>
      <c r="E511" s="61" t="s">
        <v>23</v>
      </c>
      <c r="F511" s="45">
        <v>1000000</v>
      </c>
      <c r="G511" s="45">
        <v>10000000</v>
      </c>
    </row>
    <row r="512" spans="1:7">
      <c r="A512" s="21" t="s">
        <v>1024</v>
      </c>
      <c r="B512" s="40" t="s">
        <v>516</v>
      </c>
      <c r="C512" s="41" t="s">
        <v>11</v>
      </c>
      <c r="D512" s="40"/>
      <c r="E512" s="60"/>
      <c r="F512" s="42"/>
      <c r="G512" s="42">
        <v>21600000</v>
      </c>
    </row>
    <row r="513" spans="1:7">
      <c r="A513" s="21" t="s">
        <v>1025</v>
      </c>
      <c r="B513" s="43" t="s">
        <v>195</v>
      </c>
      <c r="C513" s="44" t="s">
        <v>1026</v>
      </c>
      <c r="D513" s="47">
        <v>6</v>
      </c>
      <c r="E513" s="61" t="s">
        <v>25</v>
      </c>
      <c r="F513" s="45">
        <v>1800000</v>
      </c>
      <c r="G513" s="45">
        <v>10800000</v>
      </c>
    </row>
    <row r="514" spans="1:7">
      <c r="A514" s="21" t="s">
        <v>1027</v>
      </c>
      <c r="B514" s="43" t="s">
        <v>195</v>
      </c>
      <c r="C514" s="44" t="s">
        <v>1028</v>
      </c>
      <c r="D514" s="47">
        <v>6</v>
      </c>
      <c r="E514" s="61" t="s">
        <v>25</v>
      </c>
      <c r="F514" s="45">
        <v>1800000</v>
      </c>
      <c r="G514" s="45">
        <v>10800000</v>
      </c>
    </row>
    <row r="515" spans="1:7">
      <c r="A515" s="21" t="s">
        <v>1029</v>
      </c>
      <c r="B515" s="40" t="s">
        <v>513</v>
      </c>
      <c r="C515" s="41" t="s">
        <v>19</v>
      </c>
      <c r="D515" s="40"/>
      <c r="E515" s="60"/>
      <c r="F515" s="42"/>
      <c r="G515" s="42">
        <v>223680000</v>
      </c>
    </row>
    <row r="516" spans="1:7" ht="25.5">
      <c r="A516" s="21" t="s">
        <v>1030</v>
      </c>
      <c r="B516" s="43" t="s">
        <v>195</v>
      </c>
      <c r="C516" s="44" t="s">
        <v>1031</v>
      </c>
      <c r="D516" s="47">
        <v>48</v>
      </c>
      <c r="E516" s="61" t="s">
        <v>25</v>
      </c>
      <c r="F516" s="45">
        <v>4660000</v>
      </c>
      <c r="G516" s="45">
        <v>223680000</v>
      </c>
    </row>
    <row r="517" spans="1:7">
      <c r="A517" s="21" t="s">
        <v>1032</v>
      </c>
      <c r="B517" s="40" t="s">
        <v>509</v>
      </c>
      <c r="C517" s="41" t="s">
        <v>14</v>
      </c>
      <c r="D517" s="40"/>
      <c r="E517" s="60"/>
      <c r="F517" s="42"/>
      <c r="G517" s="42">
        <v>4530000</v>
      </c>
    </row>
    <row r="518" spans="1:7">
      <c r="A518" s="21" t="s">
        <v>1033</v>
      </c>
      <c r="B518" s="43" t="s">
        <v>195</v>
      </c>
      <c r="C518" s="44" t="s">
        <v>1015</v>
      </c>
      <c r="D518" s="47">
        <v>13</v>
      </c>
      <c r="E518" s="61" t="s">
        <v>25</v>
      </c>
      <c r="F518" s="45">
        <v>210000</v>
      </c>
      <c r="G518" s="45">
        <v>2730000</v>
      </c>
    </row>
    <row r="519" spans="1:7">
      <c r="A519" s="21" t="s">
        <v>1034</v>
      </c>
      <c r="B519" s="37" t="s">
        <v>195</v>
      </c>
      <c r="C519" s="38" t="s">
        <v>630</v>
      </c>
      <c r="D519" s="37">
        <v>12</v>
      </c>
      <c r="E519" s="59" t="s">
        <v>73</v>
      </c>
      <c r="F519" s="39">
        <v>150000</v>
      </c>
      <c r="G519" s="39">
        <v>1800000</v>
      </c>
    </row>
    <row r="520" spans="1:7">
      <c r="A520" s="21" t="s">
        <v>1035</v>
      </c>
      <c r="B520" s="40" t="s">
        <v>1036</v>
      </c>
      <c r="C520" s="41" t="s">
        <v>1037</v>
      </c>
      <c r="D520" s="40"/>
      <c r="E520" s="60"/>
      <c r="F520" s="42"/>
      <c r="G520" s="42">
        <v>5353780000</v>
      </c>
    </row>
    <row r="521" spans="1:7" ht="25.5">
      <c r="A521" s="21" t="s">
        <v>1038</v>
      </c>
      <c r="B521" s="34" t="s">
        <v>826</v>
      </c>
      <c r="C521" s="35" t="s">
        <v>1039</v>
      </c>
      <c r="D521" s="69"/>
      <c r="E521" s="58"/>
      <c r="F521" s="36"/>
      <c r="G521" s="36">
        <v>1900000000</v>
      </c>
    </row>
    <row r="522" spans="1:7" ht="25.5">
      <c r="A522" s="21" t="s">
        <v>1040</v>
      </c>
      <c r="B522" s="37" t="s">
        <v>8</v>
      </c>
      <c r="C522" s="38" t="s">
        <v>1041</v>
      </c>
      <c r="D522" s="70"/>
      <c r="E522" s="59"/>
      <c r="F522" s="39"/>
      <c r="G522" s="39">
        <v>1900000000</v>
      </c>
    </row>
    <row r="523" spans="1:7">
      <c r="A523" s="21" t="s">
        <v>1042</v>
      </c>
      <c r="B523" s="40" t="s">
        <v>503</v>
      </c>
      <c r="C523" s="41" t="s">
        <v>7</v>
      </c>
      <c r="D523" s="71"/>
      <c r="E523" s="60"/>
      <c r="F523" s="42"/>
      <c r="G523" s="42">
        <v>600000000</v>
      </c>
    </row>
    <row r="524" spans="1:7">
      <c r="A524" s="21" t="s">
        <v>1043</v>
      </c>
      <c r="B524" s="43" t="s">
        <v>195</v>
      </c>
      <c r="C524" s="44" t="s">
        <v>1044</v>
      </c>
      <c r="D524" s="47">
        <v>20</v>
      </c>
      <c r="E524" s="61" t="s">
        <v>106</v>
      </c>
      <c r="F524" s="45">
        <v>30000000</v>
      </c>
      <c r="G524" s="45">
        <v>600000000</v>
      </c>
    </row>
    <row r="525" spans="1:7">
      <c r="A525" s="21" t="s">
        <v>1045</v>
      </c>
      <c r="B525" s="40" t="s">
        <v>522</v>
      </c>
      <c r="C525" s="41" t="s">
        <v>30</v>
      </c>
      <c r="D525" s="71"/>
      <c r="E525" s="60"/>
      <c r="F525" s="42"/>
      <c r="G525" s="42">
        <v>115600000</v>
      </c>
    </row>
    <row r="526" spans="1:7">
      <c r="A526" s="21" t="s">
        <v>195</v>
      </c>
      <c r="B526" s="40" t="s">
        <v>195</v>
      </c>
      <c r="C526" s="41" t="s">
        <v>1046</v>
      </c>
      <c r="D526" s="40">
        <v>0</v>
      </c>
      <c r="E526" s="60" t="s">
        <v>195</v>
      </c>
      <c r="F526" s="42">
        <v>0</v>
      </c>
      <c r="G526" s="42">
        <v>0</v>
      </c>
    </row>
    <row r="527" spans="1:7">
      <c r="A527" s="21" t="s">
        <v>1047</v>
      </c>
      <c r="B527" s="43" t="s">
        <v>195</v>
      </c>
      <c r="C527" s="44" t="s">
        <v>1048</v>
      </c>
      <c r="D527" s="47">
        <v>12</v>
      </c>
      <c r="E527" s="61" t="s">
        <v>32</v>
      </c>
      <c r="F527" s="45">
        <v>400000</v>
      </c>
      <c r="G527" s="45">
        <v>4800000</v>
      </c>
    </row>
    <row r="528" spans="1:7">
      <c r="A528" s="21" t="s">
        <v>1049</v>
      </c>
      <c r="B528" s="40" t="s">
        <v>195</v>
      </c>
      <c r="C528" s="41" t="s">
        <v>1050</v>
      </c>
      <c r="D528" s="40">
        <v>12</v>
      </c>
      <c r="E528" s="60" t="s">
        <v>32</v>
      </c>
      <c r="F528" s="42">
        <v>300000</v>
      </c>
      <c r="G528" s="42">
        <v>3600000</v>
      </c>
    </row>
    <row r="529" spans="1:7">
      <c r="A529" s="21" t="s">
        <v>1051</v>
      </c>
      <c r="B529" s="43" t="s">
        <v>195</v>
      </c>
      <c r="C529" s="44" t="s">
        <v>1052</v>
      </c>
      <c r="D529" s="47">
        <v>84</v>
      </c>
      <c r="E529" s="61" t="s">
        <v>32</v>
      </c>
      <c r="F529" s="45">
        <v>300000</v>
      </c>
      <c r="G529" s="45">
        <v>25200000</v>
      </c>
    </row>
    <row r="530" spans="1:7">
      <c r="A530" s="21" t="s">
        <v>1053</v>
      </c>
      <c r="B530" s="37" t="s">
        <v>195</v>
      </c>
      <c r="C530" s="38" t="s">
        <v>1048</v>
      </c>
      <c r="D530" s="37">
        <v>12</v>
      </c>
      <c r="E530" s="59" t="s">
        <v>32</v>
      </c>
      <c r="F530" s="39">
        <v>400000</v>
      </c>
      <c r="G530" s="39">
        <v>4800000</v>
      </c>
    </row>
    <row r="531" spans="1:7">
      <c r="A531" s="21" t="s">
        <v>1054</v>
      </c>
      <c r="B531" s="40" t="s">
        <v>195</v>
      </c>
      <c r="C531" s="41" t="s">
        <v>1050</v>
      </c>
      <c r="D531" s="40">
        <v>12</v>
      </c>
      <c r="E531" s="60" t="s">
        <v>32</v>
      </c>
      <c r="F531" s="42">
        <v>300000</v>
      </c>
      <c r="G531" s="42">
        <v>3600000</v>
      </c>
    </row>
    <row r="532" spans="1:7">
      <c r="A532" s="21" t="s">
        <v>1055</v>
      </c>
      <c r="B532" s="43" t="s">
        <v>195</v>
      </c>
      <c r="C532" s="44" t="s">
        <v>1056</v>
      </c>
      <c r="D532" s="47">
        <v>60</v>
      </c>
      <c r="E532" s="61" t="s">
        <v>32</v>
      </c>
      <c r="F532" s="45">
        <v>300000</v>
      </c>
      <c r="G532" s="45">
        <v>18000000</v>
      </c>
    </row>
    <row r="533" spans="1:7">
      <c r="A533" s="21" t="s">
        <v>195</v>
      </c>
      <c r="B533" s="40" t="s">
        <v>195</v>
      </c>
      <c r="C533" s="41" t="s">
        <v>1057</v>
      </c>
      <c r="D533" s="40">
        <v>0</v>
      </c>
      <c r="E533" s="60" t="s">
        <v>195</v>
      </c>
      <c r="F533" s="42">
        <v>0</v>
      </c>
      <c r="G533" s="42">
        <v>0</v>
      </c>
    </row>
    <row r="534" spans="1:7">
      <c r="A534" s="21" t="s">
        <v>1058</v>
      </c>
      <c r="B534" s="43" t="s">
        <v>195</v>
      </c>
      <c r="C534" s="44" t="s">
        <v>1059</v>
      </c>
      <c r="D534" s="47">
        <v>40</v>
      </c>
      <c r="E534" s="61" t="s">
        <v>1060</v>
      </c>
      <c r="F534" s="45">
        <v>400000</v>
      </c>
      <c r="G534" s="45">
        <v>16000000</v>
      </c>
    </row>
    <row r="535" spans="1:7">
      <c r="A535" s="7" t="s">
        <v>1061</v>
      </c>
      <c r="B535" s="25" t="s">
        <v>195</v>
      </c>
      <c r="C535" s="26" t="s">
        <v>1062</v>
      </c>
      <c r="D535" s="25">
        <v>120</v>
      </c>
      <c r="E535" s="55" t="s">
        <v>1060</v>
      </c>
      <c r="F535" s="27">
        <v>300000</v>
      </c>
      <c r="G535" s="27">
        <v>36000000</v>
      </c>
    </row>
    <row r="536" spans="1:7">
      <c r="A536" s="7" t="s">
        <v>1063</v>
      </c>
      <c r="B536" s="28" t="s">
        <v>195</v>
      </c>
      <c r="C536" s="29" t="s">
        <v>1064</v>
      </c>
      <c r="D536" s="46">
        <v>20</v>
      </c>
      <c r="E536" s="56" t="s">
        <v>1060</v>
      </c>
      <c r="F536" s="30">
        <v>180000</v>
      </c>
      <c r="G536" s="30">
        <v>3600000</v>
      </c>
    </row>
    <row r="537" spans="1:7" ht="25.5">
      <c r="A537" s="7" t="s">
        <v>195</v>
      </c>
      <c r="B537" s="31" t="s">
        <v>195</v>
      </c>
      <c r="C537" s="32" t="s">
        <v>1065</v>
      </c>
      <c r="D537" s="31">
        <v>0</v>
      </c>
      <c r="E537" s="57" t="s">
        <v>195</v>
      </c>
      <c r="F537" s="33">
        <v>0</v>
      </c>
      <c r="G537" s="33">
        <v>0</v>
      </c>
    </row>
    <row r="538" spans="1:7" ht="25.5">
      <c r="A538" s="7" t="s">
        <v>1066</v>
      </c>
      <c r="B538" s="40" t="s">
        <v>515</v>
      </c>
      <c r="C538" s="41" t="s">
        <v>642</v>
      </c>
      <c r="D538" s="40"/>
      <c r="E538" s="60"/>
      <c r="F538" s="42"/>
      <c r="G538" s="42">
        <v>30000000</v>
      </c>
    </row>
    <row r="539" spans="1:7" ht="25.5">
      <c r="A539" s="7" t="s">
        <v>1067</v>
      </c>
      <c r="B539" s="37" t="s">
        <v>195</v>
      </c>
      <c r="C539" s="38" t="s">
        <v>891</v>
      </c>
      <c r="D539" s="37">
        <v>12</v>
      </c>
      <c r="E539" s="59" t="s">
        <v>106</v>
      </c>
      <c r="F539" s="39">
        <v>300000</v>
      </c>
      <c r="G539" s="39">
        <v>3600000</v>
      </c>
    </row>
    <row r="540" spans="1:7" ht="25.5">
      <c r="A540" s="7" t="s">
        <v>1068</v>
      </c>
      <c r="B540" s="40" t="s">
        <v>195</v>
      </c>
      <c r="C540" s="41" t="s">
        <v>1069</v>
      </c>
      <c r="D540" s="40">
        <v>132</v>
      </c>
      <c r="E540" s="60" t="s">
        <v>106</v>
      </c>
      <c r="F540" s="42">
        <v>200000</v>
      </c>
      <c r="G540" s="42">
        <v>26400000</v>
      </c>
    </row>
    <row r="541" spans="1:7">
      <c r="A541" s="7" t="s">
        <v>1070</v>
      </c>
      <c r="B541" s="40" t="s">
        <v>537</v>
      </c>
      <c r="C541" s="41" t="s">
        <v>64</v>
      </c>
      <c r="D541" s="71"/>
      <c r="E541" s="60"/>
      <c r="F541" s="42"/>
      <c r="G541" s="42">
        <v>24000000</v>
      </c>
    </row>
    <row r="542" spans="1:7">
      <c r="A542" s="7" t="s">
        <v>1071</v>
      </c>
      <c r="B542" s="43" t="s">
        <v>195</v>
      </c>
      <c r="C542" s="44" t="s">
        <v>619</v>
      </c>
      <c r="D542" s="47">
        <v>12</v>
      </c>
      <c r="E542" s="61" t="s">
        <v>106</v>
      </c>
      <c r="F542" s="45">
        <v>1000000</v>
      </c>
      <c r="G542" s="45">
        <v>12000000</v>
      </c>
    </row>
    <row r="543" spans="1:7">
      <c r="A543" s="7" t="s">
        <v>1072</v>
      </c>
      <c r="B543" s="40" t="s">
        <v>195</v>
      </c>
      <c r="C543" s="41" t="s">
        <v>620</v>
      </c>
      <c r="D543" s="40">
        <v>12</v>
      </c>
      <c r="E543" s="60" t="s">
        <v>106</v>
      </c>
      <c r="F543" s="42">
        <v>1000000</v>
      </c>
      <c r="G543" s="42">
        <v>12000000</v>
      </c>
    </row>
    <row r="544" spans="1:7">
      <c r="A544" s="7" t="s">
        <v>1073</v>
      </c>
      <c r="B544" s="40" t="s">
        <v>516</v>
      </c>
      <c r="C544" s="41" t="s">
        <v>11</v>
      </c>
      <c r="D544" s="71"/>
      <c r="E544" s="60"/>
      <c r="F544" s="42"/>
      <c r="G544" s="42">
        <v>33400000</v>
      </c>
    </row>
    <row r="545" spans="1:7">
      <c r="A545" s="7" t="s">
        <v>1074</v>
      </c>
      <c r="B545" s="43" t="s">
        <v>195</v>
      </c>
      <c r="C545" s="44" t="s">
        <v>1075</v>
      </c>
      <c r="D545" s="47">
        <v>10</v>
      </c>
      <c r="E545" s="61" t="s">
        <v>54</v>
      </c>
      <c r="F545" s="45">
        <v>1400000</v>
      </c>
      <c r="G545" s="45">
        <v>14000000</v>
      </c>
    </row>
    <row r="546" spans="1:7">
      <c r="A546" s="7" t="s">
        <v>1076</v>
      </c>
      <c r="B546" s="40" t="s">
        <v>195</v>
      </c>
      <c r="C546" s="41" t="s">
        <v>1077</v>
      </c>
      <c r="D546" s="40">
        <v>5</v>
      </c>
      <c r="E546" s="60" t="s">
        <v>54</v>
      </c>
      <c r="F546" s="42">
        <v>1000000</v>
      </c>
      <c r="G546" s="42">
        <v>5000000</v>
      </c>
    </row>
    <row r="547" spans="1:7">
      <c r="A547" s="7" t="s">
        <v>1078</v>
      </c>
      <c r="B547" s="43" t="s">
        <v>195</v>
      </c>
      <c r="C547" s="44" t="s">
        <v>1079</v>
      </c>
      <c r="D547" s="47">
        <v>16</v>
      </c>
      <c r="E547" s="61" t="s">
        <v>54</v>
      </c>
      <c r="F547" s="45">
        <v>900000</v>
      </c>
      <c r="G547" s="45">
        <v>14400000</v>
      </c>
    </row>
    <row r="548" spans="1:7">
      <c r="A548" s="7" t="s">
        <v>1080</v>
      </c>
      <c r="B548" s="40" t="s">
        <v>517</v>
      </c>
      <c r="C548" s="41" t="s">
        <v>22</v>
      </c>
      <c r="D548" s="71"/>
      <c r="E548" s="60"/>
      <c r="F548" s="42"/>
      <c r="G548" s="42">
        <v>413400000</v>
      </c>
    </row>
    <row r="549" spans="1:7" ht="25.5">
      <c r="A549" s="7" t="s">
        <v>1081</v>
      </c>
      <c r="B549" s="40" t="s">
        <v>195</v>
      </c>
      <c r="C549" s="41" t="s">
        <v>1082</v>
      </c>
      <c r="D549" s="40">
        <v>2</v>
      </c>
      <c r="E549" s="60" t="s">
        <v>106</v>
      </c>
      <c r="F549" s="42">
        <v>86700000</v>
      </c>
      <c r="G549" s="42">
        <v>173400000</v>
      </c>
    </row>
    <row r="550" spans="1:7" ht="25.5">
      <c r="A550" s="7" t="s">
        <v>1083</v>
      </c>
      <c r="B550" s="43" t="s">
        <v>195</v>
      </c>
      <c r="C550" s="44" t="s">
        <v>1084</v>
      </c>
      <c r="D550" s="47">
        <v>12</v>
      </c>
      <c r="E550" s="61" t="s">
        <v>106</v>
      </c>
      <c r="F550" s="45">
        <v>20000000</v>
      </c>
      <c r="G550" s="45">
        <v>240000000</v>
      </c>
    </row>
    <row r="551" spans="1:7">
      <c r="A551" s="7" t="s">
        <v>1085</v>
      </c>
      <c r="B551" s="40" t="s">
        <v>513</v>
      </c>
      <c r="C551" s="41" t="s">
        <v>19</v>
      </c>
      <c r="D551" s="40"/>
      <c r="E551" s="60"/>
      <c r="F551" s="42"/>
      <c r="G551" s="42">
        <v>520000000</v>
      </c>
    </row>
    <row r="552" spans="1:7">
      <c r="A552" s="7" t="s">
        <v>1086</v>
      </c>
      <c r="B552" s="43" t="s">
        <v>195</v>
      </c>
      <c r="C552" s="44" t="s">
        <v>1087</v>
      </c>
      <c r="D552" s="47">
        <v>80</v>
      </c>
      <c r="E552" s="61" t="s">
        <v>25</v>
      </c>
      <c r="F552" s="45">
        <v>5000000</v>
      </c>
      <c r="G552" s="45">
        <v>400000000</v>
      </c>
    </row>
    <row r="553" spans="1:7" ht="25.5">
      <c r="A553" s="7" t="s">
        <v>1088</v>
      </c>
      <c r="B553" s="43" t="s">
        <v>195</v>
      </c>
      <c r="C553" s="44" t="s">
        <v>1089</v>
      </c>
      <c r="D553" s="47">
        <v>24</v>
      </c>
      <c r="E553" s="61" t="s">
        <v>25</v>
      </c>
      <c r="F553" s="45">
        <v>5000000</v>
      </c>
      <c r="G553" s="45">
        <v>120000000</v>
      </c>
    </row>
    <row r="554" spans="1:7">
      <c r="A554" s="7" t="s">
        <v>1090</v>
      </c>
      <c r="B554" s="40" t="s">
        <v>509</v>
      </c>
      <c r="C554" s="41" t="s">
        <v>14</v>
      </c>
      <c r="D554" s="40"/>
      <c r="E554" s="60"/>
      <c r="F554" s="42"/>
      <c r="G554" s="42">
        <v>163600000</v>
      </c>
    </row>
    <row r="555" spans="1:7">
      <c r="A555" s="7" t="s">
        <v>1091</v>
      </c>
      <c r="B555" s="40" t="s">
        <v>195</v>
      </c>
      <c r="C555" s="41" t="s">
        <v>1092</v>
      </c>
      <c r="D555" s="40">
        <v>50</v>
      </c>
      <c r="E555" s="60" t="s">
        <v>25</v>
      </c>
      <c r="F555" s="42">
        <v>200000</v>
      </c>
      <c r="G555" s="42">
        <v>10000000</v>
      </c>
    </row>
    <row r="556" spans="1:7">
      <c r="A556" s="7" t="s">
        <v>1093</v>
      </c>
      <c r="B556" s="43" t="s">
        <v>195</v>
      </c>
      <c r="C556" s="44" t="s">
        <v>1094</v>
      </c>
      <c r="D556" s="47">
        <v>249</v>
      </c>
      <c r="E556" s="61" t="s">
        <v>25</v>
      </c>
      <c r="F556" s="45">
        <v>250000</v>
      </c>
      <c r="G556" s="45">
        <v>62250000</v>
      </c>
    </row>
    <row r="557" spans="1:7">
      <c r="A557" s="7" t="s">
        <v>1095</v>
      </c>
      <c r="B557" s="43" t="s">
        <v>195</v>
      </c>
      <c r="C557" s="44" t="s">
        <v>1096</v>
      </c>
      <c r="D557" s="47">
        <v>100</v>
      </c>
      <c r="E557" s="61" t="s">
        <v>25</v>
      </c>
      <c r="F557" s="45">
        <v>300000</v>
      </c>
      <c r="G557" s="45">
        <v>30000000</v>
      </c>
    </row>
    <row r="558" spans="1:7">
      <c r="A558" s="7" t="s">
        <v>1097</v>
      </c>
      <c r="B558" s="40" t="s">
        <v>195</v>
      </c>
      <c r="C558" s="41" t="s">
        <v>1098</v>
      </c>
      <c r="D558" s="40">
        <v>269</v>
      </c>
      <c r="E558" s="60" t="s">
        <v>73</v>
      </c>
      <c r="F558" s="42">
        <v>150000</v>
      </c>
      <c r="G558" s="42">
        <v>40350000</v>
      </c>
    </row>
    <row r="559" spans="1:7">
      <c r="A559" s="7" t="s">
        <v>1099</v>
      </c>
      <c r="B559" s="43" t="s">
        <v>195</v>
      </c>
      <c r="C559" s="44" t="s">
        <v>1100</v>
      </c>
      <c r="D559" s="47">
        <v>100</v>
      </c>
      <c r="E559" s="61" t="s">
        <v>73</v>
      </c>
      <c r="F559" s="45">
        <v>210000</v>
      </c>
      <c r="G559" s="45">
        <v>21000000</v>
      </c>
    </row>
    <row r="560" spans="1:7" ht="25.5">
      <c r="A560" s="7" t="s">
        <v>1101</v>
      </c>
      <c r="B560" s="34" t="s">
        <v>1102</v>
      </c>
      <c r="C560" s="35" t="s">
        <v>1103</v>
      </c>
      <c r="D560" s="69"/>
      <c r="E560" s="58"/>
      <c r="F560" s="36"/>
      <c r="G560" s="36">
        <v>100000000</v>
      </c>
    </row>
    <row r="561" spans="1:7" ht="25.5">
      <c r="A561" s="7" t="s">
        <v>1104</v>
      </c>
      <c r="B561" s="37" t="s">
        <v>8</v>
      </c>
      <c r="C561" s="38" t="s">
        <v>1103</v>
      </c>
      <c r="D561" s="37"/>
      <c r="E561" s="59"/>
      <c r="F561" s="39"/>
      <c r="G561" s="39">
        <v>100000000</v>
      </c>
    </row>
    <row r="562" spans="1:7">
      <c r="A562" s="7" t="s">
        <v>1105</v>
      </c>
      <c r="B562" s="40" t="s">
        <v>537</v>
      </c>
      <c r="C562" s="41" t="s">
        <v>64</v>
      </c>
      <c r="D562" s="71"/>
      <c r="E562" s="60"/>
      <c r="F562" s="42"/>
      <c r="G562" s="42">
        <v>4200000</v>
      </c>
    </row>
    <row r="563" spans="1:7">
      <c r="A563" s="7" t="s">
        <v>1106</v>
      </c>
      <c r="B563" s="43" t="s">
        <v>195</v>
      </c>
      <c r="C563" s="44" t="s">
        <v>619</v>
      </c>
      <c r="D563" s="47">
        <v>2</v>
      </c>
      <c r="E563" s="61" t="s">
        <v>106</v>
      </c>
      <c r="F563" s="45">
        <v>1000000</v>
      </c>
      <c r="G563" s="45">
        <v>2000000</v>
      </c>
    </row>
    <row r="564" spans="1:7">
      <c r="A564" s="7" t="s">
        <v>1107</v>
      </c>
      <c r="B564" s="40" t="s">
        <v>195</v>
      </c>
      <c r="C564" s="41" t="s">
        <v>620</v>
      </c>
      <c r="D564" s="40">
        <v>2</v>
      </c>
      <c r="E564" s="60" t="s">
        <v>106</v>
      </c>
      <c r="F564" s="42">
        <v>1000000</v>
      </c>
      <c r="G564" s="42">
        <v>2000000</v>
      </c>
    </row>
    <row r="565" spans="1:7">
      <c r="A565" s="7" t="s">
        <v>1108</v>
      </c>
      <c r="B565" s="43" t="s">
        <v>195</v>
      </c>
      <c r="C565" s="44" t="s">
        <v>1109</v>
      </c>
      <c r="D565" s="47">
        <v>2</v>
      </c>
      <c r="E565" s="61" t="s">
        <v>106</v>
      </c>
      <c r="F565" s="45">
        <v>100000</v>
      </c>
      <c r="G565" s="45">
        <v>200000</v>
      </c>
    </row>
    <row r="566" spans="1:7">
      <c r="A566" s="7" t="s">
        <v>1110</v>
      </c>
      <c r="B566" s="40" t="s">
        <v>516</v>
      </c>
      <c r="C566" s="41" t="s">
        <v>11</v>
      </c>
      <c r="D566" s="40"/>
      <c r="E566" s="60"/>
      <c r="F566" s="42"/>
      <c r="G566" s="42">
        <v>20800000</v>
      </c>
    </row>
    <row r="567" spans="1:7">
      <c r="A567" s="7" t="s">
        <v>1111</v>
      </c>
      <c r="B567" s="43" t="s">
        <v>195</v>
      </c>
      <c r="C567" s="44" t="s">
        <v>1112</v>
      </c>
      <c r="D567" s="47">
        <v>12</v>
      </c>
      <c r="E567" s="61" t="s">
        <v>25</v>
      </c>
      <c r="F567" s="45">
        <v>1400000</v>
      </c>
      <c r="G567" s="45">
        <v>16800000</v>
      </c>
    </row>
    <row r="568" spans="1:7">
      <c r="A568" s="7" t="s">
        <v>1113</v>
      </c>
      <c r="B568" s="43" t="s">
        <v>195</v>
      </c>
      <c r="C568" s="44" t="s">
        <v>1114</v>
      </c>
      <c r="D568" s="47">
        <v>4</v>
      </c>
      <c r="E568" s="61" t="s">
        <v>25</v>
      </c>
      <c r="F568" s="45">
        <v>1000000</v>
      </c>
      <c r="G568" s="45">
        <v>4000000</v>
      </c>
    </row>
    <row r="569" spans="1:7">
      <c r="A569" s="7" t="s">
        <v>1115</v>
      </c>
      <c r="B569" s="40" t="s">
        <v>513</v>
      </c>
      <c r="C569" s="41" t="s">
        <v>19</v>
      </c>
      <c r="D569" s="40"/>
      <c r="E569" s="60"/>
      <c r="F569" s="42"/>
      <c r="G569" s="42">
        <v>75000000</v>
      </c>
    </row>
    <row r="570" spans="1:7" ht="25.5">
      <c r="A570" s="7" t="s">
        <v>1116</v>
      </c>
      <c r="B570" s="40" t="s">
        <v>195</v>
      </c>
      <c r="C570" s="41" t="s">
        <v>1117</v>
      </c>
      <c r="D570" s="40">
        <v>15</v>
      </c>
      <c r="E570" s="60" t="s">
        <v>25</v>
      </c>
      <c r="F570" s="42">
        <v>5000000</v>
      </c>
      <c r="G570" s="42">
        <v>75000000</v>
      </c>
    </row>
    <row r="571" spans="1:7" ht="25.5">
      <c r="A571" s="7" t="s">
        <v>1118</v>
      </c>
      <c r="B571" s="34" t="s">
        <v>1119</v>
      </c>
      <c r="C571" s="35" t="s">
        <v>1120</v>
      </c>
      <c r="D571" s="69"/>
      <c r="E571" s="58"/>
      <c r="F571" s="36"/>
      <c r="G571" s="36">
        <v>200000000</v>
      </c>
    </row>
    <row r="572" spans="1:7" ht="25.5">
      <c r="A572" s="7" t="s">
        <v>1121</v>
      </c>
      <c r="B572" s="37" t="s">
        <v>8</v>
      </c>
      <c r="C572" s="38" t="s">
        <v>1122</v>
      </c>
      <c r="D572" s="37"/>
      <c r="E572" s="59"/>
      <c r="F572" s="39"/>
      <c r="G572" s="39">
        <v>200000000</v>
      </c>
    </row>
    <row r="573" spans="1:7">
      <c r="A573" s="7" t="s">
        <v>1123</v>
      </c>
      <c r="B573" s="40" t="s">
        <v>537</v>
      </c>
      <c r="C573" s="41" t="s">
        <v>64</v>
      </c>
      <c r="D573" s="71"/>
      <c r="E573" s="60"/>
      <c r="F573" s="42"/>
      <c r="G573" s="42">
        <v>20000000</v>
      </c>
    </row>
    <row r="574" spans="1:7">
      <c r="A574" s="7" t="s">
        <v>1124</v>
      </c>
      <c r="B574" s="37" t="s">
        <v>195</v>
      </c>
      <c r="C574" s="38" t="s">
        <v>619</v>
      </c>
      <c r="D574" s="37">
        <v>10</v>
      </c>
      <c r="E574" s="59" t="s">
        <v>106</v>
      </c>
      <c r="F574" s="39">
        <v>1000000</v>
      </c>
      <c r="G574" s="39">
        <v>10000000</v>
      </c>
    </row>
    <row r="575" spans="1:7">
      <c r="A575" s="7" t="s">
        <v>1125</v>
      </c>
      <c r="B575" s="40" t="s">
        <v>195</v>
      </c>
      <c r="C575" s="41" t="s">
        <v>859</v>
      </c>
      <c r="D575" s="40">
        <v>10</v>
      </c>
      <c r="E575" s="60" t="s">
        <v>106</v>
      </c>
      <c r="F575" s="42">
        <v>1000000</v>
      </c>
      <c r="G575" s="42">
        <v>10000000</v>
      </c>
    </row>
    <row r="576" spans="1:7">
      <c r="A576" s="7" t="s">
        <v>1126</v>
      </c>
      <c r="B576" s="40" t="s">
        <v>513</v>
      </c>
      <c r="C576" s="41" t="s">
        <v>19</v>
      </c>
      <c r="D576" s="71"/>
      <c r="E576" s="60"/>
      <c r="F576" s="42"/>
      <c r="G576" s="42">
        <v>180000000</v>
      </c>
    </row>
    <row r="577" spans="1:7" ht="25.5">
      <c r="A577" s="7" t="s">
        <v>1127</v>
      </c>
      <c r="B577" s="31" t="s">
        <v>195</v>
      </c>
      <c r="C577" s="32" t="s">
        <v>1128</v>
      </c>
      <c r="D577" s="31">
        <v>26</v>
      </c>
      <c r="E577" s="57" t="s">
        <v>25</v>
      </c>
      <c r="F577" s="33">
        <v>5000000</v>
      </c>
      <c r="G577" s="33">
        <v>130000000</v>
      </c>
    </row>
    <row r="578" spans="1:7" ht="25.5">
      <c r="A578" s="7" t="s">
        <v>1129</v>
      </c>
      <c r="B578" s="34" t="s">
        <v>195</v>
      </c>
      <c r="C578" s="35" t="s">
        <v>1130</v>
      </c>
      <c r="D578" s="34">
        <v>10</v>
      </c>
      <c r="E578" s="58" t="s">
        <v>25</v>
      </c>
      <c r="F578" s="36">
        <v>5000000</v>
      </c>
      <c r="G578" s="36">
        <v>50000000</v>
      </c>
    </row>
    <row r="579" spans="1:7" ht="25.5">
      <c r="A579" s="7" t="s">
        <v>1131</v>
      </c>
      <c r="B579" s="34" t="s">
        <v>1132</v>
      </c>
      <c r="C579" s="35" t="s">
        <v>1133</v>
      </c>
      <c r="D579" s="34"/>
      <c r="E579" s="58"/>
      <c r="F579" s="36"/>
      <c r="G579" s="36">
        <v>3000000000</v>
      </c>
    </row>
    <row r="580" spans="1:7" ht="25.5">
      <c r="A580" s="7" t="s">
        <v>1134</v>
      </c>
      <c r="B580" s="37" t="s">
        <v>8</v>
      </c>
      <c r="C580" s="38" t="s">
        <v>72</v>
      </c>
      <c r="D580" s="37"/>
      <c r="E580" s="59"/>
      <c r="F580" s="39"/>
      <c r="G580" s="39">
        <v>2463500000</v>
      </c>
    </row>
    <row r="581" spans="1:7">
      <c r="A581" s="7" t="s">
        <v>1135</v>
      </c>
      <c r="B581" s="40" t="s">
        <v>503</v>
      </c>
      <c r="C581" s="41" t="s">
        <v>7</v>
      </c>
      <c r="D581" s="71"/>
      <c r="E581" s="60"/>
      <c r="F581" s="42"/>
      <c r="G581" s="42">
        <v>35700000</v>
      </c>
    </row>
    <row r="582" spans="1:7" ht="25.5">
      <c r="A582" s="7" t="s">
        <v>1136</v>
      </c>
      <c r="B582" s="43" t="s">
        <v>195</v>
      </c>
      <c r="C582" s="44" t="s">
        <v>1137</v>
      </c>
      <c r="D582" s="47">
        <v>200</v>
      </c>
      <c r="E582" s="61" t="s">
        <v>853</v>
      </c>
      <c r="F582" s="45">
        <v>178000</v>
      </c>
      <c r="G582" s="45">
        <v>35700000</v>
      </c>
    </row>
    <row r="583" spans="1:7">
      <c r="A583" s="7" t="s">
        <v>1138</v>
      </c>
      <c r="B583" s="40" t="s">
        <v>537</v>
      </c>
      <c r="C583" s="41" t="s">
        <v>64</v>
      </c>
      <c r="D583" s="40"/>
      <c r="E583" s="60"/>
      <c r="F583" s="42"/>
      <c r="G583" s="42">
        <v>24000000</v>
      </c>
    </row>
    <row r="584" spans="1:7">
      <c r="A584" s="7" t="s">
        <v>1139</v>
      </c>
      <c r="B584" s="43" t="s">
        <v>195</v>
      </c>
      <c r="C584" s="44" t="s">
        <v>619</v>
      </c>
      <c r="D584" s="47">
        <v>12</v>
      </c>
      <c r="E584" s="61" t="s">
        <v>106</v>
      </c>
      <c r="F584" s="45">
        <v>1000000</v>
      </c>
      <c r="G584" s="45">
        <v>12000000</v>
      </c>
    </row>
    <row r="585" spans="1:7">
      <c r="A585" s="7" t="s">
        <v>1140</v>
      </c>
      <c r="B585" s="43" t="s">
        <v>195</v>
      </c>
      <c r="C585" s="44" t="s">
        <v>620</v>
      </c>
      <c r="D585" s="47">
        <v>12</v>
      </c>
      <c r="E585" s="61" t="s">
        <v>106</v>
      </c>
      <c r="F585" s="45">
        <v>1000000</v>
      </c>
      <c r="G585" s="45">
        <v>12000000</v>
      </c>
    </row>
    <row r="586" spans="1:7">
      <c r="A586" s="7" t="s">
        <v>1141</v>
      </c>
      <c r="B586" s="40" t="s">
        <v>513</v>
      </c>
      <c r="C586" s="41" t="s">
        <v>19</v>
      </c>
      <c r="D586" s="40"/>
      <c r="E586" s="60"/>
      <c r="F586" s="42"/>
      <c r="G586" s="42">
        <v>349800000</v>
      </c>
    </row>
    <row r="587" spans="1:7" ht="25.5">
      <c r="A587" s="7" t="s">
        <v>1142</v>
      </c>
      <c r="B587" s="43" t="s">
        <v>195</v>
      </c>
      <c r="C587" s="44" t="s">
        <v>1143</v>
      </c>
      <c r="D587" s="47">
        <v>60</v>
      </c>
      <c r="E587" s="61" t="s">
        <v>25</v>
      </c>
      <c r="F587" s="45">
        <v>5830000</v>
      </c>
      <c r="G587" s="45">
        <v>349800000</v>
      </c>
    </row>
    <row r="588" spans="1:7" ht="15">
      <c r="A588" s="7" t="s">
        <v>1144</v>
      </c>
      <c r="B588" s="78" t="s">
        <v>507</v>
      </c>
      <c r="C588" s="79" t="s">
        <v>13</v>
      </c>
      <c r="D588" s="78"/>
      <c r="E588" s="80"/>
      <c r="F588" s="81"/>
      <c r="G588" s="81">
        <v>54000000</v>
      </c>
    </row>
    <row r="589" spans="1:7" s="63" customFormat="1" ht="14.25" customHeight="1">
      <c r="A589" s="62" t="s">
        <v>1145</v>
      </c>
      <c r="B589" s="82" t="s">
        <v>195</v>
      </c>
      <c r="C589" s="82" t="s">
        <v>1146</v>
      </c>
      <c r="D589" s="82">
        <v>150</v>
      </c>
      <c r="E589" s="83" t="s">
        <v>73</v>
      </c>
      <c r="F589" s="82">
        <v>210000</v>
      </c>
      <c r="G589" s="82">
        <v>31500000</v>
      </c>
    </row>
    <row r="590" spans="1:7" s="63" customFormat="1" ht="14.25" customHeight="1">
      <c r="A590" s="62" t="s">
        <v>1147</v>
      </c>
      <c r="B590" s="82" t="s">
        <v>195</v>
      </c>
      <c r="C590" s="82" t="s">
        <v>1148</v>
      </c>
      <c r="D590" s="82">
        <v>150</v>
      </c>
      <c r="E590" s="84" t="s">
        <v>25</v>
      </c>
      <c r="F590" s="82">
        <v>150000</v>
      </c>
      <c r="G590" s="82">
        <v>22500000</v>
      </c>
    </row>
    <row r="591" spans="1:7" s="63" customFormat="1" ht="14.25" customHeight="1">
      <c r="A591" s="62" t="s">
        <v>1149</v>
      </c>
      <c r="B591" s="85" t="s">
        <v>1150</v>
      </c>
      <c r="C591" s="85" t="s">
        <v>1151</v>
      </c>
      <c r="D591" s="85"/>
      <c r="E591" s="85"/>
      <c r="F591" s="85"/>
      <c r="G591" s="85">
        <v>2000000000</v>
      </c>
    </row>
    <row r="592" spans="1:7" s="63" customFormat="1" ht="14.25" customHeight="1">
      <c r="A592" s="64" t="s">
        <v>1152</v>
      </c>
      <c r="B592" s="86" t="s">
        <v>195</v>
      </c>
      <c r="C592" s="86" t="s">
        <v>1153</v>
      </c>
      <c r="D592" s="86">
        <v>32</v>
      </c>
      <c r="E592" s="86" t="s">
        <v>25</v>
      </c>
      <c r="F592" s="86">
        <v>62500000</v>
      </c>
      <c r="G592" s="86">
        <v>2000000000</v>
      </c>
    </row>
    <row r="593" spans="1:7" s="63" customFormat="1" ht="14.25" customHeight="1">
      <c r="A593" s="64" t="s">
        <v>1154</v>
      </c>
      <c r="B593" s="87" t="s">
        <v>511</v>
      </c>
      <c r="C593" s="87" t="s">
        <v>74</v>
      </c>
      <c r="D593" s="87"/>
      <c r="E593" s="88"/>
      <c r="F593" s="87"/>
      <c r="G593" s="87">
        <v>536500000</v>
      </c>
    </row>
    <row r="594" spans="1:7" ht="15">
      <c r="A594" s="7" t="s">
        <v>1155</v>
      </c>
      <c r="B594" s="78" t="s">
        <v>503</v>
      </c>
      <c r="C594" s="79" t="s">
        <v>7</v>
      </c>
      <c r="D594" s="78"/>
      <c r="E594" s="80"/>
      <c r="F594" s="81"/>
      <c r="G594" s="81">
        <v>35700000</v>
      </c>
    </row>
    <row r="595" spans="1:7" ht="28.5">
      <c r="A595" s="7" t="s">
        <v>1156</v>
      </c>
      <c r="B595" s="89" t="s">
        <v>195</v>
      </c>
      <c r="C595" s="90" t="s">
        <v>1157</v>
      </c>
      <c r="D595" s="89">
        <v>200</v>
      </c>
      <c r="E595" s="91" t="s">
        <v>180</v>
      </c>
      <c r="F595" s="92">
        <v>178000</v>
      </c>
      <c r="G595" s="92">
        <v>35700000</v>
      </c>
    </row>
    <row r="596" spans="1:7" ht="30">
      <c r="A596" s="7" t="s">
        <v>1158</v>
      </c>
      <c r="B596" s="78" t="s">
        <v>515</v>
      </c>
      <c r="C596" s="79" t="s">
        <v>642</v>
      </c>
      <c r="D596" s="78"/>
      <c r="E596" s="80"/>
      <c r="F596" s="81"/>
      <c r="G596" s="81">
        <v>14400000</v>
      </c>
    </row>
    <row r="597" spans="1:7">
      <c r="A597" s="7" t="s">
        <v>1159</v>
      </c>
      <c r="B597" s="89" t="s">
        <v>195</v>
      </c>
      <c r="C597" s="90" t="s">
        <v>1160</v>
      </c>
      <c r="D597" s="89">
        <v>72</v>
      </c>
      <c r="E597" s="91" t="s">
        <v>32</v>
      </c>
      <c r="F597" s="92">
        <v>200000</v>
      </c>
      <c r="G597" s="92">
        <v>14400000</v>
      </c>
    </row>
    <row r="598" spans="1:7" ht="15">
      <c r="A598" s="7" t="s">
        <v>1161</v>
      </c>
      <c r="B598" s="78" t="s">
        <v>537</v>
      </c>
      <c r="C598" s="79" t="s">
        <v>64</v>
      </c>
      <c r="D598" s="78"/>
      <c r="E598" s="80"/>
      <c r="F598" s="81"/>
      <c r="G598" s="81">
        <v>24000000</v>
      </c>
    </row>
    <row r="599" spans="1:7">
      <c r="A599" s="7" t="s">
        <v>1162</v>
      </c>
      <c r="B599" s="89" t="s">
        <v>195</v>
      </c>
      <c r="C599" s="90" t="s">
        <v>619</v>
      </c>
      <c r="D599" s="89">
        <v>12</v>
      </c>
      <c r="E599" s="91" t="s">
        <v>106</v>
      </c>
      <c r="F599" s="92">
        <v>1000000</v>
      </c>
      <c r="G599" s="92">
        <v>12000000</v>
      </c>
    </row>
    <row r="600" spans="1:7">
      <c r="A600" s="7" t="s">
        <v>1163</v>
      </c>
      <c r="B600" s="89" t="s">
        <v>195</v>
      </c>
      <c r="C600" s="90" t="s">
        <v>620</v>
      </c>
      <c r="D600" s="89">
        <v>12</v>
      </c>
      <c r="E600" s="91" t="s">
        <v>106</v>
      </c>
      <c r="F600" s="92">
        <v>1000000</v>
      </c>
      <c r="G600" s="92">
        <v>12000000</v>
      </c>
    </row>
    <row r="601" spans="1:7" ht="15">
      <c r="A601" s="7" t="s">
        <v>1164</v>
      </c>
      <c r="B601" s="78" t="s">
        <v>516</v>
      </c>
      <c r="C601" s="79" t="s">
        <v>11</v>
      </c>
      <c r="D601" s="78"/>
      <c r="E601" s="80"/>
      <c r="F601" s="81"/>
      <c r="G601" s="81">
        <v>37600000</v>
      </c>
    </row>
    <row r="602" spans="1:7">
      <c r="A602" s="7" t="s">
        <v>1165</v>
      </c>
      <c r="B602" s="89" t="s">
        <v>195</v>
      </c>
      <c r="C602" s="90" t="s">
        <v>1166</v>
      </c>
      <c r="D602" s="89">
        <v>8</v>
      </c>
      <c r="E602" s="91" t="s">
        <v>54</v>
      </c>
      <c r="F602" s="92">
        <v>1400000</v>
      </c>
      <c r="G602" s="92">
        <v>11200000</v>
      </c>
    </row>
    <row r="603" spans="1:7">
      <c r="A603" s="7" t="s">
        <v>1167</v>
      </c>
      <c r="B603" s="89" t="s">
        <v>195</v>
      </c>
      <c r="C603" s="90" t="s">
        <v>1168</v>
      </c>
      <c r="D603" s="89">
        <v>12</v>
      </c>
      <c r="E603" s="91" t="s">
        <v>54</v>
      </c>
      <c r="F603" s="92">
        <v>1000000</v>
      </c>
      <c r="G603" s="92">
        <v>12000000</v>
      </c>
    </row>
    <row r="604" spans="1:7">
      <c r="A604" s="7" t="s">
        <v>1169</v>
      </c>
      <c r="B604" s="89" t="s">
        <v>195</v>
      </c>
      <c r="C604" s="90" t="s">
        <v>1170</v>
      </c>
      <c r="D604" s="89">
        <v>16</v>
      </c>
      <c r="E604" s="91" t="s">
        <v>54</v>
      </c>
      <c r="F604" s="92">
        <v>900000</v>
      </c>
      <c r="G604" s="92">
        <v>14400000</v>
      </c>
    </row>
    <row r="605" spans="1:7" ht="15">
      <c r="A605" s="7" t="s">
        <v>1171</v>
      </c>
      <c r="B605" s="78" t="s">
        <v>518</v>
      </c>
      <c r="C605" s="79" t="s">
        <v>24</v>
      </c>
      <c r="D605" s="78"/>
      <c r="E605" s="80"/>
      <c r="F605" s="81"/>
      <c r="G605" s="81">
        <v>21000000</v>
      </c>
    </row>
    <row r="606" spans="1:7">
      <c r="A606" s="7" t="s">
        <v>1172</v>
      </c>
      <c r="B606" s="89" t="s">
        <v>195</v>
      </c>
      <c r="C606" s="90" t="s">
        <v>1173</v>
      </c>
      <c r="D606" s="89">
        <v>30</v>
      </c>
      <c r="E606" s="91" t="s">
        <v>25</v>
      </c>
      <c r="F606" s="92">
        <v>100000</v>
      </c>
      <c r="G606" s="92">
        <v>3000000</v>
      </c>
    </row>
    <row r="607" spans="1:7">
      <c r="A607" s="7" t="s">
        <v>1174</v>
      </c>
      <c r="B607" s="89" t="s">
        <v>195</v>
      </c>
      <c r="C607" s="90" t="s">
        <v>1175</v>
      </c>
      <c r="D607" s="89">
        <v>30</v>
      </c>
      <c r="E607" s="91" t="s">
        <v>25</v>
      </c>
      <c r="F607" s="92">
        <v>600000</v>
      </c>
      <c r="G607" s="92">
        <v>18000000</v>
      </c>
    </row>
    <row r="608" spans="1:7" ht="15">
      <c r="A608" s="7" t="s">
        <v>1176</v>
      </c>
      <c r="B608" s="78" t="s">
        <v>513</v>
      </c>
      <c r="C608" s="79" t="s">
        <v>19</v>
      </c>
      <c r="D608" s="78"/>
      <c r="E608" s="80"/>
      <c r="F608" s="81"/>
      <c r="G608" s="81">
        <v>349800000</v>
      </c>
    </row>
    <row r="609" spans="1:7" ht="28.5">
      <c r="A609" s="7" t="s">
        <v>1177</v>
      </c>
      <c r="B609" s="89" t="s">
        <v>195</v>
      </c>
      <c r="C609" s="90" t="s">
        <v>1178</v>
      </c>
      <c r="D609" s="89">
        <v>60</v>
      </c>
      <c r="E609" s="91" t="s">
        <v>25</v>
      </c>
      <c r="F609" s="92">
        <v>5830000</v>
      </c>
      <c r="G609" s="92">
        <v>349800000</v>
      </c>
    </row>
    <row r="610" spans="1:7" ht="15">
      <c r="A610" s="7" t="s">
        <v>1179</v>
      </c>
      <c r="B610" s="78" t="s">
        <v>507</v>
      </c>
      <c r="C610" s="79" t="s">
        <v>13</v>
      </c>
      <c r="D610" s="78"/>
      <c r="E610" s="80"/>
      <c r="F610" s="81"/>
      <c r="G610" s="81">
        <v>54000000</v>
      </c>
    </row>
    <row r="611" spans="1:7" ht="28.5">
      <c r="A611" s="7" t="s">
        <v>1180</v>
      </c>
      <c r="B611" s="89" t="s">
        <v>195</v>
      </c>
      <c r="C611" s="90" t="s">
        <v>1181</v>
      </c>
      <c r="D611" s="89">
        <v>150</v>
      </c>
      <c r="E611" s="91" t="s">
        <v>73</v>
      </c>
      <c r="F611" s="92">
        <v>210000</v>
      </c>
      <c r="G611" s="92">
        <v>31500000</v>
      </c>
    </row>
    <row r="612" spans="1:7">
      <c r="A612" s="7" t="s">
        <v>1182</v>
      </c>
      <c r="B612" s="89" t="s">
        <v>195</v>
      </c>
      <c r="C612" s="90" t="s">
        <v>1183</v>
      </c>
      <c r="D612" s="89">
        <v>150</v>
      </c>
      <c r="E612" s="91" t="s">
        <v>25</v>
      </c>
      <c r="F612" s="92">
        <v>150000</v>
      </c>
      <c r="G612" s="92">
        <v>22500000</v>
      </c>
    </row>
    <row r="613" spans="1:7" ht="30">
      <c r="A613" s="7" t="s">
        <v>1184</v>
      </c>
      <c r="B613" s="93" t="s">
        <v>1185</v>
      </c>
      <c r="C613" s="94" t="s">
        <v>1186</v>
      </c>
      <c r="D613" s="93"/>
      <c r="E613" s="95"/>
      <c r="F613" s="96"/>
      <c r="G613" s="96">
        <v>153780000</v>
      </c>
    </row>
    <row r="614" spans="1:7" ht="15">
      <c r="A614" s="7" t="s">
        <v>1187</v>
      </c>
      <c r="B614" s="97" t="s">
        <v>8</v>
      </c>
      <c r="C614" s="98" t="s">
        <v>75</v>
      </c>
      <c r="D614" s="97"/>
      <c r="E614" s="99"/>
      <c r="F614" s="100"/>
      <c r="G614" s="100">
        <v>153780000</v>
      </c>
    </row>
    <row r="615" spans="1:7" ht="15">
      <c r="A615" s="7" t="s">
        <v>1188</v>
      </c>
      <c r="B615" s="78" t="s">
        <v>503</v>
      </c>
      <c r="C615" s="79" t="s">
        <v>7</v>
      </c>
      <c r="D615" s="78"/>
      <c r="E615" s="80"/>
      <c r="F615" s="81"/>
      <c r="G615" s="81">
        <v>14400000</v>
      </c>
    </row>
    <row r="616" spans="1:7">
      <c r="A616" s="7" t="s">
        <v>1189</v>
      </c>
      <c r="B616" s="89" t="s">
        <v>195</v>
      </c>
      <c r="C616" s="90" t="s">
        <v>617</v>
      </c>
      <c r="D616" s="89">
        <v>6</v>
      </c>
      <c r="E616" s="91" t="s">
        <v>52</v>
      </c>
      <c r="F616" s="92">
        <v>1000000</v>
      </c>
      <c r="G616" s="92">
        <v>6000000</v>
      </c>
    </row>
    <row r="617" spans="1:7">
      <c r="A617" s="7" t="s">
        <v>1190</v>
      </c>
      <c r="B617" s="89" t="s">
        <v>195</v>
      </c>
      <c r="C617" s="90" t="s">
        <v>782</v>
      </c>
      <c r="D617" s="89">
        <v>120</v>
      </c>
      <c r="E617" s="91" t="s">
        <v>25</v>
      </c>
      <c r="F617" s="92">
        <v>70000</v>
      </c>
      <c r="G617" s="92">
        <v>8400000</v>
      </c>
    </row>
    <row r="618" spans="1:7" ht="15">
      <c r="A618" s="7" t="s">
        <v>1191</v>
      </c>
      <c r="B618" s="78" t="s">
        <v>533</v>
      </c>
      <c r="C618" s="79" t="s">
        <v>53</v>
      </c>
      <c r="D618" s="78"/>
      <c r="E618" s="80"/>
      <c r="F618" s="81"/>
      <c r="G618" s="81">
        <v>8000000</v>
      </c>
    </row>
    <row r="619" spans="1:7">
      <c r="A619" s="7" t="s">
        <v>1192</v>
      </c>
      <c r="B619" s="89" t="s">
        <v>195</v>
      </c>
      <c r="C619" s="90" t="s">
        <v>1193</v>
      </c>
      <c r="D619" s="89">
        <v>1</v>
      </c>
      <c r="E619" s="91" t="s">
        <v>106</v>
      </c>
      <c r="F619" s="92">
        <v>8000000</v>
      </c>
      <c r="G619" s="92">
        <v>8000000</v>
      </c>
    </row>
    <row r="620" spans="1:7" ht="15">
      <c r="A620" s="7" t="s">
        <v>1194</v>
      </c>
      <c r="B620" s="78" t="s">
        <v>537</v>
      </c>
      <c r="C620" s="79" t="s">
        <v>64</v>
      </c>
      <c r="D620" s="78"/>
      <c r="E620" s="80"/>
      <c r="F620" s="81"/>
      <c r="G620" s="81">
        <v>12000000</v>
      </c>
    </row>
    <row r="621" spans="1:7">
      <c r="A621" s="7" t="s">
        <v>1195</v>
      </c>
      <c r="B621" s="89" t="s">
        <v>195</v>
      </c>
      <c r="C621" s="90" t="s">
        <v>619</v>
      </c>
      <c r="D621" s="89">
        <v>6</v>
      </c>
      <c r="E621" s="91" t="s">
        <v>52</v>
      </c>
      <c r="F621" s="92">
        <v>1000000</v>
      </c>
      <c r="G621" s="92">
        <v>6000000</v>
      </c>
    </row>
    <row r="622" spans="1:7">
      <c r="A622" s="7" t="s">
        <v>1196</v>
      </c>
      <c r="B622" s="89" t="s">
        <v>195</v>
      </c>
      <c r="C622" s="90" t="s">
        <v>1197</v>
      </c>
      <c r="D622" s="89">
        <v>6</v>
      </c>
      <c r="E622" s="91" t="s">
        <v>52</v>
      </c>
      <c r="F622" s="92">
        <v>1000000</v>
      </c>
      <c r="G622" s="92">
        <v>6000000</v>
      </c>
    </row>
    <row r="623" spans="1:7" ht="15">
      <c r="A623" s="7" t="s">
        <v>1198</v>
      </c>
      <c r="B623" s="78" t="s">
        <v>516</v>
      </c>
      <c r="C623" s="79" t="s">
        <v>11</v>
      </c>
      <c r="D623" s="78"/>
      <c r="E623" s="80"/>
      <c r="F623" s="81"/>
      <c r="G623" s="81">
        <v>4000000</v>
      </c>
    </row>
    <row r="624" spans="1:7">
      <c r="A624" s="7" t="s">
        <v>1199</v>
      </c>
      <c r="B624" s="89" t="s">
        <v>195</v>
      </c>
      <c r="C624" s="90" t="s">
        <v>774</v>
      </c>
      <c r="D624" s="89">
        <v>4</v>
      </c>
      <c r="E624" s="91" t="s">
        <v>54</v>
      </c>
      <c r="F624" s="92">
        <v>1000000</v>
      </c>
      <c r="G624" s="92">
        <v>4000000</v>
      </c>
    </row>
    <row r="625" spans="1:7" ht="15">
      <c r="A625" s="7" t="s">
        <v>1200</v>
      </c>
      <c r="B625" s="78" t="s">
        <v>513</v>
      </c>
      <c r="C625" s="79" t="s">
        <v>19</v>
      </c>
      <c r="D625" s="78"/>
      <c r="E625" s="80"/>
      <c r="F625" s="81"/>
      <c r="G625" s="81">
        <v>115380000</v>
      </c>
    </row>
    <row r="626" spans="1:7">
      <c r="A626" s="7" t="s">
        <v>1201</v>
      </c>
      <c r="B626" s="89" t="s">
        <v>195</v>
      </c>
      <c r="C626" s="90" t="s">
        <v>1202</v>
      </c>
      <c r="D626" s="89">
        <v>20</v>
      </c>
      <c r="E626" s="91" t="s">
        <v>25</v>
      </c>
      <c r="F626" s="92">
        <v>5769000</v>
      </c>
      <c r="G626" s="92">
        <v>115380000</v>
      </c>
    </row>
    <row r="627" spans="1:7">
      <c r="A627" s="7" t="s">
        <v>1203</v>
      </c>
      <c r="B627" s="89" t="s">
        <v>1204</v>
      </c>
      <c r="C627" s="90" t="s">
        <v>1205</v>
      </c>
      <c r="D627" s="89"/>
      <c r="E627" s="91"/>
      <c r="F627" s="92"/>
      <c r="G627" s="92">
        <v>600000000</v>
      </c>
    </row>
    <row r="628" spans="1:7" ht="15">
      <c r="A628" s="7" t="s">
        <v>1206</v>
      </c>
      <c r="B628" s="93" t="s">
        <v>826</v>
      </c>
      <c r="C628" s="94" t="s">
        <v>1205</v>
      </c>
      <c r="D628" s="93"/>
      <c r="E628" s="95"/>
      <c r="F628" s="96"/>
      <c r="G628" s="96">
        <v>300000000</v>
      </c>
    </row>
    <row r="629" spans="1:7" ht="15">
      <c r="A629" s="7" t="s">
        <v>1207</v>
      </c>
      <c r="B629" s="97" t="s">
        <v>8</v>
      </c>
      <c r="C629" s="98" t="s">
        <v>159</v>
      </c>
      <c r="D629" s="97"/>
      <c r="E629" s="99"/>
      <c r="F629" s="100"/>
      <c r="G629" s="100">
        <v>154800000</v>
      </c>
    </row>
    <row r="630" spans="1:7" ht="15">
      <c r="A630" s="7" t="s">
        <v>1208</v>
      </c>
      <c r="B630" s="78" t="s">
        <v>503</v>
      </c>
      <c r="C630" s="79" t="s">
        <v>7</v>
      </c>
      <c r="D630" s="78"/>
      <c r="E630" s="80"/>
      <c r="F630" s="81"/>
      <c r="G630" s="81">
        <v>10000000</v>
      </c>
    </row>
    <row r="631" spans="1:7" ht="28.5">
      <c r="A631" s="7" t="s">
        <v>1209</v>
      </c>
      <c r="B631" s="89" t="s">
        <v>195</v>
      </c>
      <c r="C631" s="90" t="s">
        <v>1210</v>
      </c>
      <c r="D631" s="89">
        <v>10</v>
      </c>
      <c r="E631" s="91" t="s">
        <v>52</v>
      </c>
      <c r="F631" s="92">
        <v>1000000</v>
      </c>
      <c r="G631" s="92">
        <v>10000000</v>
      </c>
    </row>
    <row r="632" spans="1:7" ht="30">
      <c r="A632" s="7" t="s">
        <v>1211</v>
      </c>
      <c r="B632" s="78" t="s">
        <v>515</v>
      </c>
      <c r="C632" s="79" t="s">
        <v>642</v>
      </c>
      <c r="D632" s="78"/>
      <c r="E632" s="80"/>
      <c r="F632" s="81"/>
      <c r="G632" s="81">
        <v>3600000</v>
      </c>
    </row>
    <row r="633" spans="1:7" ht="28.5">
      <c r="A633" s="7" t="s">
        <v>1212</v>
      </c>
      <c r="B633" s="89" t="s">
        <v>195</v>
      </c>
      <c r="C633" s="90" t="s">
        <v>891</v>
      </c>
      <c r="D633" s="89">
        <v>12</v>
      </c>
      <c r="E633" s="91" t="s">
        <v>52</v>
      </c>
      <c r="F633" s="92">
        <v>300000</v>
      </c>
      <c r="G633" s="92">
        <v>3600000</v>
      </c>
    </row>
    <row r="634" spans="1:7" ht="15">
      <c r="A634" s="7" t="s">
        <v>1213</v>
      </c>
      <c r="B634" s="78" t="s">
        <v>537</v>
      </c>
      <c r="C634" s="79" t="s">
        <v>64</v>
      </c>
      <c r="D634" s="78"/>
      <c r="E634" s="80"/>
      <c r="F634" s="81"/>
      <c r="G634" s="81">
        <v>20000000</v>
      </c>
    </row>
    <row r="635" spans="1:7">
      <c r="A635" s="7" t="s">
        <v>1214</v>
      </c>
      <c r="B635" s="89" t="s">
        <v>195</v>
      </c>
      <c r="C635" s="90" t="s">
        <v>619</v>
      </c>
      <c r="D635" s="89">
        <v>10</v>
      </c>
      <c r="E635" s="91" t="s">
        <v>52</v>
      </c>
      <c r="F635" s="92">
        <v>1000000</v>
      </c>
      <c r="G635" s="92">
        <v>10000000</v>
      </c>
    </row>
    <row r="636" spans="1:7">
      <c r="A636" s="7" t="s">
        <v>1215</v>
      </c>
      <c r="B636" s="89" t="s">
        <v>195</v>
      </c>
      <c r="C636" s="90" t="s">
        <v>1197</v>
      </c>
      <c r="D636" s="89">
        <v>10</v>
      </c>
      <c r="E636" s="91" t="s">
        <v>52</v>
      </c>
      <c r="F636" s="92">
        <v>1000000</v>
      </c>
      <c r="G636" s="92">
        <v>10000000</v>
      </c>
    </row>
    <row r="637" spans="1:7" ht="15">
      <c r="A637" s="7" t="s">
        <v>1216</v>
      </c>
      <c r="B637" s="78" t="s">
        <v>516</v>
      </c>
      <c r="C637" s="79" t="s">
        <v>11</v>
      </c>
      <c r="D637" s="78"/>
      <c r="E637" s="80"/>
      <c r="F637" s="81"/>
      <c r="G637" s="81">
        <v>2000000</v>
      </c>
    </row>
    <row r="638" spans="1:7">
      <c r="A638" s="7" t="s">
        <v>1217</v>
      </c>
      <c r="B638" s="89" t="s">
        <v>195</v>
      </c>
      <c r="C638" s="90" t="s">
        <v>1218</v>
      </c>
      <c r="D638" s="89">
        <v>2</v>
      </c>
      <c r="E638" s="91" t="s">
        <v>54</v>
      </c>
      <c r="F638" s="92">
        <v>1000000</v>
      </c>
      <c r="G638" s="92">
        <v>2000000</v>
      </c>
    </row>
    <row r="639" spans="1:7" ht="15">
      <c r="A639" s="7" t="s">
        <v>1219</v>
      </c>
      <c r="B639" s="78" t="s">
        <v>513</v>
      </c>
      <c r="C639" s="79" t="s">
        <v>19</v>
      </c>
      <c r="D639" s="78"/>
      <c r="E639" s="80"/>
      <c r="F639" s="81"/>
      <c r="G639" s="81">
        <v>113800000</v>
      </c>
    </row>
    <row r="640" spans="1:7" ht="42.75">
      <c r="A640" s="7" t="s">
        <v>1220</v>
      </c>
      <c r="B640" s="89" t="s">
        <v>195</v>
      </c>
      <c r="C640" s="90" t="s">
        <v>1221</v>
      </c>
      <c r="D640" s="89">
        <v>20</v>
      </c>
      <c r="E640" s="91" t="s">
        <v>25</v>
      </c>
      <c r="F640" s="92">
        <v>5690000</v>
      </c>
      <c r="G640" s="92">
        <v>113800000</v>
      </c>
    </row>
    <row r="641" spans="1:7" ht="30">
      <c r="A641" s="7" t="s">
        <v>1222</v>
      </c>
      <c r="B641" s="78" t="s">
        <v>509</v>
      </c>
      <c r="C641" s="79" t="s">
        <v>14</v>
      </c>
      <c r="D641" s="78"/>
      <c r="E641" s="80"/>
      <c r="F641" s="81"/>
      <c r="G641" s="81">
        <v>5400000</v>
      </c>
    </row>
    <row r="642" spans="1:7">
      <c r="A642" s="7" t="s">
        <v>1223</v>
      </c>
      <c r="B642" s="89" t="s">
        <v>195</v>
      </c>
      <c r="C642" s="90" t="s">
        <v>1224</v>
      </c>
      <c r="D642" s="89">
        <v>15</v>
      </c>
      <c r="E642" s="91" t="s">
        <v>25</v>
      </c>
      <c r="F642" s="92">
        <v>210000</v>
      </c>
      <c r="G642" s="92">
        <v>3150000</v>
      </c>
    </row>
    <row r="643" spans="1:7">
      <c r="A643" s="7" t="s">
        <v>1225</v>
      </c>
      <c r="B643" s="89" t="s">
        <v>195</v>
      </c>
      <c r="C643" s="90" t="s">
        <v>630</v>
      </c>
      <c r="D643" s="89">
        <v>15</v>
      </c>
      <c r="E643" s="91" t="s">
        <v>73</v>
      </c>
      <c r="F643" s="92">
        <v>150000</v>
      </c>
      <c r="G643" s="92">
        <v>2250000</v>
      </c>
    </row>
    <row r="644" spans="1:7" ht="15">
      <c r="A644" s="7" t="s">
        <v>1226</v>
      </c>
      <c r="B644" s="97" t="s">
        <v>511</v>
      </c>
      <c r="C644" s="98" t="s">
        <v>160</v>
      </c>
      <c r="D644" s="97"/>
      <c r="E644" s="99"/>
      <c r="F644" s="100"/>
      <c r="G644" s="100">
        <v>145200000</v>
      </c>
    </row>
    <row r="645" spans="1:7" ht="15">
      <c r="A645" s="7" t="s">
        <v>1227</v>
      </c>
      <c r="B645" s="78" t="s">
        <v>503</v>
      </c>
      <c r="C645" s="79" t="s">
        <v>7</v>
      </c>
      <c r="D645" s="78"/>
      <c r="E645" s="80"/>
      <c r="F645" s="81"/>
      <c r="G645" s="81">
        <v>10000000</v>
      </c>
    </row>
    <row r="646" spans="1:7" ht="28.5">
      <c r="A646" s="7" t="s">
        <v>1228</v>
      </c>
      <c r="B646" s="89" t="s">
        <v>195</v>
      </c>
      <c r="C646" s="90" t="s">
        <v>1229</v>
      </c>
      <c r="D646" s="89">
        <v>10</v>
      </c>
      <c r="E646" s="91" t="s">
        <v>52</v>
      </c>
      <c r="F646" s="92">
        <v>1000000</v>
      </c>
      <c r="G646" s="92">
        <v>10000000</v>
      </c>
    </row>
    <row r="647" spans="1:7" ht="15">
      <c r="A647" s="7" t="s">
        <v>1230</v>
      </c>
      <c r="B647" s="78" t="s">
        <v>537</v>
      </c>
      <c r="C647" s="79" t="s">
        <v>64</v>
      </c>
      <c r="D647" s="78"/>
      <c r="E647" s="80"/>
      <c r="F647" s="81"/>
      <c r="G647" s="81">
        <v>20000000</v>
      </c>
    </row>
    <row r="648" spans="1:7">
      <c r="A648" s="7" t="s">
        <v>1231</v>
      </c>
      <c r="B648" s="89" t="s">
        <v>195</v>
      </c>
      <c r="C648" s="90" t="s">
        <v>619</v>
      </c>
      <c r="D648" s="89">
        <v>10</v>
      </c>
      <c r="E648" s="91" t="s">
        <v>52</v>
      </c>
      <c r="F648" s="92">
        <v>1000000</v>
      </c>
      <c r="G648" s="92">
        <v>10000000</v>
      </c>
    </row>
    <row r="649" spans="1:7">
      <c r="A649" s="7" t="s">
        <v>1232</v>
      </c>
      <c r="B649" s="89" t="s">
        <v>195</v>
      </c>
      <c r="C649" s="90" t="s">
        <v>1197</v>
      </c>
      <c r="D649" s="89">
        <v>10</v>
      </c>
      <c r="E649" s="91" t="s">
        <v>52</v>
      </c>
      <c r="F649" s="92">
        <v>1000000</v>
      </c>
      <c r="G649" s="92">
        <v>10000000</v>
      </c>
    </row>
    <row r="650" spans="1:7" ht="15">
      <c r="A650" s="7" t="s">
        <v>1233</v>
      </c>
      <c r="B650" s="78" t="s">
        <v>516</v>
      </c>
      <c r="C650" s="79" t="s">
        <v>11</v>
      </c>
      <c r="D650" s="78"/>
      <c r="E650" s="80"/>
      <c r="F650" s="81"/>
      <c r="G650" s="81">
        <v>3800000</v>
      </c>
    </row>
    <row r="651" spans="1:7">
      <c r="A651" s="7" t="s">
        <v>1234</v>
      </c>
      <c r="B651" s="89" t="s">
        <v>195</v>
      </c>
      <c r="C651" s="90" t="s">
        <v>1218</v>
      </c>
      <c r="D651" s="89">
        <v>2</v>
      </c>
      <c r="E651" s="91" t="s">
        <v>54</v>
      </c>
      <c r="F651" s="92">
        <v>1000000</v>
      </c>
      <c r="G651" s="92">
        <v>2000000</v>
      </c>
    </row>
    <row r="652" spans="1:7">
      <c r="A652" s="7" t="s">
        <v>1235</v>
      </c>
      <c r="B652" s="89" t="s">
        <v>195</v>
      </c>
      <c r="C652" s="90" t="s">
        <v>1236</v>
      </c>
      <c r="D652" s="89">
        <v>2</v>
      </c>
      <c r="E652" s="91" t="s">
        <v>54</v>
      </c>
      <c r="F652" s="92">
        <v>900000</v>
      </c>
      <c r="G652" s="92">
        <v>1800000</v>
      </c>
    </row>
    <row r="653" spans="1:7" ht="15">
      <c r="A653" s="7" t="s">
        <v>1237</v>
      </c>
      <c r="B653" s="78" t="s">
        <v>513</v>
      </c>
      <c r="C653" s="79" t="s">
        <v>19</v>
      </c>
      <c r="D653" s="78"/>
      <c r="E653" s="80"/>
      <c r="F653" s="81"/>
      <c r="G653" s="81">
        <v>106000000</v>
      </c>
    </row>
    <row r="654" spans="1:7" ht="42.75">
      <c r="A654" s="7" t="s">
        <v>1238</v>
      </c>
      <c r="B654" s="89" t="s">
        <v>195</v>
      </c>
      <c r="C654" s="90" t="s">
        <v>1239</v>
      </c>
      <c r="D654" s="89">
        <v>25</v>
      </c>
      <c r="E654" s="91" t="s">
        <v>25</v>
      </c>
      <c r="F654" s="92">
        <v>4240000</v>
      </c>
      <c r="G654" s="92">
        <v>106000000</v>
      </c>
    </row>
    <row r="655" spans="1:7" ht="30">
      <c r="A655" s="7" t="s">
        <v>1240</v>
      </c>
      <c r="B655" s="78" t="s">
        <v>509</v>
      </c>
      <c r="C655" s="79" t="s">
        <v>14</v>
      </c>
      <c r="D655" s="78"/>
      <c r="E655" s="80"/>
      <c r="F655" s="81"/>
      <c r="G655" s="81">
        <v>5400000</v>
      </c>
    </row>
    <row r="656" spans="1:7">
      <c r="A656" s="7" t="s">
        <v>1241</v>
      </c>
      <c r="B656" s="89" t="s">
        <v>195</v>
      </c>
      <c r="C656" s="90" t="s">
        <v>1224</v>
      </c>
      <c r="D656" s="89">
        <v>15</v>
      </c>
      <c r="E656" s="91" t="s">
        <v>25</v>
      </c>
      <c r="F656" s="92">
        <v>210000</v>
      </c>
      <c r="G656" s="92">
        <v>3150000</v>
      </c>
    </row>
    <row r="657" spans="1:7">
      <c r="A657" s="7" t="s">
        <v>1242</v>
      </c>
      <c r="B657" s="89" t="s">
        <v>195</v>
      </c>
      <c r="C657" s="90" t="s">
        <v>630</v>
      </c>
      <c r="D657" s="89">
        <v>15</v>
      </c>
      <c r="E657" s="91" t="s">
        <v>73</v>
      </c>
      <c r="F657" s="92">
        <v>150000</v>
      </c>
      <c r="G657" s="92">
        <v>2250000</v>
      </c>
    </row>
    <row r="658" spans="1:7" ht="45">
      <c r="A658" s="7" t="s">
        <v>1243</v>
      </c>
      <c r="B658" s="93" t="s">
        <v>1102</v>
      </c>
      <c r="C658" s="94" t="s">
        <v>1244</v>
      </c>
      <c r="D658" s="93"/>
      <c r="E658" s="95"/>
      <c r="F658" s="96"/>
      <c r="G658" s="96">
        <v>300000000</v>
      </c>
    </row>
    <row r="659" spans="1:7" ht="15">
      <c r="A659" s="7" t="s">
        <v>1245</v>
      </c>
      <c r="B659" s="97" t="s">
        <v>8</v>
      </c>
      <c r="C659" s="98" t="s">
        <v>161</v>
      </c>
      <c r="D659" s="97"/>
      <c r="E659" s="99"/>
      <c r="F659" s="100"/>
      <c r="G659" s="100">
        <v>165000000</v>
      </c>
    </row>
    <row r="660" spans="1:7" ht="15">
      <c r="A660" s="7" t="s">
        <v>1246</v>
      </c>
      <c r="B660" s="78" t="s">
        <v>503</v>
      </c>
      <c r="C660" s="79" t="s">
        <v>7</v>
      </c>
      <c r="D660" s="78"/>
      <c r="E660" s="80"/>
      <c r="F660" s="81"/>
      <c r="G660" s="81">
        <v>10000000</v>
      </c>
    </row>
    <row r="661" spans="1:7" ht="28.5">
      <c r="A661" s="7" t="s">
        <v>1247</v>
      </c>
      <c r="B661" s="89" t="s">
        <v>195</v>
      </c>
      <c r="C661" s="90" t="s">
        <v>1248</v>
      </c>
      <c r="D661" s="89">
        <v>10</v>
      </c>
      <c r="E661" s="91" t="s">
        <v>52</v>
      </c>
      <c r="F661" s="92">
        <v>1000000</v>
      </c>
      <c r="G661" s="92">
        <v>10000000</v>
      </c>
    </row>
    <row r="662" spans="1:7" ht="15">
      <c r="A662" s="7" t="s">
        <v>1249</v>
      </c>
      <c r="B662" s="78" t="s">
        <v>537</v>
      </c>
      <c r="C662" s="79" t="s">
        <v>64</v>
      </c>
      <c r="D662" s="78"/>
      <c r="E662" s="80"/>
      <c r="F662" s="81"/>
      <c r="G662" s="81">
        <v>20000000</v>
      </c>
    </row>
    <row r="663" spans="1:7">
      <c r="A663" s="7" t="s">
        <v>1250</v>
      </c>
      <c r="B663" s="89" t="s">
        <v>195</v>
      </c>
      <c r="C663" s="90" t="s">
        <v>619</v>
      </c>
      <c r="D663" s="89">
        <v>10</v>
      </c>
      <c r="E663" s="91" t="s">
        <v>52</v>
      </c>
      <c r="F663" s="92">
        <v>1000000</v>
      </c>
      <c r="G663" s="92">
        <v>10000000</v>
      </c>
    </row>
    <row r="664" spans="1:7">
      <c r="A664" s="7" t="s">
        <v>1251</v>
      </c>
      <c r="B664" s="89" t="s">
        <v>195</v>
      </c>
      <c r="C664" s="90" t="s">
        <v>1197</v>
      </c>
      <c r="D664" s="89">
        <v>10</v>
      </c>
      <c r="E664" s="91" t="s">
        <v>52</v>
      </c>
      <c r="F664" s="92">
        <v>1000000</v>
      </c>
      <c r="G664" s="92">
        <v>10000000</v>
      </c>
    </row>
    <row r="665" spans="1:7" ht="15">
      <c r="A665" s="7" t="s">
        <v>1252</v>
      </c>
      <c r="B665" s="78" t="s">
        <v>513</v>
      </c>
      <c r="C665" s="79" t="s">
        <v>19</v>
      </c>
      <c r="D665" s="78"/>
      <c r="E665" s="80"/>
      <c r="F665" s="81"/>
      <c r="G665" s="81">
        <v>135000000</v>
      </c>
    </row>
    <row r="666" spans="1:7" ht="42.75">
      <c r="A666" s="7" t="s">
        <v>1253</v>
      </c>
      <c r="B666" s="89" t="s">
        <v>195</v>
      </c>
      <c r="C666" s="90" t="s">
        <v>1254</v>
      </c>
      <c r="D666" s="89">
        <v>27</v>
      </c>
      <c r="E666" s="91" t="s">
        <v>25</v>
      </c>
      <c r="F666" s="92">
        <v>5000000</v>
      </c>
      <c r="G666" s="92">
        <v>135000000</v>
      </c>
    </row>
    <row r="667" spans="1:7" ht="30">
      <c r="A667" s="7" t="s">
        <v>1255</v>
      </c>
      <c r="B667" s="97" t="s">
        <v>511</v>
      </c>
      <c r="C667" s="98" t="s">
        <v>1256</v>
      </c>
      <c r="D667" s="97"/>
      <c r="E667" s="99"/>
      <c r="F667" s="100"/>
      <c r="G667" s="100">
        <v>135000000</v>
      </c>
    </row>
    <row r="668" spans="1:7" ht="15">
      <c r="A668" s="7" t="s">
        <v>1257</v>
      </c>
      <c r="B668" s="78" t="s">
        <v>503</v>
      </c>
      <c r="C668" s="79" t="s">
        <v>7</v>
      </c>
      <c r="D668" s="78"/>
      <c r="E668" s="80"/>
      <c r="F668" s="81"/>
      <c r="G668" s="81">
        <v>10000000</v>
      </c>
    </row>
    <row r="669" spans="1:7" ht="28.5">
      <c r="A669" s="7" t="s">
        <v>1258</v>
      </c>
      <c r="B669" s="89" t="s">
        <v>195</v>
      </c>
      <c r="C669" s="90" t="s">
        <v>1259</v>
      </c>
      <c r="D669" s="89">
        <v>10</v>
      </c>
      <c r="E669" s="91" t="s">
        <v>52</v>
      </c>
      <c r="F669" s="92">
        <v>1000000</v>
      </c>
      <c r="G669" s="92">
        <v>10000000</v>
      </c>
    </row>
    <row r="670" spans="1:7" ht="15">
      <c r="A670" s="7" t="s">
        <v>1260</v>
      </c>
      <c r="B670" s="78" t="s">
        <v>537</v>
      </c>
      <c r="C670" s="79" t="s">
        <v>64</v>
      </c>
      <c r="D670" s="78"/>
      <c r="E670" s="80"/>
      <c r="F670" s="81"/>
      <c r="G670" s="81">
        <v>20000000</v>
      </c>
    </row>
    <row r="671" spans="1:7">
      <c r="A671" s="7" t="s">
        <v>1261</v>
      </c>
      <c r="B671" s="89" t="s">
        <v>195</v>
      </c>
      <c r="C671" s="90" t="s">
        <v>619</v>
      </c>
      <c r="D671" s="89">
        <v>10</v>
      </c>
      <c r="E671" s="91" t="s">
        <v>52</v>
      </c>
      <c r="F671" s="92">
        <v>1000000</v>
      </c>
      <c r="G671" s="92">
        <v>10000000</v>
      </c>
    </row>
    <row r="672" spans="1:7">
      <c r="A672" s="7" t="s">
        <v>1262</v>
      </c>
      <c r="B672" s="89" t="s">
        <v>195</v>
      </c>
      <c r="C672" s="90" t="s">
        <v>1197</v>
      </c>
      <c r="D672" s="89">
        <v>10</v>
      </c>
      <c r="E672" s="91" t="s">
        <v>52</v>
      </c>
      <c r="F672" s="92">
        <v>1000000</v>
      </c>
      <c r="G672" s="92">
        <v>10000000</v>
      </c>
    </row>
    <row r="673" spans="1:7" ht="15">
      <c r="A673" s="7" t="s">
        <v>1263</v>
      </c>
      <c r="B673" s="78" t="s">
        <v>513</v>
      </c>
      <c r="C673" s="79" t="s">
        <v>19</v>
      </c>
      <c r="D673" s="78"/>
      <c r="E673" s="80"/>
      <c r="F673" s="81"/>
      <c r="G673" s="81">
        <v>102600000</v>
      </c>
    </row>
    <row r="674" spans="1:7" ht="42.75">
      <c r="A674" s="7" t="s">
        <v>1264</v>
      </c>
      <c r="B674" s="89" t="s">
        <v>195</v>
      </c>
      <c r="C674" s="90" t="s">
        <v>1265</v>
      </c>
      <c r="D674" s="89">
        <v>20</v>
      </c>
      <c r="E674" s="91" t="s">
        <v>25</v>
      </c>
      <c r="F674" s="92">
        <v>5130000</v>
      </c>
      <c r="G674" s="92">
        <v>102600000</v>
      </c>
    </row>
    <row r="675" spans="1:7" ht="30">
      <c r="A675" s="7" t="s">
        <v>1266</v>
      </c>
      <c r="B675" s="78" t="s">
        <v>509</v>
      </c>
      <c r="C675" s="79" t="s">
        <v>14</v>
      </c>
      <c r="D675" s="78"/>
      <c r="E675" s="80"/>
      <c r="F675" s="81"/>
      <c r="G675" s="81">
        <v>2400000</v>
      </c>
    </row>
    <row r="676" spans="1:7">
      <c r="A676" s="7" t="s">
        <v>1267</v>
      </c>
      <c r="B676" s="89" t="s">
        <v>195</v>
      </c>
      <c r="C676" s="90" t="s">
        <v>630</v>
      </c>
      <c r="D676" s="89">
        <v>16</v>
      </c>
      <c r="E676" s="91" t="s">
        <v>73</v>
      </c>
      <c r="F676" s="92">
        <v>150000</v>
      </c>
      <c r="G676" s="92">
        <v>2400000</v>
      </c>
    </row>
    <row r="677" spans="1:7">
      <c r="A677" s="7" t="s">
        <v>1268</v>
      </c>
      <c r="B677" s="89" t="s">
        <v>1269</v>
      </c>
      <c r="C677" s="90" t="s">
        <v>1270</v>
      </c>
      <c r="D677" s="89"/>
      <c r="E677" s="91"/>
      <c r="F677" s="92"/>
      <c r="G677" s="92">
        <v>5596502000</v>
      </c>
    </row>
    <row r="678" spans="1:7" ht="30">
      <c r="A678" s="7" t="s">
        <v>1271</v>
      </c>
      <c r="B678" s="93" t="s">
        <v>826</v>
      </c>
      <c r="C678" s="94" t="s">
        <v>1272</v>
      </c>
      <c r="D678" s="93"/>
      <c r="E678" s="95"/>
      <c r="F678" s="96"/>
      <c r="G678" s="96">
        <v>2000000000</v>
      </c>
    </row>
    <row r="679" spans="1:7" ht="30">
      <c r="A679" s="7" t="s">
        <v>1273</v>
      </c>
      <c r="B679" s="97" t="s">
        <v>8</v>
      </c>
      <c r="C679" s="98" t="s">
        <v>132</v>
      </c>
      <c r="D679" s="97"/>
      <c r="E679" s="99"/>
      <c r="F679" s="100"/>
      <c r="G679" s="100">
        <v>259650000</v>
      </c>
    </row>
    <row r="680" spans="1:7" ht="15">
      <c r="A680" s="7" t="s">
        <v>1274</v>
      </c>
      <c r="B680" s="78" t="s">
        <v>503</v>
      </c>
      <c r="C680" s="79" t="s">
        <v>7</v>
      </c>
      <c r="D680" s="78"/>
      <c r="E680" s="80"/>
      <c r="F680" s="81"/>
      <c r="G680" s="81">
        <v>12000000</v>
      </c>
    </row>
    <row r="681" spans="1:7">
      <c r="A681" s="7" t="s">
        <v>1275</v>
      </c>
      <c r="B681" s="89" t="s">
        <v>195</v>
      </c>
      <c r="C681" s="90" t="s">
        <v>1276</v>
      </c>
      <c r="D681" s="89">
        <v>12</v>
      </c>
      <c r="E681" s="91" t="s">
        <v>52</v>
      </c>
      <c r="F681" s="92">
        <v>1000000</v>
      </c>
      <c r="G681" s="92">
        <v>12000000</v>
      </c>
    </row>
    <row r="682" spans="1:7" ht="15">
      <c r="A682" s="7" t="s">
        <v>1277</v>
      </c>
      <c r="B682" s="78" t="s">
        <v>537</v>
      </c>
      <c r="C682" s="79" t="s">
        <v>64</v>
      </c>
      <c r="D682" s="78"/>
      <c r="E682" s="80"/>
      <c r="F682" s="81"/>
      <c r="G682" s="81">
        <v>24000000</v>
      </c>
    </row>
    <row r="683" spans="1:7">
      <c r="A683" s="7" t="s">
        <v>1278</v>
      </c>
      <c r="B683" s="89" t="s">
        <v>195</v>
      </c>
      <c r="C683" s="90" t="s">
        <v>619</v>
      </c>
      <c r="D683" s="89">
        <v>12</v>
      </c>
      <c r="E683" s="91" t="s">
        <v>52</v>
      </c>
      <c r="F683" s="92">
        <v>1000000</v>
      </c>
      <c r="G683" s="92">
        <v>12000000</v>
      </c>
    </row>
    <row r="684" spans="1:7">
      <c r="A684" s="7" t="s">
        <v>1279</v>
      </c>
      <c r="B684" s="89" t="s">
        <v>195</v>
      </c>
      <c r="C684" s="90" t="s">
        <v>859</v>
      </c>
      <c r="D684" s="89">
        <v>12</v>
      </c>
      <c r="E684" s="91" t="s">
        <v>52</v>
      </c>
      <c r="F684" s="92">
        <v>1000000</v>
      </c>
      <c r="G684" s="92">
        <v>12000000</v>
      </c>
    </row>
    <row r="685" spans="1:7" ht="15">
      <c r="A685" s="7" t="s">
        <v>1280</v>
      </c>
      <c r="B685" s="78" t="s">
        <v>513</v>
      </c>
      <c r="C685" s="79" t="s">
        <v>19</v>
      </c>
      <c r="D685" s="78"/>
      <c r="E685" s="80"/>
      <c r="F685" s="81"/>
      <c r="G685" s="81">
        <v>210000000</v>
      </c>
    </row>
    <row r="686" spans="1:7" ht="28.5">
      <c r="A686" s="7" t="s">
        <v>1281</v>
      </c>
      <c r="B686" s="89" t="s">
        <v>195</v>
      </c>
      <c r="C686" s="90" t="s">
        <v>1282</v>
      </c>
      <c r="D686" s="89">
        <v>30</v>
      </c>
      <c r="E686" s="91" t="s">
        <v>25</v>
      </c>
      <c r="F686" s="92">
        <v>5000000</v>
      </c>
      <c r="G686" s="92">
        <v>150000000</v>
      </c>
    </row>
    <row r="687" spans="1:7" ht="28.5">
      <c r="A687" s="7" t="s">
        <v>1283</v>
      </c>
      <c r="B687" s="89" t="s">
        <v>195</v>
      </c>
      <c r="C687" s="90" t="s">
        <v>1284</v>
      </c>
      <c r="D687" s="89">
        <v>12</v>
      </c>
      <c r="E687" s="91" t="s">
        <v>25</v>
      </c>
      <c r="F687" s="92">
        <v>5000000</v>
      </c>
      <c r="G687" s="92">
        <v>60000000</v>
      </c>
    </row>
    <row r="688" spans="1:7" ht="30">
      <c r="A688" s="7" t="s">
        <v>1285</v>
      </c>
      <c r="B688" s="78" t="s">
        <v>509</v>
      </c>
      <c r="C688" s="79" t="s">
        <v>14</v>
      </c>
      <c r="D688" s="78"/>
      <c r="E688" s="80"/>
      <c r="F688" s="81"/>
      <c r="G688" s="81">
        <v>13650000</v>
      </c>
    </row>
    <row r="689" spans="1:7">
      <c r="A689" s="7" t="s">
        <v>1286</v>
      </c>
      <c r="B689" s="89" t="s">
        <v>195</v>
      </c>
      <c r="C689" s="90" t="s">
        <v>630</v>
      </c>
      <c r="D689" s="89">
        <v>91</v>
      </c>
      <c r="E689" s="91" t="s">
        <v>73</v>
      </c>
      <c r="F689" s="92">
        <v>150000</v>
      </c>
      <c r="G689" s="92">
        <v>13650000</v>
      </c>
    </row>
    <row r="690" spans="1:7" ht="45">
      <c r="A690" s="7" t="s">
        <v>1287</v>
      </c>
      <c r="B690" s="97" t="s">
        <v>511</v>
      </c>
      <c r="C690" s="98" t="s">
        <v>134</v>
      </c>
      <c r="D690" s="97"/>
      <c r="E690" s="99"/>
      <c r="F690" s="100"/>
      <c r="G690" s="100">
        <v>1740350000</v>
      </c>
    </row>
    <row r="691" spans="1:7" ht="30">
      <c r="A691" s="7" t="s">
        <v>1288</v>
      </c>
      <c r="B691" s="78" t="s">
        <v>515</v>
      </c>
      <c r="C691" s="79" t="s">
        <v>642</v>
      </c>
      <c r="D691" s="78"/>
      <c r="E691" s="80"/>
      <c r="F691" s="81"/>
      <c r="G691" s="81">
        <v>86400000</v>
      </c>
    </row>
    <row r="692" spans="1:7" ht="28.5">
      <c r="A692" s="7" t="s">
        <v>1289</v>
      </c>
      <c r="B692" s="89" t="s">
        <v>195</v>
      </c>
      <c r="C692" s="90" t="s">
        <v>1290</v>
      </c>
      <c r="D692" s="89">
        <v>24</v>
      </c>
      <c r="E692" s="91" t="s">
        <v>32</v>
      </c>
      <c r="F692" s="92">
        <v>400000</v>
      </c>
      <c r="G692" s="92">
        <v>9600000</v>
      </c>
    </row>
    <row r="693" spans="1:7">
      <c r="A693" s="7" t="s">
        <v>1291</v>
      </c>
      <c r="B693" s="89" t="s">
        <v>195</v>
      </c>
      <c r="C693" s="90" t="s">
        <v>1292</v>
      </c>
      <c r="D693" s="89">
        <v>384</v>
      </c>
      <c r="E693" s="91" t="s">
        <v>32</v>
      </c>
      <c r="F693" s="92">
        <v>200000</v>
      </c>
      <c r="G693" s="92">
        <v>76800000</v>
      </c>
    </row>
    <row r="694" spans="1:7" ht="15">
      <c r="A694" s="7" t="s">
        <v>1293</v>
      </c>
      <c r="B694" s="78" t="s">
        <v>537</v>
      </c>
      <c r="C694" s="79" t="s">
        <v>64</v>
      </c>
      <c r="D694" s="78"/>
      <c r="E694" s="80"/>
      <c r="F694" s="81"/>
      <c r="G694" s="81">
        <v>24000000</v>
      </c>
    </row>
    <row r="695" spans="1:7">
      <c r="A695" s="7" t="s">
        <v>1294</v>
      </c>
      <c r="B695" s="89" t="s">
        <v>195</v>
      </c>
      <c r="C695" s="90" t="s">
        <v>619</v>
      </c>
      <c r="D695" s="89">
        <v>12</v>
      </c>
      <c r="E695" s="91" t="s">
        <v>52</v>
      </c>
      <c r="F695" s="92">
        <v>1000000</v>
      </c>
      <c r="G695" s="92">
        <v>12000000</v>
      </c>
    </row>
    <row r="696" spans="1:7">
      <c r="A696" s="7" t="s">
        <v>1295</v>
      </c>
      <c r="B696" s="89" t="s">
        <v>195</v>
      </c>
      <c r="C696" s="90" t="s">
        <v>859</v>
      </c>
      <c r="D696" s="89">
        <v>12</v>
      </c>
      <c r="E696" s="91" t="s">
        <v>52</v>
      </c>
      <c r="F696" s="92">
        <v>1000000</v>
      </c>
      <c r="G696" s="92">
        <v>12000000</v>
      </c>
    </row>
    <row r="697" spans="1:7" ht="15">
      <c r="A697" s="7" t="s">
        <v>1296</v>
      </c>
      <c r="B697" s="78" t="s">
        <v>516</v>
      </c>
      <c r="C697" s="79" t="s">
        <v>11</v>
      </c>
      <c r="D697" s="78"/>
      <c r="E697" s="80"/>
      <c r="F697" s="81"/>
      <c r="G697" s="81">
        <v>43200000</v>
      </c>
    </row>
    <row r="698" spans="1:7">
      <c r="A698" s="7" t="s">
        <v>1297</v>
      </c>
      <c r="B698" s="89" t="s">
        <v>195</v>
      </c>
      <c r="C698" s="90" t="s">
        <v>1298</v>
      </c>
      <c r="D698" s="89">
        <v>24</v>
      </c>
      <c r="E698" s="91" t="s">
        <v>54</v>
      </c>
      <c r="F698" s="92">
        <v>1200000</v>
      </c>
      <c r="G698" s="92">
        <v>28800000</v>
      </c>
    </row>
    <row r="699" spans="1:7" ht="28.5">
      <c r="A699" s="7" t="s">
        <v>1299</v>
      </c>
      <c r="B699" s="89" t="s">
        <v>195</v>
      </c>
      <c r="C699" s="90" t="s">
        <v>1300</v>
      </c>
      <c r="D699" s="89">
        <v>16</v>
      </c>
      <c r="E699" s="91" t="s">
        <v>54</v>
      </c>
      <c r="F699" s="92">
        <v>900000</v>
      </c>
      <c r="G699" s="92">
        <v>14400000</v>
      </c>
    </row>
    <row r="700" spans="1:7" ht="15">
      <c r="A700" s="7" t="s">
        <v>1301</v>
      </c>
      <c r="B700" s="78" t="s">
        <v>518</v>
      </c>
      <c r="C700" s="79" t="s">
        <v>24</v>
      </c>
      <c r="D700" s="78"/>
      <c r="E700" s="80"/>
      <c r="F700" s="81"/>
      <c r="G700" s="81">
        <v>150000000</v>
      </c>
    </row>
    <row r="701" spans="1:7">
      <c r="A701" s="7" t="s">
        <v>1302</v>
      </c>
      <c r="B701" s="89" t="s">
        <v>195</v>
      </c>
      <c r="C701" s="90" t="s">
        <v>1303</v>
      </c>
      <c r="D701" s="89">
        <v>500</v>
      </c>
      <c r="E701" s="91" t="s">
        <v>25</v>
      </c>
      <c r="F701" s="92">
        <v>300000</v>
      </c>
      <c r="G701" s="92">
        <v>150000000</v>
      </c>
    </row>
    <row r="702" spans="1:7" ht="15">
      <c r="A702" s="7" t="s">
        <v>1304</v>
      </c>
      <c r="B702" s="78" t="s">
        <v>513</v>
      </c>
      <c r="C702" s="79" t="s">
        <v>19</v>
      </c>
      <c r="D702" s="78"/>
      <c r="E702" s="80"/>
      <c r="F702" s="81"/>
      <c r="G702" s="81">
        <v>1415000000</v>
      </c>
    </row>
    <row r="703" spans="1:7" ht="42.75">
      <c r="A703" s="7" t="s">
        <v>1305</v>
      </c>
      <c r="B703" s="89" t="s">
        <v>195</v>
      </c>
      <c r="C703" s="90" t="s">
        <v>1306</v>
      </c>
      <c r="D703" s="89">
        <v>15</v>
      </c>
      <c r="E703" s="91" t="s">
        <v>25</v>
      </c>
      <c r="F703" s="92">
        <v>5000000</v>
      </c>
      <c r="G703" s="92">
        <v>75000000</v>
      </c>
    </row>
    <row r="704" spans="1:7">
      <c r="A704" s="7" t="s">
        <v>1307</v>
      </c>
      <c r="B704" s="89" t="s">
        <v>195</v>
      </c>
      <c r="C704" s="90" t="s">
        <v>1308</v>
      </c>
      <c r="D704" s="89">
        <v>74</v>
      </c>
      <c r="E704" s="91" t="s">
        <v>25</v>
      </c>
      <c r="F704" s="92">
        <v>10000000</v>
      </c>
      <c r="G704" s="92">
        <v>740000000</v>
      </c>
    </row>
    <row r="705" spans="1:7">
      <c r="A705" s="7" t="s">
        <v>1309</v>
      </c>
      <c r="B705" s="89" t="s">
        <v>195</v>
      </c>
      <c r="C705" s="90" t="s">
        <v>1310</v>
      </c>
      <c r="D705" s="89">
        <v>60</v>
      </c>
      <c r="E705" s="91" t="s">
        <v>25</v>
      </c>
      <c r="F705" s="92">
        <v>10000000</v>
      </c>
      <c r="G705" s="92">
        <v>600000000</v>
      </c>
    </row>
    <row r="706" spans="1:7" ht="30">
      <c r="A706" s="7" t="s">
        <v>1311</v>
      </c>
      <c r="B706" s="78" t="s">
        <v>509</v>
      </c>
      <c r="C706" s="79" t="s">
        <v>14</v>
      </c>
      <c r="D706" s="78"/>
      <c r="E706" s="80"/>
      <c r="F706" s="81"/>
      <c r="G706" s="81">
        <v>21750000</v>
      </c>
    </row>
    <row r="707" spans="1:7">
      <c r="A707" s="7" t="s">
        <v>1312</v>
      </c>
      <c r="B707" s="89" t="s">
        <v>195</v>
      </c>
      <c r="C707" s="90" t="s">
        <v>1313</v>
      </c>
      <c r="D707" s="89">
        <v>60</v>
      </c>
      <c r="E707" s="91" t="s">
        <v>73</v>
      </c>
      <c r="F707" s="92">
        <v>210000</v>
      </c>
      <c r="G707" s="92">
        <v>12600000</v>
      </c>
    </row>
    <row r="708" spans="1:7">
      <c r="A708" s="7" t="s">
        <v>1314</v>
      </c>
      <c r="B708" s="89" t="s">
        <v>195</v>
      </c>
      <c r="C708" s="90" t="s">
        <v>630</v>
      </c>
      <c r="D708" s="89">
        <v>61</v>
      </c>
      <c r="E708" s="91" t="s">
        <v>73</v>
      </c>
      <c r="F708" s="92">
        <v>150000</v>
      </c>
      <c r="G708" s="92">
        <v>9150000</v>
      </c>
    </row>
    <row r="709" spans="1:7" ht="30">
      <c r="A709" s="7" t="s">
        <v>1315</v>
      </c>
      <c r="B709" s="93" t="s">
        <v>1316</v>
      </c>
      <c r="C709" s="94" t="s">
        <v>1317</v>
      </c>
      <c r="D709" s="93"/>
      <c r="E709" s="95"/>
      <c r="F709" s="96"/>
      <c r="G709" s="96">
        <v>860000000</v>
      </c>
    </row>
    <row r="710" spans="1:7" ht="30">
      <c r="A710" s="7" t="s">
        <v>1318</v>
      </c>
      <c r="B710" s="97" t="s">
        <v>8</v>
      </c>
      <c r="C710" s="98" t="s">
        <v>142</v>
      </c>
      <c r="D710" s="97"/>
      <c r="E710" s="99"/>
      <c r="F710" s="100"/>
      <c r="G710" s="100">
        <v>29629000</v>
      </c>
    </row>
    <row r="711" spans="1:7" ht="15">
      <c r="A711" s="7" t="s">
        <v>1319</v>
      </c>
      <c r="B711" s="78" t="s">
        <v>503</v>
      </c>
      <c r="C711" s="79" t="s">
        <v>7</v>
      </c>
      <c r="D711" s="78"/>
      <c r="E711" s="80"/>
      <c r="F711" s="81"/>
      <c r="G711" s="81">
        <v>3629000</v>
      </c>
    </row>
    <row r="712" spans="1:7">
      <c r="A712" s="7" t="s">
        <v>1320</v>
      </c>
      <c r="B712" s="89" t="s">
        <v>195</v>
      </c>
      <c r="C712" s="90" t="s">
        <v>1321</v>
      </c>
      <c r="D712" s="89">
        <v>36</v>
      </c>
      <c r="E712" s="91" t="s">
        <v>10</v>
      </c>
      <c r="F712" s="92">
        <v>75000</v>
      </c>
      <c r="G712" s="92">
        <v>2700000</v>
      </c>
    </row>
    <row r="713" spans="1:7">
      <c r="A713" s="7" t="s">
        <v>1322</v>
      </c>
      <c r="B713" s="89" t="s">
        <v>195</v>
      </c>
      <c r="C713" s="90" t="s">
        <v>1323</v>
      </c>
      <c r="D713" s="89">
        <v>1</v>
      </c>
      <c r="E713" s="91" t="s">
        <v>9</v>
      </c>
      <c r="F713" s="92">
        <v>929000</v>
      </c>
      <c r="G713" s="92">
        <v>929000</v>
      </c>
    </row>
    <row r="714" spans="1:7" ht="15">
      <c r="A714" s="7" t="s">
        <v>1324</v>
      </c>
      <c r="B714" s="78" t="s">
        <v>537</v>
      </c>
      <c r="C714" s="79" t="s">
        <v>64</v>
      </c>
      <c r="D714" s="78"/>
      <c r="E714" s="80"/>
      <c r="F714" s="81"/>
      <c r="G714" s="81">
        <v>2000000</v>
      </c>
    </row>
    <row r="715" spans="1:7">
      <c r="A715" s="7" t="s">
        <v>1325</v>
      </c>
      <c r="B715" s="89" t="s">
        <v>195</v>
      </c>
      <c r="C715" s="90" t="s">
        <v>619</v>
      </c>
      <c r="D715" s="89">
        <v>1</v>
      </c>
      <c r="E715" s="91" t="s">
        <v>9</v>
      </c>
      <c r="F715" s="92">
        <v>1000000</v>
      </c>
      <c r="G715" s="92">
        <v>1000000</v>
      </c>
    </row>
    <row r="716" spans="1:7">
      <c r="A716" s="7" t="s">
        <v>1326</v>
      </c>
      <c r="B716" s="89" t="s">
        <v>195</v>
      </c>
      <c r="C716" s="90" t="s">
        <v>620</v>
      </c>
      <c r="D716" s="89">
        <v>1</v>
      </c>
      <c r="E716" s="91" t="s">
        <v>9</v>
      </c>
      <c r="F716" s="92">
        <v>1000000</v>
      </c>
      <c r="G716" s="92">
        <v>1000000</v>
      </c>
    </row>
    <row r="717" spans="1:7" ht="15">
      <c r="A717" s="7" t="s">
        <v>1327</v>
      </c>
      <c r="B717" s="78" t="s">
        <v>513</v>
      </c>
      <c r="C717" s="79" t="s">
        <v>19</v>
      </c>
      <c r="D717" s="78"/>
      <c r="E717" s="80"/>
      <c r="F717" s="81"/>
      <c r="G717" s="81">
        <v>24000000</v>
      </c>
    </row>
    <row r="718" spans="1:7">
      <c r="A718" s="7" t="s">
        <v>1328</v>
      </c>
      <c r="B718" s="89" t="s">
        <v>195</v>
      </c>
      <c r="C718" s="90" t="s">
        <v>1329</v>
      </c>
      <c r="D718" s="89">
        <v>4</v>
      </c>
      <c r="E718" s="91" t="s">
        <v>10</v>
      </c>
      <c r="F718" s="92">
        <v>6000000</v>
      </c>
      <c r="G718" s="92">
        <v>24000000</v>
      </c>
    </row>
    <row r="719" spans="1:7" ht="15">
      <c r="A719" s="7" t="s">
        <v>1330</v>
      </c>
      <c r="B719" s="97" t="s">
        <v>511</v>
      </c>
      <c r="C719" s="98" t="s">
        <v>139</v>
      </c>
      <c r="D719" s="97"/>
      <c r="E719" s="99"/>
      <c r="F719" s="100"/>
      <c r="G719" s="100">
        <v>215971000</v>
      </c>
    </row>
    <row r="720" spans="1:7" ht="15">
      <c r="A720" s="7" t="s">
        <v>1331</v>
      </c>
      <c r="B720" s="78" t="s">
        <v>503</v>
      </c>
      <c r="C720" s="79" t="s">
        <v>7</v>
      </c>
      <c r="D720" s="78"/>
      <c r="E720" s="80"/>
      <c r="F720" s="81"/>
      <c r="G720" s="81">
        <v>15500000</v>
      </c>
    </row>
    <row r="721" spans="1:7">
      <c r="A721" s="7" t="s">
        <v>1332</v>
      </c>
      <c r="B721" s="89" t="s">
        <v>195</v>
      </c>
      <c r="C721" s="90" t="s">
        <v>619</v>
      </c>
      <c r="D721" s="89">
        <v>3</v>
      </c>
      <c r="E721" s="91" t="s">
        <v>9</v>
      </c>
      <c r="F721" s="92">
        <v>1000000</v>
      </c>
      <c r="G721" s="92">
        <v>3000000</v>
      </c>
    </row>
    <row r="722" spans="1:7">
      <c r="A722" s="7" t="s">
        <v>1333</v>
      </c>
      <c r="B722" s="89" t="s">
        <v>195</v>
      </c>
      <c r="C722" s="90" t="s">
        <v>620</v>
      </c>
      <c r="D722" s="89">
        <v>3</v>
      </c>
      <c r="E722" s="91" t="s">
        <v>9</v>
      </c>
      <c r="F722" s="92">
        <v>1000000</v>
      </c>
      <c r="G722" s="92">
        <v>3000000</v>
      </c>
    </row>
    <row r="723" spans="1:7">
      <c r="A723" s="7" t="s">
        <v>1334</v>
      </c>
      <c r="B723" s="89" t="s">
        <v>195</v>
      </c>
      <c r="C723" s="90" t="s">
        <v>617</v>
      </c>
      <c r="D723" s="89">
        <v>1</v>
      </c>
      <c r="E723" s="91" t="s">
        <v>9</v>
      </c>
      <c r="F723" s="92">
        <v>2000000</v>
      </c>
      <c r="G723" s="92">
        <v>2000000</v>
      </c>
    </row>
    <row r="724" spans="1:7">
      <c r="A724" s="7" t="s">
        <v>1335</v>
      </c>
      <c r="B724" s="89" t="s">
        <v>195</v>
      </c>
      <c r="C724" s="90" t="s">
        <v>1336</v>
      </c>
      <c r="D724" s="89">
        <v>100</v>
      </c>
      <c r="E724" s="91" t="s">
        <v>10</v>
      </c>
      <c r="F724" s="92">
        <v>75000</v>
      </c>
      <c r="G724" s="92">
        <v>7500000</v>
      </c>
    </row>
    <row r="725" spans="1:7" ht="15">
      <c r="A725" s="7" t="s">
        <v>1337</v>
      </c>
      <c r="B725" s="78" t="s">
        <v>516</v>
      </c>
      <c r="C725" s="79" t="s">
        <v>11</v>
      </c>
      <c r="D725" s="78"/>
      <c r="E725" s="80"/>
      <c r="F725" s="81"/>
      <c r="G725" s="81">
        <v>6000000</v>
      </c>
    </row>
    <row r="726" spans="1:7">
      <c r="A726" s="7" t="s">
        <v>1338</v>
      </c>
      <c r="B726" s="89" t="s">
        <v>195</v>
      </c>
      <c r="C726" s="90" t="s">
        <v>1339</v>
      </c>
      <c r="D726" s="89">
        <v>6</v>
      </c>
      <c r="E726" s="91" t="s">
        <v>12</v>
      </c>
      <c r="F726" s="92">
        <v>1000000</v>
      </c>
      <c r="G726" s="92">
        <v>6000000</v>
      </c>
    </row>
    <row r="727" spans="1:7" ht="15">
      <c r="A727" s="7" t="s">
        <v>1340</v>
      </c>
      <c r="B727" s="78" t="s">
        <v>513</v>
      </c>
      <c r="C727" s="79" t="s">
        <v>19</v>
      </c>
      <c r="D727" s="78"/>
      <c r="E727" s="80"/>
      <c r="F727" s="81"/>
      <c r="G727" s="81">
        <v>194471000</v>
      </c>
    </row>
    <row r="728" spans="1:7" ht="28.5">
      <c r="A728" s="7" t="s">
        <v>1341</v>
      </c>
      <c r="B728" s="89" t="s">
        <v>195</v>
      </c>
      <c r="C728" s="90" t="s">
        <v>1342</v>
      </c>
      <c r="D728" s="89">
        <v>30</v>
      </c>
      <c r="E728" s="91" t="s">
        <v>10</v>
      </c>
      <c r="F728" s="92">
        <v>6482000</v>
      </c>
      <c r="G728" s="92">
        <v>194471000</v>
      </c>
    </row>
    <row r="729" spans="1:7" ht="30">
      <c r="A729" s="7" t="s">
        <v>1343</v>
      </c>
      <c r="B729" s="97" t="s">
        <v>512</v>
      </c>
      <c r="C729" s="98" t="s">
        <v>140</v>
      </c>
      <c r="D729" s="97"/>
      <c r="E729" s="99"/>
      <c r="F729" s="100"/>
      <c r="G729" s="100">
        <v>11200000</v>
      </c>
    </row>
    <row r="730" spans="1:7" ht="15">
      <c r="A730" s="7" t="s">
        <v>1344</v>
      </c>
      <c r="B730" s="78" t="s">
        <v>503</v>
      </c>
      <c r="C730" s="79" t="s">
        <v>7</v>
      </c>
      <c r="D730" s="78"/>
      <c r="E730" s="80"/>
      <c r="F730" s="81"/>
      <c r="G730" s="81">
        <v>1200000</v>
      </c>
    </row>
    <row r="731" spans="1:7">
      <c r="A731" s="7" t="s">
        <v>1345</v>
      </c>
      <c r="B731" s="89" t="s">
        <v>195</v>
      </c>
      <c r="C731" s="90" t="s">
        <v>1346</v>
      </c>
      <c r="D731" s="89">
        <v>16</v>
      </c>
      <c r="E731" s="91" t="s">
        <v>10</v>
      </c>
      <c r="F731" s="92">
        <v>75000</v>
      </c>
      <c r="G731" s="92">
        <v>1200000</v>
      </c>
    </row>
    <row r="732" spans="1:7" ht="15">
      <c r="A732" s="7" t="s">
        <v>1347</v>
      </c>
      <c r="B732" s="78" t="s">
        <v>537</v>
      </c>
      <c r="C732" s="79" t="s">
        <v>64</v>
      </c>
      <c r="D732" s="78"/>
      <c r="E732" s="80"/>
      <c r="F732" s="81"/>
      <c r="G732" s="81">
        <v>4000000</v>
      </c>
    </row>
    <row r="733" spans="1:7">
      <c r="A733" s="7" t="s">
        <v>1348</v>
      </c>
      <c r="B733" s="89" t="s">
        <v>195</v>
      </c>
      <c r="C733" s="90" t="s">
        <v>619</v>
      </c>
      <c r="D733" s="89">
        <v>2</v>
      </c>
      <c r="E733" s="91" t="s">
        <v>9</v>
      </c>
      <c r="F733" s="92">
        <v>1000000</v>
      </c>
      <c r="G733" s="92">
        <v>2000000</v>
      </c>
    </row>
    <row r="734" spans="1:7">
      <c r="A734" s="7" t="s">
        <v>1349</v>
      </c>
      <c r="B734" s="89" t="s">
        <v>195</v>
      </c>
      <c r="C734" s="90" t="s">
        <v>620</v>
      </c>
      <c r="D734" s="89">
        <v>2</v>
      </c>
      <c r="E734" s="91" t="s">
        <v>9</v>
      </c>
      <c r="F734" s="92">
        <v>1000000</v>
      </c>
      <c r="G734" s="92">
        <v>2000000</v>
      </c>
    </row>
    <row r="735" spans="1:7" ht="15">
      <c r="A735" s="7" t="s">
        <v>1350</v>
      </c>
      <c r="B735" s="78" t="s">
        <v>513</v>
      </c>
      <c r="C735" s="79" t="s">
        <v>19</v>
      </c>
      <c r="D735" s="78"/>
      <c r="E735" s="80"/>
      <c r="F735" s="81"/>
      <c r="G735" s="81">
        <v>6000000</v>
      </c>
    </row>
    <row r="736" spans="1:7">
      <c r="A736" s="7" t="s">
        <v>1351</v>
      </c>
      <c r="B736" s="89" t="s">
        <v>195</v>
      </c>
      <c r="C736" s="90" t="s">
        <v>1352</v>
      </c>
      <c r="D736" s="89">
        <v>4</v>
      </c>
      <c r="E736" s="91" t="s">
        <v>10</v>
      </c>
      <c r="F736" s="92">
        <v>1500000</v>
      </c>
      <c r="G736" s="92">
        <v>6000000</v>
      </c>
    </row>
    <row r="737" spans="1:7" ht="15">
      <c r="A737" s="7" t="s">
        <v>1353</v>
      </c>
      <c r="B737" s="97" t="s">
        <v>514</v>
      </c>
      <c r="C737" s="98" t="s">
        <v>1354</v>
      </c>
      <c r="D737" s="97"/>
      <c r="E737" s="99"/>
      <c r="F737" s="100"/>
      <c r="G737" s="100">
        <v>8750000</v>
      </c>
    </row>
    <row r="738" spans="1:7" ht="15">
      <c r="A738" s="7" t="s">
        <v>1355</v>
      </c>
      <c r="B738" s="78" t="s">
        <v>503</v>
      </c>
      <c r="C738" s="79" t="s">
        <v>7</v>
      </c>
      <c r="D738" s="78"/>
      <c r="E738" s="80"/>
      <c r="F738" s="81"/>
      <c r="G738" s="81">
        <v>8750000</v>
      </c>
    </row>
    <row r="739" spans="1:7">
      <c r="A739" s="7" t="s">
        <v>1356</v>
      </c>
      <c r="B739" s="89" t="s">
        <v>195</v>
      </c>
      <c r="C739" s="90" t="s">
        <v>619</v>
      </c>
      <c r="D739" s="89">
        <v>1</v>
      </c>
      <c r="E739" s="91" t="s">
        <v>9</v>
      </c>
      <c r="F739" s="92">
        <v>1000000</v>
      </c>
      <c r="G739" s="92">
        <v>1000000</v>
      </c>
    </row>
    <row r="740" spans="1:7">
      <c r="A740" s="7" t="s">
        <v>1357</v>
      </c>
      <c r="B740" s="89" t="s">
        <v>195</v>
      </c>
      <c r="C740" s="90" t="s">
        <v>620</v>
      </c>
      <c r="D740" s="89">
        <v>1</v>
      </c>
      <c r="E740" s="91" t="s">
        <v>9</v>
      </c>
      <c r="F740" s="92">
        <v>1000000</v>
      </c>
      <c r="G740" s="92">
        <v>1000000</v>
      </c>
    </row>
    <row r="741" spans="1:7">
      <c r="A741" s="7" t="s">
        <v>1358</v>
      </c>
      <c r="B741" s="89" t="s">
        <v>195</v>
      </c>
      <c r="C741" s="90" t="s">
        <v>617</v>
      </c>
      <c r="D741" s="89">
        <v>1</v>
      </c>
      <c r="E741" s="91" t="s">
        <v>9</v>
      </c>
      <c r="F741" s="92">
        <v>750000</v>
      </c>
      <c r="G741" s="92">
        <v>750000</v>
      </c>
    </row>
    <row r="742" spans="1:7">
      <c r="A742" s="7" t="s">
        <v>1359</v>
      </c>
      <c r="B742" s="89" t="s">
        <v>195</v>
      </c>
      <c r="C742" s="90" t="s">
        <v>1360</v>
      </c>
      <c r="D742" s="89">
        <v>80</v>
      </c>
      <c r="E742" s="91" t="s">
        <v>10</v>
      </c>
      <c r="F742" s="92">
        <v>75000</v>
      </c>
      <c r="G742" s="92">
        <v>6000000</v>
      </c>
    </row>
    <row r="743" spans="1:7" ht="15">
      <c r="A743" s="7" t="s">
        <v>1361</v>
      </c>
      <c r="B743" s="97" t="s">
        <v>519</v>
      </c>
      <c r="C743" s="98" t="s">
        <v>1362</v>
      </c>
      <c r="D743" s="97"/>
      <c r="E743" s="99"/>
      <c r="F743" s="100"/>
      <c r="G743" s="100">
        <v>174450000</v>
      </c>
    </row>
    <row r="744" spans="1:7" ht="15">
      <c r="A744" s="7" t="s">
        <v>1363</v>
      </c>
      <c r="B744" s="78" t="s">
        <v>503</v>
      </c>
      <c r="C744" s="79" t="s">
        <v>7</v>
      </c>
      <c r="D744" s="78"/>
      <c r="E744" s="80"/>
      <c r="F744" s="81"/>
      <c r="G744" s="81">
        <v>10750000</v>
      </c>
    </row>
    <row r="745" spans="1:7">
      <c r="A745" s="7" t="s">
        <v>1364</v>
      </c>
      <c r="B745" s="89" t="s">
        <v>195</v>
      </c>
      <c r="C745" s="90" t="s">
        <v>619</v>
      </c>
      <c r="D745" s="89">
        <v>1</v>
      </c>
      <c r="E745" s="91" t="s">
        <v>9</v>
      </c>
      <c r="F745" s="92">
        <v>1000000</v>
      </c>
      <c r="G745" s="92">
        <v>1000000</v>
      </c>
    </row>
    <row r="746" spans="1:7">
      <c r="A746" s="7" t="s">
        <v>1365</v>
      </c>
      <c r="B746" s="89" t="s">
        <v>195</v>
      </c>
      <c r="C746" s="90" t="s">
        <v>1366</v>
      </c>
      <c r="D746" s="89">
        <v>1</v>
      </c>
      <c r="E746" s="91" t="s">
        <v>9</v>
      </c>
      <c r="F746" s="92">
        <v>1000000</v>
      </c>
      <c r="G746" s="92">
        <v>1000000</v>
      </c>
    </row>
    <row r="747" spans="1:7">
      <c r="A747" s="7" t="s">
        <v>1367</v>
      </c>
      <c r="B747" s="89" t="s">
        <v>195</v>
      </c>
      <c r="C747" s="90" t="s">
        <v>1368</v>
      </c>
      <c r="D747" s="89">
        <v>10</v>
      </c>
      <c r="E747" s="91" t="s">
        <v>1369</v>
      </c>
      <c r="F747" s="92">
        <v>425000</v>
      </c>
      <c r="G747" s="92">
        <v>4250000</v>
      </c>
    </row>
    <row r="748" spans="1:7">
      <c r="A748" s="7" t="s">
        <v>1370</v>
      </c>
      <c r="B748" s="89" t="s">
        <v>195</v>
      </c>
      <c r="C748" s="90" t="s">
        <v>1371</v>
      </c>
      <c r="D748" s="89">
        <v>60</v>
      </c>
      <c r="E748" s="91" t="s">
        <v>10</v>
      </c>
      <c r="F748" s="92">
        <v>75000</v>
      </c>
      <c r="G748" s="92">
        <v>4500000</v>
      </c>
    </row>
    <row r="749" spans="1:7" ht="15">
      <c r="A749" s="7" t="s">
        <v>1372</v>
      </c>
      <c r="B749" s="78" t="s">
        <v>516</v>
      </c>
      <c r="C749" s="79" t="s">
        <v>11</v>
      </c>
      <c r="D749" s="78"/>
      <c r="E749" s="80"/>
      <c r="F749" s="81"/>
      <c r="G749" s="81">
        <v>13700000</v>
      </c>
    </row>
    <row r="750" spans="1:7">
      <c r="A750" s="7" t="s">
        <v>1373</v>
      </c>
      <c r="B750" s="89" t="s">
        <v>195</v>
      </c>
      <c r="C750" s="90" t="s">
        <v>1374</v>
      </c>
      <c r="D750" s="89">
        <v>2</v>
      </c>
      <c r="E750" s="91" t="s">
        <v>12</v>
      </c>
      <c r="F750" s="92">
        <v>1000000</v>
      </c>
      <c r="G750" s="92">
        <v>2000000</v>
      </c>
    </row>
    <row r="751" spans="1:7">
      <c r="A751" s="7" t="s">
        <v>1375</v>
      </c>
      <c r="B751" s="89" t="s">
        <v>195</v>
      </c>
      <c r="C751" s="90" t="s">
        <v>1376</v>
      </c>
      <c r="D751" s="89">
        <v>4</v>
      </c>
      <c r="E751" s="91" t="s">
        <v>54</v>
      </c>
      <c r="F751" s="92">
        <v>900000</v>
      </c>
      <c r="G751" s="92">
        <v>3600000</v>
      </c>
    </row>
    <row r="752" spans="1:7" ht="28.5">
      <c r="A752" s="7" t="s">
        <v>1377</v>
      </c>
      <c r="B752" s="89" t="s">
        <v>195</v>
      </c>
      <c r="C752" s="90" t="s">
        <v>1378</v>
      </c>
      <c r="D752" s="89">
        <v>9</v>
      </c>
      <c r="E752" s="91" t="s">
        <v>54</v>
      </c>
      <c r="F752" s="92">
        <v>900000</v>
      </c>
      <c r="G752" s="92">
        <v>8100000</v>
      </c>
    </row>
    <row r="753" spans="1:7" ht="15">
      <c r="A753" s="7" t="s">
        <v>1379</v>
      </c>
      <c r="B753" s="78" t="s">
        <v>513</v>
      </c>
      <c r="C753" s="79" t="s">
        <v>19</v>
      </c>
      <c r="D753" s="78"/>
      <c r="E753" s="80"/>
      <c r="F753" s="81"/>
      <c r="G753" s="81">
        <v>150000000</v>
      </c>
    </row>
    <row r="754" spans="1:7">
      <c r="A754" s="7" t="s">
        <v>1380</v>
      </c>
      <c r="B754" s="89" t="s">
        <v>195</v>
      </c>
      <c r="C754" s="90" t="s">
        <v>1381</v>
      </c>
      <c r="D754" s="89">
        <v>15</v>
      </c>
      <c r="E754" s="91" t="s">
        <v>25</v>
      </c>
      <c r="F754" s="92">
        <v>6000000</v>
      </c>
      <c r="G754" s="92">
        <v>90000000</v>
      </c>
    </row>
    <row r="755" spans="1:7">
      <c r="A755" s="7" t="s">
        <v>1382</v>
      </c>
      <c r="B755" s="89" t="s">
        <v>195</v>
      </c>
      <c r="C755" s="90" t="s">
        <v>1383</v>
      </c>
      <c r="D755" s="89">
        <v>10</v>
      </c>
      <c r="E755" s="91" t="s">
        <v>25</v>
      </c>
      <c r="F755" s="92">
        <v>6000000</v>
      </c>
      <c r="G755" s="92">
        <v>60000000</v>
      </c>
    </row>
    <row r="756" spans="1:7" ht="30">
      <c r="A756" s="7" t="s">
        <v>1384</v>
      </c>
      <c r="B756" s="97" t="s">
        <v>578</v>
      </c>
      <c r="C756" s="98" t="s">
        <v>141</v>
      </c>
      <c r="D756" s="97"/>
      <c r="E756" s="99"/>
      <c r="F756" s="100"/>
      <c r="G756" s="100">
        <v>420000000</v>
      </c>
    </row>
    <row r="757" spans="1:7" ht="15">
      <c r="A757" s="7" t="s">
        <v>1385</v>
      </c>
      <c r="B757" s="78" t="s">
        <v>513</v>
      </c>
      <c r="C757" s="79" t="s">
        <v>19</v>
      </c>
      <c r="D757" s="78"/>
      <c r="E757" s="80"/>
      <c r="F757" s="81"/>
      <c r="G757" s="81">
        <v>420000000</v>
      </c>
    </row>
    <row r="758" spans="1:7">
      <c r="A758" s="7" t="s">
        <v>1386</v>
      </c>
      <c r="B758" s="89" t="s">
        <v>195</v>
      </c>
      <c r="C758" s="90" t="s">
        <v>1387</v>
      </c>
      <c r="D758" s="89">
        <v>70</v>
      </c>
      <c r="E758" s="91" t="s">
        <v>25</v>
      </c>
      <c r="F758" s="92">
        <v>6000000</v>
      </c>
      <c r="G758" s="92">
        <v>420000000</v>
      </c>
    </row>
    <row r="759" spans="1:7" ht="30">
      <c r="A759" s="7" t="s">
        <v>1388</v>
      </c>
      <c r="B759" s="93" t="s">
        <v>833</v>
      </c>
      <c r="C759" s="94" t="s">
        <v>1389</v>
      </c>
      <c r="D759" s="93"/>
      <c r="E759" s="95"/>
      <c r="F759" s="96"/>
      <c r="G759" s="96">
        <v>2736502000</v>
      </c>
    </row>
    <row r="760" spans="1:7" ht="15">
      <c r="A760" s="7" t="s">
        <v>1390</v>
      </c>
      <c r="B760" s="97" t="s">
        <v>8</v>
      </c>
      <c r="C760" s="98" t="s">
        <v>148</v>
      </c>
      <c r="D760" s="97"/>
      <c r="E760" s="99"/>
      <c r="F760" s="100"/>
      <c r="G760" s="100">
        <v>42100000</v>
      </c>
    </row>
    <row r="761" spans="1:7" ht="15">
      <c r="A761" s="7" t="s">
        <v>1391</v>
      </c>
      <c r="B761" s="78" t="s">
        <v>503</v>
      </c>
      <c r="C761" s="79" t="s">
        <v>7</v>
      </c>
      <c r="D761" s="78"/>
      <c r="E761" s="80"/>
      <c r="F761" s="81"/>
      <c r="G761" s="81">
        <v>22000000</v>
      </c>
    </row>
    <row r="762" spans="1:7">
      <c r="A762" s="7" t="s">
        <v>1392</v>
      </c>
      <c r="B762" s="89" t="s">
        <v>195</v>
      </c>
      <c r="C762" s="90" t="s">
        <v>619</v>
      </c>
      <c r="D762" s="89">
        <v>4</v>
      </c>
      <c r="E762" s="91" t="s">
        <v>9</v>
      </c>
      <c r="F762" s="92">
        <v>1500000</v>
      </c>
      <c r="G762" s="92">
        <v>6000000</v>
      </c>
    </row>
    <row r="763" spans="1:7">
      <c r="A763" s="7" t="s">
        <v>1393</v>
      </c>
      <c r="B763" s="89" t="s">
        <v>195</v>
      </c>
      <c r="C763" s="90" t="s">
        <v>620</v>
      </c>
      <c r="D763" s="89">
        <v>4</v>
      </c>
      <c r="E763" s="91" t="s">
        <v>9</v>
      </c>
      <c r="F763" s="92">
        <v>1000000</v>
      </c>
      <c r="G763" s="92">
        <v>4000000</v>
      </c>
    </row>
    <row r="764" spans="1:7">
      <c r="A764" s="7" t="s">
        <v>1394</v>
      </c>
      <c r="B764" s="89" t="s">
        <v>195</v>
      </c>
      <c r="C764" s="90" t="s">
        <v>617</v>
      </c>
      <c r="D764" s="89">
        <v>4</v>
      </c>
      <c r="E764" s="91" t="s">
        <v>9</v>
      </c>
      <c r="F764" s="92">
        <v>1500000</v>
      </c>
      <c r="G764" s="92">
        <v>6000000</v>
      </c>
    </row>
    <row r="765" spans="1:7">
      <c r="A765" s="7" t="s">
        <v>1395</v>
      </c>
      <c r="B765" s="89" t="s">
        <v>195</v>
      </c>
      <c r="C765" s="90" t="s">
        <v>1396</v>
      </c>
      <c r="D765" s="89">
        <v>12</v>
      </c>
      <c r="E765" s="91" t="s">
        <v>176</v>
      </c>
      <c r="F765" s="92">
        <v>500000</v>
      </c>
      <c r="G765" s="92">
        <v>6000000</v>
      </c>
    </row>
    <row r="766" spans="1:7" ht="15">
      <c r="A766" s="7" t="s">
        <v>1397</v>
      </c>
      <c r="B766" s="78" t="s">
        <v>513</v>
      </c>
      <c r="C766" s="79" t="s">
        <v>19</v>
      </c>
      <c r="D766" s="78"/>
      <c r="E766" s="80"/>
      <c r="F766" s="81"/>
      <c r="G766" s="81">
        <v>18000000</v>
      </c>
    </row>
    <row r="767" spans="1:7">
      <c r="A767" s="7" t="s">
        <v>1398</v>
      </c>
      <c r="B767" s="89" t="s">
        <v>195</v>
      </c>
      <c r="C767" s="90" t="s">
        <v>1399</v>
      </c>
      <c r="D767" s="89">
        <v>6</v>
      </c>
      <c r="E767" s="91" t="s">
        <v>10</v>
      </c>
      <c r="F767" s="92">
        <v>3000000</v>
      </c>
      <c r="G767" s="92">
        <v>18000000</v>
      </c>
    </row>
    <row r="768" spans="1:7" ht="15">
      <c r="A768" s="7" t="s">
        <v>1400</v>
      </c>
      <c r="B768" s="78" t="s">
        <v>507</v>
      </c>
      <c r="C768" s="79" t="s">
        <v>13</v>
      </c>
      <c r="D768" s="78"/>
      <c r="E768" s="80"/>
      <c r="F768" s="81"/>
      <c r="G768" s="81">
        <v>2100000</v>
      </c>
    </row>
    <row r="769" spans="1:7">
      <c r="A769" s="7" t="s">
        <v>1401</v>
      </c>
      <c r="B769" s="89" t="s">
        <v>195</v>
      </c>
      <c r="C769" s="90" t="s">
        <v>1402</v>
      </c>
      <c r="D769" s="89">
        <v>14</v>
      </c>
      <c r="E769" s="91" t="s">
        <v>10</v>
      </c>
      <c r="F769" s="92">
        <v>150000</v>
      </c>
      <c r="G769" s="92">
        <v>2100000</v>
      </c>
    </row>
    <row r="770" spans="1:7" ht="15">
      <c r="A770" s="7" t="s">
        <v>1403</v>
      </c>
      <c r="B770" s="97" t="s">
        <v>511</v>
      </c>
      <c r="C770" s="98" t="s">
        <v>150</v>
      </c>
      <c r="D770" s="97"/>
      <c r="E770" s="99"/>
      <c r="F770" s="100"/>
      <c r="G770" s="100">
        <v>571380000</v>
      </c>
    </row>
    <row r="771" spans="1:7" ht="15">
      <c r="A771" s="7" t="s">
        <v>1404</v>
      </c>
      <c r="B771" s="78" t="s">
        <v>503</v>
      </c>
      <c r="C771" s="79" t="s">
        <v>7</v>
      </c>
      <c r="D771" s="78"/>
      <c r="E771" s="80"/>
      <c r="F771" s="81"/>
      <c r="G771" s="81">
        <v>10000000</v>
      </c>
    </row>
    <row r="772" spans="1:7">
      <c r="A772" s="7" t="s">
        <v>1405</v>
      </c>
      <c r="B772" s="89" t="s">
        <v>195</v>
      </c>
      <c r="C772" s="90" t="s">
        <v>619</v>
      </c>
      <c r="D772" s="89">
        <v>4</v>
      </c>
      <c r="E772" s="91" t="s">
        <v>9</v>
      </c>
      <c r="F772" s="92">
        <v>1500000</v>
      </c>
      <c r="G772" s="92">
        <v>6000000</v>
      </c>
    </row>
    <row r="773" spans="1:7">
      <c r="A773" s="7" t="s">
        <v>1406</v>
      </c>
      <c r="B773" s="89" t="s">
        <v>195</v>
      </c>
      <c r="C773" s="90" t="s">
        <v>620</v>
      </c>
      <c r="D773" s="89">
        <v>4</v>
      </c>
      <c r="E773" s="91" t="s">
        <v>9</v>
      </c>
      <c r="F773" s="92">
        <v>1000000</v>
      </c>
      <c r="G773" s="92">
        <v>4000000</v>
      </c>
    </row>
    <row r="774" spans="1:7" ht="15">
      <c r="A774" s="7" t="s">
        <v>1407</v>
      </c>
      <c r="B774" s="78" t="s">
        <v>533</v>
      </c>
      <c r="C774" s="79" t="s">
        <v>53</v>
      </c>
      <c r="D774" s="78"/>
      <c r="E774" s="80"/>
      <c r="F774" s="81"/>
      <c r="G774" s="81">
        <v>7800000</v>
      </c>
    </row>
    <row r="775" spans="1:7">
      <c r="A775" s="7" t="s">
        <v>1408</v>
      </c>
      <c r="B775" s="89" t="s">
        <v>195</v>
      </c>
      <c r="C775" s="90" t="s">
        <v>785</v>
      </c>
      <c r="D775" s="89">
        <v>12</v>
      </c>
      <c r="E775" s="91" t="s">
        <v>66</v>
      </c>
      <c r="F775" s="92">
        <v>650000</v>
      </c>
      <c r="G775" s="92">
        <v>7800000</v>
      </c>
    </row>
    <row r="776" spans="1:7" ht="15">
      <c r="A776" s="7" t="s">
        <v>1409</v>
      </c>
      <c r="B776" s="78" t="s">
        <v>518</v>
      </c>
      <c r="C776" s="79" t="s">
        <v>24</v>
      </c>
      <c r="D776" s="78"/>
      <c r="E776" s="80"/>
      <c r="F776" s="81"/>
      <c r="G776" s="81">
        <v>39080000</v>
      </c>
    </row>
    <row r="777" spans="1:7">
      <c r="A777" s="7" t="s">
        <v>1410</v>
      </c>
      <c r="B777" s="89" t="s">
        <v>195</v>
      </c>
      <c r="C777" s="90" t="s">
        <v>1411</v>
      </c>
      <c r="D777" s="89">
        <v>80</v>
      </c>
      <c r="E777" s="91" t="s">
        <v>25</v>
      </c>
      <c r="F777" s="92">
        <v>488000</v>
      </c>
      <c r="G777" s="92">
        <v>39080000</v>
      </c>
    </row>
    <row r="778" spans="1:7" ht="15">
      <c r="A778" s="7" t="s">
        <v>1412</v>
      </c>
      <c r="B778" s="78" t="s">
        <v>513</v>
      </c>
      <c r="C778" s="79" t="s">
        <v>19</v>
      </c>
      <c r="D778" s="78"/>
      <c r="E778" s="80"/>
      <c r="F778" s="81"/>
      <c r="G778" s="81">
        <v>514500000</v>
      </c>
    </row>
    <row r="779" spans="1:7">
      <c r="A779" s="7" t="s">
        <v>1413</v>
      </c>
      <c r="B779" s="89" t="s">
        <v>195</v>
      </c>
      <c r="C779" s="90" t="s">
        <v>1414</v>
      </c>
      <c r="D779" s="89">
        <v>55</v>
      </c>
      <c r="E779" s="91" t="s">
        <v>10</v>
      </c>
      <c r="F779" s="92">
        <v>6075000</v>
      </c>
      <c r="G779" s="92">
        <v>334125000</v>
      </c>
    </row>
    <row r="780" spans="1:7" ht="28.5">
      <c r="A780" s="7" t="s">
        <v>1415</v>
      </c>
      <c r="B780" s="89" t="s">
        <v>195</v>
      </c>
      <c r="C780" s="90" t="s">
        <v>1416</v>
      </c>
      <c r="D780" s="89">
        <v>30</v>
      </c>
      <c r="E780" s="91" t="s">
        <v>776</v>
      </c>
      <c r="F780" s="92">
        <v>6012000</v>
      </c>
      <c r="G780" s="92">
        <v>180375000</v>
      </c>
    </row>
    <row r="781" spans="1:7" ht="30">
      <c r="A781" s="7" t="s">
        <v>1417</v>
      </c>
      <c r="B781" s="97" t="s">
        <v>512</v>
      </c>
      <c r="C781" s="98" t="s">
        <v>1418</v>
      </c>
      <c r="D781" s="97"/>
      <c r="E781" s="99"/>
      <c r="F781" s="100"/>
      <c r="G781" s="100">
        <v>83500000</v>
      </c>
    </row>
    <row r="782" spans="1:7" ht="15">
      <c r="A782" s="7" t="s">
        <v>1419</v>
      </c>
      <c r="B782" s="78" t="s">
        <v>503</v>
      </c>
      <c r="C782" s="79" t="s">
        <v>7</v>
      </c>
      <c r="D782" s="78"/>
      <c r="E782" s="80"/>
      <c r="F782" s="81"/>
      <c r="G782" s="81">
        <v>46000000</v>
      </c>
    </row>
    <row r="783" spans="1:7">
      <c r="A783" s="7" t="s">
        <v>1420</v>
      </c>
      <c r="B783" s="89" t="s">
        <v>195</v>
      </c>
      <c r="C783" s="90" t="s">
        <v>1421</v>
      </c>
      <c r="D783" s="89">
        <v>500</v>
      </c>
      <c r="E783" s="91" t="s">
        <v>1422</v>
      </c>
      <c r="F783" s="92">
        <v>36000</v>
      </c>
      <c r="G783" s="92">
        <v>18000000</v>
      </c>
    </row>
    <row r="784" spans="1:7">
      <c r="A784" s="7" t="s">
        <v>1423</v>
      </c>
      <c r="B784" s="89" t="s">
        <v>195</v>
      </c>
      <c r="C784" s="90" t="s">
        <v>617</v>
      </c>
      <c r="D784" s="89">
        <v>4</v>
      </c>
      <c r="E784" s="91" t="s">
        <v>9</v>
      </c>
      <c r="F784" s="92">
        <v>1500000</v>
      </c>
      <c r="G784" s="92">
        <v>6000000</v>
      </c>
    </row>
    <row r="785" spans="1:7">
      <c r="A785" s="7" t="s">
        <v>1424</v>
      </c>
      <c r="B785" s="89" t="s">
        <v>195</v>
      </c>
      <c r="C785" s="90" t="s">
        <v>619</v>
      </c>
      <c r="D785" s="89">
        <v>4</v>
      </c>
      <c r="E785" s="91" t="s">
        <v>9</v>
      </c>
      <c r="F785" s="92">
        <v>1000000</v>
      </c>
      <c r="G785" s="92">
        <v>4000000</v>
      </c>
    </row>
    <row r="786" spans="1:7">
      <c r="A786" s="7" t="s">
        <v>1425</v>
      </c>
      <c r="B786" s="89" t="s">
        <v>195</v>
      </c>
      <c r="C786" s="90" t="s">
        <v>620</v>
      </c>
      <c r="D786" s="89">
        <v>4</v>
      </c>
      <c r="E786" s="91" t="s">
        <v>9</v>
      </c>
      <c r="F786" s="92">
        <v>1500000</v>
      </c>
      <c r="G786" s="92">
        <v>6000000</v>
      </c>
    </row>
    <row r="787" spans="1:7">
      <c r="A787" s="7" t="s">
        <v>1426</v>
      </c>
      <c r="B787" s="89" t="s">
        <v>195</v>
      </c>
      <c r="C787" s="90" t="s">
        <v>1427</v>
      </c>
      <c r="D787" s="89">
        <v>24</v>
      </c>
      <c r="E787" s="91" t="s">
        <v>176</v>
      </c>
      <c r="F787" s="92">
        <v>500000</v>
      </c>
      <c r="G787" s="92">
        <v>12000000</v>
      </c>
    </row>
    <row r="788" spans="1:7" ht="15">
      <c r="A788" s="7" t="s">
        <v>1428</v>
      </c>
      <c r="B788" s="78" t="s">
        <v>564</v>
      </c>
      <c r="C788" s="79" t="s">
        <v>95</v>
      </c>
      <c r="D788" s="78"/>
      <c r="E788" s="80"/>
      <c r="F788" s="81"/>
      <c r="G788" s="81">
        <v>6000000</v>
      </c>
    </row>
    <row r="789" spans="1:7">
      <c r="A789" s="7" t="s">
        <v>1429</v>
      </c>
      <c r="B789" s="89" t="s">
        <v>195</v>
      </c>
      <c r="C789" s="90" t="s">
        <v>1430</v>
      </c>
      <c r="D789" s="89">
        <v>4</v>
      </c>
      <c r="E789" s="91" t="s">
        <v>149</v>
      </c>
      <c r="F789" s="92">
        <v>1500000</v>
      </c>
      <c r="G789" s="92">
        <v>6000000</v>
      </c>
    </row>
    <row r="790" spans="1:7" ht="15">
      <c r="A790" s="7" t="s">
        <v>1431</v>
      </c>
      <c r="B790" s="78" t="s">
        <v>513</v>
      </c>
      <c r="C790" s="79" t="s">
        <v>19</v>
      </c>
      <c r="D790" s="78"/>
      <c r="E790" s="80"/>
      <c r="F790" s="81"/>
      <c r="G790" s="81">
        <v>27000000</v>
      </c>
    </row>
    <row r="791" spans="1:7" ht="28.5">
      <c r="A791" s="7" t="s">
        <v>1432</v>
      </c>
      <c r="B791" s="89" t="s">
        <v>195</v>
      </c>
      <c r="C791" s="90" t="s">
        <v>1433</v>
      </c>
      <c r="D791" s="89">
        <v>9</v>
      </c>
      <c r="E791" s="91" t="s">
        <v>10</v>
      </c>
      <c r="F791" s="92">
        <v>3000000</v>
      </c>
      <c r="G791" s="92">
        <v>27000000</v>
      </c>
    </row>
    <row r="792" spans="1:7" ht="15">
      <c r="A792" s="7" t="s">
        <v>1434</v>
      </c>
      <c r="B792" s="78" t="s">
        <v>507</v>
      </c>
      <c r="C792" s="79" t="s">
        <v>13</v>
      </c>
      <c r="D792" s="78"/>
      <c r="E792" s="80"/>
      <c r="F792" s="81"/>
      <c r="G792" s="81">
        <v>4500000</v>
      </c>
    </row>
    <row r="793" spans="1:7">
      <c r="A793" s="7" t="s">
        <v>1435</v>
      </c>
      <c r="B793" s="89" t="s">
        <v>195</v>
      </c>
      <c r="C793" s="90" t="s">
        <v>1436</v>
      </c>
      <c r="D793" s="89">
        <v>30</v>
      </c>
      <c r="E793" s="91" t="s">
        <v>10</v>
      </c>
      <c r="F793" s="92">
        <v>150000</v>
      </c>
      <c r="G793" s="92">
        <v>4500000</v>
      </c>
    </row>
    <row r="794" spans="1:7" ht="30">
      <c r="A794" s="7" t="s">
        <v>1437</v>
      </c>
      <c r="B794" s="97" t="s">
        <v>514</v>
      </c>
      <c r="C794" s="98" t="s">
        <v>151</v>
      </c>
      <c r="D794" s="97"/>
      <c r="E794" s="99"/>
      <c r="F794" s="100"/>
      <c r="G794" s="100">
        <v>101050000</v>
      </c>
    </row>
    <row r="795" spans="1:7" ht="15">
      <c r="A795" s="7" t="s">
        <v>1438</v>
      </c>
      <c r="B795" s="78" t="s">
        <v>503</v>
      </c>
      <c r="C795" s="79" t="s">
        <v>7</v>
      </c>
      <c r="D795" s="78"/>
      <c r="E795" s="80"/>
      <c r="F795" s="81"/>
      <c r="G795" s="81">
        <v>28000000</v>
      </c>
    </row>
    <row r="796" spans="1:7">
      <c r="A796" s="7" t="s">
        <v>1439</v>
      </c>
      <c r="B796" s="89" t="s">
        <v>195</v>
      </c>
      <c r="C796" s="90" t="s">
        <v>619</v>
      </c>
      <c r="D796" s="89">
        <v>4</v>
      </c>
      <c r="E796" s="91" t="s">
        <v>9</v>
      </c>
      <c r="F796" s="92">
        <v>1000000</v>
      </c>
      <c r="G796" s="92">
        <v>4000000</v>
      </c>
    </row>
    <row r="797" spans="1:7">
      <c r="A797" s="7" t="s">
        <v>1440</v>
      </c>
      <c r="B797" s="89" t="s">
        <v>195</v>
      </c>
      <c r="C797" s="90" t="s">
        <v>620</v>
      </c>
      <c r="D797" s="89">
        <v>4</v>
      </c>
      <c r="E797" s="91" t="s">
        <v>9</v>
      </c>
      <c r="F797" s="92">
        <v>1500000</v>
      </c>
      <c r="G797" s="92">
        <v>6000000</v>
      </c>
    </row>
    <row r="798" spans="1:7">
      <c r="A798" s="7" t="s">
        <v>1441</v>
      </c>
      <c r="B798" s="89" t="s">
        <v>195</v>
      </c>
      <c r="C798" s="90" t="s">
        <v>617</v>
      </c>
      <c r="D798" s="89">
        <v>4</v>
      </c>
      <c r="E798" s="91" t="s">
        <v>9</v>
      </c>
      <c r="F798" s="92">
        <v>1500000</v>
      </c>
      <c r="G798" s="92">
        <v>6000000</v>
      </c>
    </row>
    <row r="799" spans="1:7">
      <c r="A799" s="7" t="s">
        <v>1442</v>
      </c>
      <c r="B799" s="89" t="s">
        <v>195</v>
      </c>
      <c r="C799" s="90" t="s">
        <v>1427</v>
      </c>
      <c r="D799" s="89">
        <v>24</v>
      </c>
      <c r="E799" s="91" t="s">
        <v>176</v>
      </c>
      <c r="F799" s="92">
        <v>500000</v>
      </c>
      <c r="G799" s="92">
        <v>12000000</v>
      </c>
    </row>
    <row r="800" spans="1:7" ht="15">
      <c r="A800" s="7" t="s">
        <v>1443</v>
      </c>
      <c r="B800" s="78" t="s">
        <v>513</v>
      </c>
      <c r="C800" s="79" t="s">
        <v>19</v>
      </c>
      <c r="D800" s="78"/>
      <c r="E800" s="80"/>
      <c r="F800" s="81"/>
      <c r="G800" s="81">
        <v>71250000</v>
      </c>
    </row>
    <row r="801" spans="1:7" ht="28.5">
      <c r="A801" s="7" t="s">
        <v>1444</v>
      </c>
      <c r="B801" s="89" t="s">
        <v>195</v>
      </c>
      <c r="C801" s="90" t="s">
        <v>1445</v>
      </c>
      <c r="D801" s="89">
        <v>15</v>
      </c>
      <c r="E801" s="91" t="s">
        <v>10</v>
      </c>
      <c r="F801" s="92">
        <v>4750000</v>
      </c>
      <c r="G801" s="92">
        <v>71250000</v>
      </c>
    </row>
    <row r="802" spans="1:7" ht="15">
      <c r="A802" s="7" t="s">
        <v>1446</v>
      </c>
      <c r="B802" s="78" t="s">
        <v>507</v>
      </c>
      <c r="C802" s="79" t="s">
        <v>13</v>
      </c>
      <c r="D802" s="78"/>
      <c r="E802" s="80"/>
      <c r="F802" s="81"/>
      <c r="G802" s="81">
        <v>1800000</v>
      </c>
    </row>
    <row r="803" spans="1:7">
      <c r="A803" s="7" t="s">
        <v>1447</v>
      </c>
      <c r="B803" s="89" t="s">
        <v>195</v>
      </c>
      <c r="C803" s="90" t="s">
        <v>1436</v>
      </c>
      <c r="D803" s="89">
        <v>12</v>
      </c>
      <c r="E803" s="91" t="s">
        <v>10</v>
      </c>
      <c r="F803" s="92">
        <v>150000</v>
      </c>
      <c r="G803" s="92">
        <v>1800000</v>
      </c>
    </row>
    <row r="804" spans="1:7" ht="15">
      <c r="A804" s="7" t="s">
        <v>1448</v>
      </c>
      <c r="B804" s="97" t="s">
        <v>519</v>
      </c>
      <c r="C804" s="98" t="s">
        <v>152</v>
      </c>
      <c r="D804" s="97"/>
      <c r="E804" s="99"/>
      <c r="F804" s="100"/>
      <c r="G804" s="100">
        <v>388472000</v>
      </c>
    </row>
    <row r="805" spans="1:7" ht="15">
      <c r="A805" s="7" t="s">
        <v>1449</v>
      </c>
      <c r="B805" s="78" t="s">
        <v>503</v>
      </c>
      <c r="C805" s="79" t="s">
        <v>7</v>
      </c>
      <c r="D805" s="78"/>
      <c r="E805" s="80"/>
      <c r="F805" s="81"/>
      <c r="G805" s="81">
        <v>46000000</v>
      </c>
    </row>
    <row r="806" spans="1:7">
      <c r="A806" s="7" t="s">
        <v>1450</v>
      </c>
      <c r="B806" s="89" t="s">
        <v>195</v>
      </c>
      <c r="C806" s="90" t="s">
        <v>617</v>
      </c>
      <c r="D806" s="89">
        <v>4</v>
      </c>
      <c r="E806" s="91" t="s">
        <v>9</v>
      </c>
      <c r="F806" s="92">
        <v>1500000</v>
      </c>
      <c r="G806" s="92">
        <v>6000000</v>
      </c>
    </row>
    <row r="807" spans="1:7">
      <c r="A807" s="7" t="s">
        <v>1451</v>
      </c>
      <c r="B807" s="89" t="s">
        <v>195</v>
      </c>
      <c r="C807" s="90" t="s">
        <v>619</v>
      </c>
      <c r="D807" s="89">
        <v>4</v>
      </c>
      <c r="E807" s="91" t="s">
        <v>9</v>
      </c>
      <c r="F807" s="92">
        <v>1000000</v>
      </c>
      <c r="G807" s="92">
        <v>4000000</v>
      </c>
    </row>
    <row r="808" spans="1:7">
      <c r="A808" s="7" t="s">
        <v>1452</v>
      </c>
      <c r="B808" s="89" t="s">
        <v>195</v>
      </c>
      <c r="C808" s="90" t="s">
        <v>620</v>
      </c>
      <c r="D808" s="89">
        <v>4</v>
      </c>
      <c r="E808" s="91" t="s">
        <v>9</v>
      </c>
      <c r="F808" s="92">
        <v>1500000</v>
      </c>
      <c r="G808" s="92">
        <v>6000000</v>
      </c>
    </row>
    <row r="809" spans="1:7" ht="28.5">
      <c r="A809" s="7" t="s">
        <v>1453</v>
      </c>
      <c r="B809" s="89" t="s">
        <v>195</v>
      </c>
      <c r="C809" s="90" t="s">
        <v>1454</v>
      </c>
      <c r="D809" s="89">
        <v>60</v>
      </c>
      <c r="E809" s="91" t="s">
        <v>176</v>
      </c>
      <c r="F809" s="92">
        <v>500000</v>
      </c>
      <c r="G809" s="92">
        <v>30000000</v>
      </c>
    </row>
    <row r="810" spans="1:7" ht="30">
      <c r="A810" s="7" t="s">
        <v>1455</v>
      </c>
      <c r="B810" s="78" t="s">
        <v>515</v>
      </c>
      <c r="C810" s="79" t="s">
        <v>642</v>
      </c>
      <c r="D810" s="78"/>
      <c r="E810" s="80"/>
      <c r="F810" s="81"/>
      <c r="G810" s="81">
        <v>249600000</v>
      </c>
    </row>
    <row r="811" spans="1:7">
      <c r="A811" s="7" t="s">
        <v>1456</v>
      </c>
      <c r="B811" s="89" t="s">
        <v>195</v>
      </c>
      <c r="C811" s="90" t="s">
        <v>1457</v>
      </c>
      <c r="D811" s="89">
        <v>720</v>
      </c>
      <c r="E811" s="91" t="s">
        <v>32</v>
      </c>
      <c r="F811" s="92">
        <v>200000</v>
      </c>
      <c r="G811" s="92">
        <v>144000000</v>
      </c>
    </row>
    <row r="812" spans="1:7" ht="28.5">
      <c r="A812" s="7" t="s">
        <v>1458</v>
      </c>
      <c r="B812" s="89" t="s">
        <v>195</v>
      </c>
      <c r="C812" s="90" t="s">
        <v>1459</v>
      </c>
      <c r="D812" s="89">
        <v>360</v>
      </c>
      <c r="E812" s="91" t="s">
        <v>776</v>
      </c>
      <c r="F812" s="92">
        <v>280000</v>
      </c>
      <c r="G812" s="92">
        <v>100800000</v>
      </c>
    </row>
    <row r="813" spans="1:7">
      <c r="A813" s="7" t="s">
        <v>1460</v>
      </c>
      <c r="B813" s="89" t="s">
        <v>195</v>
      </c>
      <c r="C813" s="90" t="s">
        <v>1461</v>
      </c>
      <c r="D813" s="89">
        <v>12</v>
      </c>
      <c r="E813" s="91" t="s">
        <v>32</v>
      </c>
      <c r="F813" s="92">
        <v>400000</v>
      </c>
      <c r="G813" s="92">
        <v>4800000</v>
      </c>
    </row>
    <row r="814" spans="1:7" ht="15">
      <c r="A814" s="7" t="s">
        <v>1462</v>
      </c>
      <c r="B814" s="78" t="s">
        <v>518</v>
      </c>
      <c r="C814" s="79" t="s">
        <v>24</v>
      </c>
      <c r="D814" s="78"/>
      <c r="E814" s="80"/>
      <c r="F814" s="81"/>
      <c r="G814" s="81">
        <v>48000000</v>
      </c>
    </row>
    <row r="815" spans="1:7">
      <c r="A815" s="7" t="s">
        <v>1463</v>
      </c>
      <c r="B815" s="89" t="s">
        <v>195</v>
      </c>
      <c r="C815" s="90" t="s">
        <v>1411</v>
      </c>
      <c r="D815" s="89">
        <v>480</v>
      </c>
      <c r="E815" s="91" t="s">
        <v>25</v>
      </c>
      <c r="F815" s="92">
        <v>100000</v>
      </c>
      <c r="G815" s="92">
        <v>48000000</v>
      </c>
    </row>
    <row r="816" spans="1:7" ht="15">
      <c r="A816" s="7" t="s">
        <v>1464</v>
      </c>
      <c r="B816" s="78" t="s">
        <v>513</v>
      </c>
      <c r="C816" s="79" t="s">
        <v>19</v>
      </c>
      <c r="D816" s="78"/>
      <c r="E816" s="80"/>
      <c r="F816" s="81"/>
      <c r="G816" s="81">
        <v>42772000</v>
      </c>
    </row>
    <row r="817" spans="1:7">
      <c r="A817" s="7" t="s">
        <v>1465</v>
      </c>
      <c r="B817" s="89" t="s">
        <v>195</v>
      </c>
      <c r="C817" s="90" t="s">
        <v>1466</v>
      </c>
      <c r="D817" s="89">
        <v>10</v>
      </c>
      <c r="E817" s="91" t="s">
        <v>10</v>
      </c>
      <c r="F817" s="92">
        <v>4277000</v>
      </c>
      <c r="G817" s="92">
        <v>42772000</v>
      </c>
    </row>
    <row r="818" spans="1:7" ht="15">
      <c r="A818" s="7" t="s">
        <v>1467</v>
      </c>
      <c r="B818" s="78" t="s">
        <v>507</v>
      </c>
      <c r="C818" s="79" t="s">
        <v>13</v>
      </c>
      <c r="D818" s="78"/>
      <c r="E818" s="80"/>
      <c r="F818" s="81"/>
      <c r="G818" s="81">
        <v>2100000</v>
      </c>
    </row>
    <row r="819" spans="1:7">
      <c r="A819" s="7" t="s">
        <v>1468</v>
      </c>
      <c r="B819" s="89" t="s">
        <v>195</v>
      </c>
      <c r="C819" s="90" t="s">
        <v>1436</v>
      </c>
      <c r="D819" s="89">
        <v>14</v>
      </c>
      <c r="E819" s="91" t="s">
        <v>10</v>
      </c>
      <c r="F819" s="92">
        <v>150000</v>
      </c>
      <c r="G819" s="92">
        <v>2100000</v>
      </c>
    </row>
    <row r="820" spans="1:7" ht="30">
      <c r="A820" s="7" t="s">
        <v>1469</v>
      </c>
      <c r="B820" s="97" t="s">
        <v>578</v>
      </c>
      <c r="C820" s="98" t="s">
        <v>154</v>
      </c>
      <c r="D820" s="97"/>
      <c r="E820" s="99"/>
      <c r="F820" s="100"/>
      <c r="G820" s="100">
        <v>450000000</v>
      </c>
    </row>
    <row r="821" spans="1:7" ht="15">
      <c r="A821" s="7" t="s">
        <v>1470</v>
      </c>
      <c r="B821" s="78" t="s">
        <v>503</v>
      </c>
      <c r="C821" s="79" t="s">
        <v>7</v>
      </c>
      <c r="D821" s="78"/>
      <c r="E821" s="80"/>
      <c r="F821" s="81"/>
      <c r="G821" s="81">
        <v>32000000</v>
      </c>
    </row>
    <row r="822" spans="1:7">
      <c r="A822" s="7" t="s">
        <v>1471</v>
      </c>
      <c r="B822" s="89" t="s">
        <v>195</v>
      </c>
      <c r="C822" s="90" t="s">
        <v>617</v>
      </c>
      <c r="D822" s="89">
        <v>8</v>
      </c>
      <c r="E822" s="91" t="s">
        <v>9</v>
      </c>
      <c r="F822" s="92">
        <v>1500000</v>
      </c>
      <c r="G822" s="92">
        <v>12000000</v>
      </c>
    </row>
    <row r="823" spans="1:7">
      <c r="A823" s="7" t="s">
        <v>1472</v>
      </c>
      <c r="B823" s="89" t="s">
        <v>195</v>
      </c>
      <c r="C823" s="90" t="s">
        <v>619</v>
      </c>
      <c r="D823" s="89">
        <v>8</v>
      </c>
      <c r="E823" s="91" t="s">
        <v>9</v>
      </c>
      <c r="F823" s="92">
        <v>1000000</v>
      </c>
      <c r="G823" s="92">
        <v>8000000</v>
      </c>
    </row>
    <row r="824" spans="1:7">
      <c r="A824" s="7" t="s">
        <v>1473</v>
      </c>
      <c r="B824" s="89" t="s">
        <v>195</v>
      </c>
      <c r="C824" s="90" t="s">
        <v>620</v>
      </c>
      <c r="D824" s="89">
        <v>8</v>
      </c>
      <c r="E824" s="91" t="s">
        <v>9</v>
      </c>
      <c r="F824" s="92">
        <v>1500000</v>
      </c>
      <c r="G824" s="92">
        <v>12000000</v>
      </c>
    </row>
    <row r="825" spans="1:7" ht="15">
      <c r="A825" s="7" t="s">
        <v>1474</v>
      </c>
      <c r="B825" s="78" t="s">
        <v>533</v>
      </c>
      <c r="C825" s="79" t="s">
        <v>53</v>
      </c>
      <c r="D825" s="78"/>
      <c r="E825" s="80"/>
      <c r="F825" s="81"/>
      <c r="G825" s="81">
        <v>298141000</v>
      </c>
    </row>
    <row r="826" spans="1:7">
      <c r="A826" s="7" t="s">
        <v>1475</v>
      </c>
      <c r="B826" s="89" t="s">
        <v>195</v>
      </c>
      <c r="C826" s="90" t="s">
        <v>1476</v>
      </c>
      <c r="D826" s="89">
        <v>40</v>
      </c>
      <c r="E826" s="91" t="s">
        <v>10</v>
      </c>
      <c r="F826" s="92">
        <v>1000000</v>
      </c>
      <c r="G826" s="92">
        <v>40000000</v>
      </c>
    </row>
    <row r="827" spans="1:7">
      <c r="A827" s="7" t="s">
        <v>1477</v>
      </c>
      <c r="B827" s="89" t="s">
        <v>195</v>
      </c>
      <c r="C827" s="90" t="s">
        <v>1478</v>
      </c>
      <c r="D827" s="89">
        <v>30</v>
      </c>
      <c r="E827" s="91" t="s">
        <v>776</v>
      </c>
      <c r="F827" s="92">
        <v>8000000</v>
      </c>
      <c r="G827" s="92">
        <v>240000000</v>
      </c>
    </row>
    <row r="828" spans="1:7" ht="28.5">
      <c r="A828" s="7" t="s">
        <v>1479</v>
      </c>
      <c r="B828" s="89" t="s">
        <v>195</v>
      </c>
      <c r="C828" s="90" t="s">
        <v>1480</v>
      </c>
      <c r="D828" s="89">
        <v>400</v>
      </c>
      <c r="E828" s="91" t="s">
        <v>10</v>
      </c>
      <c r="F828" s="92">
        <v>15000</v>
      </c>
      <c r="G828" s="92">
        <v>6000000</v>
      </c>
    </row>
    <row r="829" spans="1:7">
      <c r="A829" s="7" t="s">
        <v>1481</v>
      </c>
      <c r="B829" s="89" t="s">
        <v>195</v>
      </c>
      <c r="C829" s="90" t="s">
        <v>1482</v>
      </c>
      <c r="D829" s="89">
        <v>1</v>
      </c>
      <c r="E829" s="91" t="s">
        <v>60</v>
      </c>
      <c r="F829" s="92">
        <v>12141000</v>
      </c>
      <c r="G829" s="92">
        <v>12141000</v>
      </c>
    </row>
    <row r="830" spans="1:7" ht="15">
      <c r="A830" s="7" t="s">
        <v>1483</v>
      </c>
      <c r="B830" s="78" t="s">
        <v>516</v>
      </c>
      <c r="C830" s="79" t="s">
        <v>11</v>
      </c>
      <c r="D830" s="78"/>
      <c r="E830" s="80"/>
      <c r="F830" s="81"/>
      <c r="G830" s="81">
        <v>30000000</v>
      </c>
    </row>
    <row r="831" spans="1:7">
      <c r="A831" s="7" t="s">
        <v>1484</v>
      </c>
      <c r="B831" s="89" t="s">
        <v>195</v>
      </c>
      <c r="C831" s="90" t="s">
        <v>774</v>
      </c>
      <c r="D831" s="89">
        <v>30</v>
      </c>
      <c r="E831" s="91" t="s">
        <v>54</v>
      </c>
      <c r="F831" s="92">
        <v>1000000</v>
      </c>
      <c r="G831" s="92">
        <v>30000000</v>
      </c>
    </row>
    <row r="832" spans="1:7" ht="15">
      <c r="A832" s="7" t="s">
        <v>1485</v>
      </c>
      <c r="B832" s="78" t="s">
        <v>518</v>
      </c>
      <c r="C832" s="79" t="s">
        <v>24</v>
      </c>
      <c r="D832" s="78"/>
      <c r="E832" s="80"/>
      <c r="F832" s="81"/>
      <c r="G832" s="81">
        <v>8000000</v>
      </c>
    </row>
    <row r="833" spans="1:7">
      <c r="A833" s="7" t="s">
        <v>1486</v>
      </c>
      <c r="B833" s="89" t="s">
        <v>195</v>
      </c>
      <c r="C833" s="90" t="s">
        <v>815</v>
      </c>
      <c r="D833" s="89">
        <v>1</v>
      </c>
      <c r="E833" s="91" t="s">
        <v>60</v>
      </c>
      <c r="F833" s="92">
        <v>8000000</v>
      </c>
      <c r="G833" s="92">
        <v>8000000</v>
      </c>
    </row>
    <row r="834" spans="1:7" ht="15">
      <c r="A834" s="7" t="s">
        <v>1487</v>
      </c>
      <c r="B834" s="78" t="s">
        <v>513</v>
      </c>
      <c r="C834" s="79" t="s">
        <v>19</v>
      </c>
      <c r="D834" s="78"/>
      <c r="E834" s="80"/>
      <c r="F834" s="81"/>
      <c r="G834" s="81">
        <v>81859000</v>
      </c>
    </row>
    <row r="835" spans="1:7" ht="28.5">
      <c r="A835" s="7" t="s">
        <v>1488</v>
      </c>
      <c r="B835" s="89" t="s">
        <v>195</v>
      </c>
      <c r="C835" s="90" t="s">
        <v>1489</v>
      </c>
      <c r="D835" s="89">
        <v>32</v>
      </c>
      <c r="E835" s="91" t="s">
        <v>10</v>
      </c>
      <c r="F835" s="92">
        <v>2558000</v>
      </c>
      <c r="G835" s="92">
        <v>81859000</v>
      </c>
    </row>
    <row r="836" spans="1:7" ht="15">
      <c r="A836" s="7" t="s">
        <v>1490</v>
      </c>
      <c r="B836" s="97" t="s">
        <v>579</v>
      </c>
      <c r="C836" s="98" t="s">
        <v>56</v>
      </c>
      <c r="D836" s="97"/>
      <c r="E836" s="99"/>
      <c r="F836" s="100"/>
      <c r="G836" s="100">
        <v>350000000</v>
      </c>
    </row>
    <row r="837" spans="1:7" ht="15">
      <c r="A837" s="7" t="s">
        <v>1491</v>
      </c>
      <c r="B837" s="78" t="s">
        <v>503</v>
      </c>
      <c r="C837" s="79" t="s">
        <v>7</v>
      </c>
      <c r="D837" s="78"/>
      <c r="E837" s="80"/>
      <c r="F837" s="81"/>
      <c r="G837" s="81">
        <v>31000000</v>
      </c>
    </row>
    <row r="838" spans="1:7">
      <c r="A838" s="7" t="s">
        <v>1492</v>
      </c>
      <c r="B838" s="89" t="s">
        <v>195</v>
      </c>
      <c r="C838" s="90" t="s">
        <v>771</v>
      </c>
      <c r="D838" s="89">
        <v>300</v>
      </c>
      <c r="E838" s="91" t="s">
        <v>10</v>
      </c>
      <c r="F838" s="92">
        <v>75000</v>
      </c>
      <c r="G838" s="92">
        <v>22500000</v>
      </c>
    </row>
    <row r="839" spans="1:7">
      <c r="A839" s="7" t="s">
        <v>1493</v>
      </c>
      <c r="B839" s="89" t="s">
        <v>195</v>
      </c>
      <c r="C839" s="90" t="s">
        <v>617</v>
      </c>
      <c r="D839" s="89">
        <v>1</v>
      </c>
      <c r="E839" s="91" t="s">
        <v>9</v>
      </c>
      <c r="F839" s="92">
        <v>1000000</v>
      </c>
      <c r="G839" s="92">
        <v>1000000</v>
      </c>
    </row>
    <row r="840" spans="1:7">
      <c r="A840" s="7" t="s">
        <v>1494</v>
      </c>
      <c r="B840" s="89" t="s">
        <v>195</v>
      </c>
      <c r="C840" s="90" t="s">
        <v>619</v>
      </c>
      <c r="D840" s="89">
        <v>3</v>
      </c>
      <c r="E840" s="91" t="s">
        <v>9</v>
      </c>
      <c r="F840" s="92">
        <v>1000000</v>
      </c>
      <c r="G840" s="92">
        <v>3000000</v>
      </c>
    </row>
    <row r="841" spans="1:7">
      <c r="A841" s="7" t="s">
        <v>1495</v>
      </c>
      <c r="B841" s="89" t="s">
        <v>195</v>
      </c>
      <c r="C841" s="90" t="s">
        <v>620</v>
      </c>
      <c r="D841" s="89">
        <v>3</v>
      </c>
      <c r="E841" s="91" t="s">
        <v>9</v>
      </c>
      <c r="F841" s="92">
        <v>1500000</v>
      </c>
      <c r="G841" s="92">
        <v>4500000</v>
      </c>
    </row>
    <row r="842" spans="1:7" ht="15">
      <c r="A842" s="7" t="s">
        <v>1496</v>
      </c>
      <c r="B842" s="78" t="s">
        <v>533</v>
      </c>
      <c r="C842" s="79" t="s">
        <v>53</v>
      </c>
      <c r="D842" s="78"/>
      <c r="E842" s="80"/>
      <c r="F842" s="81"/>
      <c r="G842" s="81">
        <v>3000000</v>
      </c>
    </row>
    <row r="843" spans="1:7">
      <c r="A843" s="7" t="s">
        <v>1497</v>
      </c>
      <c r="B843" s="89" t="s">
        <v>195</v>
      </c>
      <c r="C843" s="90" t="s">
        <v>785</v>
      </c>
      <c r="D843" s="89">
        <v>12</v>
      </c>
      <c r="E843" s="91" t="s">
        <v>78</v>
      </c>
      <c r="F843" s="92">
        <v>250000</v>
      </c>
      <c r="G843" s="92">
        <v>3000000</v>
      </c>
    </row>
    <row r="844" spans="1:7" ht="15">
      <c r="A844" s="7" t="s">
        <v>1498</v>
      </c>
      <c r="B844" s="78" t="s">
        <v>516</v>
      </c>
      <c r="C844" s="79" t="s">
        <v>11</v>
      </c>
      <c r="D844" s="78"/>
      <c r="E844" s="80"/>
      <c r="F844" s="81"/>
      <c r="G844" s="81">
        <v>70000000</v>
      </c>
    </row>
    <row r="845" spans="1:7">
      <c r="A845" s="7" t="s">
        <v>1499</v>
      </c>
      <c r="B845" s="89" t="s">
        <v>195</v>
      </c>
      <c r="C845" s="90" t="s">
        <v>1500</v>
      </c>
      <c r="D845" s="89">
        <v>70</v>
      </c>
      <c r="E845" s="91" t="s">
        <v>12</v>
      </c>
      <c r="F845" s="92">
        <v>1000000</v>
      </c>
      <c r="G845" s="92">
        <v>70000000</v>
      </c>
    </row>
    <row r="846" spans="1:7" ht="15">
      <c r="A846" s="7" t="s">
        <v>1501</v>
      </c>
      <c r="B846" s="78" t="s">
        <v>513</v>
      </c>
      <c r="C846" s="79" t="s">
        <v>19</v>
      </c>
      <c r="D846" s="78"/>
      <c r="E846" s="80"/>
      <c r="F846" s="81"/>
      <c r="G846" s="81">
        <v>246000000</v>
      </c>
    </row>
    <row r="847" spans="1:7">
      <c r="A847" s="7" t="s">
        <v>1502</v>
      </c>
      <c r="B847" s="89" t="s">
        <v>195</v>
      </c>
      <c r="C847" s="90" t="s">
        <v>1503</v>
      </c>
      <c r="D847" s="89">
        <v>39</v>
      </c>
      <c r="E847" s="91" t="s">
        <v>10</v>
      </c>
      <c r="F847" s="92">
        <v>6308000</v>
      </c>
      <c r="G847" s="92">
        <v>246000000</v>
      </c>
    </row>
    <row r="848" spans="1:7" ht="30">
      <c r="A848" s="7" t="s">
        <v>1504</v>
      </c>
      <c r="B848" s="97" t="s">
        <v>580</v>
      </c>
      <c r="C848" s="98" t="s">
        <v>1505</v>
      </c>
      <c r="D848" s="97"/>
      <c r="E848" s="99"/>
      <c r="F848" s="100"/>
      <c r="G848" s="100">
        <v>668000000</v>
      </c>
    </row>
    <row r="849" spans="1:7" ht="15">
      <c r="A849" s="7" t="s">
        <v>1506</v>
      </c>
      <c r="B849" s="78" t="s">
        <v>503</v>
      </c>
      <c r="C849" s="79" t="s">
        <v>7</v>
      </c>
      <c r="D849" s="78"/>
      <c r="E849" s="80"/>
      <c r="F849" s="81"/>
      <c r="G849" s="81">
        <v>84800000</v>
      </c>
    </row>
    <row r="850" spans="1:7">
      <c r="A850" s="7" t="s">
        <v>1507</v>
      </c>
      <c r="B850" s="89" t="s">
        <v>195</v>
      </c>
      <c r="C850" s="90" t="s">
        <v>771</v>
      </c>
      <c r="D850" s="89">
        <v>50</v>
      </c>
      <c r="E850" s="91" t="s">
        <v>10</v>
      </c>
      <c r="F850" s="92">
        <v>75000</v>
      </c>
      <c r="G850" s="92">
        <v>3750000</v>
      </c>
    </row>
    <row r="851" spans="1:7">
      <c r="A851" s="7" t="s">
        <v>1508</v>
      </c>
      <c r="B851" s="89" t="s">
        <v>195</v>
      </c>
      <c r="C851" s="90" t="s">
        <v>617</v>
      </c>
      <c r="D851" s="89">
        <v>2</v>
      </c>
      <c r="E851" s="91" t="s">
        <v>9</v>
      </c>
      <c r="F851" s="92">
        <v>1000000</v>
      </c>
      <c r="G851" s="92">
        <v>2000000</v>
      </c>
    </row>
    <row r="852" spans="1:7">
      <c r="A852" s="7" t="s">
        <v>1509</v>
      </c>
      <c r="B852" s="89" t="s">
        <v>195</v>
      </c>
      <c r="C852" s="90" t="s">
        <v>619</v>
      </c>
      <c r="D852" s="89">
        <v>2</v>
      </c>
      <c r="E852" s="91" t="s">
        <v>9</v>
      </c>
      <c r="F852" s="92">
        <v>1000000</v>
      </c>
      <c r="G852" s="92">
        <v>2000000</v>
      </c>
    </row>
    <row r="853" spans="1:7">
      <c r="A853" s="7" t="s">
        <v>1510</v>
      </c>
      <c r="B853" s="89" t="s">
        <v>195</v>
      </c>
      <c r="C853" s="90" t="s">
        <v>620</v>
      </c>
      <c r="D853" s="89">
        <v>2</v>
      </c>
      <c r="E853" s="91" t="s">
        <v>9</v>
      </c>
      <c r="F853" s="92">
        <v>1500000</v>
      </c>
      <c r="G853" s="92">
        <v>3000000</v>
      </c>
    </row>
    <row r="854" spans="1:7">
      <c r="A854" s="7" t="s">
        <v>1511</v>
      </c>
      <c r="B854" s="89" t="s">
        <v>195</v>
      </c>
      <c r="C854" s="90" t="s">
        <v>1512</v>
      </c>
      <c r="D854" s="89">
        <v>20</v>
      </c>
      <c r="E854" s="91" t="s">
        <v>58</v>
      </c>
      <c r="F854" s="92">
        <v>450000</v>
      </c>
      <c r="G854" s="92">
        <v>9000000</v>
      </c>
    </row>
    <row r="855" spans="1:7">
      <c r="A855" s="7" t="s">
        <v>1513</v>
      </c>
      <c r="B855" s="89" t="s">
        <v>195</v>
      </c>
      <c r="C855" s="90" t="s">
        <v>1514</v>
      </c>
      <c r="D855" s="89">
        <v>20</v>
      </c>
      <c r="E855" s="91" t="s">
        <v>58</v>
      </c>
      <c r="F855" s="92">
        <v>450000</v>
      </c>
      <c r="G855" s="92">
        <v>9000000</v>
      </c>
    </row>
    <row r="856" spans="1:7">
      <c r="A856" s="7" t="s">
        <v>1515</v>
      </c>
      <c r="B856" s="89" t="s">
        <v>195</v>
      </c>
      <c r="C856" s="90" t="s">
        <v>1516</v>
      </c>
      <c r="D856" s="89">
        <v>1</v>
      </c>
      <c r="E856" s="91" t="s">
        <v>23</v>
      </c>
      <c r="F856" s="92">
        <v>27575000</v>
      </c>
      <c r="G856" s="92">
        <v>27575000</v>
      </c>
    </row>
    <row r="857" spans="1:7">
      <c r="A857" s="7" t="s">
        <v>1517</v>
      </c>
      <c r="B857" s="89" t="s">
        <v>195</v>
      </c>
      <c r="C857" s="90" t="s">
        <v>1518</v>
      </c>
      <c r="D857" s="89">
        <v>1</v>
      </c>
      <c r="E857" s="91" t="s">
        <v>23</v>
      </c>
      <c r="F857" s="92">
        <v>27575000</v>
      </c>
      <c r="G857" s="92">
        <v>27575000</v>
      </c>
    </row>
    <row r="858" spans="1:7">
      <c r="A858" s="7" t="s">
        <v>1519</v>
      </c>
      <c r="B858" s="89" t="s">
        <v>195</v>
      </c>
      <c r="C858" s="90" t="s">
        <v>1520</v>
      </c>
      <c r="D858" s="89">
        <v>3</v>
      </c>
      <c r="E858" s="91" t="s">
        <v>58</v>
      </c>
      <c r="F858" s="92">
        <v>300000</v>
      </c>
      <c r="G858" s="92">
        <v>900000</v>
      </c>
    </row>
    <row r="859" spans="1:7" ht="15">
      <c r="A859" s="7" t="s">
        <v>1521</v>
      </c>
      <c r="B859" s="78" t="s">
        <v>533</v>
      </c>
      <c r="C859" s="79" t="s">
        <v>53</v>
      </c>
      <c r="D859" s="78"/>
      <c r="E859" s="80"/>
      <c r="F859" s="81"/>
      <c r="G859" s="81">
        <v>393200000</v>
      </c>
    </row>
    <row r="860" spans="1:7">
      <c r="A860" s="7" t="s">
        <v>1522</v>
      </c>
      <c r="B860" s="89" t="s">
        <v>195</v>
      </c>
      <c r="C860" s="90" t="s">
        <v>1523</v>
      </c>
      <c r="D860" s="89">
        <v>1</v>
      </c>
      <c r="E860" s="91" t="s">
        <v>66</v>
      </c>
      <c r="F860" s="92">
        <v>196600000</v>
      </c>
      <c r="G860" s="92">
        <v>196600000</v>
      </c>
    </row>
    <row r="861" spans="1:7">
      <c r="A861" s="7" t="s">
        <v>1524</v>
      </c>
      <c r="B861" s="89" t="s">
        <v>195</v>
      </c>
      <c r="C861" s="90" t="s">
        <v>1525</v>
      </c>
      <c r="D861" s="89">
        <v>1</v>
      </c>
      <c r="E861" s="91" t="s">
        <v>66</v>
      </c>
      <c r="F861" s="92">
        <v>196600000</v>
      </c>
      <c r="G861" s="92">
        <v>196600000</v>
      </c>
    </row>
    <row r="862" spans="1:7" ht="15">
      <c r="A862" s="7" t="s">
        <v>1526</v>
      </c>
      <c r="B862" s="78" t="s">
        <v>564</v>
      </c>
      <c r="C862" s="79" t="s">
        <v>95</v>
      </c>
      <c r="D862" s="78"/>
      <c r="E862" s="80"/>
      <c r="F862" s="81"/>
      <c r="G862" s="81">
        <v>160000000</v>
      </c>
    </row>
    <row r="863" spans="1:7">
      <c r="A863" s="7" t="s">
        <v>1527</v>
      </c>
      <c r="B863" s="89" t="s">
        <v>195</v>
      </c>
      <c r="C863" s="90" t="s">
        <v>1528</v>
      </c>
      <c r="D863" s="89">
        <v>2</v>
      </c>
      <c r="E863" s="91" t="s">
        <v>23</v>
      </c>
      <c r="F863" s="92">
        <v>50000000</v>
      </c>
      <c r="G863" s="92">
        <v>100000000</v>
      </c>
    </row>
    <row r="864" spans="1:7">
      <c r="A864" s="7" t="s">
        <v>1529</v>
      </c>
      <c r="B864" s="89" t="s">
        <v>195</v>
      </c>
      <c r="C864" s="90" t="s">
        <v>1530</v>
      </c>
      <c r="D864" s="89">
        <v>2</v>
      </c>
      <c r="E864" s="91" t="s">
        <v>23</v>
      </c>
      <c r="F864" s="92">
        <v>10000000</v>
      </c>
      <c r="G864" s="92">
        <v>20000000</v>
      </c>
    </row>
    <row r="865" spans="1:7">
      <c r="A865" s="7" t="s">
        <v>1531</v>
      </c>
      <c r="B865" s="89" t="s">
        <v>195</v>
      </c>
      <c r="C865" s="90" t="s">
        <v>1532</v>
      </c>
      <c r="D865" s="89">
        <v>4</v>
      </c>
      <c r="E865" s="91" t="s">
        <v>23</v>
      </c>
      <c r="F865" s="92">
        <v>10000000</v>
      </c>
      <c r="G865" s="92">
        <v>40000000</v>
      </c>
    </row>
    <row r="866" spans="1:7" ht="15">
      <c r="A866" s="7" t="s">
        <v>1533</v>
      </c>
      <c r="B866" s="78" t="s">
        <v>513</v>
      </c>
      <c r="C866" s="79" t="s">
        <v>19</v>
      </c>
      <c r="D866" s="78"/>
      <c r="E866" s="80"/>
      <c r="F866" s="81"/>
      <c r="G866" s="81">
        <v>30000000</v>
      </c>
    </row>
    <row r="867" spans="1:7" ht="28.5">
      <c r="A867" s="7" t="s">
        <v>1534</v>
      </c>
      <c r="B867" s="89" t="s">
        <v>195</v>
      </c>
      <c r="C867" s="90" t="s">
        <v>1535</v>
      </c>
      <c r="D867" s="89">
        <v>12</v>
      </c>
      <c r="E867" s="91" t="s">
        <v>10</v>
      </c>
      <c r="F867" s="92">
        <v>2500000</v>
      </c>
      <c r="G867" s="92">
        <v>30000000</v>
      </c>
    </row>
    <row r="868" spans="1:7" ht="30">
      <c r="A868" s="7" t="s">
        <v>1536</v>
      </c>
      <c r="B868" s="97" t="s">
        <v>581</v>
      </c>
      <c r="C868" s="98" t="s">
        <v>1537</v>
      </c>
      <c r="D868" s="97"/>
      <c r="E868" s="99"/>
      <c r="F868" s="100"/>
      <c r="G868" s="100">
        <v>82000000</v>
      </c>
    </row>
    <row r="869" spans="1:7" ht="15">
      <c r="A869" s="7" t="s">
        <v>1538</v>
      </c>
      <c r="B869" s="78" t="s">
        <v>503</v>
      </c>
      <c r="C869" s="79" t="s">
        <v>7</v>
      </c>
      <c r="D869" s="78"/>
      <c r="E869" s="80"/>
      <c r="F869" s="81"/>
      <c r="G869" s="81">
        <v>17550000</v>
      </c>
    </row>
    <row r="870" spans="1:7">
      <c r="A870" s="7" t="s">
        <v>1539</v>
      </c>
      <c r="B870" s="89" t="s">
        <v>195</v>
      </c>
      <c r="C870" s="90" t="s">
        <v>771</v>
      </c>
      <c r="D870" s="89">
        <v>20</v>
      </c>
      <c r="E870" s="91" t="s">
        <v>10</v>
      </c>
      <c r="F870" s="92">
        <v>75000</v>
      </c>
      <c r="G870" s="92">
        <v>1500000</v>
      </c>
    </row>
    <row r="871" spans="1:7">
      <c r="A871" s="7" t="s">
        <v>1540</v>
      </c>
      <c r="B871" s="89" t="s">
        <v>195</v>
      </c>
      <c r="C871" s="90" t="s">
        <v>617</v>
      </c>
      <c r="D871" s="89">
        <v>2</v>
      </c>
      <c r="E871" s="91" t="s">
        <v>9</v>
      </c>
      <c r="F871" s="92">
        <v>1000000</v>
      </c>
      <c r="G871" s="92">
        <v>2000000</v>
      </c>
    </row>
    <row r="872" spans="1:7">
      <c r="A872" s="7" t="s">
        <v>1541</v>
      </c>
      <c r="B872" s="89" t="s">
        <v>195</v>
      </c>
      <c r="C872" s="90" t="s">
        <v>619</v>
      </c>
      <c r="D872" s="89">
        <v>2</v>
      </c>
      <c r="E872" s="91" t="s">
        <v>9</v>
      </c>
      <c r="F872" s="92">
        <v>1000000</v>
      </c>
      <c r="G872" s="92">
        <v>2000000</v>
      </c>
    </row>
    <row r="873" spans="1:7">
      <c r="A873" s="7" t="s">
        <v>1542</v>
      </c>
      <c r="B873" s="89" t="s">
        <v>195</v>
      </c>
      <c r="C873" s="90" t="s">
        <v>620</v>
      </c>
      <c r="D873" s="89">
        <v>2</v>
      </c>
      <c r="E873" s="91" t="s">
        <v>9</v>
      </c>
      <c r="F873" s="92">
        <v>1500000</v>
      </c>
      <c r="G873" s="92">
        <v>3000000</v>
      </c>
    </row>
    <row r="874" spans="1:7">
      <c r="A874" s="7" t="s">
        <v>1543</v>
      </c>
      <c r="B874" s="89" t="s">
        <v>195</v>
      </c>
      <c r="C874" s="90" t="s">
        <v>1544</v>
      </c>
      <c r="D874" s="89">
        <v>10</v>
      </c>
      <c r="E874" s="91" t="s">
        <v>58</v>
      </c>
      <c r="F874" s="92">
        <v>250000</v>
      </c>
      <c r="G874" s="92">
        <v>2500000</v>
      </c>
    </row>
    <row r="875" spans="1:7">
      <c r="A875" s="7" t="s">
        <v>1545</v>
      </c>
      <c r="B875" s="89" t="s">
        <v>195</v>
      </c>
      <c r="C875" s="90" t="s">
        <v>1546</v>
      </c>
      <c r="D875" s="89">
        <v>500</v>
      </c>
      <c r="E875" s="91" t="s">
        <v>58</v>
      </c>
      <c r="F875" s="92">
        <v>6000</v>
      </c>
      <c r="G875" s="92">
        <v>3000000</v>
      </c>
    </row>
    <row r="876" spans="1:7">
      <c r="A876" s="7" t="s">
        <v>1547</v>
      </c>
      <c r="B876" s="89" t="s">
        <v>195</v>
      </c>
      <c r="C876" s="90" t="s">
        <v>1548</v>
      </c>
      <c r="D876" s="89">
        <v>100</v>
      </c>
      <c r="E876" s="91" t="s">
        <v>58</v>
      </c>
      <c r="F876" s="92">
        <v>36000</v>
      </c>
      <c r="G876" s="92">
        <v>3550000</v>
      </c>
    </row>
    <row r="877" spans="1:7" ht="15">
      <c r="A877" s="7" t="s">
        <v>1549</v>
      </c>
      <c r="B877" s="78" t="s">
        <v>533</v>
      </c>
      <c r="C877" s="79" t="s">
        <v>53</v>
      </c>
      <c r="D877" s="78"/>
      <c r="E877" s="80"/>
      <c r="F877" s="81"/>
      <c r="G877" s="81">
        <v>3000000</v>
      </c>
    </row>
    <row r="878" spans="1:7">
      <c r="A878" s="7" t="s">
        <v>1550</v>
      </c>
      <c r="B878" s="89" t="s">
        <v>195</v>
      </c>
      <c r="C878" s="90" t="s">
        <v>785</v>
      </c>
      <c r="D878" s="89">
        <v>12</v>
      </c>
      <c r="E878" s="91" t="s">
        <v>66</v>
      </c>
      <c r="F878" s="92">
        <v>250000</v>
      </c>
      <c r="G878" s="92">
        <v>3000000</v>
      </c>
    </row>
    <row r="879" spans="1:7" ht="15">
      <c r="A879" s="7" t="s">
        <v>1551</v>
      </c>
      <c r="B879" s="78" t="s">
        <v>516</v>
      </c>
      <c r="C879" s="79" t="s">
        <v>11</v>
      </c>
      <c r="D879" s="78"/>
      <c r="E879" s="80"/>
      <c r="F879" s="81"/>
      <c r="G879" s="81">
        <v>40000000</v>
      </c>
    </row>
    <row r="880" spans="1:7">
      <c r="A880" s="7" t="s">
        <v>1552</v>
      </c>
      <c r="B880" s="89" t="s">
        <v>195</v>
      </c>
      <c r="C880" s="90" t="s">
        <v>1500</v>
      </c>
      <c r="D880" s="89">
        <v>40</v>
      </c>
      <c r="E880" s="91" t="s">
        <v>54</v>
      </c>
      <c r="F880" s="92">
        <v>1000000</v>
      </c>
      <c r="G880" s="92">
        <v>40000000</v>
      </c>
    </row>
    <row r="881" spans="1:7" ht="15">
      <c r="A881" s="7" t="s">
        <v>1553</v>
      </c>
      <c r="B881" s="78" t="s">
        <v>513</v>
      </c>
      <c r="C881" s="79" t="s">
        <v>19</v>
      </c>
      <c r="D881" s="78"/>
      <c r="E881" s="80"/>
      <c r="F881" s="81"/>
      <c r="G881" s="81">
        <v>21450000</v>
      </c>
    </row>
    <row r="882" spans="1:7" ht="28.5">
      <c r="A882" s="7" t="s">
        <v>1554</v>
      </c>
      <c r="B882" s="89" t="s">
        <v>195</v>
      </c>
      <c r="C882" s="90" t="s">
        <v>1555</v>
      </c>
      <c r="D882" s="89">
        <v>10</v>
      </c>
      <c r="E882" s="91" t="s">
        <v>10</v>
      </c>
      <c r="F882" s="92">
        <v>2145000</v>
      </c>
      <c r="G882" s="92">
        <v>21450000</v>
      </c>
    </row>
    <row r="883" spans="1:7">
      <c r="A883" s="7" t="s">
        <v>1556</v>
      </c>
      <c r="B883" s="89" t="s">
        <v>1557</v>
      </c>
      <c r="C883" s="90" t="s">
        <v>1558</v>
      </c>
      <c r="D883" s="89"/>
      <c r="E883" s="91"/>
      <c r="F883" s="92"/>
      <c r="G883" s="92">
        <v>920000000</v>
      </c>
    </row>
    <row r="884" spans="1:7" ht="30">
      <c r="A884" s="7" t="s">
        <v>1559</v>
      </c>
      <c r="B884" s="93" t="s">
        <v>826</v>
      </c>
      <c r="C884" s="94" t="s">
        <v>1560</v>
      </c>
      <c r="D884" s="93"/>
      <c r="E884" s="95"/>
      <c r="F884" s="96"/>
      <c r="G884" s="96">
        <v>649500000</v>
      </c>
    </row>
    <row r="885" spans="1:7" ht="15">
      <c r="A885" s="7" t="s">
        <v>1561</v>
      </c>
      <c r="B885" s="97" t="s">
        <v>8</v>
      </c>
      <c r="C885" s="98" t="s">
        <v>1562</v>
      </c>
      <c r="D885" s="97"/>
      <c r="E885" s="99"/>
      <c r="F885" s="100"/>
      <c r="G885" s="100">
        <v>446900000</v>
      </c>
    </row>
    <row r="886" spans="1:7" ht="15">
      <c r="A886" s="7" t="s">
        <v>1563</v>
      </c>
      <c r="B886" s="78" t="s">
        <v>503</v>
      </c>
      <c r="C886" s="79" t="s">
        <v>7</v>
      </c>
      <c r="D886" s="78"/>
      <c r="E886" s="80"/>
      <c r="F886" s="81"/>
      <c r="G886" s="81">
        <v>102000000</v>
      </c>
    </row>
    <row r="887" spans="1:7">
      <c r="A887" s="7" t="s">
        <v>195</v>
      </c>
      <c r="B887" s="89" t="s">
        <v>195</v>
      </c>
      <c r="C887" s="90" t="s">
        <v>1564</v>
      </c>
      <c r="D887" s="89">
        <v>0</v>
      </c>
      <c r="E887" s="91" t="s">
        <v>195</v>
      </c>
      <c r="F887" s="92">
        <v>0</v>
      </c>
      <c r="G887" s="92">
        <v>0</v>
      </c>
    </row>
    <row r="888" spans="1:7">
      <c r="A888" s="7" t="s">
        <v>1565</v>
      </c>
      <c r="B888" s="89" t="s">
        <v>195</v>
      </c>
      <c r="C888" s="90" t="s">
        <v>1566</v>
      </c>
      <c r="D888" s="89">
        <v>200</v>
      </c>
      <c r="E888" s="91" t="s">
        <v>180</v>
      </c>
      <c r="F888" s="92">
        <v>300000</v>
      </c>
      <c r="G888" s="92">
        <v>60000000</v>
      </c>
    </row>
    <row r="889" spans="1:7">
      <c r="A889" s="7" t="s">
        <v>1567</v>
      </c>
      <c r="B889" s="89" t="s">
        <v>195</v>
      </c>
      <c r="C889" s="90" t="s">
        <v>1568</v>
      </c>
      <c r="D889" s="89">
        <v>100</v>
      </c>
      <c r="E889" s="91" t="s">
        <v>180</v>
      </c>
      <c r="F889" s="92">
        <v>300000</v>
      </c>
      <c r="G889" s="92">
        <v>30000000</v>
      </c>
    </row>
    <row r="890" spans="1:7">
      <c r="A890" s="7" t="s">
        <v>1569</v>
      </c>
      <c r="B890" s="89" t="s">
        <v>195</v>
      </c>
      <c r="C890" s="90" t="s">
        <v>1109</v>
      </c>
      <c r="D890" s="89">
        <v>12</v>
      </c>
      <c r="E890" s="91" t="s">
        <v>52</v>
      </c>
      <c r="F890" s="92">
        <v>1000000</v>
      </c>
      <c r="G890" s="92">
        <v>12000000</v>
      </c>
    </row>
    <row r="891" spans="1:7" ht="15">
      <c r="A891" s="7" t="s">
        <v>1570</v>
      </c>
      <c r="B891" s="78" t="s">
        <v>522</v>
      </c>
      <c r="C891" s="79" t="s">
        <v>30</v>
      </c>
      <c r="D891" s="78"/>
      <c r="E891" s="80"/>
      <c r="F891" s="81"/>
      <c r="G891" s="81">
        <v>13400000</v>
      </c>
    </row>
    <row r="892" spans="1:7">
      <c r="A892" s="7" t="s">
        <v>195</v>
      </c>
      <c r="B892" s="89" t="s">
        <v>195</v>
      </c>
      <c r="C892" s="90" t="s">
        <v>1571</v>
      </c>
      <c r="D892" s="89">
        <v>0</v>
      </c>
      <c r="E892" s="91" t="s">
        <v>195</v>
      </c>
      <c r="F892" s="92">
        <v>0</v>
      </c>
      <c r="G892" s="92">
        <v>0</v>
      </c>
    </row>
    <row r="893" spans="1:7">
      <c r="A893" s="7" t="s">
        <v>1572</v>
      </c>
      <c r="B893" s="89" t="s">
        <v>195</v>
      </c>
      <c r="C893" s="90" t="s">
        <v>1573</v>
      </c>
      <c r="D893" s="89">
        <v>2</v>
      </c>
      <c r="E893" s="91" t="s">
        <v>1060</v>
      </c>
      <c r="F893" s="92">
        <v>500000</v>
      </c>
      <c r="G893" s="92">
        <v>1000000</v>
      </c>
    </row>
    <row r="894" spans="1:7">
      <c r="A894" s="7" t="s">
        <v>1574</v>
      </c>
      <c r="B894" s="89" t="s">
        <v>195</v>
      </c>
      <c r="C894" s="90" t="s">
        <v>1575</v>
      </c>
      <c r="D894" s="89">
        <v>16</v>
      </c>
      <c r="E894" s="91" t="s">
        <v>1060</v>
      </c>
      <c r="F894" s="92">
        <v>400000</v>
      </c>
      <c r="G894" s="92">
        <v>6400000</v>
      </c>
    </row>
    <row r="895" spans="1:7">
      <c r="A895" s="7" t="s">
        <v>1576</v>
      </c>
      <c r="B895" s="89" t="s">
        <v>195</v>
      </c>
      <c r="C895" s="90" t="s">
        <v>1577</v>
      </c>
      <c r="D895" s="89">
        <v>20</v>
      </c>
      <c r="E895" s="91" t="s">
        <v>1060</v>
      </c>
      <c r="F895" s="92">
        <v>300000</v>
      </c>
      <c r="G895" s="92">
        <v>6000000</v>
      </c>
    </row>
    <row r="896" spans="1:7" ht="30">
      <c r="A896" s="7" t="s">
        <v>1578</v>
      </c>
      <c r="B896" s="78" t="s">
        <v>515</v>
      </c>
      <c r="C896" s="79" t="s">
        <v>642</v>
      </c>
      <c r="D896" s="78"/>
      <c r="E896" s="80"/>
      <c r="F896" s="81"/>
      <c r="G896" s="81">
        <v>19200000</v>
      </c>
    </row>
    <row r="897" spans="1:7">
      <c r="A897" s="7" t="s">
        <v>1579</v>
      </c>
      <c r="B897" s="89" t="s">
        <v>195</v>
      </c>
      <c r="C897" s="90" t="s">
        <v>1580</v>
      </c>
      <c r="D897" s="89">
        <v>96</v>
      </c>
      <c r="E897" s="91" t="s">
        <v>32</v>
      </c>
      <c r="F897" s="92">
        <v>200000</v>
      </c>
      <c r="G897" s="92">
        <v>19200000</v>
      </c>
    </row>
    <row r="898" spans="1:7" ht="15">
      <c r="A898" s="7" t="s">
        <v>1581</v>
      </c>
      <c r="B898" s="78" t="s">
        <v>537</v>
      </c>
      <c r="C898" s="79" t="s">
        <v>64</v>
      </c>
      <c r="D898" s="78"/>
      <c r="E898" s="80"/>
      <c r="F898" s="81"/>
      <c r="G898" s="81">
        <v>24000000</v>
      </c>
    </row>
    <row r="899" spans="1:7">
      <c r="A899" s="7" t="s">
        <v>1582</v>
      </c>
      <c r="B899" s="89" t="s">
        <v>195</v>
      </c>
      <c r="C899" s="90" t="s">
        <v>619</v>
      </c>
      <c r="D899" s="89">
        <v>12</v>
      </c>
      <c r="E899" s="91" t="s">
        <v>52</v>
      </c>
      <c r="F899" s="92">
        <v>1000000</v>
      </c>
      <c r="G899" s="92">
        <v>12000000</v>
      </c>
    </row>
    <row r="900" spans="1:7">
      <c r="A900" s="7" t="s">
        <v>1583</v>
      </c>
      <c r="B900" s="89" t="s">
        <v>195</v>
      </c>
      <c r="C900" s="90" t="s">
        <v>859</v>
      </c>
      <c r="D900" s="89">
        <v>12</v>
      </c>
      <c r="E900" s="91" t="s">
        <v>52</v>
      </c>
      <c r="F900" s="92">
        <v>1000000</v>
      </c>
      <c r="G900" s="92">
        <v>12000000</v>
      </c>
    </row>
    <row r="901" spans="1:7" ht="15">
      <c r="A901" s="7" t="s">
        <v>1584</v>
      </c>
      <c r="B901" s="78" t="s">
        <v>516</v>
      </c>
      <c r="C901" s="79" t="s">
        <v>11</v>
      </c>
      <c r="D901" s="78"/>
      <c r="E901" s="80"/>
      <c r="F901" s="81"/>
      <c r="G901" s="81">
        <v>22400000</v>
      </c>
    </row>
    <row r="902" spans="1:7">
      <c r="A902" s="7" t="s">
        <v>1585</v>
      </c>
      <c r="B902" s="89" t="s">
        <v>195</v>
      </c>
      <c r="C902" s="90" t="s">
        <v>1586</v>
      </c>
      <c r="D902" s="89">
        <v>8</v>
      </c>
      <c r="E902" s="91" t="s">
        <v>54</v>
      </c>
      <c r="F902" s="92">
        <v>1000000</v>
      </c>
      <c r="G902" s="92">
        <v>8000000</v>
      </c>
    </row>
    <row r="903" spans="1:7">
      <c r="A903" s="7" t="s">
        <v>1587</v>
      </c>
      <c r="B903" s="89" t="s">
        <v>195</v>
      </c>
      <c r="C903" s="90" t="s">
        <v>1588</v>
      </c>
      <c r="D903" s="89">
        <v>16</v>
      </c>
      <c r="E903" s="91" t="s">
        <v>54</v>
      </c>
      <c r="F903" s="92">
        <v>900000</v>
      </c>
      <c r="G903" s="92">
        <v>14400000</v>
      </c>
    </row>
    <row r="904" spans="1:7" ht="15">
      <c r="A904" s="7" t="s">
        <v>1589</v>
      </c>
      <c r="B904" s="78" t="s">
        <v>517</v>
      </c>
      <c r="C904" s="79" t="s">
        <v>22</v>
      </c>
      <c r="D904" s="78"/>
      <c r="E904" s="80"/>
      <c r="F904" s="81"/>
      <c r="G904" s="81">
        <v>60000000</v>
      </c>
    </row>
    <row r="905" spans="1:7">
      <c r="A905" s="7" t="s">
        <v>1590</v>
      </c>
      <c r="B905" s="89" t="s">
        <v>195</v>
      </c>
      <c r="C905" s="90" t="s">
        <v>1591</v>
      </c>
      <c r="D905" s="89">
        <v>12</v>
      </c>
      <c r="E905" s="91" t="s">
        <v>52</v>
      </c>
      <c r="F905" s="92">
        <v>5000000</v>
      </c>
      <c r="G905" s="92">
        <v>60000000</v>
      </c>
    </row>
    <row r="906" spans="1:7" ht="15">
      <c r="A906" s="7" t="s">
        <v>1592</v>
      </c>
      <c r="B906" s="78" t="s">
        <v>518</v>
      </c>
      <c r="C906" s="79" t="s">
        <v>24</v>
      </c>
      <c r="D906" s="78"/>
      <c r="E906" s="80"/>
      <c r="F906" s="81"/>
      <c r="G906" s="81">
        <v>24500000</v>
      </c>
    </row>
    <row r="907" spans="1:7">
      <c r="A907" s="7" t="s">
        <v>1593</v>
      </c>
      <c r="B907" s="89" t="s">
        <v>195</v>
      </c>
      <c r="C907" s="90" t="s">
        <v>1594</v>
      </c>
      <c r="D907" s="89">
        <v>70</v>
      </c>
      <c r="E907" s="91" t="s">
        <v>25</v>
      </c>
      <c r="F907" s="92">
        <v>350000</v>
      </c>
      <c r="G907" s="92">
        <v>24500000</v>
      </c>
    </row>
    <row r="908" spans="1:7" ht="15">
      <c r="A908" s="7" t="s">
        <v>1595</v>
      </c>
      <c r="B908" s="78" t="s">
        <v>513</v>
      </c>
      <c r="C908" s="79" t="s">
        <v>19</v>
      </c>
      <c r="D908" s="78"/>
      <c r="E908" s="80"/>
      <c r="F908" s="81"/>
      <c r="G908" s="81">
        <v>150000000</v>
      </c>
    </row>
    <row r="909" spans="1:7" ht="28.5">
      <c r="A909" s="7" t="s">
        <v>1596</v>
      </c>
      <c r="B909" s="89" t="s">
        <v>195</v>
      </c>
      <c r="C909" s="90" t="s">
        <v>1597</v>
      </c>
      <c r="D909" s="89">
        <v>30</v>
      </c>
      <c r="E909" s="91" t="s">
        <v>25</v>
      </c>
      <c r="F909" s="92">
        <v>5000000</v>
      </c>
      <c r="G909" s="92">
        <v>150000000</v>
      </c>
    </row>
    <row r="910" spans="1:7" ht="15">
      <c r="A910" s="7" t="s">
        <v>1598</v>
      </c>
      <c r="B910" s="78" t="s">
        <v>507</v>
      </c>
      <c r="C910" s="79" t="s">
        <v>13</v>
      </c>
      <c r="D910" s="78"/>
      <c r="E910" s="80"/>
      <c r="F910" s="81"/>
      <c r="G910" s="81">
        <v>15300000</v>
      </c>
    </row>
    <row r="911" spans="1:7">
      <c r="A911" s="7" t="s">
        <v>1599</v>
      </c>
      <c r="B911" s="89" t="s">
        <v>195</v>
      </c>
      <c r="C911" s="90" t="s">
        <v>630</v>
      </c>
      <c r="D911" s="89">
        <v>60</v>
      </c>
      <c r="E911" s="91" t="s">
        <v>25</v>
      </c>
      <c r="F911" s="92">
        <v>150000</v>
      </c>
      <c r="G911" s="92">
        <v>9000000</v>
      </c>
    </row>
    <row r="912" spans="1:7">
      <c r="A912" s="7" t="s">
        <v>1600</v>
      </c>
      <c r="B912" s="89" t="s">
        <v>195</v>
      </c>
      <c r="C912" s="90" t="s">
        <v>1601</v>
      </c>
      <c r="D912" s="89">
        <v>30</v>
      </c>
      <c r="E912" s="91" t="s">
        <v>73</v>
      </c>
      <c r="F912" s="92">
        <v>210000</v>
      </c>
      <c r="G912" s="92">
        <v>6300000</v>
      </c>
    </row>
    <row r="913" spans="1:7" ht="30">
      <c r="A913" s="7" t="s">
        <v>1602</v>
      </c>
      <c r="B913" s="78" t="s">
        <v>509</v>
      </c>
      <c r="C913" s="79" t="s">
        <v>14</v>
      </c>
      <c r="D913" s="78"/>
      <c r="E913" s="80"/>
      <c r="F913" s="81"/>
      <c r="G913" s="81">
        <v>5600000</v>
      </c>
    </row>
    <row r="914" spans="1:7">
      <c r="A914" s="7" t="s">
        <v>1603</v>
      </c>
      <c r="B914" s="89" t="s">
        <v>195</v>
      </c>
      <c r="C914" s="90" t="s">
        <v>1604</v>
      </c>
      <c r="D914" s="89">
        <v>20</v>
      </c>
      <c r="E914" s="91" t="s">
        <v>25</v>
      </c>
      <c r="F914" s="92">
        <v>130000</v>
      </c>
      <c r="G914" s="92">
        <v>2600000</v>
      </c>
    </row>
    <row r="915" spans="1:7">
      <c r="A915" s="7" t="s">
        <v>1605</v>
      </c>
      <c r="B915" s="89" t="s">
        <v>195</v>
      </c>
      <c r="C915" s="90" t="s">
        <v>1606</v>
      </c>
      <c r="D915" s="89">
        <v>20</v>
      </c>
      <c r="E915" s="91" t="s">
        <v>25</v>
      </c>
      <c r="F915" s="92">
        <v>150000</v>
      </c>
      <c r="G915" s="92">
        <v>3000000</v>
      </c>
    </row>
    <row r="916" spans="1:7" ht="15">
      <c r="A916" s="7" t="s">
        <v>1607</v>
      </c>
      <c r="B916" s="78" t="s">
        <v>510</v>
      </c>
      <c r="C916" s="79" t="s">
        <v>15</v>
      </c>
      <c r="D916" s="78"/>
      <c r="E916" s="80"/>
      <c r="F916" s="81"/>
      <c r="G916" s="81">
        <v>10500000</v>
      </c>
    </row>
    <row r="917" spans="1:7">
      <c r="A917" s="7" t="s">
        <v>1608</v>
      </c>
      <c r="B917" s="89" t="s">
        <v>195</v>
      </c>
      <c r="C917" s="90" t="s">
        <v>1609</v>
      </c>
      <c r="D917" s="89">
        <v>14</v>
      </c>
      <c r="E917" s="91" t="s">
        <v>25</v>
      </c>
      <c r="F917" s="92">
        <v>150000</v>
      </c>
      <c r="G917" s="92">
        <v>2100000</v>
      </c>
    </row>
    <row r="918" spans="1:7">
      <c r="A918" s="7" t="s">
        <v>1610</v>
      </c>
      <c r="B918" s="89" t="s">
        <v>195</v>
      </c>
      <c r="C918" s="90" t="s">
        <v>1611</v>
      </c>
      <c r="D918" s="89">
        <v>14</v>
      </c>
      <c r="E918" s="91" t="s">
        <v>25</v>
      </c>
      <c r="F918" s="92">
        <v>600000</v>
      </c>
      <c r="G918" s="92">
        <v>8400000</v>
      </c>
    </row>
    <row r="919" spans="1:7" ht="15">
      <c r="A919" s="7" t="s">
        <v>1612</v>
      </c>
      <c r="B919" s="97" t="s">
        <v>511</v>
      </c>
      <c r="C919" s="98" t="s">
        <v>1613</v>
      </c>
      <c r="D919" s="97"/>
      <c r="E919" s="99"/>
      <c r="F919" s="100"/>
      <c r="G919" s="100">
        <v>202600000</v>
      </c>
    </row>
    <row r="920" spans="1:7" ht="15">
      <c r="A920" s="7" t="s">
        <v>1614</v>
      </c>
      <c r="B920" s="78" t="s">
        <v>503</v>
      </c>
      <c r="C920" s="79" t="s">
        <v>7</v>
      </c>
      <c r="D920" s="78"/>
      <c r="E920" s="80"/>
      <c r="F920" s="81"/>
      <c r="G920" s="81">
        <v>30000000</v>
      </c>
    </row>
    <row r="921" spans="1:7">
      <c r="A921" s="7" t="s">
        <v>195</v>
      </c>
      <c r="B921" s="89" t="s">
        <v>195</v>
      </c>
      <c r="C921" s="90" t="s">
        <v>1615</v>
      </c>
      <c r="D921" s="89">
        <v>0</v>
      </c>
      <c r="E921" s="91" t="s">
        <v>195</v>
      </c>
      <c r="F921" s="92">
        <v>0</v>
      </c>
      <c r="G921" s="92">
        <v>0</v>
      </c>
    </row>
    <row r="922" spans="1:7">
      <c r="A922" s="7" t="s">
        <v>1616</v>
      </c>
      <c r="B922" s="89" t="s">
        <v>195</v>
      </c>
      <c r="C922" s="90" t="s">
        <v>922</v>
      </c>
      <c r="D922" s="89">
        <v>45</v>
      </c>
      <c r="E922" s="91" t="s">
        <v>52</v>
      </c>
      <c r="F922" s="92">
        <v>200000</v>
      </c>
      <c r="G922" s="92">
        <v>9000000</v>
      </c>
    </row>
    <row r="923" spans="1:7">
      <c r="A923" s="7" t="s">
        <v>1617</v>
      </c>
      <c r="B923" s="89" t="s">
        <v>195</v>
      </c>
      <c r="C923" s="90" t="s">
        <v>619</v>
      </c>
      <c r="D923" s="89">
        <v>1</v>
      </c>
      <c r="E923" s="91" t="s">
        <v>52</v>
      </c>
      <c r="F923" s="92">
        <v>2500000</v>
      </c>
      <c r="G923" s="92">
        <v>2500000</v>
      </c>
    </row>
    <row r="924" spans="1:7">
      <c r="A924" s="7" t="s">
        <v>1618</v>
      </c>
      <c r="B924" s="89" t="s">
        <v>195</v>
      </c>
      <c r="C924" s="90" t="s">
        <v>859</v>
      </c>
      <c r="D924" s="89">
        <v>1</v>
      </c>
      <c r="E924" s="91" t="s">
        <v>52</v>
      </c>
      <c r="F924" s="92">
        <v>2500000</v>
      </c>
      <c r="G924" s="92">
        <v>2500000</v>
      </c>
    </row>
    <row r="925" spans="1:7">
      <c r="A925" s="7" t="s">
        <v>1619</v>
      </c>
      <c r="B925" s="89" t="s">
        <v>195</v>
      </c>
      <c r="C925" s="90" t="s">
        <v>1620</v>
      </c>
      <c r="D925" s="89">
        <v>1</v>
      </c>
      <c r="E925" s="91" t="s">
        <v>52</v>
      </c>
      <c r="F925" s="92">
        <v>1000000</v>
      </c>
      <c r="G925" s="92">
        <v>1000000</v>
      </c>
    </row>
    <row r="926" spans="1:7">
      <c r="A926" s="7" t="s">
        <v>1621</v>
      </c>
      <c r="B926" s="89" t="s">
        <v>195</v>
      </c>
      <c r="C926" s="90" t="s">
        <v>922</v>
      </c>
      <c r="D926" s="89">
        <v>45</v>
      </c>
      <c r="E926" s="91" t="s">
        <v>52</v>
      </c>
      <c r="F926" s="92">
        <v>200000</v>
      </c>
      <c r="G926" s="92">
        <v>9000000</v>
      </c>
    </row>
    <row r="927" spans="1:7">
      <c r="A927" s="7" t="s">
        <v>195</v>
      </c>
      <c r="B927" s="89" t="s">
        <v>195</v>
      </c>
      <c r="C927" s="90" t="s">
        <v>1622</v>
      </c>
      <c r="D927" s="89">
        <v>0</v>
      </c>
      <c r="E927" s="91" t="s">
        <v>195</v>
      </c>
      <c r="F927" s="92">
        <v>0</v>
      </c>
      <c r="G927" s="92">
        <v>0</v>
      </c>
    </row>
    <row r="928" spans="1:7">
      <c r="A928" s="7" t="s">
        <v>1623</v>
      </c>
      <c r="B928" s="89" t="s">
        <v>195</v>
      </c>
      <c r="C928" s="90" t="s">
        <v>619</v>
      </c>
      <c r="D928" s="89">
        <v>1</v>
      </c>
      <c r="E928" s="91" t="s">
        <v>52</v>
      </c>
      <c r="F928" s="92">
        <v>2500000</v>
      </c>
      <c r="G928" s="92">
        <v>2500000</v>
      </c>
    </row>
    <row r="929" spans="1:7">
      <c r="A929" s="7" t="s">
        <v>1624</v>
      </c>
      <c r="B929" s="89" t="s">
        <v>195</v>
      </c>
      <c r="C929" s="90" t="s">
        <v>859</v>
      </c>
      <c r="D929" s="89">
        <v>1</v>
      </c>
      <c r="E929" s="91" t="s">
        <v>52</v>
      </c>
      <c r="F929" s="92">
        <v>2500000</v>
      </c>
      <c r="G929" s="92">
        <v>2500000</v>
      </c>
    </row>
    <row r="930" spans="1:7">
      <c r="A930" s="7" t="s">
        <v>1625</v>
      </c>
      <c r="B930" s="89" t="s">
        <v>195</v>
      </c>
      <c r="C930" s="90" t="s">
        <v>1620</v>
      </c>
      <c r="D930" s="89">
        <v>1</v>
      </c>
      <c r="E930" s="91" t="s">
        <v>52</v>
      </c>
      <c r="F930" s="92">
        <v>1000000</v>
      </c>
      <c r="G930" s="92">
        <v>1000000</v>
      </c>
    </row>
    <row r="931" spans="1:7" ht="15">
      <c r="A931" s="7" t="s">
        <v>1626</v>
      </c>
      <c r="B931" s="78" t="s">
        <v>516</v>
      </c>
      <c r="C931" s="79" t="s">
        <v>11</v>
      </c>
      <c r="D931" s="78"/>
      <c r="E931" s="80"/>
      <c r="F931" s="81"/>
      <c r="G931" s="81">
        <v>16800000</v>
      </c>
    </row>
    <row r="932" spans="1:7">
      <c r="A932" s="7" t="s">
        <v>195</v>
      </c>
      <c r="B932" s="89" t="s">
        <v>195</v>
      </c>
      <c r="C932" s="90" t="s">
        <v>1615</v>
      </c>
      <c r="D932" s="89">
        <v>0</v>
      </c>
      <c r="E932" s="91" t="s">
        <v>195</v>
      </c>
      <c r="F932" s="92">
        <v>0</v>
      </c>
      <c r="G932" s="92">
        <v>0</v>
      </c>
    </row>
    <row r="933" spans="1:7">
      <c r="A933" s="7" t="s">
        <v>1627</v>
      </c>
      <c r="B933" s="89" t="s">
        <v>195</v>
      </c>
      <c r="C933" s="90" t="s">
        <v>1628</v>
      </c>
      <c r="D933" s="89">
        <v>4</v>
      </c>
      <c r="E933" s="91" t="s">
        <v>54</v>
      </c>
      <c r="F933" s="92">
        <v>1000000</v>
      </c>
      <c r="G933" s="92">
        <v>4000000</v>
      </c>
    </row>
    <row r="934" spans="1:7">
      <c r="A934" s="7" t="s">
        <v>1629</v>
      </c>
      <c r="B934" s="89" t="s">
        <v>195</v>
      </c>
      <c r="C934" s="90" t="s">
        <v>1630</v>
      </c>
      <c r="D934" s="89">
        <v>4</v>
      </c>
      <c r="E934" s="91" t="s">
        <v>25</v>
      </c>
      <c r="F934" s="92">
        <v>900000</v>
      </c>
      <c r="G934" s="92">
        <v>3600000</v>
      </c>
    </row>
    <row r="935" spans="1:7">
      <c r="A935" s="7" t="s">
        <v>195</v>
      </c>
      <c r="B935" s="89" t="s">
        <v>195</v>
      </c>
      <c r="C935" s="90" t="s">
        <v>1631</v>
      </c>
      <c r="D935" s="89">
        <v>0</v>
      </c>
      <c r="E935" s="91" t="s">
        <v>195</v>
      </c>
      <c r="F935" s="92">
        <v>0</v>
      </c>
      <c r="G935" s="92">
        <v>0</v>
      </c>
    </row>
    <row r="936" spans="1:7">
      <c r="A936" s="7" t="s">
        <v>1632</v>
      </c>
      <c r="B936" s="89" t="s">
        <v>195</v>
      </c>
      <c r="C936" s="90" t="s">
        <v>1633</v>
      </c>
      <c r="D936" s="89">
        <v>2</v>
      </c>
      <c r="E936" s="91" t="s">
        <v>54</v>
      </c>
      <c r="F936" s="92">
        <v>1000000</v>
      </c>
      <c r="G936" s="92">
        <v>2000000</v>
      </c>
    </row>
    <row r="937" spans="1:7">
      <c r="A937" s="7" t="s">
        <v>1634</v>
      </c>
      <c r="B937" s="89" t="s">
        <v>195</v>
      </c>
      <c r="C937" s="90" t="s">
        <v>1635</v>
      </c>
      <c r="D937" s="89">
        <v>8</v>
      </c>
      <c r="E937" s="91" t="s">
        <v>25</v>
      </c>
      <c r="F937" s="92">
        <v>900000</v>
      </c>
      <c r="G937" s="92">
        <v>7200000</v>
      </c>
    </row>
    <row r="938" spans="1:7" ht="15">
      <c r="A938" s="7" t="s">
        <v>1636</v>
      </c>
      <c r="B938" s="78" t="s">
        <v>513</v>
      </c>
      <c r="C938" s="79" t="s">
        <v>19</v>
      </c>
      <c r="D938" s="78"/>
      <c r="E938" s="80"/>
      <c r="F938" s="81"/>
      <c r="G938" s="81">
        <v>10000000</v>
      </c>
    </row>
    <row r="939" spans="1:7" ht="28.5">
      <c r="A939" s="7" t="s">
        <v>1637</v>
      </c>
      <c r="B939" s="89" t="s">
        <v>195</v>
      </c>
      <c r="C939" s="90" t="s">
        <v>1638</v>
      </c>
      <c r="D939" s="89">
        <v>2</v>
      </c>
      <c r="E939" s="91" t="s">
        <v>25</v>
      </c>
      <c r="F939" s="92">
        <v>5000000</v>
      </c>
      <c r="G939" s="92">
        <v>10000000</v>
      </c>
    </row>
    <row r="940" spans="1:7" ht="15">
      <c r="A940" s="7" t="s">
        <v>1639</v>
      </c>
      <c r="B940" s="78" t="s">
        <v>510</v>
      </c>
      <c r="C940" s="79" t="s">
        <v>15</v>
      </c>
      <c r="D940" s="78"/>
      <c r="E940" s="80"/>
      <c r="F940" s="81"/>
      <c r="G940" s="81">
        <v>145800000</v>
      </c>
    </row>
    <row r="941" spans="1:7">
      <c r="A941" s="7" t="s">
        <v>195</v>
      </c>
      <c r="B941" s="89" t="s">
        <v>195</v>
      </c>
      <c r="C941" s="90" t="s">
        <v>1615</v>
      </c>
      <c r="D941" s="89">
        <v>0</v>
      </c>
      <c r="E941" s="91" t="s">
        <v>195</v>
      </c>
      <c r="F941" s="92">
        <v>0</v>
      </c>
      <c r="G941" s="92">
        <v>0</v>
      </c>
    </row>
    <row r="942" spans="1:7">
      <c r="A942" s="7" t="s">
        <v>1640</v>
      </c>
      <c r="B942" s="89" t="s">
        <v>195</v>
      </c>
      <c r="C942" s="90" t="s">
        <v>1641</v>
      </c>
      <c r="D942" s="89">
        <v>45</v>
      </c>
      <c r="E942" s="91" t="s">
        <v>105</v>
      </c>
      <c r="F942" s="92">
        <v>820000</v>
      </c>
      <c r="G942" s="92">
        <v>36900000</v>
      </c>
    </row>
    <row r="943" spans="1:7">
      <c r="A943" s="7" t="s">
        <v>1642</v>
      </c>
      <c r="B943" s="89" t="s">
        <v>195</v>
      </c>
      <c r="C943" s="90" t="s">
        <v>1643</v>
      </c>
      <c r="D943" s="89">
        <v>90</v>
      </c>
      <c r="E943" s="91" t="s">
        <v>73</v>
      </c>
      <c r="F943" s="92">
        <v>150000</v>
      </c>
      <c r="G943" s="92">
        <v>13500000</v>
      </c>
    </row>
    <row r="944" spans="1:7">
      <c r="A944" s="7" t="s">
        <v>1644</v>
      </c>
      <c r="B944" s="89" t="s">
        <v>195</v>
      </c>
      <c r="C944" s="90" t="s">
        <v>1645</v>
      </c>
      <c r="D944" s="89">
        <v>45</v>
      </c>
      <c r="E944" s="91" t="s">
        <v>25</v>
      </c>
      <c r="F944" s="92">
        <v>500000</v>
      </c>
      <c r="G944" s="92">
        <v>22500000</v>
      </c>
    </row>
    <row r="945" spans="1:7">
      <c r="A945" s="7" t="s">
        <v>195</v>
      </c>
      <c r="B945" s="89" t="s">
        <v>195</v>
      </c>
      <c r="C945" s="90" t="s">
        <v>1631</v>
      </c>
      <c r="D945" s="89">
        <v>0</v>
      </c>
      <c r="E945" s="91" t="s">
        <v>195</v>
      </c>
      <c r="F945" s="92">
        <v>0</v>
      </c>
      <c r="G945" s="92">
        <v>0</v>
      </c>
    </row>
    <row r="946" spans="1:7">
      <c r="A946" s="7" t="s">
        <v>1646</v>
      </c>
      <c r="B946" s="89" t="s">
        <v>195</v>
      </c>
      <c r="C946" s="90" t="s">
        <v>1641</v>
      </c>
      <c r="D946" s="89">
        <v>45</v>
      </c>
      <c r="E946" s="91" t="s">
        <v>105</v>
      </c>
      <c r="F946" s="92">
        <v>820000</v>
      </c>
      <c r="G946" s="92">
        <v>36900000</v>
      </c>
    </row>
    <row r="947" spans="1:7">
      <c r="A947" s="7" t="s">
        <v>1647</v>
      </c>
      <c r="B947" s="89" t="s">
        <v>195</v>
      </c>
      <c r="C947" s="90" t="s">
        <v>1643</v>
      </c>
      <c r="D947" s="89">
        <v>90</v>
      </c>
      <c r="E947" s="91" t="s">
        <v>73</v>
      </c>
      <c r="F947" s="92">
        <v>150000</v>
      </c>
      <c r="G947" s="92">
        <v>13500000</v>
      </c>
    </row>
    <row r="948" spans="1:7">
      <c r="A948" s="7" t="s">
        <v>1648</v>
      </c>
      <c r="B948" s="89" t="s">
        <v>195</v>
      </c>
      <c r="C948" s="90" t="s">
        <v>1645</v>
      </c>
      <c r="D948" s="89">
        <v>45</v>
      </c>
      <c r="E948" s="91" t="s">
        <v>25</v>
      </c>
      <c r="F948" s="92">
        <v>500000</v>
      </c>
      <c r="G948" s="92">
        <v>22500000</v>
      </c>
    </row>
    <row r="949" spans="1:7" ht="30">
      <c r="A949" s="7" t="s">
        <v>1649</v>
      </c>
      <c r="B949" s="93" t="s">
        <v>1102</v>
      </c>
      <c r="C949" s="94" t="s">
        <v>1650</v>
      </c>
      <c r="D949" s="93"/>
      <c r="E949" s="95"/>
      <c r="F949" s="96"/>
      <c r="G949" s="96">
        <v>270500000</v>
      </c>
    </row>
    <row r="950" spans="1:7" ht="15">
      <c r="A950" s="7" t="s">
        <v>1651</v>
      </c>
      <c r="B950" s="97" t="s">
        <v>8</v>
      </c>
      <c r="C950" s="98" t="s">
        <v>1652</v>
      </c>
      <c r="D950" s="97"/>
      <c r="E950" s="99"/>
      <c r="F950" s="100"/>
      <c r="G950" s="100">
        <v>180400000</v>
      </c>
    </row>
    <row r="951" spans="1:7" ht="15">
      <c r="A951" s="7" t="s">
        <v>1653</v>
      </c>
      <c r="B951" s="78" t="s">
        <v>503</v>
      </c>
      <c r="C951" s="79" t="s">
        <v>7</v>
      </c>
      <c r="D951" s="78"/>
      <c r="E951" s="80"/>
      <c r="F951" s="81"/>
      <c r="G951" s="81">
        <v>12000000</v>
      </c>
    </row>
    <row r="952" spans="1:7">
      <c r="A952" s="7" t="s">
        <v>1654</v>
      </c>
      <c r="B952" s="89" t="s">
        <v>195</v>
      </c>
      <c r="C952" s="90" t="s">
        <v>1109</v>
      </c>
      <c r="D952" s="89">
        <v>12</v>
      </c>
      <c r="E952" s="91" t="s">
        <v>52</v>
      </c>
      <c r="F952" s="92">
        <v>1000000</v>
      </c>
      <c r="G952" s="92">
        <v>12000000</v>
      </c>
    </row>
    <row r="953" spans="1:7" ht="15">
      <c r="A953" s="7" t="s">
        <v>1655</v>
      </c>
      <c r="B953" s="78" t="s">
        <v>522</v>
      </c>
      <c r="C953" s="79" t="s">
        <v>30</v>
      </c>
      <c r="D953" s="78"/>
      <c r="E953" s="80"/>
      <c r="F953" s="81"/>
      <c r="G953" s="81">
        <v>49800000</v>
      </c>
    </row>
    <row r="954" spans="1:7">
      <c r="A954" s="7" t="s">
        <v>195</v>
      </c>
      <c r="B954" s="89" t="s">
        <v>195</v>
      </c>
      <c r="C954" s="90" t="s">
        <v>1656</v>
      </c>
      <c r="D954" s="89">
        <v>0</v>
      </c>
      <c r="E954" s="91" t="s">
        <v>195</v>
      </c>
      <c r="F954" s="92">
        <v>0</v>
      </c>
      <c r="G954" s="92">
        <v>0</v>
      </c>
    </row>
    <row r="955" spans="1:7">
      <c r="A955" s="7" t="s">
        <v>1657</v>
      </c>
      <c r="B955" s="89" t="s">
        <v>195</v>
      </c>
      <c r="C955" s="90" t="s">
        <v>1658</v>
      </c>
      <c r="D955" s="89">
        <v>12</v>
      </c>
      <c r="E955" s="91" t="s">
        <v>32</v>
      </c>
      <c r="F955" s="92">
        <v>500000</v>
      </c>
      <c r="G955" s="92">
        <v>6000000</v>
      </c>
    </row>
    <row r="956" spans="1:7">
      <c r="A956" s="7" t="s">
        <v>1659</v>
      </c>
      <c r="B956" s="89" t="s">
        <v>195</v>
      </c>
      <c r="C956" s="90" t="s">
        <v>1660</v>
      </c>
      <c r="D956" s="89">
        <v>12</v>
      </c>
      <c r="E956" s="91" t="s">
        <v>32</v>
      </c>
      <c r="F956" s="92">
        <v>450000</v>
      </c>
      <c r="G956" s="92">
        <v>5400000</v>
      </c>
    </row>
    <row r="957" spans="1:7">
      <c r="A957" s="7" t="s">
        <v>1661</v>
      </c>
      <c r="B957" s="89" t="s">
        <v>195</v>
      </c>
      <c r="C957" s="90" t="s">
        <v>1662</v>
      </c>
      <c r="D957" s="89">
        <v>12</v>
      </c>
      <c r="E957" s="91" t="s">
        <v>32</v>
      </c>
      <c r="F957" s="92">
        <v>400000</v>
      </c>
      <c r="G957" s="92">
        <v>4800000</v>
      </c>
    </row>
    <row r="958" spans="1:7">
      <c r="A958" s="7" t="s">
        <v>1663</v>
      </c>
      <c r="B958" s="89" t="s">
        <v>195</v>
      </c>
      <c r="C958" s="90" t="s">
        <v>1664</v>
      </c>
      <c r="D958" s="89">
        <v>96</v>
      </c>
      <c r="E958" s="91" t="s">
        <v>32</v>
      </c>
      <c r="F958" s="92">
        <v>350000</v>
      </c>
      <c r="G958" s="92">
        <v>33600000</v>
      </c>
    </row>
    <row r="959" spans="1:7" ht="15">
      <c r="A959" s="7" t="s">
        <v>1665</v>
      </c>
      <c r="B959" s="78" t="s">
        <v>533</v>
      </c>
      <c r="C959" s="79" t="s">
        <v>53</v>
      </c>
      <c r="D959" s="78"/>
      <c r="E959" s="80"/>
      <c r="F959" s="81"/>
      <c r="G959" s="81">
        <v>34600000</v>
      </c>
    </row>
    <row r="960" spans="1:7">
      <c r="A960" s="7" t="s">
        <v>195</v>
      </c>
      <c r="B960" s="89" t="s">
        <v>195</v>
      </c>
      <c r="C960" s="90" t="s">
        <v>1666</v>
      </c>
      <c r="D960" s="89">
        <v>0</v>
      </c>
      <c r="E960" s="91" t="s">
        <v>195</v>
      </c>
      <c r="F960" s="92">
        <v>0</v>
      </c>
      <c r="G960" s="92">
        <v>0</v>
      </c>
    </row>
    <row r="961" spans="1:7">
      <c r="A961" s="7" t="s">
        <v>1667</v>
      </c>
      <c r="B961" s="89" t="s">
        <v>195</v>
      </c>
      <c r="C961" s="90" t="s">
        <v>1668</v>
      </c>
      <c r="D961" s="89">
        <v>750</v>
      </c>
      <c r="E961" s="91" t="s">
        <v>1669</v>
      </c>
      <c r="F961" s="92">
        <v>16000</v>
      </c>
      <c r="G961" s="92">
        <v>12000000</v>
      </c>
    </row>
    <row r="962" spans="1:7">
      <c r="A962" s="7" t="s">
        <v>1670</v>
      </c>
      <c r="B962" s="89" t="s">
        <v>195</v>
      </c>
      <c r="C962" s="90" t="s">
        <v>1671</v>
      </c>
      <c r="D962" s="89">
        <v>1</v>
      </c>
      <c r="E962" s="91" t="s">
        <v>1672</v>
      </c>
      <c r="F962" s="92">
        <v>5000000</v>
      </c>
      <c r="G962" s="92">
        <v>5000000</v>
      </c>
    </row>
    <row r="963" spans="1:7">
      <c r="A963" s="7" t="s">
        <v>1673</v>
      </c>
      <c r="B963" s="89" t="s">
        <v>195</v>
      </c>
      <c r="C963" s="90" t="s">
        <v>1674</v>
      </c>
      <c r="D963" s="89">
        <v>1</v>
      </c>
      <c r="E963" s="91" t="s">
        <v>1672</v>
      </c>
      <c r="F963" s="92">
        <v>1000000</v>
      </c>
      <c r="G963" s="92">
        <v>1000000</v>
      </c>
    </row>
    <row r="964" spans="1:7">
      <c r="A964" s="7" t="s">
        <v>1675</v>
      </c>
      <c r="B964" s="89" t="s">
        <v>195</v>
      </c>
      <c r="C964" s="90" t="s">
        <v>1676</v>
      </c>
      <c r="D964" s="89">
        <v>750</v>
      </c>
      <c r="E964" s="91" t="s">
        <v>1677</v>
      </c>
      <c r="F964" s="92">
        <v>16000</v>
      </c>
      <c r="G964" s="92">
        <v>12000000</v>
      </c>
    </row>
    <row r="965" spans="1:7">
      <c r="A965" s="7" t="s">
        <v>1678</v>
      </c>
      <c r="B965" s="89" t="s">
        <v>195</v>
      </c>
      <c r="C965" s="90" t="s">
        <v>1679</v>
      </c>
      <c r="D965" s="89">
        <v>1</v>
      </c>
      <c r="E965" s="91" t="s">
        <v>1672</v>
      </c>
      <c r="F965" s="92">
        <v>4600000</v>
      </c>
      <c r="G965" s="92">
        <v>4600000</v>
      </c>
    </row>
    <row r="966" spans="1:7" ht="15">
      <c r="A966" s="7" t="s">
        <v>1680</v>
      </c>
      <c r="B966" s="78" t="s">
        <v>537</v>
      </c>
      <c r="C966" s="79" t="s">
        <v>64</v>
      </c>
      <c r="D966" s="78"/>
      <c r="E966" s="80"/>
      <c r="F966" s="81"/>
      <c r="G966" s="81">
        <v>24000000</v>
      </c>
    </row>
    <row r="967" spans="1:7">
      <c r="A967" s="7" t="s">
        <v>1681</v>
      </c>
      <c r="B967" s="89" t="s">
        <v>195</v>
      </c>
      <c r="C967" s="90" t="s">
        <v>619</v>
      </c>
      <c r="D967" s="89">
        <v>12</v>
      </c>
      <c r="E967" s="91" t="s">
        <v>52</v>
      </c>
      <c r="F967" s="92">
        <v>1000000</v>
      </c>
      <c r="G967" s="92">
        <v>12000000</v>
      </c>
    </row>
    <row r="968" spans="1:7">
      <c r="A968" s="7" t="s">
        <v>1682</v>
      </c>
      <c r="B968" s="89" t="s">
        <v>195</v>
      </c>
      <c r="C968" s="90" t="s">
        <v>859</v>
      </c>
      <c r="D968" s="89">
        <v>12</v>
      </c>
      <c r="E968" s="91" t="s">
        <v>52</v>
      </c>
      <c r="F968" s="92">
        <v>1000000</v>
      </c>
      <c r="G968" s="92">
        <v>12000000</v>
      </c>
    </row>
    <row r="969" spans="1:7" ht="15">
      <c r="A969" s="7" t="s">
        <v>1683</v>
      </c>
      <c r="B969" s="78" t="s">
        <v>513</v>
      </c>
      <c r="C969" s="79" t="s">
        <v>19</v>
      </c>
      <c r="D969" s="78"/>
      <c r="E969" s="80"/>
      <c r="F969" s="81"/>
      <c r="G969" s="81">
        <v>60000000</v>
      </c>
    </row>
    <row r="970" spans="1:7" ht="28.5">
      <c r="A970" s="7" t="s">
        <v>1684</v>
      </c>
      <c r="B970" s="89" t="s">
        <v>195</v>
      </c>
      <c r="C970" s="90" t="s">
        <v>1685</v>
      </c>
      <c r="D970" s="89">
        <v>12</v>
      </c>
      <c r="E970" s="91" t="s">
        <v>25</v>
      </c>
      <c r="F970" s="92">
        <v>5000000</v>
      </c>
      <c r="G970" s="92">
        <v>60000000</v>
      </c>
    </row>
    <row r="971" spans="1:7" ht="30">
      <c r="A971" s="7" t="s">
        <v>1686</v>
      </c>
      <c r="B971" s="97" t="s">
        <v>511</v>
      </c>
      <c r="C971" s="98" t="s">
        <v>1687</v>
      </c>
      <c r="D971" s="97"/>
      <c r="E971" s="99"/>
      <c r="F971" s="100"/>
      <c r="G971" s="100">
        <v>90100000</v>
      </c>
    </row>
    <row r="972" spans="1:7" ht="15">
      <c r="A972" s="7" t="s">
        <v>1688</v>
      </c>
      <c r="B972" s="78" t="s">
        <v>503</v>
      </c>
      <c r="C972" s="79" t="s">
        <v>7</v>
      </c>
      <c r="D972" s="78"/>
      <c r="E972" s="80"/>
      <c r="F972" s="81"/>
      <c r="G972" s="81">
        <v>4000000</v>
      </c>
    </row>
    <row r="973" spans="1:7">
      <c r="A973" s="7" t="s">
        <v>1689</v>
      </c>
      <c r="B973" s="89" t="s">
        <v>195</v>
      </c>
      <c r="C973" s="90" t="s">
        <v>1109</v>
      </c>
      <c r="D973" s="89">
        <v>4</v>
      </c>
      <c r="E973" s="91" t="s">
        <v>52</v>
      </c>
      <c r="F973" s="92">
        <v>1000000</v>
      </c>
      <c r="G973" s="92">
        <v>4000000</v>
      </c>
    </row>
    <row r="974" spans="1:7" ht="15">
      <c r="A974" s="7" t="s">
        <v>1690</v>
      </c>
      <c r="B974" s="78" t="s">
        <v>537</v>
      </c>
      <c r="C974" s="79" t="s">
        <v>64</v>
      </c>
      <c r="D974" s="78"/>
      <c r="E974" s="80"/>
      <c r="F974" s="81"/>
      <c r="G974" s="81">
        <v>8000000</v>
      </c>
    </row>
    <row r="975" spans="1:7">
      <c r="A975" s="7" t="s">
        <v>1691</v>
      </c>
      <c r="B975" s="89" t="s">
        <v>195</v>
      </c>
      <c r="C975" s="90" t="s">
        <v>619</v>
      </c>
      <c r="D975" s="89">
        <v>4</v>
      </c>
      <c r="E975" s="91" t="s">
        <v>52</v>
      </c>
      <c r="F975" s="92">
        <v>1000000</v>
      </c>
      <c r="G975" s="92">
        <v>4000000</v>
      </c>
    </row>
    <row r="976" spans="1:7">
      <c r="A976" s="7" t="s">
        <v>1692</v>
      </c>
      <c r="B976" s="89" t="s">
        <v>195</v>
      </c>
      <c r="C976" s="90" t="s">
        <v>859</v>
      </c>
      <c r="D976" s="89">
        <v>4</v>
      </c>
      <c r="E976" s="91" t="s">
        <v>52</v>
      </c>
      <c r="F976" s="92">
        <v>1000000</v>
      </c>
      <c r="G976" s="92">
        <v>4000000</v>
      </c>
    </row>
    <row r="977" spans="1:7" ht="15">
      <c r="A977" s="7" t="s">
        <v>1693</v>
      </c>
      <c r="B977" s="78" t="s">
        <v>513</v>
      </c>
      <c r="C977" s="79" t="s">
        <v>19</v>
      </c>
      <c r="D977" s="78"/>
      <c r="E977" s="80"/>
      <c r="F977" s="81"/>
      <c r="G977" s="81">
        <v>70000000</v>
      </c>
    </row>
    <row r="978" spans="1:7" ht="28.5">
      <c r="A978" s="7" t="s">
        <v>1694</v>
      </c>
      <c r="B978" s="89" t="s">
        <v>195</v>
      </c>
      <c r="C978" s="90" t="s">
        <v>1695</v>
      </c>
      <c r="D978" s="89">
        <v>14</v>
      </c>
      <c r="E978" s="91" t="s">
        <v>25</v>
      </c>
      <c r="F978" s="92">
        <v>5000000</v>
      </c>
      <c r="G978" s="92">
        <v>70000000</v>
      </c>
    </row>
    <row r="979" spans="1:7" ht="15">
      <c r="A979" s="7" t="s">
        <v>1696</v>
      </c>
      <c r="B979" s="78" t="s">
        <v>507</v>
      </c>
      <c r="C979" s="79" t="s">
        <v>13</v>
      </c>
      <c r="D979" s="78"/>
      <c r="E979" s="80"/>
      <c r="F979" s="81"/>
      <c r="G979" s="81">
        <v>8100000</v>
      </c>
    </row>
    <row r="980" spans="1:7">
      <c r="A980" s="7" t="s">
        <v>1697</v>
      </c>
      <c r="B980" s="89" t="s">
        <v>195</v>
      </c>
      <c r="C980" s="90" t="s">
        <v>1698</v>
      </c>
      <c r="D980" s="89">
        <v>54</v>
      </c>
      <c r="E980" s="91" t="s">
        <v>25</v>
      </c>
      <c r="F980" s="92">
        <v>150000</v>
      </c>
      <c r="G980" s="92">
        <v>8100000</v>
      </c>
    </row>
    <row r="981" spans="1:7">
      <c r="A981" s="7" t="s">
        <v>1699</v>
      </c>
      <c r="B981" s="89" t="s">
        <v>1700</v>
      </c>
      <c r="C981" s="90" t="s">
        <v>1701</v>
      </c>
      <c r="D981" s="89"/>
      <c r="E981" s="91"/>
      <c r="F981" s="92"/>
      <c r="G981" s="92">
        <v>48823181000</v>
      </c>
    </row>
    <row r="982" spans="1:7" ht="15">
      <c r="A982" s="7" t="s">
        <v>1702</v>
      </c>
      <c r="B982" s="93" t="s">
        <v>501</v>
      </c>
      <c r="C982" s="94" t="s">
        <v>76</v>
      </c>
      <c r="D982" s="93"/>
      <c r="E982" s="95"/>
      <c r="F982" s="96"/>
      <c r="G982" s="96">
        <v>23048523000</v>
      </c>
    </row>
    <row r="983" spans="1:7" ht="15">
      <c r="A983" s="7" t="s">
        <v>1703</v>
      </c>
      <c r="B983" s="97" t="s">
        <v>558</v>
      </c>
      <c r="C983" s="98" t="s">
        <v>1704</v>
      </c>
      <c r="D983" s="97"/>
      <c r="E983" s="99"/>
      <c r="F983" s="100"/>
      <c r="G983" s="100">
        <v>10900000000</v>
      </c>
    </row>
    <row r="984" spans="1:7" ht="15">
      <c r="A984" s="7" t="s">
        <v>1705</v>
      </c>
      <c r="B984" s="78" t="s">
        <v>544</v>
      </c>
      <c r="C984" s="79" t="s">
        <v>77</v>
      </c>
      <c r="D984" s="78"/>
      <c r="E984" s="80"/>
      <c r="F984" s="81"/>
      <c r="G984" s="81">
        <v>3970000000</v>
      </c>
    </row>
    <row r="985" spans="1:7">
      <c r="A985" s="7" t="s">
        <v>1706</v>
      </c>
      <c r="B985" s="89" t="s">
        <v>195</v>
      </c>
      <c r="C985" s="90" t="s">
        <v>1707</v>
      </c>
      <c r="D985" s="89">
        <v>1</v>
      </c>
      <c r="E985" s="91" t="s">
        <v>97</v>
      </c>
      <c r="F985" s="92">
        <v>275000000</v>
      </c>
      <c r="G985" s="92">
        <v>275000000</v>
      </c>
    </row>
    <row r="986" spans="1:7">
      <c r="A986" s="7" t="s">
        <v>1708</v>
      </c>
      <c r="B986" s="89" t="s">
        <v>195</v>
      </c>
      <c r="C986" s="90" t="s">
        <v>1709</v>
      </c>
      <c r="D986" s="89">
        <v>12</v>
      </c>
      <c r="E986" s="91" t="s">
        <v>97</v>
      </c>
      <c r="F986" s="92">
        <v>285000000</v>
      </c>
      <c r="G986" s="92">
        <v>3420000000</v>
      </c>
    </row>
    <row r="987" spans="1:7">
      <c r="A987" s="7" t="s">
        <v>1710</v>
      </c>
      <c r="B987" s="89" t="s">
        <v>195</v>
      </c>
      <c r="C987" s="90" t="s">
        <v>1711</v>
      </c>
      <c r="D987" s="89">
        <v>1</v>
      </c>
      <c r="E987" s="91" t="s">
        <v>97</v>
      </c>
      <c r="F987" s="92">
        <v>275000000</v>
      </c>
      <c r="G987" s="92">
        <v>275000000</v>
      </c>
    </row>
    <row r="988" spans="1:7" ht="15">
      <c r="A988" s="7" t="s">
        <v>1712</v>
      </c>
      <c r="B988" s="78" t="s">
        <v>547</v>
      </c>
      <c r="C988" s="79" t="s">
        <v>79</v>
      </c>
      <c r="D988" s="78"/>
      <c r="E988" s="80"/>
      <c r="F988" s="81"/>
      <c r="G988" s="81">
        <v>145000</v>
      </c>
    </row>
    <row r="989" spans="1:7">
      <c r="A989" s="7" t="s">
        <v>1713</v>
      </c>
      <c r="B989" s="89" t="s">
        <v>195</v>
      </c>
      <c r="C989" s="90" t="s">
        <v>1714</v>
      </c>
      <c r="D989" s="89">
        <v>1</v>
      </c>
      <c r="E989" s="91" t="s">
        <v>97</v>
      </c>
      <c r="F989" s="92">
        <v>5000</v>
      </c>
      <c r="G989" s="92">
        <v>5000</v>
      </c>
    </row>
    <row r="990" spans="1:7">
      <c r="A990" s="7" t="s">
        <v>1715</v>
      </c>
      <c r="B990" s="89" t="s">
        <v>195</v>
      </c>
      <c r="C990" s="90" t="s">
        <v>1716</v>
      </c>
      <c r="D990" s="89">
        <v>1</v>
      </c>
      <c r="E990" s="91" t="s">
        <v>153</v>
      </c>
      <c r="F990" s="92">
        <v>135000</v>
      </c>
      <c r="G990" s="92">
        <v>135000</v>
      </c>
    </row>
    <row r="991" spans="1:7">
      <c r="A991" s="7" t="s">
        <v>1717</v>
      </c>
      <c r="B991" s="89" t="s">
        <v>195</v>
      </c>
      <c r="C991" s="90" t="s">
        <v>1718</v>
      </c>
      <c r="D991" s="89">
        <v>1</v>
      </c>
      <c r="E991" s="91" t="s">
        <v>97</v>
      </c>
      <c r="F991" s="92">
        <v>5000</v>
      </c>
      <c r="G991" s="92">
        <v>5000</v>
      </c>
    </row>
    <row r="992" spans="1:7" ht="15">
      <c r="A992" s="7" t="s">
        <v>1719</v>
      </c>
      <c r="B992" s="78" t="s">
        <v>548</v>
      </c>
      <c r="C992" s="79" t="s">
        <v>80</v>
      </c>
      <c r="D992" s="78"/>
      <c r="E992" s="80"/>
      <c r="F992" s="81"/>
      <c r="G992" s="81">
        <v>374784000</v>
      </c>
    </row>
    <row r="993" spans="1:7">
      <c r="A993" s="7" t="s">
        <v>1720</v>
      </c>
      <c r="B993" s="89" t="s">
        <v>195</v>
      </c>
      <c r="C993" s="90" t="s">
        <v>1721</v>
      </c>
      <c r="D993" s="89">
        <v>12</v>
      </c>
      <c r="E993" s="91" t="s">
        <v>97</v>
      </c>
      <c r="F993" s="92">
        <v>27908000</v>
      </c>
      <c r="G993" s="92">
        <v>334892000</v>
      </c>
    </row>
    <row r="994" spans="1:7">
      <c r="A994" s="7" t="s">
        <v>1722</v>
      </c>
      <c r="B994" s="89" t="s">
        <v>195</v>
      </c>
      <c r="C994" s="90" t="s">
        <v>1723</v>
      </c>
      <c r="D994" s="89">
        <v>1</v>
      </c>
      <c r="E994" s="91" t="s">
        <v>97</v>
      </c>
      <c r="F994" s="92">
        <v>19946000</v>
      </c>
      <c r="G994" s="92">
        <v>19946000</v>
      </c>
    </row>
    <row r="995" spans="1:7">
      <c r="A995" s="7" t="s">
        <v>1724</v>
      </c>
      <c r="B995" s="89" t="s">
        <v>195</v>
      </c>
      <c r="C995" s="90" t="s">
        <v>1725</v>
      </c>
      <c r="D995" s="89">
        <v>1</v>
      </c>
      <c r="E995" s="91" t="s">
        <v>97</v>
      </c>
      <c r="F995" s="92">
        <v>19946000</v>
      </c>
      <c r="G995" s="92">
        <v>19946000</v>
      </c>
    </row>
    <row r="996" spans="1:7" ht="15">
      <c r="A996" s="7" t="s">
        <v>1726</v>
      </c>
      <c r="B996" s="78" t="s">
        <v>549</v>
      </c>
      <c r="C996" s="79" t="s">
        <v>81</v>
      </c>
      <c r="D996" s="78"/>
      <c r="E996" s="80"/>
      <c r="F996" s="81"/>
      <c r="G996" s="81">
        <v>94000000</v>
      </c>
    </row>
    <row r="997" spans="1:7">
      <c r="A997" s="7" t="s">
        <v>1727</v>
      </c>
      <c r="B997" s="89" t="s">
        <v>195</v>
      </c>
      <c r="C997" s="90" t="s">
        <v>1728</v>
      </c>
      <c r="D997" s="89">
        <v>1</v>
      </c>
      <c r="E997" s="91" t="s">
        <v>97</v>
      </c>
      <c r="F997" s="92">
        <v>9000000</v>
      </c>
      <c r="G997" s="92">
        <v>9000000</v>
      </c>
    </row>
    <row r="998" spans="1:7">
      <c r="A998" s="7" t="s">
        <v>1729</v>
      </c>
      <c r="B998" s="89" t="s">
        <v>195</v>
      </c>
      <c r="C998" s="90" t="s">
        <v>1730</v>
      </c>
      <c r="D998" s="89">
        <v>12</v>
      </c>
      <c r="E998" s="91" t="s">
        <v>97</v>
      </c>
      <c r="F998" s="92">
        <v>6333000</v>
      </c>
      <c r="G998" s="92">
        <v>76000000</v>
      </c>
    </row>
    <row r="999" spans="1:7">
      <c r="A999" s="7" t="s">
        <v>1731</v>
      </c>
      <c r="B999" s="89" t="s">
        <v>195</v>
      </c>
      <c r="C999" s="90" t="s">
        <v>1732</v>
      </c>
      <c r="D999" s="89">
        <v>1</v>
      </c>
      <c r="E999" s="91" t="s">
        <v>97</v>
      </c>
      <c r="F999" s="92">
        <v>9000000</v>
      </c>
      <c r="G999" s="92">
        <v>9000000</v>
      </c>
    </row>
    <row r="1000" spans="1:7" ht="15">
      <c r="A1000" s="7" t="s">
        <v>1733</v>
      </c>
      <c r="B1000" s="78" t="s">
        <v>550</v>
      </c>
      <c r="C1000" s="79" t="s">
        <v>82</v>
      </c>
      <c r="D1000" s="78"/>
      <c r="E1000" s="80"/>
      <c r="F1000" s="81"/>
      <c r="G1000" s="81">
        <v>217000000</v>
      </c>
    </row>
    <row r="1001" spans="1:7">
      <c r="A1001" s="7" t="s">
        <v>1734</v>
      </c>
      <c r="B1001" s="89" t="s">
        <v>195</v>
      </c>
      <c r="C1001" s="90" t="s">
        <v>1735</v>
      </c>
      <c r="D1001" s="89">
        <v>1</v>
      </c>
      <c r="E1001" s="91" t="s">
        <v>97</v>
      </c>
      <c r="F1001" s="92">
        <v>15500000</v>
      </c>
      <c r="G1001" s="92">
        <v>15500000</v>
      </c>
    </row>
    <row r="1002" spans="1:7">
      <c r="A1002" s="7" t="s">
        <v>1736</v>
      </c>
      <c r="B1002" s="89" t="s">
        <v>195</v>
      </c>
      <c r="C1002" s="90" t="s">
        <v>1737</v>
      </c>
      <c r="D1002" s="89">
        <v>12</v>
      </c>
      <c r="E1002" s="91" t="s">
        <v>97</v>
      </c>
      <c r="F1002" s="92">
        <v>15500000</v>
      </c>
      <c r="G1002" s="92">
        <v>186000000</v>
      </c>
    </row>
    <row r="1003" spans="1:7">
      <c r="A1003" s="7" t="s">
        <v>1738</v>
      </c>
      <c r="B1003" s="89" t="s">
        <v>195</v>
      </c>
      <c r="C1003" s="90" t="s">
        <v>1739</v>
      </c>
      <c r="D1003" s="89">
        <v>1</v>
      </c>
      <c r="E1003" s="91" t="s">
        <v>97</v>
      </c>
      <c r="F1003" s="92">
        <v>15500000</v>
      </c>
      <c r="G1003" s="92">
        <v>15500000</v>
      </c>
    </row>
    <row r="1004" spans="1:7" ht="15">
      <c r="A1004" s="7" t="s">
        <v>1740</v>
      </c>
      <c r="B1004" s="78" t="s">
        <v>551</v>
      </c>
      <c r="C1004" s="79" t="s">
        <v>83</v>
      </c>
      <c r="D1004" s="78"/>
      <c r="E1004" s="80"/>
      <c r="F1004" s="81"/>
      <c r="G1004" s="81">
        <v>210000000</v>
      </c>
    </row>
    <row r="1005" spans="1:7">
      <c r="A1005" s="7" t="s">
        <v>1741</v>
      </c>
      <c r="B1005" s="89" t="s">
        <v>195</v>
      </c>
      <c r="C1005" s="90" t="s">
        <v>1742</v>
      </c>
      <c r="D1005" s="89">
        <v>1</v>
      </c>
      <c r="E1005" s="91" t="s">
        <v>97</v>
      </c>
      <c r="F1005" s="92">
        <v>15000000</v>
      </c>
      <c r="G1005" s="92">
        <v>15000000</v>
      </c>
    </row>
    <row r="1006" spans="1:7">
      <c r="A1006" s="7" t="s">
        <v>1743</v>
      </c>
      <c r="B1006" s="89" t="s">
        <v>195</v>
      </c>
      <c r="C1006" s="90" t="s">
        <v>1744</v>
      </c>
      <c r="D1006" s="89">
        <v>12</v>
      </c>
      <c r="E1006" s="91" t="s">
        <v>97</v>
      </c>
      <c r="F1006" s="92">
        <v>15000000</v>
      </c>
      <c r="G1006" s="92">
        <v>180000000</v>
      </c>
    </row>
    <row r="1007" spans="1:7">
      <c r="A1007" s="7" t="s">
        <v>1745</v>
      </c>
      <c r="B1007" s="89" t="s">
        <v>195</v>
      </c>
      <c r="C1007" s="90" t="s">
        <v>1746</v>
      </c>
      <c r="D1007" s="89">
        <v>1</v>
      </c>
      <c r="E1007" s="91" t="s">
        <v>97</v>
      </c>
      <c r="F1007" s="92">
        <v>15000000</v>
      </c>
      <c r="G1007" s="92">
        <v>15000000</v>
      </c>
    </row>
    <row r="1008" spans="1:7" ht="15">
      <c r="A1008" s="7" t="s">
        <v>1747</v>
      </c>
      <c r="B1008" s="78" t="s">
        <v>552</v>
      </c>
      <c r="C1008" s="79" t="s">
        <v>84</v>
      </c>
      <c r="D1008" s="78"/>
      <c r="E1008" s="80"/>
      <c r="F1008" s="81"/>
      <c r="G1008" s="81">
        <v>12600000</v>
      </c>
    </row>
    <row r="1009" spans="1:7">
      <c r="A1009" s="7" t="s">
        <v>1748</v>
      </c>
      <c r="B1009" s="89" t="s">
        <v>195</v>
      </c>
      <c r="C1009" s="90" t="s">
        <v>1749</v>
      </c>
      <c r="D1009" s="89">
        <v>1</v>
      </c>
      <c r="E1009" s="91" t="s">
        <v>97</v>
      </c>
      <c r="F1009" s="92">
        <v>2100000</v>
      </c>
      <c r="G1009" s="92">
        <v>2100000</v>
      </c>
    </row>
    <row r="1010" spans="1:7">
      <c r="A1010" s="7" t="s">
        <v>1750</v>
      </c>
      <c r="B1010" s="89" t="s">
        <v>195</v>
      </c>
      <c r="C1010" s="90" t="s">
        <v>1751</v>
      </c>
      <c r="D1010" s="89">
        <v>1</v>
      </c>
      <c r="E1010" s="91" t="s">
        <v>153</v>
      </c>
      <c r="F1010" s="92">
        <v>8400000</v>
      </c>
      <c r="G1010" s="92">
        <v>8400000</v>
      </c>
    </row>
    <row r="1011" spans="1:7">
      <c r="A1011" s="7" t="s">
        <v>1752</v>
      </c>
      <c r="B1011" s="89" t="s">
        <v>195</v>
      </c>
      <c r="C1011" s="90" t="s">
        <v>1753</v>
      </c>
      <c r="D1011" s="89">
        <v>1</v>
      </c>
      <c r="E1011" s="91" t="s">
        <v>97</v>
      </c>
      <c r="F1011" s="92">
        <v>2100000</v>
      </c>
      <c r="G1011" s="92">
        <v>2100000</v>
      </c>
    </row>
    <row r="1012" spans="1:7" ht="15">
      <c r="A1012" s="7" t="s">
        <v>1754</v>
      </c>
      <c r="B1012" s="78" t="s">
        <v>553</v>
      </c>
      <c r="C1012" s="79" t="s">
        <v>85</v>
      </c>
      <c r="D1012" s="78"/>
      <c r="E1012" s="80"/>
      <c r="F1012" s="81"/>
      <c r="G1012" s="81">
        <v>205000000</v>
      </c>
    </row>
    <row r="1013" spans="1:7">
      <c r="A1013" s="7" t="s">
        <v>1755</v>
      </c>
      <c r="B1013" s="89" t="s">
        <v>195</v>
      </c>
      <c r="C1013" s="90" t="s">
        <v>1756</v>
      </c>
      <c r="D1013" s="89">
        <v>12</v>
      </c>
      <c r="E1013" s="91" t="s">
        <v>97</v>
      </c>
      <c r="F1013" s="92">
        <v>17083000</v>
      </c>
      <c r="G1013" s="92">
        <v>205000000</v>
      </c>
    </row>
    <row r="1014" spans="1:7" ht="15">
      <c r="A1014" s="7" t="s">
        <v>1757</v>
      </c>
      <c r="B1014" s="78" t="s">
        <v>554</v>
      </c>
      <c r="C1014" s="79" t="s">
        <v>86</v>
      </c>
      <c r="D1014" s="78"/>
      <c r="E1014" s="80"/>
      <c r="F1014" s="81"/>
      <c r="G1014" s="81">
        <v>568000000</v>
      </c>
    </row>
    <row r="1015" spans="1:7">
      <c r="A1015" s="7" t="s">
        <v>1758</v>
      </c>
      <c r="B1015" s="89" t="s">
        <v>195</v>
      </c>
      <c r="C1015" s="90" t="s">
        <v>1759</v>
      </c>
      <c r="D1015" s="89">
        <v>12</v>
      </c>
      <c r="E1015" s="91" t="s">
        <v>97</v>
      </c>
      <c r="F1015" s="92">
        <v>47333000</v>
      </c>
      <c r="G1015" s="92">
        <v>568000000</v>
      </c>
    </row>
    <row r="1016" spans="1:7" ht="15">
      <c r="A1016" s="7" t="s">
        <v>1760</v>
      </c>
      <c r="B1016" s="78" t="s">
        <v>555</v>
      </c>
      <c r="C1016" s="79" t="s">
        <v>87</v>
      </c>
      <c r="D1016" s="78"/>
      <c r="E1016" s="80"/>
      <c r="F1016" s="81"/>
      <c r="G1016" s="81">
        <v>132000000</v>
      </c>
    </row>
    <row r="1017" spans="1:7">
      <c r="A1017" s="7" t="s">
        <v>1761</v>
      </c>
      <c r="B1017" s="89" t="s">
        <v>195</v>
      </c>
      <c r="C1017" s="90" t="s">
        <v>1762</v>
      </c>
      <c r="D1017" s="89">
        <v>1</v>
      </c>
      <c r="E1017" s="91" t="s">
        <v>97</v>
      </c>
      <c r="F1017" s="92">
        <v>11800000</v>
      </c>
      <c r="G1017" s="92">
        <v>11800000</v>
      </c>
    </row>
    <row r="1018" spans="1:7">
      <c r="A1018" s="7" t="s">
        <v>1763</v>
      </c>
      <c r="B1018" s="89" t="s">
        <v>195</v>
      </c>
      <c r="C1018" s="90" t="s">
        <v>1764</v>
      </c>
      <c r="D1018" s="89">
        <v>12</v>
      </c>
      <c r="E1018" s="91" t="s">
        <v>97</v>
      </c>
      <c r="F1018" s="92">
        <v>9033000</v>
      </c>
      <c r="G1018" s="92">
        <v>108400000</v>
      </c>
    </row>
    <row r="1019" spans="1:7">
      <c r="A1019" s="7" t="s">
        <v>1765</v>
      </c>
      <c r="B1019" s="89" t="s">
        <v>195</v>
      </c>
      <c r="C1019" s="90" t="s">
        <v>1766</v>
      </c>
      <c r="D1019" s="89">
        <v>1</v>
      </c>
      <c r="E1019" s="91" t="s">
        <v>97</v>
      </c>
      <c r="F1019" s="92">
        <v>11800000</v>
      </c>
      <c r="G1019" s="92">
        <v>11800000</v>
      </c>
    </row>
    <row r="1020" spans="1:7" ht="30">
      <c r="A1020" s="7" t="s">
        <v>1767</v>
      </c>
      <c r="B1020" s="78" t="s">
        <v>556</v>
      </c>
      <c r="C1020" s="79" t="s">
        <v>88</v>
      </c>
      <c r="D1020" s="78"/>
      <c r="E1020" s="80"/>
      <c r="F1020" s="81"/>
      <c r="G1020" s="81">
        <v>5116471000</v>
      </c>
    </row>
    <row r="1021" spans="1:7">
      <c r="A1021" s="7" t="s">
        <v>1768</v>
      </c>
      <c r="B1021" s="89" t="s">
        <v>195</v>
      </c>
      <c r="C1021" s="90" t="s">
        <v>1769</v>
      </c>
      <c r="D1021" s="89">
        <v>1</v>
      </c>
      <c r="E1021" s="91" t="s">
        <v>153</v>
      </c>
      <c r="F1021" s="92">
        <v>5116471000</v>
      </c>
      <c r="G1021" s="92">
        <v>5116471000</v>
      </c>
    </row>
    <row r="1022" spans="1:7" ht="30">
      <c r="A1022" s="7" t="s">
        <v>1770</v>
      </c>
      <c r="B1022" s="97" t="s">
        <v>1771</v>
      </c>
      <c r="C1022" s="98" t="s">
        <v>1772</v>
      </c>
      <c r="D1022" s="97"/>
      <c r="E1022" s="99"/>
      <c r="F1022" s="100"/>
      <c r="G1022" s="100">
        <v>5669527000</v>
      </c>
    </row>
    <row r="1023" spans="1:7" ht="15">
      <c r="A1023" s="7" t="s">
        <v>1773</v>
      </c>
      <c r="B1023" s="78" t="s">
        <v>544</v>
      </c>
      <c r="C1023" s="79" t="s">
        <v>77</v>
      </c>
      <c r="D1023" s="78"/>
      <c r="E1023" s="80"/>
      <c r="F1023" s="81"/>
      <c r="G1023" s="81">
        <v>2136876000</v>
      </c>
    </row>
    <row r="1024" spans="1:7">
      <c r="A1024" s="7" t="s">
        <v>1774</v>
      </c>
      <c r="B1024" s="89" t="s">
        <v>195</v>
      </c>
      <c r="C1024" s="90" t="s">
        <v>1775</v>
      </c>
      <c r="D1024" s="89">
        <v>14</v>
      </c>
      <c r="E1024" s="91" t="s">
        <v>97</v>
      </c>
      <c r="F1024" s="92">
        <v>152634000</v>
      </c>
      <c r="G1024" s="92">
        <v>2136876000</v>
      </c>
    </row>
    <row r="1025" spans="1:7" ht="15">
      <c r="A1025" s="7" t="s">
        <v>1776</v>
      </c>
      <c r="B1025" s="78" t="s">
        <v>547</v>
      </c>
      <c r="C1025" s="79" t="s">
        <v>79</v>
      </c>
      <c r="D1025" s="78"/>
      <c r="E1025" s="80"/>
      <c r="F1025" s="81"/>
      <c r="G1025" s="81">
        <v>41000</v>
      </c>
    </row>
    <row r="1026" spans="1:7">
      <c r="A1026" s="7" t="s">
        <v>1777</v>
      </c>
      <c r="B1026" s="89" t="s">
        <v>195</v>
      </c>
      <c r="C1026" s="90" t="s">
        <v>1778</v>
      </c>
      <c r="D1026" s="89">
        <v>14</v>
      </c>
      <c r="E1026" s="91" t="s">
        <v>97</v>
      </c>
      <c r="F1026" s="92">
        <v>3000</v>
      </c>
      <c r="G1026" s="92">
        <v>41000</v>
      </c>
    </row>
    <row r="1027" spans="1:7" ht="15">
      <c r="A1027" s="7" t="s">
        <v>1779</v>
      </c>
      <c r="B1027" s="78" t="s">
        <v>548</v>
      </c>
      <c r="C1027" s="79" t="s">
        <v>80</v>
      </c>
      <c r="D1027" s="78"/>
      <c r="E1027" s="80"/>
      <c r="F1027" s="81"/>
      <c r="G1027" s="81">
        <v>167664000</v>
      </c>
    </row>
    <row r="1028" spans="1:7">
      <c r="A1028" s="7" t="s">
        <v>1780</v>
      </c>
      <c r="B1028" s="89" t="s">
        <v>195</v>
      </c>
      <c r="C1028" s="90" t="s">
        <v>1781</v>
      </c>
      <c r="D1028" s="89">
        <v>14</v>
      </c>
      <c r="E1028" s="91" t="s">
        <v>97</v>
      </c>
      <c r="F1028" s="92">
        <v>11976000</v>
      </c>
      <c r="G1028" s="92">
        <v>167664000</v>
      </c>
    </row>
    <row r="1029" spans="1:7" ht="15">
      <c r="A1029" s="7" t="s">
        <v>1782</v>
      </c>
      <c r="B1029" s="78" t="s">
        <v>549</v>
      </c>
      <c r="C1029" s="79" t="s">
        <v>81</v>
      </c>
      <c r="D1029" s="78"/>
      <c r="E1029" s="80"/>
      <c r="F1029" s="81"/>
      <c r="G1029" s="81">
        <v>50764000</v>
      </c>
    </row>
    <row r="1030" spans="1:7">
      <c r="A1030" s="7" t="s">
        <v>1783</v>
      </c>
      <c r="B1030" s="89" t="s">
        <v>195</v>
      </c>
      <c r="C1030" s="90" t="s">
        <v>1784</v>
      </c>
      <c r="D1030" s="89">
        <v>14</v>
      </c>
      <c r="E1030" s="91" t="s">
        <v>97</v>
      </c>
      <c r="F1030" s="92">
        <v>3626000</v>
      </c>
      <c r="G1030" s="92">
        <v>50764000</v>
      </c>
    </row>
    <row r="1031" spans="1:7" ht="15">
      <c r="A1031" s="7" t="s">
        <v>1785</v>
      </c>
      <c r="B1031" s="78" t="s">
        <v>550</v>
      </c>
      <c r="C1031" s="79" t="s">
        <v>82</v>
      </c>
      <c r="D1031" s="78"/>
      <c r="E1031" s="80"/>
      <c r="F1031" s="81"/>
      <c r="G1031" s="81">
        <v>45500000</v>
      </c>
    </row>
    <row r="1032" spans="1:7">
      <c r="A1032" s="7" t="s">
        <v>1786</v>
      </c>
      <c r="B1032" s="89" t="s">
        <v>195</v>
      </c>
      <c r="C1032" s="90" t="s">
        <v>1787</v>
      </c>
      <c r="D1032" s="89">
        <v>14</v>
      </c>
      <c r="E1032" s="91" t="s">
        <v>97</v>
      </c>
      <c r="F1032" s="92">
        <v>3250000</v>
      </c>
      <c r="G1032" s="92">
        <v>45500000</v>
      </c>
    </row>
    <row r="1033" spans="1:7" ht="15">
      <c r="A1033" s="7" t="s">
        <v>1788</v>
      </c>
      <c r="B1033" s="78" t="s">
        <v>551</v>
      </c>
      <c r="C1033" s="79" t="s">
        <v>83</v>
      </c>
      <c r="D1033" s="78"/>
      <c r="E1033" s="80"/>
      <c r="F1033" s="81"/>
      <c r="G1033" s="81">
        <v>200830000</v>
      </c>
    </row>
    <row r="1034" spans="1:7">
      <c r="A1034" s="7" t="s">
        <v>1789</v>
      </c>
      <c r="B1034" s="89" t="s">
        <v>195</v>
      </c>
      <c r="C1034" s="90" t="s">
        <v>1790</v>
      </c>
      <c r="D1034" s="89">
        <v>14</v>
      </c>
      <c r="E1034" s="91" t="s">
        <v>97</v>
      </c>
      <c r="F1034" s="92">
        <v>14345000</v>
      </c>
      <c r="G1034" s="92">
        <v>200830000</v>
      </c>
    </row>
    <row r="1035" spans="1:7" ht="15">
      <c r="A1035" s="7" t="s">
        <v>1791</v>
      </c>
      <c r="B1035" s="78" t="s">
        <v>552</v>
      </c>
      <c r="C1035" s="79" t="s">
        <v>84</v>
      </c>
      <c r="D1035" s="78"/>
      <c r="E1035" s="80"/>
      <c r="F1035" s="81"/>
      <c r="G1035" s="81">
        <v>4858000</v>
      </c>
    </row>
    <row r="1036" spans="1:7">
      <c r="A1036" s="7" t="s">
        <v>1792</v>
      </c>
      <c r="B1036" s="89" t="s">
        <v>195</v>
      </c>
      <c r="C1036" s="90" t="s">
        <v>1793</v>
      </c>
      <c r="D1036" s="89">
        <v>14</v>
      </c>
      <c r="E1036" s="91" t="s">
        <v>97</v>
      </c>
      <c r="F1036" s="92">
        <v>347000</v>
      </c>
      <c r="G1036" s="92">
        <v>4858000</v>
      </c>
    </row>
    <row r="1037" spans="1:7" ht="15">
      <c r="A1037" s="7" t="s">
        <v>1794</v>
      </c>
      <c r="B1037" s="78" t="s">
        <v>553</v>
      </c>
      <c r="C1037" s="79" t="s">
        <v>85</v>
      </c>
      <c r="D1037" s="78"/>
      <c r="E1037" s="80"/>
      <c r="F1037" s="81"/>
      <c r="G1037" s="81">
        <v>105156000</v>
      </c>
    </row>
    <row r="1038" spans="1:7">
      <c r="A1038" s="7" t="s">
        <v>1795</v>
      </c>
      <c r="B1038" s="89" t="s">
        <v>195</v>
      </c>
      <c r="C1038" s="90" t="s">
        <v>1796</v>
      </c>
      <c r="D1038" s="89">
        <v>12</v>
      </c>
      <c r="E1038" s="91" t="s">
        <v>97</v>
      </c>
      <c r="F1038" s="92">
        <v>8763000</v>
      </c>
      <c r="G1038" s="92">
        <v>105156000</v>
      </c>
    </row>
    <row r="1039" spans="1:7" ht="15">
      <c r="A1039" s="7" t="s">
        <v>1797</v>
      </c>
      <c r="B1039" s="78" t="s">
        <v>554</v>
      </c>
      <c r="C1039" s="79" t="s">
        <v>86</v>
      </c>
      <c r="D1039" s="78"/>
      <c r="E1039" s="80"/>
      <c r="F1039" s="81"/>
      <c r="G1039" s="81">
        <v>386916000</v>
      </c>
    </row>
    <row r="1040" spans="1:7">
      <c r="A1040" s="7" t="s">
        <v>1798</v>
      </c>
      <c r="B1040" s="89" t="s">
        <v>195</v>
      </c>
      <c r="C1040" s="90" t="s">
        <v>1799</v>
      </c>
      <c r="D1040" s="89">
        <v>12</v>
      </c>
      <c r="E1040" s="91" t="s">
        <v>97</v>
      </c>
      <c r="F1040" s="92">
        <v>32243000</v>
      </c>
      <c r="G1040" s="92">
        <v>386916000</v>
      </c>
    </row>
    <row r="1041" spans="1:7" ht="15">
      <c r="A1041" s="7" t="s">
        <v>1800</v>
      </c>
      <c r="B1041" s="78" t="s">
        <v>555</v>
      </c>
      <c r="C1041" s="79" t="s">
        <v>87</v>
      </c>
      <c r="D1041" s="78"/>
      <c r="E1041" s="80"/>
      <c r="F1041" s="81"/>
      <c r="G1041" s="81">
        <v>51870000</v>
      </c>
    </row>
    <row r="1042" spans="1:7">
      <c r="A1042" s="7" t="s">
        <v>1801</v>
      </c>
      <c r="B1042" s="89" t="s">
        <v>195</v>
      </c>
      <c r="C1042" s="90" t="s">
        <v>1802</v>
      </c>
      <c r="D1042" s="89">
        <v>14</v>
      </c>
      <c r="E1042" s="91" t="s">
        <v>97</v>
      </c>
      <c r="F1042" s="92">
        <v>3705000</v>
      </c>
      <c r="G1042" s="92">
        <v>51870000</v>
      </c>
    </row>
    <row r="1043" spans="1:7" ht="30">
      <c r="A1043" s="7" t="s">
        <v>1803</v>
      </c>
      <c r="B1043" s="78" t="s">
        <v>556</v>
      </c>
      <c r="C1043" s="79" t="s">
        <v>88</v>
      </c>
      <c r="D1043" s="78"/>
      <c r="E1043" s="80"/>
      <c r="F1043" s="81"/>
      <c r="G1043" s="81">
        <v>2519052000</v>
      </c>
    </row>
    <row r="1044" spans="1:7" ht="28.5">
      <c r="A1044" s="7" t="s">
        <v>1804</v>
      </c>
      <c r="B1044" s="89" t="s">
        <v>195</v>
      </c>
      <c r="C1044" s="90" t="s">
        <v>1805</v>
      </c>
      <c r="D1044" s="89">
        <v>12</v>
      </c>
      <c r="E1044" s="91" t="s">
        <v>97</v>
      </c>
      <c r="F1044" s="92">
        <v>209921000</v>
      </c>
      <c r="G1044" s="92">
        <v>2519052000</v>
      </c>
    </row>
    <row r="1045" spans="1:7" ht="15">
      <c r="A1045" s="7" t="s">
        <v>1806</v>
      </c>
      <c r="B1045" s="97" t="s">
        <v>1807</v>
      </c>
      <c r="C1045" s="98" t="s">
        <v>1808</v>
      </c>
      <c r="D1045" s="97"/>
      <c r="E1045" s="99"/>
      <c r="F1045" s="100"/>
      <c r="G1045" s="100">
        <v>6478996000</v>
      </c>
    </row>
    <row r="1046" spans="1:7" ht="15">
      <c r="A1046" s="7" t="s">
        <v>1809</v>
      </c>
      <c r="B1046" s="78" t="s">
        <v>544</v>
      </c>
      <c r="C1046" s="79" t="s">
        <v>77</v>
      </c>
      <c r="D1046" s="78"/>
      <c r="E1046" s="80"/>
      <c r="F1046" s="81"/>
      <c r="G1046" s="81">
        <v>2483477000</v>
      </c>
    </row>
    <row r="1047" spans="1:7">
      <c r="A1047" s="7" t="s">
        <v>1810</v>
      </c>
      <c r="B1047" s="89" t="s">
        <v>195</v>
      </c>
      <c r="C1047" s="90" t="s">
        <v>1707</v>
      </c>
      <c r="D1047" s="89">
        <v>1</v>
      </c>
      <c r="E1047" s="91" t="s">
        <v>97</v>
      </c>
      <c r="F1047" s="92">
        <v>180000000</v>
      </c>
      <c r="G1047" s="92">
        <v>180000000</v>
      </c>
    </row>
    <row r="1048" spans="1:7">
      <c r="A1048" s="7" t="s">
        <v>1811</v>
      </c>
      <c r="B1048" s="89" t="s">
        <v>195</v>
      </c>
      <c r="C1048" s="90" t="s">
        <v>1709</v>
      </c>
      <c r="D1048" s="89">
        <v>1</v>
      </c>
      <c r="E1048" s="91" t="s">
        <v>60</v>
      </c>
      <c r="F1048" s="92">
        <v>2123477000</v>
      </c>
      <c r="G1048" s="92">
        <v>2123477000</v>
      </c>
    </row>
    <row r="1049" spans="1:7">
      <c r="A1049" s="7" t="s">
        <v>1812</v>
      </c>
      <c r="B1049" s="89" t="s">
        <v>195</v>
      </c>
      <c r="C1049" s="90" t="s">
        <v>1711</v>
      </c>
      <c r="D1049" s="89">
        <v>1</v>
      </c>
      <c r="E1049" s="91" t="s">
        <v>97</v>
      </c>
      <c r="F1049" s="92">
        <v>180000000</v>
      </c>
      <c r="G1049" s="92">
        <v>180000000</v>
      </c>
    </row>
    <row r="1050" spans="1:7" ht="15">
      <c r="A1050" s="7" t="s">
        <v>1813</v>
      </c>
      <c r="B1050" s="78" t="s">
        <v>547</v>
      </c>
      <c r="C1050" s="79" t="s">
        <v>79</v>
      </c>
      <c r="D1050" s="78"/>
      <c r="E1050" s="80"/>
      <c r="F1050" s="81"/>
      <c r="G1050" s="81">
        <v>38000</v>
      </c>
    </row>
    <row r="1051" spans="1:7">
      <c r="A1051" s="7" t="s">
        <v>1814</v>
      </c>
      <c r="B1051" s="89" t="s">
        <v>195</v>
      </c>
      <c r="C1051" s="90" t="s">
        <v>1714</v>
      </c>
      <c r="D1051" s="89">
        <v>1</v>
      </c>
      <c r="E1051" s="91" t="s">
        <v>97</v>
      </c>
      <c r="F1051" s="92">
        <v>3000</v>
      </c>
      <c r="G1051" s="92">
        <v>3000</v>
      </c>
    </row>
    <row r="1052" spans="1:7">
      <c r="A1052" s="7" t="s">
        <v>1815</v>
      </c>
      <c r="B1052" s="89" t="s">
        <v>195</v>
      </c>
      <c r="C1052" s="90" t="s">
        <v>1716</v>
      </c>
      <c r="D1052" s="89">
        <v>1</v>
      </c>
      <c r="E1052" s="91" t="s">
        <v>153</v>
      </c>
      <c r="F1052" s="92">
        <v>32000</v>
      </c>
      <c r="G1052" s="92">
        <v>32000</v>
      </c>
    </row>
    <row r="1053" spans="1:7">
      <c r="A1053" s="7" t="s">
        <v>1816</v>
      </c>
      <c r="B1053" s="89" t="s">
        <v>195</v>
      </c>
      <c r="C1053" s="90" t="s">
        <v>1718</v>
      </c>
      <c r="D1053" s="89">
        <v>1</v>
      </c>
      <c r="E1053" s="91" t="s">
        <v>97</v>
      </c>
      <c r="F1053" s="92">
        <v>3000</v>
      </c>
      <c r="G1053" s="92">
        <v>3000</v>
      </c>
    </row>
    <row r="1054" spans="1:7" ht="15">
      <c r="A1054" s="7" t="s">
        <v>1817</v>
      </c>
      <c r="B1054" s="78" t="s">
        <v>548</v>
      </c>
      <c r="C1054" s="79" t="s">
        <v>80</v>
      </c>
      <c r="D1054" s="78"/>
      <c r="E1054" s="80"/>
      <c r="F1054" s="81"/>
      <c r="G1054" s="81">
        <v>171959000</v>
      </c>
    </row>
    <row r="1055" spans="1:7">
      <c r="A1055" s="7" t="s">
        <v>1818</v>
      </c>
      <c r="B1055" s="89" t="s">
        <v>195</v>
      </c>
      <c r="C1055" s="90" t="s">
        <v>1721</v>
      </c>
      <c r="D1055" s="89">
        <v>1</v>
      </c>
      <c r="E1055" s="91" t="s">
        <v>153</v>
      </c>
      <c r="F1055" s="92">
        <v>147267000</v>
      </c>
      <c r="G1055" s="92">
        <v>147267000</v>
      </c>
    </row>
    <row r="1056" spans="1:7">
      <c r="A1056" s="7" t="s">
        <v>1819</v>
      </c>
      <c r="B1056" s="89" t="s">
        <v>195</v>
      </c>
      <c r="C1056" s="90" t="s">
        <v>1723</v>
      </c>
      <c r="D1056" s="89">
        <v>1</v>
      </c>
      <c r="E1056" s="91" t="s">
        <v>97</v>
      </c>
      <c r="F1056" s="92">
        <v>12494000</v>
      </c>
      <c r="G1056" s="92">
        <v>12494000</v>
      </c>
    </row>
    <row r="1057" spans="1:7">
      <c r="A1057" s="7" t="s">
        <v>1820</v>
      </c>
      <c r="B1057" s="89" t="s">
        <v>195</v>
      </c>
      <c r="C1057" s="90" t="s">
        <v>1725</v>
      </c>
      <c r="D1057" s="89">
        <v>1</v>
      </c>
      <c r="E1057" s="91" t="s">
        <v>97</v>
      </c>
      <c r="F1057" s="92">
        <v>12198000</v>
      </c>
      <c r="G1057" s="92">
        <v>12198000</v>
      </c>
    </row>
    <row r="1058" spans="1:7" ht="15">
      <c r="A1058" s="7" t="s">
        <v>1821</v>
      </c>
      <c r="B1058" s="78" t="s">
        <v>549</v>
      </c>
      <c r="C1058" s="79" t="s">
        <v>81</v>
      </c>
      <c r="D1058" s="78"/>
      <c r="E1058" s="80"/>
      <c r="F1058" s="81"/>
      <c r="G1058" s="81">
        <v>46700000</v>
      </c>
    </row>
    <row r="1059" spans="1:7">
      <c r="A1059" s="7" t="s">
        <v>1822</v>
      </c>
      <c r="B1059" s="89" t="s">
        <v>195</v>
      </c>
      <c r="C1059" s="90" t="s">
        <v>1728</v>
      </c>
      <c r="D1059" s="89">
        <v>1</v>
      </c>
      <c r="E1059" s="91" t="s">
        <v>97</v>
      </c>
      <c r="F1059" s="92">
        <v>3282000</v>
      </c>
      <c r="G1059" s="92">
        <v>3282000</v>
      </c>
    </row>
    <row r="1060" spans="1:7">
      <c r="A1060" s="7" t="s">
        <v>1823</v>
      </c>
      <c r="B1060" s="89" t="s">
        <v>195</v>
      </c>
      <c r="C1060" s="90" t="s">
        <v>1730</v>
      </c>
      <c r="D1060" s="89">
        <v>1</v>
      </c>
      <c r="E1060" s="91" t="s">
        <v>153</v>
      </c>
      <c r="F1060" s="92">
        <v>40080000</v>
      </c>
      <c r="G1060" s="92">
        <v>40080000</v>
      </c>
    </row>
    <row r="1061" spans="1:7">
      <c r="A1061" s="7" t="s">
        <v>1824</v>
      </c>
      <c r="B1061" s="89" t="s">
        <v>195</v>
      </c>
      <c r="C1061" s="90" t="s">
        <v>1732</v>
      </c>
      <c r="D1061" s="89">
        <v>1</v>
      </c>
      <c r="E1061" s="91" t="s">
        <v>97</v>
      </c>
      <c r="F1061" s="92">
        <v>3338000</v>
      </c>
      <c r="G1061" s="92">
        <v>3338000</v>
      </c>
    </row>
    <row r="1062" spans="1:7" ht="15">
      <c r="A1062" s="7" t="s">
        <v>1825</v>
      </c>
      <c r="B1062" s="78" t="s">
        <v>550</v>
      </c>
      <c r="C1062" s="79" t="s">
        <v>82</v>
      </c>
      <c r="D1062" s="78"/>
      <c r="E1062" s="80"/>
      <c r="F1062" s="81"/>
      <c r="G1062" s="81">
        <v>158000000</v>
      </c>
    </row>
    <row r="1063" spans="1:7">
      <c r="A1063" s="7" t="s">
        <v>1826</v>
      </c>
      <c r="B1063" s="89" t="s">
        <v>195</v>
      </c>
      <c r="C1063" s="90" t="s">
        <v>1735</v>
      </c>
      <c r="D1063" s="89">
        <v>1</v>
      </c>
      <c r="E1063" s="91" t="s">
        <v>97</v>
      </c>
      <c r="F1063" s="92">
        <v>12070000</v>
      </c>
      <c r="G1063" s="92">
        <v>12070000</v>
      </c>
    </row>
    <row r="1064" spans="1:7">
      <c r="A1064" s="7" t="s">
        <v>1827</v>
      </c>
      <c r="B1064" s="89" t="s">
        <v>195</v>
      </c>
      <c r="C1064" s="90" t="s">
        <v>1737</v>
      </c>
      <c r="D1064" s="89">
        <v>1</v>
      </c>
      <c r="E1064" s="91" t="s">
        <v>60</v>
      </c>
      <c r="F1064" s="92">
        <v>133860000</v>
      </c>
      <c r="G1064" s="92">
        <v>133860000</v>
      </c>
    </row>
    <row r="1065" spans="1:7">
      <c r="A1065" s="7" t="s">
        <v>1828</v>
      </c>
      <c r="B1065" s="89" t="s">
        <v>195</v>
      </c>
      <c r="C1065" s="90" t="s">
        <v>1739</v>
      </c>
      <c r="D1065" s="89">
        <v>1</v>
      </c>
      <c r="E1065" s="91" t="s">
        <v>97</v>
      </c>
      <c r="F1065" s="92">
        <v>12070000</v>
      </c>
      <c r="G1065" s="92">
        <v>12070000</v>
      </c>
    </row>
    <row r="1066" spans="1:7" ht="15">
      <c r="A1066" s="7" t="s">
        <v>1829</v>
      </c>
      <c r="B1066" s="78" t="s">
        <v>551</v>
      </c>
      <c r="C1066" s="79" t="s">
        <v>83</v>
      </c>
      <c r="D1066" s="78"/>
      <c r="E1066" s="80"/>
      <c r="F1066" s="81"/>
      <c r="G1066" s="81">
        <v>48180000</v>
      </c>
    </row>
    <row r="1067" spans="1:7">
      <c r="A1067" s="7" t="s">
        <v>1830</v>
      </c>
      <c r="B1067" s="89" t="s">
        <v>195</v>
      </c>
      <c r="C1067" s="90" t="s">
        <v>1742</v>
      </c>
      <c r="D1067" s="89">
        <v>1</v>
      </c>
      <c r="E1067" s="91" t="s">
        <v>97</v>
      </c>
      <c r="F1067" s="92">
        <v>2000000</v>
      </c>
      <c r="G1067" s="92">
        <v>2000000</v>
      </c>
    </row>
    <row r="1068" spans="1:7">
      <c r="A1068" s="7" t="s">
        <v>1831</v>
      </c>
      <c r="B1068" s="89" t="s">
        <v>195</v>
      </c>
      <c r="C1068" s="90" t="s">
        <v>1744</v>
      </c>
      <c r="D1068" s="89">
        <v>1</v>
      </c>
      <c r="E1068" s="91" t="s">
        <v>60</v>
      </c>
      <c r="F1068" s="92">
        <v>44180000</v>
      </c>
      <c r="G1068" s="92">
        <v>44180000</v>
      </c>
    </row>
    <row r="1069" spans="1:7">
      <c r="A1069" s="7" t="s">
        <v>1832</v>
      </c>
      <c r="B1069" s="89" t="s">
        <v>195</v>
      </c>
      <c r="C1069" s="90" t="s">
        <v>1746</v>
      </c>
      <c r="D1069" s="89">
        <v>1</v>
      </c>
      <c r="E1069" s="91" t="s">
        <v>97</v>
      </c>
      <c r="F1069" s="92">
        <v>2000000</v>
      </c>
      <c r="G1069" s="92">
        <v>2000000</v>
      </c>
    </row>
    <row r="1070" spans="1:7" ht="15">
      <c r="A1070" s="7" t="s">
        <v>1833</v>
      </c>
      <c r="B1070" s="78" t="s">
        <v>552</v>
      </c>
      <c r="C1070" s="79" t="s">
        <v>84</v>
      </c>
      <c r="D1070" s="78"/>
      <c r="E1070" s="80"/>
      <c r="F1070" s="81"/>
      <c r="G1070" s="81">
        <v>13133000</v>
      </c>
    </row>
    <row r="1071" spans="1:7">
      <c r="A1071" s="7" t="s">
        <v>1834</v>
      </c>
      <c r="B1071" s="89" t="s">
        <v>195</v>
      </c>
      <c r="C1071" s="90" t="s">
        <v>1749</v>
      </c>
      <c r="D1071" s="89">
        <v>1</v>
      </c>
      <c r="E1071" s="91" t="s">
        <v>97</v>
      </c>
      <c r="F1071" s="92">
        <v>3360000</v>
      </c>
      <c r="G1071" s="92">
        <v>3360000</v>
      </c>
    </row>
    <row r="1072" spans="1:7">
      <c r="A1072" s="7" t="s">
        <v>1835</v>
      </c>
      <c r="B1072" s="89" t="s">
        <v>195</v>
      </c>
      <c r="C1072" s="90" t="s">
        <v>1751</v>
      </c>
      <c r="D1072" s="89">
        <v>1</v>
      </c>
      <c r="E1072" s="91" t="s">
        <v>153</v>
      </c>
      <c r="F1072" s="92">
        <v>6407000</v>
      </c>
      <c r="G1072" s="92">
        <v>6407000</v>
      </c>
    </row>
    <row r="1073" spans="1:7">
      <c r="A1073" s="7" t="s">
        <v>1836</v>
      </c>
      <c r="B1073" s="89" t="s">
        <v>195</v>
      </c>
      <c r="C1073" s="90" t="s">
        <v>1753</v>
      </c>
      <c r="D1073" s="89">
        <v>1</v>
      </c>
      <c r="E1073" s="91" t="s">
        <v>97</v>
      </c>
      <c r="F1073" s="92">
        <v>3366000</v>
      </c>
      <c r="G1073" s="92">
        <v>3366000</v>
      </c>
    </row>
    <row r="1074" spans="1:7" ht="15">
      <c r="A1074" s="7" t="s">
        <v>1837</v>
      </c>
      <c r="B1074" s="78" t="s">
        <v>553</v>
      </c>
      <c r="C1074" s="79" t="s">
        <v>85</v>
      </c>
      <c r="D1074" s="78"/>
      <c r="E1074" s="80"/>
      <c r="F1074" s="81"/>
      <c r="G1074" s="81">
        <v>130333000</v>
      </c>
    </row>
    <row r="1075" spans="1:7">
      <c r="A1075" s="7" t="s">
        <v>1838</v>
      </c>
      <c r="B1075" s="89" t="s">
        <v>195</v>
      </c>
      <c r="C1075" s="90" t="s">
        <v>1756</v>
      </c>
      <c r="D1075" s="89">
        <v>1</v>
      </c>
      <c r="E1075" s="91" t="s">
        <v>60</v>
      </c>
      <c r="F1075" s="92">
        <v>130333000</v>
      </c>
      <c r="G1075" s="92">
        <v>130333000</v>
      </c>
    </row>
    <row r="1076" spans="1:7" ht="15">
      <c r="A1076" s="7" t="s">
        <v>1839</v>
      </c>
      <c r="B1076" s="78" t="s">
        <v>554</v>
      </c>
      <c r="C1076" s="79" t="s">
        <v>86</v>
      </c>
      <c r="D1076" s="78"/>
      <c r="E1076" s="80"/>
      <c r="F1076" s="81"/>
      <c r="G1076" s="81">
        <v>379379000</v>
      </c>
    </row>
    <row r="1077" spans="1:7">
      <c r="A1077" s="7" t="s">
        <v>1840</v>
      </c>
      <c r="B1077" s="89" t="s">
        <v>195</v>
      </c>
      <c r="C1077" s="90" t="s">
        <v>1759</v>
      </c>
      <c r="D1077" s="89">
        <v>1</v>
      </c>
      <c r="E1077" s="91" t="s">
        <v>153</v>
      </c>
      <c r="F1077" s="92">
        <v>379379000</v>
      </c>
      <c r="G1077" s="92">
        <v>379379000</v>
      </c>
    </row>
    <row r="1078" spans="1:7" ht="15">
      <c r="A1078" s="7" t="s">
        <v>1841</v>
      </c>
      <c r="B1078" s="78" t="s">
        <v>555</v>
      </c>
      <c r="C1078" s="79" t="s">
        <v>87</v>
      </c>
      <c r="D1078" s="78"/>
      <c r="E1078" s="80"/>
      <c r="F1078" s="81"/>
      <c r="G1078" s="81">
        <v>88360000</v>
      </c>
    </row>
    <row r="1079" spans="1:7">
      <c r="A1079" s="7" t="s">
        <v>1842</v>
      </c>
      <c r="B1079" s="89" t="s">
        <v>195</v>
      </c>
      <c r="C1079" s="90" t="s">
        <v>1762</v>
      </c>
      <c r="D1079" s="89">
        <v>1</v>
      </c>
      <c r="E1079" s="91" t="s">
        <v>97</v>
      </c>
      <c r="F1079" s="92">
        <v>6655000</v>
      </c>
      <c r="G1079" s="92">
        <v>6655000</v>
      </c>
    </row>
    <row r="1080" spans="1:7">
      <c r="A1080" s="7" t="s">
        <v>1843</v>
      </c>
      <c r="B1080" s="89" t="s">
        <v>195</v>
      </c>
      <c r="C1080" s="90" t="s">
        <v>1764</v>
      </c>
      <c r="D1080" s="89">
        <v>1</v>
      </c>
      <c r="E1080" s="91" t="s">
        <v>60</v>
      </c>
      <c r="F1080" s="92">
        <v>75605000</v>
      </c>
      <c r="G1080" s="92">
        <v>75605000</v>
      </c>
    </row>
    <row r="1081" spans="1:7">
      <c r="A1081" s="7" t="s">
        <v>1844</v>
      </c>
      <c r="B1081" s="89" t="s">
        <v>195</v>
      </c>
      <c r="C1081" s="90" t="s">
        <v>1766</v>
      </c>
      <c r="D1081" s="89">
        <v>1</v>
      </c>
      <c r="E1081" s="91" t="s">
        <v>97</v>
      </c>
      <c r="F1081" s="92">
        <v>6100000</v>
      </c>
      <c r="G1081" s="92">
        <v>6100000</v>
      </c>
    </row>
    <row r="1082" spans="1:7" ht="30">
      <c r="A1082" s="7" t="s">
        <v>1845</v>
      </c>
      <c r="B1082" s="78" t="s">
        <v>556</v>
      </c>
      <c r="C1082" s="79" t="s">
        <v>88</v>
      </c>
      <c r="D1082" s="78"/>
      <c r="E1082" s="80"/>
      <c r="F1082" s="81"/>
      <c r="G1082" s="81">
        <v>2959437000</v>
      </c>
    </row>
    <row r="1083" spans="1:7">
      <c r="A1083" s="7" t="s">
        <v>1846</v>
      </c>
      <c r="B1083" s="89" t="s">
        <v>195</v>
      </c>
      <c r="C1083" s="90" t="s">
        <v>1769</v>
      </c>
      <c r="D1083" s="89">
        <v>1</v>
      </c>
      <c r="E1083" s="91" t="s">
        <v>153</v>
      </c>
      <c r="F1083" s="92">
        <v>2959437000</v>
      </c>
      <c r="G1083" s="92">
        <v>2959437000</v>
      </c>
    </row>
    <row r="1084" spans="1:7" ht="15">
      <c r="A1084" s="7" t="s">
        <v>1847</v>
      </c>
      <c r="B1084" s="93" t="s">
        <v>557</v>
      </c>
      <c r="C1084" s="94" t="s">
        <v>89</v>
      </c>
      <c r="D1084" s="93"/>
      <c r="E1084" s="95"/>
      <c r="F1084" s="96"/>
      <c r="G1084" s="96">
        <v>25774658000</v>
      </c>
    </row>
    <row r="1085" spans="1:7" ht="30">
      <c r="A1085" s="7" t="s">
        <v>1848</v>
      </c>
      <c r="B1085" s="97" t="s">
        <v>558</v>
      </c>
      <c r="C1085" s="98" t="s">
        <v>1849</v>
      </c>
      <c r="D1085" s="97"/>
      <c r="E1085" s="99"/>
      <c r="F1085" s="100"/>
      <c r="G1085" s="100">
        <v>4061938000</v>
      </c>
    </row>
    <row r="1086" spans="1:7" ht="15">
      <c r="A1086" s="7" t="s">
        <v>1850</v>
      </c>
      <c r="B1086" s="78" t="s">
        <v>559</v>
      </c>
      <c r="C1086" s="79" t="s">
        <v>90</v>
      </c>
      <c r="D1086" s="78"/>
      <c r="E1086" s="80"/>
      <c r="F1086" s="81"/>
      <c r="G1086" s="81">
        <v>3839118000</v>
      </c>
    </row>
    <row r="1087" spans="1:7">
      <c r="A1087" s="7" t="s">
        <v>1851</v>
      </c>
      <c r="B1087" s="89" t="s">
        <v>195</v>
      </c>
      <c r="C1087" s="90" t="s">
        <v>1852</v>
      </c>
      <c r="D1087" s="89">
        <v>1</v>
      </c>
      <c r="E1087" s="91" t="s">
        <v>1672</v>
      </c>
      <c r="F1087" s="92">
        <v>1699118000</v>
      </c>
      <c r="G1087" s="92">
        <v>1699118000</v>
      </c>
    </row>
    <row r="1088" spans="1:7" ht="28.5">
      <c r="A1088" s="7" t="s">
        <v>1853</v>
      </c>
      <c r="B1088" s="89" t="s">
        <v>195</v>
      </c>
      <c r="C1088" s="90" t="s">
        <v>1854</v>
      </c>
      <c r="D1088" s="89">
        <v>12</v>
      </c>
      <c r="E1088" s="91" t="s">
        <v>1855</v>
      </c>
      <c r="F1088" s="92">
        <v>50000000</v>
      </c>
      <c r="G1088" s="92">
        <v>600000000</v>
      </c>
    </row>
    <row r="1089" spans="1:7" ht="28.5">
      <c r="A1089" s="7" t="s">
        <v>1856</v>
      </c>
      <c r="B1089" s="89" t="s">
        <v>195</v>
      </c>
      <c r="C1089" s="90" t="s">
        <v>1857</v>
      </c>
      <c r="D1089" s="89">
        <v>12</v>
      </c>
      <c r="E1089" s="91" t="s">
        <v>1855</v>
      </c>
      <c r="F1089" s="92">
        <v>20000000</v>
      </c>
      <c r="G1089" s="92">
        <v>240000000</v>
      </c>
    </row>
    <row r="1090" spans="1:7" ht="28.5">
      <c r="A1090" s="7" t="s">
        <v>1858</v>
      </c>
      <c r="B1090" s="89" t="s">
        <v>195</v>
      </c>
      <c r="C1090" s="90" t="s">
        <v>1859</v>
      </c>
      <c r="D1090" s="89">
        <v>12</v>
      </c>
      <c r="E1090" s="91" t="s">
        <v>1855</v>
      </c>
      <c r="F1090" s="92">
        <v>20000000</v>
      </c>
      <c r="G1090" s="92">
        <v>240000000</v>
      </c>
    </row>
    <row r="1091" spans="1:7">
      <c r="A1091" s="7" t="s">
        <v>1860</v>
      </c>
      <c r="B1091" s="89" t="s">
        <v>195</v>
      </c>
      <c r="C1091" s="90" t="s">
        <v>1861</v>
      </c>
      <c r="D1091" s="89">
        <v>165</v>
      </c>
      <c r="E1091" s="91" t="s">
        <v>1862</v>
      </c>
      <c r="F1091" s="92">
        <v>2000000</v>
      </c>
      <c r="G1091" s="92">
        <v>330000000</v>
      </c>
    </row>
    <row r="1092" spans="1:7" ht="28.5">
      <c r="A1092" s="7" t="s">
        <v>1863</v>
      </c>
      <c r="B1092" s="89" t="s">
        <v>195</v>
      </c>
      <c r="C1092" s="90" t="s">
        <v>1864</v>
      </c>
      <c r="D1092" s="89">
        <v>1</v>
      </c>
      <c r="E1092" s="91" t="s">
        <v>1672</v>
      </c>
      <c r="F1092" s="92">
        <v>250000000</v>
      </c>
      <c r="G1092" s="92">
        <v>250000000</v>
      </c>
    </row>
    <row r="1093" spans="1:7">
      <c r="A1093" s="7" t="s">
        <v>1865</v>
      </c>
      <c r="B1093" s="89" t="s">
        <v>195</v>
      </c>
      <c r="C1093" s="90" t="s">
        <v>1866</v>
      </c>
      <c r="D1093" s="89">
        <v>12</v>
      </c>
      <c r="E1093" s="91" t="s">
        <v>97</v>
      </c>
      <c r="F1093" s="92">
        <v>10000000</v>
      </c>
      <c r="G1093" s="92">
        <v>120000000</v>
      </c>
    </row>
    <row r="1094" spans="1:7">
      <c r="A1094" s="7" t="s">
        <v>1867</v>
      </c>
      <c r="B1094" s="89" t="s">
        <v>195</v>
      </c>
      <c r="C1094" s="90" t="s">
        <v>1868</v>
      </c>
      <c r="D1094" s="89">
        <v>72</v>
      </c>
      <c r="E1094" s="91" t="s">
        <v>106</v>
      </c>
      <c r="F1094" s="92">
        <v>2500000</v>
      </c>
      <c r="G1094" s="92">
        <v>180000000</v>
      </c>
    </row>
    <row r="1095" spans="1:7" ht="28.5">
      <c r="A1095" s="7" t="s">
        <v>1869</v>
      </c>
      <c r="B1095" s="89" t="s">
        <v>195</v>
      </c>
      <c r="C1095" s="90" t="s">
        <v>1870</v>
      </c>
      <c r="D1095" s="89">
        <v>72</v>
      </c>
      <c r="E1095" s="91" t="s">
        <v>106</v>
      </c>
      <c r="F1095" s="92">
        <v>2500000</v>
      </c>
      <c r="G1095" s="92">
        <v>180000000</v>
      </c>
    </row>
    <row r="1096" spans="1:7" ht="15">
      <c r="A1096" s="7" t="s">
        <v>1871</v>
      </c>
      <c r="B1096" s="78" t="s">
        <v>561</v>
      </c>
      <c r="C1096" s="79" t="s">
        <v>92</v>
      </c>
      <c r="D1096" s="78"/>
      <c r="E1096" s="80"/>
      <c r="F1096" s="81"/>
      <c r="G1096" s="81">
        <v>222820000</v>
      </c>
    </row>
    <row r="1097" spans="1:7" ht="28.5">
      <c r="A1097" s="7" t="s">
        <v>1872</v>
      </c>
      <c r="B1097" s="89" t="s">
        <v>195</v>
      </c>
      <c r="C1097" s="90" t="s">
        <v>1873</v>
      </c>
      <c r="D1097" s="89">
        <v>260</v>
      </c>
      <c r="E1097" s="91" t="s">
        <v>1874</v>
      </c>
      <c r="F1097" s="92">
        <v>857000</v>
      </c>
      <c r="G1097" s="92">
        <v>222820000</v>
      </c>
    </row>
    <row r="1098" spans="1:7" ht="15">
      <c r="A1098" s="7" t="s">
        <v>1875</v>
      </c>
      <c r="B1098" s="97" t="s">
        <v>562</v>
      </c>
      <c r="C1098" s="98" t="s">
        <v>93</v>
      </c>
      <c r="D1098" s="97"/>
      <c r="E1098" s="99"/>
      <c r="F1098" s="100"/>
      <c r="G1098" s="100">
        <v>652560000</v>
      </c>
    </row>
    <row r="1099" spans="1:7" ht="15">
      <c r="A1099" s="7" t="s">
        <v>1876</v>
      </c>
      <c r="B1099" s="78" t="s">
        <v>559</v>
      </c>
      <c r="C1099" s="79" t="s">
        <v>90</v>
      </c>
      <c r="D1099" s="78"/>
      <c r="E1099" s="80"/>
      <c r="F1099" s="81"/>
      <c r="G1099" s="81">
        <v>60000000</v>
      </c>
    </row>
    <row r="1100" spans="1:7">
      <c r="A1100" s="7" t="s">
        <v>1877</v>
      </c>
      <c r="B1100" s="89" t="s">
        <v>195</v>
      </c>
      <c r="C1100" s="90" t="s">
        <v>1878</v>
      </c>
      <c r="D1100" s="89">
        <v>12</v>
      </c>
      <c r="E1100" s="91" t="s">
        <v>1855</v>
      </c>
      <c r="F1100" s="92">
        <v>5000000</v>
      </c>
      <c r="G1100" s="92">
        <v>60000000</v>
      </c>
    </row>
    <row r="1101" spans="1:7" ht="15">
      <c r="A1101" s="7" t="s">
        <v>1879</v>
      </c>
      <c r="B1101" s="78" t="s">
        <v>563</v>
      </c>
      <c r="C1101" s="79" t="s">
        <v>94</v>
      </c>
      <c r="D1101" s="78"/>
      <c r="E1101" s="80"/>
      <c r="F1101" s="81"/>
      <c r="G1101" s="81">
        <v>300000000</v>
      </c>
    </row>
    <row r="1102" spans="1:7" ht="28.5">
      <c r="A1102" s="7" t="s">
        <v>1880</v>
      </c>
      <c r="B1102" s="89" t="s">
        <v>195</v>
      </c>
      <c r="C1102" s="90" t="s">
        <v>1881</v>
      </c>
      <c r="D1102" s="89">
        <v>12</v>
      </c>
      <c r="E1102" s="91" t="s">
        <v>97</v>
      </c>
      <c r="F1102" s="92">
        <v>25000000</v>
      </c>
      <c r="G1102" s="92">
        <v>300000000</v>
      </c>
    </row>
    <row r="1103" spans="1:7" ht="15">
      <c r="A1103" s="7" t="s">
        <v>1882</v>
      </c>
      <c r="B1103" s="78" t="s">
        <v>564</v>
      </c>
      <c r="C1103" s="79" t="s">
        <v>95</v>
      </c>
      <c r="D1103" s="78"/>
      <c r="E1103" s="80"/>
      <c r="F1103" s="81"/>
      <c r="G1103" s="81">
        <v>292560000</v>
      </c>
    </row>
    <row r="1104" spans="1:7">
      <c r="A1104" s="7" t="s">
        <v>1883</v>
      </c>
      <c r="B1104" s="89" t="s">
        <v>195</v>
      </c>
      <c r="C1104" s="90" t="s">
        <v>1884</v>
      </c>
      <c r="D1104" s="89">
        <v>24</v>
      </c>
      <c r="E1104" s="91" t="s">
        <v>97</v>
      </c>
      <c r="F1104" s="92">
        <v>5500000</v>
      </c>
      <c r="G1104" s="92">
        <v>132000000</v>
      </c>
    </row>
    <row r="1105" spans="1:7">
      <c r="A1105" s="7" t="s">
        <v>1885</v>
      </c>
      <c r="B1105" s="89" t="s">
        <v>195</v>
      </c>
      <c r="C1105" s="90" t="s">
        <v>1886</v>
      </c>
      <c r="D1105" s="89">
        <v>24</v>
      </c>
      <c r="E1105" s="91" t="s">
        <v>97</v>
      </c>
      <c r="F1105" s="92">
        <v>6690000</v>
      </c>
      <c r="G1105" s="92">
        <v>160560000</v>
      </c>
    </row>
    <row r="1106" spans="1:7" ht="15">
      <c r="A1106" s="7" t="s">
        <v>1887</v>
      </c>
      <c r="B1106" s="97" t="s">
        <v>565</v>
      </c>
      <c r="C1106" s="98" t="s">
        <v>98</v>
      </c>
      <c r="D1106" s="97"/>
      <c r="E1106" s="99"/>
      <c r="F1106" s="100"/>
      <c r="G1106" s="100">
        <v>2200340000</v>
      </c>
    </row>
    <row r="1107" spans="1:7" ht="30">
      <c r="A1107" s="7" t="s">
        <v>1888</v>
      </c>
      <c r="B1107" s="78" t="s">
        <v>566</v>
      </c>
      <c r="C1107" s="79" t="s">
        <v>1889</v>
      </c>
      <c r="D1107" s="78"/>
      <c r="E1107" s="80"/>
      <c r="F1107" s="81"/>
      <c r="G1107" s="81">
        <v>678000000</v>
      </c>
    </row>
    <row r="1108" spans="1:7" ht="28.5">
      <c r="A1108" s="7" t="s">
        <v>1890</v>
      </c>
      <c r="B1108" s="89" t="s">
        <v>195</v>
      </c>
      <c r="C1108" s="90" t="s">
        <v>1891</v>
      </c>
      <c r="D1108" s="89">
        <v>12</v>
      </c>
      <c r="E1108" s="91" t="s">
        <v>52</v>
      </c>
      <c r="F1108" s="92">
        <v>30000000</v>
      </c>
      <c r="G1108" s="92">
        <v>360000000</v>
      </c>
    </row>
    <row r="1109" spans="1:7" ht="28.5">
      <c r="A1109" s="7" t="s">
        <v>1892</v>
      </c>
      <c r="B1109" s="89" t="s">
        <v>195</v>
      </c>
      <c r="C1109" s="90" t="s">
        <v>1893</v>
      </c>
      <c r="D1109" s="89">
        <v>12</v>
      </c>
      <c r="E1109" s="91" t="s">
        <v>52</v>
      </c>
      <c r="F1109" s="92">
        <v>1500000</v>
      </c>
      <c r="G1109" s="92">
        <v>18000000</v>
      </c>
    </row>
    <row r="1110" spans="1:7">
      <c r="A1110" s="7" t="s">
        <v>1894</v>
      </c>
      <c r="B1110" s="89" t="s">
        <v>195</v>
      </c>
      <c r="C1110" s="90" t="s">
        <v>1895</v>
      </c>
      <c r="D1110" s="89">
        <v>1</v>
      </c>
      <c r="E1110" s="91" t="s">
        <v>1672</v>
      </c>
      <c r="F1110" s="92">
        <v>300000000</v>
      </c>
      <c r="G1110" s="92">
        <v>300000000</v>
      </c>
    </row>
    <row r="1111" spans="1:7" ht="15">
      <c r="A1111" s="7" t="s">
        <v>1896</v>
      </c>
      <c r="B1111" s="78" t="s">
        <v>575</v>
      </c>
      <c r="C1111" s="79" t="s">
        <v>113</v>
      </c>
      <c r="D1111" s="78"/>
      <c r="E1111" s="80"/>
      <c r="F1111" s="81"/>
      <c r="G1111" s="81">
        <v>33750000</v>
      </c>
    </row>
    <row r="1112" spans="1:7">
      <c r="A1112" s="7" t="s">
        <v>1897</v>
      </c>
      <c r="B1112" s="89" t="s">
        <v>195</v>
      </c>
      <c r="C1112" s="90" t="s">
        <v>1898</v>
      </c>
      <c r="D1112" s="89">
        <v>250</v>
      </c>
      <c r="E1112" s="91" t="s">
        <v>114</v>
      </c>
      <c r="F1112" s="92">
        <v>135000</v>
      </c>
      <c r="G1112" s="92">
        <v>33750000</v>
      </c>
    </row>
    <row r="1113" spans="1:7" ht="15">
      <c r="A1113" s="7" t="s">
        <v>1899</v>
      </c>
      <c r="B1113" s="78" t="s">
        <v>567</v>
      </c>
      <c r="C1113" s="79" t="s">
        <v>99</v>
      </c>
      <c r="D1113" s="78"/>
      <c r="E1113" s="80"/>
      <c r="F1113" s="81"/>
      <c r="G1113" s="81">
        <v>1302590000</v>
      </c>
    </row>
    <row r="1114" spans="1:7">
      <c r="A1114" s="7" t="s">
        <v>1900</v>
      </c>
      <c r="B1114" s="89" t="s">
        <v>195</v>
      </c>
      <c r="C1114" s="90" t="s">
        <v>1901</v>
      </c>
      <c r="D1114" s="89">
        <v>135</v>
      </c>
      <c r="E1114" s="91" t="s">
        <v>100</v>
      </c>
      <c r="F1114" s="92">
        <v>730000</v>
      </c>
      <c r="G1114" s="92">
        <v>98550000</v>
      </c>
    </row>
    <row r="1115" spans="1:7">
      <c r="A1115" s="7" t="s">
        <v>1902</v>
      </c>
      <c r="B1115" s="89" t="s">
        <v>195</v>
      </c>
      <c r="C1115" s="90" t="s">
        <v>1903</v>
      </c>
      <c r="D1115" s="89">
        <v>165</v>
      </c>
      <c r="E1115" s="91" t="s">
        <v>100</v>
      </c>
      <c r="F1115" s="92">
        <v>300000</v>
      </c>
      <c r="G1115" s="92">
        <v>49500000</v>
      </c>
    </row>
    <row r="1116" spans="1:7">
      <c r="A1116" s="7" t="s">
        <v>1904</v>
      </c>
      <c r="B1116" s="89" t="s">
        <v>195</v>
      </c>
      <c r="C1116" s="90" t="s">
        <v>1905</v>
      </c>
      <c r="D1116" s="89">
        <v>165</v>
      </c>
      <c r="E1116" s="91" t="s">
        <v>101</v>
      </c>
      <c r="F1116" s="92">
        <v>80000</v>
      </c>
      <c r="G1116" s="92">
        <v>13200000</v>
      </c>
    </row>
    <row r="1117" spans="1:7">
      <c r="A1117" s="7" t="s">
        <v>1906</v>
      </c>
      <c r="B1117" s="89" t="s">
        <v>195</v>
      </c>
      <c r="C1117" s="90" t="s">
        <v>1907</v>
      </c>
      <c r="D1117" s="89">
        <v>1</v>
      </c>
      <c r="E1117" s="91" t="s">
        <v>153</v>
      </c>
      <c r="F1117" s="92">
        <v>25000000</v>
      </c>
      <c r="G1117" s="92">
        <v>25000000</v>
      </c>
    </row>
    <row r="1118" spans="1:7">
      <c r="A1118" s="7" t="s">
        <v>1908</v>
      </c>
      <c r="B1118" s="89" t="s">
        <v>195</v>
      </c>
      <c r="C1118" s="90" t="s">
        <v>1909</v>
      </c>
      <c r="D1118" s="89">
        <v>1</v>
      </c>
      <c r="E1118" s="91" t="s">
        <v>153</v>
      </c>
      <c r="F1118" s="92">
        <v>100000000</v>
      </c>
      <c r="G1118" s="92">
        <v>100000000</v>
      </c>
    </row>
    <row r="1119" spans="1:7">
      <c r="A1119" s="7" t="s">
        <v>195</v>
      </c>
      <c r="B1119" s="89" t="s">
        <v>195</v>
      </c>
      <c r="C1119" s="90" t="s">
        <v>1910</v>
      </c>
      <c r="D1119" s="89">
        <v>0</v>
      </c>
      <c r="E1119" s="91" t="s">
        <v>195</v>
      </c>
      <c r="F1119" s="92">
        <v>0</v>
      </c>
      <c r="G1119" s="92">
        <v>0</v>
      </c>
    </row>
    <row r="1120" spans="1:7">
      <c r="A1120" s="7" t="s">
        <v>1911</v>
      </c>
      <c r="B1120" s="89" t="s">
        <v>195</v>
      </c>
      <c r="C1120" s="90" t="s">
        <v>1912</v>
      </c>
      <c r="D1120" s="89">
        <v>1</v>
      </c>
      <c r="E1120" s="91" t="s">
        <v>100</v>
      </c>
      <c r="F1120" s="92">
        <v>40000000</v>
      </c>
      <c r="G1120" s="92">
        <v>40000000</v>
      </c>
    </row>
    <row r="1121" spans="1:7">
      <c r="A1121" s="7" t="s">
        <v>1913</v>
      </c>
      <c r="B1121" s="89" t="s">
        <v>195</v>
      </c>
      <c r="C1121" s="90" t="s">
        <v>1914</v>
      </c>
      <c r="D1121" s="89">
        <v>1</v>
      </c>
      <c r="E1121" s="91" t="s">
        <v>100</v>
      </c>
      <c r="F1121" s="92">
        <v>38730000</v>
      </c>
      <c r="G1121" s="92">
        <v>38730000</v>
      </c>
    </row>
    <row r="1122" spans="1:7">
      <c r="A1122" s="7" t="s">
        <v>1915</v>
      </c>
      <c r="B1122" s="89" t="s">
        <v>195</v>
      </c>
      <c r="C1122" s="90" t="s">
        <v>1916</v>
      </c>
      <c r="D1122" s="89">
        <v>12</v>
      </c>
      <c r="E1122" s="91" t="s">
        <v>100</v>
      </c>
      <c r="F1122" s="92">
        <v>33650000</v>
      </c>
      <c r="G1122" s="92">
        <v>403800000</v>
      </c>
    </row>
    <row r="1123" spans="1:7">
      <c r="A1123" s="7" t="s">
        <v>1917</v>
      </c>
      <c r="B1123" s="89" t="s">
        <v>195</v>
      </c>
      <c r="C1123" s="90" t="s">
        <v>1918</v>
      </c>
      <c r="D1123" s="89">
        <v>6</v>
      </c>
      <c r="E1123" s="91" t="s">
        <v>100</v>
      </c>
      <c r="F1123" s="92">
        <v>25000000</v>
      </c>
      <c r="G1123" s="92">
        <v>150000000</v>
      </c>
    </row>
    <row r="1124" spans="1:7">
      <c r="A1124" s="7" t="s">
        <v>195</v>
      </c>
      <c r="B1124" s="89" t="s">
        <v>195</v>
      </c>
      <c r="C1124" s="90" t="s">
        <v>1919</v>
      </c>
      <c r="D1124" s="89">
        <v>0</v>
      </c>
      <c r="E1124" s="91" t="s">
        <v>195</v>
      </c>
      <c r="F1124" s="92">
        <v>0</v>
      </c>
      <c r="G1124" s="92">
        <v>0</v>
      </c>
    </row>
    <row r="1125" spans="1:7">
      <c r="A1125" s="7" t="s">
        <v>1920</v>
      </c>
      <c r="B1125" s="89" t="s">
        <v>195</v>
      </c>
      <c r="C1125" s="90" t="s">
        <v>1921</v>
      </c>
      <c r="D1125" s="89">
        <v>135</v>
      </c>
      <c r="E1125" s="91" t="s">
        <v>100</v>
      </c>
      <c r="F1125" s="92">
        <v>730000</v>
      </c>
      <c r="G1125" s="92">
        <v>98550000</v>
      </c>
    </row>
    <row r="1126" spans="1:7">
      <c r="A1126" s="7" t="s">
        <v>1922</v>
      </c>
      <c r="B1126" s="89" t="s">
        <v>195</v>
      </c>
      <c r="C1126" s="90" t="s">
        <v>1923</v>
      </c>
      <c r="D1126" s="89">
        <v>25</v>
      </c>
      <c r="E1126" s="91" t="s">
        <v>100</v>
      </c>
      <c r="F1126" s="92">
        <v>3640000</v>
      </c>
      <c r="G1126" s="92">
        <v>91000000</v>
      </c>
    </row>
    <row r="1127" spans="1:7">
      <c r="A1127" s="7" t="s">
        <v>1924</v>
      </c>
      <c r="B1127" s="89" t="s">
        <v>195</v>
      </c>
      <c r="C1127" s="90" t="s">
        <v>1925</v>
      </c>
      <c r="D1127" s="89">
        <v>135</v>
      </c>
      <c r="E1127" s="91" t="s">
        <v>100</v>
      </c>
      <c r="F1127" s="92">
        <v>690000</v>
      </c>
      <c r="G1127" s="92">
        <v>93150000</v>
      </c>
    </row>
    <row r="1128" spans="1:7">
      <c r="A1128" s="7" t="s">
        <v>1926</v>
      </c>
      <c r="B1128" s="89" t="s">
        <v>195</v>
      </c>
      <c r="C1128" s="90" t="s">
        <v>1927</v>
      </c>
      <c r="D1128" s="89">
        <v>20</v>
      </c>
      <c r="E1128" s="91" t="s">
        <v>100</v>
      </c>
      <c r="F1128" s="92">
        <v>690000</v>
      </c>
      <c r="G1128" s="92">
        <v>13800000</v>
      </c>
    </row>
    <row r="1129" spans="1:7">
      <c r="A1129" s="7" t="s">
        <v>1928</v>
      </c>
      <c r="B1129" s="89" t="s">
        <v>195</v>
      </c>
      <c r="C1129" s="90" t="s">
        <v>1929</v>
      </c>
      <c r="D1129" s="89">
        <v>50</v>
      </c>
      <c r="E1129" s="91" t="s">
        <v>100</v>
      </c>
      <c r="F1129" s="92">
        <v>690000</v>
      </c>
      <c r="G1129" s="92">
        <v>34500000</v>
      </c>
    </row>
    <row r="1130" spans="1:7">
      <c r="A1130" s="7" t="s">
        <v>1930</v>
      </c>
      <c r="B1130" s="89" t="s">
        <v>195</v>
      </c>
      <c r="C1130" s="90" t="s">
        <v>1931</v>
      </c>
      <c r="D1130" s="89">
        <v>9</v>
      </c>
      <c r="E1130" s="91" t="s">
        <v>100</v>
      </c>
      <c r="F1130" s="92">
        <v>690000</v>
      </c>
      <c r="G1130" s="92">
        <v>6210000</v>
      </c>
    </row>
    <row r="1131" spans="1:7">
      <c r="A1131" s="7" t="s">
        <v>1932</v>
      </c>
      <c r="B1131" s="89" t="s">
        <v>195</v>
      </c>
      <c r="C1131" s="90" t="s">
        <v>1933</v>
      </c>
      <c r="D1131" s="89">
        <v>1</v>
      </c>
      <c r="E1131" s="91" t="s">
        <v>1672</v>
      </c>
      <c r="F1131" s="92">
        <v>25000000</v>
      </c>
      <c r="G1131" s="92">
        <v>25000000</v>
      </c>
    </row>
    <row r="1132" spans="1:7">
      <c r="A1132" s="7" t="s">
        <v>1934</v>
      </c>
      <c r="B1132" s="89" t="s">
        <v>195</v>
      </c>
      <c r="C1132" s="90" t="s">
        <v>1935</v>
      </c>
      <c r="D1132" s="89">
        <v>10</v>
      </c>
      <c r="E1132" s="91" t="s">
        <v>100</v>
      </c>
      <c r="F1132" s="92">
        <v>300000</v>
      </c>
      <c r="G1132" s="92">
        <v>3000000</v>
      </c>
    </row>
    <row r="1133" spans="1:7">
      <c r="A1133" s="7" t="s">
        <v>1936</v>
      </c>
      <c r="B1133" s="89" t="s">
        <v>195</v>
      </c>
      <c r="C1133" s="90" t="s">
        <v>1937</v>
      </c>
      <c r="D1133" s="89">
        <v>31</v>
      </c>
      <c r="E1133" s="91" t="s">
        <v>100</v>
      </c>
      <c r="F1133" s="92">
        <v>600000</v>
      </c>
      <c r="G1133" s="92">
        <v>18600000</v>
      </c>
    </row>
    <row r="1134" spans="1:7" ht="15">
      <c r="A1134" s="7" t="s">
        <v>1938</v>
      </c>
      <c r="B1134" s="78" t="s">
        <v>568</v>
      </c>
      <c r="C1134" s="79" t="s">
        <v>102</v>
      </c>
      <c r="D1134" s="78"/>
      <c r="E1134" s="80"/>
      <c r="F1134" s="81"/>
      <c r="G1134" s="81">
        <v>186000000</v>
      </c>
    </row>
    <row r="1135" spans="1:7">
      <c r="A1135" s="7" t="s">
        <v>1939</v>
      </c>
      <c r="B1135" s="89" t="s">
        <v>195</v>
      </c>
      <c r="C1135" s="90" t="s">
        <v>1940</v>
      </c>
      <c r="D1135" s="89">
        <v>100</v>
      </c>
      <c r="E1135" s="91" t="s">
        <v>100</v>
      </c>
      <c r="F1135" s="92">
        <v>1000000</v>
      </c>
      <c r="G1135" s="92">
        <v>100000000</v>
      </c>
    </row>
    <row r="1136" spans="1:7">
      <c r="A1136" s="7" t="s">
        <v>1941</v>
      </c>
      <c r="B1136" s="89" t="s">
        <v>195</v>
      </c>
      <c r="C1136" s="90" t="s">
        <v>1942</v>
      </c>
      <c r="D1136" s="89">
        <v>1</v>
      </c>
      <c r="E1136" s="91" t="s">
        <v>153</v>
      </c>
      <c r="F1136" s="92">
        <v>50000000</v>
      </c>
      <c r="G1136" s="92">
        <v>50000000</v>
      </c>
    </row>
    <row r="1137" spans="1:7" ht="28.5">
      <c r="A1137" s="7" t="s">
        <v>1943</v>
      </c>
      <c r="B1137" s="89" t="s">
        <v>195</v>
      </c>
      <c r="C1137" s="90" t="s">
        <v>1944</v>
      </c>
      <c r="D1137" s="89">
        <v>24</v>
      </c>
      <c r="E1137" s="91" t="s">
        <v>97</v>
      </c>
      <c r="F1137" s="92">
        <v>1500000</v>
      </c>
      <c r="G1137" s="92">
        <v>36000000</v>
      </c>
    </row>
    <row r="1138" spans="1:7" ht="15">
      <c r="A1138" s="7" t="s">
        <v>1945</v>
      </c>
      <c r="B1138" s="97" t="s">
        <v>569</v>
      </c>
      <c r="C1138" s="98" t="s">
        <v>103</v>
      </c>
      <c r="D1138" s="97"/>
      <c r="E1138" s="99"/>
      <c r="F1138" s="100"/>
      <c r="G1138" s="100">
        <v>3269208000</v>
      </c>
    </row>
    <row r="1139" spans="1:7" ht="15">
      <c r="A1139" s="7" t="s">
        <v>1946</v>
      </c>
      <c r="B1139" s="78" t="s">
        <v>559</v>
      </c>
      <c r="C1139" s="79" t="s">
        <v>90</v>
      </c>
      <c r="D1139" s="78"/>
      <c r="E1139" s="80"/>
      <c r="F1139" s="81"/>
      <c r="G1139" s="81">
        <v>2824368000</v>
      </c>
    </row>
    <row r="1140" spans="1:7">
      <c r="A1140" s="7" t="s">
        <v>1947</v>
      </c>
      <c r="B1140" s="89" t="s">
        <v>195</v>
      </c>
      <c r="C1140" s="90" t="s">
        <v>1948</v>
      </c>
      <c r="D1140" s="89">
        <v>468</v>
      </c>
      <c r="E1140" s="91" t="s">
        <v>1949</v>
      </c>
      <c r="F1140" s="92">
        <v>5060000</v>
      </c>
      <c r="G1140" s="92">
        <v>2368080000</v>
      </c>
    </row>
    <row r="1141" spans="1:7">
      <c r="A1141" s="7" t="s">
        <v>1950</v>
      </c>
      <c r="B1141" s="89" t="s">
        <v>195</v>
      </c>
      <c r="C1141" s="90" t="s">
        <v>1951</v>
      </c>
      <c r="D1141" s="89">
        <v>78</v>
      </c>
      <c r="E1141" s="91" t="s">
        <v>32</v>
      </c>
      <c r="F1141" s="92">
        <v>5680000</v>
      </c>
      <c r="G1141" s="92">
        <v>443040000</v>
      </c>
    </row>
    <row r="1142" spans="1:7" ht="28.5">
      <c r="A1142" s="7" t="s">
        <v>1952</v>
      </c>
      <c r="B1142" s="89" t="s">
        <v>195</v>
      </c>
      <c r="C1142" s="90" t="s">
        <v>1953</v>
      </c>
      <c r="D1142" s="89">
        <v>432</v>
      </c>
      <c r="E1142" s="91" t="s">
        <v>32</v>
      </c>
      <c r="F1142" s="92">
        <v>26000</v>
      </c>
      <c r="G1142" s="92">
        <v>11232000</v>
      </c>
    </row>
    <row r="1143" spans="1:7" ht="28.5">
      <c r="A1143" s="7" t="s">
        <v>1954</v>
      </c>
      <c r="B1143" s="89" t="s">
        <v>195</v>
      </c>
      <c r="C1143" s="90" t="s">
        <v>1955</v>
      </c>
      <c r="D1143" s="89">
        <v>72</v>
      </c>
      <c r="E1143" s="91" t="s">
        <v>32</v>
      </c>
      <c r="F1143" s="92">
        <v>28000</v>
      </c>
      <c r="G1143" s="92">
        <v>2016000</v>
      </c>
    </row>
    <row r="1144" spans="1:7" ht="15">
      <c r="A1144" s="7" t="s">
        <v>1956</v>
      </c>
      <c r="B1144" s="78" t="s">
        <v>570</v>
      </c>
      <c r="C1144" s="79" t="s">
        <v>104</v>
      </c>
      <c r="D1144" s="78"/>
      <c r="E1144" s="80"/>
      <c r="F1144" s="81"/>
      <c r="G1144" s="81">
        <v>321840000</v>
      </c>
    </row>
    <row r="1145" spans="1:7">
      <c r="A1145" s="7" t="s">
        <v>195</v>
      </c>
      <c r="B1145" s="89" t="s">
        <v>195</v>
      </c>
      <c r="C1145" s="90" t="s">
        <v>1957</v>
      </c>
      <c r="D1145" s="89">
        <v>0</v>
      </c>
      <c r="E1145" s="91" t="s">
        <v>195</v>
      </c>
      <c r="F1145" s="92">
        <v>0</v>
      </c>
      <c r="G1145" s="92">
        <v>0</v>
      </c>
    </row>
    <row r="1146" spans="1:7" ht="42.75">
      <c r="A1146" s="7" t="s">
        <v>1958</v>
      </c>
      <c r="B1146" s="89" t="s">
        <v>195</v>
      </c>
      <c r="C1146" s="90" t="s">
        <v>1959</v>
      </c>
      <c r="D1146" s="89">
        <v>12</v>
      </c>
      <c r="E1146" s="91" t="s">
        <v>32</v>
      </c>
      <c r="F1146" s="92">
        <v>2420000</v>
      </c>
      <c r="G1146" s="92">
        <v>29040000</v>
      </c>
    </row>
    <row r="1147" spans="1:7" ht="28.5">
      <c r="A1147" s="7" t="s">
        <v>1960</v>
      </c>
      <c r="B1147" s="89" t="s">
        <v>195</v>
      </c>
      <c r="C1147" s="90" t="s">
        <v>1961</v>
      </c>
      <c r="D1147" s="89">
        <v>12</v>
      </c>
      <c r="E1147" s="91" t="s">
        <v>32</v>
      </c>
      <c r="F1147" s="92">
        <v>4770000</v>
      </c>
      <c r="G1147" s="92">
        <v>57240000</v>
      </c>
    </row>
    <row r="1148" spans="1:7" ht="28.5">
      <c r="A1148" s="7" t="s">
        <v>1962</v>
      </c>
      <c r="B1148" s="89" t="s">
        <v>195</v>
      </c>
      <c r="C1148" s="90" t="s">
        <v>1963</v>
      </c>
      <c r="D1148" s="89">
        <v>12</v>
      </c>
      <c r="E1148" s="91" t="s">
        <v>32</v>
      </c>
      <c r="F1148" s="92">
        <v>2120000</v>
      </c>
      <c r="G1148" s="92">
        <v>25440000</v>
      </c>
    </row>
    <row r="1149" spans="1:7" ht="28.5">
      <c r="A1149" s="7" t="s">
        <v>1964</v>
      </c>
      <c r="B1149" s="89" t="s">
        <v>195</v>
      </c>
      <c r="C1149" s="90" t="s">
        <v>1965</v>
      </c>
      <c r="D1149" s="89">
        <v>12</v>
      </c>
      <c r="E1149" s="91" t="s">
        <v>32</v>
      </c>
      <c r="F1149" s="92">
        <v>3720000</v>
      </c>
      <c r="G1149" s="92">
        <v>44640000</v>
      </c>
    </row>
    <row r="1150" spans="1:7" ht="28.5">
      <c r="A1150" s="7" t="s">
        <v>1966</v>
      </c>
      <c r="B1150" s="89" t="s">
        <v>195</v>
      </c>
      <c r="C1150" s="90" t="s">
        <v>1967</v>
      </c>
      <c r="D1150" s="89">
        <v>24</v>
      </c>
      <c r="E1150" s="91" t="s">
        <v>32</v>
      </c>
      <c r="F1150" s="92">
        <v>1580000</v>
      </c>
      <c r="G1150" s="92">
        <v>37920000</v>
      </c>
    </row>
    <row r="1151" spans="1:7" ht="28.5">
      <c r="A1151" s="7" t="s">
        <v>1968</v>
      </c>
      <c r="B1151" s="89" t="s">
        <v>195</v>
      </c>
      <c r="C1151" s="90" t="s">
        <v>1969</v>
      </c>
      <c r="D1151" s="89">
        <v>24</v>
      </c>
      <c r="E1151" s="91" t="s">
        <v>32</v>
      </c>
      <c r="F1151" s="92">
        <v>1365000</v>
      </c>
      <c r="G1151" s="92">
        <v>32760000</v>
      </c>
    </row>
    <row r="1152" spans="1:7" ht="28.5">
      <c r="A1152" s="7" t="s">
        <v>195</v>
      </c>
      <c r="B1152" s="89" t="s">
        <v>195</v>
      </c>
      <c r="C1152" s="90" t="s">
        <v>1970</v>
      </c>
      <c r="D1152" s="89">
        <v>0</v>
      </c>
      <c r="E1152" s="91" t="s">
        <v>195</v>
      </c>
      <c r="F1152" s="92">
        <v>0</v>
      </c>
      <c r="G1152" s="92">
        <v>0</v>
      </c>
    </row>
    <row r="1153" spans="1:7">
      <c r="A1153" s="7" t="s">
        <v>1971</v>
      </c>
      <c r="B1153" s="89" t="s">
        <v>195</v>
      </c>
      <c r="C1153" s="90" t="s">
        <v>1972</v>
      </c>
      <c r="D1153" s="89">
        <v>12</v>
      </c>
      <c r="E1153" s="91" t="s">
        <v>32</v>
      </c>
      <c r="F1153" s="92">
        <v>300000</v>
      </c>
      <c r="G1153" s="92">
        <v>3600000</v>
      </c>
    </row>
    <row r="1154" spans="1:7">
      <c r="A1154" s="7" t="s">
        <v>1973</v>
      </c>
      <c r="B1154" s="89" t="s">
        <v>195</v>
      </c>
      <c r="C1154" s="90" t="s">
        <v>1974</v>
      </c>
      <c r="D1154" s="89">
        <v>12</v>
      </c>
      <c r="E1154" s="91" t="s">
        <v>32</v>
      </c>
      <c r="F1154" s="92">
        <v>200000</v>
      </c>
      <c r="G1154" s="92">
        <v>2400000</v>
      </c>
    </row>
    <row r="1155" spans="1:7">
      <c r="A1155" s="7" t="s">
        <v>1975</v>
      </c>
      <c r="B1155" s="89" t="s">
        <v>195</v>
      </c>
      <c r="C1155" s="90" t="s">
        <v>1976</v>
      </c>
      <c r="D1155" s="89">
        <v>12</v>
      </c>
      <c r="E1155" s="91" t="s">
        <v>32</v>
      </c>
      <c r="F1155" s="92">
        <v>250000</v>
      </c>
      <c r="G1155" s="92">
        <v>3000000</v>
      </c>
    </row>
    <row r="1156" spans="1:7" ht="28.5">
      <c r="A1156" s="7" t="s">
        <v>1977</v>
      </c>
      <c r="B1156" s="89" t="s">
        <v>195</v>
      </c>
      <c r="C1156" s="90" t="s">
        <v>1978</v>
      </c>
      <c r="D1156" s="89">
        <v>12</v>
      </c>
      <c r="E1156" s="91" t="s">
        <v>32</v>
      </c>
      <c r="F1156" s="92">
        <v>980000</v>
      </c>
      <c r="G1156" s="92">
        <v>11760000</v>
      </c>
    </row>
    <row r="1157" spans="1:7" ht="28.5">
      <c r="A1157" s="7" t="s">
        <v>1979</v>
      </c>
      <c r="B1157" s="89" t="s">
        <v>195</v>
      </c>
      <c r="C1157" s="90" t="s">
        <v>1980</v>
      </c>
      <c r="D1157" s="89">
        <v>24</v>
      </c>
      <c r="E1157" s="91" t="s">
        <v>32</v>
      </c>
      <c r="F1157" s="92">
        <v>150000</v>
      </c>
      <c r="G1157" s="92">
        <v>3600000</v>
      </c>
    </row>
    <row r="1158" spans="1:7" ht="28.5">
      <c r="A1158" s="7" t="s">
        <v>195</v>
      </c>
      <c r="B1158" s="89" t="s">
        <v>195</v>
      </c>
      <c r="C1158" s="90" t="s">
        <v>1981</v>
      </c>
      <c r="D1158" s="89">
        <v>0</v>
      </c>
      <c r="E1158" s="91" t="s">
        <v>195</v>
      </c>
      <c r="F1158" s="92">
        <v>0</v>
      </c>
      <c r="G1158" s="92">
        <v>0</v>
      </c>
    </row>
    <row r="1159" spans="1:7">
      <c r="A1159" s="7" t="s">
        <v>1982</v>
      </c>
      <c r="B1159" s="89" t="s">
        <v>195</v>
      </c>
      <c r="C1159" s="90" t="s">
        <v>1983</v>
      </c>
      <c r="D1159" s="89">
        <v>12</v>
      </c>
      <c r="E1159" s="91" t="s">
        <v>32</v>
      </c>
      <c r="F1159" s="92">
        <v>450000</v>
      </c>
      <c r="G1159" s="92">
        <v>5400000</v>
      </c>
    </row>
    <row r="1160" spans="1:7">
      <c r="A1160" s="7" t="s">
        <v>1984</v>
      </c>
      <c r="B1160" s="89" t="s">
        <v>195</v>
      </c>
      <c r="C1160" s="90" t="s">
        <v>1985</v>
      </c>
      <c r="D1160" s="89">
        <v>12</v>
      </c>
      <c r="E1160" s="91" t="s">
        <v>32</v>
      </c>
      <c r="F1160" s="92">
        <v>400000</v>
      </c>
      <c r="G1160" s="92">
        <v>4800000</v>
      </c>
    </row>
    <row r="1161" spans="1:7">
      <c r="A1161" s="7" t="s">
        <v>1986</v>
      </c>
      <c r="B1161" s="89" t="s">
        <v>195</v>
      </c>
      <c r="C1161" s="90" t="s">
        <v>1987</v>
      </c>
      <c r="D1161" s="89">
        <v>12</v>
      </c>
      <c r="E1161" s="91" t="s">
        <v>32</v>
      </c>
      <c r="F1161" s="92">
        <v>350000</v>
      </c>
      <c r="G1161" s="92">
        <v>4200000</v>
      </c>
    </row>
    <row r="1162" spans="1:7" ht="28.5">
      <c r="A1162" s="7" t="s">
        <v>1988</v>
      </c>
      <c r="B1162" s="89" t="s">
        <v>195</v>
      </c>
      <c r="C1162" s="90" t="s">
        <v>1989</v>
      </c>
      <c r="D1162" s="89">
        <v>36</v>
      </c>
      <c r="E1162" s="91" t="s">
        <v>32</v>
      </c>
      <c r="F1162" s="92">
        <v>300000</v>
      </c>
      <c r="G1162" s="92">
        <v>10800000</v>
      </c>
    </row>
    <row r="1163" spans="1:7" ht="28.5">
      <c r="A1163" s="7" t="s">
        <v>1990</v>
      </c>
      <c r="B1163" s="89" t="s">
        <v>195</v>
      </c>
      <c r="C1163" s="90" t="s">
        <v>1991</v>
      </c>
      <c r="D1163" s="89">
        <v>12</v>
      </c>
      <c r="E1163" s="91" t="s">
        <v>32</v>
      </c>
      <c r="F1163" s="92">
        <v>980000</v>
      </c>
      <c r="G1163" s="92">
        <v>11760000</v>
      </c>
    </row>
    <row r="1164" spans="1:7" ht="28.5">
      <c r="A1164" s="7" t="s">
        <v>1992</v>
      </c>
      <c r="B1164" s="89" t="s">
        <v>195</v>
      </c>
      <c r="C1164" s="90" t="s">
        <v>1993</v>
      </c>
      <c r="D1164" s="89">
        <v>12</v>
      </c>
      <c r="E1164" s="91" t="s">
        <v>32</v>
      </c>
      <c r="F1164" s="92">
        <v>300000</v>
      </c>
      <c r="G1164" s="92">
        <v>3600000</v>
      </c>
    </row>
    <row r="1165" spans="1:7" ht="28.5">
      <c r="A1165" s="7" t="s">
        <v>1994</v>
      </c>
      <c r="B1165" s="89" t="s">
        <v>195</v>
      </c>
      <c r="C1165" s="90" t="s">
        <v>1995</v>
      </c>
      <c r="D1165" s="89">
        <v>12</v>
      </c>
      <c r="E1165" s="91" t="s">
        <v>32</v>
      </c>
      <c r="F1165" s="92">
        <v>680000</v>
      </c>
      <c r="G1165" s="92">
        <v>8160000</v>
      </c>
    </row>
    <row r="1166" spans="1:7" ht="28.5">
      <c r="A1166" s="7" t="s">
        <v>1996</v>
      </c>
      <c r="B1166" s="89" t="s">
        <v>195</v>
      </c>
      <c r="C1166" s="90" t="s">
        <v>1997</v>
      </c>
      <c r="D1166" s="89">
        <v>3</v>
      </c>
      <c r="E1166" s="91" t="s">
        <v>105</v>
      </c>
      <c r="F1166" s="92">
        <v>760000</v>
      </c>
      <c r="G1166" s="92">
        <v>2280000</v>
      </c>
    </row>
    <row r="1167" spans="1:7">
      <c r="A1167" s="7" t="s">
        <v>1998</v>
      </c>
      <c r="B1167" s="89" t="s">
        <v>195</v>
      </c>
      <c r="C1167" s="90" t="s">
        <v>1999</v>
      </c>
      <c r="D1167" s="89">
        <v>3</v>
      </c>
      <c r="E1167" s="91" t="s">
        <v>105</v>
      </c>
      <c r="F1167" s="92">
        <v>760000</v>
      </c>
      <c r="G1167" s="92">
        <v>2280000</v>
      </c>
    </row>
    <row r="1168" spans="1:7" ht="28.5">
      <c r="A1168" s="7" t="s">
        <v>2000</v>
      </c>
      <c r="B1168" s="89" t="s">
        <v>195</v>
      </c>
      <c r="C1168" s="90" t="s">
        <v>2001</v>
      </c>
      <c r="D1168" s="89">
        <v>3</v>
      </c>
      <c r="E1168" s="91" t="s">
        <v>105</v>
      </c>
      <c r="F1168" s="92">
        <v>480000</v>
      </c>
      <c r="G1168" s="92">
        <v>1440000</v>
      </c>
    </row>
    <row r="1169" spans="1:7" ht="28.5">
      <c r="A1169" s="7" t="s">
        <v>2002</v>
      </c>
      <c r="B1169" s="89" t="s">
        <v>195</v>
      </c>
      <c r="C1169" s="90" t="s">
        <v>2003</v>
      </c>
      <c r="D1169" s="89">
        <v>30</v>
      </c>
      <c r="E1169" s="91" t="s">
        <v>105</v>
      </c>
      <c r="F1169" s="92">
        <v>600000</v>
      </c>
      <c r="G1169" s="92">
        <v>18000000</v>
      </c>
    </row>
    <row r="1170" spans="1:7" ht="28.5">
      <c r="A1170" s="7" t="s">
        <v>195</v>
      </c>
      <c r="B1170" s="89" t="s">
        <v>195</v>
      </c>
      <c r="C1170" s="90" t="s">
        <v>2004</v>
      </c>
      <c r="D1170" s="89">
        <v>0</v>
      </c>
      <c r="E1170" s="91" t="s">
        <v>195</v>
      </c>
      <c r="F1170" s="92">
        <v>0</v>
      </c>
      <c r="G1170" s="92">
        <v>0</v>
      </c>
    </row>
    <row r="1171" spans="1:7" ht="15">
      <c r="A1171" s="7" t="s">
        <v>2005</v>
      </c>
      <c r="B1171" s="78" t="s">
        <v>503</v>
      </c>
      <c r="C1171" s="79" t="s">
        <v>7</v>
      </c>
      <c r="D1171" s="78"/>
      <c r="E1171" s="80"/>
      <c r="F1171" s="81"/>
      <c r="G1171" s="81">
        <v>63000000</v>
      </c>
    </row>
    <row r="1172" spans="1:7">
      <c r="A1172" s="7" t="s">
        <v>2006</v>
      </c>
      <c r="B1172" s="89" t="s">
        <v>195</v>
      </c>
      <c r="C1172" s="90" t="s">
        <v>2007</v>
      </c>
      <c r="D1172" s="89">
        <v>12</v>
      </c>
      <c r="E1172" s="91" t="s">
        <v>52</v>
      </c>
      <c r="F1172" s="92">
        <v>5000000</v>
      </c>
      <c r="G1172" s="92">
        <v>60000000</v>
      </c>
    </row>
    <row r="1173" spans="1:7">
      <c r="A1173" s="7" t="s">
        <v>2008</v>
      </c>
      <c r="B1173" s="89" t="s">
        <v>195</v>
      </c>
      <c r="C1173" s="90" t="s">
        <v>2009</v>
      </c>
      <c r="D1173" s="89">
        <v>1</v>
      </c>
      <c r="E1173" s="91" t="s">
        <v>52</v>
      </c>
      <c r="F1173" s="92">
        <v>3000000</v>
      </c>
      <c r="G1173" s="92">
        <v>3000000</v>
      </c>
    </row>
    <row r="1174" spans="1:7" ht="15">
      <c r="A1174" s="7" t="s">
        <v>2010</v>
      </c>
      <c r="B1174" s="78" t="s">
        <v>537</v>
      </c>
      <c r="C1174" s="79" t="s">
        <v>64</v>
      </c>
      <c r="D1174" s="78"/>
      <c r="E1174" s="80"/>
      <c r="F1174" s="81"/>
      <c r="G1174" s="81">
        <v>60000000</v>
      </c>
    </row>
    <row r="1175" spans="1:7">
      <c r="A1175" s="7" t="s">
        <v>2011</v>
      </c>
      <c r="B1175" s="89" t="s">
        <v>195</v>
      </c>
      <c r="C1175" s="90" t="s">
        <v>619</v>
      </c>
      <c r="D1175" s="89">
        <v>12</v>
      </c>
      <c r="E1175" s="91" t="s">
        <v>52</v>
      </c>
      <c r="F1175" s="92">
        <v>2500000</v>
      </c>
      <c r="G1175" s="92">
        <v>30000000</v>
      </c>
    </row>
    <row r="1176" spans="1:7">
      <c r="A1176" s="7" t="s">
        <v>2012</v>
      </c>
      <c r="B1176" s="89" t="s">
        <v>195</v>
      </c>
      <c r="C1176" s="90" t="s">
        <v>2013</v>
      </c>
      <c r="D1176" s="89">
        <v>12</v>
      </c>
      <c r="E1176" s="91" t="s">
        <v>106</v>
      </c>
      <c r="F1176" s="92">
        <v>2500000</v>
      </c>
      <c r="G1176" s="92">
        <v>30000000</v>
      </c>
    </row>
    <row r="1177" spans="1:7" ht="15">
      <c r="A1177" s="7" t="s">
        <v>2014</v>
      </c>
      <c r="B1177" s="97" t="s">
        <v>2015</v>
      </c>
      <c r="C1177" s="98" t="s">
        <v>2016</v>
      </c>
      <c r="D1177" s="97"/>
      <c r="E1177" s="99"/>
      <c r="F1177" s="100"/>
      <c r="G1177" s="100">
        <v>5077908000</v>
      </c>
    </row>
    <row r="1178" spans="1:7" ht="15">
      <c r="A1178" s="7" t="s">
        <v>2017</v>
      </c>
      <c r="B1178" s="78" t="s">
        <v>559</v>
      </c>
      <c r="C1178" s="79" t="s">
        <v>90</v>
      </c>
      <c r="D1178" s="78"/>
      <c r="E1178" s="80"/>
      <c r="F1178" s="81"/>
      <c r="G1178" s="81">
        <v>5077908000</v>
      </c>
    </row>
    <row r="1179" spans="1:7">
      <c r="A1179" s="7" t="s">
        <v>2018</v>
      </c>
      <c r="B1179" s="89" t="s">
        <v>195</v>
      </c>
      <c r="C1179" s="90" t="s">
        <v>2019</v>
      </c>
      <c r="D1179" s="89">
        <v>12</v>
      </c>
      <c r="E1179" s="91" t="s">
        <v>1855</v>
      </c>
      <c r="F1179" s="92">
        <v>2310000</v>
      </c>
      <c r="G1179" s="92">
        <v>27720000</v>
      </c>
    </row>
    <row r="1180" spans="1:7">
      <c r="A1180" s="7" t="s">
        <v>2020</v>
      </c>
      <c r="B1180" s="89" t="s">
        <v>195</v>
      </c>
      <c r="C1180" s="90" t="s">
        <v>2021</v>
      </c>
      <c r="D1180" s="89">
        <v>12</v>
      </c>
      <c r="E1180" s="91" t="s">
        <v>1855</v>
      </c>
      <c r="F1180" s="92">
        <v>189582000</v>
      </c>
      <c r="G1180" s="92">
        <v>2274984000</v>
      </c>
    </row>
    <row r="1181" spans="1:7">
      <c r="A1181" s="7" t="s">
        <v>2022</v>
      </c>
      <c r="B1181" s="89" t="s">
        <v>195</v>
      </c>
      <c r="C1181" s="90" t="s">
        <v>2023</v>
      </c>
      <c r="D1181" s="89">
        <v>12</v>
      </c>
      <c r="E1181" s="91" t="s">
        <v>1855</v>
      </c>
      <c r="F1181" s="92">
        <v>231267000</v>
      </c>
      <c r="G1181" s="92">
        <v>2775204000</v>
      </c>
    </row>
    <row r="1182" spans="1:7" ht="15">
      <c r="A1182" s="7" t="s">
        <v>2024</v>
      </c>
      <c r="B1182" s="97" t="s">
        <v>2025</v>
      </c>
      <c r="C1182" s="98" t="s">
        <v>107</v>
      </c>
      <c r="D1182" s="97"/>
      <c r="E1182" s="99"/>
      <c r="F1182" s="100"/>
      <c r="G1182" s="100">
        <v>2523600000</v>
      </c>
    </row>
    <row r="1183" spans="1:7" ht="15">
      <c r="A1183" s="7" t="s">
        <v>2026</v>
      </c>
      <c r="B1183" s="78" t="s">
        <v>571</v>
      </c>
      <c r="C1183" s="79" t="s">
        <v>108</v>
      </c>
      <c r="D1183" s="78"/>
      <c r="E1183" s="80"/>
      <c r="F1183" s="81"/>
      <c r="G1183" s="81">
        <v>1560000000</v>
      </c>
    </row>
    <row r="1184" spans="1:7">
      <c r="A1184" s="7" t="s">
        <v>2027</v>
      </c>
      <c r="B1184" s="89" t="s">
        <v>195</v>
      </c>
      <c r="C1184" s="90" t="s">
        <v>2028</v>
      </c>
      <c r="D1184" s="89">
        <v>12</v>
      </c>
      <c r="E1184" s="91" t="s">
        <v>97</v>
      </c>
      <c r="F1184" s="92">
        <v>130000000</v>
      </c>
      <c r="G1184" s="92">
        <v>1560000000</v>
      </c>
    </row>
    <row r="1185" spans="1:7" ht="15">
      <c r="A1185" s="7" t="s">
        <v>2029</v>
      </c>
      <c r="B1185" s="78" t="s">
        <v>572</v>
      </c>
      <c r="C1185" s="79" t="s">
        <v>109</v>
      </c>
      <c r="D1185" s="78"/>
      <c r="E1185" s="80"/>
      <c r="F1185" s="81"/>
      <c r="G1185" s="81">
        <v>113400000</v>
      </c>
    </row>
    <row r="1186" spans="1:7">
      <c r="A1186" s="7" t="s">
        <v>2030</v>
      </c>
      <c r="B1186" s="89" t="s">
        <v>195</v>
      </c>
      <c r="C1186" s="90" t="s">
        <v>2031</v>
      </c>
      <c r="D1186" s="89">
        <v>12</v>
      </c>
      <c r="E1186" s="91" t="s">
        <v>97</v>
      </c>
      <c r="F1186" s="92">
        <v>9450000</v>
      </c>
      <c r="G1186" s="92">
        <v>113400000</v>
      </c>
    </row>
    <row r="1187" spans="1:7" ht="15">
      <c r="A1187" s="7" t="s">
        <v>2032</v>
      </c>
      <c r="B1187" s="78" t="s">
        <v>573</v>
      </c>
      <c r="C1187" s="79" t="s">
        <v>110</v>
      </c>
      <c r="D1187" s="78"/>
      <c r="E1187" s="80"/>
      <c r="F1187" s="81"/>
      <c r="G1187" s="81">
        <v>214200000</v>
      </c>
    </row>
    <row r="1188" spans="1:7">
      <c r="A1188" s="7" t="s">
        <v>2033</v>
      </c>
      <c r="B1188" s="89" t="s">
        <v>195</v>
      </c>
      <c r="C1188" s="90" t="s">
        <v>2034</v>
      </c>
      <c r="D1188" s="89">
        <v>12</v>
      </c>
      <c r="E1188" s="91" t="s">
        <v>97</v>
      </c>
      <c r="F1188" s="92">
        <v>17850000</v>
      </c>
      <c r="G1188" s="92">
        <v>214200000</v>
      </c>
    </row>
    <row r="1189" spans="1:7" ht="15">
      <c r="A1189" s="7" t="s">
        <v>2035</v>
      </c>
      <c r="B1189" s="78" t="s">
        <v>574</v>
      </c>
      <c r="C1189" s="79" t="s">
        <v>111</v>
      </c>
      <c r="D1189" s="78"/>
      <c r="E1189" s="80"/>
      <c r="F1189" s="81"/>
      <c r="G1189" s="81">
        <v>636000000</v>
      </c>
    </row>
    <row r="1190" spans="1:7">
      <c r="A1190" s="7" t="s">
        <v>2036</v>
      </c>
      <c r="B1190" s="89" t="s">
        <v>195</v>
      </c>
      <c r="C1190" s="90" t="s">
        <v>2037</v>
      </c>
      <c r="D1190" s="89">
        <v>12</v>
      </c>
      <c r="E1190" s="91" t="s">
        <v>97</v>
      </c>
      <c r="F1190" s="92">
        <v>53000000</v>
      </c>
      <c r="G1190" s="92">
        <v>636000000</v>
      </c>
    </row>
    <row r="1191" spans="1:7" ht="15">
      <c r="A1191" s="7" t="s">
        <v>2038</v>
      </c>
      <c r="B1191" s="97" t="s">
        <v>2039</v>
      </c>
      <c r="C1191" s="98" t="s">
        <v>112</v>
      </c>
      <c r="D1191" s="97"/>
      <c r="E1191" s="99"/>
      <c r="F1191" s="100"/>
      <c r="G1191" s="100">
        <v>3464446000</v>
      </c>
    </row>
    <row r="1192" spans="1:7" ht="15">
      <c r="A1192" s="7" t="s">
        <v>2040</v>
      </c>
      <c r="B1192" s="78" t="s">
        <v>575</v>
      </c>
      <c r="C1192" s="79" t="s">
        <v>113</v>
      </c>
      <c r="D1192" s="78"/>
      <c r="E1192" s="80"/>
      <c r="F1192" s="81"/>
      <c r="G1192" s="81">
        <v>1732830000</v>
      </c>
    </row>
    <row r="1193" spans="1:7">
      <c r="A1193" s="7" t="s">
        <v>2041</v>
      </c>
      <c r="B1193" s="89" t="s">
        <v>195</v>
      </c>
      <c r="C1193" s="90" t="s">
        <v>2042</v>
      </c>
      <c r="D1193" s="89">
        <v>10502</v>
      </c>
      <c r="E1193" s="91" t="s">
        <v>46</v>
      </c>
      <c r="F1193" s="92">
        <v>165000</v>
      </c>
      <c r="G1193" s="92">
        <v>1732830000</v>
      </c>
    </row>
    <row r="1194" spans="1:7" ht="15">
      <c r="A1194" s="7" t="s">
        <v>2043</v>
      </c>
      <c r="B1194" s="78" t="s">
        <v>567</v>
      </c>
      <c r="C1194" s="79" t="s">
        <v>99</v>
      </c>
      <c r="D1194" s="78"/>
      <c r="E1194" s="80"/>
      <c r="F1194" s="81"/>
      <c r="G1194" s="81">
        <v>1413616000</v>
      </c>
    </row>
    <row r="1195" spans="1:7">
      <c r="A1195" s="7" t="s">
        <v>195</v>
      </c>
      <c r="B1195" s="89" t="s">
        <v>195</v>
      </c>
      <c r="C1195" s="90" t="s">
        <v>2044</v>
      </c>
      <c r="D1195" s="89">
        <v>0</v>
      </c>
      <c r="E1195" s="91" t="s">
        <v>195</v>
      </c>
      <c r="F1195" s="92">
        <v>0</v>
      </c>
      <c r="G1195" s="92">
        <v>0</v>
      </c>
    </row>
    <row r="1196" spans="1:7">
      <c r="A1196" s="7" t="s">
        <v>2045</v>
      </c>
      <c r="B1196" s="89" t="s">
        <v>195</v>
      </c>
      <c r="C1196" s="90" t="s">
        <v>2046</v>
      </c>
      <c r="D1196" s="89">
        <v>2</v>
      </c>
      <c r="E1196" s="91" t="s">
        <v>42</v>
      </c>
      <c r="F1196" s="92">
        <v>36203000</v>
      </c>
      <c r="G1196" s="92">
        <v>72406000</v>
      </c>
    </row>
    <row r="1197" spans="1:7">
      <c r="A1197" s="7" t="s">
        <v>2047</v>
      </c>
      <c r="B1197" s="89" t="s">
        <v>195</v>
      </c>
      <c r="C1197" s="90" t="s">
        <v>2048</v>
      </c>
      <c r="D1197" s="89">
        <v>1</v>
      </c>
      <c r="E1197" s="91" t="s">
        <v>63</v>
      </c>
      <c r="F1197" s="92">
        <v>50000000</v>
      </c>
      <c r="G1197" s="92">
        <v>50000000</v>
      </c>
    </row>
    <row r="1198" spans="1:7">
      <c r="A1198" s="7" t="s">
        <v>2049</v>
      </c>
      <c r="B1198" s="89" t="s">
        <v>195</v>
      </c>
      <c r="C1198" s="90" t="s">
        <v>2050</v>
      </c>
      <c r="D1198" s="89">
        <v>1</v>
      </c>
      <c r="E1198" s="91" t="s">
        <v>63</v>
      </c>
      <c r="F1198" s="92">
        <v>50000000</v>
      </c>
      <c r="G1198" s="92">
        <v>50000000</v>
      </c>
    </row>
    <row r="1199" spans="1:7">
      <c r="A1199" s="7" t="s">
        <v>2051</v>
      </c>
      <c r="B1199" s="89" t="s">
        <v>195</v>
      </c>
      <c r="C1199" s="90" t="s">
        <v>2052</v>
      </c>
      <c r="D1199" s="89">
        <v>1</v>
      </c>
      <c r="E1199" s="91" t="s">
        <v>106</v>
      </c>
      <c r="F1199" s="92">
        <v>10000000</v>
      </c>
      <c r="G1199" s="92">
        <v>10000000</v>
      </c>
    </row>
    <row r="1200" spans="1:7" ht="28.5">
      <c r="A1200" s="7" t="s">
        <v>2053</v>
      </c>
      <c r="B1200" s="89" t="s">
        <v>195</v>
      </c>
      <c r="C1200" s="90" t="s">
        <v>2054</v>
      </c>
      <c r="D1200" s="89">
        <v>12</v>
      </c>
      <c r="E1200" s="91" t="s">
        <v>97</v>
      </c>
      <c r="F1200" s="92">
        <v>17000000</v>
      </c>
      <c r="G1200" s="92">
        <v>204000000</v>
      </c>
    </row>
    <row r="1201" spans="1:7">
      <c r="A1201" s="7" t="s">
        <v>2055</v>
      </c>
      <c r="B1201" s="89" t="s">
        <v>195</v>
      </c>
      <c r="C1201" s="90" t="s">
        <v>2056</v>
      </c>
      <c r="D1201" s="89">
        <v>1</v>
      </c>
      <c r="E1201" s="91" t="s">
        <v>63</v>
      </c>
      <c r="F1201" s="92">
        <v>30000000</v>
      </c>
      <c r="G1201" s="92">
        <v>30000000</v>
      </c>
    </row>
    <row r="1202" spans="1:7">
      <c r="A1202" s="7" t="s">
        <v>2057</v>
      </c>
      <c r="B1202" s="89" t="s">
        <v>195</v>
      </c>
      <c r="C1202" s="90" t="s">
        <v>2058</v>
      </c>
      <c r="D1202" s="89">
        <v>50</v>
      </c>
      <c r="E1202" s="91" t="s">
        <v>2059</v>
      </c>
      <c r="F1202" s="92">
        <v>330000</v>
      </c>
      <c r="G1202" s="92">
        <v>16500000</v>
      </c>
    </row>
    <row r="1203" spans="1:7">
      <c r="A1203" s="7" t="s">
        <v>2060</v>
      </c>
      <c r="B1203" s="89" t="s">
        <v>195</v>
      </c>
      <c r="C1203" s="90" t="s">
        <v>2061</v>
      </c>
      <c r="D1203" s="89">
        <v>3</v>
      </c>
      <c r="E1203" s="91" t="s">
        <v>42</v>
      </c>
      <c r="F1203" s="92">
        <v>3500000</v>
      </c>
      <c r="G1203" s="92">
        <v>10500000</v>
      </c>
    </row>
    <row r="1204" spans="1:7">
      <c r="A1204" s="7" t="s">
        <v>2062</v>
      </c>
      <c r="B1204" s="89" t="s">
        <v>195</v>
      </c>
      <c r="C1204" s="90" t="s">
        <v>2063</v>
      </c>
      <c r="D1204" s="89">
        <v>5</v>
      </c>
      <c r="E1204" s="91" t="s">
        <v>42</v>
      </c>
      <c r="F1204" s="92">
        <v>15000000</v>
      </c>
      <c r="G1204" s="92">
        <v>75000000</v>
      </c>
    </row>
    <row r="1205" spans="1:7">
      <c r="A1205" s="7" t="s">
        <v>2064</v>
      </c>
      <c r="B1205" s="89" t="s">
        <v>195</v>
      </c>
      <c r="C1205" s="90" t="s">
        <v>2065</v>
      </c>
      <c r="D1205" s="89">
        <v>1</v>
      </c>
      <c r="E1205" s="91" t="s">
        <v>106</v>
      </c>
      <c r="F1205" s="92">
        <v>50000000</v>
      </c>
      <c r="G1205" s="92">
        <v>50000000</v>
      </c>
    </row>
    <row r="1206" spans="1:7">
      <c r="A1206" s="7" t="s">
        <v>2066</v>
      </c>
      <c r="B1206" s="89" t="s">
        <v>195</v>
      </c>
      <c r="C1206" s="90" t="s">
        <v>1927</v>
      </c>
      <c r="D1206" s="89">
        <v>5</v>
      </c>
      <c r="E1206" s="91" t="s">
        <v>42</v>
      </c>
      <c r="F1206" s="92">
        <v>690000</v>
      </c>
      <c r="G1206" s="92">
        <v>3450000</v>
      </c>
    </row>
    <row r="1207" spans="1:7">
      <c r="A1207" s="7" t="s">
        <v>2067</v>
      </c>
      <c r="B1207" s="89" t="s">
        <v>195</v>
      </c>
      <c r="C1207" s="90" t="s">
        <v>2068</v>
      </c>
      <c r="D1207" s="89">
        <v>1</v>
      </c>
      <c r="E1207" s="91" t="s">
        <v>63</v>
      </c>
      <c r="F1207" s="92">
        <v>50000000</v>
      </c>
      <c r="G1207" s="92">
        <v>50000000</v>
      </c>
    </row>
    <row r="1208" spans="1:7">
      <c r="A1208" s="7" t="s">
        <v>2069</v>
      </c>
      <c r="B1208" s="89" t="s">
        <v>195</v>
      </c>
      <c r="C1208" s="90" t="s">
        <v>2070</v>
      </c>
      <c r="D1208" s="89">
        <v>1</v>
      </c>
      <c r="E1208" s="91" t="s">
        <v>63</v>
      </c>
      <c r="F1208" s="92">
        <v>150000000</v>
      </c>
      <c r="G1208" s="92">
        <v>150000000</v>
      </c>
    </row>
    <row r="1209" spans="1:7">
      <c r="A1209" s="7" t="s">
        <v>2071</v>
      </c>
      <c r="B1209" s="89" t="s">
        <v>195</v>
      </c>
      <c r="C1209" s="90" t="s">
        <v>2072</v>
      </c>
      <c r="D1209" s="89">
        <v>124</v>
      </c>
      <c r="E1209" s="91" t="s">
        <v>42</v>
      </c>
      <c r="F1209" s="92">
        <v>610000</v>
      </c>
      <c r="G1209" s="92">
        <v>75640000</v>
      </c>
    </row>
    <row r="1210" spans="1:7">
      <c r="A1210" s="7" t="s">
        <v>2073</v>
      </c>
      <c r="B1210" s="89" t="s">
        <v>195</v>
      </c>
      <c r="C1210" s="90" t="s">
        <v>2074</v>
      </c>
      <c r="D1210" s="89">
        <v>1</v>
      </c>
      <c r="E1210" s="91" t="s">
        <v>63</v>
      </c>
      <c r="F1210" s="92">
        <v>100000000</v>
      </c>
      <c r="G1210" s="92">
        <v>100000000</v>
      </c>
    </row>
    <row r="1211" spans="1:7">
      <c r="A1211" s="7" t="s">
        <v>2075</v>
      </c>
      <c r="B1211" s="89" t="s">
        <v>195</v>
      </c>
      <c r="C1211" s="90" t="s">
        <v>2076</v>
      </c>
      <c r="D1211" s="89">
        <v>1</v>
      </c>
      <c r="E1211" s="91" t="s">
        <v>63</v>
      </c>
      <c r="F1211" s="92">
        <v>50000000</v>
      </c>
      <c r="G1211" s="92">
        <v>50000000</v>
      </c>
    </row>
    <row r="1212" spans="1:7">
      <c r="A1212" s="7" t="s">
        <v>2077</v>
      </c>
      <c r="B1212" s="89" t="s">
        <v>195</v>
      </c>
      <c r="C1212" s="90" t="s">
        <v>1933</v>
      </c>
      <c r="D1212" s="89">
        <v>1</v>
      </c>
      <c r="E1212" s="91" t="s">
        <v>63</v>
      </c>
      <c r="F1212" s="92">
        <v>50000000</v>
      </c>
      <c r="G1212" s="92">
        <v>50000000</v>
      </c>
    </row>
    <row r="1213" spans="1:7">
      <c r="A1213" s="7" t="s">
        <v>2078</v>
      </c>
      <c r="B1213" s="89" t="s">
        <v>195</v>
      </c>
      <c r="C1213" s="90" t="s">
        <v>2079</v>
      </c>
      <c r="D1213" s="89">
        <v>2</v>
      </c>
      <c r="E1213" s="91" t="s">
        <v>42</v>
      </c>
      <c r="F1213" s="92">
        <v>1000000</v>
      </c>
      <c r="G1213" s="92">
        <v>2000000</v>
      </c>
    </row>
    <row r="1214" spans="1:7">
      <c r="A1214" s="7" t="s">
        <v>195</v>
      </c>
      <c r="B1214" s="89" t="s">
        <v>195</v>
      </c>
      <c r="C1214" s="90" t="s">
        <v>2080</v>
      </c>
      <c r="D1214" s="89">
        <v>0</v>
      </c>
      <c r="E1214" s="91" t="s">
        <v>195</v>
      </c>
      <c r="F1214" s="92">
        <v>0</v>
      </c>
      <c r="G1214" s="92">
        <v>0</v>
      </c>
    </row>
    <row r="1215" spans="1:7" ht="28.5">
      <c r="A1215" s="7" t="s">
        <v>2081</v>
      </c>
      <c r="B1215" s="89" t="s">
        <v>195</v>
      </c>
      <c r="C1215" s="90" t="s">
        <v>2082</v>
      </c>
      <c r="D1215" s="89">
        <v>1</v>
      </c>
      <c r="E1215" s="91" t="s">
        <v>42</v>
      </c>
      <c r="F1215" s="92">
        <v>50000000</v>
      </c>
      <c r="G1215" s="92">
        <v>50000000</v>
      </c>
    </row>
    <row r="1216" spans="1:7">
      <c r="A1216" s="7" t="s">
        <v>2083</v>
      </c>
      <c r="B1216" s="89" t="s">
        <v>195</v>
      </c>
      <c r="C1216" s="90" t="s">
        <v>1940</v>
      </c>
      <c r="D1216" s="89">
        <v>100</v>
      </c>
      <c r="E1216" s="91" t="s">
        <v>42</v>
      </c>
      <c r="F1216" s="92">
        <v>1000000</v>
      </c>
      <c r="G1216" s="92">
        <v>100000000</v>
      </c>
    </row>
    <row r="1217" spans="1:7">
      <c r="A1217" s="7" t="s">
        <v>2084</v>
      </c>
      <c r="B1217" s="89" t="s">
        <v>195</v>
      </c>
      <c r="C1217" s="90" t="s">
        <v>1916</v>
      </c>
      <c r="D1217" s="89">
        <v>2</v>
      </c>
      <c r="E1217" s="91" t="s">
        <v>42</v>
      </c>
      <c r="F1217" s="92">
        <v>33650000</v>
      </c>
      <c r="G1217" s="92">
        <v>67300000</v>
      </c>
    </row>
    <row r="1218" spans="1:7" ht="28.5">
      <c r="A1218" s="7" t="s">
        <v>2085</v>
      </c>
      <c r="B1218" s="89" t="s">
        <v>195</v>
      </c>
      <c r="C1218" s="90" t="s">
        <v>2086</v>
      </c>
      <c r="D1218" s="89">
        <v>12</v>
      </c>
      <c r="E1218" s="91" t="s">
        <v>106</v>
      </c>
      <c r="F1218" s="92">
        <v>12235000</v>
      </c>
      <c r="G1218" s="92">
        <v>146820000</v>
      </c>
    </row>
    <row r="1219" spans="1:7" ht="15">
      <c r="A1219" s="7" t="s">
        <v>2087</v>
      </c>
      <c r="B1219" s="78" t="s">
        <v>568</v>
      </c>
      <c r="C1219" s="79" t="s">
        <v>102</v>
      </c>
      <c r="D1219" s="78"/>
      <c r="E1219" s="80"/>
      <c r="F1219" s="81"/>
      <c r="G1219" s="81">
        <v>318000000</v>
      </c>
    </row>
    <row r="1220" spans="1:7" ht="28.5">
      <c r="A1220" s="7" t="s">
        <v>2088</v>
      </c>
      <c r="B1220" s="89" t="s">
        <v>195</v>
      </c>
      <c r="C1220" s="90" t="s">
        <v>2089</v>
      </c>
      <c r="D1220" s="89">
        <v>72</v>
      </c>
      <c r="E1220" s="91" t="s">
        <v>42</v>
      </c>
      <c r="F1220" s="92">
        <v>1500000</v>
      </c>
      <c r="G1220" s="92">
        <v>108000000</v>
      </c>
    </row>
    <row r="1221" spans="1:7">
      <c r="A1221" s="7" t="s">
        <v>2090</v>
      </c>
      <c r="B1221" s="89" t="s">
        <v>195</v>
      </c>
      <c r="C1221" s="90" t="s">
        <v>2091</v>
      </c>
      <c r="D1221" s="89">
        <v>12</v>
      </c>
      <c r="E1221" s="91" t="s">
        <v>106</v>
      </c>
      <c r="F1221" s="92">
        <v>17500000</v>
      </c>
      <c r="G1221" s="92">
        <v>210000000</v>
      </c>
    </row>
    <row r="1222" spans="1:7" ht="30">
      <c r="A1222" s="7" t="s">
        <v>2092</v>
      </c>
      <c r="B1222" s="97" t="s">
        <v>1771</v>
      </c>
      <c r="C1222" s="98" t="s">
        <v>2093</v>
      </c>
      <c r="D1222" s="97"/>
      <c r="E1222" s="99"/>
      <c r="F1222" s="100"/>
      <c r="G1222" s="100">
        <v>1577491000</v>
      </c>
    </row>
    <row r="1223" spans="1:7" ht="15">
      <c r="A1223" s="7" t="s">
        <v>2094</v>
      </c>
      <c r="B1223" s="78" t="s">
        <v>559</v>
      </c>
      <c r="C1223" s="79" t="s">
        <v>90</v>
      </c>
      <c r="D1223" s="78"/>
      <c r="E1223" s="80"/>
      <c r="F1223" s="81"/>
      <c r="G1223" s="81">
        <v>1500322000</v>
      </c>
    </row>
    <row r="1224" spans="1:7">
      <c r="A1224" s="7" t="s">
        <v>2095</v>
      </c>
      <c r="B1224" s="89" t="s">
        <v>195</v>
      </c>
      <c r="C1224" s="90" t="s">
        <v>2096</v>
      </c>
      <c r="D1224" s="89">
        <v>52</v>
      </c>
      <c r="E1224" s="91" t="s">
        <v>116</v>
      </c>
      <c r="F1224" s="92">
        <v>1520000</v>
      </c>
      <c r="G1224" s="92">
        <v>79040000</v>
      </c>
    </row>
    <row r="1225" spans="1:7">
      <c r="A1225" s="7" t="s">
        <v>2097</v>
      </c>
      <c r="B1225" s="89" t="s">
        <v>195</v>
      </c>
      <c r="C1225" s="90" t="s">
        <v>2098</v>
      </c>
      <c r="D1225" s="89">
        <v>195</v>
      </c>
      <c r="E1225" s="91" t="s">
        <v>21</v>
      </c>
      <c r="F1225" s="92">
        <v>4858000</v>
      </c>
      <c r="G1225" s="92">
        <v>947310000</v>
      </c>
    </row>
    <row r="1226" spans="1:7">
      <c r="A1226" s="7" t="s">
        <v>2099</v>
      </c>
      <c r="B1226" s="89" t="s">
        <v>195</v>
      </c>
      <c r="C1226" s="90" t="s">
        <v>2100</v>
      </c>
      <c r="D1226" s="89">
        <v>13</v>
      </c>
      <c r="E1226" s="91" t="s">
        <v>32</v>
      </c>
      <c r="F1226" s="92">
        <v>5344000</v>
      </c>
      <c r="G1226" s="92">
        <v>69472000</v>
      </c>
    </row>
    <row r="1227" spans="1:7">
      <c r="A1227" s="7" t="s">
        <v>2101</v>
      </c>
      <c r="B1227" s="89" t="s">
        <v>195</v>
      </c>
      <c r="C1227" s="90" t="s">
        <v>2102</v>
      </c>
      <c r="D1227" s="89">
        <v>180</v>
      </c>
      <c r="E1227" s="91" t="s">
        <v>32</v>
      </c>
      <c r="F1227" s="92">
        <v>25000</v>
      </c>
      <c r="G1227" s="92">
        <v>4500000</v>
      </c>
    </row>
    <row r="1228" spans="1:7">
      <c r="A1228" s="7" t="s">
        <v>2103</v>
      </c>
      <c r="B1228" s="89" t="s">
        <v>195</v>
      </c>
      <c r="C1228" s="90" t="s">
        <v>2104</v>
      </c>
      <c r="D1228" s="89">
        <v>12</v>
      </c>
      <c r="E1228" s="91" t="s">
        <v>21</v>
      </c>
      <c r="F1228" s="92">
        <v>25000</v>
      </c>
      <c r="G1228" s="92">
        <v>300000</v>
      </c>
    </row>
    <row r="1229" spans="1:7">
      <c r="A1229" s="7" t="s">
        <v>2105</v>
      </c>
      <c r="B1229" s="89" t="s">
        <v>195</v>
      </c>
      <c r="C1229" s="90" t="s">
        <v>2106</v>
      </c>
      <c r="D1229" s="89">
        <v>2</v>
      </c>
      <c r="E1229" s="91" t="s">
        <v>9</v>
      </c>
      <c r="F1229" s="92">
        <v>199850000</v>
      </c>
      <c r="G1229" s="92">
        <v>399700000</v>
      </c>
    </row>
    <row r="1230" spans="1:7" ht="30">
      <c r="A1230" s="7" t="s">
        <v>2107</v>
      </c>
      <c r="B1230" s="78" t="s">
        <v>566</v>
      </c>
      <c r="C1230" s="79" t="s">
        <v>1889</v>
      </c>
      <c r="D1230" s="78"/>
      <c r="E1230" s="80"/>
      <c r="F1230" s="81"/>
      <c r="G1230" s="81">
        <v>20800000</v>
      </c>
    </row>
    <row r="1231" spans="1:7">
      <c r="A1231" s="7" t="s">
        <v>2108</v>
      </c>
      <c r="B1231" s="89" t="s">
        <v>195</v>
      </c>
      <c r="C1231" s="90" t="s">
        <v>2109</v>
      </c>
      <c r="D1231" s="89">
        <v>52</v>
      </c>
      <c r="E1231" s="91" t="s">
        <v>9</v>
      </c>
      <c r="F1231" s="92">
        <v>400000</v>
      </c>
      <c r="G1231" s="92">
        <v>20800000</v>
      </c>
    </row>
    <row r="1232" spans="1:7" ht="15">
      <c r="A1232" s="7" t="s">
        <v>2110</v>
      </c>
      <c r="B1232" s="78" t="s">
        <v>537</v>
      </c>
      <c r="C1232" s="79" t="s">
        <v>64</v>
      </c>
      <c r="D1232" s="78"/>
      <c r="E1232" s="80"/>
      <c r="F1232" s="81"/>
      <c r="G1232" s="81">
        <v>56369000</v>
      </c>
    </row>
    <row r="1233" spans="1:7">
      <c r="A1233" s="7" t="s">
        <v>2111</v>
      </c>
      <c r="B1233" s="89" t="s">
        <v>195</v>
      </c>
      <c r="C1233" s="90" t="s">
        <v>2112</v>
      </c>
      <c r="D1233" s="89">
        <v>12</v>
      </c>
      <c r="E1233" s="91" t="s">
        <v>21</v>
      </c>
      <c r="F1233" s="92">
        <v>947000</v>
      </c>
      <c r="G1233" s="92">
        <v>11369000</v>
      </c>
    </row>
    <row r="1234" spans="1:7">
      <c r="A1234" s="7" t="s">
        <v>2113</v>
      </c>
      <c r="B1234" s="89" t="s">
        <v>195</v>
      </c>
      <c r="C1234" s="90" t="s">
        <v>2114</v>
      </c>
      <c r="D1234" s="89">
        <v>3</v>
      </c>
      <c r="E1234" s="91" t="s">
        <v>9</v>
      </c>
      <c r="F1234" s="92">
        <v>15000000</v>
      </c>
      <c r="G1234" s="92">
        <v>45000000</v>
      </c>
    </row>
    <row r="1235" spans="1:7" ht="15">
      <c r="A1235" s="7" t="s">
        <v>2115</v>
      </c>
      <c r="B1235" s="97" t="s">
        <v>2116</v>
      </c>
      <c r="C1235" s="98" t="s">
        <v>93</v>
      </c>
      <c r="D1235" s="97"/>
      <c r="E1235" s="99"/>
      <c r="F1235" s="100"/>
      <c r="G1235" s="100">
        <v>362307000</v>
      </c>
    </row>
    <row r="1236" spans="1:7" ht="15">
      <c r="A1236" s="7" t="s">
        <v>2117</v>
      </c>
      <c r="B1236" s="78" t="s">
        <v>563</v>
      </c>
      <c r="C1236" s="79" t="s">
        <v>94</v>
      </c>
      <c r="D1236" s="78"/>
      <c r="E1236" s="80"/>
      <c r="F1236" s="81"/>
      <c r="G1236" s="81">
        <v>12000000</v>
      </c>
    </row>
    <row r="1237" spans="1:7">
      <c r="A1237" s="7" t="s">
        <v>2118</v>
      </c>
      <c r="B1237" s="89" t="s">
        <v>195</v>
      </c>
      <c r="C1237" s="90" t="s">
        <v>2119</v>
      </c>
      <c r="D1237" s="89">
        <v>12</v>
      </c>
      <c r="E1237" s="91" t="s">
        <v>2120</v>
      </c>
      <c r="F1237" s="92">
        <v>1000000</v>
      </c>
      <c r="G1237" s="92">
        <v>12000000</v>
      </c>
    </row>
    <row r="1238" spans="1:7" ht="15">
      <c r="A1238" s="7" t="s">
        <v>2121</v>
      </c>
      <c r="B1238" s="78" t="s">
        <v>564</v>
      </c>
      <c r="C1238" s="79" t="s">
        <v>95</v>
      </c>
      <c r="D1238" s="78"/>
      <c r="E1238" s="80"/>
      <c r="F1238" s="81"/>
      <c r="G1238" s="81">
        <v>294200000</v>
      </c>
    </row>
    <row r="1239" spans="1:7">
      <c r="A1239" s="7" t="s">
        <v>2122</v>
      </c>
      <c r="B1239" s="89" t="s">
        <v>195</v>
      </c>
      <c r="C1239" s="90" t="s">
        <v>2123</v>
      </c>
      <c r="D1239" s="89">
        <v>12</v>
      </c>
      <c r="E1239" s="91" t="s">
        <v>118</v>
      </c>
      <c r="F1239" s="92">
        <v>4100000</v>
      </c>
      <c r="G1239" s="92">
        <v>49200000</v>
      </c>
    </row>
    <row r="1240" spans="1:7">
      <c r="A1240" s="7" t="s">
        <v>2124</v>
      </c>
      <c r="B1240" s="89" t="s">
        <v>195</v>
      </c>
      <c r="C1240" s="90" t="s">
        <v>2125</v>
      </c>
      <c r="D1240" s="89">
        <v>12</v>
      </c>
      <c r="E1240" s="91" t="s">
        <v>118</v>
      </c>
      <c r="F1240" s="92">
        <v>3000000</v>
      </c>
      <c r="G1240" s="92">
        <v>36000000</v>
      </c>
    </row>
    <row r="1241" spans="1:7">
      <c r="A1241" s="7" t="s">
        <v>2126</v>
      </c>
      <c r="B1241" s="89" t="s">
        <v>195</v>
      </c>
      <c r="C1241" s="90" t="s">
        <v>2127</v>
      </c>
      <c r="D1241" s="89">
        <v>1</v>
      </c>
      <c r="E1241" s="91" t="s">
        <v>9</v>
      </c>
      <c r="F1241" s="92">
        <v>50000000</v>
      </c>
      <c r="G1241" s="92">
        <v>50000000</v>
      </c>
    </row>
    <row r="1242" spans="1:7" ht="28.5">
      <c r="A1242" s="7" t="s">
        <v>2128</v>
      </c>
      <c r="B1242" s="89" t="s">
        <v>195</v>
      </c>
      <c r="C1242" s="90" t="s">
        <v>2129</v>
      </c>
      <c r="D1242" s="89">
        <v>12</v>
      </c>
      <c r="E1242" s="91" t="s">
        <v>118</v>
      </c>
      <c r="F1242" s="92">
        <v>13250000</v>
      </c>
      <c r="G1242" s="92">
        <v>159000000</v>
      </c>
    </row>
    <row r="1243" spans="1:7" ht="15">
      <c r="A1243" s="7" t="s">
        <v>2130</v>
      </c>
      <c r="B1243" s="78" t="s">
        <v>517</v>
      </c>
      <c r="C1243" s="79" t="s">
        <v>22</v>
      </c>
      <c r="D1243" s="78"/>
      <c r="E1243" s="80"/>
      <c r="F1243" s="81"/>
      <c r="G1243" s="81">
        <v>46507000</v>
      </c>
    </row>
    <row r="1244" spans="1:7" ht="28.5">
      <c r="A1244" s="7" t="s">
        <v>2131</v>
      </c>
      <c r="B1244" s="89" t="s">
        <v>195</v>
      </c>
      <c r="C1244" s="90" t="s">
        <v>2132</v>
      </c>
      <c r="D1244" s="89">
        <v>12</v>
      </c>
      <c r="E1244" s="91" t="s">
        <v>96</v>
      </c>
      <c r="F1244" s="92">
        <v>1575000</v>
      </c>
      <c r="G1244" s="92">
        <v>18900000</v>
      </c>
    </row>
    <row r="1245" spans="1:7" ht="28.5">
      <c r="A1245" s="7" t="s">
        <v>2133</v>
      </c>
      <c r="B1245" s="89" t="s">
        <v>195</v>
      </c>
      <c r="C1245" s="90" t="s">
        <v>2134</v>
      </c>
      <c r="D1245" s="89">
        <v>60</v>
      </c>
      <c r="E1245" s="91" t="s">
        <v>118</v>
      </c>
      <c r="F1245" s="92">
        <v>250000</v>
      </c>
      <c r="G1245" s="92">
        <v>15000000</v>
      </c>
    </row>
    <row r="1246" spans="1:7">
      <c r="A1246" s="7" t="s">
        <v>2135</v>
      </c>
      <c r="B1246" s="89" t="s">
        <v>195</v>
      </c>
      <c r="C1246" s="90" t="s">
        <v>2136</v>
      </c>
      <c r="D1246" s="89">
        <v>1</v>
      </c>
      <c r="E1246" s="91" t="s">
        <v>9</v>
      </c>
      <c r="F1246" s="92">
        <v>12607000</v>
      </c>
      <c r="G1246" s="92">
        <v>12607000</v>
      </c>
    </row>
    <row r="1247" spans="1:7" ht="15">
      <c r="A1247" s="7" t="s">
        <v>2137</v>
      </c>
      <c r="B1247" s="78" t="s">
        <v>567</v>
      </c>
      <c r="C1247" s="79" t="s">
        <v>99</v>
      </c>
      <c r="D1247" s="78"/>
      <c r="E1247" s="80"/>
      <c r="F1247" s="81"/>
      <c r="G1247" s="81">
        <v>9600000</v>
      </c>
    </row>
    <row r="1248" spans="1:7">
      <c r="A1248" s="7" t="s">
        <v>2138</v>
      </c>
      <c r="B1248" s="89" t="s">
        <v>195</v>
      </c>
      <c r="C1248" s="90" t="s">
        <v>2139</v>
      </c>
      <c r="D1248" s="89">
        <v>12</v>
      </c>
      <c r="E1248" s="91" t="s">
        <v>118</v>
      </c>
      <c r="F1248" s="92">
        <v>800000</v>
      </c>
      <c r="G1248" s="92">
        <v>9600000</v>
      </c>
    </row>
    <row r="1249" spans="1:7" ht="15">
      <c r="A1249" s="7" t="s">
        <v>2140</v>
      </c>
      <c r="B1249" s="97" t="s">
        <v>2141</v>
      </c>
      <c r="C1249" s="98" t="s">
        <v>98</v>
      </c>
      <c r="D1249" s="97"/>
      <c r="E1249" s="99"/>
      <c r="F1249" s="100"/>
      <c r="G1249" s="100">
        <v>274466000</v>
      </c>
    </row>
    <row r="1250" spans="1:7" ht="15">
      <c r="A1250" s="7" t="s">
        <v>2142</v>
      </c>
      <c r="B1250" s="78" t="s">
        <v>567</v>
      </c>
      <c r="C1250" s="79" t="s">
        <v>99</v>
      </c>
      <c r="D1250" s="78"/>
      <c r="E1250" s="80"/>
      <c r="F1250" s="81"/>
      <c r="G1250" s="81">
        <v>274466000</v>
      </c>
    </row>
    <row r="1251" spans="1:7">
      <c r="A1251" s="7" t="s">
        <v>2143</v>
      </c>
      <c r="B1251" s="89" t="s">
        <v>195</v>
      </c>
      <c r="C1251" s="90" t="s">
        <v>1901</v>
      </c>
      <c r="D1251" s="89">
        <v>20</v>
      </c>
      <c r="E1251" s="91" t="s">
        <v>44</v>
      </c>
      <c r="F1251" s="92">
        <v>660000</v>
      </c>
      <c r="G1251" s="92">
        <v>13200000</v>
      </c>
    </row>
    <row r="1252" spans="1:7">
      <c r="A1252" s="7" t="s">
        <v>2144</v>
      </c>
      <c r="B1252" s="89" t="s">
        <v>195</v>
      </c>
      <c r="C1252" s="90" t="s">
        <v>2145</v>
      </c>
      <c r="D1252" s="89">
        <v>20</v>
      </c>
      <c r="E1252" s="91" t="s">
        <v>44</v>
      </c>
      <c r="F1252" s="92">
        <v>660000</v>
      </c>
      <c r="G1252" s="92">
        <v>13200000</v>
      </c>
    </row>
    <row r="1253" spans="1:7">
      <c r="A1253" s="7" t="s">
        <v>2146</v>
      </c>
      <c r="B1253" s="89" t="s">
        <v>195</v>
      </c>
      <c r="C1253" s="90" t="s">
        <v>1925</v>
      </c>
      <c r="D1253" s="89">
        <v>20</v>
      </c>
      <c r="E1253" s="91" t="s">
        <v>44</v>
      </c>
      <c r="F1253" s="92">
        <v>580000</v>
      </c>
      <c r="G1253" s="92">
        <v>11600000</v>
      </c>
    </row>
    <row r="1254" spans="1:7" ht="28.5">
      <c r="A1254" s="7" t="s">
        <v>2147</v>
      </c>
      <c r="B1254" s="89" t="s">
        <v>195</v>
      </c>
      <c r="C1254" s="90" t="s">
        <v>2148</v>
      </c>
      <c r="D1254" s="89">
        <v>1</v>
      </c>
      <c r="E1254" s="91" t="s">
        <v>44</v>
      </c>
      <c r="F1254" s="92">
        <v>27000000</v>
      </c>
      <c r="G1254" s="92">
        <v>27000000</v>
      </c>
    </row>
    <row r="1255" spans="1:7">
      <c r="A1255" s="7" t="s">
        <v>2149</v>
      </c>
      <c r="B1255" s="89" t="s">
        <v>195</v>
      </c>
      <c r="C1255" s="90" t="s">
        <v>1916</v>
      </c>
      <c r="D1255" s="89">
        <v>6</v>
      </c>
      <c r="E1255" s="91" t="s">
        <v>44</v>
      </c>
      <c r="F1255" s="92">
        <v>26500000</v>
      </c>
      <c r="G1255" s="92">
        <v>159000000</v>
      </c>
    </row>
    <row r="1256" spans="1:7">
      <c r="A1256" s="7" t="s">
        <v>2150</v>
      </c>
      <c r="B1256" s="89" t="s">
        <v>195</v>
      </c>
      <c r="C1256" s="90" t="s">
        <v>2151</v>
      </c>
      <c r="D1256" s="89">
        <v>15</v>
      </c>
      <c r="E1256" s="91" t="s">
        <v>44</v>
      </c>
      <c r="F1256" s="92">
        <v>3364000</v>
      </c>
      <c r="G1256" s="92">
        <v>50466000</v>
      </c>
    </row>
    <row r="1257" spans="1:7" ht="15">
      <c r="A1257" s="7" t="s">
        <v>2152</v>
      </c>
      <c r="B1257" s="97" t="s">
        <v>2153</v>
      </c>
      <c r="C1257" s="98" t="s">
        <v>119</v>
      </c>
      <c r="D1257" s="97"/>
      <c r="E1257" s="99"/>
      <c r="F1257" s="100"/>
      <c r="G1257" s="100">
        <v>114736000</v>
      </c>
    </row>
    <row r="1258" spans="1:7" ht="15">
      <c r="A1258" s="7" t="s">
        <v>2154</v>
      </c>
      <c r="B1258" s="78" t="s">
        <v>559</v>
      </c>
      <c r="C1258" s="79" t="s">
        <v>90</v>
      </c>
      <c r="D1258" s="78"/>
      <c r="E1258" s="80"/>
      <c r="F1258" s="81"/>
      <c r="G1258" s="81">
        <v>19200000</v>
      </c>
    </row>
    <row r="1259" spans="1:7">
      <c r="A1259" s="7" t="s">
        <v>2155</v>
      </c>
      <c r="B1259" s="89" t="s">
        <v>195</v>
      </c>
      <c r="C1259" s="90" t="s">
        <v>2156</v>
      </c>
      <c r="D1259" s="89">
        <v>800</v>
      </c>
      <c r="E1259" s="91" t="s">
        <v>10</v>
      </c>
      <c r="F1259" s="92">
        <v>24000</v>
      </c>
      <c r="G1259" s="92">
        <v>19200000</v>
      </c>
    </row>
    <row r="1260" spans="1:7" ht="15">
      <c r="A1260" s="7" t="s">
        <v>2157</v>
      </c>
      <c r="B1260" s="78" t="s">
        <v>570</v>
      </c>
      <c r="C1260" s="79" t="s">
        <v>104</v>
      </c>
      <c r="D1260" s="78"/>
      <c r="E1260" s="80"/>
      <c r="F1260" s="81"/>
      <c r="G1260" s="81">
        <v>60696000</v>
      </c>
    </row>
    <row r="1261" spans="1:7" ht="28.5">
      <c r="A1261" s="7" t="s">
        <v>2158</v>
      </c>
      <c r="B1261" s="89" t="s">
        <v>195</v>
      </c>
      <c r="C1261" s="90" t="s">
        <v>2159</v>
      </c>
      <c r="D1261" s="89">
        <v>12</v>
      </c>
      <c r="E1261" s="91" t="s">
        <v>21</v>
      </c>
      <c r="F1261" s="92">
        <v>2920000</v>
      </c>
      <c r="G1261" s="92">
        <v>35040000</v>
      </c>
    </row>
    <row r="1262" spans="1:7" ht="28.5">
      <c r="A1262" s="7" t="s">
        <v>2160</v>
      </c>
      <c r="B1262" s="89" t="s">
        <v>195</v>
      </c>
      <c r="C1262" s="90" t="s">
        <v>2161</v>
      </c>
      <c r="D1262" s="89">
        <v>24</v>
      </c>
      <c r="E1262" s="91" t="s">
        <v>21</v>
      </c>
      <c r="F1262" s="92">
        <v>324000</v>
      </c>
      <c r="G1262" s="92">
        <v>7776000</v>
      </c>
    </row>
    <row r="1263" spans="1:7">
      <c r="A1263" s="7" t="s">
        <v>2162</v>
      </c>
      <c r="B1263" s="89" t="s">
        <v>195</v>
      </c>
      <c r="C1263" s="90" t="s">
        <v>2163</v>
      </c>
      <c r="D1263" s="89">
        <v>12</v>
      </c>
      <c r="E1263" s="91" t="s">
        <v>21</v>
      </c>
      <c r="F1263" s="92">
        <v>810000</v>
      </c>
      <c r="G1263" s="92">
        <v>9720000</v>
      </c>
    </row>
    <row r="1264" spans="1:7">
      <c r="A1264" s="7" t="s">
        <v>2164</v>
      </c>
      <c r="B1264" s="89" t="s">
        <v>195</v>
      </c>
      <c r="C1264" s="90" t="s">
        <v>2165</v>
      </c>
      <c r="D1264" s="89">
        <v>12</v>
      </c>
      <c r="E1264" s="91" t="s">
        <v>21</v>
      </c>
      <c r="F1264" s="92">
        <v>680000</v>
      </c>
      <c r="G1264" s="92">
        <v>8160000</v>
      </c>
    </row>
    <row r="1265" spans="1:7" ht="15">
      <c r="A1265" s="7" t="s">
        <v>2166</v>
      </c>
      <c r="B1265" s="78" t="s">
        <v>561</v>
      </c>
      <c r="C1265" s="79" t="s">
        <v>92</v>
      </c>
      <c r="D1265" s="78"/>
      <c r="E1265" s="80"/>
      <c r="F1265" s="81"/>
      <c r="G1265" s="81">
        <v>34840000</v>
      </c>
    </row>
    <row r="1266" spans="1:7">
      <c r="A1266" s="7" t="s">
        <v>2167</v>
      </c>
      <c r="B1266" s="89" t="s">
        <v>195</v>
      </c>
      <c r="C1266" s="90" t="s">
        <v>2168</v>
      </c>
      <c r="D1266" s="89">
        <v>52</v>
      </c>
      <c r="E1266" s="91" t="s">
        <v>2169</v>
      </c>
      <c r="F1266" s="92">
        <v>670000</v>
      </c>
      <c r="G1266" s="92">
        <v>34840000</v>
      </c>
    </row>
    <row r="1267" spans="1:7" ht="30">
      <c r="A1267" s="7" t="s">
        <v>2170</v>
      </c>
      <c r="B1267" s="97" t="s">
        <v>1807</v>
      </c>
      <c r="C1267" s="98" t="s">
        <v>2171</v>
      </c>
      <c r="D1267" s="97"/>
      <c r="E1267" s="99"/>
      <c r="F1267" s="100"/>
      <c r="G1267" s="100">
        <v>1325380000</v>
      </c>
    </row>
    <row r="1268" spans="1:7" ht="15">
      <c r="A1268" s="7" t="s">
        <v>2172</v>
      </c>
      <c r="B1268" s="78" t="s">
        <v>559</v>
      </c>
      <c r="C1268" s="79" t="s">
        <v>90</v>
      </c>
      <c r="D1268" s="78"/>
      <c r="E1268" s="80"/>
      <c r="F1268" s="81"/>
      <c r="G1268" s="81">
        <v>1121220000</v>
      </c>
    </row>
    <row r="1269" spans="1:7">
      <c r="A1269" s="7" t="s">
        <v>2173</v>
      </c>
      <c r="B1269" s="89" t="s">
        <v>195</v>
      </c>
      <c r="C1269" s="90" t="s">
        <v>2096</v>
      </c>
      <c r="D1269" s="89">
        <v>60</v>
      </c>
      <c r="E1269" s="91" t="s">
        <v>116</v>
      </c>
      <c r="F1269" s="92">
        <v>1500000</v>
      </c>
      <c r="G1269" s="92">
        <v>90000000</v>
      </c>
    </row>
    <row r="1270" spans="1:7">
      <c r="A1270" s="7" t="s">
        <v>2174</v>
      </c>
      <c r="B1270" s="89" t="s">
        <v>195</v>
      </c>
      <c r="C1270" s="90" t="s">
        <v>2175</v>
      </c>
      <c r="D1270" s="89">
        <v>1</v>
      </c>
      <c r="E1270" s="91" t="s">
        <v>60</v>
      </c>
      <c r="F1270" s="92">
        <v>63000000</v>
      </c>
      <c r="G1270" s="92">
        <v>63000000</v>
      </c>
    </row>
    <row r="1271" spans="1:7">
      <c r="A1271" s="7" t="s">
        <v>2176</v>
      </c>
      <c r="B1271" s="89" t="s">
        <v>195</v>
      </c>
      <c r="C1271" s="90" t="s">
        <v>2177</v>
      </c>
      <c r="D1271" s="89">
        <v>156</v>
      </c>
      <c r="E1271" s="91" t="s">
        <v>21</v>
      </c>
      <c r="F1271" s="92">
        <v>4858000</v>
      </c>
      <c r="G1271" s="92">
        <v>757848000</v>
      </c>
    </row>
    <row r="1272" spans="1:7">
      <c r="A1272" s="7" t="s">
        <v>2178</v>
      </c>
      <c r="B1272" s="89" t="s">
        <v>195</v>
      </c>
      <c r="C1272" s="90" t="s">
        <v>2100</v>
      </c>
      <c r="D1272" s="89">
        <v>13</v>
      </c>
      <c r="E1272" s="91" t="s">
        <v>32</v>
      </c>
      <c r="F1272" s="92">
        <v>5344000</v>
      </c>
      <c r="G1272" s="92">
        <v>69472000</v>
      </c>
    </row>
    <row r="1273" spans="1:7">
      <c r="A1273" s="7" t="s">
        <v>2179</v>
      </c>
      <c r="B1273" s="89" t="s">
        <v>195</v>
      </c>
      <c r="C1273" s="90" t="s">
        <v>2180</v>
      </c>
      <c r="D1273" s="89">
        <v>12</v>
      </c>
      <c r="E1273" s="91" t="s">
        <v>78</v>
      </c>
      <c r="F1273" s="92">
        <v>500000</v>
      </c>
      <c r="G1273" s="92">
        <v>6000000</v>
      </c>
    </row>
    <row r="1274" spans="1:7">
      <c r="A1274" s="7" t="s">
        <v>2181</v>
      </c>
      <c r="B1274" s="89" t="s">
        <v>195</v>
      </c>
      <c r="C1274" s="90" t="s">
        <v>2182</v>
      </c>
      <c r="D1274" s="89">
        <v>148</v>
      </c>
      <c r="E1274" s="91" t="s">
        <v>58</v>
      </c>
      <c r="F1274" s="92">
        <v>500000</v>
      </c>
      <c r="G1274" s="92">
        <v>74000000</v>
      </c>
    </row>
    <row r="1275" spans="1:7">
      <c r="A1275" s="7" t="s">
        <v>2183</v>
      </c>
      <c r="B1275" s="89" t="s">
        <v>195</v>
      </c>
      <c r="C1275" s="90" t="s">
        <v>2184</v>
      </c>
      <c r="D1275" s="89">
        <v>12</v>
      </c>
      <c r="E1275" s="91" t="s">
        <v>115</v>
      </c>
      <c r="F1275" s="92">
        <v>750000</v>
      </c>
      <c r="G1275" s="92">
        <v>9000000</v>
      </c>
    </row>
    <row r="1276" spans="1:7">
      <c r="A1276" s="7" t="s">
        <v>2185</v>
      </c>
      <c r="B1276" s="89" t="s">
        <v>195</v>
      </c>
      <c r="C1276" s="90" t="s">
        <v>2186</v>
      </c>
      <c r="D1276" s="89">
        <v>12</v>
      </c>
      <c r="E1276" s="91" t="s">
        <v>115</v>
      </c>
      <c r="F1276" s="92">
        <v>1325000</v>
      </c>
      <c r="G1276" s="92">
        <v>15900000</v>
      </c>
    </row>
    <row r="1277" spans="1:7">
      <c r="A1277" s="7" t="s">
        <v>2187</v>
      </c>
      <c r="B1277" s="89" t="s">
        <v>195</v>
      </c>
      <c r="C1277" s="90" t="s">
        <v>2188</v>
      </c>
      <c r="D1277" s="89">
        <v>12</v>
      </c>
      <c r="E1277" s="91" t="s">
        <v>78</v>
      </c>
      <c r="F1277" s="92">
        <v>3000000</v>
      </c>
      <c r="G1277" s="92">
        <v>36000000</v>
      </c>
    </row>
    <row r="1278" spans="1:7" ht="15">
      <c r="A1278" s="7" t="s">
        <v>2189</v>
      </c>
      <c r="B1278" s="78" t="s">
        <v>537</v>
      </c>
      <c r="C1278" s="79" t="s">
        <v>64</v>
      </c>
      <c r="D1278" s="78"/>
      <c r="E1278" s="80"/>
      <c r="F1278" s="81"/>
      <c r="G1278" s="81">
        <v>204160000</v>
      </c>
    </row>
    <row r="1279" spans="1:7">
      <c r="A1279" s="7" t="s">
        <v>2190</v>
      </c>
      <c r="B1279" s="89" t="s">
        <v>195</v>
      </c>
      <c r="C1279" s="90" t="s">
        <v>619</v>
      </c>
      <c r="D1279" s="89">
        <v>48</v>
      </c>
      <c r="E1279" s="91" t="s">
        <v>9</v>
      </c>
      <c r="F1279" s="92">
        <v>1000000</v>
      </c>
      <c r="G1279" s="92">
        <v>48000000</v>
      </c>
    </row>
    <row r="1280" spans="1:7">
      <c r="A1280" s="7" t="s">
        <v>2191</v>
      </c>
      <c r="B1280" s="89" t="s">
        <v>195</v>
      </c>
      <c r="C1280" s="90" t="s">
        <v>620</v>
      </c>
      <c r="D1280" s="89">
        <v>48</v>
      </c>
      <c r="E1280" s="91" t="s">
        <v>9</v>
      </c>
      <c r="F1280" s="92">
        <v>1500000</v>
      </c>
      <c r="G1280" s="92">
        <v>72000000</v>
      </c>
    </row>
    <row r="1281" spans="1:7">
      <c r="A1281" s="7" t="s">
        <v>2192</v>
      </c>
      <c r="B1281" s="89" t="s">
        <v>195</v>
      </c>
      <c r="C1281" s="90" t="s">
        <v>2193</v>
      </c>
      <c r="D1281" s="89">
        <v>192</v>
      </c>
      <c r="E1281" s="91" t="s">
        <v>9</v>
      </c>
      <c r="F1281" s="92">
        <v>50000</v>
      </c>
      <c r="G1281" s="92">
        <v>9600000</v>
      </c>
    </row>
    <row r="1282" spans="1:7">
      <c r="A1282" s="7" t="s">
        <v>2194</v>
      </c>
      <c r="B1282" s="89" t="s">
        <v>195</v>
      </c>
      <c r="C1282" s="90" t="s">
        <v>2195</v>
      </c>
      <c r="D1282" s="89">
        <v>192</v>
      </c>
      <c r="E1282" s="91" t="s">
        <v>9</v>
      </c>
      <c r="F1282" s="92">
        <v>55000</v>
      </c>
      <c r="G1282" s="92">
        <v>10560000</v>
      </c>
    </row>
    <row r="1283" spans="1:7">
      <c r="A1283" s="7" t="s">
        <v>2196</v>
      </c>
      <c r="B1283" s="89" t="s">
        <v>195</v>
      </c>
      <c r="C1283" s="90" t="s">
        <v>2197</v>
      </c>
      <c r="D1283" s="89">
        <v>50</v>
      </c>
      <c r="E1283" s="91" t="s">
        <v>2198</v>
      </c>
      <c r="F1283" s="92">
        <v>220000</v>
      </c>
      <c r="G1283" s="92">
        <v>11000000</v>
      </c>
    </row>
    <row r="1284" spans="1:7">
      <c r="A1284" s="7" t="s">
        <v>2199</v>
      </c>
      <c r="B1284" s="89" t="s">
        <v>195</v>
      </c>
      <c r="C1284" s="90" t="s">
        <v>2200</v>
      </c>
      <c r="D1284" s="89">
        <v>50</v>
      </c>
      <c r="E1284" s="91" t="s">
        <v>2198</v>
      </c>
      <c r="F1284" s="92">
        <v>240000</v>
      </c>
      <c r="G1284" s="92">
        <v>12000000</v>
      </c>
    </row>
    <row r="1285" spans="1:7">
      <c r="A1285" s="7" t="s">
        <v>2201</v>
      </c>
      <c r="B1285" s="89" t="s">
        <v>195</v>
      </c>
      <c r="C1285" s="90" t="s">
        <v>2202</v>
      </c>
      <c r="D1285" s="89">
        <v>1000</v>
      </c>
      <c r="E1285" s="91" t="s">
        <v>120</v>
      </c>
      <c r="F1285" s="92">
        <v>5000</v>
      </c>
      <c r="G1285" s="92">
        <v>5000000</v>
      </c>
    </row>
    <row r="1286" spans="1:7">
      <c r="A1286" s="7" t="s">
        <v>2203</v>
      </c>
      <c r="B1286" s="89" t="s">
        <v>195</v>
      </c>
      <c r="C1286" s="90" t="s">
        <v>2204</v>
      </c>
      <c r="D1286" s="89">
        <v>50</v>
      </c>
      <c r="E1286" s="91" t="s">
        <v>1422</v>
      </c>
      <c r="F1286" s="92">
        <v>220000</v>
      </c>
      <c r="G1286" s="92">
        <v>11000000</v>
      </c>
    </row>
    <row r="1287" spans="1:7">
      <c r="A1287" s="7" t="s">
        <v>2205</v>
      </c>
      <c r="B1287" s="89" t="s">
        <v>195</v>
      </c>
      <c r="C1287" s="90" t="s">
        <v>2206</v>
      </c>
      <c r="D1287" s="89">
        <v>1000</v>
      </c>
      <c r="E1287" s="91" t="s">
        <v>120</v>
      </c>
      <c r="F1287" s="92">
        <v>25000</v>
      </c>
      <c r="G1287" s="92">
        <v>25000000</v>
      </c>
    </row>
    <row r="1288" spans="1:7" ht="15">
      <c r="A1288" s="7" t="s">
        <v>2207</v>
      </c>
      <c r="B1288" s="97" t="s">
        <v>2208</v>
      </c>
      <c r="C1288" s="98" t="s">
        <v>2209</v>
      </c>
      <c r="D1288" s="97"/>
      <c r="E1288" s="99"/>
      <c r="F1288" s="100"/>
      <c r="G1288" s="100">
        <v>148852000</v>
      </c>
    </row>
    <row r="1289" spans="1:7" ht="15">
      <c r="A1289" s="7" t="s">
        <v>2210</v>
      </c>
      <c r="B1289" s="78" t="s">
        <v>563</v>
      </c>
      <c r="C1289" s="79" t="s">
        <v>94</v>
      </c>
      <c r="D1289" s="78"/>
      <c r="E1289" s="80"/>
      <c r="F1289" s="81"/>
      <c r="G1289" s="81">
        <v>30000000</v>
      </c>
    </row>
    <row r="1290" spans="1:7">
      <c r="A1290" s="7" t="s">
        <v>2211</v>
      </c>
      <c r="B1290" s="89" t="s">
        <v>195</v>
      </c>
      <c r="C1290" s="90" t="s">
        <v>2212</v>
      </c>
      <c r="D1290" s="89">
        <v>12</v>
      </c>
      <c r="E1290" s="91" t="s">
        <v>78</v>
      </c>
      <c r="F1290" s="92">
        <v>2500000</v>
      </c>
      <c r="G1290" s="92">
        <v>30000000</v>
      </c>
    </row>
    <row r="1291" spans="1:7" ht="15">
      <c r="A1291" s="7" t="s">
        <v>2213</v>
      </c>
      <c r="B1291" s="78" t="s">
        <v>564</v>
      </c>
      <c r="C1291" s="79" t="s">
        <v>95</v>
      </c>
      <c r="D1291" s="78"/>
      <c r="E1291" s="80"/>
      <c r="F1291" s="81"/>
      <c r="G1291" s="81">
        <v>118852000</v>
      </c>
    </row>
    <row r="1292" spans="1:7">
      <c r="A1292" s="7" t="s">
        <v>2214</v>
      </c>
      <c r="B1292" s="89" t="s">
        <v>195</v>
      </c>
      <c r="C1292" s="90" t="s">
        <v>2215</v>
      </c>
      <c r="D1292" s="89">
        <v>12</v>
      </c>
      <c r="E1292" s="91" t="s">
        <v>78</v>
      </c>
      <c r="F1292" s="92">
        <v>5000000</v>
      </c>
      <c r="G1292" s="92">
        <v>60000000</v>
      </c>
    </row>
    <row r="1293" spans="1:7">
      <c r="A1293" s="7" t="s">
        <v>2216</v>
      </c>
      <c r="B1293" s="89" t="s">
        <v>195</v>
      </c>
      <c r="C1293" s="90" t="s">
        <v>2217</v>
      </c>
      <c r="D1293" s="89">
        <v>1</v>
      </c>
      <c r="E1293" s="91" t="s">
        <v>60</v>
      </c>
      <c r="F1293" s="92">
        <v>58852000</v>
      </c>
      <c r="G1293" s="92">
        <v>58852000</v>
      </c>
    </row>
    <row r="1294" spans="1:7" ht="15">
      <c r="A1294" s="7" t="s">
        <v>2218</v>
      </c>
      <c r="B1294" s="97" t="s">
        <v>2219</v>
      </c>
      <c r="C1294" s="98" t="s">
        <v>2220</v>
      </c>
      <c r="D1294" s="97"/>
      <c r="E1294" s="99"/>
      <c r="F1294" s="100"/>
      <c r="G1294" s="100">
        <v>562050000</v>
      </c>
    </row>
    <row r="1295" spans="1:7" ht="15">
      <c r="A1295" s="7" t="s">
        <v>2221</v>
      </c>
      <c r="B1295" s="78" t="s">
        <v>567</v>
      </c>
      <c r="C1295" s="79" t="s">
        <v>99</v>
      </c>
      <c r="D1295" s="78"/>
      <c r="E1295" s="80"/>
      <c r="F1295" s="81"/>
      <c r="G1295" s="81">
        <v>526050000</v>
      </c>
    </row>
    <row r="1296" spans="1:7" ht="28.5">
      <c r="A1296" s="7" t="s">
        <v>2222</v>
      </c>
      <c r="B1296" s="89" t="s">
        <v>195</v>
      </c>
      <c r="C1296" s="90" t="s">
        <v>2223</v>
      </c>
      <c r="D1296" s="89">
        <v>1</v>
      </c>
      <c r="E1296" s="91" t="s">
        <v>44</v>
      </c>
      <c r="F1296" s="92">
        <v>38730000</v>
      </c>
      <c r="G1296" s="92">
        <v>38730000</v>
      </c>
    </row>
    <row r="1297" spans="1:7">
      <c r="A1297" s="7" t="s">
        <v>2224</v>
      </c>
      <c r="B1297" s="89" t="s">
        <v>195</v>
      </c>
      <c r="C1297" s="90" t="s">
        <v>2225</v>
      </c>
      <c r="D1297" s="89">
        <v>9</v>
      </c>
      <c r="E1297" s="91" t="s">
        <v>195</v>
      </c>
      <c r="F1297" s="92">
        <v>33650000</v>
      </c>
      <c r="G1297" s="92">
        <v>302850000</v>
      </c>
    </row>
    <row r="1298" spans="1:7">
      <c r="A1298" s="7" t="s">
        <v>2226</v>
      </c>
      <c r="B1298" s="89" t="s">
        <v>195</v>
      </c>
      <c r="C1298" s="90" t="s">
        <v>2227</v>
      </c>
      <c r="D1298" s="89">
        <v>5</v>
      </c>
      <c r="E1298" s="91" t="s">
        <v>42</v>
      </c>
      <c r="F1298" s="92">
        <v>3640000</v>
      </c>
      <c r="G1298" s="92">
        <v>18200000</v>
      </c>
    </row>
    <row r="1299" spans="1:7">
      <c r="A1299" s="7" t="s">
        <v>2228</v>
      </c>
      <c r="B1299" s="89" t="s">
        <v>195</v>
      </c>
      <c r="C1299" s="90" t="s">
        <v>1901</v>
      </c>
      <c r="D1299" s="89">
        <v>50</v>
      </c>
      <c r="E1299" s="91" t="s">
        <v>42</v>
      </c>
      <c r="F1299" s="92">
        <v>730000</v>
      </c>
      <c r="G1299" s="92">
        <v>36500000</v>
      </c>
    </row>
    <row r="1300" spans="1:7">
      <c r="A1300" s="7" t="s">
        <v>2229</v>
      </c>
      <c r="B1300" s="89" t="s">
        <v>195</v>
      </c>
      <c r="C1300" s="90" t="s">
        <v>1921</v>
      </c>
      <c r="D1300" s="89">
        <v>45</v>
      </c>
      <c r="E1300" s="91" t="s">
        <v>44</v>
      </c>
      <c r="F1300" s="92">
        <v>730000</v>
      </c>
      <c r="G1300" s="92">
        <v>32850000</v>
      </c>
    </row>
    <row r="1301" spans="1:7">
      <c r="A1301" s="7" t="s">
        <v>2230</v>
      </c>
      <c r="B1301" s="89" t="s">
        <v>195</v>
      </c>
      <c r="C1301" s="90" t="s">
        <v>1925</v>
      </c>
      <c r="D1301" s="89">
        <v>45</v>
      </c>
      <c r="E1301" s="91" t="s">
        <v>44</v>
      </c>
      <c r="F1301" s="92">
        <v>690000</v>
      </c>
      <c r="G1301" s="92">
        <v>31050000</v>
      </c>
    </row>
    <row r="1302" spans="1:7">
      <c r="A1302" s="7" t="s">
        <v>2231</v>
      </c>
      <c r="B1302" s="89" t="s">
        <v>195</v>
      </c>
      <c r="C1302" s="90" t="s">
        <v>1927</v>
      </c>
      <c r="D1302" s="89">
        <v>3</v>
      </c>
      <c r="E1302" s="91" t="s">
        <v>44</v>
      </c>
      <c r="F1302" s="92">
        <v>3500000</v>
      </c>
      <c r="G1302" s="92">
        <v>10500000</v>
      </c>
    </row>
    <row r="1303" spans="1:7">
      <c r="A1303" s="7" t="s">
        <v>2232</v>
      </c>
      <c r="B1303" s="89" t="s">
        <v>195</v>
      </c>
      <c r="C1303" s="90" t="s">
        <v>2233</v>
      </c>
      <c r="D1303" s="89">
        <v>6</v>
      </c>
      <c r="E1303" s="91" t="s">
        <v>44</v>
      </c>
      <c r="F1303" s="92">
        <v>470000</v>
      </c>
      <c r="G1303" s="92">
        <v>2820000</v>
      </c>
    </row>
    <row r="1304" spans="1:7">
      <c r="A1304" s="7" t="s">
        <v>2234</v>
      </c>
      <c r="B1304" s="89" t="s">
        <v>195</v>
      </c>
      <c r="C1304" s="90" t="s">
        <v>1905</v>
      </c>
      <c r="D1304" s="89">
        <v>1</v>
      </c>
      <c r="E1304" s="91" t="s">
        <v>60</v>
      </c>
      <c r="F1304" s="92">
        <v>52550000</v>
      </c>
      <c r="G1304" s="92">
        <v>52550000</v>
      </c>
    </row>
    <row r="1305" spans="1:7" ht="15">
      <c r="A1305" s="7" t="s">
        <v>2235</v>
      </c>
      <c r="B1305" s="78" t="s">
        <v>568</v>
      </c>
      <c r="C1305" s="79" t="s">
        <v>102</v>
      </c>
      <c r="D1305" s="78"/>
      <c r="E1305" s="80"/>
      <c r="F1305" s="81"/>
      <c r="G1305" s="81">
        <v>36000000</v>
      </c>
    </row>
    <row r="1306" spans="1:7">
      <c r="A1306" s="7" t="s">
        <v>2236</v>
      </c>
      <c r="B1306" s="89" t="s">
        <v>195</v>
      </c>
      <c r="C1306" s="90" t="s">
        <v>2237</v>
      </c>
      <c r="D1306" s="89">
        <v>24</v>
      </c>
      <c r="E1306" s="91" t="s">
        <v>96</v>
      </c>
      <c r="F1306" s="92">
        <v>1500000</v>
      </c>
      <c r="G1306" s="92">
        <v>36000000</v>
      </c>
    </row>
    <row r="1307" spans="1:7" ht="30">
      <c r="A1307" s="7" t="s">
        <v>2238</v>
      </c>
      <c r="B1307" s="97" t="s">
        <v>2239</v>
      </c>
      <c r="C1307" s="98" t="s">
        <v>2240</v>
      </c>
      <c r="D1307" s="97"/>
      <c r="E1307" s="99"/>
      <c r="F1307" s="100"/>
      <c r="G1307" s="100">
        <v>159376000</v>
      </c>
    </row>
    <row r="1308" spans="1:7" ht="15">
      <c r="A1308" s="7" t="s">
        <v>2241</v>
      </c>
      <c r="B1308" s="78" t="s">
        <v>559</v>
      </c>
      <c r="C1308" s="79" t="s">
        <v>90</v>
      </c>
      <c r="D1308" s="78"/>
      <c r="E1308" s="80"/>
      <c r="F1308" s="81"/>
      <c r="G1308" s="81">
        <v>101040000</v>
      </c>
    </row>
    <row r="1309" spans="1:7">
      <c r="A1309" s="7" t="s">
        <v>2242</v>
      </c>
      <c r="B1309" s="89" t="s">
        <v>195</v>
      </c>
      <c r="C1309" s="90" t="s">
        <v>2243</v>
      </c>
      <c r="D1309" s="89">
        <v>100</v>
      </c>
      <c r="E1309" s="91" t="s">
        <v>2244</v>
      </c>
      <c r="F1309" s="92">
        <v>857000</v>
      </c>
      <c r="G1309" s="92">
        <v>85700000</v>
      </c>
    </row>
    <row r="1310" spans="1:7">
      <c r="A1310" s="7" t="s">
        <v>2245</v>
      </c>
      <c r="B1310" s="89" t="s">
        <v>195</v>
      </c>
      <c r="C1310" s="90" t="s">
        <v>2246</v>
      </c>
      <c r="D1310" s="89">
        <v>26</v>
      </c>
      <c r="E1310" s="91" t="s">
        <v>121</v>
      </c>
      <c r="F1310" s="92">
        <v>590000</v>
      </c>
      <c r="G1310" s="92">
        <v>15340000</v>
      </c>
    </row>
    <row r="1311" spans="1:7" ht="15">
      <c r="A1311" s="7" t="s">
        <v>2247</v>
      </c>
      <c r="B1311" s="78" t="s">
        <v>570</v>
      </c>
      <c r="C1311" s="79" t="s">
        <v>104</v>
      </c>
      <c r="D1311" s="78"/>
      <c r="E1311" s="80"/>
      <c r="F1311" s="81"/>
      <c r="G1311" s="81">
        <v>58336000</v>
      </c>
    </row>
    <row r="1312" spans="1:7">
      <c r="A1312" s="7" t="s">
        <v>2248</v>
      </c>
      <c r="B1312" s="89" t="s">
        <v>195</v>
      </c>
      <c r="C1312" s="90" t="s">
        <v>2249</v>
      </c>
      <c r="D1312" s="89">
        <v>12</v>
      </c>
      <c r="E1312" s="91" t="s">
        <v>32</v>
      </c>
      <c r="F1312" s="92">
        <v>2920000</v>
      </c>
      <c r="G1312" s="92">
        <v>35040000</v>
      </c>
    </row>
    <row r="1313" spans="1:7">
      <c r="A1313" s="7" t="s">
        <v>2250</v>
      </c>
      <c r="B1313" s="89" t="s">
        <v>195</v>
      </c>
      <c r="C1313" s="90" t="s">
        <v>2251</v>
      </c>
      <c r="D1313" s="89">
        <v>3</v>
      </c>
      <c r="E1313" s="91" t="s">
        <v>25</v>
      </c>
      <c r="F1313" s="92">
        <v>300000</v>
      </c>
      <c r="G1313" s="92">
        <v>900000</v>
      </c>
    </row>
    <row r="1314" spans="1:7" ht="28.5">
      <c r="A1314" s="7" t="s">
        <v>2252</v>
      </c>
      <c r="B1314" s="89" t="s">
        <v>195</v>
      </c>
      <c r="C1314" s="90" t="s">
        <v>2253</v>
      </c>
      <c r="D1314" s="89">
        <v>12</v>
      </c>
      <c r="E1314" s="91" t="s">
        <v>32</v>
      </c>
      <c r="F1314" s="92">
        <v>324000</v>
      </c>
      <c r="G1314" s="92">
        <v>3888000</v>
      </c>
    </row>
    <row r="1315" spans="1:7">
      <c r="A1315" s="7" t="s">
        <v>2254</v>
      </c>
      <c r="B1315" s="89" t="s">
        <v>195</v>
      </c>
      <c r="C1315" s="90" t="s">
        <v>2255</v>
      </c>
      <c r="D1315" s="89">
        <v>12</v>
      </c>
      <c r="E1315" s="91" t="s">
        <v>32</v>
      </c>
      <c r="F1315" s="92">
        <v>324000</v>
      </c>
      <c r="G1315" s="92">
        <v>3888000</v>
      </c>
    </row>
    <row r="1316" spans="1:7" ht="28.5">
      <c r="A1316" s="7" t="s">
        <v>2256</v>
      </c>
      <c r="B1316" s="89" t="s">
        <v>195</v>
      </c>
      <c r="C1316" s="90" t="s">
        <v>2257</v>
      </c>
      <c r="D1316" s="89">
        <v>12</v>
      </c>
      <c r="E1316" s="91" t="s">
        <v>32</v>
      </c>
      <c r="F1316" s="92">
        <v>680000</v>
      </c>
      <c r="G1316" s="92">
        <v>8160000</v>
      </c>
    </row>
    <row r="1317" spans="1:7">
      <c r="A1317" s="7" t="s">
        <v>2258</v>
      </c>
      <c r="B1317" s="89" t="s">
        <v>195</v>
      </c>
      <c r="C1317" s="90" t="s">
        <v>2259</v>
      </c>
      <c r="D1317" s="89">
        <v>12</v>
      </c>
      <c r="E1317" s="91" t="s">
        <v>32</v>
      </c>
      <c r="F1317" s="92">
        <v>200000</v>
      </c>
      <c r="G1317" s="92">
        <v>2400000</v>
      </c>
    </row>
    <row r="1318" spans="1:7">
      <c r="A1318" s="7" t="s">
        <v>2260</v>
      </c>
      <c r="B1318" s="89" t="s">
        <v>195</v>
      </c>
      <c r="C1318" s="90" t="s">
        <v>2261</v>
      </c>
      <c r="D1318" s="89">
        <v>12</v>
      </c>
      <c r="E1318" s="91" t="s">
        <v>32</v>
      </c>
      <c r="F1318" s="92">
        <v>80000</v>
      </c>
      <c r="G1318" s="92">
        <v>960000</v>
      </c>
    </row>
    <row r="1319" spans="1:7">
      <c r="A1319" s="7" t="s">
        <v>2262</v>
      </c>
      <c r="B1319" s="89" t="s">
        <v>195</v>
      </c>
      <c r="C1319" s="90" t="s">
        <v>2263</v>
      </c>
      <c r="D1319" s="89">
        <v>12</v>
      </c>
      <c r="E1319" s="91" t="s">
        <v>32</v>
      </c>
      <c r="F1319" s="92">
        <v>200000</v>
      </c>
      <c r="G1319" s="92">
        <v>2400000</v>
      </c>
    </row>
    <row r="1320" spans="1:7">
      <c r="A1320" s="7" t="s">
        <v>2264</v>
      </c>
      <c r="B1320" s="89" t="s">
        <v>195</v>
      </c>
      <c r="C1320" s="90" t="s">
        <v>2265</v>
      </c>
      <c r="D1320" s="89">
        <v>1</v>
      </c>
      <c r="E1320" s="91" t="s">
        <v>776</v>
      </c>
      <c r="F1320" s="92">
        <v>400000</v>
      </c>
      <c r="G1320" s="92">
        <v>400000</v>
      </c>
    </row>
    <row r="1321" spans="1:7">
      <c r="A1321" s="7" t="s">
        <v>2266</v>
      </c>
      <c r="B1321" s="89" t="s">
        <v>195</v>
      </c>
      <c r="C1321" s="90" t="s">
        <v>2267</v>
      </c>
      <c r="D1321" s="89">
        <v>1</v>
      </c>
      <c r="E1321" s="91" t="s">
        <v>25</v>
      </c>
      <c r="F1321" s="92">
        <v>300000</v>
      </c>
      <c r="G1321" s="92">
        <v>300000</v>
      </c>
    </row>
    <row r="1322" spans="1:7" ht="15">
      <c r="A1322" s="7" t="s">
        <v>2268</v>
      </c>
      <c r="B1322" s="101" t="s">
        <v>2269</v>
      </c>
      <c r="C1322" s="102" t="s">
        <v>2270</v>
      </c>
      <c r="D1322" s="101"/>
      <c r="E1322" s="103"/>
      <c r="F1322" s="104"/>
      <c r="G1322" s="104">
        <v>1740934000</v>
      </c>
    </row>
    <row r="1323" spans="1:7">
      <c r="A1323" s="7" t="s">
        <v>2271</v>
      </c>
      <c r="B1323" s="89" t="s">
        <v>2272</v>
      </c>
      <c r="C1323" s="90" t="s">
        <v>2273</v>
      </c>
      <c r="D1323" s="89"/>
      <c r="E1323" s="91"/>
      <c r="F1323" s="92"/>
      <c r="G1323" s="92">
        <v>740934000</v>
      </c>
    </row>
    <row r="1324" spans="1:7" ht="30">
      <c r="A1324" s="7" t="s">
        <v>2274</v>
      </c>
      <c r="B1324" s="93" t="s">
        <v>826</v>
      </c>
      <c r="C1324" s="94" t="s">
        <v>2275</v>
      </c>
      <c r="D1324" s="93"/>
      <c r="E1324" s="95"/>
      <c r="F1324" s="96"/>
      <c r="G1324" s="96">
        <v>0</v>
      </c>
    </row>
    <row r="1325" spans="1:7" ht="30">
      <c r="A1325" s="7" t="s">
        <v>2276</v>
      </c>
      <c r="B1325" s="97" t="s">
        <v>8</v>
      </c>
      <c r="C1325" s="98" t="s">
        <v>2275</v>
      </c>
      <c r="D1325" s="97"/>
      <c r="E1325" s="99"/>
      <c r="F1325" s="100"/>
      <c r="G1325" s="100">
        <v>0</v>
      </c>
    </row>
    <row r="1326" spans="1:7" ht="15">
      <c r="A1326" s="7" t="s">
        <v>2277</v>
      </c>
      <c r="B1326" s="78" t="s">
        <v>528</v>
      </c>
      <c r="C1326" s="79" t="s">
        <v>43</v>
      </c>
      <c r="D1326" s="78"/>
      <c r="E1326" s="80"/>
      <c r="F1326" s="81"/>
      <c r="G1326" s="81">
        <v>0</v>
      </c>
    </row>
    <row r="1327" spans="1:7">
      <c r="A1327" s="7" t="s">
        <v>2278</v>
      </c>
      <c r="B1327" s="89" t="s">
        <v>195</v>
      </c>
      <c r="C1327" s="90" t="s">
        <v>2279</v>
      </c>
      <c r="D1327" s="89">
        <v>1</v>
      </c>
      <c r="E1327" s="91" t="s">
        <v>42</v>
      </c>
      <c r="F1327" s="92">
        <v>700000000</v>
      </c>
      <c r="G1327" s="92">
        <v>0</v>
      </c>
    </row>
    <row r="1328" spans="1:7" ht="30">
      <c r="A1328" s="7" t="s">
        <v>2280</v>
      </c>
      <c r="B1328" s="93" t="s">
        <v>1119</v>
      </c>
      <c r="C1328" s="94" t="s">
        <v>2281</v>
      </c>
      <c r="D1328" s="93"/>
      <c r="E1328" s="95"/>
      <c r="F1328" s="96"/>
      <c r="G1328" s="96">
        <v>200000000</v>
      </c>
    </row>
    <row r="1329" spans="1:7" ht="15">
      <c r="A1329" s="7" t="s">
        <v>2282</v>
      </c>
      <c r="B1329" s="97" t="s">
        <v>8</v>
      </c>
      <c r="C1329" s="98" t="s">
        <v>2283</v>
      </c>
      <c r="D1329" s="97"/>
      <c r="E1329" s="99"/>
      <c r="F1329" s="100"/>
      <c r="G1329" s="100">
        <v>200000000</v>
      </c>
    </row>
    <row r="1330" spans="1:7" ht="15">
      <c r="A1330" s="7" t="s">
        <v>2284</v>
      </c>
      <c r="B1330" s="78" t="s">
        <v>528</v>
      </c>
      <c r="C1330" s="79" t="s">
        <v>43</v>
      </c>
      <c r="D1330" s="78"/>
      <c r="E1330" s="80"/>
      <c r="F1330" s="81"/>
      <c r="G1330" s="81">
        <v>200000000</v>
      </c>
    </row>
    <row r="1331" spans="1:7">
      <c r="A1331" s="7" t="s">
        <v>2285</v>
      </c>
      <c r="B1331" s="89" t="s">
        <v>195</v>
      </c>
      <c r="C1331" s="90" t="s">
        <v>2286</v>
      </c>
      <c r="D1331" s="89">
        <v>1</v>
      </c>
      <c r="E1331" s="91" t="s">
        <v>52</v>
      </c>
      <c r="F1331" s="92">
        <v>100000000</v>
      </c>
      <c r="G1331" s="92">
        <v>100000000</v>
      </c>
    </row>
    <row r="1332" spans="1:7">
      <c r="A1332" s="7" t="s">
        <v>2287</v>
      </c>
      <c r="B1332" s="89" t="s">
        <v>195</v>
      </c>
      <c r="C1332" s="90" t="s">
        <v>2288</v>
      </c>
      <c r="D1332" s="89">
        <v>1</v>
      </c>
      <c r="E1332" s="91" t="s">
        <v>106</v>
      </c>
      <c r="F1332" s="92">
        <v>100000000</v>
      </c>
      <c r="G1332" s="92">
        <v>100000000</v>
      </c>
    </row>
    <row r="1333" spans="1:7" ht="30">
      <c r="A1333" s="7" t="s">
        <v>2289</v>
      </c>
      <c r="B1333" s="93" t="s">
        <v>833</v>
      </c>
      <c r="C1333" s="94" t="s">
        <v>2290</v>
      </c>
      <c r="D1333" s="93"/>
      <c r="E1333" s="95"/>
      <c r="F1333" s="96"/>
      <c r="G1333" s="96">
        <v>540934000</v>
      </c>
    </row>
    <row r="1334" spans="1:7" ht="15">
      <c r="A1334" s="7" t="s">
        <v>2291</v>
      </c>
      <c r="B1334" s="97" t="s">
        <v>8</v>
      </c>
      <c r="C1334" s="98" t="s">
        <v>2292</v>
      </c>
      <c r="D1334" s="97"/>
      <c r="E1334" s="99"/>
      <c r="F1334" s="100"/>
      <c r="G1334" s="100">
        <v>540934000</v>
      </c>
    </row>
    <row r="1335" spans="1:7" ht="15">
      <c r="A1335" s="7" t="s">
        <v>2293</v>
      </c>
      <c r="B1335" s="78" t="s">
        <v>528</v>
      </c>
      <c r="C1335" s="79" t="s">
        <v>43</v>
      </c>
      <c r="D1335" s="78"/>
      <c r="E1335" s="80"/>
      <c r="F1335" s="81"/>
      <c r="G1335" s="81">
        <v>540934000</v>
      </c>
    </row>
    <row r="1336" spans="1:7">
      <c r="A1336" s="7" t="s">
        <v>2294</v>
      </c>
      <c r="B1336" s="89" t="s">
        <v>195</v>
      </c>
      <c r="C1336" s="90" t="s">
        <v>2295</v>
      </c>
      <c r="D1336" s="89">
        <v>1</v>
      </c>
      <c r="E1336" s="91" t="s">
        <v>42</v>
      </c>
      <c r="F1336" s="92">
        <v>540934000</v>
      </c>
      <c r="G1336" s="92">
        <v>540934000</v>
      </c>
    </row>
    <row r="1337" spans="1:7">
      <c r="A1337" s="7" t="s">
        <v>2296</v>
      </c>
      <c r="B1337" s="89" t="s">
        <v>2297</v>
      </c>
      <c r="C1337" s="90" t="s">
        <v>2298</v>
      </c>
      <c r="D1337" s="89"/>
      <c r="E1337" s="91"/>
      <c r="F1337" s="92"/>
      <c r="G1337" s="92">
        <v>1000000000</v>
      </c>
    </row>
    <row r="1338" spans="1:7" ht="30">
      <c r="A1338" s="7" t="s">
        <v>2299</v>
      </c>
      <c r="B1338" s="93" t="s">
        <v>1102</v>
      </c>
      <c r="C1338" s="94" t="s">
        <v>2300</v>
      </c>
      <c r="D1338" s="93"/>
      <c r="E1338" s="95"/>
      <c r="F1338" s="96"/>
      <c r="G1338" s="96">
        <v>1000000000</v>
      </c>
    </row>
    <row r="1339" spans="1:7" ht="30">
      <c r="A1339" s="7" t="s">
        <v>2301</v>
      </c>
      <c r="B1339" s="97" t="s">
        <v>8</v>
      </c>
      <c r="C1339" s="98" t="s">
        <v>2300</v>
      </c>
      <c r="D1339" s="97"/>
      <c r="E1339" s="99"/>
      <c r="F1339" s="100"/>
      <c r="G1339" s="100">
        <v>1000000000</v>
      </c>
    </row>
    <row r="1340" spans="1:7" ht="15">
      <c r="A1340" s="7" t="s">
        <v>2302</v>
      </c>
      <c r="B1340" s="78" t="s">
        <v>529</v>
      </c>
      <c r="C1340" s="79" t="s">
        <v>45</v>
      </c>
      <c r="D1340" s="78"/>
      <c r="E1340" s="80"/>
      <c r="F1340" s="81"/>
      <c r="G1340" s="81">
        <v>1000000000</v>
      </c>
    </row>
    <row r="1341" spans="1:7">
      <c r="A1341" s="7" t="s">
        <v>195</v>
      </c>
      <c r="B1341" s="89" t="s">
        <v>195</v>
      </c>
      <c r="C1341" s="90" t="s">
        <v>2303</v>
      </c>
      <c r="D1341" s="89">
        <v>0</v>
      </c>
      <c r="E1341" s="91" t="s">
        <v>195</v>
      </c>
      <c r="F1341" s="92">
        <v>0</v>
      </c>
      <c r="G1341" s="92">
        <v>0</v>
      </c>
    </row>
    <row r="1342" spans="1:7">
      <c r="A1342" s="7" t="s">
        <v>2304</v>
      </c>
      <c r="B1342" s="89" t="s">
        <v>195</v>
      </c>
      <c r="C1342" s="90" t="s">
        <v>2305</v>
      </c>
      <c r="D1342" s="89">
        <v>2</v>
      </c>
      <c r="E1342" s="91" t="s">
        <v>106</v>
      </c>
      <c r="F1342" s="92">
        <v>100000000</v>
      </c>
      <c r="G1342" s="92">
        <v>200000000</v>
      </c>
    </row>
    <row r="1343" spans="1:7" ht="28.5">
      <c r="A1343" s="7" t="s">
        <v>2306</v>
      </c>
      <c r="B1343" s="89" t="s">
        <v>195</v>
      </c>
      <c r="C1343" s="90" t="s">
        <v>2307</v>
      </c>
      <c r="D1343" s="89">
        <v>2</v>
      </c>
      <c r="E1343" s="91" t="s">
        <v>106</v>
      </c>
      <c r="F1343" s="92">
        <v>200000000</v>
      </c>
      <c r="G1343" s="92">
        <v>400000000</v>
      </c>
    </row>
    <row r="1344" spans="1:7">
      <c r="A1344" s="7" t="s">
        <v>2308</v>
      </c>
      <c r="B1344" s="89" t="s">
        <v>195</v>
      </c>
      <c r="C1344" s="90" t="s">
        <v>2309</v>
      </c>
      <c r="D1344" s="89">
        <v>2</v>
      </c>
      <c r="E1344" s="91" t="s">
        <v>106</v>
      </c>
      <c r="F1344" s="92">
        <v>200000000</v>
      </c>
      <c r="G1344" s="92">
        <v>400000000</v>
      </c>
    </row>
    <row r="1345" spans="1:7" ht="15">
      <c r="A1345" s="7" t="s">
        <v>2310</v>
      </c>
      <c r="B1345" s="101" t="s">
        <v>2311</v>
      </c>
      <c r="C1345" s="102" t="s">
        <v>2312</v>
      </c>
      <c r="D1345" s="101"/>
      <c r="E1345" s="103"/>
      <c r="F1345" s="104"/>
      <c r="G1345" s="104">
        <v>2400000000</v>
      </c>
    </row>
    <row r="1346" spans="1:7">
      <c r="A1346" s="7" t="s">
        <v>2313</v>
      </c>
      <c r="B1346" s="89" t="s">
        <v>2314</v>
      </c>
      <c r="C1346" s="90" t="s">
        <v>2315</v>
      </c>
      <c r="D1346" s="89"/>
      <c r="E1346" s="91"/>
      <c r="F1346" s="92"/>
      <c r="G1346" s="92">
        <v>2400000000</v>
      </c>
    </row>
    <row r="1347" spans="1:7" ht="45">
      <c r="A1347" s="7" t="s">
        <v>2316</v>
      </c>
      <c r="B1347" s="93" t="s">
        <v>826</v>
      </c>
      <c r="C1347" s="94" t="s">
        <v>2317</v>
      </c>
      <c r="D1347" s="93"/>
      <c r="E1347" s="95"/>
      <c r="F1347" s="96"/>
      <c r="G1347" s="96">
        <v>600000000</v>
      </c>
    </row>
    <row r="1348" spans="1:7" ht="45">
      <c r="A1348" s="7" t="s">
        <v>2318</v>
      </c>
      <c r="B1348" s="97" t="s">
        <v>8</v>
      </c>
      <c r="C1348" s="98" t="s">
        <v>2319</v>
      </c>
      <c r="D1348" s="97"/>
      <c r="E1348" s="99"/>
      <c r="F1348" s="100"/>
      <c r="G1348" s="100">
        <v>600000000</v>
      </c>
    </row>
    <row r="1349" spans="1:7" ht="15">
      <c r="A1349" s="7" t="s">
        <v>2320</v>
      </c>
      <c r="B1349" s="78" t="s">
        <v>503</v>
      </c>
      <c r="C1349" s="79" t="s">
        <v>7</v>
      </c>
      <c r="D1349" s="78"/>
      <c r="E1349" s="80"/>
      <c r="F1349" s="81"/>
      <c r="G1349" s="81">
        <v>34200000</v>
      </c>
    </row>
    <row r="1350" spans="1:7" ht="28.5">
      <c r="A1350" s="7" t="s">
        <v>2321</v>
      </c>
      <c r="B1350" s="89" t="s">
        <v>195</v>
      </c>
      <c r="C1350" s="90" t="s">
        <v>2322</v>
      </c>
      <c r="D1350" s="89">
        <v>200</v>
      </c>
      <c r="E1350" s="91" t="s">
        <v>2323</v>
      </c>
      <c r="F1350" s="92">
        <v>121000</v>
      </c>
      <c r="G1350" s="92">
        <v>24200000</v>
      </c>
    </row>
    <row r="1351" spans="1:7">
      <c r="A1351" s="7" t="s">
        <v>2324</v>
      </c>
      <c r="B1351" s="89" t="s">
        <v>195</v>
      </c>
      <c r="C1351" s="90" t="s">
        <v>1620</v>
      </c>
      <c r="D1351" s="89">
        <v>10</v>
      </c>
      <c r="E1351" s="91" t="s">
        <v>106</v>
      </c>
      <c r="F1351" s="92">
        <v>1000000</v>
      </c>
      <c r="G1351" s="92">
        <v>10000000</v>
      </c>
    </row>
    <row r="1352" spans="1:7" ht="15">
      <c r="A1352" s="7" t="s">
        <v>2325</v>
      </c>
      <c r="B1352" s="78" t="s">
        <v>522</v>
      </c>
      <c r="C1352" s="79" t="s">
        <v>30</v>
      </c>
      <c r="D1352" s="78"/>
      <c r="E1352" s="80"/>
      <c r="F1352" s="81"/>
      <c r="G1352" s="81">
        <v>3000000</v>
      </c>
    </row>
    <row r="1353" spans="1:7">
      <c r="A1353" s="7" t="s">
        <v>2326</v>
      </c>
      <c r="B1353" s="89" t="s">
        <v>195</v>
      </c>
      <c r="C1353" s="90" t="s">
        <v>2327</v>
      </c>
      <c r="D1353" s="89">
        <v>5</v>
      </c>
      <c r="E1353" s="91" t="s">
        <v>25</v>
      </c>
      <c r="F1353" s="92">
        <v>300000</v>
      </c>
      <c r="G1353" s="92">
        <v>1500000</v>
      </c>
    </row>
    <row r="1354" spans="1:7">
      <c r="A1354" s="7" t="s">
        <v>2328</v>
      </c>
      <c r="B1354" s="89" t="s">
        <v>195</v>
      </c>
      <c r="C1354" s="90" t="s">
        <v>2329</v>
      </c>
      <c r="D1354" s="89">
        <v>5</v>
      </c>
      <c r="E1354" s="91" t="s">
        <v>25</v>
      </c>
      <c r="F1354" s="92">
        <v>300000</v>
      </c>
      <c r="G1354" s="92">
        <v>1500000</v>
      </c>
    </row>
    <row r="1355" spans="1:7" ht="15">
      <c r="A1355" s="7" t="s">
        <v>2330</v>
      </c>
      <c r="B1355" s="78" t="s">
        <v>537</v>
      </c>
      <c r="C1355" s="79" t="s">
        <v>64</v>
      </c>
      <c r="D1355" s="78"/>
      <c r="E1355" s="80"/>
      <c r="F1355" s="81"/>
      <c r="G1355" s="81">
        <v>20000000</v>
      </c>
    </row>
    <row r="1356" spans="1:7">
      <c r="A1356" s="7" t="s">
        <v>2331</v>
      </c>
      <c r="B1356" s="89" t="s">
        <v>195</v>
      </c>
      <c r="C1356" s="90" t="s">
        <v>620</v>
      </c>
      <c r="D1356" s="89">
        <v>10</v>
      </c>
      <c r="E1356" s="91" t="s">
        <v>106</v>
      </c>
      <c r="F1356" s="92">
        <v>1000000</v>
      </c>
      <c r="G1356" s="92">
        <v>10000000</v>
      </c>
    </row>
    <row r="1357" spans="1:7">
      <c r="A1357" s="7" t="s">
        <v>2332</v>
      </c>
      <c r="B1357" s="89" t="s">
        <v>195</v>
      </c>
      <c r="C1357" s="90" t="s">
        <v>619</v>
      </c>
      <c r="D1357" s="89">
        <v>10</v>
      </c>
      <c r="E1357" s="91" t="s">
        <v>106</v>
      </c>
      <c r="F1357" s="92">
        <v>1000000</v>
      </c>
      <c r="G1357" s="92">
        <v>10000000</v>
      </c>
    </row>
    <row r="1358" spans="1:7" ht="15">
      <c r="A1358" s="7" t="s">
        <v>2333</v>
      </c>
      <c r="B1358" s="78" t="s">
        <v>516</v>
      </c>
      <c r="C1358" s="79" t="s">
        <v>11</v>
      </c>
      <c r="D1358" s="78"/>
      <c r="E1358" s="80"/>
      <c r="F1358" s="81"/>
      <c r="G1358" s="81">
        <v>42000000</v>
      </c>
    </row>
    <row r="1359" spans="1:7">
      <c r="A1359" s="7" t="s">
        <v>2334</v>
      </c>
      <c r="B1359" s="89" t="s">
        <v>195</v>
      </c>
      <c r="C1359" s="90" t="s">
        <v>2335</v>
      </c>
      <c r="D1359" s="89">
        <v>24</v>
      </c>
      <c r="E1359" s="91" t="s">
        <v>54</v>
      </c>
      <c r="F1359" s="92">
        <v>1000000</v>
      </c>
      <c r="G1359" s="92">
        <v>24000000</v>
      </c>
    </row>
    <row r="1360" spans="1:7">
      <c r="A1360" s="7" t="s">
        <v>2336</v>
      </c>
      <c r="B1360" s="89" t="s">
        <v>195</v>
      </c>
      <c r="C1360" s="90" t="s">
        <v>2337</v>
      </c>
      <c r="D1360" s="89">
        <v>20</v>
      </c>
      <c r="E1360" s="91" t="s">
        <v>54</v>
      </c>
      <c r="F1360" s="92">
        <v>900000</v>
      </c>
      <c r="G1360" s="92">
        <v>18000000</v>
      </c>
    </row>
    <row r="1361" spans="1:7" ht="15">
      <c r="A1361" s="7" t="s">
        <v>2338</v>
      </c>
      <c r="B1361" s="78" t="s">
        <v>517</v>
      </c>
      <c r="C1361" s="79" t="s">
        <v>22</v>
      </c>
      <c r="D1361" s="78"/>
      <c r="E1361" s="80"/>
      <c r="F1361" s="81"/>
      <c r="G1361" s="81">
        <v>80000000</v>
      </c>
    </row>
    <row r="1362" spans="1:7">
      <c r="A1362" s="7" t="s">
        <v>2339</v>
      </c>
      <c r="B1362" s="89" t="s">
        <v>195</v>
      </c>
      <c r="C1362" s="90" t="s">
        <v>2340</v>
      </c>
      <c r="D1362" s="89">
        <v>10</v>
      </c>
      <c r="E1362" s="91" t="s">
        <v>25</v>
      </c>
      <c r="F1362" s="92">
        <v>4000000</v>
      </c>
      <c r="G1362" s="92">
        <v>40000000</v>
      </c>
    </row>
    <row r="1363" spans="1:7">
      <c r="A1363" s="7" t="s">
        <v>2341</v>
      </c>
      <c r="B1363" s="89" t="s">
        <v>195</v>
      </c>
      <c r="C1363" s="90" t="s">
        <v>2342</v>
      </c>
      <c r="D1363" s="89">
        <v>10</v>
      </c>
      <c r="E1363" s="91" t="s">
        <v>25</v>
      </c>
      <c r="F1363" s="92">
        <v>4000000</v>
      </c>
      <c r="G1363" s="92">
        <v>40000000</v>
      </c>
    </row>
    <row r="1364" spans="1:7" ht="15">
      <c r="A1364" s="7" t="s">
        <v>2343</v>
      </c>
      <c r="B1364" s="78" t="s">
        <v>513</v>
      </c>
      <c r="C1364" s="79" t="s">
        <v>19</v>
      </c>
      <c r="D1364" s="78"/>
      <c r="E1364" s="80"/>
      <c r="F1364" s="81"/>
      <c r="G1364" s="81">
        <v>410000000</v>
      </c>
    </row>
    <row r="1365" spans="1:7">
      <c r="A1365" s="7" t="s">
        <v>2344</v>
      </c>
      <c r="B1365" s="89" t="s">
        <v>195</v>
      </c>
      <c r="C1365" s="90" t="s">
        <v>2345</v>
      </c>
      <c r="D1365" s="89">
        <v>10</v>
      </c>
      <c r="E1365" s="91" t="s">
        <v>25</v>
      </c>
      <c r="F1365" s="92">
        <v>3000000</v>
      </c>
      <c r="G1365" s="92">
        <v>30000000</v>
      </c>
    </row>
    <row r="1366" spans="1:7">
      <c r="A1366" s="7" t="s">
        <v>2346</v>
      </c>
      <c r="B1366" s="89" t="s">
        <v>195</v>
      </c>
      <c r="C1366" s="90" t="s">
        <v>2347</v>
      </c>
      <c r="D1366" s="89">
        <v>10</v>
      </c>
      <c r="E1366" s="91" t="s">
        <v>25</v>
      </c>
      <c r="F1366" s="92">
        <v>5000000</v>
      </c>
      <c r="G1366" s="92">
        <v>50000000</v>
      </c>
    </row>
    <row r="1367" spans="1:7">
      <c r="A1367" s="7" t="s">
        <v>2348</v>
      </c>
      <c r="B1367" s="89" t="s">
        <v>195</v>
      </c>
      <c r="C1367" s="90" t="s">
        <v>2349</v>
      </c>
      <c r="D1367" s="89">
        <v>10</v>
      </c>
      <c r="E1367" s="91" t="s">
        <v>25</v>
      </c>
      <c r="F1367" s="92">
        <v>3000000</v>
      </c>
      <c r="G1367" s="92">
        <v>30000000</v>
      </c>
    </row>
    <row r="1368" spans="1:7" ht="28.5">
      <c r="A1368" s="7" t="s">
        <v>2350</v>
      </c>
      <c r="B1368" s="89" t="s">
        <v>195</v>
      </c>
      <c r="C1368" s="90" t="s">
        <v>2351</v>
      </c>
      <c r="D1368" s="89">
        <v>10</v>
      </c>
      <c r="E1368" s="91" t="s">
        <v>25</v>
      </c>
      <c r="F1368" s="92">
        <v>5000000</v>
      </c>
      <c r="G1368" s="92">
        <v>50000000</v>
      </c>
    </row>
    <row r="1369" spans="1:7">
      <c r="A1369" s="7" t="s">
        <v>2352</v>
      </c>
      <c r="B1369" s="89" t="s">
        <v>195</v>
      </c>
      <c r="C1369" s="90" t="s">
        <v>2353</v>
      </c>
      <c r="D1369" s="89">
        <v>5</v>
      </c>
      <c r="E1369" s="91" t="s">
        <v>25</v>
      </c>
      <c r="F1369" s="92">
        <v>5000000</v>
      </c>
      <c r="G1369" s="92">
        <v>25000000</v>
      </c>
    </row>
    <row r="1370" spans="1:7">
      <c r="A1370" s="7" t="s">
        <v>2354</v>
      </c>
      <c r="B1370" s="89" t="s">
        <v>195</v>
      </c>
      <c r="C1370" s="90" t="s">
        <v>2355</v>
      </c>
      <c r="D1370" s="89">
        <v>20</v>
      </c>
      <c r="E1370" s="91" t="s">
        <v>25</v>
      </c>
      <c r="F1370" s="92">
        <v>5000000</v>
      </c>
      <c r="G1370" s="92">
        <v>100000000</v>
      </c>
    </row>
    <row r="1371" spans="1:7">
      <c r="A1371" s="7" t="s">
        <v>2356</v>
      </c>
      <c r="B1371" s="89" t="s">
        <v>195</v>
      </c>
      <c r="C1371" s="90" t="s">
        <v>2357</v>
      </c>
      <c r="D1371" s="89">
        <v>5</v>
      </c>
      <c r="E1371" s="91" t="s">
        <v>25</v>
      </c>
      <c r="F1371" s="92">
        <v>5000000</v>
      </c>
      <c r="G1371" s="92">
        <v>25000000</v>
      </c>
    </row>
    <row r="1372" spans="1:7" ht="28.5">
      <c r="A1372" s="7" t="s">
        <v>2358</v>
      </c>
      <c r="B1372" s="89" t="s">
        <v>195</v>
      </c>
      <c r="C1372" s="90" t="s">
        <v>2359</v>
      </c>
      <c r="D1372" s="89">
        <v>5</v>
      </c>
      <c r="E1372" s="91" t="s">
        <v>25</v>
      </c>
      <c r="F1372" s="92">
        <v>5000000</v>
      </c>
      <c r="G1372" s="92">
        <v>25000000</v>
      </c>
    </row>
    <row r="1373" spans="1:7">
      <c r="A1373" s="7" t="s">
        <v>2360</v>
      </c>
      <c r="B1373" s="89" t="s">
        <v>195</v>
      </c>
      <c r="C1373" s="90" t="s">
        <v>2361</v>
      </c>
      <c r="D1373" s="89">
        <v>5</v>
      </c>
      <c r="E1373" s="91" t="s">
        <v>25</v>
      </c>
      <c r="F1373" s="92">
        <v>5000000</v>
      </c>
      <c r="G1373" s="92">
        <v>25000000</v>
      </c>
    </row>
    <row r="1374" spans="1:7">
      <c r="A1374" s="7" t="s">
        <v>2362</v>
      </c>
      <c r="B1374" s="89" t="s">
        <v>195</v>
      </c>
      <c r="C1374" s="90" t="s">
        <v>2363</v>
      </c>
      <c r="D1374" s="89">
        <v>10</v>
      </c>
      <c r="E1374" s="91" t="s">
        <v>25</v>
      </c>
      <c r="F1374" s="92">
        <v>5000000</v>
      </c>
      <c r="G1374" s="92">
        <v>50000000</v>
      </c>
    </row>
    <row r="1375" spans="1:7" ht="30">
      <c r="A1375" s="7" t="s">
        <v>2364</v>
      </c>
      <c r="B1375" s="78" t="s">
        <v>509</v>
      </c>
      <c r="C1375" s="79" t="s">
        <v>14</v>
      </c>
      <c r="D1375" s="78"/>
      <c r="E1375" s="80"/>
      <c r="F1375" s="81"/>
      <c r="G1375" s="81">
        <v>10800000</v>
      </c>
    </row>
    <row r="1376" spans="1:7" ht="28.5">
      <c r="A1376" s="7" t="s">
        <v>2365</v>
      </c>
      <c r="B1376" s="89" t="s">
        <v>195</v>
      </c>
      <c r="C1376" s="90" t="s">
        <v>2366</v>
      </c>
      <c r="D1376" s="89">
        <v>30</v>
      </c>
      <c r="E1376" s="91" t="s">
        <v>25</v>
      </c>
      <c r="F1376" s="92">
        <v>210000</v>
      </c>
      <c r="G1376" s="92">
        <v>6300000</v>
      </c>
    </row>
    <row r="1377" spans="1:7">
      <c r="A1377" s="7" t="s">
        <v>2367</v>
      </c>
      <c r="B1377" s="89" t="s">
        <v>195</v>
      </c>
      <c r="C1377" s="90" t="s">
        <v>630</v>
      </c>
      <c r="D1377" s="89">
        <v>30</v>
      </c>
      <c r="E1377" s="91" t="s">
        <v>25</v>
      </c>
      <c r="F1377" s="92">
        <v>150000</v>
      </c>
      <c r="G1377" s="92">
        <v>4500000</v>
      </c>
    </row>
    <row r="1378" spans="1:7" ht="30">
      <c r="A1378" s="7" t="s">
        <v>2368</v>
      </c>
      <c r="B1378" s="93" t="s">
        <v>1102</v>
      </c>
      <c r="C1378" s="94" t="s">
        <v>2369</v>
      </c>
      <c r="D1378" s="93"/>
      <c r="E1378" s="95"/>
      <c r="F1378" s="96"/>
      <c r="G1378" s="96">
        <v>1200000000</v>
      </c>
    </row>
    <row r="1379" spans="1:7" ht="30">
      <c r="A1379" s="7" t="s">
        <v>2370</v>
      </c>
      <c r="B1379" s="97" t="s">
        <v>8</v>
      </c>
      <c r="C1379" s="98" t="s">
        <v>156</v>
      </c>
      <c r="D1379" s="97"/>
      <c r="E1379" s="99"/>
      <c r="F1379" s="100"/>
      <c r="G1379" s="100">
        <v>1116000000</v>
      </c>
    </row>
    <row r="1380" spans="1:7" ht="15">
      <c r="A1380" s="7" t="s">
        <v>2371</v>
      </c>
      <c r="B1380" s="78" t="s">
        <v>503</v>
      </c>
      <c r="C1380" s="79" t="s">
        <v>7</v>
      </c>
      <c r="D1380" s="78"/>
      <c r="E1380" s="80"/>
      <c r="F1380" s="81"/>
      <c r="G1380" s="81">
        <v>48000000</v>
      </c>
    </row>
    <row r="1381" spans="1:7">
      <c r="A1381" s="7" t="s">
        <v>2372</v>
      </c>
      <c r="B1381" s="89" t="s">
        <v>195</v>
      </c>
      <c r="C1381" s="90" t="s">
        <v>2373</v>
      </c>
      <c r="D1381" s="89">
        <v>20</v>
      </c>
      <c r="E1381" s="91" t="s">
        <v>106</v>
      </c>
      <c r="F1381" s="92">
        <v>1000000</v>
      </c>
      <c r="G1381" s="92">
        <v>20000000</v>
      </c>
    </row>
    <row r="1382" spans="1:7">
      <c r="A1382" s="7" t="s">
        <v>2374</v>
      </c>
      <c r="B1382" s="89" t="s">
        <v>195</v>
      </c>
      <c r="C1382" s="90" t="s">
        <v>2375</v>
      </c>
      <c r="D1382" s="89">
        <v>100</v>
      </c>
      <c r="E1382" s="91" t="s">
        <v>2323</v>
      </c>
      <c r="F1382" s="92">
        <v>240000</v>
      </c>
      <c r="G1382" s="92">
        <v>24000000</v>
      </c>
    </row>
    <row r="1383" spans="1:7">
      <c r="A1383" s="7" t="s">
        <v>2376</v>
      </c>
      <c r="B1383" s="89" t="s">
        <v>195</v>
      </c>
      <c r="C1383" s="90" t="s">
        <v>2377</v>
      </c>
      <c r="D1383" s="89">
        <v>4</v>
      </c>
      <c r="E1383" s="91" t="s">
        <v>106</v>
      </c>
      <c r="F1383" s="92">
        <v>1000000</v>
      </c>
      <c r="G1383" s="92">
        <v>4000000</v>
      </c>
    </row>
    <row r="1384" spans="1:7" ht="30">
      <c r="A1384" s="7" t="s">
        <v>2378</v>
      </c>
      <c r="B1384" s="78" t="s">
        <v>515</v>
      </c>
      <c r="C1384" s="79" t="s">
        <v>642</v>
      </c>
      <c r="D1384" s="78"/>
      <c r="E1384" s="80"/>
      <c r="F1384" s="81"/>
      <c r="G1384" s="81">
        <v>18000000</v>
      </c>
    </row>
    <row r="1385" spans="1:7" ht="28.5">
      <c r="A1385" s="7" t="s">
        <v>2379</v>
      </c>
      <c r="B1385" s="89" t="s">
        <v>195</v>
      </c>
      <c r="C1385" s="90" t="s">
        <v>2380</v>
      </c>
      <c r="D1385" s="89">
        <v>12</v>
      </c>
      <c r="E1385" s="91" t="s">
        <v>106</v>
      </c>
      <c r="F1385" s="92">
        <v>300000</v>
      </c>
      <c r="G1385" s="92">
        <v>3600000</v>
      </c>
    </row>
    <row r="1386" spans="1:7" ht="28.5">
      <c r="A1386" s="7" t="s">
        <v>2381</v>
      </c>
      <c r="B1386" s="89" t="s">
        <v>195</v>
      </c>
      <c r="C1386" s="90" t="s">
        <v>2382</v>
      </c>
      <c r="D1386" s="89">
        <v>72</v>
      </c>
      <c r="E1386" s="91" t="s">
        <v>25</v>
      </c>
      <c r="F1386" s="92">
        <v>200000</v>
      </c>
      <c r="G1386" s="92">
        <v>14400000</v>
      </c>
    </row>
    <row r="1387" spans="1:7" ht="15">
      <c r="A1387" s="7" t="s">
        <v>2383</v>
      </c>
      <c r="B1387" s="78" t="s">
        <v>537</v>
      </c>
      <c r="C1387" s="79" t="s">
        <v>64</v>
      </c>
      <c r="D1387" s="78"/>
      <c r="E1387" s="80"/>
      <c r="F1387" s="81"/>
      <c r="G1387" s="81">
        <v>40000000</v>
      </c>
    </row>
    <row r="1388" spans="1:7">
      <c r="A1388" s="7" t="s">
        <v>2384</v>
      </c>
      <c r="B1388" s="89" t="s">
        <v>195</v>
      </c>
      <c r="C1388" s="90" t="s">
        <v>619</v>
      </c>
      <c r="D1388" s="89">
        <v>20</v>
      </c>
      <c r="E1388" s="91" t="s">
        <v>106</v>
      </c>
      <c r="F1388" s="92">
        <v>1000000</v>
      </c>
      <c r="G1388" s="92">
        <v>20000000</v>
      </c>
    </row>
    <row r="1389" spans="1:7">
      <c r="A1389" s="7" t="s">
        <v>2385</v>
      </c>
      <c r="B1389" s="89" t="s">
        <v>195</v>
      </c>
      <c r="C1389" s="90" t="s">
        <v>2386</v>
      </c>
      <c r="D1389" s="89">
        <v>20</v>
      </c>
      <c r="E1389" s="91" t="s">
        <v>106</v>
      </c>
      <c r="F1389" s="92">
        <v>1000000</v>
      </c>
      <c r="G1389" s="92">
        <v>20000000</v>
      </c>
    </row>
    <row r="1390" spans="1:7" ht="15">
      <c r="A1390" s="7" t="s">
        <v>2387</v>
      </c>
      <c r="B1390" s="78" t="s">
        <v>516</v>
      </c>
      <c r="C1390" s="79" t="s">
        <v>11</v>
      </c>
      <c r="D1390" s="78"/>
      <c r="E1390" s="80"/>
      <c r="F1390" s="81"/>
      <c r="G1390" s="81">
        <v>18000000</v>
      </c>
    </row>
    <row r="1391" spans="1:7">
      <c r="A1391" s="7" t="s">
        <v>195</v>
      </c>
      <c r="B1391" s="89" t="s">
        <v>195</v>
      </c>
      <c r="C1391" s="90" t="s">
        <v>2388</v>
      </c>
      <c r="D1391" s="89">
        <v>0</v>
      </c>
      <c r="E1391" s="91" t="s">
        <v>195</v>
      </c>
      <c r="F1391" s="92">
        <v>0</v>
      </c>
      <c r="G1391" s="92">
        <v>0</v>
      </c>
    </row>
    <row r="1392" spans="1:7">
      <c r="A1392" s="7" t="s">
        <v>2389</v>
      </c>
      <c r="B1392" s="89" t="s">
        <v>195</v>
      </c>
      <c r="C1392" s="90" t="s">
        <v>2390</v>
      </c>
      <c r="D1392" s="89">
        <v>20</v>
      </c>
      <c r="E1392" s="91" t="s">
        <v>54</v>
      </c>
      <c r="F1392" s="92">
        <v>900000</v>
      </c>
      <c r="G1392" s="92">
        <v>18000000</v>
      </c>
    </row>
    <row r="1393" spans="1:7" ht="15">
      <c r="A1393" s="7" t="s">
        <v>2391</v>
      </c>
      <c r="B1393" s="78" t="s">
        <v>518</v>
      </c>
      <c r="C1393" s="79" t="s">
        <v>24</v>
      </c>
      <c r="D1393" s="78"/>
      <c r="E1393" s="80"/>
      <c r="F1393" s="81"/>
      <c r="G1393" s="81">
        <v>24000000</v>
      </c>
    </row>
    <row r="1394" spans="1:7" ht="28.5">
      <c r="A1394" s="7" t="s">
        <v>2392</v>
      </c>
      <c r="B1394" s="89" t="s">
        <v>195</v>
      </c>
      <c r="C1394" s="90" t="s">
        <v>2393</v>
      </c>
      <c r="D1394" s="89">
        <v>96</v>
      </c>
      <c r="E1394" s="91" t="s">
        <v>25</v>
      </c>
      <c r="F1394" s="92">
        <v>250000</v>
      </c>
      <c r="G1394" s="92">
        <v>24000000</v>
      </c>
    </row>
    <row r="1395" spans="1:7" ht="15">
      <c r="A1395" s="7" t="s">
        <v>2394</v>
      </c>
      <c r="B1395" s="78" t="s">
        <v>513</v>
      </c>
      <c r="C1395" s="79" t="s">
        <v>19</v>
      </c>
      <c r="D1395" s="78"/>
      <c r="E1395" s="80"/>
      <c r="F1395" s="81"/>
      <c r="G1395" s="81">
        <v>957200000</v>
      </c>
    </row>
    <row r="1396" spans="1:7">
      <c r="A1396" s="7" t="s">
        <v>195</v>
      </c>
      <c r="B1396" s="89" t="s">
        <v>195</v>
      </c>
      <c r="C1396" s="90" t="s">
        <v>2395</v>
      </c>
      <c r="D1396" s="89">
        <v>0</v>
      </c>
      <c r="E1396" s="91" t="s">
        <v>195</v>
      </c>
      <c r="F1396" s="92">
        <v>0</v>
      </c>
      <c r="G1396" s="92">
        <v>0</v>
      </c>
    </row>
    <row r="1397" spans="1:7">
      <c r="A1397" s="7" t="s">
        <v>2396</v>
      </c>
      <c r="B1397" s="89" t="s">
        <v>195</v>
      </c>
      <c r="C1397" s="90" t="s">
        <v>2397</v>
      </c>
      <c r="D1397" s="89">
        <v>10</v>
      </c>
      <c r="E1397" s="91" t="s">
        <v>25</v>
      </c>
      <c r="F1397" s="92">
        <v>5000000</v>
      </c>
      <c r="G1397" s="92">
        <v>50000000</v>
      </c>
    </row>
    <row r="1398" spans="1:7">
      <c r="A1398" s="7" t="s">
        <v>195</v>
      </c>
      <c r="B1398" s="89" t="s">
        <v>195</v>
      </c>
      <c r="C1398" s="90" t="s">
        <v>2388</v>
      </c>
      <c r="D1398" s="89">
        <v>0</v>
      </c>
      <c r="E1398" s="91" t="s">
        <v>195</v>
      </c>
      <c r="F1398" s="92">
        <v>0</v>
      </c>
      <c r="G1398" s="92">
        <v>0</v>
      </c>
    </row>
    <row r="1399" spans="1:7" ht="28.5">
      <c r="A1399" s="7" t="s">
        <v>2398</v>
      </c>
      <c r="B1399" s="89" t="s">
        <v>195</v>
      </c>
      <c r="C1399" s="90" t="s">
        <v>2399</v>
      </c>
      <c r="D1399" s="89">
        <v>224</v>
      </c>
      <c r="E1399" s="91" t="s">
        <v>25</v>
      </c>
      <c r="F1399" s="92">
        <v>4050000</v>
      </c>
      <c r="G1399" s="92">
        <v>907200000</v>
      </c>
    </row>
    <row r="1400" spans="1:7" ht="30">
      <c r="A1400" s="7" t="s">
        <v>2400</v>
      </c>
      <c r="B1400" s="78" t="s">
        <v>509</v>
      </c>
      <c r="C1400" s="79" t="s">
        <v>14</v>
      </c>
      <c r="D1400" s="78"/>
      <c r="E1400" s="80"/>
      <c r="F1400" s="81"/>
      <c r="G1400" s="81">
        <v>10800000</v>
      </c>
    </row>
    <row r="1401" spans="1:7">
      <c r="A1401" s="7" t="s">
        <v>195</v>
      </c>
      <c r="B1401" s="89" t="s">
        <v>195</v>
      </c>
      <c r="C1401" s="90" t="s">
        <v>2388</v>
      </c>
      <c r="D1401" s="89">
        <v>0</v>
      </c>
      <c r="E1401" s="91" t="s">
        <v>195</v>
      </c>
      <c r="F1401" s="92">
        <v>0</v>
      </c>
      <c r="G1401" s="92">
        <v>0</v>
      </c>
    </row>
    <row r="1402" spans="1:7">
      <c r="A1402" s="7" t="s">
        <v>2401</v>
      </c>
      <c r="B1402" s="89" t="s">
        <v>195</v>
      </c>
      <c r="C1402" s="90" t="s">
        <v>2402</v>
      </c>
      <c r="D1402" s="89">
        <v>30</v>
      </c>
      <c r="E1402" s="91" t="s">
        <v>73</v>
      </c>
      <c r="F1402" s="92">
        <v>210000</v>
      </c>
      <c r="G1402" s="92">
        <v>6300000</v>
      </c>
    </row>
    <row r="1403" spans="1:7">
      <c r="A1403" s="7" t="s">
        <v>2403</v>
      </c>
      <c r="B1403" s="89" t="s">
        <v>195</v>
      </c>
      <c r="C1403" s="90" t="s">
        <v>622</v>
      </c>
      <c r="D1403" s="89">
        <v>30</v>
      </c>
      <c r="E1403" s="91" t="s">
        <v>73</v>
      </c>
      <c r="F1403" s="92">
        <v>150000</v>
      </c>
      <c r="G1403" s="92">
        <v>4500000</v>
      </c>
    </row>
    <row r="1404" spans="1:7" ht="30">
      <c r="A1404" s="7" t="s">
        <v>2404</v>
      </c>
      <c r="B1404" s="97" t="s">
        <v>511</v>
      </c>
      <c r="C1404" s="98" t="s">
        <v>157</v>
      </c>
      <c r="D1404" s="97"/>
      <c r="E1404" s="99"/>
      <c r="F1404" s="100"/>
      <c r="G1404" s="100">
        <v>84000000</v>
      </c>
    </row>
    <row r="1405" spans="1:7" ht="15">
      <c r="A1405" s="7" t="s">
        <v>2405</v>
      </c>
      <c r="B1405" s="78" t="s">
        <v>503</v>
      </c>
      <c r="C1405" s="79" t="s">
        <v>7</v>
      </c>
      <c r="D1405" s="78"/>
      <c r="E1405" s="80"/>
      <c r="F1405" s="81"/>
      <c r="G1405" s="81">
        <v>8000000</v>
      </c>
    </row>
    <row r="1406" spans="1:7">
      <c r="A1406" s="7" t="s">
        <v>2406</v>
      </c>
      <c r="B1406" s="89" t="s">
        <v>195</v>
      </c>
      <c r="C1406" s="90" t="s">
        <v>1620</v>
      </c>
      <c r="D1406" s="89">
        <v>4</v>
      </c>
      <c r="E1406" s="91" t="s">
        <v>106</v>
      </c>
      <c r="F1406" s="92">
        <v>1000000</v>
      </c>
      <c r="G1406" s="92">
        <v>4000000</v>
      </c>
    </row>
    <row r="1407" spans="1:7">
      <c r="A1407" s="7" t="s">
        <v>2407</v>
      </c>
      <c r="B1407" s="89" t="s">
        <v>195</v>
      </c>
      <c r="C1407" s="90" t="s">
        <v>2408</v>
      </c>
      <c r="D1407" s="89">
        <v>4</v>
      </c>
      <c r="E1407" s="91" t="s">
        <v>106</v>
      </c>
      <c r="F1407" s="92">
        <v>1000000</v>
      </c>
      <c r="G1407" s="92">
        <v>4000000</v>
      </c>
    </row>
    <row r="1408" spans="1:7" ht="15">
      <c r="A1408" s="7" t="s">
        <v>2409</v>
      </c>
      <c r="B1408" s="78" t="s">
        <v>537</v>
      </c>
      <c r="C1408" s="79" t="s">
        <v>64</v>
      </c>
      <c r="D1408" s="78"/>
      <c r="E1408" s="80"/>
      <c r="F1408" s="81"/>
      <c r="G1408" s="81">
        <v>16000000</v>
      </c>
    </row>
    <row r="1409" spans="1:7">
      <c r="A1409" s="7" t="s">
        <v>2410</v>
      </c>
      <c r="B1409" s="89" t="s">
        <v>195</v>
      </c>
      <c r="C1409" s="90" t="s">
        <v>619</v>
      </c>
      <c r="D1409" s="89">
        <v>8</v>
      </c>
      <c r="E1409" s="91" t="s">
        <v>106</v>
      </c>
      <c r="F1409" s="92">
        <v>1000000</v>
      </c>
      <c r="G1409" s="92">
        <v>8000000</v>
      </c>
    </row>
    <row r="1410" spans="1:7">
      <c r="A1410" s="7" t="s">
        <v>2411</v>
      </c>
      <c r="B1410" s="89" t="s">
        <v>195</v>
      </c>
      <c r="C1410" s="90" t="s">
        <v>1197</v>
      </c>
      <c r="D1410" s="89">
        <v>8</v>
      </c>
      <c r="E1410" s="91" t="s">
        <v>106</v>
      </c>
      <c r="F1410" s="92">
        <v>1000000</v>
      </c>
      <c r="G1410" s="92">
        <v>8000000</v>
      </c>
    </row>
    <row r="1411" spans="1:7" ht="15">
      <c r="A1411" s="7" t="s">
        <v>2412</v>
      </c>
      <c r="B1411" s="78" t="s">
        <v>513</v>
      </c>
      <c r="C1411" s="79" t="s">
        <v>19</v>
      </c>
      <c r="D1411" s="78"/>
      <c r="E1411" s="80"/>
      <c r="F1411" s="81"/>
      <c r="G1411" s="81">
        <v>60000000</v>
      </c>
    </row>
    <row r="1412" spans="1:7" ht="28.5">
      <c r="A1412" s="7" t="s">
        <v>2413</v>
      </c>
      <c r="B1412" s="89" t="s">
        <v>195</v>
      </c>
      <c r="C1412" s="90" t="s">
        <v>2414</v>
      </c>
      <c r="D1412" s="89">
        <v>12</v>
      </c>
      <c r="E1412" s="91" t="s">
        <v>25</v>
      </c>
      <c r="F1412" s="92">
        <v>5000000</v>
      </c>
      <c r="G1412" s="92">
        <v>60000000</v>
      </c>
    </row>
    <row r="1413" spans="1:7" ht="30">
      <c r="A1413" s="7" t="s">
        <v>2415</v>
      </c>
      <c r="B1413" s="93" t="s">
        <v>1119</v>
      </c>
      <c r="C1413" s="94" t="s">
        <v>2416</v>
      </c>
      <c r="D1413" s="93"/>
      <c r="E1413" s="95"/>
      <c r="F1413" s="96"/>
      <c r="G1413" s="96">
        <v>600000000</v>
      </c>
    </row>
    <row r="1414" spans="1:7" ht="15">
      <c r="A1414" s="7" t="s">
        <v>2417</v>
      </c>
      <c r="B1414" s="97" t="s">
        <v>8</v>
      </c>
      <c r="C1414" s="98" t="s">
        <v>2418</v>
      </c>
      <c r="D1414" s="97"/>
      <c r="E1414" s="99"/>
      <c r="F1414" s="100"/>
      <c r="G1414" s="100">
        <v>284000000</v>
      </c>
    </row>
    <row r="1415" spans="1:7" ht="15">
      <c r="A1415" s="7" t="s">
        <v>2419</v>
      </c>
      <c r="B1415" s="78" t="s">
        <v>503</v>
      </c>
      <c r="C1415" s="79" t="s">
        <v>7</v>
      </c>
      <c r="D1415" s="78"/>
      <c r="E1415" s="80"/>
      <c r="F1415" s="81"/>
      <c r="G1415" s="81">
        <v>10000000</v>
      </c>
    </row>
    <row r="1416" spans="1:7">
      <c r="A1416" s="7" t="s">
        <v>2420</v>
      </c>
      <c r="B1416" s="89" t="s">
        <v>195</v>
      </c>
      <c r="C1416" s="90" t="s">
        <v>2421</v>
      </c>
      <c r="D1416" s="89">
        <v>10</v>
      </c>
      <c r="E1416" s="91" t="s">
        <v>106</v>
      </c>
      <c r="F1416" s="92">
        <v>1000000</v>
      </c>
      <c r="G1416" s="92">
        <v>10000000</v>
      </c>
    </row>
    <row r="1417" spans="1:7" ht="15">
      <c r="A1417" s="7" t="s">
        <v>2422</v>
      </c>
      <c r="B1417" s="78" t="s">
        <v>537</v>
      </c>
      <c r="C1417" s="79" t="s">
        <v>64</v>
      </c>
      <c r="D1417" s="78"/>
      <c r="E1417" s="80"/>
      <c r="F1417" s="81"/>
      <c r="G1417" s="81">
        <v>20000000</v>
      </c>
    </row>
    <row r="1418" spans="1:7">
      <c r="A1418" s="7" t="s">
        <v>2423</v>
      </c>
      <c r="B1418" s="89" t="s">
        <v>195</v>
      </c>
      <c r="C1418" s="90" t="s">
        <v>619</v>
      </c>
      <c r="D1418" s="89">
        <v>10</v>
      </c>
      <c r="E1418" s="91" t="s">
        <v>106</v>
      </c>
      <c r="F1418" s="92">
        <v>1000000</v>
      </c>
      <c r="G1418" s="92">
        <v>10000000</v>
      </c>
    </row>
    <row r="1419" spans="1:7">
      <c r="A1419" s="7" t="s">
        <v>2424</v>
      </c>
      <c r="B1419" s="89" t="s">
        <v>195</v>
      </c>
      <c r="C1419" s="90" t="s">
        <v>620</v>
      </c>
      <c r="D1419" s="89">
        <v>10</v>
      </c>
      <c r="E1419" s="91" t="s">
        <v>106</v>
      </c>
      <c r="F1419" s="92">
        <v>1000000</v>
      </c>
      <c r="G1419" s="92">
        <v>10000000</v>
      </c>
    </row>
    <row r="1420" spans="1:7" ht="15">
      <c r="A1420" s="7" t="s">
        <v>2425</v>
      </c>
      <c r="B1420" s="78" t="s">
        <v>516</v>
      </c>
      <c r="C1420" s="79" t="s">
        <v>11</v>
      </c>
      <c r="D1420" s="78"/>
      <c r="E1420" s="80"/>
      <c r="F1420" s="81"/>
      <c r="G1420" s="81">
        <v>30000000</v>
      </c>
    </row>
    <row r="1421" spans="1:7">
      <c r="A1421" s="7" t="s">
        <v>2426</v>
      </c>
      <c r="B1421" s="89" t="s">
        <v>195</v>
      </c>
      <c r="C1421" s="90" t="s">
        <v>2427</v>
      </c>
      <c r="D1421" s="89">
        <v>75</v>
      </c>
      <c r="E1421" s="91" t="s">
        <v>25</v>
      </c>
      <c r="F1421" s="92">
        <v>400000</v>
      </c>
      <c r="G1421" s="92">
        <v>30000000</v>
      </c>
    </row>
    <row r="1422" spans="1:7" ht="15">
      <c r="A1422" s="7" t="s">
        <v>2428</v>
      </c>
      <c r="B1422" s="78" t="s">
        <v>517</v>
      </c>
      <c r="C1422" s="79" t="s">
        <v>22</v>
      </c>
      <c r="D1422" s="78"/>
      <c r="E1422" s="80"/>
      <c r="F1422" s="81"/>
      <c r="G1422" s="81">
        <v>40000000</v>
      </c>
    </row>
    <row r="1423" spans="1:7" ht="28.5">
      <c r="A1423" s="7" t="s">
        <v>2429</v>
      </c>
      <c r="B1423" s="89" t="s">
        <v>195</v>
      </c>
      <c r="C1423" s="90" t="s">
        <v>2430</v>
      </c>
      <c r="D1423" s="89">
        <v>10</v>
      </c>
      <c r="E1423" s="91" t="s">
        <v>106</v>
      </c>
      <c r="F1423" s="92">
        <v>4000000</v>
      </c>
      <c r="G1423" s="92">
        <v>40000000</v>
      </c>
    </row>
    <row r="1424" spans="1:7" ht="15">
      <c r="A1424" s="7" t="s">
        <v>2431</v>
      </c>
      <c r="B1424" s="78" t="s">
        <v>513</v>
      </c>
      <c r="C1424" s="79" t="s">
        <v>19</v>
      </c>
      <c r="D1424" s="78"/>
      <c r="E1424" s="80"/>
      <c r="F1424" s="81"/>
      <c r="G1424" s="81">
        <v>175000000</v>
      </c>
    </row>
    <row r="1425" spans="1:7">
      <c r="A1425" s="7" t="s">
        <v>2432</v>
      </c>
      <c r="B1425" s="89" t="s">
        <v>195</v>
      </c>
      <c r="C1425" s="90" t="s">
        <v>2433</v>
      </c>
      <c r="D1425" s="89">
        <v>10</v>
      </c>
      <c r="E1425" s="91" t="s">
        <v>25</v>
      </c>
      <c r="F1425" s="92">
        <v>5000000</v>
      </c>
      <c r="G1425" s="92">
        <v>50000000</v>
      </c>
    </row>
    <row r="1426" spans="1:7" ht="28.5">
      <c r="A1426" s="7" t="s">
        <v>2434</v>
      </c>
      <c r="B1426" s="89" t="s">
        <v>195</v>
      </c>
      <c r="C1426" s="90" t="s">
        <v>2435</v>
      </c>
      <c r="D1426" s="89">
        <v>10</v>
      </c>
      <c r="E1426" s="91" t="s">
        <v>25</v>
      </c>
      <c r="F1426" s="92">
        <v>5000000</v>
      </c>
      <c r="G1426" s="92">
        <v>50000000</v>
      </c>
    </row>
    <row r="1427" spans="1:7">
      <c r="A1427" s="7" t="s">
        <v>2436</v>
      </c>
      <c r="B1427" s="89" t="s">
        <v>195</v>
      </c>
      <c r="C1427" s="90" t="s">
        <v>2437</v>
      </c>
      <c r="D1427" s="89">
        <v>15</v>
      </c>
      <c r="E1427" s="91" t="s">
        <v>25</v>
      </c>
      <c r="F1427" s="92">
        <v>5000000</v>
      </c>
      <c r="G1427" s="92">
        <v>75000000</v>
      </c>
    </row>
    <row r="1428" spans="1:7" ht="30">
      <c r="A1428" s="7" t="s">
        <v>2438</v>
      </c>
      <c r="B1428" s="78" t="s">
        <v>509</v>
      </c>
      <c r="C1428" s="79" t="s">
        <v>14</v>
      </c>
      <c r="D1428" s="78"/>
      <c r="E1428" s="80"/>
      <c r="F1428" s="81"/>
      <c r="G1428" s="81">
        <v>9000000</v>
      </c>
    </row>
    <row r="1429" spans="1:7" ht="28.5">
      <c r="A1429" s="7" t="s">
        <v>2439</v>
      </c>
      <c r="B1429" s="89" t="s">
        <v>195</v>
      </c>
      <c r="C1429" s="90" t="s">
        <v>2440</v>
      </c>
      <c r="D1429" s="89">
        <v>25</v>
      </c>
      <c r="E1429" s="91" t="s">
        <v>25</v>
      </c>
      <c r="F1429" s="92">
        <v>210000</v>
      </c>
      <c r="G1429" s="92">
        <v>5250000</v>
      </c>
    </row>
    <row r="1430" spans="1:7">
      <c r="A1430" s="7" t="s">
        <v>2441</v>
      </c>
      <c r="B1430" s="89" t="s">
        <v>195</v>
      </c>
      <c r="C1430" s="90" t="s">
        <v>630</v>
      </c>
      <c r="D1430" s="89">
        <v>25</v>
      </c>
      <c r="E1430" s="91" t="s">
        <v>25</v>
      </c>
      <c r="F1430" s="92">
        <v>150000</v>
      </c>
      <c r="G1430" s="92">
        <v>3750000</v>
      </c>
    </row>
    <row r="1431" spans="1:7" ht="15">
      <c r="A1431" s="7" t="s">
        <v>2442</v>
      </c>
      <c r="B1431" s="97" t="s">
        <v>511</v>
      </c>
      <c r="C1431" s="98" t="s">
        <v>2443</v>
      </c>
      <c r="D1431" s="97"/>
      <c r="E1431" s="99"/>
      <c r="F1431" s="100"/>
      <c r="G1431" s="100">
        <v>316000000</v>
      </c>
    </row>
    <row r="1432" spans="1:7" ht="15">
      <c r="A1432" s="7" t="s">
        <v>2444</v>
      </c>
      <c r="B1432" s="78" t="s">
        <v>503</v>
      </c>
      <c r="C1432" s="79" t="s">
        <v>7</v>
      </c>
      <c r="D1432" s="78"/>
      <c r="E1432" s="80"/>
      <c r="F1432" s="81"/>
      <c r="G1432" s="81">
        <v>10000000</v>
      </c>
    </row>
    <row r="1433" spans="1:7">
      <c r="A1433" s="7" t="s">
        <v>2445</v>
      </c>
      <c r="B1433" s="89" t="s">
        <v>195</v>
      </c>
      <c r="C1433" s="90" t="s">
        <v>1620</v>
      </c>
      <c r="D1433" s="89">
        <v>10</v>
      </c>
      <c r="E1433" s="91" t="s">
        <v>106</v>
      </c>
      <c r="F1433" s="92">
        <v>1000000</v>
      </c>
      <c r="G1433" s="92">
        <v>10000000</v>
      </c>
    </row>
    <row r="1434" spans="1:7" ht="30">
      <c r="A1434" s="7" t="s">
        <v>2446</v>
      </c>
      <c r="B1434" s="78" t="s">
        <v>515</v>
      </c>
      <c r="C1434" s="79" t="s">
        <v>642</v>
      </c>
      <c r="D1434" s="78"/>
      <c r="E1434" s="80"/>
      <c r="F1434" s="81"/>
      <c r="G1434" s="81">
        <v>20400000</v>
      </c>
    </row>
    <row r="1435" spans="1:7" ht="28.5">
      <c r="A1435" s="7" t="s">
        <v>2447</v>
      </c>
      <c r="B1435" s="89" t="s">
        <v>195</v>
      </c>
      <c r="C1435" s="90" t="s">
        <v>2448</v>
      </c>
      <c r="D1435" s="89">
        <v>84</v>
      </c>
      <c r="E1435" s="91" t="s">
        <v>32</v>
      </c>
      <c r="F1435" s="92">
        <v>200000</v>
      </c>
      <c r="G1435" s="92">
        <v>16800000</v>
      </c>
    </row>
    <row r="1436" spans="1:7" ht="28.5">
      <c r="A1436" s="7" t="s">
        <v>2449</v>
      </c>
      <c r="B1436" s="89" t="s">
        <v>195</v>
      </c>
      <c r="C1436" s="90" t="s">
        <v>891</v>
      </c>
      <c r="D1436" s="89">
        <v>12</v>
      </c>
      <c r="E1436" s="91" t="s">
        <v>78</v>
      </c>
      <c r="F1436" s="92">
        <v>300000</v>
      </c>
      <c r="G1436" s="92">
        <v>3600000</v>
      </c>
    </row>
    <row r="1437" spans="1:7" ht="15">
      <c r="A1437" s="7" t="s">
        <v>2450</v>
      </c>
      <c r="B1437" s="78" t="s">
        <v>537</v>
      </c>
      <c r="C1437" s="79" t="s">
        <v>64</v>
      </c>
      <c r="D1437" s="78"/>
      <c r="E1437" s="80"/>
      <c r="F1437" s="81"/>
      <c r="G1437" s="81">
        <v>20000000</v>
      </c>
    </row>
    <row r="1438" spans="1:7">
      <c r="A1438" s="7" t="s">
        <v>2451</v>
      </c>
      <c r="B1438" s="89" t="s">
        <v>195</v>
      </c>
      <c r="C1438" s="90" t="s">
        <v>619</v>
      </c>
      <c r="D1438" s="89">
        <v>10</v>
      </c>
      <c r="E1438" s="91" t="s">
        <v>106</v>
      </c>
      <c r="F1438" s="92">
        <v>1000000</v>
      </c>
      <c r="G1438" s="92">
        <v>10000000</v>
      </c>
    </row>
    <row r="1439" spans="1:7">
      <c r="A1439" s="7" t="s">
        <v>2452</v>
      </c>
      <c r="B1439" s="89" t="s">
        <v>195</v>
      </c>
      <c r="C1439" s="90" t="s">
        <v>620</v>
      </c>
      <c r="D1439" s="89">
        <v>10</v>
      </c>
      <c r="E1439" s="91" t="s">
        <v>106</v>
      </c>
      <c r="F1439" s="92">
        <v>1000000</v>
      </c>
      <c r="G1439" s="92">
        <v>10000000</v>
      </c>
    </row>
    <row r="1440" spans="1:7" ht="15">
      <c r="A1440" s="7" t="s">
        <v>2453</v>
      </c>
      <c r="B1440" s="78" t="s">
        <v>518</v>
      </c>
      <c r="C1440" s="79" t="s">
        <v>24</v>
      </c>
      <c r="D1440" s="78"/>
      <c r="E1440" s="80"/>
      <c r="F1440" s="81"/>
      <c r="G1440" s="81">
        <v>20000000</v>
      </c>
    </row>
    <row r="1441" spans="1:7" ht="28.5">
      <c r="A1441" s="7" t="s">
        <v>2454</v>
      </c>
      <c r="B1441" s="89" t="s">
        <v>195</v>
      </c>
      <c r="C1441" s="90" t="s">
        <v>2455</v>
      </c>
      <c r="D1441" s="89">
        <v>100</v>
      </c>
      <c r="E1441" s="91" t="s">
        <v>25</v>
      </c>
      <c r="F1441" s="92">
        <v>200000</v>
      </c>
      <c r="G1441" s="92">
        <v>20000000</v>
      </c>
    </row>
    <row r="1442" spans="1:7" ht="15">
      <c r="A1442" s="7" t="s">
        <v>2456</v>
      </c>
      <c r="B1442" s="78" t="s">
        <v>513</v>
      </c>
      <c r="C1442" s="79" t="s">
        <v>19</v>
      </c>
      <c r="D1442" s="78"/>
      <c r="E1442" s="80"/>
      <c r="F1442" s="81"/>
      <c r="G1442" s="81">
        <v>50000000</v>
      </c>
    </row>
    <row r="1443" spans="1:7" ht="28.5">
      <c r="A1443" s="7" t="s">
        <v>2457</v>
      </c>
      <c r="B1443" s="89" t="s">
        <v>195</v>
      </c>
      <c r="C1443" s="90" t="s">
        <v>2458</v>
      </c>
      <c r="D1443" s="89">
        <v>10</v>
      </c>
      <c r="E1443" s="91" t="s">
        <v>25</v>
      </c>
      <c r="F1443" s="92">
        <v>5000000</v>
      </c>
      <c r="G1443" s="92">
        <v>50000000</v>
      </c>
    </row>
    <row r="1444" spans="1:7" ht="30">
      <c r="A1444" s="7" t="s">
        <v>2459</v>
      </c>
      <c r="B1444" s="78" t="s">
        <v>509</v>
      </c>
      <c r="C1444" s="79" t="s">
        <v>14</v>
      </c>
      <c r="D1444" s="78"/>
      <c r="E1444" s="80"/>
      <c r="F1444" s="81"/>
      <c r="G1444" s="81">
        <v>195600000</v>
      </c>
    </row>
    <row r="1445" spans="1:7">
      <c r="A1445" s="7" t="s">
        <v>2460</v>
      </c>
      <c r="B1445" s="89" t="s">
        <v>195</v>
      </c>
      <c r="C1445" s="90" t="s">
        <v>1313</v>
      </c>
      <c r="D1445" s="89">
        <v>20</v>
      </c>
      <c r="E1445" s="91" t="s">
        <v>25</v>
      </c>
      <c r="F1445" s="92">
        <v>210000</v>
      </c>
      <c r="G1445" s="92">
        <v>4200000</v>
      </c>
    </row>
    <row r="1446" spans="1:7">
      <c r="A1446" s="7" t="s">
        <v>2461</v>
      </c>
      <c r="B1446" s="89" t="s">
        <v>195</v>
      </c>
      <c r="C1446" s="90" t="s">
        <v>2462</v>
      </c>
      <c r="D1446" s="89">
        <v>20</v>
      </c>
      <c r="E1446" s="91" t="s">
        <v>25</v>
      </c>
      <c r="F1446" s="92">
        <v>150000</v>
      </c>
      <c r="G1446" s="92">
        <v>3000000</v>
      </c>
    </row>
    <row r="1447" spans="1:7" ht="28.5">
      <c r="A1447" s="7" t="s">
        <v>2463</v>
      </c>
      <c r="B1447" s="89" t="s">
        <v>195</v>
      </c>
      <c r="C1447" s="90" t="s">
        <v>2464</v>
      </c>
      <c r="D1447" s="89">
        <v>1256</v>
      </c>
      <c r="E1447" s="91" t="s">
        <v>25</v>
      </c>
      <c r="F1447" s="92">
        <v>150000</v>
      </c>
      <c r="G1447" s="92">
        <v>188400000</v>
      </c>
    </row>
    <row r="1448" spans="1:7" ht="15">
      <c r="A1448" s="7" t="s">
        <v>2465</v>
      </c>
      <c r="B1448" s="101" t="s">
        <v>2466</v>
      </c>
      <c r="C1448" s="102" t="s">
        <v>2467</v>
      </c>
      <c r="D1448" s="101"/>
      <c r="E1448" s="103"/>
      <c r="F1448" s="104"/>
      <c r="G1448" s="104">
        <v>13542209000</v>
      </c>
    </row>
    <row r="1449" spans="1:7">
      <c r="A1449" s="7" t="s">
        <v>2468</v>
      </c>
      <c r="B1449" s="89" t="s">
        <v>2469</v>
      </c>
      <c r="C1449" s="90" t="s">
        <v>2470</v>
      </c>
      <c r="D1449" s="89"/>
      <c r="E1449" s="91"/>
      <c r="F1449" s="92"/>
      <c r="G1449" s="92">
        <v>4063138000</v>
      </c>
    </row>
    <row r="1450" spans="1:7" ht="30">
      <c r="A1450" s="7" t="s">
        <v>2471</v>
      </c>
      <c r="B1450" s="93" t="s">
        <v>826</v>
      </c>
      <c r="C1450" s="94" t="s">
        <v>2472</v>
      </c>
      <c r="D1450" s="93"/>
      <c r="E1450" s="95"/>
      <c r="F1450" s="96"/>
      <c r="G1450" s="96">
        <v>2000000000</v>
      </c>
    </row>
    <row r="1451" spans="1:7" ht="15">
      <c r="A1451" s="7" t="s">
        <v>2473</v>
      </c>
      <c r="B1451" s="97" t="s">
        <v>8</v>
      </c>
      <c r="C1451" s="98" t="s">
        <v>122</v>
      </c>
      <c r="D1451" s="97"/>
      <c r="E1451" s="99"/>
      <c r="F1451" s="100"/>
      <c r="G1451" s="100">
        <v>145000000</v>
      </c>
    </row>
    <row r="1452" spans="1:7" ht="15">
      <c r="A1452" s="7" t="s">
        <v>2474</v>
      </c>
      <c r="B1452" s="78" t="s">
        <v>503</v>
      </c>
      <c r="C1452" s="79" t="s">
        <v>7</v>
      </c>
      <c r="D1452" s="78"/>
      <c r="E1452" s="80"/>
      <c r="F1452" s="81"/>
      <c r="G1452" s="81">
        <v>6300000</v>
      </c>
    </row>
    <row r="1453" spans="1:7">
      <c r="A1453" s="7" t="s">
        <v>195</v>
      </c>
      <c r="B1453" s="89" t="s">
        <v>195</v>
      </c>
      <c r="C1453" s="90" t="s">
        <v>2475</v>
      </c>
      <c r="D1453" s="89">
        <v>0</v>
      </c>
      <c r="E1453" s="91" t="s">
        <v>195</v>
      </c>
      <c r="F1453" s="92">
        <v>0</v>
      </c>
      <c r="G1453" s="92">
        <v>0</v>
      </c>
    </row>
    <row r="1454" spans="1:7">
      <c r="A1454" s="7" t="s">
        <v>2476</v>
      </c>
      <c r="B1454" s="89" t="s">
        <v>195</v>
      </c>
      <c r="C1454" s="90" t="s">
        <v>2477</v>
      </c>
      <c r="D1454" s="89">
        <v>7</v>
      </c>
      <c r="E1454" s="91" t="s">
        <v>180</v>
      </c>
      <c r="F1454" s="92">
        <v>200000</v>
      </c>
      <c r="G1454" s="92">
        <v>1400000</v>
      </c>
    </row>
    <row r="1455" spans="1:7">
      <c r="A1455" s="7" t="s">
        <v>2478</v>
      </c>
      <c r="B1455" s="89" t="s">
        <v>195</v>
      </c>
      <c r="C1455" s="90" t="s">
        <v>2479</v>
      </c>
      <c r="D1455" s="89">
        <v>7</v>
      </c>
      <c r="E1455" s="91" t="s">
        <v>180</v>
      </c>
      <c r="F1455" s="92">
        <v>200000</v>
      </c>
      <c r="G1455" s="92">
        <v>1400000</v>
      </c>
    </row>
    <row r="1456" spans="1:7">
      <c r="A1456" s="7" t="s">
        <v>2480</v>
      </c>
      <c r="B1456" s="89" t="s">
        <v>195</v>
      </c>
      <c r="C1456" s="90" t="s">
        <v>2481</v>
      </c>
      <c r="D1456" s="89">
        <v>7</v>
      </c>
      <c r="E1456" s="91" t="s">
        <v>106</v>
      </c>
      <c r="F1456" s="92">
        <v>500000</v>
      </c>
      <c r="G1456" s="92">
        <v>3500000</v>
      </c>
    </row>
    <row r="1457" spans="1:7" ht="15">
      <c r="A1457" s="7" t="s">
        <v>2482</v>
      </c>
      <c r="B1457" s="78" t="s">
        <v>537</v>
      </c>
      <c r="C1457" s="79" t="s">
        <v>64</v>
      </c>
      <c r="D1457" s="78"/>
      <c r="E1457" s="80"/>
      <c r="F1457" s="81"/>
      <c r="G1457" s="81">
        <v>7990000</v>
      </c>
    </row>
    <row r="1458" spans="1:7">
      <c r="A1458" s="7" t="s">
        <v>2483</v>
      </c>
      <c r="B1458" s="89" t="s">
        <v>195</v>
      </c>
      <c r="C1458" s="90" t="s">
        <v>619</v>
      </c>
      <c r="D1458" s="89">
        <v>4</v>
      </c>
      <c r="E1458" s="91" t="s">
        <v>106</v>
      </c>
      <c r="F1458" s="92">
        <v>1000000</v>
      </c>
      <c r="G1458" s="92">
        <v>4000000</v>
      </c>
    </row>
    <row r="1459" spans="1:7">
      <c r="A1459" s="7" t="s">
        <v>2484</v>
      </c>
      <c r="B1459" s="89" t="s">
        <v>195</v>
      </c>
      <c r="C1459" s="90" t="s">
        <v>620</v>
      </c>
      <c r="D1459" s="89">
        <v>4</v>
      </c>
      <c r="E1459" s="91" t="s">
        <v>106</v>
      </c>
      <c r="F1459" s="92">
        <v>998000</v>
      </c>
      <c r="G1459" s="92">
        <v>3990000</v>
      </c>
    </row>
    <row r="1460" spans="1:7" ht="15">
      <c r="A1460" s="7" t="s">
        <v>2485</v>
      </c>
      <c r="B1460" s="78" t="s">
        <v>516</v>
      </c>
      <c r="C1460" s="79" t="s">
        <v>11</v>
      </c>
      <c r="D1460" s="78"/>
      <c r="E1460" s="80"/>
      <c r="F1460" s="81"/>
      <c r="G1460" s="81">
        <v>12200000</v>
      </c>
    </row>
    <row r="1461" spans="1:7" ht="28.5">
      <c r="A1461" s="7" t="s">
        <v>2486</v>
      </c>
      <c r="B1461" s="89" t="s">
        <v>195</v>
      </c>
      <c r="C1461" s="90" t="s">
        <v>2487</v>
      </c>
      <c r="D1461" s="89">
        <v>2</v>
      </c>
      <c r="E1461" s="91" t="s">
        <v>54</v>
      </c>
      <c r="F1461" s="92">
        <v>1400000</v>
      </c>
      <c r="G1461" s="92">
        <v>2800000</v>
      </c>
    </row>
    <row r="1462" spans="1:7" ht="28.5">
      <c r="A1462" s="7" t="s">
        <v>2488</v>
      </c>
      <c r="B1462" s="89" t="s">
        <v>195</v>
      </c>
      <c r="C1462" s="90" t="s">
        <v>2489</v>
      </c>
      <c r="D1462" s="89">
        <v>4</v>
      </c>
      <c r="E1462" s="91" t="s">
        <v>54</v>
      </c>
      <c r="F1462" s="92">
        <v>1000000</v>
      </c>
      <c r="G1462" s="92">
        <v>4000000</v>
      </c>
    </row>
    <row r="1463" spans="1:7" ht="28.5">
      <c r="A1463" s="7" t="s">
        <v>2490</v>
      </c>
      <c r="B1463" s="89" t="s">
        <v>195</v>
      </c>
      <c r="C1463" s="90" t="s">
        <v>2491</v>
      </c>
      <c r="D1463" s="89">
        <v>6</v>
      </c>
      <c r="E1463" s="91" t="s">
        <v>54</v>
      </c>
      <c r="F1463" s="92">
        <v>900000</v>
      </c>
      <c r="G1463" s="92">
        <v>5400000</v>
      </c>
    </row>
    <row r="1464" spans="1:7" ht="15">
      <c r="A1464" s="7" t="s">
        <v>2492</v>
      </c>
      <c r="B1464" s="78" t="s">
        <v>513</v>
      </c>
      <c r="C1464" s="79" t="s">
        <v>19</v>
      </c>
      <c r="D1464" s="78"/>
      <c r="E1464" s="80"/>
      <c r="F1464" s="81"/>
      <c r="G1464" s="81">
        <v>100000000</v>
      </c>
    </row>
    <row r="1465" spans="1:7" ht="42.75">
      <c r="A1465" s="7" t="s">
        <v>2493</v>
      </c>
      <c r="B1465" s="89" t="s">
        <v>195</v>
      </c>
      <c r="C1465" s="90" t="s">
        <v>2494</v>
      </c>
      <c r="D1465" s="89">
        <v>20</v>
      </c>
      <c r="E1465" s="91" t="s">
        <v>25</v>
      </c>
      <c r="F1465" s="92">
        <v>5000000</v>
      </c>
      <c r="G1465" s="92">
        <v>100000000</v>
      </c>
    </row>
    <row r="1466" spans="1:7" ht="15">
      <c r="A1466" s="7" t="s">
        <v>2495</v>
      </c>
      <c r="B1466" s="78" t="s">
        <v>507</v>
      </c>
      <c r="C1466" s="79" t="s">
        <v>13</v>
      </c>
      <c r="D1466" s="78"/>
      <c r="E1466" s="80"/>
      <c r="F1466" s="81"/>
      <c r="G1466" s="81">
        <v>2250000</v>
      </c>
    </row>
    <row r="1467" spans="1:7">
      <c r="A1467" s="7" t="s">
        <v>2496</v>
      </c>
      <c r="B1467" s="89" t="s">
        <v>195</v>
      </c>
      <c r="C1467" s="90" t="s">
        <v>2497</v>
      </c>
      <c r="D1467" s="89">
        <v>15</v>
      </c>
      <c r="E1467" s="91" t="s">
        <v>25</v>
      </c>
      <c r="F1467" s="92">
        <v>150000</v>
      </c>
      <c r="G1467" s="92">
        <v>2250000</v>
      </c>
    </row>
    <row r="1468" spans="1:7" ht="30">
      <c r="A1468" s="7" t="s">
        <v>2498</v>
      </c>
      <c r="B1468" s="78" t="s">
        <v>509</v>
      </c>
      <c r="C1468" s="79" t="s">
        <v>14</v>
      </c>
      <c r="D1468" s="78"/>
      <c r="E1468" s="80"/>
      <c r="F1468" s="81"/>
      <c r="G1468" s="81">
        <v>5760000</v>
      </c>
    </row>
    <row r="1469" spans="1:7" ht="28.5">
      <c r="A1469" s="7" t="s">
        <v>2499</v>
      </c>
      <c r="B1469" s="89" t="s">
        <v>195</v>
      </c>
      <c r="C1469" s="90" t="s">
        <v>2500</v>
      </c>
      <c r="D1469" s="89">
        <v>16</v>
      </c>
      <c r="E1469" s="91" t="s">
        <v>25</v>
      </c>
      <c r="F1469" s="92">
        <v>210000</v>
      </c>
      <c r="G1469" s="92">
        <v>3360000</v>
      </c>
    </row>
    <row r="1470" spans="1:7" ht="28.5">
      <c r="A1470" s="7" t="s">
        <v>2501</v>
      </c>
      <c r="B1470" s="89" t="s">
        <v>195</v>
      </c>
      <c r="C1470" s="90" t="s">
        <v>2502</v>
      </c>
      <c r="D1470" s="89">
        <v>16</v>
      </c>
      <c r="E1470" s="91" t="s">
        <v>25</v>
      </c>
      <c r="F1470" s="92">
        <v>150000</v>
      </c>
      <c r="G1470" s="92">
        <v>2400000</v>
      </c>
    </row>
    <row r="1471" spans="1:7" ht="15">
      <c r="A1471" s="7" t="s">
        <v>2503</v>
      </c>
      <c r="B1471" s="78" t="s">
        <v>510</v>
      </c>
      <c r="C1471" s="79" t="s">
        <v>15</v>
      </c>
      <c r="D1471" s="78"/>
      <c r="E1471" s="80"/>
      <c r="F1471" s="81"/>
      <c r="G1471" s="81">
        <v>10500000</v>
      </c>
    </row>
    <row r="1472" spans="1:7" ht="28.5">
      <c r="A1472" s="7" t="s">
        <v>2504</v>
      </c>
      <c r="B1472" s="89" t="s">
        <v>195</v>
      </c>
      <c r="C1472" s="90" t="s">
        <v>2505</v>
      </c>
      <c r="D1472" s="89">
        <v>14</v>
      </c>
      <c r="E1472" s="91" t="s">
        <v>25</v>
      </c>
      <c r="F1472" s="92">
        <v>150000</v>
      </c>
      <c r="G1472" s="92">
        <v>2100000</v>
      </c>
    </row>
    <row r="1473" spans="1:7" ht="28.5">
      <c r="A1473" s="7" t="s">
        <v>2506</v>
      </c>
      <c r="B1473" s="89" t="s">
        <v>195</v>
      </c>
      <c r="C1473" s="90" t="s">
        <v>2507</v>
      </c>
      <c r="D1473" s="89">
        <v>14</v>
      </c>
      <c r="E1473" s="91" t="s">
        <v>25</v>
      </c>
      <c r="F1473" s="92">
        <v>600000</v>
      </c>
      <c r="G1473" s="92">
        <v>8400000</v>
      </c>
    </row>
    <row r="1474" spans="1:7" ht="30">
      <c r="A1474" s="7" t="s">
        <v>2508</v>
      </c>
      <c r="B1474" s="97" t="s">
        <v>511</v>
      </c>
      <c r="C1474" s="98" t="s">
        <v>123</v>
      </c>
      <c r="D1474" s="97"/>
      <c r="E1474" s="99"/>
      <c r="F1474" s="100"/>
      <c r="G1474" s="100">
        <v>895000000</v>
      </c>
    </row>
    <row r="1475" spans="1:7" ht="15">
      <c r="A1475" s="7" t="s">
        <v>2509</v>
      </c>
      <c r="B1475" s="78" t="s">
        <v>503</v>
      </c>
      <c r="C1475" s="79" t="s">
        <v>7</v>
      </c>
      <c r="D1475" s="78"/>
      <c r="E1475" s="80"/>
      <c r="F1475" s="81"/>
      <c r="G1475" s="81">
        <v>135000000</v>
      </c>
    </row>
    <row r="1476" spans="1:7">
      <c r="A1476" s="7" t="s">
        <v>2510</v>
      </c>
      <c r="B1476" s="89" t="s">
        <v>195</v>
      </c>
      <c r="C1476" s="90" t="s">
        <v>2511</v>
      </c>
      <c r="D1476" s="89">
        <v>100</v>
      </c>
      <c r="E1476" s="91" t="s">
        <v>180</v>
      </c>
      <c r="F1476" s="92">
        <v>100000</v>
      </c>
      <c r="G1476" s="92">
        <v>10000000</v>
      </c>
    </row>
    <row r="1477" spans="1:7">
      <c r="A1477" s="7" t="s">
        <v>2512</v>
      </c>
      <c r="B1477" s="89" t="s">
        <v>195</v>
      </c>
      <c r="C1477" s="90" t="s">
        <v>2513</v>
      </c>
      <c r="D1477" s="89">
        <v>10</v>
      </c>
      <c r="E1477" s="91" t="s">
        <v>180</v>
      </c>
      <c r="F1477" s="92">
        <v>3200000</v>
      </c>
      <c r="G1477" s="92">
        <v>32000000</v>
      </c>
    </row>
    <row r="1478" spans="1:7">
      <c r="A1478" s="7" t="s">
        <v>2514</v>
      </c>
      <c r="B1478" s="89" t="s">
        <v>195</v>
      </c>
      <c r="C1478" s="90" t="s">
        <v>2515</v>
      </c>
      <c r="D1478" s="89">
        <v>310</v>
      </c>
      <c r="E1478" s="91" t="s">
        <v>106</v>
      </c>
      <c r="F1478" s="92">
        <v>300000</v>
      </c>
      <c r="G1478" s="92">
        <v>93000000</v>
      </c>
    </row>
    <row r="1479" spans="1:7" ht="15">
      <c r="A1479" s="7" t="s">
        <v>2516</v>
      </c>
      <c r="B1479" s="78" t="s">
        <v>537</v>
      </c>
      <c r="C1479" s="79" t="s">
        <v>64</v>
      </c>
      <c r="D1479" s="78"/>
      <c r="E1479" s="80"/>
      <c r="F1479" s="81"/>
      <c r="G1479" s="81">
        <v>24000000</v>
      </c>
    </row>
    <row r="1480" spans="1:7">
      <c r="A1480" s="7" t="s">
        <v>2517</v>
      </c>
      <c r="B1480" s="89" t="s">
        <v>195</v>
      </c>
      <c r="C1480" s="90" t="s">
        <v>619</v>
      </c>
      <c r="D1480" s="89">
        <v>12</v>
      </c>
      <c r="E1480" s="91" t="s">
        <v>106</v>
      </c>
      <c r="F1480" s="92">
        <v>1000000</v>
      </c>
      <c r="G1480" s="92">
        <v>12000000</v>
      </c>
    </row>
    <row r="1481" spans="1:7">
      <c r="A1481" s="7" t="s">
        <v>2518</v>
      </c>
      <c r="B1481" s="89" t="s">
        <v>195</v>
      </c>
      <c r="C1481" s="90" t="s">
        <v>620</v>
      </c>
      <c r="D1481" s="89">
        <v>12</v>
      </c>
      <c r="E1481" s="91" t="s">
        <v>106</v>
      </c>
      <c r="F1481" s="92">
        <v>1000000</v>
      </c>
      <c r="G1481" s="92">
        <v>12000000</v>
      </c>
    </row>
    <row r="1482" spans="1:7" ht="15">
      <c r="A1482" s="7" t="s">
        <v>2519</v>
      </c>
      <c r="B1482" s="78" t="s">
        <v>516</v>
      </c>
      <c r="C1482" s="79" t="s">
        <v>11</v>
      </c>
      <c r="D1482" s="78"/>
      <c r="E1482" s="80"/>
      <c r="F1482" s="81"/>
      <c r="G1482" s="81">
        <v>28200000</v>
      </c>
    </row>
    <row r="1483" spans="1:7" ht="28.5">
      <c r="A1483" s="7" t="s">
        <v>2520</v>
      </c>
      <c r="B1483" s="89" t="s">
        <v>195</v>
      </c>
      <c r="C1483" s="90" t="s">
        <v>2521</v>
      </c>
      <c r="D1483" s="89">
        <v>12</v>
      </c>
      <c r="E1483" s="91" t="s">
        <v>54</v>
      </c>
      <c r="F1483" s="92">
        <v>1000000</v>
      </c>
      <c r="G1483" s="92">
        <v>12000000</v>
      </c>
    </row>
    <row r="1484" spans="1:7" ht="28.5">
      <c r="A1484" s="7" t="s">
        <v>2522</v>
      </c>
      <c r="B1484" s="89" t="s">
        <v>195</v>
      </c>
      <c r="C1484" s="90" t="s">
        <v>2523</v>
      </c>
      <c r="D1484" s="89">
        <v>18</v>
      </c>
      <c r="E1484" s="91" t="s">
        <v>54</v>
      </c>
      <c r="F1484" s="92">
        <v>900000</v>
      </c>
      <c r="G1484" s="92">
        <v>16200000</v>
      </c>
    </row>
    <row r="1485" spans="1:7" ht="15">
      <c r="A1485" s="7" t="s">
        <v>2524</v>
      </c>
      <c r="B1485" s="78" t="s">
        <v>513</v>
      </c>
      <c r="C1485" s="79" t="s">
        <v>19</v>
      </c>
      <c r="D1485" s="78"/>
      <c r="E1485" s="80"/>
      <c r="F1485" s="81"/>
      <c r="G1485" s="81">
        <v>640000000</v>
      </c>
    </row>
    <row r="1486" spans="1:7" ht="28.5">
      <c r="A1486" s="7" t="s">
        <v>2525</v>
      </c>
      <c r="B1486" s="89" t="s">
        <v>195</v>
      </c>
      <c r="C1486" s="90" t="s">
        <v>2526</v>
      </c>
      <c r="D1486" s="89">
        <v>50</v>
      </c>
      <c r="E1486" s="91" t="s">
        <v>25</v>
      </c>
      <c r="F1486" s="92">
        <v>5000000</v>
      </c>
      <c r="G1486" s="92">
        <v>250000000</v>
      </c>
    </row>
    <row r="1487" spans="1:7" ht="28.5">
      <c r="A1487" s="7" t="s">
        <v>2527</v>
      </c>
      <c r="B1487" s="89" t="s">
        <v>195</v>
      </c>
      <c r="C1487" s="90" t="s">
        <v>2528</v>
      </c>
      <c r="D1487" s="89">
        <v>48</v>
      </c>
      <c r="E1487" s="91" t="s">
        <v>25</v>
      </c>
      <c r="F1487" s="92">
        <v>5000000</v>
      </c>
      <c r="G1487" s="92">
        <v>240000000</v>
      </c>
    </row>
    <row r="1488" spans="1:7" ht="42.75">
      <c r="A1488" s="7" t="s">
        <v>2529</v>
      </c>
      <c r="B1488" s="89" t="s">
        <v>195</v>
      </c>
      <c r="C1488" s="90" t="s">
        <v>2530</v>
      </c>
      <c r="D1488" s="89">
        <v>300</v>
      </c>
      <c r="E1488" s="91" t="s">
        <v>25</v>
      </c>
      <c r="F1488" s="92">
        <v>500000</v>
      </c>
      <c r="G1488" s="92">
        <v>150000000</v>
      </c>
    </row>
    <row r="1489" spans="1:7" ht="15">
      <c r="A1489" s="7" t="s">
        <v>2531</v>
      </c>
      <c r="B1489" s="78" t="s">
        <v>507</v>
      </c>
      <c r="C1489" s="79" t="s">
        <v>13</v>
      </c>
      <c r="D1489" s="78"/>
      <c r="E1489" s="80"/>
      <c r="F1489" s="81"/>
      <c r="G1489" s="81">
        <v>27000000</v>
      </c>
    </row>
    <row r="1490" spans="1:7" ht="28.5">
      <c r="A1490" s="7" t="s">
        <v>2532</v>
      </c>
      <c r="B1490" s="89" t="s">
        <v>195</v>
      </c>
      <c r="C1490" s="90" t="s">
        <v>2533</v>
      </c>
      <c r="D1490" s="89">
        <v>75</v>
      </c>
      <c r="E1490" s="91" t="s">
        <v>25</v>
      </c>
      <c r="F1490" s="92">
        <v>150000</v>
      </c>
      <c r="G1490" s="92">
        <v>11250000</v>
      </c>
    </row>
    <row r="1491" spans="1:7">
      <c r="A1491" s="7" t="s">
        <v>2534</v>
      </c>
      <c r="B1491" s="89" t="s">
        <v>195</v>
      </c>
      <c r="C1491" s="90" t="s">
        <v>2535</v>
      </c>
      <c r="D1491" s="89">
        <v>75</v>
      </c>
      <c r="E1491" s="91" t="s">
        <v>73</v>
      </c>
      <c r="F1491" s="92">
        <v>210000</v>
      </c>
      <c r="G1491" s="92">
        <v>15750000</v>
      </c>
    </row>
    <row r="1492" spans="1:7" ht="30">
      <c r="A1492" s="7" t="s">
        <v>2536</v>
      </c>
      <c r="B1492" s="78" t="s">
        <v>509</v>
      </c>
      <c r="C1492" s="79" t="s">
        <v>14</v>
      </c>
      <c r="D1492" s="78"/>
      <c r="E1492" s="80"/>
      <c r="F1492" s="81"/>
      <c r="G1492" s="81">
        <v>10800000</v>
      </c>
    </row>
    <row r="1493" spans="1:7" ht="28.5">
      <c r="A1493" s="7" t="s">
        <v>2537</v>
      </c>
      <c r="B1493" s="89" t="s">
        <v>195</v>
      </c>
      <c r="C1493" s="90" t="s">
        <v>2538</v>
      </c>
      <c r="D1493" s="89">
        <v>30</v>
      </c>
      <c r="E1493" s="91" t="s">
        <v>25</v>
      </c>
      <c r="F1493" s="92">
        <v>210000</v>
      </c>
      <c r="G1493" s="92">
        <v>6300000</v>
      </c>
    </row>
    <row r="1494" spans="1:7" ht="28.5">
      <c r="A1494" s="7" t="s">
        <v>2539</v>
      </c>
      <c r="B1494" s="89" t="s">
        <v>195</v>
      </c>
      <c r="C1494" s="90" t="s">
        <v>2540</v>
      </c>
      <c r="D1494" s="89">
        <v>30</v>
      </c>
      <c r="E1494" s="91" t="s">
        <v>25</v>
      </c>
      <c r="F1494" s="92">
        <v>150000</v>
      </c>
      <c r="G1494" s="92">
        <v>4500000</v>
      </c>
    </row>
    <row r="1495" spans="1:7" ht="15">
      <c r="A1495" s="7" t="s">
        <v>2541</v>
      </c>
      <c r="B1495" s="78" t="s">
        <v>510</v>
      </c>
      <c r="C1495" s="79" t="s">
        <v>15</v>
      </c>
      <c r="D1495" s="78"/>
      <c r="E1495" s="80"/>
      <c r="F1495" s="81"/>
      <c r="G1495" s="81">
        <v>30000000</v>
      </c>
    </row>
    <row r="1496" spans="1:7" ht="28.5">
      <c r="A1496" s="7" t="s">
        <v>2542</v>
      </c>
      <c r="B1496" s="89" t="s">
        <v>195</v>
      </c>
      <c r="C1496" s="90" t="s">
        <v>2543</v>
      </c>
      <c r="D1496" s="89">
        <v>40</v>
      </c>
      <c r="E1496" s="91" t="s">
        <v>25</v>
      </c>
      <c r="F1496" s="92">
        <v>150000</v>
      </c>
      <c r="G1496" s="92">
        <v>6000000</v>
      </c>
    </row>
    <row r="1497" spans="1:7" ht="28.5">
      <c r="A1497" s="7" t="s">
        <v>2544</v>
      </c>
      <c r="B1497" s="89" t="s">
        <v>195</v>
      </c>
      <c r="C1497" s="90" t="s">
        <v>2545</v>
      </c>
      <c r="D1497" s="89">
        <v>40</v>
      </c>
      <c r="E1497" s="91" t="s">
        <v>25</v>
      </c>
      <c r="F1497" s="92">
        <v>600000</v>
      </c>
      <c r="G1497" s="92">
        <v>24000000</v>
      </c>
    </row>
    <row r="1498" spans="1:7" ht="15">
      <c r="A1498" s="7" t="s">
        <v>2546</v>
      </c>
      <c r="B1498" s="97" t="s">
        <v>512</v>
      </c>
      <c r="C1498" s="98" t="s">
        <v>124</v>
      </c>
      <c r="D1498" s="97"/>
      <c r="E1498" s="99"/>
      <c r="F1498" s="100"/>
      <c r="G1498" s="100">
        <v>150000000</v>
      </c>
    </row>
    <row r="1499" spans="1:7" ht="15">
      <c r="A1499" s="7" t="s">
        <v>2547</v>
      </c>
      <c r="B1499" s="78" t="s">
        <v>503</v>
      </c>
      <c r="C1499" s="79" t="s">
        <v>7</v>
      </c>
      <c r="D1499" s="78"/>
      <c r="E1499" s="80"/>
      <c r="F1499" s="81"/>
      <c r="G1499" s="81">
        <v>11500000</v>
      </c>
    </row>
    <row r="1500" spans="1:7">
      <c r="A1500" s="7" t="s">
        <v>2548</v>
      </c>
      <c r="B1500" s="89" t="s">
        <v>195</v>
      </c>
      <c r="C1500" s="90" t="s">
        <v>2549</v>
      </c>
      <c r="D1500" s="89">
        <v>25</v>
      </c>
      <c r="E1500" s="91" t="s">
        <v>180</v>
      </c>
      <c r="F1500" s="92">
        <v>100000</v>
      </c>
      <c r="G1500" s="92">
        <v>2500000</v>
      </c>
    </row>
    <row r="1501" spans="1:7">
      <c r="A1501" s="7" t="s">
        <v>2550</v>
      </c>
      <c r="B1501" s="89" t="s">
        <v>195</v>
      </c>
      <c r="C1501" s="90" t="s">
        <v>2551</v>
      </c>
      <c r="D1501" s="89">
        <v>90</v>
      </c>
      <c r="E1501" s="91" t="s">
        <v>180</v>
      </c>
      <c r="F1501" s="92">
        <v>100000</v>
      </c>
      <c r="G1501" s="92">
        <v>9000000</v>
      </c>
    </row>
    <row r="1502" spans="1:7" ht="15">
      <c r="A1502" s="7" t="s">
        <v>2552</v>
      </c>
      <c r="B1502" s="78" t="s">
        <v>537</v>
      </c>
      <c r="C1502" s="79" t="s">
        <v>64</v>
      </c>
      <c r="D1502" s="78"/>
      <c r="E1502" s="80"/>
      <c r="F1502" s="81"/>
      <c r="G1502" s="81">
        <v>16000000</v>
      </c>
    </row>
    <row r="1503" spans="1:7">
      <c r="A1503" s="7" t="s">
        <v>2553</v>
      </c>
      <c r="B1503" s="89" t="s">
        <v>195</v>
      </c>
      <c r="C1503" s="90" t="s">
        <v>619</v>
      </c>
      <c r="D1503" s="89">
        <v>8</v>
      </c>
      <c r="E1503" s="91" t="s">
        <v>106</v>
      </c>
      <c r="F1503" s="92">
        <v>1000000</v>
      </c>
      <c r="G1503" s="92">
        <v>8000000</v>
      </c>
    </row>
    <row r="1504" spans="1:7">
      <c r="A1504" s="7" t="s">
        <v>2554</v>
      </c>
      <c r="B1504" s="89" t="s">
        <v>195</v>
      </c>
      <c r="C1504" s="90" t="s">
        <v>620</v>
      </c>
      <c r="D1504" s="89">
        <v>8</v>
      </c>
      <c r="E1504" s="91" t="s">
        <v>106</v>
      </c>
      <c r="F1504" s="92">
        <v>1000000</v>
      </c>
      <c r="G1504" s="92">
        <v>8000000</v>
      </c>
    </row>
    <row r="1505" spans="1:7" ht="15">
      <c r="A1505" s="7" t="s">
        <v>2555</v>
      </c>
      <c r="B1505" s="78" t="s">
        <v>516</v>
      </c>
      <c r="C1505" s="79" t="s">
        <v>11</v>
      </c>
      <c r="D1505" s="78"/>
      <c r="E1505" s="80"/>
      <c r="F1505" s="81"/>
      <c r="G1505" s="81">
        <v>3600000</v>
      </c>
    </row>
    <row r="1506" spans="1:7" ht="28.5">
      <c r="A1506" s="7" t="s">
        <v>2556</v>
      </c>
      <c r="B1506" s="89" t="s">
        <v>195</v>
      </c>
      <c r="C1506" s="90" t="s">
        <v>2557</v>
      </c>
      <c r="D1506" s="89">
        <v>4</v>
      </c>
      <c r="E1506" s="91" t="s">
        <v>54</v>
      </c>
      <c r="F1506" s="92">
        <v>900000</v>
      </c>
      <c r="G1506" s="92">
        <v>3600000</v>
      </c>
    </row>
    <row r="1507" spans="1:7" ht="15">
      <c r="A1507" s="7" t="s">
        <v>2558</v>
      </c>
      <c r="B1507" s="78" t="s">
        <v>513</v>
      </c>
      <c r="C1507" s="79" t="s">
        <v>19</v>
      </c>
      <c r="D1507" s="78"/>
      <c r="E1507" s="80"/>
      <c r="F1507" s="81"/>
      <c r="G1507" s="81">
        <v>100000000</v>
      </c>
    </row>
    <row r="1508" spans="1:7" ht="28.5">
      <c r="A1508" s="7" t="s">
        <v>2559</v>
      </c>
      <c r="B1508" s="89" t="s">
        <v>195</v>
      </c>
      <c r="C1508" s="90" t="s">
        <v>2560</v>
      </c>
      <c r="D1508" s="89">
        <v>10</v>
      </c>
      <c r="E1508" s="91" t="s">
        <v>25</v>
      </c>
      <c r="F1508" s="92">
        <v>5000000</v>
      </c>
      <c r="G1508" s="92">
        <v>50000000</v>
      </c>
    </row>
    <row r="1509" spans="1:7" ht="28.5">
      <c r="A1509" s="7" t="s">
        <v>2561</v>
      </c>
      <c r="B1509" s="89" t="s">
        <v>195</v>
      </c>
      <c r="C1509" s="90" t="s">
        <v>2562</v>
      </c>
      <c r="D1509" s="89">
        <v>10</v>
      </c>
      <c r="E1509" s="91" t="s">
        <v>25</v>
      </c>
      <c r="F1509" s="92">
        <v>5000000</v>
      </c>
      <c r="G1509" s="92">
        <v>50000000</v>
      </c>
    </row>
    <row r="1510" spans="1:7" ht="15">
      <c r="A1510" s="7" t="s">
        <v>2563</v>
      </c>
      <c r="B1510" s="78" t="s">
        <v>507</v>
      </c>
      <c r="C1510" s="79" t="s">
        <v>13</v>
      </c>
      <c r="D1510" s="78"/>
      <c r="E1510" s="80"/>
      <c r="F1510" s="81"/>
      <c r="G1510" s="81">
        <v>4200000</v>
      </c>
    </row>
    <row r="1511" spans="1:7" ht="28.5">
      <c r="A1511" s="7" t="s">
        <v>2564</v>
      </c>
      <c r="B1511" s="89" t="s">
        <v>195</v>
      </c>
      <c r="C1511" s="90" t="s">
        <v>2565</v>
      </c>
      <c r="D1511" s="89">
        <v>28</v>
      </c>
      <c r="E1511" s="91" t="s">
        <v>25</v>
      </c>
      <c r="F1511" s="92">
        <v>150000</v>
      </c>
      <c r="G1511" s="92">
        <v>4200000</v>
      </c>
    </row>
    <row r="1512" spans="1:7" ht="30">
      <c r="A1512" s="7" t="s">
        <v>2566</v>
      </c>
      <c r="B1512" s="78" t="s">
        <v>509</v>
      </c>
      <c r="C1512" s="79" t="s">
        <v>14</v>
      </c>
      <c r="D1512" s="78"/>
      <c r="E1512" s="80"/>
      <c r="F1512" s="81"/>
      <c r="G1512" s="81">
        <v>7200000</v>
      </c>
    </row>
    <row r="1513" spans="1:7" ht="28.5">
      <c r="A1513" s="7" t="s">
        <v>2567</v>
      </c>
      <c r="B1513" s="89" t="s">
        <v>195</v>
      </c>
      <c r="C1513" s="90" t="s">
        <v>2568</v>
      </c>
      <c r="D1513" s="89">
        <v>20</v>
      </c>
      <c r="E1513" s="91" t="s">
        <v>25</v>
      </c>
      <c r="F1513" s="92">
        <v>210000</v>
      </c>
      <c r="G1513" s="92">
        <v>4200000</v>
      </c>
    </row>
    <row r="1514" spans="1:7" ht="28.5">
      <c r="A1514" s="7" t="s">
        <v>2569</v>
      </c>
      <c r="B1514" s="89" t="s">
        <v>195</v>
      </c>
      <c r="C1514" s="90" t="s">
        <v>2570</v>
      </c>
      <c r="D1514" s="89">
        <v>20</v>
      </c>
      <c r="E1514" s="91" t="s">
        <v>25</v>
      </c>
      <c r="F1514" s="92">
        <v>150000</v>
      </c>
      <c r="G1514" s="92">
        <v>3000000</v>
      </c>
    </row>
    <row r="1515" spans="1:7" ht="15">
      <c r="A1515" s="7" t="s">
        <v>2571</v>
      </c>
      <c r="B1515" s="78" t="s">
        <v>510</v>
      </c>
      <c r="C1515" s="79" t="s">
        <v>15</v>
      </c>
      <c r="D1515" s="78"/>
      <c r="E1515" s="80"/>
      <c r="F1515" s="81"/>
      <c r="G1515" s="81">
        <v>7500000</v>
      </c>
    </row>
    <row r="1516" spans="1:7" ht="28.5">
      <c r="A1516" s="7" t="s">
        <v>2572</v>
      </c>
      <c r="B1516" s="89" t="s">
        <v>195</v>
      </c>
      <c r="C1516" s="90" t="s">
        <v>2573</v>
      </c>
      <c r="D1516" s="89">
        <v>10</v>
      </c>
      <c r="E1516" s="91" t="s">
        <v>25</v>
      </c>
      <c r="F1516" s="92">
        <v>150000</v>
      </c>
      <c r="G1516" s="92">
        <v>1500000</v>
      </c>
    </row>
    <row r="1517" spans="1:7">
      <c r="A1517" s="7" t="s">
        <v>2574</v>
      </c>
      <c r="B1517" s="89" t="s">
        <v>195</v>
      </c>
      <c r="C1517" s="90" t="s">
        <v>2575</v>
      </c>
      <c r="D1517" s="89">
        <v>10</v>
      </c>
      <c r="E1517" s="91" t="s">
        <v>25</v>
      </c>
      <c r="F1517" s="92">
        <v>150000</v>
      </c>
      <c r="G1517" s="92">
        <v>1500000</v>
      </c>
    </row>
    <row r="1518" spans="1:7" ht="28.5">
      <c r="A1518" s="7" t="s">
        <v>2576</v>
      </c>
      <c r="B1518" s="89" t="s">
        <v>195</v>
      </c>
      <c r="C1518" s="90" t="s">
        <v>2577</v>
      </c>
      <c r="D1518" s="89">
        <v>10</v>
      </c>
      <c r="E1518" s="91" t="s">
        <v>25</v>
      </c>
      <c r="F1518" s="92">
        <v>600000</v>
      </c>
      <c r="G1518" s="92">
        <v>6000000</v>
      </c>
    </row>
    <row r="1519" spans="1:7" ht="15">
      <c r="A1519" s="7" t="s">
        <v>2578</v>
      </c>
      <c r="B1519" s="97" t="s">
        <v>514</v>
      </c>
      <c r="C1519" s="98" t="s">
        <v>125</v>
      </c>
      <c r="D1519" s="97"/>
      <c r="E1519" s="99"/>
      <c r="F1519" s="100"/>
      <c r="G1519" s="100">
        <v>810000000</v>
      </c>
    </row>
    <row r="1520" spans="1:7" ht="15">
      <c r="A1520" s="7" t="s">
        <v>2579</v>
      </c>
      <c r="B1520" s="78" t="s">
        <v>503</v>
      </c>
      <c r="C1520" s="79" t="s">
        <v>7</v>
      </c>
      <c r="D1520" s="78"/>
      <c r="E1520" s="80"/>
      <c r="F1520" s="81"/>
      <c r="G1520" s="81">
        <v>86780000</v>
      </c>
    </row>
    <row r="1521" spans="1:7">
      <c r="A1521" s="7" t="s">
        <v>195</v>
      </c>
      <c r="B1521" s="89" t="s">
        <v>195</v>
      </c>
      <c r="C1521" s="90" t="s">
        <v>2580</v>
      </c>
      <c r="D1521" s="89">
        <v>0</v>
      </c>
      <c r="E1521" s="91" t="s">
        <v>195</v>
      </c>
      <c r="F1521" s="92">
        <v>0</v>
      </c>
      <c r="G1521" s="92">
        <v>0</v>
      </c>
    </row>
    <row r="1522" spans="1:7">
      <c r="A1522" s="7" t="s">
        <v>2581</v>
      </c>
      <c r="B1522" s="89" t="s">
        <v>195</v>
      </c>
      <c r="C1522" s="90" t="s">
        <v>620</v>
      </c>
      <c r="D1522" s="89">
        <v>1</v>
      </c>
      <c r="E1522" s="91" t="s">
        <v>106</v>
      </c>
      <c r="F1522" s="92">
        <v>1000000</v>
      </c>
      <c r="G1522" s="92">
        <v>1000000</v>
      </c>
    </row>
    <row r="1523" spans="1:7">
      <c r="A1523" s="7" t="s">
        <v>2582</v>
      </c>
      <c r="B1523" s="89" t="s">
        <v>195</v>
      </c>
      <c r="C1523" s="90" t="s">
        <v>2583</v>
      </c>
      <c r="D1523" s="89">
        <v>20</v>
      </c>
      <c r="E1523" s="91" t="s">
        <v>180</v>
      </c>
      <c r="F1523" s="92">
        <v>50000</v>
      </c>
      <c r="G1523" s="92">
        <v>1000000</v>
      </c>
    </row>
    <row r="1524" spans="1:7">
      <c r="A1524" s="7" t="s">
        <v>2584</v>
      </c>
      <c r="B1524" s="89" t="s">
        <v>195</v>
      </c>
      <c r="C1524" s="90" t="s">
        <v>2585</v>
      </c>
      <c r="D1524" s="89">
        <v>20</v>
      </c>
      <c r="E1524" s="91" t="s">
        <v>180</v>
      </c>
      <c r="F1524" s="92">
        <v>100000</v>
      </c>
      <c r="G1524" s="92">
        <v>2000000</v>
      </c>
    </row>
    <row r="1525" spans="1:7">
      <c r="A1525" s="7" t="s">
        <v>2586</v>
      </c>
      <c r="B1525" s="89" t="s">
        <v>195</v>
      </c>
      <c r="C1525" s="90" t="s">
        <v>619</v>
      </c>
      <c r="D1525" s="89">
        <v>1</v>
      </c>
      <c r="E1525" s="91" t="s">
        <v>106</v>
      </c>
      <c r="F1525" s="92">
        <v>1000000</v>
      </c>
      <c r="G1525" s="92">
        <v>1000000</v>
      </c>
    </row>
    <row r="1526" spans="1:7">
      <c r="A1526" s="7" t="s">
        <v>195</v>
      </c>
      <c r="B1526" s="89" t="s">
        <v>195</v>
      </c>
      <c r="C1526" s="90" t="s">
        <v>2587</v>
      </c>
      <c r="D1526" s="89">
        <v>0</v>
      </c>
      <c r="E1526" s="91" t="s">
        <v>195</v>
      </c>
      <c r="F1526" s="92">
        <v>0</v>
      </c>
      <c r="G1526" s="92">
        <v>0</v>
      </c>
    </row>
    <row r="1527" spans="1:7">
      <c r="A1527" s="7" t="s">
        <v>2588</v>
      </c>
      <c r="B1527" s="89" t="s">
        <v>195</v>
      </c>
      <c r="C1527" s="90" t="s">
        <v>619</v>
      </c>
      <c r="D1527" s="89">
        <v>1</v>
      </c>
      <c r="E1527" s="91" t="s">
        <v>106</v>
      </c>
      <c r="F1527" s="92">
        <v>1000000</v>
      </c>
      <c r="G1527" s="92">
        <v>1000000</v>
      </c>
    </row>
    <row r="1528" spans="1:7">
      <c r="A1528" s="7" t="s">
        <v>2589</v>
      </c>
      <c r="B1528" s="89" t="s">
        <v>195</v>
      </c>
      <c r="C1528" s="90" t="s">
        <v>620</v>
      </c>
      <c r="D1528" s="89">
        <v>1</v>
      </c>
      <c r="E1528" s="91" t="s">
        <v>106</v>
      </c>
      <c r="F1528" s="92">
        <v>1000000</v>
      </c>
      <c r="G1528" s="92">
        <v>1000000</v>
      </c>
    </row>
    <row r="1529" spans="1:7">
      <c r="A1529" s="7" t="s">
        <v>2590</v>
      </c>
      <c r="B1529" s="89" t="s">
        <v>195</v>
      </c>
      <c r="C1529" s="90" t="s">
        <v>2591</v>
      </c>
      <c r="D1529" s="89">
        <v>100</v>
      </c>
      <c r="E1529" s="91" t="s">
        <v>180</v>
      </c>
      <c r="F1529" s="92">
        <v>15000</v>
      </c>
      <c r="G1529" s="92">
        <v>1500000</v>
      </c>
    </row>
    <row r="1530" spans="1:7">
      <c r="A1530" s="7" t="s">
        <v>2592</v>
      </c>
      <c r="B1530" s="89" t="s">
        <v>195</v>
      </c>
      <c r="C1530" s="90" t="s">
        <v>920</v>
      </c>
      <c r="D1530" s="89">
        <v>1</v>
      </c>
      <c r="E1530" s="91" t="s">
        <v>106</v>
      </c>
      <c r="F1530" s="92">
        <v>2000000</v>
      </c>
      <c r="G1530" s="92">
        <v>2000000</v>
      </c>
    </row>
    <row r="1531" spans="1:7">
      <c r="A1531" s="7" t="s">
        <v>2593</v>
      </c>
      <c r="B1531" s="89" t="s">
        <v>195</v>
      </c>
      <c r="C1531" s="90" t="s">
        <v>2594</v>
      </c>
      <c r="D1531" s="89">
        <v>1</v>
      </c>
      <c r="E1531" s="91" t="s">
        <v>106</v>
      </c>
      <c r="F1531" s="92">
        <v>500000</v>
      </c>
      <c r="G1531" s="92">
        <v>500000</v>
      </c>
    </row>
    <row r="1532" spans="1:7">
      <c r="A1532" s="7" t="s">
        <v>2595</v>
      </c>
      <c r="B1532" s="89" t="s">
        <v>195</v>
      </c>
      <c r="C1532" s="90" t="s">
        <v>920</v>
      </c>
      <c r="D1532" s="89">
        <v>1</v>
      </c>
      <c r="E1532" s="91" t="s">
        <v>106</v>
      </c>
      <c r="F1532" s="92">
        <v>1030000</v>
      </c>
      <c r="G1532" s="92">
        <v>1030000</v>
      </c>
    </row>
    <row r="1533" spans="1:7">
      <c r="A1533" s="7" t="s">
        <v>2596</v>
      </c>
      <c r="B1533" s="89" t="s">
        <v>195</v>
      </c>
      <c r="C1533" s="90" t="s">
        <v>2597</v>
      </c>
      <c r="D1533" s="89">
        <v>160</v>
      </c>
      <c r="E1533" s="91" t="s">
        <v>106</v>
      </c>
      <c r="F1533" s="92">
        <v>350000</v>
      </c>
      <c r="G1533" s="92">
        <v>56000000</v>
      </c>
    </row>
    <row r="1534" spans="1:7">
      <c r="A1534" s="7" t="s">
        <v>2598</v>
      </c>
      <c r="B1534" s="89" t="s">
        <v>195</v>
      </c>
      <c r="C1534" s="90" t="s">
        <v>2585</v>
      </c>
      <c r="D1534" s="89">
        <v>10</v>
      </c>
      <c r="E1534" s="91" t="s">
        <v>180</v>
      </c>
      <c r="F1534" s="92">
        <v>200000</v>
      </c>
      <c r="G1534" s="92">
        <v>2000000</v>
      </c>
    </row>
    <row r="1535" spans="1:7">
      <c r="A1535" s="7" t="s">
        <v>2599</v>
      </c>
      <c r="B1535" s="89" t="s">
        <v>195</v>
      </c>
      <c r="C1535" s="90" t="s">
        <v>2594</v>
      </c>
      <c r="D1535" s="89">
        <v>1</v>
      </c>
      <c r="E1535" s="91" t="s">
        <v>106</v>
      </c>
      <c r="F1535" s="92">
        <v>250000</v>
      </c>
      <c r="G1535" s="92">
        <v>250000</v>
      </c>
    </row>
    <row r="1536" spans="1:7">
      <c r="A1536" s="7" t="s">
        <v>2600</v>
      </c>
      <c r="B1536" s="89" t="s">
        <v>195</v>
      </c>
      <c r="C1536" s="90" t="s">
        <v>2597</v>
      </c>
      <c r="D1536" s="89">
        <v>32</v>
      </c>
      <c r="E1536" s="91" t="s">
        <v>106</v>
      </c>
      <c r="F1536" s="92">
        <v>250000</v>
      </c>
      <c r="G1536" s="92">
        <v>8000000</v>
      </c>
    </row>
    <row r="1537" spans="1:7">
      <c r="A1537" s="7" t="s">
        <v>2601</v>
      </c>
      <c r="B1537" s="89" t="s">
        <v>195</v>
      </c>
      <c r="C1537" s="90" t="s">
        <v>619</v>
      </c>
      <c r="D1537" s="89">
        <v>1</v>
      </c>
      <c r="E1537" s="91" t="s">
        <v>106</v>
      </c>
      <c r="F1537" s="92">
        <v>1000000</v>
      </c>
      <c r="G1537" s="92">
        <v>1000000</v>
      </c>
    </row>
    <row r="1538" spans="1:7">
      <c r="A1538" s="7" t="s">
        <v>2602</v>
      </c>
      <c r="B1538" s="89" t="s">
        <v>195</v>
      </c>
      <c r="C1538" s="90" t="s">
        <v>620</v>
      </c>
      <c r="D1538" s="89">
        <v>1</v>
      </c>
      <c r="E1538" s="91" t="s">
        <v>106</v>
      </c>
      <c r="F1538" s="92">
        <v>1000000</v>
      </c>
      <c r="G1538" s="92">
        <v>1000000</v>
      </c>
    </row>
    <row r="1539" spans="1:7">
      <c r="A1539" s="7" t="s">
        <v>2603</v>
      </c>
      <c r="B1539" s="89" t="s">
        <v>195</v>
      </c>
      <c r="C1539" s="90" t="s">
        <v>1109</v>
      </c>
      <c r="D1539" s="89">
        <v>50</v>
      </c>
      <c r="E1539" s="91" t="s">
        <v>180</v>
      </c>
      <c r="F1539" s="92">
        <v>30000</v>
      </c>
      <c r="G1539" s="92">
        <v>1500000</v>
      </c>
    </row>
    <row r="1540" spans="1:7">
      <c r="A1540" s="7" t="s">
        <v>2604</v>
      </c>
      <c r="B1540" s="89" t="s">
        <v>195</v>
      </c>
      <c r="C1540" s="90" t="s">
        <v>2114</v>
      </c>
      <c r="D1540" s="89">
        <v>50</v>
      </c>
      <c r="E1540" s="91" t="s">
        <v>180</v>
      </c>
      <c r="F1540" s="92">
        <v>100000</v>
      </c>
      <c r="G1540" s="92">
        <v>5000000</v>
      </c>
    </row>
    <row r="1541" spans="1:7">
      <c r="A1541" s="7" t="s">
        <v>195</v>
      </c>
      <c r="B1541" s="89" t="s">
        <v>195</v>
      </c>
      <c r="C1541" s="90" t="s">
        <v>2605</v>
      </c>
      <c r="D1541" s="89">
        <v>0</v>
      </c>
      <c r="E1541" s="91" t="s">
        <v>195</v>
      </c>
      <c r="F1541" s="92">
        <v>0</v>
      </c>
      <c r="G1541" s="92">
        <v>0</v>
      </c>
    </row>
    <row r="1542" spans="1:7" ht="30">
      <c r="A1542" s="7" t="s">
        <v>2606</v>
      </c>
      <c r="B1542" s="78" t="s">
        <v>515</v>
      </c>
      <c r="C1542" s="79" t="s">
        <v>642</v>
      </c>
      <c r="D1542" s="78"/>
      <c r="E1542" s="80"/>
      <c r="F1542" s="81"/>
      <c r="G1542" s="81">
        <v>24720000</v>
      </c>
    </row>
    <row r="1543" spans="1:7" ht="28.5">
      <c r="A1543" s="7" t="s">
        <v>2607</v>
      </c>
      <c r="B1543" s="89" t="s">
        <v>195</v>
      </c>
      <c r="C1543" s="90" t="s">
        <v>2608</v>
      </c>
      <c r="D1543" s="89">
        <v>96</v>
      </c>
      <c r="E1543" s="91" t="s">
        <v>25</v>
      </c>
      <c r="F1543" s="92">
        <v>200000</v>
      </c>
      <c r="G1543" s="92">
        <v>19200000</v>
      </c>
    </row>
    <row r="1544" spans="1:7" ht="28.5">
      <c r="A1544" s="7" t="s">
        <v>2609</v>
      </c>
      <c r="B1544" s="89" t="s">
        <v>195</v>
      </c>
      <c r="C1544" s="90" t="s">
        <v>891</v>
      </c>
      <c r="D1544" s="89">
        <v>12</v>
      </c>
      <c r="E1544" s="91" t="s">
        <v>106</v>
      </c>
      <c r="F1544" s="92">
        <v>300000</v>
      </c>
      <c r="G1544" s="92">
        <v>3600000</v>
      </c>
    </row>
    <row r="1545" spans="1:7">
      <c r="A1545" s="7" t="s">
        <v>2610</v>
      </c>
      <c r="B1545" s="89" t="s">
        <v>195</v>
      </c>
      <c r="C1545" s="90" t="s">
        <v>2611</v>
      </c>
      <c r="D1545" s="89">
        <v>12</v>
      </c>
      <c r="E1545" s="91" t="s">
        <v>106</v>
      </c>
      <c r="F1545" s="92">
        <v>160000</v>
      </c>
      <c r="G1545" s="92">
        <v>1920000</v>
      </c>
    </row>
    <row r="1546" spans="1:7" ht="15">
      <c r="A1546" s="7" t="s">
        <v>2612</v>
      </c>
      <c r="B1546" s="78" t="s">
        <v>537</v>
      </c>
      <c r="C1546" s="79" t="s">
        <v>64</v>
      </c>
      <c r="D1546" s="78"/>
      <c r="E1546" s="80"/>
      <c r="F1546" s="81"/>
      <c r="G1546" s="81">
        <v>20000000</v>
      </c>
    </row>
    <row r="1547" spans="1:7">
      <c r="A1547" s="7" t="s">
        <v>2613</v>
      </c>
      <c r="B1547" s="89" t="s">
        <v>195</v>
      </c>
      <c r="C1547" s="90" t="s">
        <v>619</v>
      </c>
      <c r="D1547" s="89">
        <v>10</v>
      </c>
      <c r="E1547" s="91" t="s">
        <v>106</v>
      </c>
      <c r="F1547" s="92">
        <v>1000000</v>
      </c>
      <c r="G1547" s="92">
        <v>10000000</v>
      </c>
    </row>
    <row r="1548" spans="1:7">
      <c r="A1548" s="7" t="s">
        <v>2614</v>
      </c>
      <c r="B1548" s="89" t="s">
        <v>195</v>
      </c>
      <c r="C1548" s="90" t="s">
        <v>620</v>
      </c>
      <c r="D1548" s="89">
        <v>10</v>
      </c>
      <c r="E1548" s="91" t="s">
        <v>106</v>
      </c>
      <c r="F1548" s="92">
        <v>1000000</v>
      </c>
      <c r="G1548" s="92">
        <v>10000000</v>
      </c>
    </row>
    <row r="1549" spans="1:7" ht="15">
      <c r="A1549" s="7" t="s">
        <v>2615</v>
      </c>
      <c r="B1549" s="78" t="s">
        <v>516</v>
      </c>
      <c r="C1549" s="79" t="s">
        <v>11</v>
      </c>
      <c r="D1549" s="78"/>
      <c r="E1549" s="80"/>
      <c r="F1549" s="81"/>
      <c r="G1549" s="81">
        <v>24400000</v>
      </c>
    </row>
    <row r="1550" spans="1:7">
      <c r="A1550" s="7" t="s">
        <v>2616</v>
      </c>
      <c r="B1550" s="89" t="s">
        <v>195</v>
      </c>
      <c r="C1550" s="90" t="s">
        <v>2617</v>
      </c>
      <c r="D1550" s="89">
        <v>4</v>
      </c>
      <c r="E1550" s="91" t="s">
        <v>54</v>
      </c>
      <c r="F1550" s="92">
        <v>1400000</v>
      </c>
      <c r="G1550" s="92">
        <v>5600000</v>
      </c>
    </row>
    <row r="1551" spans="1:7" ht="28.5">
      <c r="A1551" s="7" t="s">
        <v>2618</v>
      </c>
      <c r="B1551" s="89" t="s">
        <v>195</v>
      </c>
      <c r="C1551" s="90" t="s">
        <v>2619</v>
      </c>
      <c r="D1551" s="89">
        <v>8</v>
      </c>
      <c r="E1551" s="91" t="s">
        <v>54</v>
      </c>
      <c r="F1551" s="92">
        <v>1000000</v>
      </c>
      <c r="G1551" s="92">
        <v>8000000</v>
      </c>
    </row>
    <row r="1552" spans="1:7" ht="28.5">
      <c r="A1552" s="7" t="s">
        <v>2620</v>
      </c>
      <c r="B1552" s="89" t="s">
        <v>195</v>
      </c>
      <c r="C1552" s="90" t="s">
        <v>2621</v>
      </c>
      <c r="D1552" s="89">
        <v>12</v>
      </c>
      <c r="E1552" s="91" t="s">
        <v>54</v>
      </c>
      <c r="F1552" s="92">
        <v>900000</v>
      </c>
      <c r="G1552" s="92">
        <v>10800000</v>
      </c>
    </row>
    <row r="1553" spans="1:7" ht="15">
      <c r="A1553" s="7" t="s">
        <v>2622</v>
      </c>
      <c r="B1553" s="78" t="s">
        <v>518</v>
      </c>
      <c r="C1553" s="79" t="s">
        <v>24</v>
      </c>
      <c r="D1553" s="78"/>
      <c r="E1553" s="80"/>
      <c r="F1553" s="81"/>
      <c r="G1553" s="81">
        <v>24000000</v>
      </c>
    </row>
    <row r="1554" spans="1:7">
      <c r="A1554" s="7" t="s">
        <v>2623</v>
      </c>
      <c r="B1554" s="89" t="s">
        <v>195</v>
      </c>
      <c r="C1554" s="90" t="s">
        <v>2624</v>
      </c>
      <c r="D1554" s="89">
        <v>160</v>
      </c>
      <c r="E1554" s="91" t="s">
        <v>25</v>
      </c>
      <c r="F1554" s="92">
        <v>150000</v>
      </c>
      <c r="G1554" s="92">
        <v>24000000</v>
      </c>
    </row>
    <row r="1555" spans="1:7" ht="15">
      <c r="A1555" s="7" t="s">
        <v>2625</v>
      </c>
      <c r="B1555" s="78" t="s">
        <v>513</v>
      </c>
      <c r="C1555" s="79" t="s">
        <v>19</v>
      </c>
      <c r="D1555" s="78"/>
      <c r="E1555" s="80"/>
      <c r="F1555" s="81"/>
      <c r="G1555" s="81">
        <v>180000000</v>
      </c>
    </row>
    <row r="1556" spans="1:7">
      <c r="A1556" s="7" t="s">
        <v>2626</v>
      </c>
      <c r="B1556" s="89" t="s">
        <v>195</v>
      </c>
      <c r="C1556" s="90" t="s">
        <v>2627</v>
      </c>
      <c r="D1556" s="89">
        <v>36</v>
      </c>
      <c r="E1556" s="91" t="s">
        <v>25</v>
      </c>
      <c r="F1556" s="92">
        <v>5000000</v>
      </c>
      <c r="G1556" s="92">
        <v>180000000</v>
      </c>
    </row>
    <row r="1557" spans="1:7" ht="30">
      <c r="A1557" s="7" t="s">
        <v>2628</v>
      </c>
      <c r="B1557" s="78" t="s">
        <v>509</v>
      </c>
      <c r="C1557" s="79" t="s">
        <v>14</v>
      </c>
      <c r="D1557" s="78"/>
      <c r="E1557" s="80"/>
      <c r="F1557" s="81"/>
      <c r="G1557" s="81">
        <v>10800000</v>
      </c>
    </row>
    <row r="1558" spans="1:7" ht="28.5">
      <c r="A1558" s="7" t="s">
        <v>2629</v>
      </c>
      <c r="B1558" s="89" t="s">
        <v>195</v>
      </c>
      <c r="C1558" s="90" t="s">
        <v>2630</v>
      </c>
      <c r="D1558" s="89">
        <v>30</v>
      </c>
      <c r="E1558" s="91" t="s">
        <v>25</v>
      </c>
      <c r="F1558" s="92">
        <v>210000</v>
      </c>
      <c r="G1558" s="92">
        <v>6300000</v>
      </c>
    </row>
    <row r="1559" spans="1:7" ht="28.5">
      <c r="A1559" s="7" t="s">
        <v>2631</v>
      </c>
      <c r="B1559" s="89" t="s">
        <v>195</v>
      </c>
      <c r="C1559" s="90" t="s">
        <v>2632</v>
      </c>
      <c r="D1559" s="89">
        <v>30</v>
      </c>
      <c r="E1559" s="91" t="s">
        <v>25</v>
      </c>
      <c r="F1559" s="92">
        <v>150000</v>
      </c>
      <c r="G1559" s="92">
        <v>4500000</v>
      </c>
    </row>
    <row r="1560" spans="1:7" ht="15">
      <c r="A1560" s="7" t="s">
        <v>2633</v>
      </c>
      <c r="B1560" s="78" t="s">
        <v>510</v>
      </c>
      <c r="C1560" s="79" t="s">
        <v>15</v>
      </c>
      <c r="D1560" s="78"/>
      <c r="E1560" s="80"/>
      <c r="F1560" s="81"/>
      <c r="G1560" s="81">
        <v>439300000</v>
      </c>
    </row>
    <row r="1561" spans="1:7">
      <c r="A1561" s="7" t="s">
        <v>195</v>
      </c>
      <c r="B1561" s="89" t="s">
        <v>195</v>
      </c>
      <c r="C1561" s="90" t="s">
        <v>2634</v>
      </c>
      <c r="D1561" s="89">
        <v>0</v>
      </c>
      <c r="E1561" s="91" t="s">
        <v>195</v>
      </c>
      <c r="F1561" s="92">
        <v>0</v>
      </c>
      <c r="G1561" s="92">
        <v>0</v>
      </c>
    </row>
    <row r="1562" spans="1:7">
      <c r="A1562" s="7" t="s">
        <v>2635</v>
      </c>
      <c r="B1562" s="89" t="s">
        <v>195</v>
      </c>
      <c r="C1562" s="90" t="s">
        <v>2636</v>
      </c>
      <c r="D1562" s="89">
        <v>480</v>
      </c>
      <c r="E1562" s="91" t="s">
        <v>25</v>
      </c>
      <c r="F1562" s="92">
        <v>808000</v>
      </c>
      <c r="G1562" s="92">
        <v>387600000</v>
      </c>
    </row>
    <row r="1563" spans="1:7">
      <c r="A1563" s="7" t="s">
        <v>2637</v>
      </c>
      <c r="B1563" s="89" t="s">
        <v>195</v>
      </c>
      <c r="C1563" s="90" t="s">
        <v>2638</v>
      </c>
      <c r="D1563" s="89">
        <v>24</v>
      </c>
      <c r="E1563" s="91" t="s">
        <v>25</v>
      </c>
      <c r="F1563" s="92">
        <v>600000</v>
      </c>
      <c r="G1563" s="92">
        <v>14400000</v>
      </c>
    </row>
    <row r="1564" spans="1:7" ht="28.5">
      <c r="A1564" s="7" t="s">
        <v>2639</v>
      </c>
      <c r="B1564" s="89" t="s">
        <v>195</v>
      </c>
      <c r="C1564" s="90" t="s">
        <v>2640</v>
      </c>
      <c r="D1564" s="89">
        <v>30</v>
      </c>
      <c r="E1564" s="91" t="s">
        <v>73</v>
      </c>
      <c r="F1564" s="92">
        <v>150000</v>
      </c>
      <c r="G1564" s="92">
        <v>4500000</v>
      </c>
    </row>
    <row r="1565" spans="1:7" ht="28.5">
      <c r="A1565" s="7" t="s">
        <v>2641</v>
      </c>
      <c r="B1565" s="89" t="s">
        <v>195</v>
      </c>
      <c r="C1565" s="90" t="s">
        <v>2642</v>
      </c>
      <c r="D1565" s="89">
        <v>10</v>
      </c>
      <c r="E1565" s="91" t="s">
        <v>25</v>
      </c>
      <c r="F1565" s="92">
        <v>1030000</v>
      </c>
      <c r="G1565" s="92">
        <v>10300000</v>
      </c>
    </row>
    <row r="1566" spans="1:7">
      <c r="A1566" s="7" t="s">
        <v>195</v>
      </c>
      <c r="B1566" s="89" t="s">
        <v>195</v>
      </c>
      <c r="C1566" s="90" t="s">
        <v>2643</v>
      </c>
      <c r="D1566" s="89">
        <v>0</v>
      </c>
      <c r="E1566" s="91" t="s">
        <v>195</v>
      </c>
      <c r="F1566" s="92">
        <v>0</v>
      </c>
      <c r="G1566" s="92">
        <v>0</v>
      </c>
    </row>
    <row r="1567" spans="1:7" ht="28.5">
      <c r="A1567" s="7" t="s">
        <v>2644</v>
      </c>
      <c r="B1567" s="89" t="s">
        <v>195</v>
      </c>
      <c r="C1567" s="90" t="s">
        <v>2630</v>
      </c>
      <c r="D1567" s="89">
        <v>30</v>
      </c>
      <c r="E1567" s="91" t="s">
        <v>25</v>
      </c>
      <c r="F1567" s="92">
        <v>150000</v>
      </c>
      <c r="G1567" s="92">
        <v>4500000</v>
      </c>
    </row>
    <row r="1568" spans="1:7" ht="28.5">
      <c r="A1568" s="7" t="s">
        <v>2645</v>
      </c>
      <c r="B1568" s="89" t="s">
        <v>195</v>
      </c>
      <c r="C1568" s="90" t="s">
        <v>2646</v>
      </c>
      <c r="D1568" s="89">
        <v>30</v>
      </c>
      <c r="E1568" s="91" t="s">
        <v>25</v>
      </c>
      <c r="F1568" s="92">
        <v>600000</v>
      </c>
      <c r="G1568" s="92">
        <v>18000000</v>
      </c>
    </row>
    <row r="1569" spans="1:7" ht="45">
      <c r="A1569" s="7" t="s">
        <v>2647</v>
      </c>
      <c r="B1569" s="93" t="s">
        <v>1316</v>
      </c>
      <c r="C1569" s="94" t="s">
        <v>2648</v>
      </c>
      <c r="D1569" s="93"/>
      <c r="E1569" s="95"/>
      <c r="F1569" s="96"/>
      <c r="G1569" s="96">
        <v>1448000000</v>
      </c>
    </row>
    <row r="1570" spans="1:7" ht="30">
      <c r="A1570" s="7" t="s">
        <v>2649</v>
      </c>
      <c r="B1570" s="97" t="s">
        <v>8</v>
      </c>
      <c r="C1570" s="98" t="s">
        <v>126</v>
      </c>
      <c r="D1570" s="97"/>
      <c r="E1570" s="99"/>
      <c r="F1570" s="100"/>
      <c r="G1570" s="100">
        <v>68200000</v>
      </c>
    </row>
    <row r="1571" spans="1:7" ht="15">
      <c r="A1571" s="7" t="s">
        <v>2650</v>
      </c>
      <c r="B1571" s="78" t="s">
        <v>503</v>
      </c>
      <c r="C1571" s="79" t="s">
        <v>7</v>
      </c>
      <c r="D1571" s="78"/>
      <c r="E1571" s="80"/>
      <c r="F1571" s="81"/>
      <c r="G1571" s="81">
        <v>26200000</v>
      </c>
    </row>
    <row r="1572" spans="1:7">
      <c r="A1572" s="7" t="s">
        <v>2651</v>
      </c>
      <c r="B1572" s="89" t="s">
        <v>195</v>
      </c>
      <c r="C1572" s="90" t="s">
        <v>619</v>
      </c>
      <c r="D1572" s="89">
        <v>3</v>
      </c>
      <c r="E1572" s="91" t="s">
        <v>9</v>
      </c>
      <c r="F1572" s="92">
        <v>1000000</v>
      </c>
      <c r="G1572" s="92">
        <v>3000000</v>
      </c>
    </row>
    <row r="1573" spans="1:7">
      <c r="A1573" s="7" t="s">
        <v>2652</v>
      </c>
      <c r="B1573" s="89" t="s">
        <v>195</v>
      </c>
      <c r="C1573" s="90" t="s">
        <v>620</v>
      </c>
      <c r="D1573" s="89">
        <v>3</v>
      </c>
      <c r="E1573" s="91" t="s">
        <v>9</v>
      </c>
      <c r="F1573" s="92">
        <v>1000000</v>
      </c>
      <c r="G1573" s="92">
        <v>3000000</v>
      </c>
    </row>
    <row r="1574" spans="1:7">
      <c r="A1574" s="7" t="s">
        <v>2653</v>
      </c>
      <c r="B1574" s="89" t="s">
        <v>195</v>
      </c>
      <c r="C1574" s="90" t="s">
        <v>617</v>
      </c>
      <c r="D1574" s="89">
        <v>3</v>
      </c>
      <c r="E1574" s="91" t="s">
        <v>9</v>
      </c>
      <c r="F1574" s="92">
        <v>1000000</v>
      </c>
      <c r="G1574" s="92">
        <v>3000000</v>
      </c>
    </row>
    <row r="1575" spans="1:7">
      <c r="A1575" s="7" t="s">
        <v>2654</v>
      </c>
      <c r="B1575" s="89" t="s">
        <v>195</v>
      </c>
      <c r="C1575" s="90" t="s">
        <v>2655</v>
      </c>
      <c r="D1575" s="89">
        <v>100</v>
      </c>
      <c r="E1575" s="91" t="s">
        <v>10</v>
      </c>
      <c r="F1575" s="92">
        <v>22000</v>
      </c>
      <c r="G1575" s="92">
        <v>2200000</v>
      </c>
    </row>
    <row r="1576" spans="1:7">
      <c r="A1576" s="7" t="s">
        <v>2656</v>
      </c>
      <c r="B1576" s="89" t="s">
        <v>195</v>
      </c>
      <c r="C1576" s="90" t="s">
        <v>2657</v>
      </c>
      <c r="D1576" s="89">
        <v>3</v>
      </c>
      <c r="E1576" s="91" t="s">
        <v>9</v>
      </c>
      <c r="F1576" s="92">
        <v>5000000</v>
      </c>
      <c r="G1576" s="92">
        <v>15000000</v>
      </c>
    </row>
    <row r="1577" spans="1:7" ht="15">
      <c r="A1577" s="7" t="s">
        <v>2658</v>
      </c>
      <c r="B1577" s="78" t="s">
        <v>513</v>
      </c>
      <c r="C1577" s="79" t="s">
        <v>19</v>
      </c>
      <c r="D1577" s="78"/>
      <c r="E1577" s="80"/>
      <c r="F1577" s="81"/>
      <c r="G1577" s="81">
        <v>42000000</v>
      </c>
    </row>
    <row r="1578" spans="1:7" ht="28.5">
      <c r="A1578" s="7" t="s">
        <v>2659</v>
      </c>
      <c r="B1578" s="89" t="s">
        <v>195</v>
      </c>
      <c r="C1578" s="90" t="s">
        <v>2660</v>
      </c>
      <c r="D1578" s="89">
        <v>10</v>
      </c>
      <c r="E1578" s="91" t="s">
        <v>10</v>
      </c>
      <c r="F1578" s="92">
        <v>4200000</v>
      </c>
      <c r="G1578" s="92">
        <v>42000000</v>
      </c>
    </row>
    <row r="1579" spans="1:7" ht="30">
      <c r="A1579" s="7" t="s">
        <v>2661</v>
      </c>
      <c r="B1579" s="97" t="s">
        <v>511</v>
      </c>
      <c r="C1579" s="98" t="s">
        <v>2662</v>
      </c>
      <c r="D1579" s="97"/>
      <c r="E1579" s="99"/>
      <c r="F1579" s="100"/>
      <c r="G1579" s="100">
        <v>72700000</v>
      </c>
    </row>
    <row r="1580" spans="1:7" ht="15">
      <c r="A1580" s="7" t="s">
        <v>2663</v>
      </c>
      <c r="B1580" s="78" t="s">
        <v>503</v>
      </c>
      <c r="C1580" s="79" t="s">
        <v>7</v>
      </c>
      <c r="D1580" s="78"/>
      <c r="E1580" s="80"/>
      <c r="F1580" s="81"/>
      <c r="G1580" s="81">
        <v>26200000</v>
      </c>
    </row>
    <row r="1581" spans="1:7">
      <c r="A1581" s="7" t="s">
        <v>2664</v>
      </c>
      <c r="B1581" s="89" t="s">
        <v>195</v>
      </c>
      <c r="C1581" s="90" t="s">
        <v>619</v>
      </c>
      <c r="D1581" s="89">
        <v>3</v>
      </c>
      <c r="E1581" s="91" t="s">
        <v>9</v>
      </c>
      <c r="F1581" s="92">
        <v>1000000</v>
      </c>
      <c r="G1581" s="92">
        <v>3000000</v>
      </c>
    </row>
    <row r="1582" spans="1:7">
      <c r="A1582" s="7" t="s">
        <v>2665</v>
      </c>
      <c r="B1582" s="89" t="s">
        <v>195</v>
      </c>
      <c r="C1582" s="90" t="s">
        <v>620</v>
      </c>
      <c r="D1582" s="89">
        <v>3</v>
      </c>
      <c r="E1582" s="91" t="s">
        <v>9</v>
      </c>
      <c r="F1582" s="92">
        <v>1000000</v>
      </c>
      <c r="G1582" s="92">
        <v>3000000</v>
      </c>
    </row>
    <row r="1583" spans="1:7">
      <c r="A1583" s="7" t="s">
        <v>2666</v>
      </c>
      <c r="B1583" s="89" t="s">
        <v>195</v>
      </c>
      <c r="C1583" s="90" t="s">
        <v>617</v>
      </c>
      <c r="D1583" s="89">
        <v>3</v>
      </c>
      <c r="E1583" s="91" t="s">
        <v>9</v>
      </c>
      <c r="F1583" s="92">
        <v>1000000</v>
      </c>
      <c r="G1583" s="92">
        <v>3000000</v>
      </c>
    </row>
    <row r="1584" spans="1:7">
      <c r="A1584" s="7" t="s">
        <v>2667</v>
      </c>
      <c r="B1584" s="89" t="s">
        <v>195</v>
      </c>
      <c r="C1584" s="90" t="s">
        <v>2655</v>
      </c>
      <c r="D1584" s="89">
        <v>100</v>
      </c>
      <c r="E1584" s="91" t="s">
        <v>10</v>
      </c>
      <c r="F1584" s="92">
        <v>22000</v>
      </c>
      <c r="G1584" s="92">
        <v>2200000</v>
      </c>
    </row>
    <row r="1585" spans="1:7">
      <c r="A1585" s="7" t="s">
        <v>2668</v>
      </c>
      <c r="B1585" s="89" t="s">
        <v>195</v>
      </c>
      <c r="C1585" s="90" t="s">
        <v>2657</v>
      </c>
      <c r="D1585" s="89">
        <v>3</v>
      </c>
      <c r="E1585" s="91" t="s">
        <v>9</v>
      </c>
      <c r="F1585" s="92">
        <v>5000000</v>
      </c>
      <c r="G1585" s="92">
        <v>15000000</v>
      </c>
    </row>
    <row r="1586" spans="1:7" ht="15">
      <c r="A1586" s="7" t="s">
        <v>2669</v>
      </c>
      <c r="B1586" s="78" t="s">
        <v>513</v>
      </c>
      <c r="C1586" s="79" t="s">
        <v>19</v>
      </c>
      <c r="D1586" s="78"/>
      <c r="E1586" s="80"/>
      <c r="F1586" s="81"/>
      <c r="G1586" s="81">
        <v>42000000</v>
      </c>
    </row>
    <row r="1587" spans="1:7" ht="28.5">
      <c r="A1587" s="7" t="s">
        <v>2670</v>
      </c>
      <c r="B1587" s="89" t="s">
        <v>195</v>
      </c>
      <c r="C1587" s="90" t="s">
        <v>2660</v>
      </c>
      <c r="D1587" s="89">
        <v>10</v>
      </c>
      <c r="E1587" s="91" t="s">
        <v>10</v>
      </c>
      <c r="F1587" s="92">
        <v>4200000</v>
      </c>
      <c r="G1587" s="92">
        <v>42000000</v>
      </c>
    </row>
    <row r="1588" spans="1:7" ht="15">
      <c r="A1588" s="7" t="s">
        <v>2671</v>
      </c>
      <c r="B1588" s="78" t="s">
        <v>507</v>
      </c>
      <c r="C1588" s="79" t="s">
        <v>13</v>
      </c>
      <c r="D1588" s="78"/>
      <c r="E1588" s="80"/>
      <c r="F1588" s="81"/>
      <c r="G1588" s="81">
        <v>4500000</v>
      </c>
    </row>
    <row r="1589" spans="1:7">
      <c r="A1589" s="7" t="s">
        <v>2672</v>
      </c>
      <c r="B1589" s="89" t="s">
        <v>195</v>
      </c>
      <c r="C1589" s="90" t="s">
        <v>2673</v>
      </c>
      <c r="D1589" s="89">
        <v>30</v>
      </c>
      <c r="E1589" s="91" t="s">
        <v>10</v>
      </c>
      <c r="F1589" s="92">
        <v>150000</v>
      </c>
      <c r="G1589" s="92">
        <v>4500000</v>
      </c>
    </row>
    <row r="1590" spans="1:7" ht="30">
      <c r="A1590" s="7" t="s">
        <v>2674</v>
      </c>
      <c r="B1590" s="97" t="s">
        <v>512</v>
      </c>
      <c r="C1590" s="98" t="s">
        <v>127</v>
      </c>
      <c r="D1590" s="97"/>
      <c r="E1590" s="99"/>
      <c r="F1590" s="100"/>
      <c r="G1590" s="100">
        <v>851600000</v>
      </c>
    </row>
    <row r="1591" spans="1:7" ht="15">
      <c r="A1591" s="7" t="s">
        <v>2675</v>
      </c>
      <c r="B1591" s="78" t="s">
        <v>503</v>
      </c>
      <c r="C1591" s="79" t="s">
        <v>7</v>
      </c>
      <c r="D1591" s="78"/>
      <c r="E1591" s="80"/>
      <c r="F1591" s="81"/>
      <c r="G1591" s="81">
        <v>68650000</v>
      </c>
    </row>
    <row r="1592" spans="1:7">
      <c r="A1592" s="7" t="s">
        <v>2676</v>
      </c>
      <c r="B1592" s="89" t="s">
        <v>195</v>
      </c>
      <c r="C1592" s="90" t="s">
        <v>619</v>
      </c>
      <c r="D1592" s="89">
        <v>2</v>
      </c>
      <c r="E1592" s="91" t="s">
        <v>9</v>
      </c>
      <c r="F1592" s="92">
        <v>1000000</v>
      </c>
      <c r="G1592" s="92">
        <v>2000000</v>
      </c>
    </row>
    <row r="1593" spans="1:7">
      <c r="A1593" s="7" t="s">
        <v>2677</v>
      </c>
      <c r="B1593" s="89" t="s">
        <v>195</v>
      </c>
      <c r="C1593" s="90" t="s">
        <v>620</v>
      </c>
      <c r="D1593" s="89">
        <v>2</v>
      </c>
      <c r="E1593" s="91" t="s">
        <v>9</v>
      </c>
      <c r="F1593" s="92">
        <v>1000000</v>
      </c>
      <c r="G1593" s="92">
        <v>2000000</v>
      </c>
    </row>
    <row r="1594" spans="1:7">
      <c r="A1594" s="7" t="s">
        <v>2678</v>
      </c>
      <c r="B1594" s="89" t="s">
        <v>195</v>
      </c>
      <c r="C1594" s="90" t="s">
        <v>617</v>
      </c>
      <c r="D1594" s="89">
        <v>2</v>
      </c>
      <c r="E1594" s="91" t="s">
        <v>9</v>
      </c>
      <c r="F1594" s="92">
        <v>1500000</v>
      </c>
      <c r="G1594" s="92">
        <v>3000000</v>
      </c>
    </row>
    <row r="1595" spans="1:7">
      <c r="A1595" s="7" t="s">
        <v>2679</v>
      </c>
      <c r="B1595" s="89" t="s">
        <v>195</v>
      </c>
      <c r="C1595" s="90" t="s">
        <v>920</v>
      </c>
      <c r="D1595" s="89">
        <v>2</v>
      </c>
      <c r="E1595" s="91" t="s">
        <v>9</v>
      </c>
      <c r="F1595" s="92">
        <v>1500000</v>
      </c>
      <c r="G1595" s="92">
        <v>3000000</v>
      </c>
    </row>
    <row r="1596" spans="1:7">
      <c r="A1596" s="7" t="s">
        <v>2680</v>
      </c>
      <c r="B1596" s="89" t="s">
        <v>195</v>
      </c>
      <c r="C1596" s="90" t="s">
        <v>2681</v>
      </c>
      <c r="D1596" s="89">
        <v>140</v>
      </c>
      <c r="E1596" s="91" t="s">
        <v>10</v>
      </c>
      <c r="F1596" s="92">
        <v>350000</v>
      </c>
      <c r="G1596" s="92">
        <v>49000000</v>
      </c>
    </row>
    <row r="1597" spans="1:7">
      <c r="A1597" s="7" t="s">
        <v>2682</v>
      </c>
      <c r="B1597" s="89" t="s">
        <v>195</v>
      </c>
      <c r="C1597" s="90" t="s">
        <v>1276</v>
      </c>
      <c r="D1597" s="89">
        <v>2</v>
      </c>
      <c r="E1597" s="91" t="s">
        <v>9</v>
      </c>
      <c r="F1597" s="92">
        <v>4000000</v>
      </c>
      <c r="G1597" s="92">
        <v>8000000</v>
      </c>
    </row>
    <row r="1598" spans="1:7">
      <c r="A1598" s="7" t="s">
        <v>2683</v>
      </c>
      <c r="B1598" s="89" t="s">
        <v>195</v>
      </c>
      <c r="C1598" s="90" t="s">
        <v>2655</v>
      </c>
      <c r="D1598" s="89">
        <v>75</v>
      </c>
      <c r="E1598" s="91" t="s">
        <v>10</v>
      </c>
      <c r="F1598" s="92">
        <v>22000</v>
      </c>
      <c r="G1598" s="92">
        <v>1650000</v>
      </c>
    </row>
    <row r="1599" spans="1:7" ht="15">
      <c r="A1599" s="7" t="s">
        <v>2684</v>
      </c>
      <c r="B1599" s="78" t="s">
        <v>516</v>
      </c>
      <c r="C1599" s="79" t="s">
        <v>11</v>
      </c>
      <c r="D1599" s="78"/>
      <c r="E1599" s="80"/>
      <c r="F1599" s="81"/>
      <c r="G1599" s="81">
        <v>26400000</v>
      </c>
    </row>
    <row r="1600" spans="1:7">
      <c r="A1600" s="7" t="s">
        <v>2685</v>
      </c>
      <c r="B1600" s="89" t="s">
        <v>195</v>
      </c>
      <c r="C1600" s="90" t="s">
        <v>2686</v>
      </c>
      <c r="D1600" s="89">
        <v>8</v>
      </c>
      <c r="E1600" s="91" t="s">
        <v>12</v>
      </c>
      <c r="F1600" s="92">
        <v>1400000</v>
      </c>
      <c r="G1600" s="92">
        <v>11200000</v>
      </c>
    </row>
    <row r="1601" spans="1:7">
      <c r="A1601" s="7" t="s">
        <v>2687</v>
      </c>
      <c r="B1601" s="89" t="s">
        <v>195</v>
      </c>
      <c r="C1601" s="90" t="s">
        <v>2688</v>
      </c>
      <c r="D1601" s="89">
        <v>8</v>
      </c>
      <c r="E1601" s="91" t="s">
        <v>12</v>
      </c>
      <c r="F1601" s="92">
        <v>1000000</v>
      </c>
      <c r="G1601" s="92">
        <v>8000000</v>
      </c>
    </row>
    <row r="1602" spans="1:7">
      <c r="A1602" s="7" t="s">
        <v>2689</v>
      </c>
      <c r="B1602" s="89" t="s">
        <v>195</v>
      </c>
      <c r="C1602" s="90" t="s">
        <v>2690</v>
      </c>
      <c r="D1602" s="89">
        <v>8</v>
      </c>
      <c r="E1602" s="91" t="s">
        <v>12</v>
      </c>
      <c r="F1602" s="92">
        <v>900000</v>
      </c>
      <c r="G1602" s="92">
        <v>7200000</v>
      </c>
    </row>
    <row r="1603" spans="1:7" ht="15">
      <c r="A1603" s="7" t="s">
        <v>2691</v>
      </c>
      <c r="B1603" s="78" t="s">
        <v>518</v>
      </c>
      <c r="C1603" s="79" t="s">
        <v>24</v>
      </c>
      <c r="D1603" s="78"/>
      <c r="E1603" s="80"/>
      <c r="F1603" s="81"/>
      <c r="G1603" s="81">
        <v>32000000</v>
      </c>
    </row>
    <row r="1604" spans="1:7">
      <c r="A1604" s="7" t="s">
        <v>2692</v>
      </c>
      <c r="B1604" s="89" t="s">
        <v>195</v>
      </c>
      <c r="C1604" s="90" t="s">
        <v>2693</v>
      </c>
      <c r="D1604" s="89">
        <v>160</v>
      </c>
      <c r="E1604" s="91" t="s">
        <v>10</v>
      </c>
      <c r="F1604" s="92">
        <v>200000</v>
      </c>
      <c r="G1604" s="92">
        <v>32000000</v>
      </c>
    </row>
    <row r="1605" spans="1:7" ht="15">
      <c r="A1605" s="7" t="s">
        <v>2694</v>
      </c>
      <c r="B1605" s="78" t="s">
        <v>513</v>
      </c>
      <c r="C1605" s="79" t="s">
        <v>19</v>
      </c>
      <c r="D1605" s="78"/>
      <c r="E1605" s="80"/>
      <c r="F1605" s="81"/>
      <c r="G1605" s="81">
        <v>60000000</v>
      </c>
    </row>
    <row r="1606" spans="1:7" ht="28.5">
      <c r="A1606" s="7" t="s">
        <v>2695</v>
      </c>
      <c r="B1606" s="89" t="s">
        <v>195</v>
      </c>
      <c r="C1606" s="90" t="s">
        <v>2696</v>
      </c>
      <c r="D1606" s="89">
        <v>15</v>
      </c>
      <c r="E1606" s="91" t="s">
        <v>10</v>
      </c>
      <c r="F1606" s="92">
        <v>4000000</v>
      </c>
      <c r="G1606" s="92">
        <v>60000000</v>
      </c>
    </row>
    <row r="1607" spans="1:7" ht="15">
      <c r="A1607" s="7" t="s">
        <v>2697</v>
      </c>
      <c r="B1607" s="78" t="s">
        <v>510</v>
      </c>
      <c r="C1607" s="79" t="s">
        <v>15</v>
      </c>
      <c r="D1607" s="78"/>
      <c r="E1607" s="80"/>
      <c r="F1607" s="81"/>
      <c r="G1607" s="81">
        <v>664550000</v>
      </c>
    </row>
    <row r="1608" spans="1:7">
      <c r="A1608" s="7" t="s">
        <v>2698</v>
      </c>
      <c r="B1608" s="89" t="s">
        <v>195</v>
      </c>
      <c r="C1608" s="90" t="s">
        <v>2699</v>
      </c>
      <c r="D1608" s="89">
        <v>280</v>
      </c>
      <c r="E1608" s="91" t="s">
        <v>16</v>
      </c>
      <c r="F1608" s="92">
        <v>820000</v>
      </c>
      <c r="G1608" s="92">
        <v>229600000</v>
      </c>
    </row>
    <row r="1609" spans="1:7" ht="28.5">
      <c r="A1609" s="7" t="s">
        <v>2700</v>
      </c>
      <c r="B1609" s="89" t="s">
        <v>195</v>
      </c>
      <c r="C1609" s="90" t="s">
        <v>2701</v>
      </c>
      <c r="D1609" s="89">
        <v>420</v>
      </c>
      <c r="E1609" s="91" t="s">
        <v>16</v>
      </c>
      <c r="F1609" s="92">
        <v>150000</v>
      </c>
      <c r="G1609" s="92">
        <v>63000000</v>
      </c>
    </row>
    <row r="1610" spans="1:7">
      <c r="A1610" s="7" t="s">
        <v>2702</v>
      </c>
      <c r="B1610" s="89" t="s">
        <v>195</v>
      </c>
      <c r="C1610" s="90" t="s">
        <v>2703</v>
      </c>
      <c r="D1610" s="89">
        <v>140</v>
      </c>
      <c r="E1610" s="91" t="s">
        <v>10</v>
      </c>
      <c r="F1610" s="92">
        <v>2341000</v>
      </c>
      <c r="G1610" s="92">
        <v>327750000</v>
      </c>
    </row>
    <row r="1611" spans="1:7">
      <c r="A1611" s="7" t="s">
        <v>2704</v>
      </c>
      <c r="B1611" s="89" t="s">
        <v>195</v>
      </c>
      <c r="C1611" s="90" t="s">
        <v>2705</v>
      </c>
      <c r="D1611" s="89">
        <v>34</v>
      </c>
      <c r="E1611" s="91" t="s">
        <v>10</v>
      </c>
      <c r="F1611" s="92">
        <v>1300000</v>
      </c>
      <c r="G1611" s="92">
        <v>44200000</v>
      </c>
    </row>
    <row r="1612" spans="1:7" ht="45">
      <c r="A1612" s="7" t="s">
        <v>2706</v>
      </c>
      <c r="B1612" s="97" t="s">
        <v>514</v>
      </c>
      <c r="C1612" s="98" t="s">
        <v>128</v>
      </c>
      <c r="D1612" s="97"/>
      <c r="E1612" s="99"/>
      <c r="F1612" s="100"/>
      <c r="G1612" s="100">
        <v>455500000</v>
      </c>
    </row>
    <row r="1613" spans="1:7" ht="15">
      <c r="A1613" s="7" t="s">
        <v>2707</v>
      </c>
      <c r="B1613" s="78" t="s">
        <v>503</v>
      </c>
      <c r="C1613" s="79" t="s">
        <v>7</v>
      </c>
      <c r="D1613" s="78"/>
      <c r="E1613" s="80"/>
      <c r="F1613" s="81"/>
      <c r="G1613" s="81">
        <v>49800000</v>
      </c>
    </row>
    <row r="1614" spans="1:7">
      <c r="A1614" s="7" t="s">
        <v>2708</v>
      </c>
      <c r="B1614" s="89" t="s">
        <v>195</v>
      </c>
      <c r="C1614" s="90" t="s">
        <v>619</v>
      </c>
      <c r="D1614" s="89">
        <v>4</v>
      </c>
      <c r="E1614" s="91" t="s">
        <v>9</v>
      </c>
      <c r="F1614" s="92">
        <v>1000000</v>
      </c>
      <c r="G1614" s="92">
        <v>4000000</v>
      </c>
    </row>
    <row r="1615" spans="1:7">
      <c r="A1615" s="7" t="s">
        <v>2709</v>
      </c>
      <c r="B1615" s="89" t="s">
        <v>195</v>
      </c>
      <c r="C1615" s="90" t="s">
        <v>620</v>
      </c>
      <c r="D1615" s="89">
        <v>4</v>
      </c>
      <c r="E1615" s="91" t="s">
        <v>9</v>
      </c>
      <c r="F1615" s="92">
        <v>1000000</v>
      </c>
      <c r="G1615" s="92">
        <v>4000000</v>
      </c>
    </row>
    <row r="1616" spans="1:7">
      <c r="A1616" s="7" t="s">
        <v>2710</v>
      </c>
      <c r="B1616" s="89" t="s">
        <v>195</v>
      </c>
      <c r="C1616" s="90" t="s">
        <v>617</v>
      </c>
      <c r="D1616" s="89">
        <v>4</v>
      </c>
      <c r="E1616" s="91" t="s">
        <v>9</v>
      </c>
      <c r="F1616" s="92">
        <v>1000000</v>
      </c>
      <c r="G1616" s="92">
        <v>4000000</v>
      </c>
    </row>
    <row r="1617" spans="1:7">
      <c r="A1617" s="7" t="s">
        <v>2711</v>
      </c>
      <c r="B1617" s="89" t="s">
        <v>195</v>
      </c>
      <c r="C1617" s="90" t="s">
        <v>1276</v>
      </c>
      <c r="D1617" s="89">
        <v>4</v>
      </c>
      <c r="E1617" s="91" t="s">
        <v>9</v>
      </c>
      <c r="F1617" s="92">
        <v>6000000</v>
      </c>
      <c r="G1617" s="92">
        <v>24000000</v>
      </c>
    </row>
    <row r="1618" spans="1:7">
      <c r="A1618" s="7" t="s">
        <v>2712</v>
      </c>
      <c r="B1618" s="89" t="s">
        <v>195</v>
      </c>
      <c r="C1618" s="90" t="s">
        <v>2713</v>
      </c>
      <c r="D1618" s="89">
        <v>200</v>
      </c>
      <c r="E1618" s="91" t="s">
        <v>10</v>
      </c>
      <c r="F1618" s="92">
        <v>69000</v>
      </c>
      <c r="G1618" s="92">
        <v>13800000</v>
      </c>
    </row>
    <row r="1619" spans="1:7" ht="30">
      <c r="A1619" s="7" t="s">
        <v>2714</v>
      </c>
      <c r="B1619" s="78" t="s">
        <v>515</v>
      </c>
      <c r="C1619" s="79" t="s">
        <v>642</v>
      </c>
      <c r="D1619" s="78"/>
      <c r="E1619" s="80"/>
      <c r="F1619" s="81"/>
      <c r="G1619" s="81">
        <v>12000000</v>
      </c>
    </row>
    <row r="1620" spans="1:7">
      <c r="A1620" s="7" t="s">
        <v>2715</v>
      </c>
      <c r="B1620" s="89" t="s">
        <v>195</v>
      </c>
      <c r="C1620" s="90" t="s">
        <v>2716</v>
      </c>
      <c r="D1620" s="89">
        <v>60</v>
      </c>
      <c r="E1620" s="91" t="s">
        <v>21</v>
      </c>
      <c r="F1620" s="92">
        <v>200000</v>
      </c>
      <c r="G1620" s="92">
        <v>12000000</v>
      </c>
    </row>
    <row r="1621" spans="1:7" ht="15">
      <c r="A1621" s="7" t="s">
        <v>2717</v>
      </c>
      <c r="B1621" s="78" t="s">
        <v>516</v>
      </c>
      <c r="C1621" s="79" t="s">
        <v>11</v>
      </c>
      <c r="D1621" s="78"/>
      <c r="E1621" s="80"/>
      <c r="F1621" s="81"/>
      <c r="G1621" s="81">
        <v>30700000</v>
      </c>
    </row>
    <row r="1622" spans="1:7">
      <c r="A1622" s="7" t="s">
        <v>2718</v>
      </c>
      <c r="B1622" s="89" t="s">
        <v>195</v>
      </c>
      <c r="C1622" s="90" t="s">
        <v>2719</v>
      </c>
      <c r="D1622" s="89">
        <v>3</v>
      </c>
      <c r="E1622" s="91" t="s">
        <v>12</v>
      </c>
      <c r="F1622" s="92">
        <v>1700000</v>
      </c>
      <c r="G1622" s="92">
        <v>5100000</v>
      </c>
    </row>
    <row r="1623" spans="1:7">
      <c r="A1623" s="7" t="s">
        <v>2720</v>
      </c>
      <c r="B1623" s="89" t="s">
        <v>195</v>
      </c>
      <c r="C1623" s="90" t="s">
        <v>2721</v>
      </c>
      <c r="D1623" s="89">
        <v>8</v>
      </c>
      <c r="E1623" s="91" t="s">
        <v>12</v>
      </c>
      <c r="F1623" s="92">
        <v>1400000</v>
      </c>
      <c r="G1623" s="92">
        <v>11200000</v>
      </c>
    </row>
    <row r="1624" spans="1:7">
      <c r="A1624" s="7" t="s">
        <v>2722</v>
      </c>
      <c r="B1624" s="89" t="s">
        <v>195</v>
      </c>
      <c r="C1624" s="90" t="s">
        <v>2723</v>
      </c>
      <c r="D1624" s="89">
        <v>8</v>
      </c>
      <c r="E1624" s="91" t="s">
        <v>12</v>
      </c>
      <c r="F1624" s="92">
        <v>1000000</v>
      </c>
      <c r="G1624" s="92">
        <v>8000000</v>
      </c>
    </row>
    <row r="1625" spans="1:7">
      <c r="A1625" s="7" t="s">
        <v>2724</v>
      </c>
      <c r="B1625" s="89" t="s">
        <v>195</v>
      </c>
      <c r="C1625" s="90" t="s">
        <v>2725</v>
      </c>
      <c r="D1625" s="89">
        <v>8</v>
      </c>
      <c r="E1625" s="91" t="s">
        <v>12</v>
      </c>
      <c r="F1625" s="92">
        <v>800000</v>
      </c>
      <c r="G1625" s="92">
        <v>6400000</v>
      </c>
    </row>
    <row r="1626" spans="1:7" ht="15">
      <c r="A1626" s="7" t="s">
        <v>2726</v>
      </c>
      <c r="B1626" s="78" t="s">
        <v>517</v>
      </c>
      <c r="C1626" s="79" t="s">
        <v>22</v>
      </c>
      <c r="D1626" s="78"/>
      <c r="E1626" s="80"/>
      <c r="F1626" s="81"/>
      <c r="G1626" s="81">
        <v>320000000</v>
      </c>
    </row>
    <row r="1627" spans="1:7" ht="28.5">
      <c r="A1627" s="7" t="s">
        <v>2727</v>
      </c>
      <c r="B1627" s="89" t="s">
        <v>195</v>
      </c>
      <c r="C1627" s="90" t="s">
        <v>2728</v>
      </c>
      <c r="D1627" s="89">
        <v>1</v>
      </c>
      <c r="E1627" s="91" t="s">
        <v>9</v>
      </c>
      <c r="F1627" s="92">
        <v>50000000</v>
      </c>
      <c r="G1627" s="92">
        <v>50000000</v>
      </c>
    </row>
    <row r="1628" spans="1:7">
      <c r="A1628" s="7" t="s">
        <v>2729</v>
      </c>
      <c r="B1628" s="89" t="s">
        <v>195</v>
      </c>
      <c r="C1628" s="90" t="s">
        <v>2730</v>
      </c>
      <c r="D1628" s="89">
        <v>5</v>
      </c>
      <c r="E1628" s="91" t="s">
        <v>9</v>
      </c>
      <c r="F1628" s="92">
        <v>27000000</v>
      </c>
      <c r="G1628" s="92">
        <v>135000000</v>
      </c>
    </row>
    <row r="1629" spans="1:7">
      <c r="A1629" s="7" t="s">
        <v>2731</v>
      </c>
      <c r="B1629" s="89" t="s">
        <v>195</v>
      </c>
      <c r="C1629" s="90" t="s">
        <v>2732</v>
      </c>
      <c r="D1629" s="89">
        <v>5</v>
      </c>
      <c r="E1629" s="91" t="s">
        <v>9</v>
      </c>
      <c r="F1629" s="92">
        <v>27000000</v>
      </c>
      <c r="G1629" s="92">
        <v>135000000</v>
      </c>
    </row>
    <row r="1630" spans="1:7" ht="15">
      <c r="A1630" s="7" t="s">
        <v>2733</v>
      </c>
      <c r="B1630" s="78" t="s">
        <v>513</v>
      </c>
      <c r="C1630" s="79" t="s">
        <v>19</v>
      </c>
      <c r="D1630" s="78"/>
      <c r="E1630" s="80"/>
      <c r="F1630" s="81"/>
      <c r="G1630" s="81">
        <v>40000000</v>
      </c>
    </row>
    <row r="1631" spans="1:7" ht="28.5">
      <c r="A1631" s="7" t="s">
        <v>2734</v>
      </c>
      <c r="B1631" s="89" t="s">
        <v>195</v>
      </c>
      <c r="C1631" s="90" t="s">
        <v>2735</v>
      </c>
      <c r="D1631" s="89">
        <v>10</v>
      </c>
      <c r="E1631" s="91" t="s">
        <v>10</v>
      </c>
      <c r="F1631" s="92">
        <v>4000000</v>
      </c>
      <c r="G1631" s="92">
        <v>40000000</v>
      </c>
    </row>
    <row r="1632" spans="1:7" ht="15">
      <c r="A1632" s="7" t="s">
        <v>2736</v>
      </c>
      <c r="B1632" s="78" t="s">
        <v>507</v>
      </c>
      <c r="C1632" s="79" t="s">
        <v>13</v>
      </c>
      <c r="D1632" s="78"/>
      <c r="E1632" s="80"/>
      <c r="F1632" s="81"/>
      <c r="G1632" s="81">
        <v>3000000</v>
      </c>
    </row>
    <row r="1633" spans="1:7">
      <c r="A1633" s="7" t="s">
        <v>2737</v>
      </c>
      <c r="B1633" s="89" t="s">
        <v>195</v>
      </c>
      <c r="C1633" s="90" t="s">
        <v>2738</v>
      </c>
      <c r="D1633" s="89">
        <v>20</v>
      </c>
      <c r="E1633" s="91" t="s">
        <v>10</v>
      </c>
      <c r="F1633" s="92">
        <v>150000</v>
      </c>
      <c r="G1633" s="92">
        <v>3000000</v>
      </c>
    </row>
    <row r="1634" spans="1:7" ht="30">
      <c r="A1634" s="7" t="s">
        <v>2739</v>
      </c>
      <c r="B1634" s="93" t="s">
        <v>833</v>
      </c>
      <c r="C1634" s="94" t="s">
        <v>2740</v>
      </c>
      <c r="D1634" s="93"/>
      <c r="E1634" s="95"/>
      <c r="F1634" s="96"/>
      <c r="G1634" s="96">
        <v>615138000</v>
      </c>
    </row>
    <row r="1635" spans="1:7" ht="15">
      <c r="A1635" s="7" t="s">
        <v>2741</v>
      </c>
      <c r="B1635" s="97" t="s">
        <v>8</v>
      </c>
      <c r="C1635" s="98" t="s">
        <v>129</v>
      </c>
      <c r="D1635" s="97"/>
      <c r="E1635" s="99"/>
      <c r="F1635" s="100"/>
      <c r="G1635" s="100">
        <v>101050000</v>
      </c>
    </row>
    <row r="1636" spans="1:7" ht="15">
      <c r="A1636" s="7" t="s">
        <v>2742</v>
      </c>
      <c r="B1636" s="78" t="s">
        <v>503</v>
      </c>
      <c r="C1636" s="79" t="s">
        <v>7</v>
      </c>
      <c r="D1636" s="78"/>
      <c r="E1636" s="80"/>
      <c r="F1636" s="81"/>
      <c r="G1636" s="81">
        <v>22650000</v>
      </c>
    </row>
    <row r="1637" spans="1:7">
      <c r="A1637" s="7" t="s">
        <v>2743</v>
      </c>
      <c r="B1637" s="89" t="s">
        <v>195</v>
      </c>
      <c r="C1637" s="90" t="s">
        <v>617</v>
      </c>
      <c r="D1637" s="89">
        <v>6</v>
      </c>
      <c r="E1637" s="91" t="s">
        <v>9</v>
      </c>
      <c r="F1637" s="92">
        <v>1500000</v>
      </c>
      <c r="G1637" s="92">
        <v>9000000</v>
      </c>
    </row>
    <row r="1638" spans="1:7">
      <c r="A1638" s="7" t="s">
        <v>2744</v>
      </c>
      <c r="B1638" s="89" t="s">
        <v>195</v>
      </c>
      <c r="C1638" s="90" t="s">
        <v>2745</v>
      </c>
      <c r="D1638" s="89">
        <v>70</v>
      </c>
      <c r="E1638" s="91" t="s">
        <v>10</v>
      </c>
      <c r="F1638" s="92">
        <v>70000</v>
      </c>
      <c r="G1638" s="92">
        <v>4900000</v>
      </c>
    </row>
    <row r="1639" spans="1:7">
      <c r="A1639" s="7" t="s">
        <v>2746</v>
      </c>
      <c r="B1639" s="89" t="s">
        <v>195</v>
      </c>
      <c r="C1639" s="90" t="s">
        <v>2114</v>
      </c>
      <c r="D1639" s="89">
        <v>25</v>
      </c>
      <c r="E1639" s="91" t="s">
        <v>176</v>
      </c>
      <c r="F1639" s="92">
        <v>350000</v>
      </c>
      <c r="G1639" s="92">
        <v>8750000</v>
      </c>
    </row>
    <row r="1640" spans="1:7" ht="15">
      <c r="A1640" s="7" t="s">
        <v>2747</v>
      </c>
      <c r="B1640" s="78" t="s">
        <v>533</v>
      </c>
      <c r="C1640" s="79" t="s">
        <v>53</v>
      </c>
      <c r="D1640" s="78"/>
      <c r="E1640" s="80"/>
      <c r="F1640" s="81"/>
      <c r="G1640" s="81">
        <v>1000000</v>
      </c>
    </row>
    <row r="1641" spans="1:7">
      <c r="A1641" s="7" t="s">
        <v>2748</v>
      </c>
      <c r="B1641" s="89" t="s">
        <v>195</v>
      </c>
      <c r="C1641" s="90" t="s">
        <v>785</v>
      </c>
      <c r="D1641" s="89">
        <v>4</v>
      </c>
      <c r="E1641" s="91" t="s">
        <v>2749</v>
      </c>
      <c r="F1641" s="92">
        <v>250000</v>
      </c>
      <c r="G1641" s="92">
        <v>1000000</v>
      </c>
    </row>
    <row r="1642" spans="1:7" ht="15">
      <c r="A1642" s="7" t="s">
        <v>2750</v>
      </c>
      <c r="B1642" s="78" t="s">
        <v>537</v>
      </c>
      <c r="C1642" s="79" t="s">
        <v>64</v>
      </c>
      <c r="D1642" s="78"/>
      <c r="E1642" s="80"/>
      <c r="F1642" s="81"/>
      <c r="G1642" s="81">
        <v>15000000</v>
      </c>
    </row>
    <row r="1643" spans="1:7">
      <c r="A1643" s="7" t="s">
        <v>2751</v>
      </c>
      <c r="B1643" s="89" t="s">
        <v>195</v>
      </c>
      <c r="C1643" s="90" t="s">
        <v>619</v>
      </c>
      <c r="D1643" s="89">
        <v>6</v>
      </c>
      <c r="E1643" s="91" t="s">
        <v>106</v>
      </c>
      <c r="F1643" s="92">
        <v>1000000</v>
      </c>
      <c r="G1643" s="92">
        <v>6000000</v>
      </c>
    </row>
    <row r="1644" spans="1:7">
      <c r="A1644" s="7" t="s">
        <v>2752</v>
      </c>
      <c r="B1644" s="89" t="s">
        <v>195</v>
      </c>
      <c r="C1644" s="90" t="s">
        <v>620</v>
      </c>
      <c r="D1644" s="89">
        <v>6</v>
      </c>
      <c r="E1644" s="91" t="s">
        <v>106</v>
      </c>
      <c r="F1644" s="92">
        <v>1500000</v>
      </c>
      <c r="G1644" s="92">
        <v>9000000</v>
      </c>
    </row>
    <row r="1645" spans="1:7" ht="15">
      <c r="A1645" s="7" t="s">
        <v>2753</v>
      </c>
      <c r="B1645" s="78" t="s">
        <v>513</v>
      </c>
      <c r="C1645" s="79" t="s">
        <v>19</v>
      </c>
      <c r="D1645" s="78"/>
      <c r="E1645" s="80"/>
      <c r="F1645" s="81"/>
      <c r="G1645" s="81">
        <v>62400000</v>
      </c>
    </row>
    <row r="1646" spans="1:7">
      <c r="A1646" s="7" t="s">
        <v>2754</v>
      </c>
      <c r="B1646" s="89" t="s">
        <v>195</v>
      </c>
      <c r="C1646" s="90" t="s">
        <v>2755</v>
      </c>
      <c r="D1646" s="89">
        <v>12</v>
      </c>
      <c r="E1646" s="91" t="s">
        <v>10</v>
      </c>
      <c r="F1646" s="92">
        <v>5200000</v>
      </c>
      <c r="G1646" s="92">
        <v>62400000</v>
      </c>
    </row>
    <row r="1647" spans="1:7" ht="15">
      <c r="A1647" s="7" t="s">
        <v>2756</v>
      </c>
      <c r="B1647" s="97" t="s">
        <v>511</v>
      </c>
      <c r="C1647" s="98" t="s">
        <v>130</v>
      </c>
      <c r="D1647" s="97"/>
      <c r="E1647" s="99"/>
      <c r="F1647" s="100"/>
      <c r="G1647" s="100">
        <v>345988000</v>
      </c>
    </row>
    <row r="1648" spans="1:7" ht="15">
      <c r="A1648" s="7" t="s">
        <v>2757</v>
      </c>
      <c r="B1648" s="78" t="s">
        <v>503</v>
      </c>
      <c r="C1648" s="79" t="s">
        <v>7</v>
      </c>
      <c r="D1648" s="78"/>
      <c r="E1648" s="80"/>
      <c r="F1648" s="81"/>
      <c r="G1648" s="81">
        <v>49300000</v>
      </c>
    </row>
    <row r="1649" spans="1:7">
      <c r="A1649" s="7" t="s">
        <v>2758</v>
      </c>
      <c r="B1649" s="89" t="s">
        <v>195</v>
      </c>
      <c r="C1649" s="90" t="s">
        <v>617</v>
      </c>
      <c r="D1649" s="89">
        <v>10</v>
      </c>
      <c r="E1649" s="91" t="s">
        <v>9</v>
      </c>
      <c r="F1649" s="92">
        <v>1500000</v>
      </c>
      <c r="G1649" s="92">
        <v>15000000</v>
      </c>
    </row>
    <row r="1650" spans="1:7">
      <c r="A1650" s="7" t="s">
        <v>2759</v>
      </c>
      <c r="B1650" s="89" t="s">
        <v>195</v>
      </c>
      <c r="C1650" s="90" t="s">
        <v>2745</v>
      </c>
      <c r="D1650" s="89">
        <v>290</v>
      </c>
      <c r="E1650" s="91" t="s">
        <v>10</v>
      </c>
      <c r="F1650" s="92">
        <v>70000</v>
      </c>
      <c r="G1650" s="92">
        <v>20300000</v>
      </c>
    </row>
    <row r="1651" spans="1:7">
      <c r="A1651" s="7" t="s">
        <v>2760</v>
      </c>
      <c r="B1651" s="89" t="s">
        <v>195</v>
      </c>
      <c r="C1651" s="90" t="s">
        <v>2114</v>
      </c>
      <c r="D1651" s="89">
        <v>40</v>
      </c>
      <c r="E1651" s="91" t="s">
        <v>176</v>
      </c>
      <c r="F1651" s="92">
        <v>350000</v>
      </c>
      <c r="G1651" s="92">
        <v>14000000</v>
      </c>
    </row>
    <row r="1652" spans="1:7" ht="15">
      <c r="A1652" s="7" t="s">
        <v>2761</v>
      </c>
      <c r="B1652" s="78" t="s">
        <v>533</v>
      </c>
      <c r="C1652" s="79" t="s">
        <v>53</v>
      </c>
      <c r="D1652" s="78"/>
      <c r="E1652" s="80"/>
      <c r="F1652" s="81"/>
      <c r="G1652" s="81">
        <v>1000000</v>
      </c>
    </row>
    <row r="1653" spans="1:7">
      <c r="A1653" s="7" t="s">
        <v>2762</v>
      </c>
      <c r="B1653" s="89" t="s">
        <v>195</v>
      </c>
      <c r="C1653" s="90" t="s">
        <v>785</v>
      </c>
      <c r="D1653" s="89">
        <v>4</v>
      </c>
      <c r="E1653" s="91" t="s">
        <v>9</v>
      </c>
      <c r="F1653" s="92">
        <v>250000</v>
      </c>
      <c r="G1653" s="92">
        <v>1000000</v>
      </c>
    </row>
    <row r="1654" spans="1:7" ht="15">
      <c r="A1654" s="7" t="s">
        <v>2763</v>
      </c>
      <c r="B1654" s="78" t="s">
        <v>537</v>
      </c>
      <c r="C1654" s="79" t="s">
        <v>64</v>
      </c>
      <c r="D1654" s="78"/>
      <c r="E1654" s="80"/>
      <c r="F1654" s="81"/>
      <c r="G1654" s="81">
        <v>25000000</v>
      </c>
    </row>
    <row r="1655" spans="1:7">
      <c r="A1655" s="7" t="s">
        <v>2764</v>
      </c>
      <c r="B1655" s="89" t="s">
        <v>195</v>
      </c>
      <c r="C1655" s="90" t="s">
        <v>619</v>
      </c>
      <c r="D1655" s="89">
        <v>10</v>
      </c>
      <c r="E1655" s="91" t="s">
        <v>106</v>
      </c>
      <c r="F1655" s="92">
        <v>1000000</v>
      </c>
      <c r="G1655" s="92">
        <v>10000000</v>
      </c>
    </row>
    <row r="1656" spans="1:7">
      <c r="A1656" s="7" t="s">
        <v>2765</v>
      </c>
      <c r="B1656" s="89" t="s">
        <v>195</v>
      </c>
      <c r="C1656" s="90" t="s">
        <v>620</v>
      </c>
      <c r="D1656" s="89">
        <v>10</v>
      </c>
      <c r="E1656" s="91" t="s">
        <v>106</v>
      </c>
      <c r="F1656" s="92">
        <v>1500000</v>
      </c>
      <c r="G1656" s="92">
        <v>15000000</v>
      </c>
    </row>
    <row r="1657" spans="1:7" ht="15">
      <c r="A1657" s="7" t="s">
        <v>2766</v>
      </c>
      <c r="B1657" s="78" t="s">
        <v>516</v>
      </c>
      <c r="C1657" s="79" t="s">
        <v>11</v>
      </c>
      <c r="D1657" s="78"/>
      <c r="E1657" s="80"/>
      <c r="F1657" s="81"/>
      <c r="G1657" s="81">
        <v>12000000</v>
      </c>
    </row>
    <row r="1658" spans="1:7">
      <c r="A1658" s="7" t="s">
        <v>2767</v>
      </c>
      <c r="B1658" s="89" t="s">
        <v>195</v>
      </c>
      <c r="C1658" s="90" t="s">
        <v>774</v>
      </c>
      <c r="D1658" s="89">
        <v>12</v>
      </c>
      <c r="E1658" s="91" t="s">
        <v>54</v>
      </c>
      <c r="F1658" s="92">
        <v>1000000</v>
      </c>
      <c r="G1658" s="92">
        <v>12000000</v>
      </c>
    </row>
    <row r="1659" spans="1:7" ht="15">
      <c r="A1659" s="7" t="s">
        <v>2768</v>
      </c>
      <c r="B1659" s="78" t="s">
        <v>513</v>
      </c>
      <c r="C1659" s="79" t="s">
        <v>19</v>
      </c>
      <c r="D1659" s="78"/>
      <c r="E1659" s="80"/>
      <c r="F1659" s="81"/>
      <c r="G1659" s="81">
        <v>258688000</v>
      </c>
    </row>
    <row r="1660" spans="1:7">
      <c r="A1660" s="7" t="s">
        <v>2769</v>
      </c>
      <c r="B1660" s="89" t="s">
        <v>195</v>
      </c>
      <c r="C1660" s="90" t="s">
        <v>2770</v>
      </c>
      <c r="D1660" s="89">
        <v>40</v>
      </c>
      <c r="E1660" s="91" t="s">
        <v>10</v>
      </c>
      <c r="F1660" s="92">
        <v>6467000</v>
      </c>
      <c r="G1660" s="92">
        <v>258688000</v>
      </c>
    </row>
    <row r="1661" spans="1:7" ht="15">
      <c r="A1661" s="7" t="s">
        <v>2771</v>
      </c>
      <c r="B1661" s="97" t="s">
        <v>512</v>
      </c>
      <c r="C1661" s="98" t="s">
        <v>131</v>
      </c>
      <c r="D1661" s="97"/>
      <c r="E1661" s="99"/>
      <c r="F1661" s="100"/>
      <c r="G1661" s="100">
        <v>168100000</v>
      </c>
    </row>
    <row r="1662" spans="1:7" ht="15">
      <c r="A1662" s="7" t="s">
        <v>2772</v>
      </c>
      <c r="B1662" s="78" t="s">
        <v>503</v>
      </c>
      <c r="C1662" s="79" t="s">
        <v>7</v>
      </c>
      <c r="D1662" s="78"/>
      <c r="E1662" s="80"/>
      <c r="F1662" s="81"/>
      <c r="G1662" s="81">
        <v>39500000</v>
      </c>
    </row>
    <row r="1663" spans="1:7">
      <c r="A1663" s="7" t="s">
        <v>2773</v>
      </c>
      <c r="B1663" s="89" t="s">
        <v>195</v>
      </c>
      <c r="C1663" s="90" t="s">
        <v>617</v>
      </c>
      <c r="D1663" s="89">
        <v>10</v>
      </c>
      <c r="E1663" s="91" t="s">
        <v>9</v>
      </c>
      <c r="F1663" s="92">
        <v>1500000</v>
      </c>
      <c r="G1663" s="92">
        <v>15000000</v>
      </c>
    </row>
    <row r="1664" spans="1:7">
      <c r="A1664" s="7" t="s">
        <v>2774</v>
      </c>
      <c r="B1664" s="89" t="s">
        <v>195</v>
      </c>
      <c r="C1664" s="90" t="s">
        <v>2745</v>
      </c>
      <c r="D1664" s="89">
        <v>150</v>
      </c>
      <c r="E1664" s="91" t="s">
        <v>10</v>
      </c>
      <c r="F1664" s="92">
        <v>70000</v>
      </c>
      <c r="G1664" s="92">
        <v>10500000</v>
      </c>
    </row>
    <row r="1665" spans="1:7">
      <c r="A1665" s="7" t="s">
        <v>2775</v>
      </c>
      <c r="B1665" s="89" t="s">
        <v>195</v>
      </c>
      <c r="C1665" s="90" t="s">
        <v>2114</v>
      </c>
      <c r="D1665" s="89">
        <v>40</v>
      </c>
      <c r="E1665" s="91" t="s">
        <v>176</v>
      </c>
      <c r="F1665" s="92">
        <v>350000</v>
      </c>
      <c r="G1665" s="92">
        <v>14000000</v>
      </c>
    </row>
    <row r="1666" spans="1:7" ht="15">
      <c r="A1666" s="7" t="s">
        <v>2776</v>
      </c>
      <c r="B1666" s="78" t="s">
        <v>537</v>
      </c>
      <c r="C1666" s="79" t="s">
        <v>64</v>
      </c>
      <c r="D1666" s="78"/>
      <c r="E1666" s="80"/>
      <c r="F1666" s="81"/>
      <c r="G1666" s="81">
        <v>25000000</v>
      </c>
    </row>
    <row r="1667" spans="1:7">
      <c r="A1667" s="7" t="s">
        <v>2777</v>
      </c>
      <c r="B1667" s="89" t="s">
        <v>195</v>
      </c>
      <c r="C1667" s="90" t="s">
        <v>619</v>
      </c>
      <c r="D1667" s="89">
        <v>10</v>
      </c>
      <c r="E1667" s="91" t="s">
        <v>106</v>
      </c>
      <c r="F1667" s="92">
        <v>1000000</v>
      </c>
      <c r="G1667" s="92">
        <v>10000000</v>
      </c>
    </row>
    <row r="1668" spans="1:7">
      <c r="A1668" s="7" t="s">
        <v>2778</v>
      </c>
      <c r="B1668" s="89" t="s">
        <v>195</v>
      </c>
      <c r="C1668" s="90" t="s">
        <v>620</v>
      </c>
      <c r="D1668" s="89">
        <v>10</v>
      </c>
      <c r="E1668" s="91" t="s">
        <v>106</v>
      </c>
      <c r="F1668" s="92">
        <v>1500000</v>
      </c>
      <c r="G1668" s="92">
        <v>15000000</v>
      </c>
    </row>
    <row r="1669" spans="1:7" ht="15">
      <c r="A1669" s="7" t="s">
        <v>2779</v>
      </c>
      <c r="B1669" s="78" t="s">
        <v>516</v>
      </c>
      <c r="C1669" s="79" t="s">
        <v>11</v>
      </c>
      <c r="D1669" s="78"/>
      <c r="E1669" s="80"/>
      <c r="F1669" s="81"/>
      <c r="G1669" s="81">
        <v>10000000</v>
      </c>
    </row>
    <row r="1670" spans="1:7">
      <c r="A1670" s="7" t="s">
        <v>2780</v>
      </c>
      <c r="B1670" s="89" t="s">
        <v>195</v>
      </c>
      <c r="C1670" s="90" t="s">
        <v>774</v>
      </c>
      <c r="D1670" s="89">
        <v>10</v>
      </c>
      <c r="E1670" s="91" t="s">
        <v>54</v>
      </c>
      <c r="F1670" s="92">
        <v>1000000</v>
      </c>
      <c r="G1670" s="92">
        <v>10000000</v>
      </c>
    </row>
    <row r="1671" spans="1:7" ht="15">
      <c r="A1671" s="7" t="s">
        <v>2781</v>
      </c>
      <c r="B1671" s="78" t="s">
        <v>513</v>
      </c>
      <c r="C1671" s="79" t="s">
        <v>19</v>
      </c>
      <c r="D1671" s="78"/>
      <c r="E1671" s="80"/>
      <c r="F1671" s="81"/>
      <c r="G1671" s="81">
        <v>93600000</v>
      </c>
    </row>
    <row r="1672" spans="1:7" ht="28.5">
      <c r="A1672" s="7" t="s">
        <v>2782</v>
      </c>
      <c r="B1672" s="89" t="s">
        <v>195</v>
      </c>
      <c r="C1672" s="90" t="s">
        <v>2783</v>
      </c>
      <c r="D1672" s="89">
        <v>18</v>
      </c>
      <c r="E1672" s="91" t="s">
        <v>10</v>
      </c>
      <c r="F1672" s="92">
        <v>5200000</v>
      </c>
      <c r="G1672" s="92">
        <v>93600000</v>
      </c>
    </row>
    <row r="1673" spans="1:7">
      <c r="A1673" s="7" t="s">
        <v>2784</v>
      </c>
      <c r="B1673" s="89" t="s">
        <v>2785</v>
      </c>
      <c r="C1673" s="90" t="s">
        <v>2786</v>
      </c>
      <c r="D1673" s="89"/>
      <c r="E1673" s="91"/>
      <c r="F1673" s="92"/>
      <c r="G1673" s="92">
        <v>5188332000</v>
      </c>
    </row>
    <row r="1674" spans="1:7" ht="30">
      <c r="A1674" s="7" t="s">
        <v>2787</v>
      </c>
      <c r="B1674" s="93" t="s">
        <v>826</v>
      </c>
      <c r="C1674" s="94" t="s">
        <v>2788</v>
      </c>
      <c r="D1674" s="93"/>
      <c r="E1674" s="95"/>
      <c r="F1674" s="96"/>
      <c r="G1674" s="96">
        <v>2600000000</v>
      </c>
    </row>
    <row r="1675" spans="1:7" ht="15">
      <c r="A1675" s="7" t="s">
        <v>2789</v>
      </c>
      <c r="B1675" s="97" t="s">
        <v>8</v>
      </c>
      <c r="C1675" s="98" t="s">
        <v>162</v>
      </c>
      <c r="D1675" s="97"/>
      <c r="E1675" s="99"/>
      <c r="F1675" s="100"/>
      <c r="G1675" s="100">
        <v>1423330000</v>
      </c>
    </row>
    <row r="1676" spans="1:7" ht="15">
      <c r="A1676" s="7" t="s">
        <v>2790</v>
      </c>
      <c r="B1676" s="78" t="s">
        <v>503</v>
      </c>
      <c r="C1676" s="79" t="s">
        <v>7</v>
      </c>
      <c r="D1676" s="78"/>
      <c r="E1676" s="80"/>
      <c r="F1676" s="81"/>
      <c r="G1676" s="81">
        <v>130000000</v>
      </c>
    </row>
    <row r="1677" spans="1:7">
      <c r="A1677" s="7" t="s">
        <v>2791</v>
      </c>
      <c r="B1677" s="89" t="s">
        <v>195</v>
      </c>
      <c r="C1677" s="90" t="s">
        <v>617</v>
      </c>
      <c r="D1677" s="89">
        <v>80</v>
      </c>
      <c r="E1677" s="91" t="s">
        <v>180</v>
      </c>
      <c r="F1677" s="92">
        <v>100000</v>
      </c>
      <c r="G1677" s="92">
        <v>8000000</v>
      </c>
    </row>
    <row r="1678" spans="1:7">
      <c r="A1678" s="7" t="s">
        <v>2792</v>
      </c>
      <c r="B1678" s="89" t="s">
        <v>195</v>
      </c>
      <c r="C1678" s="90" t="s">
        <v>2793</v>
      </c>
      <c r="D1678" s="89">
        <v>80</v>
      </c>
      <c r="E1678" s="91" t="s">
        <v>180</v>
      </c>
      <c r="F1678" s="92">
        <v>100000</v>
      </c>
      <c r="G1678" s="92">
        <v>8000000</v>
      </c>
    </row>
    <row r="1679" spans="1:7">
      <c r="A1679" s="7" t="s">
        <v>2794</v>
      </c>
      <c r="B1679" s="89" t="s">
        <v>195</v>
      </c>
      <c r="C1679" s="90" t="s">
        <v>2795</v>
      </c>
      <c r="D1679" s="89">
        <v>3</v>
      </c>
      <c r="E1679" s="91" t="s">
        <v>106</v>
      </c>
      <c r="F1679" s="92">
        <v>1000000</v>
      </c>
      <c r="G1679" s="92">
        <v>3000000</v>
      </c>
    </row>
    <row r="1680" spans="1:7">
      <c r="A1680" s="7" t="s">
        <v>2796</v>
      </c>
      <c r="B1680" s="89" t="s">
        <v>195</v>
      </c>
      <c r="C1680" s="90" t="s">
        <v>2797</v>
      </c>
      <c r="D1680" s="89">
        <v>3</v>
      </c>
      <c r="E1680" s="91" t="s">
        <v>106</v>
      </c>
      <c r="F1680" s="92">
        <v>1000000</v>
      </c>
      <c r="G1680" s="92">
        <v>3000000</v>
      </c>
    </row>
    <row r="1681" spans="1:7">
      <c r="A1681" s="7" t="s">
        <v>2798</v>
      </c>
      <c r="B1681" s="89" t="s">
        <v>195</v>
      </c>
      <c r="C1681" s="90" t="s">
        <v>922</v>
      </c>
      <c r="D1681" s="89">
        <v>280</v>
      </c>
      <c r="E1681" s="91" t="s">
        <v>106</v>
      </c>
      <c r="F1681" s="92">
        <v>350000</v>
      </c>
      <c r="G1681" s="92">
        <v>98000000</v>
      </c>
    </row>
    <row r="1682" spans="1:7">
      <c r="A1682" s="7" t="s">
        <v>2799</v>
      </c>
      <c r="B1682" s="89" t="s">
        <v>195</v>
      </c>
      <c r="C1682" s="90" t="s">
        <v>1276</v>
      </c>
      <c r="D1682" s="89">
        <v>40</v>
      </c>
      <c r="E1682" s="91" t="s">
        <v>180</v>
      </c>
      <c r="F1682" s="92">
        <v>250000</v>
      </c>
      <c r="G1682" s="92">
        <v>10000000</v>
      </c>
    </row>
    <row r="1683" spans="1:7" ht="30">
      <c r="A1683" s="7" t="s">
        <v>2800</v>
      </c>
      <c r="B1683" s="78" t="s">
        <v>515</v>
      </c>
      <c r="C1683" s="79" t="s">
        <v>642</v>
      </c>
      <c r="D1683" s="78"/>
      <c r="E1683" s="80"/>
      <c r="F1683" s="81"/>
      <c r="G1683" s="81">
        <v>16800000</v>
      </c>
    </row>
    <row r="1684" spans="1:7" ht="28.5">
      <c r="A1684" s="7" t="s">
        <v>2801</v>
      </c>
      <c r="B1684" s="89" t="s">
        <v>195</v>
      </c>
      <c r="C1684" s="90" t="s">
        <v>2802</v>
      </c>
      <c r="D1684" s="89">
        <v>84</v>
      </c>
      <c r="E1684" s="91" t="s">
        <v>32</v>
      </c>
      <c r="F1684" s="92">
        <v>200000</v>
      </c>
      <c r="G1684" s="92">
        <v>16800000</v>
      </c>
    </row>
    <row r="1685" spans="1:7" ht="15">
      <c r="A1685" s="7" t="s">
        <v>2803</v>
      </c>
      <c r="B1685" s="78" t="s">
        <v>537</v>
      </c>
      <c r="C1685" s="79" t="s">
        <v>64</v>
      </c>
      <c r="D1685" s="78"/>
      <c r="E1685" s="80"/>
      <c r="F1685" s="81"/>
      <c r="G1685" s="81">
        <v>20000000</v>
      </c>
    </row>
    <row r="1686" spans="1:7">
      <c r="A1686" s="7" t="s">
        <v>2804</v>
      </c>
      <c r="B1686" s="89" t="s">
        <v>195</v>
      </c>
      <c r="C1686" s="90" t="s">
        <v>619</v>
      </c>
      <c r="D1686" s="89">
        <v>10</v>
      </c>
      <c r="E1686" s="91" t="s">
        <v>106</v>
      </c>
      <c r="F1686" s="92">
        <v>1000000</v>
      </c>
      <c r="G1686" s="92">
        <v>10000000</v>
      </c>
    </row>
    <row r="1687" spans="1:7">
      <c r="A1687" s="7" t="s">
        <v>2805</v>
      </c>
      <c r="B1687" s="89" t="s">
        <v>195</v>
      </c>
      <c r="C1687" s="90" t="s">
        <v>620</v>
      </c>
      <c r="D1687" s="89">
        <v>10</v>
      </c>
      <c r="E1687" s="91" t="s">
        <v>106</v>
      </c>
      <c r="F1687" s="92">
        <v>1000000</v>
      </c>
      <c r="G1687" s="92">
        <v>10000000</v>
      </c>
    </row>
    <row r="1688" spans="1:7" ht="15">
      <c r="A1688" s="7" t="s">
        <v>2806</v>
      </c>
      <c r="B1688" s="78" t="s">
        <v>516</v>
      </c>
      <c r="C1688" s="79" t="s">
        <v>11</v>
      </c>
      <c r="D1688" s="78"/>
      <c r="E1688" s="80"/>
      <c r="F1688" s="81"/>
      <c r="G1688" s="81">
        <v>77000000</v>
      </c>
    </row>
    <row r="1689" spans="1:7">
      <c r="A1689" s="7" t="s">
        <v>2807</v>
      </c>
      <c r="B1689" s="89" t="s">
        <v>195</v>
      </c>
      <c r="C1689" s="90" t="s">
        <v>2808</v>
      </c>
      <c r="D1689" s="89">
        <v>20</v>
      </c>
      <c r="E1689" s="91" t="s">
        <v>54</v>
      </c>
      <c r="F1689" s="92">
        <v>1000000</v>
      </c>
      <c r="G1689" s="92">
        <v>20000000</v>
      </c>
    </row>
    <row r="1690" spans="1:7">
      <c r="A1690" s="7" t="s">
        <v>2809</v>
      </c>
      <c r="B1690" s="89" t="s">
        <v>195</v>
      </c>
      <c r="C1690" s="90" t="s">
        <v>2810</v>
      </c>
      <c r="D1690" s="89">
        <v>60</v>
      </c>
      <c r="E1690" s="91" t="s">
        <v>54</v>
      </c>
      <c r="F1690" s="92">
        <v>900000</v>
      </c>
      <c r="G1690" s="92">
        <v>54000000</v>
      </c>
    </row>
    <row r="1691" spans="1:7">
      <c r="A1691" s="7" t="s">
        <v>2811</v>
      </c>
      <c r="B1691" s="89" t="s">
        <v>195</v>
      </c>
      <c r="C1691" s="90" t="s">
        <v>2812</v>
      </c>
      <c r="D1691" s="89">
        <v>2</v>
      </c>
      <c r="E1691" s="91" t="s">
        <v>54</v>
      </c>
      <c r="F1691" s="92">
        <v>1500000</v>
      </c>
      <c r="G1691" s="92">
        <v>3000000</v>
      </c>
    </row>
    <row r="1692" spans="1:7" ht="15">
      <c r="A1692" s="7" t="s">
        <v>2813</v>
      </c>
      <c r="B1692" s="78" t="s">
        <v>518</v>
      </c>
      <c r="C1692" s="79" t="s">
        <v>24</v>
      </c>
      <c r="D1692" s="78"/>
      <c r="E1692" s="80"/>
      <c r="F1692" s="81"/>
      <c r="G1692" s="81">
        <v>25200000</v>
      </c>
    </row>
    <row r="1693" spans="1:7">
      <c r="A1693" s="7" t="s">
        <v>2814</v>
      </c>
      <c r="B1693" s="89" t="s">
        <v>195</v>
      </c>
      <c r="C1693" s="90" t="s">
        <v>2815</v>
      </c>
      <c r="D1693" s="89">
        <v>168</v>
      </c>
      <c r="E1693" s="91" t="s">
        <v>25</v>
      </c>
      <c r="F1693" s="92">
        <v>150000</v>
      </c>
      <c r="G1693" s="92">
        <v>25200000</v>
      </c>
    </row>
    <row r="1694" spans="1:7" ht="15">
      <c r="A1694" s="7" t="s">
        <v>2816</v>
      </c>
      <c r="B1694" s="78" t="s">
        <v>513</v>
      </c>
      <c r="C1694" s="79" t="s">
        <v>19</v>
      </c>
      <c r="D1694" s="78"/>
      <c r="E1694" s="80"/>
      <c r="F1694" s="81"/>
      <c r="G1694" s="81">
        <v>1102850000</v>
      </c>
    </row>
    <row r="1695" spans="1:7" ht="28.5">
      <c r="A1695" s="7" t="s">
        <v>2817</v>
      </c>
      <c r="B1695" s="89" t="s">
        <v>195</v>
      </c>
      <c r="C1695" s="90" t="s">
        <v>2818</v>
      </c>
      <c r="D1695" s="89">
        <v>80</v>
      </c>
      <c r="E1695" s="91" t="s">
        <v>25</v>
      </c>
      <c r="F1695" s="92">
        <v>5000000</v>
      </c>
      <c r="G1695" s="92">
        <v>400000000</v>
      </c>
    </row>
    <row r="1696" spans="1:7" ht="28.5">
      <c r="A1696" s="7" t="s">
        <v>2819</v>
      </c>
      <c r="B1696" s="89" t="s">
        <v>195</v>
      </c>
      <c r="C1696" s="90" t="s">
        <v>2820</v>
      </c>
      <c r="D1696" s="89">
        <v>40</v>
      </c>
      <c r="E1696" s="91" t="s">
        <v>25</v>
      </c>
      <c r="F1696" s="92">
        <v>5000000</v>
      </c>
      <c r="G1696" s="92">
        <v>200000000</v>
      </c>
    </row>
    <row r="1697" spans="1:7" ht="28.5">
      <c r="A1697" s="7" t="s">
        <v>2821</v>
      </c>
      <c r="B1697" s="89" t="s">
        <v>195</v>
      </c>
      <c r="C1697" s="90" t="s">
        <v>2822</v>
      </c>
      <c r="D1697" s="89">
        <v>40</v>
      </c>
      <c r="E1697" s="91" t="s">
        <v>25</v>
      </c>
      <c r="F1697" s="92">
        <v>5000000</v>
      </c>
      <c r="G1697" s="92">
        <v>200000000</v>
      </c>
    </row>
    <row r="1698" spans="1:7" ht="28.5">
      <c r="A1698" s="7" t="s">
        <v>2823</v>
      </c>
      <c r="B1698" s="89" t="s">
        <v>195</v>
      </c>
      <c r="C1698" s="90" t="s">
        <v>2824</v>
      </c>
      <c r="D1698" s="89">
        <v>30</v>
      </c>
      <c r="E1698" s="91" t="s">
        <v>25</v>
      </c>
      <c r="F1698" s="92">
        <v>5000000</v>
      </c>
      <c r="G1698" s="92">
        <v>150000000</v>
      </c>
    </row>
    <row r="1699" spans="1:7" ht="28.5">
      <c r="A1699" s="7" t="s">
        <v>2825</v>
      </c>
      <c r="B1699" s="89" t="s">
        <v>195</v>
      </c>
      <c r="C1699" s="90" t="s">
        <v>2826</v>
      </c>
      <c r="D1699" s="89">
        <v>30</v>
      </c>
      <c r="E1699" s="91" t="s">
        <v>25</v>
      </c>
      <c r="F1699" s="92">
        <v>5095000</v>
      </c>
      <c r="G1699" s="92">
        <v>152850000</v>
      </c>
    </row>
    <row r="1700" spans="1:7" ht="15">
      <c r="A1700" s="7" t="s">
        <v>2827</v>
      </c>
      <c r="B1700" s="78" t="s">
        <v>507</v>
      </c>
      <c r="C1700" s="79" t="s">
        <v>13</v>
      </c>
      <c r="D1700" s="78"/>
      <c r="E1700" s="80"/>
      <c r="F1700" s="81"/>
      <c r="G1700" s="81">
        <v>51480000</v>
      </c>
    </row>
    <row r="1701" spans="1:7" ht="28.5">
      <c r="A1701" s="7" t="s">
        <v>2828</v>
      </c>
      <c r="B1701" s="89" t="s">
        <v>195</v>
      </c>
      <c r="C1701" s="90" t="s">
        <v>2829</v>
      </c>
      <c r="D1701" s="89">
        <v>143</v>
      </c>
      <c r="E1701" s="91" t="s">
        <v>25</v>
      </c>
      <c r="F1701" s="92">
        <v>210000</v>
      </c>
      <c r="G1701" s="92">
        <v>30030000</v>
      </c>
    </row>
    <row r="1702" spans="1:7">
      <c r="A1702" s="7" t="s">
        <v>2830</v>
      </c>
      <c r="B1702" s="89" t="s">
        <v>195</v>
      </c>
      <c r="C1702" s="90" t="s">
        <v>2831</v>
      </c>
      <c r="D1702" s="89">
        <v>143</v>
      </c>
      <c r="E1702" s="91" t="s">
        <v>25</v>
      </c>
      <c r="F1702" s="92">
        <v>150000</v>
      </c>
      <c r="G1702" s="92">
        <v>21450000</v>
      </c>
    </row>
    <row r="1703" spans="1:7" ht="30">
      <c r="A1703" s="7" t="s">
        <v>2832</v>
      </c>
      <c r="B1703" s="97" t="s">
        <v>511</v>
      </c>
      <c r="C1703" s="98" t="s">
        <v>163</v>
      </c>
      <c r="D1703" s="97"/>
      <c r="E1703" s="99"/>
      <c r="F1703" s="100"/>
      <c r="G1703" s="100">
        <v>802220000</v>
      </c>
    </row>
    <row r="1704" spans="1:7" ht="15">
      <c r="A1704" s="7" t="s">
        <v>2833</v>
      </c>
      <c r="B1704" s="78" t="s">
        <v>503</v>
      </c>
      <c r="C1704" s="79" t="s">
        <v>7</v>
      </c>
      <c r="D1704" s="78"/>
      <c r="E1704" s="80"/>
      <c r="F1704" s="81"/>
      <c r="G1704" s="81">
        <v>75900000</v>
      </c>
    </row>
    <row r="1705" spans="1:7">
      <c r="A1705" s="7" t="s">
        <v>2834</v>
      </c>
      <c r="B1705" s="89" t="s">
        <v>195</v>
      </c>
      <c r="C1705" s="90" t="s">
        <v>617</v>
      </c>
      <c r="D1705" s="89">
        <v>60</v>
      </c>
      <c r="E1705" s="91" t="s">
        <v>180</v>
      </c>
      <c r="F1705" s="92">
        <v>100000</v>
      </c>
      <c r="G1705" s="92">
        <v>6000000</v>
      </c>
    </row>
    <row r="1706" spans="1:7">
      <c r="A1706" s="7" t="s">
        <v>2835</v>
      </c>
      <c r="B1706" s="89" t="s">
        <v>195</v>
      </c>
      <c r="C1706" s="90" t="s">
        <v>2795</v>
      </c>
      <c r="D1706" s="89">
        <v>3</v>
      </c>
      <c r="E1706" s="91" t="s">
        <v>106</v>
      </c>
      <c r="F1706" s="92">
        <v>1000000</v>
      </c>
      <c r="G1706" s="92">
        <v>3000000</v>
      </c>
    </row>
    <row r="1707" spans="1:7">
      <c r="A1707" s="7" t="s">
        <v>2836</v>
      </c>
      <c r="B1707" s="89" t="s">
        <v>195</v>
      </c>
      <c r="C1707" s="90" t="s">
        <v>2797</v>
      </c>
      <c r="D1707" s="89">
        <v>15</v>
      </c>
      <c r="E1707" s="91" t="s">
        <v>106</v>
      </c>
      <c r="F1707" s="92">
        <v>100000</v>
      </c>
      <c r="G1707" s="92">
        <v>1500000</v>
      </c>
    </row>
    <row r="1708" spans="1:7">
      <c r="A1708" s="7" t="s">
        <v>2837</v>
      </c>
      <c r="B1708" s="89" t="s">
        <v>195</v>
      </c>
      <c r="C1708" s="90" t="s">
        <v>922</v>
      </c>
      <c r="D1708" s="89">
        <v>180</v>
      </c>
      <c r="E1708" s="91" t="s">
        <v>106</v>
      </c>
      <c r="F1708" s="92">
        <v>350000</v>
      </c>
      <c r="G1708" s="92">
        <v>63000000</v>
      </c>
    </row>
    <row r="1709" spans="1:7">
      <c r="A1709" s="7" t="s">
        <v>2838</v>
      </c>
      <c r="B1709" s="89" t="s">
        <v>195</v>
      </c>
      <c r="C1709" s="90" t="s">
        <v>1276</v>
      </c>
      <c r="D1709" s="89">
        <v>12</v>
      </c>
      <c r="E1709" s="91" t="s">
        <v>180</v>
      </c>
      <c r="F1709" s="92">
        <v>200000</v>
      </c>
      <c r="G1709" s="92">
        <v>2400000</v>
      </c>
    </row>
    <row r="1710" spans="1:7" ht="15">
      <c r="A1710" s="7" t="s">
        <v>2839</v>
      </c>
      <c r="B1710" s="78" t="s">
        <v>537</v>
      </c>
      <c r="C1710" s="79" t="s">
        <v>64</v>
      </c>
      <c r="D1710" s="78"/>
      <c r="E1710" s="80"/>
      <c r="F1710" s="81"/>
      <c r="G1710" s="81">
        <v>20000000</v>
      </c>
    </row>
    <row r="1711" spans="1:7">
      <c r="A1711" s="7" t="s">
        <v>2840</v>
      </c>
      <c r="B1711" s="89" t="s">
        <v>195</v>
      </c>
      <c r="C1711" s="90" t="s">
        <v>619</v>
      </c>
      <c r="D1711" s="89">
        <v>10</v>
      </c>
      <c r="E1711" s="91" t="s">
        <v>106</v>
      </c>
      <c r="F1711" s="92">
        <v>1000000</v>
      </c>
      <c r="G1711" s="92">
        <v>10000000</v>
      </c>
    </row>
    <row r="1712" spans="1:7">
      <c r="A1712" s="7" t="s">
        <v>2841</v>
      </c>
      <c r="B1712" s="89" t="s">
        <v>195</v>
      </c>
      <c r="C1712" s="90" t="s">
        <v>620</v>
      </c>
      <c r="D1712" s="89">
        <v>10</v>
      </c>
      <c r="E1712" s="91" t="s">
        <v>106</v>
      </c>
      <c r="F1712" s="92">
        <v>1000000</v>
      </c>
      <c r="G1712" s="92">
        <v>10000000</v>
      </c>
    </row>
    <row r="1713" spans="1:7" ht="15">
      <c r="A1713" s="7" t="s">
        <v>2842</v>
      </c>
      <c r="B1713" s="78" t="s">
        <v>516</v>
      </c>
      <c r="C1713" s="79" t="s">
        <v>11</v>
      </c>
      <c r="D1713" s="78"/>
      <c r="E1713" s="80"/>
      <c r="F1713" s="81"/>
      <c r="G1713" s="81">
        <v>44400000</v>
      </c>
    </row>
    <row r="1714" spans="1:7">
      <c r="A1714" s="7" t="s">
        <v>2843</v>
      </c>
      <c r="B1714" s="89" t="s">
        <v>195</v>
      </c>
      <c r="C1714" s="90" t="s">
        <v>2844</v>
      </c>
      <c r="D1714" s="89">
        <v>12</v>
      </c>
      <c r="E1714" s="91" t="s">
        <v>54</v>
      </c>
      <c r="F1714" s="92">
        <v>1000000</v>
      </c>
      <c r="G1714" s="92">
        <v>12000000</v>
      </c>
    </row>
    <row r="1715" spans="1:7">
      <c r="A1715" s="7" t="s">
        <v>2845</v>
      </c>
      <c r="B1715" s="89" t="s">
        <v>195</v>
      </c>
      <c r="C1715" s="90" t="s">
        <v>2846</v>
      </c>
      <c r="D1715" s="89">
        <v>36</v>
      </c>
      <c r="E1715" s="91" t="s">
        <v>54</v>
      </c>
      <c r="F1715" s="92">
        <v>900000</v>
      </c>
      <c r="G1715" s="92">
        <v>32400000</v>
      </c>
    </row>
    <row r="1716" spans="1:7" ht="15">
      <c r="A1716" s="7" t="s">
        <v>2847</v>
      </c>
      <c r="B1716" s="78" t="s">
        <v>513</v>
      </c>
      <c r="C1716" s="79" t="s">
        <v>19</v>
      </c>
      <c r="D1716" s="78"/>
      <c r="E1716" s="80"/>
      <c r="F1716" s="81"/>
      <c r="G1716" s="81">
        <v>610080000</v>
      </c>
    </row>
    <row r="1717" spans="1:7" ht="28.5">
      <c r="A1717" s="7" t="s">
        <v>2848</v>
      </c>
      <c r="B1717" s="89" t="s">
        <v>195</v>
      </c>
      <c r="C1717" s="90" t="s">
        <v>2849</v>
      </c>
      <c r="D1717" s="89">
        <v>40</v>
      </c>
      <c r="E1717" s="91" t="s">
        <v>25</v>
      </c>
      <c r="F1717" s="92">
        <v>5252000</v>
      </c>
      <c r="G1717" s="92">
        <v>210080000</v>
      </c>
    </row>
    <row r="1718" spans="1:7">
      <c r="A1718" s="7" t="s">
        <v>2850</v>
      </c>
      <c r="B1718" s="89" t="s">
        <v>195</v>
      </c>
      <c r="C1718" s="90" t="s">
        <v>2851</v>
      </c>
      <c r="D1718" s="89">
        <v>40</v>
      </c>
      <c r="E1718" s="91" t="s">
        <v>25</v>
      </c>
      <c r="F1718" s="92">
        <v>5000000</v>
      </c>
      <c r="G1718" s="92">
        <v>200000000</v>
      </c>
    </row>
    <row r="1719" spans="1:7" ht="28.5">
      <c r="A1719" s="7" t="s">
        <v>2852</v>
      </c>
      <c r="B1719" s="89" t="s">
        <v>195</v>
      </c>
      <c r="C1719" s="90" t="s">
        <v>2853</v>
      </c>
      <c r="D1719" s="89">
        <v>40</v>
      </c>
      <c r="E1719" s="91" t="s">
        <v>25</v>
      </c>
      <c r="F1719" s="92">
        <v>5000000</v>
      </c>
      <c r="G1719" s="92">
        <v>200000000</v>
      </c>
    </row>
    <row r="1720" spans="1:7" ht="15">
      <c r="A1720" s="7" t="s">
        <v>2854</v>
      </c>
      <c r="B1720" s="78" t="s">
        <v>507</v>
      </c>
      <c r="C1720" s="79" t="s">
        <v>13</v>
      </c>
      <c r="D1720" s="78"/>
      <c r="E1720" s="80"/>
      <c r="F1720" s="81"/>
      <c r="G1720" s="81">
        <v>51840000</v>
      </c>
    </row>
    <row r="1721" spans="1:7" ht="28.5">
      <c r="A1721" s="7" t="s">
        <v>2855</v>
      </c>
      <c r="B1721" s="89" t="s">
        <v>195</v>
      </c>
      <c r="C1721" s="90" t="s">
        <v>2829</v>
      </c>
      <c r="D1721" s="89">
        <v>144</v>
      </c>
      <c r="E1721" s="91" t="s">
        <v>73</v>
      </c>
      <c r="F1721" s="92">
        <v>210000</v>
      </c>
      <c r="G1721" s="92">
        <v>30240000</v>
      </c>
    </row>
    <row r="1722" spans="1:7">
      <c r="A1722" s="7" t="s">
        <v>2856</v>
      </c>
      <c r="B1722" s="89" t="s">
        <v>195</v>
      </c>
      <c r="C1722" s="90" t="s">
        <v>2831</v>
      </c>
      <c r="D1722" s="89">
        <v>144</v>
      </c>
      <c r="E1722" s="91" t="s">
        <v>73</v>
      </c>
      <c r="F1722" s="92">
        <v>150000</v>
      </c>
      <c r="G1722" s="92">
        <v>21600000</v>
      </c>
    </row>
    <row r="1723" spans="1:7" ht="30">
      <c r="A1723" s="7" t="s">
        <v>2857</v>
      </c>
      <c r="B1723" s="97" t="s">
        <v>512</v>
      </c>
      <c r="C1723" s="98" t="s">
        <v>164</v>
      </c>
      <c r="D1723" s="97"/>
      <c r="E1723" s="99"/>
      <c r="F1723" s="100"/>
      <c r="G1723" s="100">
        <v>374450000</v>
      </c>
    </row>
    <row r="1724" spans="1:7" ht="15">
      <c r="A1724" s="7" t="s">
        <v>2858</v>
      </c>
      <c r="B1724" s="78" t="s">
        <v>503</v>
      </c>
      <c r="C1724" s="79" t="s">
        <v>7</v>
      </c>
      <c r="D1724" s="78"/>
      <c r="E1724" s="80"/>
      <c r="F1724" s="81"/>
      <c r="G1724" s="81">
        <v>64750000</v>
      </c>
    </row>
    <row r="1725" spans="1:7">
      <c r="A1725" s="7" t="s">
        <v>2859</v>
      </c>
      <c r="B1725" s="89" t="s">
        <v>195</v>
      </c>
      <c r="C1725" s="90" t="s">
        <v>617</v>
      </c>
      <c r="D1725" s="89">
        <v>25</v>
      </c>
      <c r="E1725" s="91" t="s">
        <v>180</v>
      </c>
      <c r="F1725" s="92">
        <v>100000</v>
      </c>
      <c r="G1725" s="92">
        <v>2500000</v>
      </c>
    </row>
    <row r="1726" spans="1:7">
      <c r="A1726" s="7" t="s">
        <v>2860</v>
      </c>
      <c r="B1726" s="89" t="s">
        <v>195</v>
      </c>
      <c r="C1726" s="90" t="s">
        <v>2797</v>
      </c>
      <c r="D1726" s="89">
        <v>15</v>
      </c>
      <c r="E1726" s="91" t="s">
        <v>180</v>
      </c>
      <c r="F1726" s="92">
        <v>100000</v>
      </c>
      <c r="G1726" s="92">
        <v>1500000</v>
      </c>
    </row>
    <row r="1727" spans="1:7">
      <c r="A1727" s="7" t="s">
        <v>2861</v>
      </c>
      <c r="B1727" s="89" t="s">
        <v>195</v>
      </c>
      <c r="C1727" s="90" t="s">
        <v>2862</v>
      </c>
      <c r="D1727" s="89">
        <v>3</v>
      </c>
      <c r="E1727" s="91" t="s">
        <v>106</v>
      </c>
      <c r="F1727" s="92">
        <v>1500000</v>
      </c>
      <c r="G1727" s="92">
        <v>4500000</v>
      </c>
    </row>
    <row r="1728" spans="1:7">
      <c r="A1728" s="7" t="s">
        <v>2863</v>
      </c>
      <c r="B1728" s="89" t="s">
        <v>195</v>
      </c>
      <c r="C1728" s="90" t="s">
        <v>2864</v>
      </c>
      <c r="D1728" s="89">
        <v>150</v>
      </c>
      <c r="E1728" s="91" t="s">
        <v>180</v>
      </c>
      <c r="F1728" s="92">
        <v>350000</v>
      </c>
      <c r="G1728" s="92">
        <v>52500000</v>
      </c>
    </row>
    <row r="1729" spans="1:7">
      <c r="A1729" s="7" t="s">
        <v>2865</v>
      </c>
      <c r="B1729" s="89" t="s">
        <v>195</v>
      </c>
      <c r="C1729" s="90" t="s">
        <v>2866</v>
      </c>
      <c r="D1729" s="89">
        <v>15</v>
      </c>
      <c r="E1729" s="91" t="s">
        <v>180</v>
      </c>
      <c r="F1729" s="92">
        <v>250000</v>
      </c>
      <c r="G1729" s="92">
        <v>3750000</v>
      </c>
    </row>
    <row r="1730" spans="1:7" ht="15">
      <c r="A1730" s="7" t="s">
        <v>2867</v>
      </c>
      <c r="B1730" s="78" t="s">
        <v>537</v>
      </c>
      <c r="C1730" s="79" t="s">
        <v>64</v>
      </c>
      <c r="D1730" s="78"/>
      <c r="E1730" s="80"/>
      <c r="F1730" s="81"/>
      <c r="G1730" s="81">
        <v>6000000</v>
      </c>
    </row>
    <row r="1731" spans="1:7">
      <c r="A1731" s="7" t="s">
        <v>2868</v>
      </c>
      <c r="B1731" s="89" t="s">
        <v>195</v>
      </c>
      <c r="C1731" s="90" t="s">
        <v>619</v>
      </c>
      <c r="D1731" s="89">
        <v>3</v>
      </c>
      <c r="E1731" s="91" t="s">
        <v>106</v>
      </c>
      <c r="F1731" s="92">
        <v>1000000</v>
      </c>
      <c r="G1731" s="92">
        <v>3000000</v>
      </c>
    </row>
    <row r="1732" spans="1:7">
      <c r="A1732" s="7" t="s">
        <v>2869</v>
      </c>
      <c r="B1732" s="89" t="s">
        <v>195</v>
      </c>
      <c r="C1732" s="90" t="s">
        <v>2870</v>
      </c>
      <c r="D1732" s="89">
        <v>3</v>
      </c>
      <c r="E1732" s="91" t="s">
        <v>106</v>
      </c>
      <c r="F1732" s="92">
        <v>1000000</v>
      </c>
      <c r="G1732" s="92">
        <v>3000000</v>
      </c>
    </row>
    <row r="1733" spans="1:7" ht="15">
      <c r="A1733" s="7" t="s">
        <v>2871</v>
      </c>
      <c r="B1733" s="78" t="s">
        <v>516</v>
      </c>
      <c r="C1733" s="79" t="s">
        <v>11</v>
      </c>
      <c r="D1733" s="78"/>
      <c r="E1733" s="80"/>
      <c r="F1733" s="81"/>
      <c r="G1733" s="81">
        <v>28200000</v>
      </c>
    </row>
    <row r="1734" spans="1:7">
      <c r="A1734" s="7" t="s">
        <v>2872</v>
      </c>
      <c r="B1734" s="89" t="s">
        <v>195</v>
      </c>
      <c r="C1734" s="90" t="s">
        <v>2873</v>
      </c>
      <c r="D1734" s="89">
        <v>12</v>
      </c>
      <c r="E1734" s="91" t="s">
        <v>54</v>
      </c>
      <c r="F1734" s="92">
        <v>1000000</v>
      </c>
      <c r="G1734" s="92">
        <v>12000000</v>
      </c>
    </row>
    <row r="1735" spans="1:7">
      <c r="A1735" s="7" t="s">
        <v>2874</v>
      </c>
      <c r="B1735" s="89" t="s">
        <v>195</v>
      </c>
      <c r="C1735" s="90" t="s">
        <v>2875</v>
      </c>
      <c r="D1735" s="89">
        <v>18</v>
      </c>
      <c r="E1735" s="91" t="s">
        <v>54</v>
      </c>
      <c r="F1735" s="92">
        <v>900000</v>
      </c>
      <c r="G1735" s="92">
        <v>16200000</v>
      </c>
    </row>
    <row r="1736" spans="1:7" ht="15">
      <c r="A1736" s="7" t="s">
        <v>2876</v>
      </c>
      <c r="B1736" s="78" t="s">
        <v>513</v>
      </c>
      <c r="C1736" s="79" t="s">
        <v>19</v>
      </c>
      <c r="D1736" s="78"/>
      <c r="E1736" s="80"/>
      <c r="F1736" s="81"/>
      <c r="G1736" s="81">
        <v>275500000</v>
      </c>
    </row>
    <row r="1737" spans="1:7" ht="28.5">
      <c r="A1737" s="7" t="s">
        <v>2877</v>
      </c>
      <c r="B1737" s="89" t="s">
        <v>195</v>
      </c>
      <c r="C1737" s="90" t="s">
        <v>2878</v>
      </c>
      <c r="D1737" s="89">
        <v>50</v>
      </c>
      <c r="E1737" s="91" t="s">
        <v>25</v>
      </c>
      <c r="F1737" s="92">
        <v>5510000</v>
      </c>
      <c r="G1737" s="92">
        <v>275500000</v>
      </c>
    </row>
    <row r="1738" spans="1:7" ht="30">
      <c r="A1738" s="7" t="s">
        <v>2879</v>
      </c>
      <c r="B1738" s="93" t="s">
        <v>1102</v>
      </c>
      <c r="C1738" s="94" t="s">
        <v>2880</v>
      </c>
      <c r="D1738" s="93"/>
      <c r="E1738" s="95"/>
      <c r="F1738" s="96"/>
      <c r="G1738" s="96">
        <v>1200000000</v>
      </c>
    </row>
    <row r="1739" spans="1:7" ht="15">
      <c r="A1739" s="7" t="s">
        <v>2881</v>
      </c>
      <c r="B1739" s="97" t="s">
        <v>8</v>
      </c>
      <c r="C1739" s="98" t="s">
        <v>2882</v>
      </c>
      <c r="D1739" s="97"/>
      <c r="E1739" s="99"/>
      <c r="F1739" s="100"/>
      <c r="G1739" s="100">
        <v>417300000</v>
      </c>
    </row>
    <row r="1740" spans="1:7" ht="15">
      <c r="A1740" s="7" t="s">
        <v>2883</v>
      </c>
      <c r="B1740" s="78" t="s">
        <v>503</v>
      </c>
      <c r="C1740" s="79" t="s">
        <v>7</v>
      </c>
      <c r="D1740" s="78"/>
      <c r="E1740" s="80"/>
      <c r="F1740" s="81"/>
      <c r="G1740" s="81">
        <v>16400000</v>
      </c>
    </row>
    <row r="1741" spans="1:7">
      <c r="A1741" s="7" t="s">
        <v>2884</v>
      </c>
      <c r="B1741" s="89" t="s">
        <v>195</v>
      </c>
      <c r="C1741" s="90" t="s">
        <v>617</v>
      </c>
      <c r="D1741" s="89">
        <v>100</v>
      </c>
      <c r="E1741" s="91" t="s">
        <v>180</v>
      </c>
      <c r="F1741" s="92">
        <v>100000</v>
      </c>
      <c r="G1741" s="92">
        <v>10000000</v>
      </c>
    </row>
    <row r="1742" spans="1:7">
      <c r="A1742" s="7" t="s">
        <v>2885</v>
      </c>
      <c r="B1742" s="89" t="s">
        <v>195</v>
      </c>
      <c r="C1742" s="90" t="s">
        <v>2866</v>
      </c>
      <c r="D1742" s="89">
        <v>16</v>
      </c>
      <c r="E1742" s="91" t="s">
        <v>180</v>
      </c>
      <c r="F1742" s="92">
        <v>400000</v>
      </c>
      <c r="G1742" s="92">
        <v>6400000</v>
      </c>
    </row>
    <row r="1743" spans="1:7" ht="15">
      <c r="A1743" s="7" t="s">
        <v>2886</v>
      </c>
      <c r="B1743" s="78" t="s">
        <v>537</v>
      </c>
      <c r="C1743" s="79" t="s">
        <v>64</v>
      </c>
      <c r="D1743" s="78"/>
      <c r="E1743" s="80"/>
      <c r="F1743" s="81"/>
      <c r="G1743" s="81">
        <v>22000000</v>
      </c>
    </row>
    <row r="1744" spans="1:7">
      <c r="A1744" s="7" t="s">
        <v>2887</v>
      </c>
      <c r="B1744" s="89" t="s">
        <v>195</v>
      </c>
      <c r="C1744" s="90" t="s">
        <v>619</v>
      </c>
      <c r="D1744" s="89">
        <v>11</v>
      </c>
      <c r="E1744" s="91" t="s">
        <v>106</v>
      </c>
      <c r="F1744" s="92">
        <v>1000000</v>
      </c>
      <c r="G1744" s="92">
        <v>11000000</v>
      </c>
    </row>
    <row r="1745" spans="1:7">
      <c r="A1745" s="7" t="s">
        <v>2888</v>
      </c>
      <c r="B1745" s="89" t="s">
        <v>195</v>
      </c>
      <c r="C1745" s="90" t="s">
        <v>1006</v>
      </c>
      <c r="D1745" s="89">
        <v>11</v>
      </c>
      <c r="E1745" s="91" t="s">
        <v>106</v>
      </c>
      <c r="F1745" s="92">
        <v>1000000</v>
      </c>
      <c r="G1745" s="92">
        <v>11000000</v>
      </c>
    </row>
    <row r="1746" spans="1:7" ht="15">
      <c r="A1746" s="7" t="s">
        <v>2889</v>
      </c>
      <c r="B1746" s="78" t="s">
        <v>516</v>
      </c>
      <c r="C1746" s="79" t="s">
        <v>11</v>
      </c>
      <c r="D1746" s="78"/>
      <c r="E1746" s="80"/>
      <c r="F1746" s="81"/>
      <c r="G1746" s="81">
        <v>50400000</v>
      </c>
    </row>
    <row r="1747" spans="1:7">
      <c r="A1747" s="7" t="s">
        <v>2890</v>
      </c>
      <c r="B1747" s="89" t="s">
        <v>195</v>
      </c>
      <c r="C1747" s="90" t="s">
        <v>2891</v>
      </c>
      <c r="D1747" s="89">
        <v>36</v>
      </c>
      <c r="E1747" s="91" t="s">
        <v>25</v>
      </c>
      <c r="F1747" s="92">
        <v>1400000</v>
      </c>
      <c r="G1747" s="92">
        <v>50400000</v>
      </c>
    </row>
    <row r="1748" spans="1:7" ht="15">
      <c r="A1748" s="7" t="s">
        <v>2892</v>
      </c>
      <c r="B1748" s="78" t="s">
        <v>518</v>
      </c>
      <c r="C1748" s="79" t="s">
        <v>24</v>
      </c>
      <c r="D1748" s="78"/>
      <c r="E1748" s="80"/>
      <c r="F1748" s="81"/>
      <c r="G1748" s="81">
        <v>32400000</v>
      </c>
    </row>
    <row r="1749" spans="1:7">
      <c r="A1749" s="7" t="s">
        <v>2893</v>
      </c>
      <c r="B1749" s="89" t="s">
        <v>195</v>
      </c>
      <c r="C1749" s="90" t="s">
        <v>2894</v>
      </c>
      <c r="D1749" s="89">
        <v>72</v>
      </c>
      <c r="E1749" s="91" t="s">
        <v>25</v>
      </c>
      <c r="F1749" s="92">
        <v>450000</v>
      </c>
      <c r="G1749" s="92">
        <v>32400000</v>
      </c>
    </row>
    <row r="1750" spans="1:7" ht="15">
      <c r="A1750" s="7" t="s">
        <v>2895</v>
      </c>
      <c r="B1750" s="78" t="s">
        <v>513</v>
      </c>
      <c r="C1750" s="79" t="s">
        <v>19</v>
      </c>
      <c r="D1750" s="78"/>
      <c r="E1750" s="80"/>
      <c r="F1750" s="81"/>
      <c r="G1750" s="81">
        <v>296100000</v>
      </c>
    </row>
    <row r="1751" spans="1:7">
      <c r="A1751" s="7" t="s">
        <v>2896</v>
      </c>
      <c r="B1751" s="89" t="s">
        <v>195</v>
      </c>
      <c r="C1751" s="90" t="s">
        <v>2897</v>
      </c>
      <c r="D1751" s="89">
        <v>60</v>
      </c>
      <c r="E1751" s="91" t="s">
        <v>25</v>
      </c>
      <c r="F1751" s="92">
        <v>4935000</v>
      </c>
      <c r="G1751" s="92">
        <v>296100000</v>
      </c>
    </row>
    <row r="1752" spans="1:7" ht="15">
      <c r="A1752" s="7" t="s">
        <v>2898</v>
      </c>
      <c r="B1752" s="97" t="s">
        <v>511</v>
      </c>
      <c r="C1752" s="98" t="s">
        <v>165</v>
      </c>
      <c r="D1752" s="97"/>
      <c r="E1752" s="99"/>
      <c r="F1752" s="100"/>
      <c r="G1752" s="100">
        <v>207880000</v>
      </c>
    </row>
    <row r="1753" spans="1:7" ht="15">
      <c r="A1753" s="7" t="s">
        <v>2899</v>
      </c>
      <c r="B1753" s="78" t="s">
        <v>503</v>
      </c>
      <c r="C1753" s="79" t="s">
        <v>7</v>
      </c>
      <c r="D1753" s="78"/>
      <c r="E1753" s="80"/>
      <c r="F1753" s="81"/>
      <c r="G1753" s="81">
        <v>20000000</v>
      </c>
    </row>
    <row r="1754" spans="1:7">
      <c r="A1754" s="7" t="s">
        <v>2900</v>
      </c>
      <c r="B1754" s="89" t="s">
        <v>195</v>
      </c>
      <c r="C1754" s="90" t="s">
        <v>617</v>
      </c>
      <c r="D1754" s="89">
        <v>110</v>
      </c>
      <c r="E1754" s="91" t="s">
        <v>180</v>
      </c>
      <c r="F1754" s="92">
        <v>100000</v>
      </c>
      <c r="G1754" s="92">
        <v>11000000</v>
      </c>
    </row>
    <row r="1755" spans="1:7">
      <c r="A1755" s="7" t="s">
        <v>2901</v>
      </c>
      <c r="B1755" s="89" t="s">
        <v>195</v>
      </c>
      <c r="C1755" s="90" t="s">
        <v>2902</v>
      </c>
      <c r="D1755" s="89">
        <v>36</v>
      </c>
      <c r="E1755" s="91" t="s">
        <v>180</v>
      </c>
      <c r="F1755" s="92">
        <v>250000</v>
      </c>
      <c r="G1755" s="92">
        <v>9000000</v>
      </c>
    </row>
    <row r="1756" spans="1:7" ht="15">
      <c r="A1756" s="7" t="s">
        <v>2903</v>
      </c>
      <c r="B1756" s="78" t="s">
        <v>537</v>
      </c>
      <c r="C1756" s="79" t="s">
        <v>64</v>
      </c>
      <c r="D1756" s="78"/>
      <c r="E1756" s="80"/>
      <c r="F1756" s="81"/>
      <c r="G1756" s="81">
        <v>22000000</v>
      </c>
    </row>
    <row r="1757" spans="1:7">
      <c r="A1757" s="7" t="s">
        <v>2904</v>
      </c>
      <c r="B1757" s="89" t="s">
        <v>195</v>
      </c>
      <c r="C1757" s="90" t="s">
        <v>619</v>
      </c>
      <c r="D1757" s="89">
        <v>11</v>
      </c>
      <c r="E1757" s="91" t="s">
        <v>106</v>
      </c>
      <c r="F1757" s="92">
        <v>1000000</v>
      </c>
      <c r="G1757" s="92">
        <v>11000000</v>
      </c>
    </row>
    <row r="1758" spans="1:7">
      <c r="A1758" s="7" t="s">
        <v>2905</v>
      </c>
      <c r="B1758" s="89" t="s">
        <v>195</v>
      </c>
      <c r="C1758" s="90" t="s">
        <v>1197</v>
      </c>
      <c r="D1758" s="89">
        <v>11</v>
      </c>
      <c r="E1758" s="91" t="s">
        <v>106</v>
      </c>
      <c r="F1758" s="92">
        <v>1000000</v>
      </c>
      <c r="G1758" s="92">
        <v>11000000</v>
      </c>
    </row>
    <row r="1759" spans="1:7" ht="15">
      <c r="A1759" s="7" t="s">
        <v>2906</v>
      </c>
      <c r="B1759" s="78" t="s">
        <v>516</v>
      </c>
      <c r="C1759" s="79" t="s">
        <v>11</v>
      </c>
      <c r="D1759" s="78"/>
      <c r="E1759" s="80"/>
      <c r="F1759" s="81"/>
      <c r="G1759" s="81">
        <v>67200000</v>
      </c>
    </row>
    <row r="1760" spans="1:7">
      <c r="A1760" s="7" t="s">
        <v>2907</v>
      </c>
      <c r="B1760" s="89" t="s">
        <v>195</v>
      </c>
      <c r="C1760" s="90" t="s">
        <v>2891</v>
      </c>
      <c r="D1760" s="89">
        <v>48</v>
      </c>
      <c r="E1760" s="91" t="s">
        <v>25</v>
      </c>
      <c r="F1760" s="92">
        <v>1400000</v>
      </c>
      <c r="G1760" s="92">
        <v>67200000</v>
      </c>
    </row>
    <row r="1761" spans="1:7" ht="15">
      <c r="A1761" s="7" t="s">
        <v>2908</v>
      </c>
      <c r="B1761" s="78" t="s">
        <v>513</v>
      </c>
      <c r="C1761" s="79" t="s">
        <v>19</v>
      </c>
      <c r="D1761" s="78"/>
      <c r="E1761" s="80"/>
      <c r="F1761" s="81"/>
      <c r="G1761" s="81">
        <v>84280000</v>
      </c>
    </row>
    <row r="1762" spans="1:7" ht="28.5">
      <c r="A1762" s="7" t="s">
        <v>2909</v>
      </c>
      <c r="B1762" s="89" t="s">
        <v>195</v>
      </c>
      <c r="C1762" s="90" t="s">
        <v>2910</v>
      </c>
      <c r="D1762" s="89">
        <v>20</v>
      </c>
      <c r="E1762" s="91" t="s">
        <v>25</v>
      </c>
      <c r="F1762" s="92">
        <v>4214000</v>
      </c>
      <c r="G1762" s="92">
        <v>84280000</v>
      </c>
    </row>
    <row r="1763" spans="1:7" ht="15">
      <c r="A1763" s="7" t="s">
        <v>2911</v>
      </c>
      <c r="B1763" s="78" t="s">
        <v>507</v>
      </c>
      <c r="C1763" s="79" t="s">
        <v>13</v>
      </c>
      <c r="D1763" s="78"/>
      <c r="E1763" s="80"/>
      <c r="F1763" s="81"/>
      <c r="G1763" s="81">
        <v>14400000</v>
      </c>
    </row>
    <row r="1764" spans="1:7">
      <c r="A1764" s="7" t="s">
        <v>2912</v>
      </c>
      <c r="B1764" s="89" t="s">
        <v>195</v>
      </c>
      <c r="C1764" s="90" t="s">
        <v>2913</v>
      </c>
      <c r="D1764" s="89">
        <v>40</v>
      </c>
      <c r="E1764" s="91" t="s">
        <v>25</v>
      </c>
      <c r="F1764" s="92">
        <v>210000</v>
      </c>
      <c r="G1764" s="92">
        <v>8400000</v>
      </c>
    </row>
    <row r="1765" spans="1:7">
      <c r="A1765" s="7" t="s">
        <v>2914</v>
      </c>
      <c r="B1765" s="89" t="s">
        <v>195</v>
      </c>
      <c r="C1765" s="90" t="s">
        <v>630</v>
      </c>
      <c r="D1765" s="89">
        <v>40</v>
      </c>
      <c r="E1765" s="91" t="s">
        <v>25</v>
      </c>
      <c r="F1765" s="92">
        <v>150000</v>
      </c>
      <c r="G1765" s="92">
        <v>6000000</v>
      </c>
    </row>
    <row r="1766" spans="1:7" ht="15">
      <c r="A1766" s="7" t="s">
        <v>2915</v>
      </c>
      <c r="B1766" s="97" t="s">
        <v>512</v>
      </c>
      <c r="C1766" s="98" t="s">
        <v>166</v>
      </c>
      <c r="D1766" s="97"/>
      <c r="E1766" s="99"/>
      <c r="F1766" s="100"/>
      <c r="G1766" s="100">
        <v>213980000</v>
      </c>
    </row>
    <row r="1767" spans="1:7" ht="15">
      <c r="A1767" s="7" t="s">
        <v>2916</v>
      </c>
      <c r="B1767" s="78" t="s">
        <v>503</v>
      </c>
      <c r="C1767" s="79" t="s">
        <v>7</v>
      </c>
      <c r="D1767" s="78"/>
      <c r="E1767" s="80"/>
      <c r="F1767" s="81"/>
      <c r="G1767" s="81">
        <v>76400000</v>
      </c>
    </row>
    <row r="1768" spans="1:7">
      <c r="A1768" s="7" t="s">
        <v>2917</v>
      </c>
      <c r="B1768" s="89" t="s">
        <v>195</v>
      </c>
      <c r="C1768" s="90" t="s">
        <v>2918</v>
      </c>
      <c r="D1768" s="89">
        <v>60</v>
      </c>
      <c r="E1768" s="91" t="s">
        <v>180</v>
      </c>
      <c r="F1768" s="92">
        <v>300000</v>
      </c>
      <c r="G1768" s="92">
        <v>18000000</v>
      </c>
    </row>
    <row r="1769" spans="1:7" ht="28.5">
      <c r="A1769" s="7" t="s">
        <v>2919</v>
      </c>
      <c r="B1769" s="89" t="s">
        <v>195</v>
      </c>
      <c r="C1769" s="90" t="s">
        <v>2920</v>
      </c>
      <c r="D1769" s="89">
        <v>60</v>
      </c>
      <c r="E1769" s="91" t="s">
        <v>180</v>
      </c>
      <c r="F1769" s="92">
        <v>300000</v>
      </c>
      <c r="G1769" s="92">
        <v>18000000</v>
      </c>
    </row>
    <row r="1770" spans="1:7">
      <c r="A1770" s="7" t="s">
        <v>2921</v>
      </c>
      <c r="B1770" s="89" t="s">
        <v>195</v>
      </c>
      <c r="C1770" s="90" t="s">
        <v>2922</v>
      </c>
      <c r="D1770" s="89">
        <v>20</v>
      </c>
      <c r="E1770" s="91" t="s">
        <v>180</v>
      </c>
      <c r="F1770" s="92">
        <v>380000</v>
      </c>
      <c r="G1770" s="92">
        <v>7600000</v>
      </c>
    </row>
    <row r="1771" spans="1:7">
      <c r="A1771" s="7" t="s">
        <v>2923</v>
      </c>
      <c r="B1771" s="89" t="s">
        <v>195</v>
      </c>
      <c r="C1771" s="90" t="s">
        <v>2924</v>
      </c>
      <c r="D1771" s="89">
        <v>60</v>
      </c>
      <c r="E1771" s="91" t="s">
        <v>180</v>
      </c>
      <c r="F1771" s="92">
        <v>380000</v>
      </c>
      <c r="G1771" s="92">
        <v>22800000</v>
      </c>
    </row>
    <row r="1772" spans="1:7">
      <c r="A1772" s="7" t="s">
        <v>2925</v>
      </c>
      <c r="B1772" s="89" t="s">
        <v>195</v>
      </c>
      <c r="C1772" s="90" t="s">
        <v>617</v>
      </c>
      <c r="D1772" s="89">
        <v>100</v>
      </c>
      <c r="E1772" s="91" t="s">
        <v>180</v>
      </c>
      <c r="F1772" s="92">
        <v>100000</v>
      </c>
      <c r="G1772" s="92">
        <v>10000000</v>
      </c>
    </row>
    <row r="1773" spans="1:7" ht="15">
      <c r="A1773" s="7" t="s">
        <v>2926</v>
      </c>
      <c r="B1773" s="78" t="s">
        <v>537</v>
      </c>
      <c r="C1773" s="79" t="s">
        <v>64</v>
      </c>
      <c r="D1773" s="78"/>
      <c r="E1773" s="80"/>
      <c r="F1773" s="81"/>
      <c r="G1773" s="81">
        <v>22000000</v>
      </c>
    </row>
    <row r="1774" spans="1:7">
      <c r="A1774" s="7" t="s">
        <v>2927</v>
      </c>
      <c r="B1774" s="89" t="s">
        <v>195</v>
      </c>
      <c r="C1774" s="90" t="s">
        <v>619</v>
      </c>
      <c r="D1774" s="89">
        <v>11</v>
      </c>
      <c r="E1774" s="91" t="s">
        <v>106</v>
      </c>
      <c r="F1774" s="92">
        <v>1000000</v>
      </c>
      <c r="G1774" s="92">
        <v>11000000</v>
      </c>
    </row>
    <row r="1775" spans="1:7">
      <c r="A1775" s="7" t="s">
        <v>2928</v>
      </c>
      <c r="B1775" s="89" t="s">
        <v>195</v>
      </c>
      <c r="C1775" s="90" t="s">
        <v>1006</v>
      </c>
      <c r="D1775" s="89">
        <v>11</v>
      </c>
      <c r="E1775" s="91" t="s">
        <v>106</v>
      </c>
      <c r="F1775" s="92">
        <v>1000000</v>
      </c>
      <c r="G1775" s="92">
        <v>11000000</v>
      </c>
    </row>
    <row r="1776" spans="1:7" ht="15">
      <c r="A1776" s="7" t="s">
        <v>2929</v>
      </c>
      <c r="B1776" s="78" t="s">
        <v>517</v>
      </c>
      <c r="C1776" s="79" t="s">
        <v>22</v>
      </c>
      <c r="D1776" s="78"/>
      <c r="E1776" s="80"/>
      <c r="F1776" s="81"/>
      <c r="G1776" s="81">
        <v>31000000</v>
      </c>
    </row>
    <row r="1777" spans="1:7" ht="28.5">
      <c r="A1777" s="7" t="s">
        <v>2930</v>
      </c>
      <c r="B1777" s="89" t="s">
        <v>195</v>
      </c>
      <c r="C1777" s="90" t="s">
        <v>2931</v>
      </c>
      <c r="D1777" s="89">
        <v>3</v>
      </c>
      <c r="E1777" s="91" t="s">
        <v>106</v>
      </c>
      <c r="F1777" s="92">
        <v>3500000</v>
      </c>
      <c r="G1777" s="92">
        <v>10500000</v>
      </c>
    </row>
    <row r="1778" spans="1:7" ht="28.5">
      <c r="A1778" s="7" t="s">
        <v>2932</v>
      </c>
      <c r="B1778" s="89" t="s">
        <v>195</v>
      </c>
      <c r="C1778" s="90" t="s">
        <v>2933</v>
      </c>
      <c r="D1778" s="89">
        <v>3</v>
      </c>
      <c r="E1778" s="91" t="s">
        <v>106</v>
      </c>
      <c r="F1778" s="92">
        <v>3500000</v>
      </c>
      <c r="G1778" s="92">
        <v>10500000</v>
      </c>
    </row>
    <row r="1779" spans="1:7" ht="28.5">
      <c r="A1779" s="7" t="s">
        <v>2934</v>
      </c>
      <c r="B1779" s="89" t="s">
        <v>195</v>
      </c>
      <c r="C1779" s="90" t="s">
        <v>2935</v>
      </c>
      <c r="D1779" s="89">
        <v>1</v>
      </c>
      <c r="E1779" s="91" t="s">
        <v>106</v>
      </c>
      <c r="F1779" s="92">
        <v>5000000</v>
      </c>
      <c r="G1779" s="92">
        <v>5000000</v>
      </c>
    </row>
    <row r="1780" spans="1:7" ht="28.5">
      <c r="A1780" s="7" t="s">
        <v>2936</v>
      </c>
      <c r="B1780" s="89" t="s">
        <v>195</v>
      </c>
      <c r="C1780" s="90" t="s">
        <v>2937</v>
      </c>
      <c r="D1780" s="89">
        <v>1</v>
      </c>
      <c r="E1780" s="91" t="s">
        <v>106</v>
      </c>
      <c r="F1780" s="92">
        <v>5000000</v>
      </c>
      <c r="G1780" s="92">
        <v>5000000</v>
      </c>
    </row>
    <row r="1781" spans="1:7" ht="15">
      <c r="A1781" s="7" t="s">
        <v>2938</v>
      </c>
      <c r="B1781" s="78" t="s">
        <v>513</v>
      </c>
      <c r="C1781" s="79" t="s">
        <v>19</v>
      </c>
      <c r="D1781" s="78"/>
      <c r="E1781" s="80"/>
      <c r="F1781" s="81"/>
      <c r="G1781" s="81">
        <v>77980000</v>
      </c>
    </row>
    <row r="1782" spans="1:7">
      <c r="A1782" s="7" t="s">
        <v>2939</v>
      </c>
      <c r="B1782" s="89" t="s">
        <v>195</v>
      </c>
      <c r="C1782" s="90" t="s">
        <v>2940</v>
      </c>
      <c r="D1782" s="89">
        <v>28</v>
      </c>
      <c r="E1782" s="91" t="s">
        <v>25</v>
      </c>
      <c r="F1782" s="92">
        <v>2785000</v>
      </c>
      <c r="G1782" s="92">
        <v>77980000</v>
      </c>
    </row>
    <row r="1783" spans="1:7" ht="30">
      <c r="A1783" s="7" t="s">
        <v>2941</v>
      </c>
      <c r="B1783" s="78" t="s">
        <v>509</v>
      </c>
      <c r="C1783" s="79" t="s">
        <v>14</v>
      </c>
      <c r="D1783" s="78"/>
      <c r="E1783" s="80"/>
      <c r="F1783" s="81"/>
      <c r="G1783" s="81">
        <v>6600000</v>
      </c>
    </row>
    <row r="1784" spans="1:7" ht="28.5">
      <c r="A1784" s="7" t="s">
        <v>2942</v>
      </c>
      <c r="B1784" s="89" t="s">
        <v>195</v>
      </c>
      <c r="C1784" s="90" t="s">
        <v>2943</v>
      </c>
      <c r="D1784" s="89">
        <v>20</v>
      </c>
      <c r="E1784" s="91" t="s">
        <v>25</v>
      </c>
      <c r="F1784" s="92">
        <v>180000</v>
      </c>
      <c r="G1784" s="92">
        <v>3600000</v>
      </c>
    </row>
    <row r="1785" spans="1:7">
      <c r="A1785" s="7" t="s">
        <v>2944</v>
      </c>
      <c r="B1785" s="89" t="s">
        <v>195</v>
      </c>
      <c r="C1785" s="90" t="s">
        <v>638</v>
      </c>
      <c r="D1785" s="89">
        <v>20</v>
      </c>
      <c r="E1785" s="91" t="s">
        <v>25</v>
      </c>
      <c r="F1785" s="92">
        <v>150000</v>
      </c>
      <c r="G1785" s="92">
        <v>3000000</v>
      </c>
    </row>
    <row r="1786" spans="1:7" ht="30">
      <c r="A1786" s="7" t="s">
        <v>2945</v>
      </c>
      <c r="B1786" s="97" t="s">
        <v>514</v>
      </c>
      <c r="C1786" s="98" t="s">
        <v>167</v>
      </c>
      <c r="D1786" s="97"/>
      <c r="E1786" s="99"/>
      <c r="F1786" s="100"/>
      <c r="G1786" s="100">
        <v>360840000</v>
      </c>
    </row>
    <row r="1787" spans="1:7" ht="15">
      <c r="A1787" s="7" t="s">
        <v>2946</v>
      </c>
      <c r="B1787" s="78" t="s">
        <v>503</v>
      </c>
      <c r="C1787" s="79" t="s">
        <v>7</v>
      </c>
      <c r="D1787" s="78"/>
      <c r="E1787" s="80"/>
      <c r="F1787" s="81"/>
      <c r="G1787" s="81">
        <v>118300000</v>
      </c>
    </row>
    <row r="1788" spans="1:7">
      <c r="A1788" s="7" t="s">
        <v>2947</v>
      </c>
      <c r="B1788" s="89" t="s">
        <v>195</v>
      </c>
      <c r="C1788" s="90" t="s">
        <v>2948</v>
      </c>
      <c r="D1788" s="89">
        <v>240</v>
      </c>
      <c r="E1788" s="91" t="s">
        <v>180</v>
      </c>
      <c r="F1788" s="92">
        <v>300000</v>
      </c>
      <c r="G1788" s="92">
        <v>72000000</v>
      </c>
    </row>
    <row r="1789" spans="1:7">
      <c r="A1789" s="7" t="s">
        <v>2949</v>
      </c>
      <c r="B1789" s="89" t="s">
        <v>195</v>
      </c>
      <c r="C1789" s="90" t="s">
        <v>2950</v>
      </c>
      <c r="D1789" s="89">
        <v>70</v>
      </c>
      <c r="E1789" s="91" t="s">
        <v>180</v>
      </c>
      <c r="F1789" s="92">
        <v>450000</v>
      </c>
      <c r="G1789" s="92">
        <v>31500000</v>
      </c>
    </row>
    <row r="1790" spans="1:7">
      <c r="A1790" s="7" t="s">
        <v>2951</v>
      </c>
      <c r="B1790" s="89" t="s">
        <v>195</v>
      </c>
      <c r="C1790" s="90" t="s">
        <v>617</v>
      </c>
      <c r="D1790" s="89">
        <v>100</v>
      </c>
      <c r="E1790" s="91" t="s">
        <v>180</v>
      </c>
      <c r="F1790" s="92">
        <v>100000</v>
      </c>
      <c r="G1790" s="92">
        <v>10000000</v>
      </c>
    </row>
    <row r="1791" spans="1:7">
      <c r="A1791" s="7" t="s">
        <v>2952</v>
      </c>
      <c r="B1791" s="89" t="s">
        <v>195</v>
      </c>
      <c r="C1791" s="90" t="s">
        <v>2953</v>
      </c>
      <c r="D1791" s="89">
        <v>12</v>
      </c>
      <c r="E1791" s="91" t="s">
        <v>180</v>
      </c>
      <c r="F1791" s="92">
        <v>400000</v>
      </c>
      <c r="G1791" s="92">
        <v>4800000</v>
      </c>
    </row>
    <row r="1792" spans="1:7" ht="30">
      <c r="A1792" s="7" t="s">
        <v>2954</v>
      </c>
      <c r="B1792" s="78" t="s">
        <v>515</v>
      </c>
      <c r="C1792" s="79" t="s">
        <v>642</v>
      </c>
      <c r="D1792" s="78"/>
      <c r="E1792" s="80"/>
      <c r="F1792" s="81"/>
      <c r="G1792" s="81">
        <v>15600000</v>
      </c>
    </row>
    <row r="1793" spans="1:7">
      <c r="A1793" s="7" t="s">
        <v>2955</v>
      </c>
      <c r="B1793" s="89" t="s">
        <v>195</v>
      </c>
      <c r="C1793" s="90" t="s">
        <v>2956</v>
      </c>
      <c r="D1793" s="89">
        <v>60</v>
      </c>
      <c r="E1793" s="91" t="s">
        <v>32</v>
      </c>
      <c r="F1793" s="92">
        <v>200000</v>
      </c>
      <c r="G1793" s="92">
        <v>12000000</v>
      </c>
    </row>
    <row r="1794" spans="1:7" ht="42.75">
      <c r="A1794" s="7" t="s">
        <v>2957</v>
      </c>
      <c r="B1794" s="89" t="s">
        <v>195</v>
      </c>
      <c r="C1794" s="90" t="s">
        <v>2958</v>
      </c>
      <c r="D1794" s="89">
        <v>12</v>
      </c>
      <c r="E1794" s="91" t="s">
        <v>106</v>
      </c>
      <c r="F1794" s="92">
        <v>300000</v>
      </c>
      <c r="G1794" s="92">
        <v>3600000</v>
      </c>
    </row>
    <row r="1795" spans="1:7" ht="15">
      <c r="A1795" s="7" t="s">
        <v>2959</v>
      </c>
      <c r="B1795" s="78" t="s">
        <v>537</v>
      </c>
      <c r="C1795" s="79" t="s">
        <v>64</v>
      </c>
      <c r="D1795" s="78"/>
      <c r="E1795" s="80"/>
      <c r="F1795" s="81"/>
      <c r="G1795" s="81">
        <v>22000000</v>
      </c>
    </row>
    <row r="1796" spans="1:7">
      <c r="A1796" s="7" t="s">
        <v>2960</v>
      </c>
      <c r="B1796" s="89" t="s">
        <v>195</v>
      </c>
      <c r="C1796" s="90" t="s">
        <v>619</v>
      </c>
      <c r="D1796" s="89">
        <v>11</v>
      </c>
      <c r="E1796" s="91" t="s">
        <v>106</v>
      </c>
      <c r="F1796" s="92">
        <v>1000000</v>
      </c>
      <c r="G1796" s="92">
        <v>11000000</v>
      </c>
    </row>
    <row r="1797" spans="1:7">
      <c r="A1797" s="7" t="s">
        <v>2961</v>
      </c>
      <c r="B1797" s="89" t="s">
        <v>195</v>
      </c>
      <c r="C1797" s="90" t="s">
        <v>1006</v>
      </c>
      <c r="D1797" s="89">
        <v>11</v>
      </c>
      <c r="E1797" s="91" t="s">
        <v>106</v>
      </c>
      <c r="F1797" s="92">
        <v>1000000</v>
      </c>
      <c r="G1797" s="92">
        <v>11000000</v>
      </c>
    </row>
    <row r="1798" spans="1:7" ht="15">
      <c r="A1798" s="7" t="s">
        <v>2962</v>
      </c>
      <c r="B1798" s="78" t="s">
        <v>516</v>
      </c>
      <c r="C1798" s="79" t="s">
        <v>11</v>
      </c>
      <c r="D1798" s="78"/>
      <c r="E1798" s="80"/>
      <c r="F1798" s="81"/>
      <c r="G1798" s="81">
        <v>30600000</v>
      </c>
    </row>
    <row r="1799" spans="1:7">
      <c r="A1799" s="7" t="s">
        <v>2963</v>
      </c>
      <c r="B1799" s="89" t="s">
        <v>195</v>
      </c>
      <c r="C1799" s="90" t="s">
        <v>2891</v>
      </c>
      <c r="D1799" s="89">
        <v>18</v>
      </c>
      <c r="E1799" s="91" t="s">
        <v>25</v>
      </c>
      <c r="F1799" s="92">
        <v>1700000</v>
      </c>
      <c r="G1799" s="92">
        <v>30600000</v>
      </c>
    </row>
    <row r="1800" spans="1:7" ht="15">
      <c r="A1800" s="7" t="s">
        <v>2964</v>
      </c>
      <c r="B1800" s="78" t="s">
        <v>517</v>
      </c>
      <c r="C1800" s="79" t="s">
        <v>22</v>
      </c>
      <c r="D1800" s="78"/>
      <c r="E1800" s="80"/>
      <c r="F1800" s="81"/>
      <c r="G1800" s="81">
        <v>46000000</v>
      </c>
    </row>
    <row r="1801" spans="1:7" ht="28.5">
      <c r="A1801" s="7" t="s">
        <v>2965</v>
      </c>
      <c r="B1801" s="89" t="s">
        <v>195</v>
      </c>
      <c r="C1801" s="90" t="s">
        <v>2966</v>
      </c>
      <c r="D1801" s="89">
        <v>1</v>
      </c>
      <c r="E1801" s="91" t="s">
        <v>106</v>
      </c>
      <c r="F1801" s="92">
        <v>5000000</v>
      </c>
      <c r="G1801" s="92">
        <v>5000000</v>
      </c>
    </row>
    <row r="1802" spans="1:7">
      <c r="A1802" s="7" t="s">
        <v>2967</v>
      </c>
      <c r="B1802" s="89" t="s">
        <v>195</v>
      </c>
      <c r="C1802" s="90" t="s">
        <v>2968</v>
      </c>
      <c r="D1802" s="89">
        <v>1</v>
      </c>
      <c r="E1802" s="91" t="s">
        <v>106</v>
      </c>
      <c r="F1802" s="92">
        <v>5000000</v>
      </c>
      <c r="G1802" s="92">
        <v>5000000</v>
      </c>
    </row>
    <row r="1803" spans="1:7">
      <c r="A1803" s="7" t="s">
        <v>2969</v>
      </c>
      <c r="B1803" s="89" t="s">
        <v>195</v>
      </c>
      <c r="C1803" s="90" t="s">
        <v>2970</v>
      </c>
      <c r="D1803" s="89">
        <v>12</v>
      </c>
      <c r="E1803" s="91" t="s">
        <v>106</v>
      </c>
      <c r="F1803" s="92">
        <v>3000000</v>
      </c>
      <c r="G1803" s="92">
        <v>36000000</v>
      </c>
    </row>
    <row r="1804" spans="1:7" ht="15">
      <c r="A1804" s="7" t="s">
        <v>2971</v>
      </c>
      <c r="B1804" s="78" t="s">
        <v>513</v>
      </c>
      <c r="C1804" s="79" t="s">
        <v>19</v>
      </c>
      <c r="D1804" s="78"/>
      <c r="E1804" s="80"/>
      <c r="F1804" s="81"/>
      <c r="G1804" s="81">
        <v>111060000</v>
      </c>
    </row>
    <row r="1805" spans="1:7">
      <c r="A1805" s="7" t="s">
        <v>2972</v>
      </c>
      <c r="B1805" s="89" t="s">
        <v>195</v>
      </c>
      <c r="C1805" s="90" t="s">
        <v>2973</v>
      </c>
      <c r="D1805" s="89">
        <v>60</v>
      </c>
      <c r="E1805" s="91" t="s">
        <v>25</v>
      </c>
      <c r="F1805" s="92">
        <v>1851000</v>
      </c>
      <c r="G1805" s="92">
        <v>111060000</v>
      </c>
    </row>
    <row r="1806" spans="1:7" ht="30">
      <c r="A1806" s="7" t="s">
        <v>2974</v>
      </c>
      <c r="B1806" s="78" t="s">
        <v>509</v>
      </c>
      <c r="C1806" s="79" t="s">
        <v>14</v>
      </c>
      <c r="D1806" s="78"/>
      <c r="E1806" s="80"/>
      <c r="F1806" s="81"/>
      <c r="G1806" s="81">
        <v>17280000</v>
      </c>
    </row>
    <row r="1807" spans="1:7">
      <c r="A1807" s="7" t="s">
        <v>2975</v>
      </c>
      <c r="B1807" s="89" t="s">
        <v>195</v>
      </c>
      <c r="C1807" s="90" t="s">
        <v>1313</v>
      </c>
      <c r="D1807" s="89">
        <v>48</v>
      </c>
      <c r="E1807" s="91" t="s">
        <v>25</v>
      </c>
      <c r="F1807" s="92">
        <v>210000</v>
      </c>
      <c r="G1807" s="92">
        <v>10080000</v>
      </c>
    </row>
    <row r="1808" spans="1:7">
      <c r="A1808" s="7" t="s">
        <v>2976</v>
      </c>
      <c r="B1808" s="89" t="s">
        <v>195</v>
      </c>
      <c r="C1808" s="90" t="s">
        <v>630</v>
      </c>
      <c r="D1808" s="89">
        <v>48</v>
      </c>
      <c r="E1808" s="91" t="s">
        <v>25</v>
      </c>
      <c r="F1808" s="92">
        <v>150000</v>
      </c>
      <c r="G1808" s="92">
        <v>7200000</v>
      </c>
    </row>
    <row r="1809" spans="1:7" ht="30">
      <c r="A1809" s="7" t="s">
        <v>2977</v>
      </c>
      <c r="B1809" s="93" t="s">
        <v>1316</v>
      </c>
      <c r="C1809" s="94" t="s">
        <v>2978</v>
      </c>
      <c r="D1809" s="93"/>
      <c r="E1809" s="95"/>
      <c r="F1809" s="96"/>
      <c r="G1809" s="96">
        <v>528220000</v>
      </c>
    </row>
    <row r="1810" spans="1:7" ht="30">
      <c r="A1810" s="7" t="s">
        <v>2979</v>
      </c>
      <c r="B1810" s="97" t="s">
        <v>8</v>
      </c>
      <c r="C1810" s="98" t="s">
        <v>168</v>
      </c>
      <c r="D1810" s="97"/>
      <c r="E1810" s="99"/>
      <c r="F1810" s="100"/>
      <c r="G1810" s="100">
        <v>373240000</v>
      </c>
    </row>
    <row r="1811" spans="1:7" ht="15">
      <c r="A1811" s="7" t="s">
        <v>2980</v>
      </c>
      <c r="B1811" s="78" t="s">
        <v>503</v>
      </c>
      <c r="C1811" s="79" t="s">
        <v>7</v>
      </c>
      <c r="D1811" s="78"/>
      <c r="E1811" s="80"/>
      <c r="F1811" s="81"/>
      <c r="G1811" s="81">
        <v>28240000</v>
      </c>
    </row>
    <row r="1812" spans="1:7">
      <c r="A1812" s="7" t="s">
        <v>2981</v>
      </c>
      <c r="B1812" s="89" t="s">
        <v>195</v>
      </c>
      <c r="C1812" s="90" t="s">
        <v>2982</v>
      </c>
      <c r="D1812" s="89">
        <v>160</v>
      </c>
      <c r="E1812" s="91" t="s">
        <v>10</v>
      </c>
      <c r="F1812" s="92">
        <v>64000</v>
      </c>
      <c r="G1812" s="92">
        <v>10240000</v>
      </c>
    </row>
    <row r="1813" spans="1:7">
      <c r="A1813" s="7" t="s">
        <v>2983</v>
      </c>
      <c r="B1813" s="89" t="s">
        <v>195</v>
      </c>
      <c r="C1813" s="90" t="s">
        <v>619</v>
      </c>
      <c r="D1813" s="89">
        <v>4</v>
      </c>
      <c r="E1813" s="91" t="s">
        <v>9</v>
      </c>
      <c r="F1813" s="92">
        <v>1500000</v>
      </c>
      <c r="G1813" s="92">
        <v>6000000</v>
      </c>
    </row>
    <row r="1814" spans="1:7">
      <c r="A1814" s="7" t="s">
        <v>2984</v>
      </c>
      <c r="B1814" s="89" t="s">
        <v>195</v>
      </c>
      <c r="C1814" s="90" t="s">
        <v>620</v>
      </c>
      <c r="D1814" s="89">
        <v>4</v>
      </c>
      <c r="E1814" s="91" t="s">
        <v>9</v>
      </c>
      <c r="F1814" s="92">
        <v>1500000</v>
      </c>
      <c r="G1814" s="92">
        <v>6000000</v>
      </c>
    </row>
    <row r="1815" spans="1:7" ht="28.5">
      <c r="A1815" s="7" t="s">
        <v>2985</v>
      </c>
      <c r="B1815" s="89" t="s">
        <v>195</v>
      </c>
      <c r="C1815" s="90" t="s">
        <v>2986</v>
      </c>
      <c r="D1815" s="89">
        <v>4</v>
      </c>
      <c r="E1815" s="91" t="s">
        <v>9</v>
      </c>
      <c r="F1815" s="92">
        <v>1500000</v>
      </c>
      <c r="G1815" s="92">
        <v>6000000</v>
      </c>
    </row>
    <row r="1816" spans="1:7" ht="15">
      <c r="A1816" s="7" t="s">
        <v>2987</v>
      </c>
      <c r="B1816" s="78" t="s">
        <v>518</v>
      </c>
      <c r="C1816" s="79" t="s">
        <v>24</v>
      </c>
      <c r="D1816" s="78"/>
      <c r="E1816" s="80"/>
      <c r="F1816" s="81"/>
      <c r="G1816" s="81">
        <v>15000000</v>
      </c>
    </row>
    <row r="1817" spans="1:7">
      <c r="A1817" s="7" t="s">
        <v>2988</v>
      </c>
      <c r="B1817" s="89" t="s">
        <v>195</v>
      </c>
      <c r="C1817" s="90" t="s">
        <v>2989</v>
      </c>
      <c r="D1817" s="89">
        <v>60</v>
      </c>
      <c r="E1817" s="91" t="s">
        <v>10</v>
      </c>
      <c r="F1817" s="92">
        <v>250000</v>
      </c>
      <c r="G1817" s="92">
        <v>15000000</v>
      </c>
    </row>
    <row r="1818" spans="1:7" ht="15">
      <c r="A1818" s="7" t="s">
        <v>2990</v>
      </c>
      <c r="B1818" s="78" t="s">
        <v>513</v>
      </c>
      <c r="C1818" s="79" t="s">
        <v>19</v>
      </c>
      <c r="D1818" s="78"/>
      <c r="E1818" s="80"/>
      <c r="F1818" s="81"/>
      <c r="G1818" s="81">
        <v>330000000</v>
      </c>
    </row>
    <row r="1819" spans="1:7" ht="28.5">
      <c r="A1819" s="7" t="s">
        <v>2991</v>
      </c>
      <c r="B1819" s="89" t="s">
        <v>195</v>
      </c>
      <c r="C1819" s="90" t="s">
        <v>2992</v>
      </c>
      <c r="D1819" s="89">
        <v>60</v>
      </c>
      <c r="E1819" s="91" t="s">
        <v>10</v>
      </c>
      <c r="F1819" s="92">
        <v>5500000</v>
      </c>
      <c r="G1819" s="92">
        <v>330000000</v>
      </c>
    </row>
    <row r="1820" spans="1:7" ht="30">
      <c r="A1820" s="7" t="s">
        <v>2993</v>
      </c>
      <c r="B1820" s="97" t="s">
        <v>511</v>
      </c>
      <c r="C1820" s="98" t="s">
        <v>169</v>
      </c>
      <c r="D1820" s="97"/>
      <c r="E1820" s="99"/>
      <c r="F1820" s="100"/>
      <c r="G1820" s="100">
        <v>154980000</v>
      </c>
    </row>
    <row r="1821" spans="1:7" ht="15">
      <c r="A1821" s="7" t="s">
        <v>2994</v>
      </c>
      <c r="B1821" s="78" t="s">
        <v>503</v>
      </c>
      <c r="C1821" s="79" t="s">
        <v>7</v>
      </c>
      <c r="D1821" s="78"/>
      <c r="E1821" s="80"/>
      <c r="F1821" s="81"/>
      <c r="G1821" s="81">
        <v>17240000</v>
      </c>
    </row>
    <row r="1822" spans="1:7">
      <c r="A1822" s="7" t="s">
        <v>2995</v>
      </c>
      <c r="B1822" s="89" t="s">
        <v>195</v>
      </c>
      <c r="C1822" s="90" t="s">
        <v>2996</v>
      </c>
      <c r="D1822" s="89">
        <v>2</v>
      </c>
      <c r="E1822" s="91" t="s">
        <v>9</v>
      </c>
      <c r="F1822" s="92">
        <v>1000000</v>
      </c>
      <c r="G1822" s="92">
        <v>2000000</v>
      </c>
    </row>
    <row r="1823" spans="1:7">
      <c r="A1823" s="7" t="s">
        <v>2997</v>
      </c>
      <c r="B1823" s="89" t="s">
        <v>195</v>
      </c>
      <c r="C1823" s="90" t="s">
        <v>2998</v>
      </c>
      <c r="D1823" s="89">
        <v>160</v>
      </c>
      <c r="E1823" s="91" t="s">
        <v>10</v>
      </c>
      <c r="F1823" s="92">
        <v>64000</v>
      </c>
      <c r="G1823" s="92">
        <v>10240000</v>
      </c>
    </row>
    <row r="1824" spans="1:7">
      <c r="A1824" s="7" t="s">
        <v>2999</v>
      </c>
      <c r="B1824" s="89" t="s">
        <v>195</v>
      </c>
      <c r="C1824" s="90" t="s">
        <v>3000</v>
      </c>
      <c r="D1824" s="89">
        <v>2</v>
      </c>
      <c r="E1824" s="91" t="s">
        <v>9</v>
      </c>
      <c r="F1824" s="92">
        <v>1000000</v>
      </c>
      <c r="G1824" s="92">
        <v>2000000</v>
      </c>
    </row>
    <row r="1825" spans="1:7">
      <c r="A1825" s="7" t="s">
        <v>3001</v>
      </c>
      <c r="B1825" s="89" t="s">
        <v>195</v>
      </c>
      <c r="C1825" s="90" t="s">
        <v>693</v>
      </c>
      <c r="D1825" s="89">
        <v>2</v>
      </c>
      <c r="E1825" s="91" t="s">
        <v>9</v>
      </c>
      <c r="F1825" s="92">
        <v>1500000</v>
      </c>
      <c r="G1825" s="92">
        <v>3000000</v>
      </c>
    </row>
    <row r="1826" spans="1:7" ht="15">
      <c r="A1826" s="7" t="s">
        <v>3002</v>
      </c>
      <c r="B1826" s="78" t="s">
        <v>513</v>
      </c>
      <c r="C1826" s="79" t="s">
        <v>19</v>
      </c>
      <c r="D1826" s="78"/>
      <c r="E1826" s="80"/>
      <c r="F1826" s="81"/>
      <c r="G1826" s="81">
        <v>137740000</v>
      </c>
    </row>
    <row r="1827" spans="1:7" ht="28.5">
      <c r="A1827" s="7" t="s">
        <v>3003</v>
      </c>
      <c r="B1827" s="89" t="s">
        <v>195</v>
      </c>
      <c r="C1827" s="90" t="s">
        <v>3004</v>
      </c>
      <c r="D1827" s="89">
        <v>30</v>
      </c>
      <c r="E1827" s="91" t="s">
        <v>10</v>
      </c>
      <c r="F1827" s="92">
        <v>4591000</v>
      </c>
      <c r="G1827" s="92">
        <v>137740000</v>
      </c>
    </row>
    <row r="1828" spans="1:7" ht="30">
      <c r="A1828" s="7" t="s">
        <v>3005</v>
      </c>
      <c r="B1828" s="93" t="s">
        <v>3006</v>
      </c>
      <c r="C1828" s="94" t="s">
        <v>3007</v>
      </c>
      <c r="D1828" s="93"/>
      <c r="E1828" s="95"/>
      <c r="F1828" s="96"/>
      <c r="G1828" s="96">
        <v>226380000</v>
      </c>
    </row>
    <row r="1829" spans="1:7" ht="30">
      <c r="A1829" s="7" t="s">
        <v>3008</v>
      </c>
      <c r="B1829" s="97" t="s">
        <v>8</v>
      </c>
      <c r="C1829" s="98" t="s">
        <v>170</v>
      </c>
      <c r="D1829" s="97"/>
      <c r="E1829" s="99"/>
      <c r="F1829" s="100"/>
      <c r="G1829" s="100">
        <v>66720000</v>
      </c>
    </row>
    <row r="1830" spans="1:7" ht="15">
      <c r="A1830" s="7" t="s">
        <v>3009</v>
      </c>
      <c r="B1830" s="78" t="s">
        <v>503</v>
      </c>
      <c r="C1830" s="79" t="s">
        <v>7</v>
      </c>
      <c r="D1830" s="78"/>
      <c r="E1830" s="80"/>
      <c r="F1830" s="81"/>
      <c r="G1830" s="81">
        <v>9760000</v>
      </c>
    </row>
    <row r="1831" spans="1:7">
      <c r="A1831" s="7" t="s">
        <v>3010</v>
      </c>
      <c r="B1831" s="89" t="s">
        <v>195</v>
      </c>
      <c r="C1831" s="90" t="s">
        <v>3011</v>
      </c>
      <c r="D1831" s="89">
        <v>4</v>
      </c>
      <c r="E1831" s="91" t="s">
        <v>9</v>
      </c>
      <c r="F1831" s="92">
        <v>1000000</v>
      </c>
      <c r="G1831" s="92">
        <v>4000000</v>
      </c>
    </row>
    <row r="1832" spans="1:7">
      <c r="A1832" s="7" t="s">
        <v>3012</v>
      </c>
      <c r="B1832" s="89" t="s">
        <v>195</v>
      </c>
      <c r="C1832" s="90" t="s">
        <v>3013</v>
      </c>
      <c r="D1832" s="89">
        <v>80</v>
      </c>
      <c r="E1832" s="91" t="s">
        <v>10</v>
      </c>
      <c r="F1832" s="92">
        <v>22000</v>
      </c>
      <c r="G1832" s="92">
        <v>1760000</v>
      </c>
    </row>
    <row r="1833" spans="1:7">
      <c r="A1833" s="7" t="s">
        <v>3014</v>
      </c>
      <c r="B1833" s="89" t="s">
        <v>195</v>
      </c>
      <c r="C1833" s="90" t="s">
        <v>3000</v>
      </c>
      <c r="D1833" s="89">
        <v>4</v>
      </c>
      <c r="E1833" s="91" t="s">
        <v>9</v>
      </c>
      <c r="F1833" s="92">
        <v>1000000</v>
      </c>
      <c r="G1833" s="92">
        <v>4000000</v>
      </c>
    </row>
    <row r="1834" spans="1:7" ht="15">
      <c r="A1834" s="7" t="s">
        <v>3015</v>
      </c>
      <c r="B1834" s="78" t="s">
        <v>513</v>
      </c>
      <c r="C1834" s="79" t="s">
        <v>19</v>
      </c>
      <c r="D1834" s="78"/>
      <c r="E1834" s="80"/>
      <c r="F1834" s="81"/>
      <c r="G1834" s="81">
        <v>56960000</v>
      </c>
    </row>
    <row r="1835" spans="1:7" ht="28.5">
      <c r="A1835" s="7" t="s">
        <v>3016</v>
      </c>
      <c r="B1835" s="89" t="s">
        <v>195</v>
      </c>
      <c r="C1835" s="90" t="s">
        <v>3017</v>
      </c>
      <c r="D1835" s="89">
        <v>15</v>
      </c>
      <c r="E1835" s="91" t="s">
        <v>10</v>
      </c>
      <c r="F1835" s="92">
        <v>3797000</v>
      </c>
      <c r="G1835" s="92">
        <v>56960000</v>
      </c>
    </row>
    <row r="1836" spans="1:7" ht="45">
      <c r="A1836" s="7" t="s">
        <v>3018</v>
      </c>
      <c r="B1836" s="97" t="s">
        <v>511</v>
      </c>
      <c r="C1836" s="98" t="s">
        <v>171</v>
      </c>
      <c r="D1836" s="97"/>
      <c r="E1836" s="99"/>
      <c r="F1836" s="100"/>
      <c r="G1836" s="100">
        <v>49760000</v>
      </c>
    </row>
    <row r="1837" spans="1:7" ht="15">
      <c r="A1837" s="7" t="s">
        <v>3019</v>
      </c>
      <c r="B1837" s="78" t="s">
        <v>503</v>
      </c>
      <c r="C1837" s="79" t="s">
        <v>7</v>
      </c>
      <c r="D1837" s="78"/>
      <c r="E1837" s="80"/>
      <c r="F1837" s="81"/>
      <c r="G1837" s="81">
        <v>19760000</v>
      </c>
    </row>
    <row r="1838" spans="1:7">
      <c r="A1838" s="7" t="s">
        <v>3020</v>
      </c>
      <c r="B1838" s="89" t="s">
        <v>195</v>
      </c>
      <c r="C1838" s="90" t="s">
        <v>3021</v>
      </c>
      <c r="D1838" s="89">
        <v>12</v>
      </c>
      <c r="E1838" s="91" t="s">
        <v>9</v>
      </c>
      <c r="F1838" s="92">
        <v>500000</v>
      </c>
      <c r="G1838" s="92">
        <v>6000000</v>
      </c>
    </row>
    <row r="1839" spans="1:7">
      <c r="A1839" s="7" t="s">
        <v>3022</v>
      </c>
      <c r="B1839" s="89" t="s">
        <v>195</v>
      </c>
      <c r="C1839" s="90" t="s">
        <v>3023</v>
      </c>
      <c r="D1839" s="89">
        <v>80</v>
      </c>
      <c r="E1839" s="91" t="s">
        <v>10</v>
      </c>
      <c r="F1839" s="92">
        <v>22000</v>
      </c>
      <c r="G1839" s="92">
        <v>1760000</v>
      </c>
    </row>
    <row r="1840" spans="1:7">
      <c r="A1840" s="7" t="s">
        <v>3024</v>
      </c>
      <c r="B1840" s="89" t="s">
        <v>195</v>
      </c>
      <c r="C1840" s="90" t="s">
        <v>3000</v>
      </c>
      <c r="D1840" s="89">
        <v>12</v>
      </c>
      <c r="E1840" s="91" t="s">
        <v>9</v>
      </c>
      <c r="F1840" s="92">
        <v>1000000</v>
      </c>
      <c r="G1840" s="92">
        <v>12000000</v>
      </c>
    </row>
    <row r="1841" spans="1:7" ht="15">
      <c r="A1841" s="7" t="s">
        <v>3025</v>
      </c>
      <c r="B1841" s="78" t="s">
        <v>513</v>
      </c>
      <c r="C1841" s="79" t="s">
        <v>19</v>
      </c>
      <c r="D1841" s="78"/>
      <c r="E1841" s="80"/>
      <c r="F1841" s="81"/>
      <c r="G1841" s="81">
        <v>30000000</v>
      </c>
    </row>
    <row r="1842" spans="1:7" ht="28.5">
      <c r="A1842" s="7" t="s">
        <v>3026</v>
      </c>
      <c r="B1842" s="89" t="s">
        <v>195</v>
      </c>
      <c r="C1842" s="90" t="s">
        <v>3027</v>
      </c>
      <c r="D1842" s="89">
        <v>15</v>
      </c>
      <c r="E1842" s="91" t="s">
        <v>10</v>
      </c>
      <c r="F1842" s="92">
        <v>2000000</v>
      </c>
      <c r="G1842" s="92">
        <v>30000000</v>
      </c>
    </row>
    <row r="1843" spans="1:7" ht="30">
      <c r="A1843" s="7" t="s">
        <v>3028</v>
      </c>
      <c r="B1843" s="97" t="s">
        <v>512</v>
      </c>
      <c r="C1843" s="98" t="s">
        <v>172</v>
      </c>
      <c r="D1843" s="97"/>
      <c r="E1843" s="99"/>
      <c r="F1843" s="100"/>
      <c r="G1843" s="100">
        <v>59760000</v>
      </c>
    </row>
    <row r="1844" spans="1:7" ht="15">
      <c r="A1844" s="7" t="s">
        <v>3029</v>
      </c>
      <c r="B1844" s="78" t="s">
        <v>503</v>
      </c>
      <c r="C1844" s="79" t="s">
        <v>7</v>
      </c>
      <c r="D1844" s="78"/>
      <c r="E1844" s="80"/>
      <c r="F1844" s="81"/>
      <c r="G1844" s="81">
        <v>9760000</v>
      </c>
    </row>
    <row r="1845" spans="1:7">
      <c r="A1845" s="7" t="s">
        <v>3030</v>
      </c>
      <c r="B1845" s="89" t="s">
        <v>195</v>
      </c>
      <c r="C1845" s="90" t="s">
        <v>3000</v>
      </c>
      <c r="D1845" s="89">
        <v>4</v>
      </c>
      <c r="E1845" s="91" t="s">
        <v>9</v>
      </c>
      <c r="F1845" s="92">
        <v>1000000</v>
      </c>
      <c r="G1845" s="92">
        <v>4000000</v>
      </c>
    </row>
    <row r="1846" spans="1:7">
      <c r="A1846" s="7" t="s">
        <v>3031</v>
      </c>
      <c r="B1846" s="89" t="s">
        <v>195</v>
      </c>
      <c r="C1846" s="90" t="s">
        <v>3032</v>
      </c>
      <c r="D1846" s="89">
        <v>80</v>
      </c>
      <c r="E1846" s="91" t="s">
        <v>10</v>
      </c>
      <c r="F1846" s="92">
        <v>22000</v>
      </c>
      <c r="G1846" s="92">
        <v>1760000</v>
      </c>
    </row>
    <row r="1847" spans="1:7" ht="28.5">
      <c r="A1847" s="7" t="s">
        <v>3033</v>
      </c>
      <c r="B1847" s="89" t="s">
        <v>195</v>
      </c>
      <c r="C1847" s="90" t="s">
        <v>3034</v>
      </c>
      <c r="D1847" s="89">
        <v>4</v>
      </c>
      <c r="E1847" s="91" t="s">
        <v>9</v>
      </c>
      <c r="F1847" s="92">
        <v>1000000</v>
      </c>
      <c r="G1847" s="92">
        <v>4000000</v>
      </c>
    </row>
    <row r="1848" spans="1:7" ht="15">
      <c r="A1848" s="7" t="s">
        <v>3035</v>
      </c>
      <c r="B1848" s="78" t="s">
        <v>513</v>
      </c>
      <c r="C1848" s="79" t="s">
        <v>19</v>
      </c>
      <c r="D1848" s="78"/>
      <c r="E1848" s="80"/>
      <c r="F1848" s="81"/>
      <c r="G1848" s="81">
        <v>50000000</v>
      </c>
    </row>
    <row r="1849" spans="1:7" ht="28.5">
      <c r="A1849" s="7" t="s">
        <v>3036</v>
      </c>
      <c r="B1849" s="89" t="s">
        <v>195</v>
      </c>
      <c r="C1849" s="90" t="s">
        <v>3037</v>
      </c>
      <c r="D1849" s="89">
        <v>20</v>
      </c>
      <c r="E1849" s="91" t="s">
        <v>10</v>
      </c>
      <c r="F1849" s="92">
        <v>2500000</v>
      </c>
      <c r="G1849" s="92">
        <v>50000000</v>
      </c>
    </row>
    <row r="1850" spans="1:7" ht="15">
      <c r="A1850" s="7" t="s">
        <v>3038</v>
      </c>
      <c r="B1850" s="97" t="s">
        <v>514</v>
      </c>
      <c r="C1850" s="98" t="s">
        <v>173</v>
      </c>
      <c r="D1850" s="97"/>
      <c r="E1850" s="99"/>
      <c r="F1850" s="100"/>
      <c r="G1850" s="100">
        <v>50140000</v>
      </c>
    </row>
    <row r="1851" spans="1:7" ht="15">
      <c r="A1851" s="7" t="s">
        <v>3039</v>
      </c>
      <c r="B1851" s="78" t="s">
        <v>503</v>
      </c>
      <c r="C1851" s="79" t="s">
        <v>7</v>
      </c>
      <c r="D1851" s="78"/>
      <c r="E1851" s="80"/>
      <c r="F1851" s="81"/>
      <c r="G1851" s="81">
        <v>6140000</v>
      </c>
    </row>
    <row r="1852" spans="1:7">
      <c r="A1852" s="7" t="s">
        <v>3040</v>
      </c>
      <c r="B1852" s="89" t="s">
        <v>195</v>
      </c>
      <c r="C1852" s="90" t="s">
        <v>3041</v>
      </c>
      <c r="D1852" s="89">
        <v>1</v>
      </c>
      <c r="E1852" s="91" t="s">
        <v>9</v>
      </c>
      <c r="F1852" s="92">
        <v>1500000</v>
      </c>
      <c r="G1852" s="92">
        <v>1500000</v>
      </c>
    </row>
    <row r="1853" spans="1:7">
      <c r="A1853" s="7" t="s">
        <v>3042</v>
      </c>
      <c r="B1853" s="89" t="s">
        <v>195</v>
      </c>
      <c r="C1853" s="90" t="s">
        <v>3043</v>
      </c>
      <c r="D1853" s="89">
        <v>120</v>
      </c>
      <c r="E1853" s="91" t="s">
        <v>10</v>
      </c>
      <c r="F1853" s="92">
        <v>22000</v>
      </c>
      <c r="G1853" s="92">
        <v>2640000</v>
      </c>
    </row>
    <row r="1854" spans="1:7">
      <c r="A1854" s="7" t="s">
        <v>3044</v>
      </c>
      <c r="B1854" s="89" t="s">
        <v>195</v>
      </c>
      <c r="C1854" s="90" t="s">
        <v>3000</v>
      </c>
      <c r="D1854" s="89">
        <v>1</v>
      </c>
      <c r="E1854" s="91" t="s">
        <v>9</v>
      </c>
      <c r="F1854" s="92">
        <v>1000000</v>
      </c>
      <c r="G1854" s="92">
        <v>1000000</v>
      </c>
    </row>
    <row r="1855" spans="1:7">
      <c r="A1855" s="7" t="s">
        <v>3045</v>
      </c>
      <c r="B1855" s="89" t="s">
        <v>195</v>
      </c>
      <c r="C1855" s="90" t="s">
        <v>620</v>
      </c>
      <c r="D1855" s="89">
        <v>1</v>
      </c>
      <c r="E1855" s="91" t="s">
        <v>9</v>
      </c>
      <c r="F1855" s="92">
        <v>1000000</v>
      </c>
      <c r="G1855" s="92">
        <v>1000000</v>
      </c>
    </row>
    <row r="1856" spans="1:7" ht="30">
      <c r="A1856" s="7" t="s">
        <v>3046</v>
      </c>
      <c r="B1856" s="78" t="s">
        <v>515</v>
      </c>
      <c r="C1856" s="79" t="s">
        <v>642</v>
      </c>
      <c r="D1856" s="78"/>
      <c r="E1856" s="80"/>
      <c r="F1856" s="81"/>
      <c r="G1856" s="81">
        <v>12000000</v>
      </c>
    </row>
    <row r="1857" spans="1:7" ht="28.5">
      <c r="A1857" s="7" t="s">
        <v>3047</v>
      </c>
      <c r="B1857" s="89" t="s">
        <v>195</v>
      </c>
      <c r="C1857" s="90" t="s">
        <v>3048</v>
      </c>
      <c r="D1857" s="89">
        <v>60</v>
      </c>
      <c r="E1857" s="91" t="s">
        <v>21</v>
      </c>
      <c r="F1857" s="92">
        <v>200000</v>
      </c>
      <c r="G1857" s="92">
        <v>12000000</v>
      </c>
    </row>
    <row r="1858" spans="1:7" ht="15">
      <c r="A1858" s="7" t="s">
        <v>3049</v>
      </c>
      <c r="B1858" s="78" t="s">
        <v>513</v>
      </c>
      <c r="C1858" s="79" t="s">
        <v>19</v>
      </c>
      <c r="D1858" s="78"/>
      <c r="E1858" s="80"/>
      <c r="F1858" s="81"/>
      <c r="G1858" s="81">
        <v>32000000</v>
      </c>
    </row>
    <row r="1859" spans="1:7">
      <c r="A1859" s="7" t="s">
        <v>3050</v>
      </c>
      <c r="B1859" s="89" t="s">
        <v>195</v>
      </c>
      <c r="C1859" s="90" t="s">
        <v>3051</v>
      </c>
      <c r="D1859" s="89">
        <v>16</v>
      </c>
      <c r="E1859" s="91" t="s">
        <v>10</v>
      </c>
      <c r="F1859" s="92">
        <v>2000000</v>
      </c>
      <c r="G1859" s="92">
        <v>32000000</v>
      </c>
    </row>
    <row r="1860" spans="1:7" ht="30">
      <c r="A1860" s="7" t="s">
        <v>3052</v>
      </c>
      <c r="B1860" s="93" t="s">
        <v>833</v>
      </c>
      <c r="C1860" s="94" t="s">
        <v>3053</v>
      </c>
      <c r="D1860" s="93"/>
      <c r="E1860" s="95"/>
      <c r="F1860" s="96"/>
      <c r="G1860" s="96">
        <v>507200000</v>
      </c>
    </row>
    <row r="1861" spans="1:7" ht="30">
      <c r="A1861" s="7" t="s">
        <v>3054</v>
      </c>
      <c r="B1861" s="97" t="s">
        <v>8</v>
      </c>
      <c r="C1861" s="98" t="s">
        <v>174</v>
      </c>
      <c r="D1861" s="97"/>
      <c r="E1861" s="99"/>
      <c r="F1861" s="100"/>
      <c r="G1861" s="100">
        <v>295200000</v>
      </c>
    </row>
    <row r="1862" spans="1:7" ht="15">
      <c r="A1862" s="7" t="s">
        <v>3055</v>
      </c>
      <c r="B1862" s="78" t="s">
        <v>503</v>
      </c>
      <c r="C1862" s="79" t="s">
        <v>7</v>
      </c>
      <c r="D1862" s="78"/>
      <c r="E1862" s="80"/>
      <c r="F1862" s="81"/>
      <c r="G1862" s="81">
        <v>46000000</v>
      </c>
    </row>
    <row r="1863" spans="1:7">
      <c r="A1863" s="7" t="s">
        <v>3056</v>
      </c>
      <c r="B1863" s="89" t="s">
        <v>195</v>
      </c>
      <c r="C1863" s="90" t="s">
        <v>617</v>
      </c>
      <c r="D1863" s="89">
        <v>5</v>
      </c>
      <c r="E1863" s="91" t="s">
        <v>9</v>
      </c>
      <c r="F1863" s="92">
        <v>1500000</v>
      </c>
      <c r="G1863" s="92">
        <v>7500000</v>
      </c>
    </row>
    <row r="1864" spans="1:7">
      <c r="A1864" s="7" t="s">
        <v>3057</v>
      </c>
      <c r="B1864" s="89" t="s">
        <v>195</v>
      </c>
      <c r="C1864" s="90" t="s">
        <v>2745</v>
      </c>
      <c r="D1864" s="89">
        <v>280</v>
      </c>
      <c r="E1864" s="91" t="s">
        <v>10</v>
      </c>
      <c r="F1864" s="92">
        <v>75000</v>
      </c>
      <c r="G1864" s="92">
        <v>21000000</v>
      </c>
    </row>
    <row r="1865" spans="1:7">
      <c r="A1865" s="7" t="s">
        <v>3058</v>
      </c>
      <c r="B1865" s="89" t="s">
        <v>195</v>
      </c>
      <c r="C1865" s="90" t="s">
        <v>2114</v>
      </c>
      <c r="D1865" s="89">
        <v>30</v>
      </c>
      <c r="E1865" s="91" t="s">
        <v>176</v>
      </c>
      <c r="F1865" s="92">
        <v>250000</v>
      </c>
      <c r="G1865" s="92">
        <v>7500000</v>
      </c>
    </row>
    <row r="1866" spans="1:7">
      <c r="A1866" s="7" t="s">
        <v>3059</v>
      </c>
      <c r="B1866" s="89" t="s">
        <v>195</v>
      </c>
      <c r="C1866" s="90" t="s">
        <v>619</v>
      </c>
      <c r="D1866" s="89">
        <v>4</v>
      </c>
      <c r="E1866" s="91" t="s">
        <v>106</v>
      </c>
      <c r="F1866" s="92">
        <v>1000000</v>
      </c>
      <c r="G1866" s="92">
        <v>4000000</v>
      </c>
    </row>
    <row r="1867" spans="1:7">
      <c r="A1867" s="7" t="s">
        <v>3060</v>
      </c>
      <c r="B1867" s="89" t="s">
        <v>195</v>
      </c>
      <c r="C1867" s="90" t="s">
        <v>620</v>
      </c>
      <c r="D1867" s="89">
        <v>4</v>
      </c>
      <c r="E1867" s="91" t="s">
        <v>106</v>
      </c>
      <c r="F1867" s="92">
        <v>1500000</v>
      </c>
      <c r="G1867" s="92">
        <v>6000000</v>
      </c>
    </row>
    <row r="1868" spans="1:7" ht="15">
      <c r="A1868" s="7" t="s">
        <v>3061</v>
      </c>
      <c r="B1868" s="78" t="s">
        <v>533</v>
      </c>
      <c r="C1868" s="79" t="s">
        <v>53</v>
      </c>
      <c r="D1868" s="78"/>
      <c r="E1868" s="80"/>
      <c r="F1868" s="81"/>
      <c r="G1868" s="81">
        <v>2000000</v>
      </c>
    </row>
    <row r="1869" spans="1:7" ht="28.5">
      <c r="A1869" s="7" t="s">
        <v>3062</v>
      </c>
      <c r="B1869" s="89" t="s">
        <v>195</v>
      </c>
      <c r="C1869" s="90" t="s">
        <v>3063</v>
      </c>
      <c r="D1869" s="89">
        <v>1</v>
      </c>
      <c r="E1869" s="91" t="s">
        <v>153</v>
      </c>
      <c r="F1869" s="92">
        <v>2000000</v>
      </c>
      <c r="G1869" s="92">
        <v>2000000</v>
      </c>
    </row>
    <row r="1870" spans="1:7" ht="15">
      <c r="A1870" s="7" t="s">
        <v>3064</v>
      </c>
      <c r="B1870" s="78" t="s">
        <v>513</v>
      </c>
      <c r="C1870" s="79" t="s">
        <v>19</v>
      </c>
      <c r="D1870" s="78"/>
      <c r="E1870" s="80"/>
      <c r="F1870" s="81"/>
      <c r="G1870" s="81">
        <v>247200000</v>
      </c>
    </row>
    <row r="1871" spans="1:7">
      <c r="A1871" s="7" t="s">
        <v>3065</v>
      </c>
      <c r="B1871" s="89" t="s">
        <v>195</v>
      </c>
      <c r="C1871" s="90" t="s">
        <v>3066</v>
      </c>
      <c r="D1871" s="89">
        <v>40</v>
      </c>
      <c r="E1871" s="91" t="s">
        <v>10</v>
      </c>
      <c r="F1871" s="92">
        <v>6180000</v>
      </c>
      <c r="G1871" s="92">
        <v>247200000</v>
      </c>
    </row>
    <row r="1872" spans="1:7" ht="15">
      <c r="A1872" s="7" t="s">
        <v>3067</v>
      </c>
      <c r="B1872" s="97" t="s">
        <v>511</v>
      </c>
      <c r="C1872" s="98" t="s">
        <v>175</v>
      </c>
      <c r="D1872" s="97"/>
      <c r="E1872" s="99"/>
      <c r="F1872" s="100"/>
      <c r="G1872" s="100">
        <v>212000000</v>
      </c>
    </row>
    <row r="1873" spans="1:7" ht="15">
      <c r="A1873" s="7" t="s">
        <v>3068</v>
      </c>
      <c r="B1873" s="78" t="s">
        <v>503</v>
      </c>
      <c r="C1873" s="79" t="s">
        <v>7</v>
      </c>
      <c r="D1873" s="78"/>
      <c r="E1873" s="80"/>
      <c r="F1873" s="81"/>
      <c r="G1873" s="81">
        <v>41000000</v>
      </c>
    </row>
    <row r="1874" spans="1:7">
      <c r="A1874" s="7" t="s">
        <v>3069</v>
      </c>
      <c r="B1874" s="89" t="s">
        <v>195</v>
      </c>
      <c r="C1874" s="90" t="s">
        <v>617</v>
      </c>
      <c r="D1874" s="89">
        <v>4</v>
      </c>
      <c r="E1874" s="91" t="s">
        <v>9</v>
      </c>
      <c r="F1874" s="92">
        <v>1500000</v>
      </c>
      <c r="G1874" s="92">
        <v>6000000</v>
      </c>
    </row>
    <row r="1875" spans="1:7">
      <c r="A1875" s="7" t="s">
        <v>3070</v>
      </c>
      <c r="B1875" s="89" t="s">
        <v>195</v>
      </c>
      <c r="C1875" s="90" t="s">
        <v>2745</v>
      </c>
      <c r="D1875" s="89">
        <v>180</v>
      </c>
      <c r="E1875" s="91" t="s">
        <v>10</v>
      </c>
      <c r="F1875" s="92">
        <v>75000</v>
      </c>
      <c r="G1875" s="92">
        <v>13500000</v>
      </c>
    </row>
    <row r="1876" spans="1:7">
      <c r="A1876" s="7" t="s">
        <v>3071</v>
      </c>
      <c r="B1876" s="89" t="s">
        <v>195</v>
      </c>
      <c r="C1876" s="90" t="s">
        <v>3072</v>
      </c>
      <c r="D1876" s="89">
        <v>15</v>
      </c>
      <c r="E1876" s="91" t="s">
        <v>176</v>
      </c>
      <c r="F1876" s="92">
        <v>500000</v>
      </c>
      <c r="G1876" s="92">
        <v>7500000</v>
      </c>
    </row>
    <row r="1877" spans="1:7">
      <c r="A1877" s="7" t="s">
        <v>3073</v>
      </c>
      <c r="B1877" s="89" t="s">
        <v>195</v>
      </c>
      <c r="C1877" s="90" t="s">
        <v>619</v>
      </c>
      <c r="D1877" s="89">
        <v>4</v>
      </c>
      <c r="E1877" s="91" t="s">
        <v>106</v>
      </c>
      <c r="F1877" s="92">
        <v>1000000</v>
      </c>
      <c r="G1877" s="92">
        <v>4000000</v>
      </c>
    </row>
    <row r="1878" spans="1:7">
      <c r="A1878" s="7" t="s">
        <v>3074</v>
      </c>
      <c r="B1878" s="89" t="s">
        <v>195</v>
      </c>
      <c r="C1878" s="90" t="s">
        <v>620</v>
      </c>
      <c r="D1878" s="89">
        <v>4</v>
      </c>
      <c r="E1878" s="91" t="s">
        <v>106</v>
      </c>
      <c r="F1878" s="92">
        <v>1500000</v>
      </c>
      <c r="G1878" s="92">
        <v>6000000</v>
      </c>
    </row>
    <row r="1879" spans="1:7">
      <c r="A1879" s="7" t="s">
        <v>3075</v>
      </c>
      <c r="B1879" s="89" t="s">
        <v>195</v>
      </c>
      <c r="C1879" s="90" t="s">
        <v>3076</v>
      </c>
      <c r="D1879" s="89">
        <v>8</v>
      </c>
      <c r="E1879" s="91" t="s">
        <v>58</v>
      </c>
      <c r="F1879" s="92">
        <v>500000</v>
      </c>
      <c r="G1879" s="92">
        <v>4000000</v>
      </c>
    </row>
    <row r="1880" spans="1:7" ht="15">
      <c r="A1880" s="7" t="s">
        <v>3077</v>
      </c>
      <c r="B1880" s="78" t="s">
        <v>533</v>
      </c>
      <c r="C1880" s="79" t="s">
        <v>53</v>
      </c>
      <c r="D1880" s="78"/>
      <c r="E1880" s="80"/>
      <c r="F1880" s="81"/>
      <c r="G1880" s="81">
        <v>32000000</v>
      </c>
    </row>
    <row r="1881" spans="1:7" ht="28.5">
      <c r="A1881" s="7" t="s">
        <v>3078</v>
      </c>
      <c r="B1881" s="89" t="s">
        <v>195</v>
      </c>
      <c r="C1881" s="90" t="s">
        <v>3079</v>
      </c>
      <c r="D1881" s="89">
        <v>2</v>
      </c>
      <c r="E1881" s="91" t="s">
        <v>177</v>
      </c>
      <c r="F1881" s="92">
        <v>15000000</v>
      </c>
      <c r="G1881" s="92">
        <v>30000000</v>
      </c>
    </row>
    <row r="1882" spans="1:7" ht="28.5">
      <c r="A1882" s="7" t="s">
        <v>3080</v>
      </c>
      <c r="B1882" s="89" t="s">
        <v>195</v>
      </c>
      <c r="C1882" s="90" t="s">
        <v>3081</v>
      </c>
      <c r="D1882" s="89">
        <v>1</v>
      </c>
      <c r="E1882" s="91" t="s">
        <v>60</v>
      </c>
      <c r="F1882" s="92">
        <v>2000000</v>
      </c>
      <c r="G1882" s="92">
        <v>2000000</v>
      </c>
    </row>
    <row r="1883" spans="1:7" ht="15">
      <c r="A1883" s="7" t="s">
        <v>3082</v>
      </c>
      <c r="B1883" s="78" t="s">
        <v>516</v>
      </c>
      <c r="C1883" s="79" t="s">
        <v>11</v>
      </c>
      <c r="D1883" s="78"/>
      <c r="E1883" s="80"/>
      <c r="F1883" s="81"/>
      <c r="G1883" s="81">
        <v>10000000</v>
      </c>
    </row>
    <row r="1884" spans="1:7">
      <c r="A1884" s="7" t="s">
        <v>3083</v>
      </c>
      <c r="B1884" s="89" t="s">
        <v>195</v>
      </c>
      <c r="C1884" s="90" t="s">
        <v>774</v>
      </c>
      <c r="D1884" s="89">
        <v>10</v>
      </c>
      <c r="E1884" s="91" t="s">
        <v>54</v>
      </c>
      <c r="F1884" s="92">
        <v>1000000</v>
      </c>
      <c r="G1884" s="92">
        <v>10000000</v>
      </c>
    </row>
    <row r="1885" spans="1:7" ht="15">
      <c r="A1885" s="7" t="s">
        <v>3084</v>
      </c>
      <c r="B1885" s="78" t="s">
        <v>513</v>
      </c>
      <c r="C1885" s="79" t="s">
        <v>19</v>
      </c>
      <c r="D1885" s="78"/>
      <c r="E1885" s="80"/>
      <c r="F1885" s="81"/>
      <c r="G1885" s="81">
        <v>120000000</v>
      </c>
    </row>
    <row r="1886" spans="1:7">
      <c r="A1886" s="7" t="s">
        <v>3085</v>
      </c>
      <c r="B1886" s="89" t="s">
        <v>195</v>
      </c>
      <c r="C1886" s="90" t="s">
        <v>3086</v>
      </c>
      <c r="D1886" s="89">
        <v>30</v>
      </c>
      <c r="E1886" s="91" t="s">
        <v>10</v>
      </c>
      <c r="F1886" s="92">
        <v>4000000</v>
      </c>
      <c r="G1886" s="92">
        <v>120000000</v>
      </c>
    </row>
    <row r="1887" spans="1:7" ht="15">
      <c r="A1887" s="7" t="s">
        <v>3087</v>
      </c>
      <c r="B1887" s="78" t="s">
        <v>507</v>
      </c>
      <c r="C1887" s="79" t="s">
        <v>13</v>
      </c>
      <c r="D1887" s="78"/>
      <c r="E1887" s="80"/>
      <c r="F1887" s="81"/>
      <c r="G1887" s="81">
        <v>9000000</v>
      </c>
    </row>
    <row r="1888" spans="1:7">
      <c r="A1888" s="7" t="s">
        <v>3088</v>
      </c>
      <c r="B1888" s="89" t="s">
        <v>195</v>
      </c>
      <c r="C1888" s="90" t="s">
        <v>630</v>
      </c>
      <c r="D1888" s="89">
        <v>60</v>
      </c>
      <c r="E1888" s="91" t="s">
        <v>25</v>
      </c>
      <c r="F1888" s="92">
        <v>150000</v>
      </c>
      <c r="G1888" s="92">
        <v>9000000</v>
      </c>
    </row>
    <row r="1889" spans="1:7" ht="30">
      <c r="A1889" s="7" t="s">
        <v>3089</v>
      </c>
      <c r="B1889" s="93" t="s">
        <v>3090</v>
      </c>
      <c r="C1889" s="94" t="s">
        <v>3091</v>
      </c>
      <c r="D1889" s="93"/>
      <c r="E1889" s="95"/>
      <c r="F1889" s="96"/>
      <c r="G1889" s="96">
        <v>126532000</v>
      </c>
    </row>
    <row r="1890" spans="1:7" ht="15">
      <c r="A1890" s="7" t="s">
        <v>3092</v>
      </c>
      <c r="B1890" s="97" t="s">
        <v>8</v>
      </c>
      <c r="C1890" s="98" t="s">
        <v>178</v>
      </c>
      <c r="D1890" s="97"/>
      <c r="E1890" s="99"/>
      <c r="F1890" s="100"/>
      <c r="G1890" s="100">
        <v>126532000</v>
      </c>
    </row>
    <row r="1891" spans="1:7" ht="15">
      <c r="A1891" s="7" t="s">
        <v>3093</v>
      </c>
      <c r="B1891" s="78" t="s">
        <v>503</v>
      </c>
      <c r="C1891" s="79" t="s">
        <v>7</v>
      </c>
      <c r="D1891" s="78"/>
      <c r="E1891" s="80"/>
      <c r="F1891" s="81"/>
      <c r="G1891" s="81">
        <v>35500000</v>
      </c>
    </row>
    <row r="1892" spans="1:7">
      <c r="A1892" s="7" t="s">
        <v>3094</v>
      </c>
      <c r="B1892" s="89" t="s">
        <v>195</v>
      </c>
      <c r="C1892" s="90" t="s">
        <v>617</v>
      </c>
      <c r="D1892" s="89">
        <v>4</v>
      </c>
      <c r="E1892" s="91" t="s">
        <v>9</v>
      </c>
      <c r="F1892" s="92">
        <v>1500000</v>
      </c>
      <c r="G1892" s="92">
        <v>6000000</v>
      </c>
    </row>
    <row r="1893" spans="1:7">
      <c r="A1893" s="7" t="s">
        <v>3095</v>
      </c>
      <c r="B1893" s="89" t="s">
        <v>195</v>
      </c>
      <c r="C1893" s="90" t="s">
        <v>2745</v>
      </c>
      <c r="D1893" s="89">
        <v>180</v>
      </c>
      <c r="E1893" s="91" t="s">
        <v>10</v>
      </c>
      <c r="F1893" s="92">
        <v>75000</v>
      </c>
      <c r="G1893" s="92">
        <v>13500000</v>
      </c>
    </row>
    <row r="1894" spans="1:7">
      <c r="A1894" s="7" t="s">
        <v>3096</v>
      </c>
      <c r="B1894" s="89" t="s">
        <v>195</v>
      </c>
      <c r="C1894" s="90" t="s">
        <v>619</v>
      </c>
      <c r="D1894" s="89">
        <v>4</v>
      </c>
      <c r="E1894" s="91" t="s">
        <v>106</v>
      </c>
      <c r="F1894" s="92">
        <v>1000000</v>
      </c>
      <c r="G1894" s="92">
        <v>4000000</v>
      </c>
    </row>
    <row r="1895" spans="1:7">
      <c r="A1895" s="7" t="s">
        <v>3097</v>
      </c>
      <c r="B1895" s="89" t="s">
        <v>195</v>
      </c>
      <c r="C1895" s="90" t="s">
        <v>620</v>
      </c>
      <c r="D1895" s="89">
        <v>4</v>
      </c>
      <c r="E1895" s="91" t="s">
        <v>106</v>
      </c>
      <c r="F1895" s="92">
        <v>1500000</v>
      </c>
      <c r="G1895" s="92">
        <v>6000000</v>
      </c>
    </row>
    <row r="1896" spans="1:7">
      <c r="A1896" s="7" t="s">
        <v>3098</v>
      </c>
      <c r="B1896" s="89" t="s">
        <v>195</v>
      </c>
      <c r="C1896" s="90" t="s">
        <v>3099</v>
      </c>
      <c r="D1896" s="89">
        <v>12</v>
      </c>
      <c r="E1896" s="91" t="s">
        <v>176</v>
      </c>
      <c r="F1896" s="92">
        <v>500000</v>
      </c>
      <c r="G1896" s="92">
        <v>6000000</v>
      </c>
    </row>
    <row r="1897" spans="1:7" ht="15">
      <c r="A1897" s="7" t="s">
        <v>3100</v>
      </c>
      <c r="B1897" s="78" t="s">
        <v>533</v>
      </c>
      <c r="C1897" s="79" t="s">
        <v>53</v>
      </c>
      <c r="D1897" s="78"/>
      <c r="E1897" s="80"/>
      <c r="F1897" s="81"/>
      <c r="G1897" s="81">
        <v>2000000</v>
      </c>
    </row>
    <row r="1898" spans="1:7" ht="28.5">
      <c r="A1898" s="7" t="s">
        <v>3101</v>
      </c>
      <c r="B1898" s="89" t="s">
        <v>195</v>
      </c>
      <c r="C1898" s="90" t="s">
        <v>3063</v>
      </c>
      <c r="D1898" s="89">
        <v>1</v>
      </c>
      <c r="E1898" s="91" t="s">
        <v>153</v>
      </c>
      <c r="F1898" s="92">
        <v>2000000</v>
      </c>
      <c r="G1898" s="92">
        <v>2000000</v>
      </c>
    </row>
    <row r="1899" spans="1:7" ht="15">
      <c r="A1899" s="7" t="s">
        <v>3102</v>
      </c>
      <c r="B1899" s="78" t="s">
        <v>513</v>
      </c>
      <c r="C1899" s="79" t="s">
        <v>19</v>
      </c>
      <c r="D1899" s="78"/>
      <c r="E1899" s="80"/>
      <c r="F1899" s="81"/>
      <c r="G1899" s="81">
        <v>89032000</v>
      </c>
    </row>
    <row r="1900" spans="1:7">
      <c r="A1900" s="7" t="s">
        <v>3103</v>
      </c>
      <c r="B1900" s="89" t="s">
        <v>195</v>
      </c>
      <c r="C1900" s="90" t="s">
        <v>3086</v>
      </c>
      <c r="D1900" s="89">
        <v>22</v>
      </c>
      <c r="E1900" s="91" t="s">
        <v>10</v>
      </c>
      <c r="F1900" s="92">
        <v>4047000</v>
      </c>
      <c r="G1900" s="92">
        <v>89032000</v>
      </c>
    </row>
    <row r="1901" spans="1:7">
      <c r="A1901" s="7" t="s">
        <v>3104</v>
      </c>
      <c r="B1901" s="89" t="s">
        <v>3105</v>
      </c>
      <c r="C1901" s="90" t="s">
        <v>3106</v>
      </c>
      <c r="D1901" s="89"/>
      <c r="E1901" s="91"/>
      <c r="F1901" s="92"/>
      <c r="G1901" s="92">
        <v>3290739000</v>
      </c>
    </row>
    <row r="1902" spans="1:7" ht="30">
      <c r="A1902" s="7" t="s">
        <v>3107</v>
      </c>
      <c r="B1902" s="93" t="s">
        <v>826</v>
      </c>
      <c r="C1902" s="94" t="s">
        <v>3108</v>
      </c>
      <c r="D1902" s="93"/>
      <c r="E1902" s="95"/>
      <c r="F1902" s="96"/>
      <c r="G1902" s="96">
        <v>2500000000</v>
      </c>
    </row>
    <row r="1903" spans="1:7" ht="15">
      <c r="A1903" s="7" t="s">
        <v>3109</v>
      </c>
      <c r="B1903" s="97" t="s">
        <v>8</v>
      </c>
      <c r="C1903" s="98" t="s">
        <v>179</v>
      </c>
      <c r="D1903" s="97"/>
      <c r="E1903" s="99"/>
      <c r="F1903" s="100"/>
      <c r="G1903" s="100">
        <v>899600000</v>
      </c>
    </row>
    <row r="1904" spans="1:7" ht="15">
      <c r="A1904" s="7" t="s">
        <v>3110</v>
      </c>
      <c r="B1904" s="78" t="s">
        <v>503</v>
      </c>
      <c r="C1904" s="79" t="s">
        <v>7</v>
      </c>
      <c r="D1904" s="78"/>
      <c r="E1904" s="80"/>
      <c r="F1904" s="81"/>
      <c r="G1904" s="81">
        <v>104000000</v>
      </c>
    </row>
    <row r="1905" spans="1:7">
      <c r="A1905" s="7" t="s">
        <v>3111</v>
      </c>
      <c r="B1905" s="89" t="s">
        <v>195</v>
      </c>
      <c r="C1905" s="90" t="s">
        <v>3112</v>
      </c>
      <c r="D1905" s="89">
        <v>3</v>
      </c>
      <c r="E1905" s="91" t="s">
        <v>180</v>
      </c>
      <c r="F1905" s="92">
        <v>1000000</v>
      </c>
      <c r="G1905" s="92">
        <v>3000000</v>
      </c>
    </row>
    <row r="1906" spans="1:7">
      <c r="A1906" s="7" t="s">
        <v>3113</v>
      </c>
      <c r="B1906" s="89" t="s">
        <v>195</v>
      </c>
      <c r="C1906" s="90" t="s">
        <v>3114</v>
      </c>
      <c r="D1906" s="89">
        <v>8</v>
      </c>
      <c r="E1906" s="91" t="s">
        <v>180</v>
      </c>
      <c r="F1906" s="92">
        <v>1000000</v>
      </c>
      <c r="G1906" s="92">
        <v>8000000</v>
      </c>
    </row>
    <row r="1907" spans="1:7">
      <c r="A1907" s="7" t="s">
        <v>3115</v>
      </c>
      <c r="B1907" s="89" t="s">
        <v>195</v>
      </c>
      <c r="C1907" s="90" t="s">
        <v>3116</v>
      </c>
      <c r="D1907" s="89">
        <v>300</v>
      </c>
      <c r="E1907" s="91" t="s">
        <v>106</v>
      </c>
      <c r="F1907" s="92">
        <v>250000</v>
      </c>
      <c r="G1907" s="92">
        <v>75000000</v>
      </c>
    </row>
    <row r="1908" spans="1:7" ht="28.5">
      <c r="A1908" s="7" t="s">
        <v>3117</v>
      </c>
      <c r="B1908" s="89" t="s">
        <v>195</v>
      </c>
      <c r="C1908" s="90" t="s">
        <v>3118</v>
      </c>
      <c r="D1908" s="89">
        <v>12</v>
      </c>
      <c r="E1908" s="91" t="s">
        <v>180</v>
      </c>
      <c r="F1908" s="92">
        <v>1000000</v>
      </c>
      <c r="G1908" s="92">
        <v>12000000</v>
      </c>
    </row>
    <row r="1909" spans="1:7">
      <c r="A1909" s="7" t="s">
        <v>3119</v>
      </c>
      <c r="B1909" s="89" t="s">
        <v>195</v>
      </c>
      <c r="C1909" s="90" t="s">
        <v>619</v>
      </c>
      <c r="D1909" s="89">
        <v>3</v>
      </c>
      <c r="E1909" s="91" t="s">
        <v>106</v>
      </c>
      <c r="F1909" s="92">
        <v>1000000</v>
      </c>
      <c r="G1909" s="92">
        <v>3000000</v>
      </c>
    </row>
    <row r="1910" spans="1:7">
      <c r="A1910" s="7" t="s">
        <v>3120</v>
      </c>
      <c r="B1910" s="89" t="s">
        <v>195</v>
      </c>
      <c r="C1910" s="90" t="s">
        <v>620</v>
      </c>
      <c r="D1910" s="89">
        <v>3</v>
      </c>
      <c r="E1910" s="91" t="s">
        <v>106</v>
      </c>
      <c r="F1910" s="92">
        <v>1000000</v>
      </c>
      <c r="G1910" s="92">
        <v>3000000</v>
      </c>
    </row>
    <row r="1911" spans="1:7" ht="15">
      <c r="A1911" s="7" t="s">
        <v>3121</v>
      </c>
      <c r="B1911" s="78" t="s">
        <v>537</v>
      </c>
      <c r="C1911" s="79" t="s">
        <v>64</v>
      </c>
      <c r="D1911" s="78"/>
      <c r="E1911" s="80"/>
      <c r="F1911" s="81"/>
      <c r="G1911" s="81">
        <v>24000000</v>
      </c>
    </row>
    <row r="1912" spans="1:7">
      <c r="A1912" s="7" t="s">
        <v>3122</v>
      </c>
      <c r="B1912" s="89" t="s">
        <v>195</v>
      </c>
      <c r="C1912" s="90" t="s">
        <v>619</v>
      </c>
      <c r="D1912" s="89">
        <v>12</v>
      </c>
      <c r="E1912" s="91" t="s">
        <v>106</v>
      </c>
      <c r="F1912" s="92">
        <v>1000000</v>
      </c>
      <c r="G1912" s="92">
        <v>12000000</v>
      </c>
    </row>
    <row r="1913" spans="1:7">
      <c r="A1913" s="7" t="s">
        <v>3123</v>
      </c>
      <c r="B1913" s="89" t="s">
        <v>195</v>
      </c>
      <c r="C1913" s="90" t="s">
        <v>620</v>
      </c>
      <c r="D1913" s="89">
        <v>12</v>
      </c>
      <c r="E1913" s="91" t="s">
        <v>106</v>
      </c>
      <c r="F1913" s="92">
        <v>1000000</v>
      </c>
      <c r="G1913" s="92">
        <v>12000000</v>
      </c>
    </row>
    <row r="1914" spans="1:7" ht="15">
      <c r="A1914" s="7" t="s">
        <v>3124</v>
      </c>
      <c r="B1914" s="78" t="s">
        <v>516</v>
      </c>
      <c r="C1914" s="79" t="s">
        <v>11</v>
      </c>
      <c r="D1914" s="78"/>
      <c r="E1914" s="80"/>
      <c r="F1914" s="81"/>
      <c r="G1914" s="81">
        <v>21600000</v>
      </c>
    </row>
    <row r="1915" spans="1:7" ht="28.5">
      <c r="A1915" s="7" t="s">
        <v>3125</v>
      </c>
      <c r="B1915" s="89" t="s">
        <v>195</v>
      </c>
      <c r="C1915" s="90" t="s">
        <v>3126</v>
      </c>
      <c r="D1915" s="89">
        <v>24</v>
      </c>
      <c r="E1915" s="91" t="s">
        <v>54</v>
      </c>
      <c r="F1915" s="92">
        <v>900000</v>
      </c>
      <c r="G1915" s="92">
        <v>21600000</v>
      </c>
    </row>
    <row r="1916" spans="1:7" ht="15">
      <c r="A1916" s="7" t="s">
        <v>3127</v>
      </c>
      <c r="B1916" s="78" t="s">
        <v>513</v>
      </c>
      <c r="C1916" s="79" t="s">
        <v>19</v>
      </c>
      <c r="D1916" s="78"/>
      <c r="E1916" s="80"/>
      <c r="F1916" s="81"/>
      <c r="G1916" s="81">
        <v>720000000</v>
      </c>
    </row>
    <row r="1917" spans="1:7" ht="28.5">
      <c r="A1917" s="7" t="s">
        <v>3128</v>
      </c>
      <c r="B1917" s="89" t="s">
        <v>195</v>
      </c>
      <c r="C1917" s="90" t="s">
        <v>3129</v>
      </c>
      <c r="D1917" s="89">
        <v>24</v>
      </c>
      <c r="E1917" s="91" t="s">
        <v>25</v>
      </c>
      <c r="F1917" s="92">
        <v>5000000</v>
      </c>
      <c r="G1917" s="92">
        <v>120000000</v>
      </c>
    </row>
    <row r="1918" spans="1:7" ht="28.5">
      <c r="A1918" s="7" t="s">
        <v>3130</v>
      </c>
      <c r="B1918" s="89" t="s">
        <v>195</v>
      </c>
      <c r="C1918" s="90" t="s">
        <v>3131</v>
      </c>
      <c r="D1918" s="89">
        <v>50</v>
      </c>
      <c r="E1918" s="91" t="s">
        <v>25</v>
      </c>
      <c r="F1918" s="92">
        <v>5000000</v>
      </c>
      <c r="G1918" s="92">
        <v>250000000</v>
      </c>
    </row>
    <row r="1919" spans="1:7" ht="28.5">
      <c r="A1919" s="7" t="s">
        <v>3132</v>
      </c>
      <c r="B1919" s="89" t="s">
        <v>195</v>
      </c>
      <c r="C1919" s="90" t="s">
        <v>3133</v>
      </c>
      <c r="D1919" s="89">
        <v>20</v>
      </c>
      <c r="E1919" s="91" t="s">
        <v>25</v>
      </c>
      <c r="F1919" s="92">
        <v>5000000</v>
      </c>
      <c r="G1919" s="92">
        <v>100000000</v>
      </c>
    </row>
    <row r="1920" spans="1:7" ht="28.5">
      <c r="A1920" s="7" t="s">
        <v>3134</v>
      </c>
      <c r="B1920" s="89" t="s">
        <v>195</v>
      </c>
      <c r="C1920" s="90" t="s">
        <v>3135</v>
      </c>
      <c r="D1920" s="89">
        <v>50</v>
      </c>
      <c r="E1920" s="91" t="s">
        <v>25</v>
      </c>
      <c r="F1920" s="92">
        <v>5000000</v>
      </c>
      <c r="G1920" s="92">
        <v>250000000</v>
      </c>
    </row>
    <row r="1921" spans="1:7" ht="15">
      <c r="A1921" s="7" t="s">
        <v>3136</v>
      </c>
      <c r="B1921" s="78" t="s">
        <v>507</v>
      </c>
      <c r="C1921" s="79" t="s">
        <v>13</v>
      </c>
      <c r="D1921" s="78"/>
      <c r="E1921" s="80"/>
      <c r="F1921" s="81"/>
      <c r="G1921" s="81">
        <v>1800000</v>
      </c>
    </row>
    <row r="1922" spans="1:7" ht="28.5">
      <c r="A1922" s="7" t="s">
        <v>3137</v>
      </c>
      <c r="B1922" s="89" t="s">
        <v>195</v>
      </c>
      <c r="C1922" s="90" t="s">
        <v>3138</v>
      </c>
      <c r="D1922" s="89">
        <v>5</v>
      </c>
      <c r="E1922" s="91" t="s">
        <v>25</v>
      </c>
      <c r="F1922" s="92">
        <v>150000</v>
      </c>
      <c r="G1922" s="92">
        <v>750000</v>
      </c>
    </row>
    <row r="1923" spans="1:7">
      <c r="A1923" s="7" t="s">
        <v>3139</v>
      </c>
      <c r="B1923" s="89" t="s">
        <v>195</v>
      </c>
      <c r="C1923" s="90" t="s">
        <v>3140</v>
      </c>
      <c r="D1923" s="89">
        <v>5</v>
      </c>
      <c r="E1923" s="91" t="s">
        <v>25</v>
      </c>
      <c r="F1923" s="92">
        <v>210000</v>
      </c>
      <c r="G1923" s="92">
        <v>1050000</v>
      </c>
    </row>
    <row r="1924" spans="1:7" ht="15">
      <c r="A1924" s="7" t="s">
        <v>3141</v>
      </c>
      <c r="B1924" s="78" t="s">
        <v>510</v>
      </c>
      <c r="C1924" s="79" t="s">
        <v>15</v>
      </c>
      <c r="D1924" s="78"/>
      <c r="E1924" s="80"/>
      <c r="F1924" s="81"/>
      <c r="G1924" s="81">
        <v>28200000</v>
      </c>
    </row>
    <row r="1925" spans="1:7">
      <c r="A1925" s="7" t="s">
        <v>3142</v>
      </c>
      <c r="B1925" s="89" t="s">
        <v>195</v>
      </c>
      <c r="C1925" s="90" t="s">
        <v>3143</v>
      </c>
      <c r="D1925" s="89">
        <v>12</v>
      </c>
      <c r="E1925" s="91" t="s">
        <v>25</v>
      </c>
      <c r="F1925" s="92">
        <v>2350000</v>
      </c>
      <c r="G1925" s="92">
        <v>28200000</v>
      </c>
    </row>
    <row r="1926" spans="1:7" ht="15">
      <c r="A1926" s="7" t="s">
        <v>3144</v>
      </c>
      <c r="B1926" s="97" t="s">
        <v>511</v>
      </c>
      <c r="C1926" s="98" t="s">
        <v>3145</v>
      </c>
      <c r="D1926" s="97"/>
      <c r="E1926" s="99"/>
      <c r="F1926" s="100"/>
      <c r="G1926" s="100">
        <v>307320000</v>
      </c>
    </row>
    <row r="1927" spans="1:7" ht="15">
      <c r="A1927" s="7" t="s">
        <v>3146</v>
      </c>
      <c r="B1927" s="78" t="s">
        <v>503</v>
      </c>
      <c r="C1927" s="79" t="s">
        <v>7</v>
      </c>
      <c r="D1927" s="78"/>
      <c r="E1927" s="80"/>
      <c r="F1927" s="81"/>
      <c r="G1927" s="81">
        <v>31400000</v>
      </c>
    </row>
    <row r="1928" spans="1:7" ht="28.5">
      <c r="A1928" s="7" t="s">
        <v>3147</v>
      </c>
      <c r="B1928" s="89" t="s">
        <v>195</v>
      </c>
      <c r="C1928" s="90" t="s">
        <v>3148</v>
      </c>
      <c r="D1928" s="89">
        <v>60</v>
      </c>
      <c r="E1928" s="91" t="s">
        <v>180</v>
      </c>
      <c r="F1928" s="92">
        <v>350000</v>
      </c>
      <c r="G1928" s="92">
        <v>21000000</v>
      </c>
    </row>
    <row r="1929" spans="1:7">
      <c r="A1929" s="7" t="s">
        <v>3149</v>
      </c>
      <c r="B1929" s="89" t="s">
        <v>195</v>
      </c>
      <c r="C1929" s="90" t="s">
        <v>3150</v>
      </c>
      <c r="D1929" s="89">
        <v>1</v>
      </c>
      <c r="E1929" s="91" t="s">
        <v>180</v>
      </c>
      <c r="F1929" s="92">
        <v>1000000</v>
      </c>
      <c r="G1929" s="92">
        <v>1000000</v>
      </c>
    </row>
    <row r="1930" spans="1:7">
      <c r="A1930" s="7" t="s">
        <v>3151</v>
      </c>
      <c r="B1930" s="89" t="s">
        <v>195</v>
      </c>
      <c r="C1930" s="90" t="s">
        <v>3152</v>
      </c>
      <c r="D1930" s="89">
        <v>12</v>
      </c>
      <c r="E1930" s="91" t="s">
        <v>180</v>
      </c>
      <c r="F1930" s="92">
        <v>200000</v>
      </c>
      <c r="G1930" s="92">
        <v>2400000</v>
      </c>
    </row>
    <row r="1931" spans="1:7">
      <c r="A1931" s="7" t="s">
        <v>3153</v>
      </c>
      <c r="B1931" s="89" t="s">
        <v>195</v>
      </c>
      <c r="C1931" s="90" t="s">
        <v>3154</v>
      </c>
      <c r="D1931" s="89">
        <v>5</v>
      </c>
      <c r="E1931" s="91" t="s">
        <v>180</v>
      </c>
      <c r="F1931" s="92">
        <v>1000000</v>
      </c>
      <c r="G1931" s="92">
        <v>5000000</v>
      </c>
    </row>
    <row r="1932" spans="1:7">
      <c r="A1932" s="7" t="s">
        <v>3155</v>
      </c>
      <c r="B1932" s="89" t="s">
        <v>195</v>
      </c>
      <c r="C1932" s="90" t="s">
        <v>619</v>
      </c>
      <c r="D1932" s="89">
        <v>1</v>
      </c>
      <c r="E1932" s="91" t="s">
        <v>106</v>
      </c>
      <c r="F1932" s="92">
        <v>1000000</v>
      </c>
      <c r="G1932" s="92">
        <v>1000000</v>
      </c>
    </row>
    <row r="1933" spans="1:7">
      <c r="A1933" s="7" t="s">
        <v>3156</v>
      </c>
      <c r="B1933" s="89" t="s">
        <v>195</v>
      </c>
      <c r="C1933" s="90" t="s">
        <v>620</v>
      </c>
      <c r="D1933" s="89">
        <v>1</v>
      </c>
      <c r="E1933" s="91" t="s">
        <v>106</v>
      </c>
      <c r="F1933" s="92">
        <v>1000000</v>
      </c>
      <c r="G1933" s="92">
        <v>1000000</v>
      </c>
    </row>
    <row r="1934" spans="1:7" ht="15">
      <c r="A1934" s="7" t="s">
        <v>3157</v>
      </c>
      <c r="B1934" s="78" t="s">
        <v>537</v>
      </c>
      <c r="C1934" s="79" t="s">
        <v>64</v>
      </c>
      <c r="D1934" s="78"/>
      <c r="E1934" s="80"/>
      <c r="F1934" s="81"/>
      <c r="G1934" s="81">
        <v>24000000</v>
      </c>
    </row>
    <row r="1935" spans="1:7">
      <c r="A1935" s="7" t="s">
        <v>3158</v>
      </c>
      <c r="B1935" s="89" t="s">
        <v>195</v>
      </c>
      <c r="C1935" s="90" t="s">
        <v>619</v>
      </c>
      <c r="D1935" s="89">
        <v>12</v>
      </c>
      <c r="E1935" s="91" t="s">
        <v>106</v>
      </c>
      <c r="F1935" s="92">
        <v>1000000</v>
      </c>
      <c r="G1935" s="92">
        <v>12000000</v>
      </c>
    </row>
    <row r="1936" spans="1:7">
      <c r="A1936" s="7" t="s">
        <v>3159</v>
      </c>
      <c r="B1936" s="89" t="s">
        <v>195</v>
      </c>
      <c r="C1936" s="90" t="s">
        <v>620</v>
      </c>
      <c r="D1936" s="89">
        <v>12</v>
      </c>
      <c r="E1936" s="91" t="s">
        <v>106</v>
      </c>
      <c r="F1936" s="92">
        <v>1000000</v>
      </c>
      <c r="G1936" s="92">
        <v>12000000</v>
      </c>
    </row>
    <row r="1937" spans="1:7" ht="15">
      <c r="A1937" s="7" t="s">
        <v>3160</v>
      </c>
      <c r="B1937" s="78" t="s">
        <v>516</v>
      </c>
      <c r="C1937" s="79" t="s">
        <v>11</v>
      </c>
      <c r="D1937" s="78"/>
      <c r="E1937" s="80"/>
      <c r="F1937" s="81"/>
      <c r="G1937" s="81">
        <v>3600000</v>
      </c>
    </row>
    <row r="1938" spans="1:7" ht="28.5">
      <c r="A1938" s="7" t="s">
        <v>3161</v>
      </c>
      <c r="B1938" s="89" t="s">
        <v>195</v>
      </c>
      <c r="C1938" s="90" t="s">
        <v>3162</v>
      </c>
      <c r="D1938" s="89">
        <v>4</v>
      </c>
      <c r="E1938" s="91" t="s">
        <v>54</v>
      </c>
      <c r="F1938" s="92">
        <v>900000</v>
      </c>
      <c r="G1938" s="92">
        <v>3600000</v>
      </c>
    </row>
    <row r="1939" spans="1:7" ht="15">
      <c r="A1939" s="7" t="s">
        <v>3163</v>
      </c>
      <c r="B1939" s="78" t="s">
        <v>513</v>
      </c>
      <c r="C1939" s="79" t="s">
        <v>19</v>
      </c>
      <c r="D1939" s="78"/>
      <c r="E1939" s="80"/>
      <c r="F1939" s="81"/>
      <c r="G1939" s="81">
        <v>241800000</v>
      </c>
    </row>
    <row r="1940" spans="1:7" ht="42.75">
      <c r="A1940" s="7" t="s">
        <v>3164</v>
      </c>
      <c r="B1940" s="89" t="s">
        <v>195</v>
      </c>
      <c r="C1940" s="90" t="s">
        <v>3165</v>
      </c>
      <c r="D1940" s="89">
        <v>60</v>
      </c>
      <c r="E1940" s="91" t="s">
        <v>25</v>
      </c>
      <c r="F1940" s="92">
        <v>1830000</v>
      </c>
      <c r="G1940" s="92">
        <v>109800000</v>
      </c>
    </row>
    <row r="1941" spans="1:7" ht="28.5">
      <c r="A1941" s="7" t="s">
        <v>3166</v>
      </c>
      <c r="B1941" s="89" t="s">
        <v>195</v>
      </c>
      <c r="C1941" s="90" t="s">
        <v>3167</v>
      </c>
      <c r="D1941" s="89">
        <v>24</v>
      </c>
      <c r="E1941" s="91" t="s">
        <v>25</v>
      </c>
      <c r="F1941" s="92">
        <v>5500000</v>
      </c>
      <c r="G1941" s="92">
        <v>132000000</v>
      </c>
    </row>
    <row r="1942" spans="1:7" ht="15">
      <c r="A1942" s="7" t="s">
        <v>3168</v>
      </c>
      <c r="B1942" s="78" t="s">
        <v>507</v>
      </c>
      <c r="C1942" s="79" t="s">
        <v>13</v>
      </c>
      <c r="D1942" s="78"/>
      <c r="E1942" s="80"/>
      <c r="F1942" s="81"/>
      <c r="G1942" s="81">
        <v>720000</v>
      </c>
    </row>
    <row r="1943" spans="1:7" ht="28.5">
      <c r="A1943" s="7" t="s">
        <v>3169</v>
      </c>
      <c r="B1943" s="89" t="s">
        <v>195</v>
      </c>
      <c r="C1943" s="90" t="s">
        <v>3170</v>
      </c>
      <c r="D1943" s="89">
        <v>2</v>
      </c>
      <c r="E1943" s="91" t="s">
        <v>25</v>
      </c>
      <c r="F1943" s="92">
        <v>150000</v>
      </c>
      <c r="G1943" s="92">
        <v>300000</v>
      </c>
    </row>
    <row r="1944" spans="1:7">
      <c r="A1944" s="7" t="s">
        <v>3171</v>
      </c>
      <c r="B1944" s="89" t="s">
        <v>195</v>
      </c>
      <c r="C1944" s="90" t="s">
        <v>3172</v>
      </c>
      <c r="D1944" s="89">
        <v>2</v>
      </c>
      <c r="E1944" s="91" t="s">
        <v>25</v>
      </c>
      <c r="F1944" s="92">
        <v>210000</v>
      </c>
      <c r="G1944" s="92">
        <v>420000</v>
      </c>
    </row>
    <row r="1945" spans="1:7" ht="30">
      <c r="A1945" s="7" t="s">
        <v>3173</v>
      </c>
      <c r="B1945" s="78" t="s">
        <v>509</v>
      </c>
      <c r="C1945" s="79" t="s">
        <v>14</v>
      </c>
      <c r="D1945" s="78"/>
      <c r="E1945" s="80"/>
      <c r="F1945" s="81"/>
      <c r="G1945" s="81">
        <v>5800000</v>
      </c>
    </row>
    <row r="1946" spans="1:7">
      <c r="A1946" s="7" t="s">
        <v>3174</v>
      </c>
      <c r="B1946" s="89" t="s">
        <v>195</v>
      </c>
      <c r="C1946" s="90" t="s">
        <v>3175</v>
      </c>
      <c r="D1946" s="89">
        <v>4</v>
      </c>
      <c r="E1946" s="91" t="s">
        <v>73</v>
      </c>
      <c r="F1946" s="92">
        <v>1450000</v>
      </c>
      <c r="G1946" s="92">
        <v>5800000</v>
      </c>
    </row>
    <row r="1947" spans="1:7" ht="30">
      <c r="A1947" s="7" t="s">
        <v>3176</v>
      </c>
      <c r="B1947" s="97" t="s">
        <v>512</v>
      </c>
      <c r="C1947" s="98" t="s">
        <v>3177</v>
      </c>
      <c r="D1947" s="97"/>
      <c r="E1947" s="99"/>
      <c r="F1947" s="100"/>
      <c r="G1947" s="100">
        <v>80600000</v>
      </c>
    </row>
    <row r="1948" spans="1:7" ht="15">
      <c r="A1948" s="7" t="s">
        <v>3178</v>
      </c>
      <c r="B1948" s="78" t="s">
        <v>503</v>
      </c>
      <c r="C1948" s="79" t="s">
        <v>7</v>
      </c>
      <c r="D1948" s="78"/>
      <c r="E1948" s="80"/>
      <c r="F1948" s="81"/>
      <c r="G1948" s="81">
        <v>24000000</v>
      </c>
    </row>
    <row r="1949" spans="1:7">
      <c r="A1949" s="7" t="s">
        <v>3179</v>
      </c>
      <c r="B1949" s="89" t="s">
        <v>195</v>
      </c>
      <c r="C1949" s="90" t="s">
        <v>619</v>
      </c>
      <c r="D1949" s="89">
        <v>1</v>
      </c>
      <c r="E1949" s="91" t="s">
        <v>106</v>
      </c>
      <c r="F1949" s="92">
        <v>1000000</v>
      </c>
      <c r="G1949" s="92">
        <v>1000000</v>
      </c>
    </row>
    <row r="1950" spans="1:7">
      <c r="A1950" s="7" t="s">
        <v>3180</v>
      </c>
      <c r="B1950" s="89" t="s">
        <v>195</v>
      </c>
      <c r="C1950" s="90" t="s">
        <v>620</v>
      </c>
      <c r="D1950" s="89">
        <v>1</v>
      </c>
      <c r="E1950" s="91" t="s">
        <v>106</v>
      </c>
      <c r="F1950" s="92">
        <v>1000000</v>
      </c>
      <c r="G1950" s="92">
        <v>1000000</v>
      </c>
    </row>
    <row r="1951" spans="1:7">
      <c r="A1951" s="7" t="s">
        <v>3181</v>
      </c>
      <c r="B1951" s="89" t="s">
        <v>195</v>
      </c>
      <c r="C1951" s="90" t="s">
        <v>3182</v>
      </c>
      <c r="D1951" s="89">
        <v>1</v>
      </c>
      <c r="E1951" s="91" t="s">
        <v>180</v>
      </c>
      <c r="F1951" s="92">
        <v>1000000</v>
      </c>
      <c r="G1951" s="92">
        <v>1000000</v>
      </c>
    </row>
    <row r="1952" spans="1:7" ht="28.5">
      <c r="A1952" s="7" t="s">
        <v>3183</v>
      </c>
      <c r="B1952" s="89" t="s">
        <v>195</v>
      </c>
      <c r="C1952" s="90" t="s">
        <v>3184</v>
      </c>
      <c r="D1952" s="89">
        <v>60</v>
      </c>
      <c r="E1952" s="91" t="s">
        <v>180</v>
      </c>
      <c r="F1952" s="92">
        <v>350000</v>
      </c>
      <c r="G1952" s="92">
        <v>21000000</v>
      </c>
    </row>
    <row r="1953" spans="1:7" ht="15">
      <c r="A1953" s="7" t="s">
        <v>3185</v>
      </c>
      <c r="B1953" s="78" t="s">
        <v>513</v>
      </c>
      <c r="C1953" s="79" t="s">
        <v>19</v>
      </c>
      <c r="D1953" s="78"/>
      <c r="E1953" s="80"/>
      <c r="F1953" s="81"/>
      <c r="G1953" s="81">
        <v>56600000</v>
      </c>
    </row>
    <row r="1954" spans="1:7">
      <c r="A1954" s="7" t="s">
        <v>3186</v>
      </c>
      <c r="B1954" s="89" t="s">
        <v>195</v>
      </c>
      <c r="C1954" s="90" t="s">
        <v>3187</v>
      </c>
      <c r="D1954" s="89">
        <v>20</v>
      </c>
      <c r="E1954" s="91" t="s">
        <v>25</v>
      </c>
      <c r="F1954" s="92">
        <v>2830000</v>
      </c>
      <c r="G1954" s="92">
        <v>56600000</v>
      </c>
    </row>
    <row r="1955" spans="1:7" ht="15">
      <c r="A1955" s="7" t="s">
        <v>3188</v>
      </c>
      <c r="B1955" s="97" t="s">
        <v>514</v>
      </c>
      <c r="C1955" s="98" t="s">
        <v>181</v>
      </c>
      <c r="D1955" s="97"/>
      <c r="E1955" s="99"/>
      <c r="F1955" s="100"/>
      <c r="G1955" s="100">
        <v>304320000</v>
      </c>
    </row>
    <row r="1956" spans="1:7" ht="15">
      <c r="A1956" s="7" t="s">
        <v>3189</v>
      </c>
      <c r="B1956" s="78" t="s">
        <v>503</v>
      </c>
      <c r="C1956" s="79" t="s">
        <v>7</v>
      </c>
      <c r="D1956" s="78"/>
      <c r="E1956" s="80"/>
      <c r="F1956" s="81"/>
      <c r="G1956" s="81">
        <v>2600000</v>
      </c>
    </row>
    <row r="1957" spans="1:7">
      <c r="A1957" s="7" t="s">
        <v>3190</v>
      </c>
      <c r="B1957" s="89" t="s">
        <v>195</v>
      </c>
      <c r="C1957" s="90" t="s">
        <v>3191</v>
      </c>
      <c r="D1957" s="89">
        <v>12</v>
      </c>
      <c r="E1957" s="91" t="s">
        <v>180</v>
      </c>
      <c r="F1957" s="92">
        <v>150000</v>
      </c>
      <c r="G1957" s="92">
        <v>1800000</v>
      </c>
    </row>
    <row r="1958" spans="1:7">
      <c r="A1958" s="7" t="s">
        <v>3192</v>
      </c>
      <c r="B1958" s="89" t="s">
        <v>195</v>
      </c>
      <c r="C1958" s="90" t="s">
        <v>3193</v>
      </c>
      <c r="D1958" s="89">
        <v>8</v>
      </c>
      <c r="E1958" s="91" t="s">
        <v>180</v>
      </c>
      <c r="F1958" s="92">
        <v>100000</v>
      </c>
      <c r="G1958" s="92">
        <v>800000</v>
      </c>
    </row>
    <row r="1959" spans="1:7" ht="30">
      <c r="A1959" s="7" t="s">
        <v>3194</v>
      </c>
      <c r="B1959" s="78" t="s">
        <v>515</v>
      </c>
      <c r="C1959" s="79" t="s">
        <v>642</v>
      </c>
      <c r="D1959" s="78"/>
      <c r="E1959" s="80"/>
      <c r="F1959" s="81"/>
      <c r="G1959" s="81">
        <v>33600000</v>
      </c>
    </row>
    <row r="1960" spans="1:7">
      <c r="A1960" s="7" t="s">
        <v>3195</v>
      </c>
      <c r="B1960" s="89" t="s">
        <v>195</v>
      </c>
      <c r="C1960" s="90" t="s">
        <v>3196</v>
      </c>
      <c r="D1960" s="89">
        <v>168</v>
      </c>
      <c r="E1960" s="91" t="s">
        <v>32</v>
      </c>
      <c r="F1960" s="92">
        <v>200000</v>
      </c>
      <c r="G1960" s="92">
        <v>33600000</v>
      </c>
    </row>
    <row r="1961" spans="1:7" ht="15">
      <c r="A1961" s="7" t="s">
        <v>3197</v>
      </c>
      <c r="B1961" s="78" t="s">
        <v>537</v>
      </c>
      <c r="C1961" s="79" t="s">
        <v>64</v>
      </c>
      <c r="D1961" s="78"/>
      <c r="E1961" s="80"/>
      <c r="F1961" s="81"/>
      <c r="G1961" s="81">
        <v>24000000</v>
      </c>
    </row>
    <row r="1962" spans="1:7">
      <c r="A1962" s="7" t="s">
        <v>3198</v>
      </c>
      <c r="B1962" s="89" t="s">
        <v>195</v>
      </c>
      <c r="C1962" s="90" t="s">
        <v>619</v>
      </c>
      <c r="D1962" s="89">
        <v>12</v>
      </c>
      <c r="E1962" s="91" t="s">
        <v>106</v>
      </c>
      <c r="F1962" s="92">
        <v>1000000</v>
      </c>
      <c r="G1962" s="92">
        <v>12000000</v>
      </c>
    </row>
    <row r="1963" spans="1:7">
      <c r="A1963" s="7" t="s">
        <v>3199</v>
      </c>
      <c r="B1963" s="89" t="s">
        <v>195</v>
      </c>
      <c r="C1963" s="90" t="s">
        <v>620</v>
      </c>
      <c r="D1963" s="89">
        <v>12</v>
      </c>
      <c r="E1963" s="91" t="s">
        <v>106</v>
      </c>
      <c r="F1963" s="92">
        <v>1000000</v>
      </c>
      <c r="G1963" s="92">
        <v>12000000</v>
      </c>
    </row>
    <row r="1964" spans="1:7" ht="15">
      <c r="A1964" s="7" t="s">
        <v>3200</v>
      </c>
      <c r="B1964" s="78" t="s">
        <v>516</v>
      </c>
      <c r="C1964" s="79" t="s">
        <v>11</v>
      </c>
      <c r="D1964" s="78"/>
      <c r="E1964" s="80"/>
      <c r="F1964" s="81"/>
      <c r="G1964" s="81">
        <v>18000000</v>
      </c>
    </row>
    <row r="1965" spans="1:7">
      <c r="A1965" s="7" t="s">
        <v>3201</v>
      </c>
      <c r="B1965" s="89" t="s">
        <v>195</v>
      </c>
      <c r="C1965" s="90" t="s">
        <v>3202</v>
      </c>
      <c r="D1965" s="89">
        <v>20</v>
      </c>
      <c r="E1965" s="91" t="s">
        <v>54</v>
      </c>
      <c r="F1965" s="92">
        <v>900000</v>
      </c>
      <c r="G1965" s="92">
        <v>18000000</v>
      </c>
    </row>
    <row r="1966" spans="1:7" ht="15">
      <c r="A1966" s="7" t="s">
        <v>3203</v>
      </c>
      <c r="B1966" s="78" t="s">
        <v>518</v>
      </c>
      <c r="C1966" s="79" t="s">
        <v>24</v>
      </c>
      <c r="D1966" s="78"/>
      <c r="E1966" s="80"/>
      <c r="F1966" s="81"/>
      <c r="G1966" s="81">
        <v>9000000</v>
      </c>
    </row>
    <row r="1967" spans="1:7" ht="28.5">
      <c r="A1967" s="7" t="s">
        <v>3204</v>
      </c>
      <c r="B1967" s="89" t="s">
        <v>195</v>
      </c>
      <c r="C1967" s="90" t="s">
        <v>3205</v>
      </c>
      <c r="D1967" s="89">
        <v>30</v>
      </c>
      <c r="E1967" s="91" t="s">
        <v>25</v>
      </c>
      <c r="F1967" s="92">
        <v>300000</v>
      </c>
      <c r="G1967" s="92">
        <v>9000000</v>
      </c>
    </row>
    <row r="1968" spans="1:7" ht="15">
      <c r="A1968" s="7" t="s">
        <v>3206</v>
      </c>
      <c r="B1968" s="78" t="s">
        <v>513</v>
      </c>
      <c r="C1968" s="79" t="s">
        <v>19</v>
      </c>
      <c r="D1968" s="78"/>
      <c r="E1968" s="80"/>
      <c r="F1968" s="81"/>
      <c r="G1968" s="81">
        <v>216400000</v>
      </c>
    </row>
    <row r="1969" spans="1:7" ht="28.5">
      <c r="A1969" s="7" t="s">
        <v>3207</v>
      </c>
      <c r="B1969" s="89" t="s">
        <v>195</v>
      </c>
      <c r="C1969" s="90" t="s">
        <v>3208</v>
      </c>
      <c r="D1969" s="89">
        <v>80</v>
      </c>
      <c r="E1969" s="91" t="s">
        <v>25</v>
      </c>
      <c r="F1969" s="92">
        <v>830000</v>
      </c>
      <c r="G1969" s="92">
        <v>66400000</v>
      </c>
    </row>
    <row r="1970" spans="1:7" ht="28.5">
      <c r="A1970" s="7" t="s">
        <v>3209</v>
      </c>
      <c r="B1970" s="89" t="s">
        <v>195</v>
      </c>
      <c r="C1970" s="90" t="s">
        <v>3210</v>
      </c>
      <c r="D1970" s="89">
        <v>30</v>
      </c>
      <c r="E1970" s="91" t="s">
        <v>25</v>
      </c>
      <c r="F1970" s="92">
        <v>5000000</v>
      </c>
      <c r="G1970" s="92">
        <v>150000000</v>
      </c>
    </row>
    <row r="1971" spans="1:7" ht="15">
      <c r="A1971" s="7" t="s">
        <v>3211</v>
      </c>
      <c r="B1971" s="78" t="s">
        <v>507</v>
      </c>
      <c r="C1971" s="79" t="s">
        <v>13</v>
      </c>
      <c r="D1971" s="78"/>
      <c r="E1971" s="80"/>
      <c r="F1971" s="81"/>
      <c r="G1971" s="81">
        <v>720000</v>
      </c>
    </row>
    <row r="1972" spans="1:7" ht="28.5">
      <c r="A1972" s="7" t="s">
        <v>3212</v>
      </c>
      <c r="B1972" s="89" t="s">
        <v>195</v>
      </c>
      <c r="C1972" s="90" t="s">
        <v>3213</v>
      </c>
      <c r="D1972" s="89">
        <v>2</v>
      </c>
      <c r="E1972" s="91" t="s">
        <v>25</v>
      </c>
      <c r="F1972" s="92">
        <v>150000</v>
      </c>
      <c r="G1972" s="92">
        <v>300000</v>
      </c>
    </row>
    <row r="1973" spans="1:7">
      <c r="A1973" s="7" t="s">
        <v>3214</v>
      </c>
      <c r="B1973" s="89" t="s">
        <v>195</v>
      </c>
      <c r="C1973" s="90" t="s">
        <v>3172</v>
      </c>
      <c r="D1973" s="89">
        <v>2</v>
      </c>
      <c r="E1973" s="91" t="s">
        <v>25</v>
      </c>
      <c r="F1973" s="92">
        <v>210000</v>
      </c>
      <c r="G1973" s="92">
        <v>420000</v>
      </c>
    </row>
    <row r="1974" spans="1:7" ht="30">
      <c r="A1974" s="7" t="s">
        <v>3215</v>
      </c>
      <c r="B1974" s="97" t="s">
        <v>519</v>
      </c>
      <c r="C1974" s="98" t="s">
        <v>182</v>
      </c>
      <c r="D1974" s="97"/>
      <c r="E1974" s="99"/>
      <c r="F1974" s="100"/>
      <c r="G1974" s="100">
        <v>422620000</v>
      </c>
    </row>
    <row r="1975" spans="1:7" ht="15">
      <c r="A1975" s="7" t="s">
        <v>3216</v>
      </c>
      <c r="B1975" s="78" t="s">
        <v>503</v>
      </c>
      <c r="C1975" s="79" t="s">
        <v>7</v>
      </c>
      <c r="D1975" s="78"/>
      <c r="E1975" s="80"/>
      <c r="F1975" s="81"/>
      <c r="G1975" s="81">
        <v>20000000</v>
      </c>
    </row>
    <row r="1976" spans="1:7" ht="28.5">
      <c r="A1976" s="7" t="s">
        <v>3217</v>
      </c>
      <c r="B1976" s="89" t="s">
        <v>195</v>
      </c>
      <c r="C1976" s="90" t="s">
        <v>3218</v>
      </c>
      <c r="D1976" s="89">
        <v>28</v>
      </c>
      <c r="E1976" s="91" t="s">
        <v>180</v>
      </c>
      <c r="F1976" s="92">
        <v>500000</v>
      </c>
      <c r="G1976" s="92">
        <v>14000000</v>
      </c>
    </row>
    <row r="1977" spans="1:7">
      <c r="A1977" s="7" t="s">
        <v>3219</v>
      </c>
      <c r="B1977" s="89" t="s">
        <v>195</v>
      </c>
      <c r="C1977" s="90" t="s">
        <v>3220</v>
      </c>
      <c r="D1977" s="89">
        <v>3</v>
      </c>
      <c r="E1977" s="91" t="s">
        <v>180</v>
      </c>
      <c r="F1977" s="92">
        <v>1000000</v>
      </c>
      <c r="G1977" s="92">
        <v>3000000</v>
      </c>
    </row>
    <row r="1978" spans="1:7">
      <c r="A1978" s="7" t="s">
        <v>3221</v>
      </c>
      <c r="B1978" s="89" t="s">
        <v>195</v>
      </c>
      <c r="C1978" s="90" t="s">
        <v>3222</v>
      </c>
      <c r="D1978" s="89">
        <v>2</v>
      </c>
      <c r="E1978" s="91" t="s">
        <v>106</v>
      </c>
      <c r="F1978" s="92">
        <v>500000</v>
      </c>
      <c r="G1978" s="92">
        <v>1000000</v>
      </c>
    </row>
    <row r="1979" spans="1:7">
      <c r="A1979" s="7" t="s">
        <v>3223</v>
      </c>
      <c r="B1979" s="89" t="s">
        <v>195</v>
      </c>
      <c r="C1979" s="90" t="s">
        <v>3224</v>
      </c>
      <c r="D1979" s="89">
        <v>2</v>
      </c>
      <c r="E1979" s="91" t="s">
        <v>180</v>
      </c>
      <c r="F1979" s="92">
        <v>1000000</v>
      </c>
      <c r="G1979" s="92">
        <v>2000000</v>
      </c>
    </row>
    <row r="1980" spans="1:7" ht="15">
      <c r="A1980" s="7" t="s">
        <v>3225</v>
      </c>
      <c r="B1980" s="78" t="s">
        <v>537</v>
      </c>
      <c r="C1980" s="79" t="s">
        <v>64</v>
      </c>
      <c r="D1980" s="78"/>
      <c r="E1980" s="80"/>
      <c r="F1980" s="81"/>
      <c r="G1980" s="81">
        <v>24000000</v>
      </c>
    </row>
    <row r="1981" spans="1:7">
      <c r="A1981" s="7" t="s">
        <v>3226</v>
      </c>
      <c r="B1981" s="89" t="s">
        <v>195</v>
      </c>
      <c r="C1981" s="90" t="s">
        <v>619</v>
      </c>
      <c r="D1981" s="89">
        <v>12</v>
      </c>
      <c r="E1981" s="91" t="s">
        <v>106</v>
      </c>
      <c r="F1981" s="92">
        <v>1000000</v>
      </c>
      <c r="G1981" s="92">
        <v>12000000</v>
      </c>
    </row>
    <row r="1982" spans="1:7">
      <c r="A1982" s="7" t="s">
        <v>3227</v>
      </c>
      <c r="B1982" s="89" t="s">
        <v>195</v>
      </c>
      <c r="C1982" s="90" t="s">
        <v>620</v>
      </c>
      <c r="D1982" s="89">
        <v>12</v>
      </c>
      <c r="E1982" s="91" t="s">
        <v>106</v>
      </c>
      <c r="F1982" s="92">
        <v>1000000</v>
      </c>
      <c r="G1982" s="92">
        <v>12000000</v>
      </c>
    </row>
    <row r="1983" spans="1:7" ht="15">
      <c r="A1983" s="7" t="s">
        <v>3228</v>
      </c>
      <c r="B1983" s="78" t="s">
        <v>513</v>
      </c>
      <c r="C1983" s="79" t="s">
        <v>19</v>
      </c>
      <c r="D1983" s="78"/>
      <c r="E1983" s="80"/>
      <c r="F1983" s="81"/>
      <c r="G1983" s="81">
        <v>359100000</v>
      </c>
    </row>
    <row r="1984" spans="1:7" ht="28.5">
      <c r="A1984" s="7" t="s">
        <v>3229</v>
      </c>
      <c r="B1984" s="89" t="s">
        <v>195</v>
      </c>
      <c r="C1984" s="90" t="s">
        <v>3230</v>
      </c>
      <c r="D1984" s="89">
        <v>100</v>
      </c>
      <c r="E1984" s="91" t="s">
        <v>25</v>
      </c>
      <c r="F1984" s="92">
        <v>1830000</v>
      </c>
      <c r="G1984" s="92">
        <v>183000000</v>
      </c>
    </row>
    <row r="1985" spans="1:7" ht="28.5">
      <c r="A1985" s="7" t="s">
        <v>3231</v>
      </c>
      <c r="B1985" s="89" t="s">
        <v>195</v>
      </c>
      <c r="C1985" s="90" t="s">
        <v>3232</v>
      </c>
      <c r="D1985" s="89">
        <v>25</v>
      </c>
      <c r="E1985" s="91" t="s">
        <v>25</v>
      </c>
      <c r="F1985" s="92">
        <v>1260000</v>
      </c>
      <c r="G1985" s="92">
        <v>31500000</v>
      </c>
    </row>
    <row r="1986" spans="1:7" ht="28.5">
      <c r="A1986" s="7" t="s">
        <v>3233</v>
      </c>
      <c r="B1986" s="89" t="s">
        <v>195</v>
      </c>
      <c r="C1986" s="90" t="s">
        <v>3234</v>
      </c>
      <c r="D1986" s="89">
        <v>120</v>
      </c>
      <c r="E1986" s="91" t="s">
        <v>25</v>
      </c>
      <c r="F1986" s="92">
        <v>830000</v>
      </c>
      <c r="G1986" s="92">
        <v>99600000</v>
      </c>
    </row>
    <row r="1987" spans="1:7" ht="28.5">
      <c r="A1987" s="7" t="s">
        <v>3235</v>
      </c>
      <c r="B1987" s="89" t="s">
        <v>195</v>
      </c>
      <c r="C1987" s="90" t="s">
        <v>3236</v>
      </c>
      <c r="D1987" s="89">
        <v>15</v>
      </c>
      <c r="E1987" s="91" t="s">
        <v>25</v>
      </c>
      <c r="F1987" s="92">
        <v>3000000</v>
      </c>
      <c r="G1987" s="92">
        <v>45000000</v>
      </c>
    </row>
    <row r="1988" spans="1:7" ht="15">
      <c r="A1988" s="7" t="s">
        <v>3237</v>
      </c>
      <c r="B1988" s="78" t="s">
        <v>507</v>
      </c>
      <c r="C1988" s="79" t="s">
        <v>13</v>
      </c>
      <c r="D1988" s="78"/>
      <c r="E1988" s="80"/>
      <c r="F1988" s="81"/>
      <c r="G1988" s="81">
        <v>720000</v>
      </c>
    </row>
    <row r="1989" spans="1:7">
      <c r="A1989" s="7" t="s">
        <v>3238</v>
      </c>
      <c r="B1989" s="89" t="s">
        <v>195</v>
      </c>
      <c r="C1989" s="90" t="s">
        <v>3172</v>
      </c>
      <c r="D1989" s="89">
        <v>2</v>
      </c>
      <c r="E1989" s="91" t="s">
        <v>25</v>
      </c>
      <c r="F1989" s="92">
        <v>210000</v>
      </c>
      <c r="G1989" s="92">
        <v>420000</v>
      </c>
    </row>
    <row r="1990" spans="1:7" ht="28.5">
      <c r="A1990" s="7" t="s">
        <v>3239</v>
      </c>
      <c r="B1990" s="89" t="s">
        <v>195</v>
      </c>
      <c r="C1990" s="90" t="s">
        <v>3170</v>
      </c>
      <c r="D1990" s="89">
        <v>2</v>
      </c>
      <c r="E1990" s="91" t="s">
        <v>25</v>
      </c>
      <c r="F1990" s="92">
        <v>150000</v>
      </c>
      <c r="G1990" s="92">
        <v>300000</v>
      </c>
    </row>
    <row r="1991" spans="1:7" ht="15">
      <c r="A1991" s="7" t="s">
        <v>3240</v>
      </c>
      <c r="B1991" s="78" t="s">
        <v>510</v>
      </c>
      <c r="C1991" s="79" t="s">
        <v>15</v>
      </c>
      <c r="D1991" s="78"/>
      <c r="E1991" s="80"/>
      <c r="F1991" s="81"/>
      <c r="G1991" s="81">
        <v>18800000</v>
      </c>
    </row>
    <row r="1992" spans="1:7">
      <c r="A1992" s="7" t="s">
        <v>3241</v>
      </c>
      <c r="B1992" s="89" t="s">
        <v>195</v>
      </c>
      <c r="C1992" s="90" t="s">
        <v>3242</v>
      </c>
      <c r="D1992" s="89">
        <v>8</v>
      </c>
      <c r="E1992" s="91" t="s">
        <v>25</v>
      </c>
      <c r="F1992" s="92">
        <v>2350000</v>
      </c>
      <c r="G1992" s="92">
        <v>18800000</v>
      </c>
    </row>
    <row r="1993" spans="1:7" ht="15">
      <c r="A1993" s="7" t="s">
        <v>3243</v>
      </c>
      <c r="B1993" s="97" t="s">
        <v>578</v>
      </c>
      <c r="C1993" s="98" t="s">
        <v>183</v>
      </c>
      <c r="D1993" s="97"/>
      <c r="E1993" s="99"/>
      <c r="F1993" s="100"/>
      <c r="G1993" s="100">
        <v>485540000</v>
      </c>
    </row>
    <row r="1994" spans="1:7" ht="15">
      <c r="A1994" s="7" t="s">
        <v>3244</v>
      </c>
      <c r="B1994" s="78" t="s">
        <v>503</v>
      </c>
      <c r="C1994" s="79" t="s">
        <v>7</v>
      </c>
      <c r="D1994" s="78"/>
      <c r="E1994" s="80"/>
      <c r="F1994" s="81"/>
      <c r="G1994" s="81">
        <v>8000000</v>
      </c>
    </row>
    <row r="1995" spans="1:7">
      <c r="A1995" s="7" t="s">
        <v>3245</v>
      </c>
      <c r="B1995" s="89" t="s">
        <v>195</v>
      </c>
      <c r="C1995" s="90" t="s">
        <v>619</v>
      </c>
      <c r="D1995" s="89">
        <v>2</v>
      </c>
      <c r="E1995" s="91" t="s">
        <v>106</v>
      </c>
      <c r="F1995" s="92">
        <v>1000000</v>
      </c>
      <c r="G1995" s="92">
        <v>2000000</v>
      </c>
    </row>
    <row r="1996" spans="1:7">
      <c r="A1996" s="7" t="s">
        <v>3246</v>
      </c>
      <c r="B1996" s="89" t="s">
        <v>195</v>
      </c>
      <c r="C1996" s="90" t="s">
        <v>620</v>
      </c>
      <c r="D1996" s="89">
        <v>2</v>
      </c>
      <c r="E1996" s="91" t="s">
        <v>106</v>
      </c>
      <c r="F1996" s="92">
        <v>1000000</v>
      </c>
      <c r="G1996" s="92">
        <v>2000000</v>
      </c>
    </row>
    <row r="1997" spans="1:7">
      <c r="A1997" s="7" t="s">
        <v>3247</v>
      </c>
      <c r="B1997" s="89" t="s">
        <v>195</v>
      </c>
      <c r="C1997" s="90" t="s">
        <v>3248</v>
      </c>
      <c r="D1997" s="89">
        <v>4</v>
      </c>
      <c r="E1997" s="91" t="s">
        <v>180</v>
      </c>
      <c r="F1997" s="92">
        <v>1000000</v>
      </c>
      <c r="G1997" s="92">
        <v>4000000</v>
      </c>
    </row>
    <row r="1998" spans="1:7" ht="15">
      <c r="A1998" s="7" t="s">
        <v>3249</v>
      </c>
      <c r="B1998" s="78" t="s">
        <v>537</v>
      </c>
      <c r="C1998" s="79" t="s">
        <v>64</v>
      </c>
      <c r="D1998" s="78"/>
      <c r="E1998" s="80"/>
      <c r="F1998" s="81"/>
      <c r="G1998" s="81">
        <v>24000000</v>
      </c>
    </row>
    <row r="1999" spans="1:7">
      <c r="A1999" s="7" t="s">
        <v>3250</v>
      </c>
      <c r="B1999" s="89" t="s">
        <v>195</v>
      </c>
      <c r="C1999" s="90" t="s">
        <v>619</v>
      </c>
      <c r="D1999" s="89">
        <v>12</v>
      </c>
      <c r="E1999" s="91" t="s">
        <v>106</v>
      </c>
      <c r="F1999" s="92">
        <v>1000000</v>
      </c>
      <c r="G1999" s="92">
        <v>12000000</v>
      </c>
    </row>
    <row r="2000" spans="1:7">
      <c r="A2000" s="7" t="s">
        <v>3251</v>
      </c>
      <c r="B2000" s="89" t="s">
        <v>195</v>
      </c>
      <c r="C2000" s="90" t="s">
        <v>620</v>
      </c>
      <c r="D2000" s="89">
        <v>12</v>
      </c>
      <c r="E2000" s="91" t="s">
        <v>106</v>
      </c>
      <c r="F2000" s="92">
        <v>1000000</v>
      </c>
      <c r="G2000" s="92">
        <v>12000000</v>
      </c>
    </row>
    <row r="2001" spans="1:7" ht="15">
      <c r="A2001" s="7" t="s">
        <v>3252</v>
      </c>
      <c r="B2001" s="78" t="s">
        <v>513</v>
      </c>
      <c r="C2001" s="79" t="s">
        <v>19</v>
      </c>
      <c r="D2001" s="78"/>
      <c r="E2001" s="80"/>
      <c r="F2001" s="81"/>
      <c r="G2001" s="81">
        <v>436500000</v>
      </c>
    </row>
    <row r="2002" spans="1:7" ht="28.5">
      <c r="A2002" s="7" t="s">
        <v>3253</v>
      </c>
      <c r="B2002" s="89" t="s">
        <v>195</v>
      </c>
      <c r="C2002" s="90" t="s">
        <v>3254</v>
      </c>
      <c r="D2002" s="89">
        <v>60</v>
      </c>
      <c r="E2002" s="91" t="s">
        <v>25</v>
      </c>
      <c r="F2002" s="92">
        <v>5445000</v>
      </c>
      <c r="G2002" s="92">
        <v>326700000</v>
      </c>
    </row>
    <row r="2003" spans="1:7" ht="28.5">
      <c r="A2003" s="7" t="s">
        <v>3255</v>
      </c>
      <c r="B2003" s="89" t="s">
        <v>195</v>
      </c>
      <c r="C2003" s="90" t="s">
        <v>3256</v>
      </c>
      <c r="D2003" s="89">
        <v>60</v>
      </c>
      <c r="E2003" s="91" t="s">
        <v>25</v>
      </c>
      <c r="F2003" s="92">
        <v>1830000</v>
      </c>
      <c r="G2003" s="92">
        <v>109800000</v>
      </c>
    </row>
    <row r="2004" spans="1:7" ht="15">
      <c r="A2004" s="7" t="s">
        <v>3257</v>
      </c>
      <c r="B2004" s="78" t="s">
        <v>507</v>
      </c>
      <c r="C2004" s="79" t="s">
        <v>13</v>
      </c>
      <c r="D2004" s="78"/>
      <c r="E2004" s="80"/>
      <c r="F2004" s="81"/>
      <c r="G2004" s="81">
        <v>1800000</v>
      </c>
    </row>
    <row r="2005" spans="1:7" ht="28.5">
      <c r="A2005" s="7" t="s">
        <v>3258</v>
      </c>
      <c r="B2005" s="89" t="s">
        <v>195</v>
      </c>
      <c r="C2005" s="90" t="s">
        <v>3259</v>
      </c>
      <c r="D2005" s="89">
        <v>5</v>
      </c>
      <c r="E2005" s="91" t="s">
        <v>25</v>
      </c>
      <c r="F2005" s="92">
        <v>150000</v>
      </c>
      <c r="G2005" s="92">
        <v>750000</v>
      </c>
    </row>
    <row r="2006" spans="1:7">
      <c r="A2006" s="7" t="s">
        <v>3260</v>
      </c>
      <c r="B2006" s="89" t="s">
        <v>195</v>
      </c>
      <c r="C2006" s="90" t="s">
        <v>3261</v>
      </c>
      <c r="D2006" s="89">
        <v>5</v>
      </c>
      <c r="E2006" s="91" t="s">
        <v>25</v>
      </c>
      <c r="F2006" s="92">
        <v>210000</v>
      </c>
      <c r="G2006" s="92">
        <v>1050000</v>
      </c>
    </row>
    <row r="2007" spans="1:7" ht="15">
      <c r="A2007" s="7" t="s">
        <v>3262</v>
      </c>
      <c r="B2007" s="78" t="s">
        <v>510</v>
      </c>
      <c r="C2007" s="79" t="s">
        <v>15</v>
      </c>
      <c r="D2007" s="78"/>
      <c r="E2007" s="80"/>
      <c r="F2007" s="81"/>
      <c r="G2007" s="81">
        <v>15240000</v>
      </c>
    </row>
    <row r="2008" spans="1:7" ht="28.5">
      <c r="A2008" s="7" t="s">
        <v>3263</v>
      </c>
      <c r="B2008" s="89" t="s">
        <v>195</v>
      </c>
      <c r="C2008" s="90" t="s">
        <v>3264</v>
      </c>
      <c r="D2008" s="89">
        <v>12</v>
      </c>
      <c r="E2008" s="91" t="s">
        <v>25</v>
      </c>
      <c r="F2008" s="92">
        <v>1270000</v>
      </c>
      <c r="G2008" s="92">
        <v>15240000</v>
      </c>
    </row>
    <row r="2009" spans="1:7">
      <c r="A2009" s="7" t="s">
        <v>3265</v>
      </c>
      <c r="B2009" s="89" t="s">
        <v>195</v>
      </c>
      <c r="C2009" s="90" t="s">
        <v>3266</v>
      </c>
      <c r="D2009" s="89">
        <v>12</v>
      </c>
      <c r="E2009" s="91" t="s">
        <v>25</v>
      </c>
      <c r="F2009" s="92">
        <v>1270000</v>
      </c>
      <c r="G2009" s="92">
        <v>15240000</v>
      </c>
    </row>
    <row r="2010" spans="1:7" ht="30">
      <c r="A2010" s="7" t="s">
        <v>3267</v>
      </c>
      <c r="B2010" s="93" t="s">
        <v>1316</v>
      </c>
      <c r="C2010" s="94" t="s">
        <v>3268</v>
      </c>
      <c r="D2010" s="93"/>
      <c r="E2010" s="95"/>
      <c r="F2010" s="96"/>
      <c r="G2010" s="96">
        <v>500819000</v>
      </c>
    </row>
    <row r="2011" spans="1:7" ht="30">
      <c r="A2011" s="7" t="s">
        <v>3269</v>
      </c>
      <c r="B2011" s="97" t="s">
        <v>8</v>
      </c>
      <c r="C2011" s="98" t="s">
        <v>3270</v>
      </c>
      <c r="D2011" s="97"/>
      <c r="E2011" s="99"/>
      <c r="F2011" s="100"/>
      <c r="G2011" s="100">
        <v>188850000</v>
      </c>
    </row>
    <row r="2012" spans="1:7" ht="15">
      <c r="A2012" s="7" t="s">
        <v>3271</v>
      </c>
      <c r="B2012" s="78" t="s">
        <v>503</v>
      </c>
      <c r="C2012" s="79" t="s">
        <v>7</v>
      </c>
      <c r="D2012" s="78"/>
      <c r="E2012" s="80"/>
      <c r="F2012" s="81"/>
      <c r="G2012" s="81">
        <v>18050000</v>
      </c>
    </row>
    <row r="2013" spans="1:7">
      <c r="A2013" s="7" t="s">
        <v>3272</v>
      </c>
      <c r="B2013" s="89" t="s">
        <v>195</v>
      </c>
      <c r="C2013" s="90" t="s">
        <v>619</v>
      </c>
      <c r="D2013" s="89">
        <v>1</v>
      </c>
      <c r="E2013" s="91" t="s">
        <v>9</v>
      </c>
      <c r="F2013" s="92">
        <v>1000000</v>
      </c>
      <c r="G2013" s="92">
        <v>1000000</v>
      </c>
    </row>
    <row r="2014" spans="1:7">
      <c r="A2014" s="7" t="s">
        <v>3273</v>
      </c>
      <c r="B2014" s="89" t="s">
        <v>195</v>
      </c>
      <c r="C2014" s="90" t="s">
        <v>620</v>
      </c>
      <c r="D2014" s="89">
        <v>2</v>
      </c>
      <c r="E2014" s="91" t="s">
        <v>9</v>
      </c>
      <c r="F2014" s="92">
        <v>1000000</v>
      </c>
      <c r="G2014" s="92">
        <v>2000000</v>
      </c>
    </row>
    <row r="2015" spans="1:7">
      <c r="A2015" s="7" t="s">
        <v>3274</v>
      </c>
      <c r="B2015" s="89" t="s">
        <v>195</v>
      </c>
      <c r="C2015" s="90" t="s">
        <v>3275</v>
      </c>
      <c r="D2015" s="89">
        <v>14</v>
      </c>
      <c r="E2015" s="91" t="s">
        <v>10</v>
      </c>
      <c r="F2015" s="92">
        <v>75000</v>
      </c>
      <c r="G2015" s="92">
        <v>1050000</v>
      </c>
    </row>
    <row r="2016" spans="1:7">
      <c r="A2016" s="7" t="s">
        <v>3276</v>
      </c>
      <c r="B2016" s="89" t="s">
        <v>195</v>
      </c>
      <c r="C2016" s="90" t="s">
        <v>3277</v>
      </c>
      <c r="D2016" s="89">
        <v>40</v>
      </c>
      <c r="E2016" s="91" t="s">
        <v>10</v>
      </c>
      <c r="F2016" s="92">
        <v>350000</v>
      </c>
      <c r="G2016" s="92">
        <v>14000000</v>
      </c>
    </row>
    <row r="2017" spans="1:7" ht="15">
      <c r="A2017" s="7" t="s">
        <v>3278</v>
      </c>
      <c r="B2017" s="78" t="s">
        <v>516</v>
      </c>
      <c r="C2017" s="79" t="s">
        <v>11</v>
      </c>
      <c r="D2017" s="78"/>
      <c r="E2017" s="80"/>
      <c r="F2017" s="81"/>
      <c r="G2017" s="81">
        <v>6000000</v>
      </c>
    </row>
    <row r="2018" spans="1:7">
      <c r="A2018" s="7" t="s">
        <v>3279</v>
      </c>
      <c r="B2018" s="89" t="s">
        <v>195</v>
      </c>
      <c r="C2018" s="90" t="s">
        <v>3280</v>
      </c>
      <c r="D2018" s="89">
        <v>6</v>
      </c>
      <c r="E2018" s="91" t="s">
        <v>12</v>
      </c>
      <c r="F2018" s="92">
        <v>1000000</v>
      </c>
      <c r="G2018" s="92">
        <v>6000000</v>
      </c>
    </row>
    <row r="2019" spans="1:7" ht="15">
      <c r="A2019" s="7" t="s">
        <v>3281</v>
      </c>
      <c r="B2019" s="78" t="s">
        <v>510</v>
      </c>
      <c r="C2019" s="79" t="s">
        <v>15</v>
      </c>
      <c r="D2019" s="78"/>
      <c r="E2019" s="80"/>
      <c r="F2019" s="81"/>
      <c r="G2019" s="81">
        <v>164800000</v>
      </c>
    </row>
    <row r="2020" spans="1:7">
      <c r="A2020" s="7" t="s">
        <v>3282</v>
      </c>
      <c r="B2020" s="89" t="s">
        <v>195</v>
      </c>
      <c r="C2020" s="90" t="s">
        <v>3283</v>
      </c>
      <c r="D2020" s="89">
        <v>80</v>
      </c>
      <c r="E2020" s="91" t="s">
        <v>3284</v>
      </c>
      <c r="F2020" s="92">
        <v>750000</v>
      </c>
      <c r="G2020" s="92">
        <v>60000000</v>
      </c>
    </row>
    <row r="2021" spans="1:7">
      <c r="A2021" s="7" t="s">
        <v>3285</v>
      </c>
      <c r="B2021" s="89" t="s">
        <v>195</v>
      </c>
      <c r="C2021" s="90" t="s">
        <v>3286</v>
      </c>
      <c r="D2021" s="89">
        <v>21</v>
      </c>
      <c r="E2021" s="91" t="s">
        <v>10</v>
      </c>
      <c r="F2021" s="92">
        <v>400000</v>
      </c>
      <c r="G2021" s="92">
        <v>8400000</v>
      </c>
    </row>
    <row r="2022" spans="1:7">
      <c r="A2022" s="7" t="s">
        <v>3287</v>
      </c>
      <c r="B2022" s="89" t="s">
        <v>195</v>
      </c>
      <c r="C2022" s="90" t="s">
        <v>3288</v>
      </c>
      <c r="D2022" s="89">
        <v>19</v>
      </c>
      <c r="E2022" s="91" t="s">
        <v>10</v>
      </c>
      <c r="F2022" s="92">
        <v>4000000</v>
      </c>
      <c r="G2022" s="92">
        <v>76000000</v>
      </c>
    </row>
    <row r="2023" spans="1:7">
      <c r="A2023" s="7" t="s">
        <v>3289</v>
      </c>
      <c r="B2023" s="89" t="s">
        <v>195</v>
      </c>
      <c r="C2023" s="90" t="s">
        <v>3290</v>
      </c>
      <c r="D2023" s="89">
        <v>120</v>
      </c>
      <c r="E2023" s="91" t="s">
        <v>16</v>
      </c>
      <c r="F2023" s="92">
        <v>170000</v>
      </c>
      <c r="G2023" s="92">
        <v>20400000</v>
      </c>
    </row>
    <row r="2024" spans="1:7" ht="15">
      <c r="A2024" s="7" t="s">
        <v>3291</v>
      </c>
      <c r="B2024" s="97" t="s">
        <v>511</v>
      </c>
      <c r="C2024" s="98" t="s">
        <v>138</v>
      </c>
      <c r="D2024" s="97"/>
      <c r="E2024" s="99"/>
      <c r="F2024" s="100"/>
      <c r="G2024" s="100">
        <v>241969000</v>
      </c>
    </row>
    <row r="2025" spans="1:7" ht="15">
      <c r="A2025" s="7" t="s">
        <v>3292</v>
      </c>
      <c r="B2025" s="78" t="s">
        <v>503</v>
      </c>
      <c r="C2025" s="79" t="s">
        <v>7</v>
      </c>
      <c r="D2025" s="78"/>
      <c r="E2025" s="80"/>
      <c r="F2025" s="81"/>
      <c r="G2025" s="81">
        <v>2940000</v>
      </c>
    </row>
    <row r="2026" spans="1:7">
      <c r="A2026" s="7" t="s">
        <v>3293</v>
      </c>
      <c r="B2026" s="89" t="s">
        <v>195</v>
      </c>
      <c r="C2026" s="90" t="s">
        <v>619</v>
      </c>
      <c r="D2026" s="89">
        <v>1</v>
      </c>
      <c r="E2026" s="91" t="s">
        <v>9</v>
      </c>
      <c r="F2026" s="92">
        <v>1000000</v>
      </c>
      <c r="G2026" s="92">
        <v>1000000</v>
      </c>
    </row>
    <row r="2027" spans="1:7">
      <c r="A2027" s="7" t="s">
        <v>3294</v>
      </c>
      <c r="B2027" s="89" t="s">
        <v>195</v>
      </c>
      <c r="C2027" s="90" t="s">
        <v>620</v>
      </c>
      <c r="D2027" s="89">
        <v>1</v>
      </c>
      <c r="E2027" s="91" t="s">
        <v>9</v>
      </c>
      <c r="F2027" s="92">
        <v>1000000</v>
      </c>
      <c r="G2027" s="92">
        <v>1000000</v>
      </c>
    </row>
    <row r="2028" spans="1:7">
      <c r="A2028" s="7" t="s">
        <v>3295</v>
      </c>
      <c r="B2028" s="89" t="s">
        <v>195</v>
      </c>
      <c r="C2028" s="90" t="s">
        <v>3296</v>
      </c>
      <c r="D2028" s="89">
        <v>1</v>
      </c>
      <c r="E2028" s="91" t="s">
        <v>9</v>
      </c>
      <c r="F2028" s="92">
        <v>500000</v>
      </c>
      <c r="G2028" s="92">
        <v>500000</v>
      </c>
    </row>
    <row r="2029" spans="1:7">
      <c r="A2029" s="7" t="s">
        <v>3297</v>
      </c>
      <c r="B2029" s="89" t="s">
        <v>195</v>
      </c>
      <c r="C2029" s="90" t="s">
        <v>3298</v>
      </c>
      <c r="D2029" s="89">
        <v>20</v>
      </c>
      <c r="E2029" s="91" t="s">
        <v>10</v>
      </c>
      <c r="F2029" s="92">
        <v>22000</v>
      </c>
      <c r="G2029" s="92">
        <v>440000</v>
      </c>
    </row>
    <row r="2030" spans="1:7" ht="15">
      <c r="A2030" s="7" t="s">
        <v>3299</v>
      </c>
      <c r="B2030" s="78" t="s">
        <v>513</v>
      </c>
      <c r="C2030" s="79" t="s">
        <v>19</v>
      </c>
      <c r="D2030" s="78"/>
      <c r="E2030" s="80"/>
      <c r="F2030" s="81"/>
      <c r="G2030" s="81">
        <v>239029000</v>
      </c>
    </row>
    <row r="2031" spans="1:7" ht="28.5">
      <c r="A2031" s="7" t="s">
        <v>3300</v>
      </c>
      <c r="B2031" s="89" t="s">
        <v>195</v>
      </c>
      <c r="C2031" s="90" t="s">
        <v>3301</v>
      </c>
      <c r="D2031" s="89">
        <v>9</v>
      </c>
      <c r="E2031" s="91" t="s">
        <v>10</v>
      </c>
      <c r="F2031" s="92">
        <v>1500000</v>
      </c>
      <c r="G2031" s="92">
        <v>13500000</v>
      </c>
    </row>
    <row r="2032" spans="1:7" ht="28.5">
      <c r="A2032" s="7" t="s">
        <v>3302</v>
      </c>
      <c r="B2032" s="89" t="s">
        <v>195</v>
      </c>
      <c r="C2032" s="90" t="s">
        <v>3303</v>
      </c>
      <c r="D2032" s="89">
        <v>36</v>
      </c>
      <c r="E2032" s="91" t="s">
        <v>10</v>
      </c>
      <c r="F2032" s="92">
        <v>6265000</v>
      </c>
      <c r="G2032" s="92">
        <v>225529000</v>
      </c>
    </row>
    <row r="2033" spans="1:7" ht="15">
      <c r="A2033" s="7" t="s">
        <v>3304</v>
      </c>
      <c r="B2033" s="97" t="s">
        <v>512</v>
      </c>
      <c r="C2033" s="98" t="s">
        <v>137</v>
      </c>
      <c r="D2033" s="97"/>
      <c r="E2033" s="99"/>
      <c r="F2033" s="100"/>
      <c r="G2033" s="100">
        <v>8880000</v>
      </c>
    </row>
    <row r="2034" spans="1:7" ht="15">
      <c r="A2034" s="7" t="s">
        <v>3305</v>
      </c>
      <c r="B2034" s="78" t="s">
        <v>503</v>
      </c>
      <c r="C2034" s="79" t="s">
        <v>7</v>
      </c>
      <c r="D2034" s="78"/>
      <c r="E2034" s="80"/>
      <c r="F2034" s="81"/>
      <c r="G2034" s="81">
        <v>8880000</v>
      </c>
    </row>
    <row r="2035" spans="1:7">
      <c r="A2035" s="7" t="s">
        <v>3306</v>
      </c>
      <c r="B2035" s="89" t="s">
        <v>195</v>
      </c>
      <c r="C2035" s="90" t="s">
        <v>619</v>
      </c>
      <c r="D2035" s="89">
        <v>4</v>
      </c>
      <c r="E2035" s="91" t="s">
        <v>9</v>
      </c>
      <c r="F2035" s="92">
        <v>1000000</v>
      </c>
      <c r="G2035" s="92">
        <v>4000000</v>
      </c>
    </row>
    <row r="2036" spans="1:7">
      <c r="A2036" s="7" t="s">
        <v>3307</v>
      </c>
      <c r="B2036" s="89" t="s">
        <v>195</v>
      </c>
      <c r="C2036" s="90" t="s">
        <v>620</v>
      </c>
      <c r="D2036" s="89">
        <v>4</v>
      </c>
      <c r="E2036" s="91" t="s">
        <v>9</v>
      </c>
      <c r="F2036" s="92">
        <v>1000000</v>
      </c>
      <c r="G2036" s="92">
        <v>4000000</v>
      </c>
    </row>
    <row r="2037" spans="1:7">
      <c r="A2037" s="7" t="s">
        <v>3308</v>
      </c>
      <c r="B2037" s="89" t="s">
        <v>195</v>
      </c>
      <c r="C2037" s="90" t="s">
        <v>3309</v>
      </c>
      <c r="D2037" s="89">
        <v>40</v>
      </c>
      <c r="E2037" s="91" t="s">
        <v>10</v>
      </c>
      <c r="F2037" s="92">
        <v>22000</v>
      </c>
      <c r="G2037" s="92">
        <v>880000</v>
      </c>
    </row>
    <row r="2038" spans="1:7" ht="15">
      <c r="A2038" s="7" t="s">
        <v>3310</v>
      </c>
      <c r="B2038" s="97" t="s">
        <v>514</v>
      </c>
      <c r="C2038" s="98" t="s">
        <v>3311</v>
      </c>
      <c r="D2038" s="97"/>
      <c r="E2038" s="99"/>
      <c r="F2038" s="100"/>
      <c r="G2038" s="100">
        <v>61120000</v>
      </c>
    </row>
    <row r="2039" spans="1:7" ht="15">
      <c r="A2039" s="7" t="s">
        <v>3312</v>
      </c>
      <c r="B2039" s="78" t="s">
        <v>503</v>
      </c>
      <c r="C2039" s="79" t="s">
        <v>7</v>
      </c>
      <c r="D2039" s="78"/>
      <c r="E2039" s="80"/>
      <c r="F2039" s="81"/>
      <c r="G2039" s="81">
        <v>2000000</v>
      </c>
    </row>
    <row r="2040" spans="1:7">
      <c r="A2040" s="7" t="s">
        <v>3313</v>
      </c>
      <c r="B2040" s="89" t="s">
        <v>195</v>
      </c>
      <c r="C2040" s="90" t="s">
        <v>619</v>
      </c>
      <c r="D2040" s="89">
        <v>1</v>
      </c>
      <c r="E2040" s="91" t="s">
        <v>9</v>
      </c>
      <c r="F2040" s="92">
        <v>1000000</v>
      </c>
      <c r="G2040" s="92">
        <v>1000000</v>
      </c>
    </row>
    <row r="2041" spans="1:7">
      <c r="A2041" s="7" t="s">
        <v>3314</v>
      </c>
      <c r="B2041" s="89" t="s">
        <v>195</v>
      </c>
      <c r="C2041" s="90" t="s">
        <v>620</v>
      </c>
      <c r="D2041" s="89">
        <v>1</v>
      </c>
      <c r="E2041" s="91" t="s">
        <v>9</v>
      </c>
      <c r="F2041" s="92">
        <v>1000000</v>
      </c>
      <c r="G2041" s="92">
        <v>1000000</v>
      </c>
    </row>
    <row r="2042" spans="1:7" ht="15">
      <c r="A2042" s="7" t="s">
        <v>3315</v>
      </c>
      <c r="B2042" s="78" t="s">
        <v>513</v>
      </c>
      <c r="C2042" s="79" t="s">
        <v>19</v>
      </c>
      <c r="D2042" s="78"/>
      <c r="E2042" s="80"/>
      <c r="F2042" s="81"/>
      <c r="G2042" s="81">
        <v>59120000</v>
      </c>
    </row>
    <row r="2043" spans="1:7">
      <c r="A2043" s="7" t="s">
        <v>3316</v>
      </c>
      <c r="B2043" s="89" t="s">
        <v>195</v>
      </c>
      <c r="C2043" s="90" t="s">
        <v>3317</v>
      </c>
      <c r="D2043" s="89">
        <v>10</v>
      </c>
      <c r="E2043" s="91" t="s">
        <v>10</v>
      </c>
      <c r="F2043" s="92">
        <v>5912000</v>
      </c>
      <c r="G2043" s="92">
        <v>59120000</v>
      </c>
    </row>
    <row r="2044" spans="1:7" ht="30">
      <c r="A2044" s="7" t="s">
        <v>3318</v>
      </c>
      <c r="B2044" s="93" t="s">
        <v>833</v>
      </c>
      <c r="C2044" s="94" t="s">
        <v>3319</v>
      </c>
      <c r="D2044" s="93"/>
      <c r="E2044" s="95"/>
      <c r="F2044" s="96"/>
      <c r="G2044" s="96">
        <v>289920000</v>
      </c>
    </row>
    <row r="2045" spans="1:7" ht="15">
      <c r="A2045" s="7" t="s">
        <v>3320</v>
      </c>
      <c r="B2045" s="97" t="s">
        <v>8</v>
      </c>
      <c r="C2045" s="98" t="s">
        <v>143</v>
      </c>
      <c r="D2045" s="97"/>
      <c r="E2045" s="99"/>
      <c r="F2045" s="100"/>
      <c r="G2045" s="100">
        <v>40700000</v>
      </c>
    </row>
    <row r="2046" spans="1:7" ht="15">
      <c r="A2046" s="7" t="s">
        <v>3321</v>
      </c>
      <c r="B2046" s="78" t="s">
        <v>503</v>
      </c>
      <c r="C2046" s="79" t="s">
        <v>7</v>
      </c>
      <c r="D2046" s="78"/>
      <c r="E2046" s="80"/>
      <c r="F2046" s="81"/>
      <c r="G2046" s="81">
        <v>23900000</v>
      </c>
    </row>
    <row r="2047" spans="1:7">
      <c r="A2047" s="7" t="s">
        <v>3322</v>
      </c>
      <c r="B2047" s="89" t="s">
        <v>195</v>
      </c>
      <c r="C2047" s="90" t="s">
        <v>617</v>
      </c>
      <c r="D2047" s="89">
        <v>5</v>
      </c>
      <c r="E2047" s="91" t="s">
        <v>9</v>
      </c>
      <c r="F2047" s="92">
        <v>1500000</v>
      </c>
      <c r="G2047" s="92">
        <v>7500000</v>
      </c>
    </row>
    <row r="2048" spans="1:7">
      <c r="A2048" s="7" t="s">
        <v>3323</v>
      </c>
      <c r="B2048" s="89" t="s">
        <v>195</v>
      </c>
      <c r="C2048" s="90" t="s">
        <v>2745</v>
      </c>
      <c r="D2048" s="89">
        <v>20</v>
      </c>
      <c r="E2048" s="91" t="s">
        <v>10</v>
      </c>
      <c r="F2048" s="92">
        <v>70000</v>
      </c>
      <c r="G2048" s="92">
        <v>1400000</v>
      </c>
    </row>
    <row r="2049" spans="1:7">
      <c r="A2049" s="7" t="s">
        <v>3324</v>
      </c>
      <c r="B2049" s="89" t="s">
        <v>195</v>
      </c>
      <c r="C2049" s="90" t="s">
        <v>619</v>
      </c>
      <c r="D2049" s="89">
        <v>6</v>
      </c>
      <c r="E2049" s="91" t="s">
        <v>106</v>
      </c>
      <c r="F2049" s="92">
        <v>1000000</v>
      </c>
      <c r="G2049" s="92">
        <v>6000000</v>
      </c>
    </row>
    <row r="2050" spans="1:7">
      <c r="A2050" s="7" t="s">
        <v>3325</v>
      </c>
      <c r="B2050" s="89" t="s">
        <v>195</v>
      </c>
      <c r="C2050" s="90" t="s">
        <v>620</v>
      </c>
      <c r="D2050" s="89">
        <v>6</v>
      </c>
      <c r="E2050" s="91" t="s">
        <v>106</v>
      </c>
      <c r="F2050" s="92">
        <v>1500000</v>
      </c>
      <c r="G2050" s="92">
        <v>9000000</v>
      </c>
    </row>
    <row r="2051" spans="1:7" ht="15">
      <c r="A2051" s="7" t="s">
        <v>3326</v>
      </c>
      <c r="B2051" s="78" t="s">
        <v>513</v>
      </c>
      <c r="C2051" s="79" t="s">
        <v>19</v>
      </c>
      <c r="D2051" s="78"/>
      <c r="E2051" s="80"/>
      <c r="F2051" s="81"/>
      <c r="G2051" s="81">
        <v>15000000</v>
      </c>
    </row>
    <row r="2052" spans="1:7">
      <c r="A2052" s="7" t="s">
        <v>3327</v>
      </c>
      <c r="B2052" s="89" t="s">
        <v>195</v>
      </c>
      <c r="C2052" s="90" t="s">
        <v>3328</v>
      </c>
      <c r="D2052" s="89">
        <v>5</v>
      </c>
      <c r="E2052" s="91" t="s">
        <v>10</v>
      </c>
      <c r="F2052" s="92">
        <v>3000000</v>
      </c>
      <c r="G2052" s="92">
        <v>15000000</v>
      </c>
    </row>
    <row r="2053" spans="1:7" ht="15">
      <c r="A2053" s="7" t="s">
        <v>3329</v>
      </c>
      <c r="B2053" s="78" t="s">
        <v>507</v>
      </c>
      <c r="C2053" s="79" t="s">
        <v>13</v>
      </c>
      <c r="D2053" s="78"/>
      <c r="E2053" s="80"/>
      <c r="F2053" s="81"/>
      <c r="G2053" s="81">
        <v>1800000</v>
      </c>
    </row>
    <row r="2054" spans="1:7">
      <c r="A2054" s="7" t="s">
        <v>3330</v>
      </c>
      <c r="B2054" s="89" t="s">
        <v>195</v>
      </c>
      <c r="C2054" s="90" t="s">
        <v>622</v>
      </c>
      <c r="D2054" s="89">
        <v>12</v>
      </c>
      <c r="E2054" s="91" t="s">
        <v>10</v>
      </c>
      <c r="F2054" s="92">
        <v>150000</v>
      </c>
      <c r="G2054" s="92">
        <v>1800000</v>
      </c>
    </row>
    <row r="2055" spans="1:7" ht="30">
      <c r="A2055" s="7" t="s">
        <v>3331</v>
      </c>
      <c r="B2055" s="97" t="s">
        <v>511</v>
      </c>
      <c r="C2055" s="98" t="s">
        <v>144</v>
      </c>
      <c r="D2055" s="97"/>
      <c r="E2055" s="99"/>
      <c r="F2055" s="100"/>
      <c r="G2055" s="100">
        <v>30900000</v>
      </c>
    </row>
    <row r="2056" spans="1:7" ht="15">
      <c r="A2056" s="7" t="s">
        <v>3332</v>
      </c>
      <c r="B2056" s="78" t="s">
        <v>503</v>
      </c>
      <c r="C2056" s="79" t="s">
        <v>7</v>
      </c>
      <c r="D2056" s="78"/>
      <c r="E2056" s="80"/>
      <c r="F2056" s="81"/>
      <c r="G2056" s="81">
        <v>11400000</v>
      </c>
    </row>
    <row r="2057" spans="1:7">
      <c r="A2057" s="7" t="s">
        <v>3333</v>
      </c>
      <c r="B2057" s="89" t="s">
        <v>195</v>
      </c>
      <c r="C2057" s="90" t="s">
        <v>620</v>
      </c>
      <c r="D2057" s="89">
        <v>4</v>
      </c>
      <c r="E2057" s="91" t="s">
        <v>9</v>
      </c>
      <c r="F2057" s="92">
        <v>1500000</v>
      </c>
      <c r="G2057" s="92">
        <v>6000000</v>
      </c>
    </row>
    <row r="2058" spans="1:7">
      <c r="A2058" s="7" t="s">
        <v>3334</v>
      </c>
      <c r="B2058" s="89" t="s">
        <v>195</v>
      </c>
      <c r="C2058" s="90" t="s">
        <v>2745</v>
      </c>
      <c r="D2058" s="89">
        <v>20</v>
      </c>
      <c r="E2058" s="91" t="s">
        <v>10</v>
      </c>
      <c r="F2058" s="92">
        <v>70000</v>
      </c>
      <c r="G2058" s="92">
        <v>1400000</v>
      </c>
    </row>
    <row r="2059" spans="1:7">
      <c r="A2059" s="7" t="s">
        <v>3335</v>
      </c>
      <c r="B2059" s="89" t="s">
        <v>195</v>
      </c>
      <c r="C2059" s="90" t="s">
        <v>619</v>
      </c>
      <c r="D2059" s="89">
        <v>4</v>
      </c>
      <c r="E2059" s="91" t="s">
        <v>106</v>
      </c>
      <c r="F2059" s="92">
        <v>1000000</v>
      </c>
      <c r="G2059" s="92">
        <v>4000000</v>
      </c>
    </row>
    <row r="2060" spans="1:7" ht="15">
      <c r="A2060" s="7" t="s">
        <v>3336</v>
      </c>
      <c r="B2060" s="78" t="s">
        <v>513</v>
      </c>
      <c r="C2060" s="79" t="s">
        <v>19</v>
      </c>
      <c r="D2060" s="78"/>
      <c r="E2060" s="80"/>
      <c r="F2060" s="81"/>
      <c r="G2060" s="81">
        <v>18000000</v>
      </c>
    </row>
    <row r="2061" spans="1:7">
      <c r="A2061" s="7" t="s">
        <v>3337</v>
      </c>
      <c r="B2061" s="89" t="s">
        <v>195</v>
      </c>
      <c r="C2061" s="90" t="s">
        <v>3328</v>
      </c>
      <c r="D2061" s="89">
        <v>6</v>
      </c>
      <c r="E2061" s="91" t="s">
        <v>10</v>
      </c>
      <c r="F2061" s="92">
        <v>3000000</v>
      </c>
      <c r="G2061" s="92">
        <v>18000000</v>
      </c>
    </row>
    <row r="2062" spans="1:7" ht="15">
      <c r="A2062" s="7" t="s">
        <v>3338</v>
      </c>
      <c r="B2062" s="78" t="s">
        <v>507</v>
      </c>
      <c r="C2062" s="79" t="s">
        <v>13</v>
      </c>
      <c r="D2062" s="78"/>
      <c r="E2062" s="80"/>
      <c r="F2062" s="81"/>
      <c r="G2062" s="81">
        <v>1500000</v>
      </c>
    </row>
    <row r="2063" spans="1:7">
      <c r="A2063" s="7" t="s">
        <v>3339</v>
      </c>
      <c r="B2063" s="89" t="s">
        <v>195</v>
      </c>
      <c r="C2063" s="90" t="s">
        <v>630</v>
      </c>
      <c r="D2063" s="89">
        <v>10</v>
      </c>
      <c r="E2063" s="91" t="s">
        <v>10</v>
      </c>
      <c r="F2063" s="92">
        <v>150000</v>
      </c>
      <c r="G2063" s="92">
        <v>1500000</v>
      </c>
    </row>
    <row r="2064" spans="1:7" ht="15">
      <c r="A2064" s="7" t="s">
        <v>3340</v>
      </c>
      <c r="B2064" s="97" t="s">
        <v>512</v>
      </c>
      <c r="C2064" s="98" t="s">
        <v>145</v>
      </c>
      <c r="D2064" s="97"/>
      <c r="E2064" s="99"/>
      <c r="F2064" s="100"/>
      <c r="G2064" s="100">
        <v>26500000</v>
      </c>
    </row>
    <row r="2065" spans="1:7" ht="15">
      <c r="A2065" s="7" t="s">
        <v>3341</v>
      </c>
      <c r="B2065" s="78" t="s">
        <v>503</v>
      </c>
      <c r="C2065" s="79" t="s">
        <v>7</v>
      </c>
      <c r="D2065" s="78"/>
      <c r="E2065" s="80"/>
      <c r="F2065" s="81"/>
      <c r="G2065" s="81">
        <v>10000000</v>
      </c>
    </row>
    <row r="2066" spans="1:7">
      <c r="A2066" s="7" t="s">
        <v>3342</v>
      </c>
      <c r="B2066" s="89" t="s">
        <v>195</v>
      </c>
      <c r="C2066" s="90" t="s">
        <v>620</v>
      </c>
      <c r="D2066" s="89">
        <v>4</v>
      </c>
      <c r="E2066" s="91" t="s">
        <v>9</v>
      </c>
      <c r="F2066" s="92">
        <v>1500000</v>
      </c>
      <c r="G2066" s="92">
        <v>6000000</v>
      </c>
    </row>
    <row r="2067" spans="1:7">
      <c r="A2067" s="7" t="s">
        <v>3343</v>
      </c>
      <c r="B2067" s="89" t="s">
        <v>195</v>
      </c>
      <c r="C2067" s="90" t="s">
        <v>619</v>
      </c>
      <c r="D2067" s="89">
        <v>4</v>
      </c>
      <c r="E2067" s="91" t="s">
        <v>106</v>
      </c>
      <c r="F2067" s="92">
        <v>1000000</v>
      </c>
      <c r="G2067" s="92">
        <v>4000000</v>
      </c>
    </row>
    <row r="2068" spans="1:7" ht="15">
      <c r="A2068" s="7" t="s">
        <v>3344</v>
      </c>
      <c r="B2068" s="78" t="s">
        <v>513</v>
      </c>
      <c r="C2068" s="79" t="s">
        <v>19</v>
      </c>
      <c r="D2068" s="78"/>
      <c r="E2068" s="80"/>
      <c r="F2068" s="81"/>
      <c r="G2068" s="81">
        <v>15000000</v>
      </c>
    </row>
    <row r="2069" spans="1:7">
      <c r="A2069" s="7" t="s">
        <v>3345</v>
      </c>
      <c r="B2069" s="89" t="s">
        <v>195</v>
      </c>
      <c r="C2069" s="90" t="s">
        <v>3346</v>
      </c>
      <c r="D2069" s="89">
        <v>5</v>
      </c>
      <c r="E2069" s="91" t="s">
        <v>10</v>
      </c>
      <c r="F2069" s="92">
        <v>3000000</v>
      </c>
      <c r="G2069" s="92">
        <v>15000000</v>
      </c>
    </row>
    <row r="2070" spans="1:7" ht="15">
      <c r="A2070" s="7" t="s">
        <v>3347</v>
      </c>
      <c r="B2070" s="78" t="s">
        <v>507</v>
      </c>
      <c r="C2070" s="79" t="s">
        <v>13</v>
      </c>
      <c r="D2070" s="78"/>
      <c r="E2070" s="80"/>
      <c r="F2070" s="81"/>
      <c r="G2070" s="81">
        <v>1500000</v>
      </c>
    </row>
    <row r="2071" spans="1:7">
      <c r="A2071" s="7" t="s">
        <v>3348</v>
      </c>
      <c r="B2071" s="89" t="s">
        <v>195</v>
      </c>
      <c r="C2071" s="90" t="s">
        <v>630</v>
      </c>
      <c r="D2071" s="89">
        <v>10</v>
      </c>
      <c r="E2071" s="91" t="s">
        <v>10</v>
      </c>
      <c r="F2071" s="92">
        <v>150000</v>
      </c>
      <c r="G2071" s="92">
        <v>1500000</v>
      </c>
    </row>
    <row r="2072" spans="1:7" ht="15">
      <c r="A2072" s="7" t="s">
        <v>3349</v>
      </c>
      <c r="B2072" s="97" t="s">
        <v>514</v>
      </c>
      <c r="C2072" s="98" t="s">
        <v>3350</v>
      </c>
      <c r="D2072" s="97"/>
      <c r="E2072" s="99"/>
      <c r="F2072" s="100"/>
      <c r="G2072" s="100">
        <v>86700000</v>
      </c>
    </row>
    <row r="2073" spans="1:7" ht="15">
      <c r="A2073" s="7" t="s">
        <v>3351</v>
      </c>
      <c r="B2073" s="78" t="s">
        <v>503</v>
      </c>
      <c r="C2073" s="79" t="s">
        <v>7</v>
      </c>
      <c r="D2073" s="78"/>
      <c r="E2073" s="80"/>
      <c r="F2073" s="81"/>
      <c r="G2073" s="81">
        <v>32400000</v>
      </c>
    </row>
    <row r="2074" spans="1:7">
      <c r="A2074" s="7" t="s">
        <v>3352</v>
      </c>
      <c r="B2074" s="89" t="s">
        <v>195</v>
      </c>
      <c r="C2074" s="90" t="s">
        <v>620</v>
      </c>
      <c r="D2074" s="89">
        <v>6</v>
      </c>
      <c r="E2074" s="91" t="s">
        <v>9</v>
      </c>
      <c r="F2074" s="92">
        <v>1500000</v>
      </c>
      <c r="G2074" s="92">
        <v>9000000</v>
      </c>
    </row>
    <row r="2075" spans="1:7">
      <c r="A2075" s="7" t="s">
        <v>3353</v>
      </c>
      <c r="B2075" s="89" t="s">
        <v>195</v>
      </c>
      <c r="C2075" s="90" t="s">
        <v>2745</v>
      </c>
      <c r="D2075" s="89">
        <v>20</v>
      </c>
      <c r="E2075" s="91" t="s">
        <v>10</v>
      </c>
      <c r="F2075" s="92">
        <v>70000</v>
      </c>
      <c r="G2075" s="92">
        <v>1400000</v>
      </c>
    </row>
    <row r="2076" spans="1:7">
      <c r="A2076" s="7" t="s">
        <v>3354</v>
      </c>
      <c r="B2076" s="89" t="s">
        <v>195</v>
      </c>
      <c r="C2076" s="90" t="s">
        <v>3355</v>
      </c>
      <c r="D2076" s="89">
        <v>28</v>
      </c>
      <c r="E2076" s="91" t="s">
        <v>176</v>
      </c>
      <c r="F2076" s="92">
        <v>500000</v>
      </c>
      <c r="G2076" s="92">
        <v>14000000</v>
      </c>
    </row>
    <row r="2077" spans="1:7">
      <c r="A2077" s="7" t="s">
        <v>3356</v>
      </c>
      <c r="B2077" s="89" t="s">
        <v>195</v>
      </c>
      <c r="C2077" s="90" t="s">
        <v>3357</v>
      </c>
      <c r="D2077" s="89">
        <v>4</v>
      </c>
      <c r="E2077" s="91" t="s">
        <v>58</v>
      </c>
      <c r="F2077" s="92">
        <v>500000</v>
      </c>
      <c r="G2077" s="92">
        <v>2000000</v>
      </c>
    </row>
    <row r="2078" spans="1:7">
      <c r="A2078" s="7" t="s">
        <v>3358</v>
      </c>
      <c r="B2078" s="89" t="s">
        <v>195</v>
      </c>
      <c r="C2078" s="90" t="s">
        <v>619</v>
      </c>
      <c r="D2078" s="89">
        <v>6</v>
      </c>
      <c r="E2078" s="91" t="s">
        <v>106</v>
      </c>
      <c r="F2078" s="92">
        <v>1000000</v>
      </c>
      <c r="G2078" s="92">
        <v>6000000</v>
      </c>
    </row>
    <row r="2079" spans="1:7" ht="15">
      <c r="A2079" s="7" t="s">
        <v>3359</v>
      </c>
      <c r="B2079" s="78" t="s">
        <v>516</v>
      </c>
      <c r="C2079" s="79" t="s">
        <v>11</v>
      </c>
      <c r="D2079" s="78"/>
      <c r="E2079" s="80"/>
      <c r="F2079" s="81"/>
      <c r="G2079" s="81">
        <v>9000000</v>
      </c>
    </row>
    <row r="2080" spans="1:7">
      <c r="A2080" s="7" t="s">
        <v>3360</v>
      </c>
      <c r="B2080" s="89" t="s">
        <v>195</v>
      </c>
      <c r="C2080" s="90" t="s">
        <v>774</v>
      </c>
      <c r="D2080" s="89">
        <v>10</v>
      </c>
      <c r="E2080" s="91" t="s">
        <v>12</v>
      </c>
      <c r="F2080" s="92">
        <v>900000</v>
      </c>
      <c r="G2080" s="92">
        <v>9000000</v>
      </c>
    </row>
    <row r="2081" spans="1:7" ht="15">
      <c r="A2081" s="7" t="s">
        <v>3361</v>
      </c>
      <c r="B2081" s="78" t="s">
        <v>513</v>
      </c>
      <c r="C2081" s="79" t="s">
        <v>19</v>
      </c>
      <c r="D2081" s="78"/>
      <c r="E2081" s="80"/>
      <c r="F2081" s="81"/>
      <c r="G2081" s="81">
        <v>42000000</v>
      </c>
    </row>
    <row r="2082" spans="1:7" ht="28.5">
      <c r="A2082" s="7" t="s">
        <v>3362</v>
      </c>
      <c r="B2082" s="89" t="s">
        <v>195</v>
      </c>
      <c r="C2082" s="90" t="s">
        <v>3363</v>
      </c>
      <c r="D2082" s="89">
        <v>14</v>
      </c>
      <c r="E2082" s="91" t="s">
        <v>10</v>
      </c>
      <c r="F2082" s="92">
        <v>3000000</v>
      </c>
      <c r="G2082" s="92">
        <v>42000000</v>
      </c>
    </row>
    <row r="2083" spans="1:7" ht="15">
      <c r="A2083" s="7" t="s">
        <v>3364</v>
      </c>
      <c r="B2083" s="78" t="s">
        <v>507</v>
      </c>
      <c r="C2083" s="79" t="s">
        <v>13</v>
      </c>
      <c r="D2083" s="78"/>
      <c r="E2083" s="80"/>
      <c r="F2083" s="81"/>
      <c r="G2083" s="81">
        <v>3300000</v>
      </c>
    </row>
    <row r="2084" spans="1:7" ht="28.5">
      <c r="A2084" s="7" t="s">
        <v>3365</v>
      </c>
      <c r="B2084" s="89" t="s">
        <v>195</v>
      </c>
      <c r="C2084" s="90" t="s">
        <v>3366</v>
      </c>
      <c r="D2084" s="89">
        <v>22</v>
      </c>
      <c r="E2084" s="91" t="s">
        <v>10</v>
      </c>
      <c r="F2084" s="92">
        <v>150000</v>
      </c>
      <c r="G2084" s="92">
        <v>3300000</v>
      </c>
    </row>
    <row r="2085" spans="1:7" ht="15">
      <c r="A2085" s="7" t="s">
        <v>3367</v>
      </c>
      <c r="B2085" s="97" t="s">
        <v>519</v>
      </c>
      <c r="C2085" s="98" t="s">
        <v>146</v>
      </c>
      <c r="D2085" s="97"/>
      <c r="E2085" s="99"/>
      <c r="F2085" s="100"/>
      <c r="G2085" s="100">
        <v>28800000</v>
      </c>
    </row>
    <row r="2086" spans="1:7" ht="15">
      <c r="A2086" s="7" t="s">
        <v>3368</v>
      </c>
      <c r="B2086" s="78" t="s">
        <v>503</v>
      </c>
      <c r="C2086" s="79" t="s">
        <v>7</v>
      </c>
      <c r="D2086" s="78"/>
      <c r="E2086" s="80"/>
      <c r="F2086" s="81"/>
      <c r="G2086" s="81">
        <v>15000000</v>
      </c>
    </row>
    <row r="2087" spans="1:7">
      <c r="A2087" s="7" t="s">
        <v>3369</v>
      </c>
      <c r="B2087" s="89" t="s">
        <v>195</v>
      </c>
      <c r="C2087" s="90" t="s">
        <v>620</v>
      </c>
      <c r="D2087" s="89">
        <v>6</v>
      </c>
      <c r="E2087" s="91" t="s">
        <v>9</v>
      </c>
      <c r="F2087" s="92">
        <v>1500000</v>
      </c>
      <c r="G2087" s="92">
        <v>9000000</v>
      </c>
    </row>
    <row r="2088" spans="1:7">
      <c r="A2088" s="7" t="s">
        <v>3370</v>
      </c>
      <c r="B2088" s="89" t="s">
        <v>195</v>
      </c>
      <c r="C2088" s="90" t="s">
        <v>619</v>
      </c>
      <c r="D2088" s="89">
        <v>6</v>
      </c>
      <c r="E2088" s="91" t="s">
        <v>106</v>
      </c>
      <c r="F2088" s="92">
        <v>1000000</v>
      </c>
      <c r="G2088" s="92">
        <v>6000000</v>
      </c>
    </row>
    <row r="2089" spans="1:7" ht="15">
      <c r="A2089" s="7" t="s">
        <v>3371</v>
      </c>
      <c r="B2089" s="78" t="s">
        <v>513</v>
      </c>
      <c r="C2089" s="79" t="s">
        <v>19</v>
      </c>
      <c r="D2089" s="78"/>
      <c r="E2089" s="80"/>
      <c r="F2089" s="81"/>
      <c r="G2089" s="81">
        <v>12000000</v>
      </c>
    </row>
    <row r="2090" spans="1:7">
      <c r="A2090" s="7" t="s">
        <v>3372</v>
      </c>
      <c r="B2090" s="89" t="s">
        <v>195</v>
      </c>
      <c r="C2090" s="90" t="s">
        <v>3373</v>
      </c>
      <c r="D2090" s="89">
        <v>4</v>
      </c>
      <c r="E2090" s="91" t="s">
        <v>10</v>
      </c>
      <c r="F2090" s="92">
        <v>3000000</v>
      </c>
      <c r="G2090" s="92">
        <v>12000000</v>
      </c>
    </row>
    <row r="2091" spans="1:7" ht="15">
      <c r="A2091" s="7" t="s">
        <v>3374</v>
      </c>
      <c r="B2091" s="78" t="s">
        <v>507</v>
      </c>
      <c r="C2091" s="79" t="s">
        <v>13</v>
      </c>
      <c r="D2091" s="78"/>
      <c r="E2091" s="80"/>
      <c r="F2091" s="81"/>
      <c r="G2091" s="81">
        <v>1800000</v>
      </c>
    </row>
    <row r="2092" spans="1:7">
      <c r="A2092" s="7" t="s">
        <v>3375</v>
      </c>
      <c r="B2092" s="89" t="s">
        <v>195</v>
      </c>
      <c r="C2092" s="90" t="s">
        <v>3376</v>
      </c>
      <c r="D2092" s="89">
        <v>12</v>
      </c>
      <c r="E2092" s="91" t="s">
        <v>10</v>
      </c>
      <c r="F2092" s="92">
        <v>150000</v>
      </c>
      <c r="G2092" s="92">
        <v>1800000</v>
      </c>
    </row>
    <row r="2093" spans="1:7" ht="30">
      <c r="A2093" s="7" t="s">
        <v>3377</v>
      </c>
      <c r="B2093" s="97" t="s">
        <v>578</v>
      </c>
      <c r="C2093" s="98" t="s">
        <v>147</v>
      </c>
      <c r="D2093" s="97"/>
      <c r="E2093" s="99"/>
      <c r="F2093" s="100"/>
      <c r="G2093" s="100">
        <v>76320000</v>
      </c>
    </row>
    <row r="2094" spans="1:7" ht="15">
      <c r="A2094" s="7" t="s">
        <v>3378</v>
      </c>
      <c r="B2094" s="78" t="s">
        <v>503</v>
      </c>
      <c r="C2094" s="79" t="s">
        <v>7</v>
      </c>
      <c r="D2094" s="78"/>
      <c r="E2094" s="80"/>
      <c r="F2094" s="81"/>
      <c r="G2094" s="81">
        <v>4800000</v>
      </c>
    </row>
    <row r="2095" spans="1:7">
      <c r="A2095" s="7" t="s">
        <v>3379</v>
      </c>
      <c r="B2095" s="89" t="s">
        <v>195</v>
      </c>
      <c r="C2095" s="90" t="s">
        <v>3380</v>
      </c>
      <c r="D2095" s="89">
        <v>24</v>
      </c>
      <c r="E2095" s="91" t="s">
        <v>176</v>
      </c>
      <c r="F2095" s="92">
        <v>200000</v>
      </c>
      <c r="G2095" s="92">
        <v>4800000</v>
      </c>
    </row>
    <row r="2096" spans="1:7" ht="15">
      <c r="A2096" s="7" t="s">
        <v>3381</v>
      </c>
      <c r="B2096" s="78" t="s">
        <v>537</v>
      </c>
      <c r="C2096" s="79" t="s">
        <v>64</v>
      </c>
      <c r="D2096" s="78"/>
      <c r="E2096" s="80"/>
      <c r="F2096" s="81"/>
      <c r="G2096" s="81">
        <v>25000000</v>
      </c>
    </row>
    <row r="2097" spans="1:7">
      <c r="A2097" s="7" t="s">
        <v>3382</v>
      </c>
      <c r="B2097" s="89" t="s">
        <v>195</v>
      </c>
      <c r="C2097" s="90" t="s">
        <v>620</v>
      </c>
      <c r="D2097" s="89">
        <v>10</v>
      </c>
      <c r="E2097" s="91" t="s">
        <v>9</v>
      </c>
      <c r="F2097" s="92">
        <v>1500000</v>
      </c>
      <c r="G2097" s="92">
        <v>15000000</v>
      </c>
    </row>
    <row r="2098" spans="1:7">
      <c r="A2098" s="7" t="s">
        <v>3383</v>
      </c>
      <c r="B2098" s="89" t="s">
        <v>195</v>
      </c>
      <c r="C2098" s="90" t="s">
        <v>619</v>
      </c>
      <c r="D2098" s="89">
        <v>10</v>
      </c>
      <c r="E2098" s="91" t="s">
        <v>2749</v>
      </c>
      <c r="F2098" s="92">
        <v>1000000</v>
      </c>
      <c r="G2098" s="92">
        <v>10000000</v>
      </c>
    </row>
    <row r="2099" spans="1:7" ht="15">
      <c r="A2099" s="7" t="s">
        <v>3384</v>
      </c>
      <c r="B2099" s="78" t="s">
        <v>513</v>
      </c>
      <c r="C2099" s="79" t="s">
        <v>19</v>
      </c>
      <c r="D2099" s="78"/>
      <c r="E2099" s="80"/>
      <c r="F2099" s="81"/>
      <c r="G2099" s="81">
        <v>42770000</v>
      </c>
    </row>
    <row r="2100" spans="1:7">
      <c r="A2100" s="7" t="s">
        <v>3385</v>
      </c>
      <c r="B2100" s="89" t="s">
        <v>195</v>
      </c>
      <c r="C2100" s="90" t="s">
        <v>3386</v>
      </c>
      <c r="D2100" s="89">
        <v>14</v>
      </c>
      <c r="E2100" s="91" t="s">
        <v>10</v>
      </c>
      <c r="F2100" s="92">
        <v>3055000</v>
      </c>
      <c r="G2100" s="92">
        <v>42770000</v>
      </c>
    </row>
    <row r="2101" spans="1:7" ht="15">
      <c r="A2101" s="7" t="s">
        <v>3387</v>
      </c>
      <c r="B2101" s="78" t="s">
        <v>507</v>
      </c>
      <c r="C2101" s="79" t="s">
        <v>13</v>
      </c>
      <c r="D2101" s="78"/>
      <c r="E2101" s="80"/>
      <c r="F2101" s="81"/>
      <c r="G2101" s="81">
        <v>3750000</v>
      </c>
    </row>
    <row r="2102" spans="1:7">
      <c r="A2102" s="7" t="s">
        <v>3388</v>
      </c>
      <c r="B2102" s="89" t="s">
        <v>195</v>
      </c>
      <c r="C2102" s="90" t="s">
        <v>638</v>
      </c>
      <c r="D2102" s="89">
        <v>25</v>
      </c>
      <c r="E2102" s="91" t="s">
        <v>10</v>
      </c>
      <c r="F2102" s="92">
        <v>150000</v>
      </c>
      <c r="G2102" s="92">
        <v>3750000</v>
      </c>
    </row>
    <row r="2103" spans="1:7">
      <c r="A2103" s="7" t="s">
        <v>3389</v>
      </c>
      <c r="B2103" s="89" t="s">
        <v>3390</v>
      </c>
      <c r="C2103" s="90" t="s">
        <v>3391</v>
      </c>
      <c r="D2103" s="89"/>
      <c r="E2103" s="91"/>
      <c r="F2103" s="92"/>
      <c r="G2103" s="92">
        <v>1000000000</v>
      </c>
    </row>
    <row r="2104" spans="1:7" ht="30">
      <c r="A2104" s="7" t="s">
        <v>3392</v>
      </c>
      <c r="B2104" s="93" t="s">
        <v>826</v>
      </c>
      <c r="C2104" s="94" t="s">
        <v>3393</v>
      </c>
      <c r="D2104" s="93"/>
      <c r="E2104" s="95"/>
      <c r="F2104" s="96"/>
      <c r="G2104" s="96">
        <v>1000000000</v>
      </c>
    </row>
    <row r="2105" spans="1:7" ht="30">
      <c r="A2105" s="7" t="s">
        <v>3394</v>
      </c>
      <c r="B2105" s="97" t="s">
        <v>8</v>
      </c>
      <c r="C2105" s="98" t="s">
        <v>133</v>
      </c>
      <c r="D2105" s="97"/>
      <c r="E2105" s="99"/>
      <c r="F2105" s="100"/>
      <c r="G2105" s="100">
        <v>176950000</v>
      </c>
    </row>
    <row r="2106" spans="1:7" ht="15">
      <c r="A2106" s="7" t="s">
        <v>3395</v>
      </c>
      <c r="B2106" s="78" t="s">
        <v>503</v>
      </c>
      <c r="C2106" s="79" t="s">
        <v>7</v>
      </c>
      <c r="D2106" s="78"/>
      <c r="E2106" s="80"/>
      <c r="F2106" s="81"/>
      <c r="G2106" s="81">
        <v>2950000</v>
      </c>
    </row>
    <row r="2107" spans="1:7">
      <c r="A2107" s="7" t="s">
        <v>3396</v>
      </c>
      <c r="B2107" s="89" t="s">
        <v>195</v>
      </c>
      <c r="C2107" s="90" t="s">
        <v>1276</v>
      </c>
      <c r="D2107" s="89">
        <v>2</v>
      </c>
      <c r="E2107" s="91" t="s">
        <v>106</v>
      </c>
      <c r="F2107" s="92">
        <v>1475000</v>
      </c>
      <c r="G2107" s="92">
        <v>2950000</v>
      </c>
    </row>
    <row r="2108" spans="1:7" ht="15">
      <c r="A2108" s="7" t="s">
        <v>3397</v>
      </c>
      <c r="B2108" s="78" t="s">
        <v>537</v>
      </c>
      <c r="C2108" s="79" t="s">
        <v>64</v>
      </c>
      <c r="D2108" s="78"/>
      <c r="E2108" s="80"/>
      <c r="F2108" s="81"/>
      <c r="G2108" s="81">
        <v>24000000</v>
      </c>
    </row>
    <row r="2109" spans="1:7">
      <c r="A2109" s="7" t="s">
        <v>3398</v>
      </c>
      <c r="B2109" s="89" t="s">
        <v>195</v>
      </c>
      <c r="C2109" s="90" t="s">
        <v>619</v>
      </c>
      <c r="D2109" s="89">
        <v>12</v>
      </c>
      <c r="E2109" s="91" t="s">
        <v>106</v>
      </c>
      <c r="F2109" s="92">
        <v>1000000</v>
      </c>
      <c r="G2109" s="92">
        <v>12000000</v>
      </c>
    </row>
    <row r="2110" spans="1:7">
      <c r="A2110" s="7" t="s">
        <v>3399</v>
      </c>
      <c r="B2110" s="89" t="s">
        <v>195</v>
      </c>
      <c r="C2110" s="90" t="s">
        <v>620</v>
      </c>
      <c r="D2110" s="89">
        <v>12</v>
      </c>
      <c r="E2110" s="91" t="s">
        <v>106</v>
      </c>
      <c r="F2110" s="92">
        <v>1000000</v>
      </c>
      <c r="G2110" s="92">
        <v>12000000</v>
      </c>
    </row>
    <row r="2111" spans="1:7" ht="15">
      <c r="A2111" s="7" t="s">
        <v>3400</v>
      </c>
      <c r="B2111" s="78" t="s">
        <v>513</v>
      </c>
      <c r="C2111" s="79" t="s">
        <v>19</v>
      </c>
      <c r="D2111" s="78"/>
      <c r="E2111" s="80"/>
      <c r="F2111" s="81"/>
      <c r="G2111" s="81">
        <v>150000000</v>
      </c>
    </row>
    <row r="2112" spans="1:7" ht="28.5">
      <c r="A2112" s="7" t="s">
        <v>3401</v>
      </c>
      <c r="B2112" s="89" t="s">
        <v>195</v>
      </c>
      <c r="C2112" s="90" t="s">
        <v>3402</v>
      </c>
      <c r="D2112" s="89">
        <v>30</v>
      </c>
      <c r="E2112" s="91" t="s">
        <v>73</v>
      </c>
      <c r="F2112" s="92">
        <v>5000000</v>
      </c>
      <c r="G2112" s="92">
        <v>150000000</v>
      </c>
    </row>
    <row r="2113" spans="1:7" ht="15">
      <c r="A2113" s="7" t="s">
        <v>3403</v>
      </c>
      <c r="B2113" s="97" t="s">
        <v>511</v>
      </c>
      <c r="C2113" s="98" t="s">
        <v>3404</v>
      </c>
      <c r="D2113" s="97"/>
      <c r="E2113" s="99"/>
      <c r="F2113" s="100"/>
      <c r="G2113" s="100">
        <v>197800000</v>
      </c>
    </row>
    <row r="2114" spans="1:7" ht="15">
      <c r="A2114" s="7" t="s">
        <v>3405</v>
      </c>
      <c r="B2114" s="78" t="s">
        <v>503</v>
      </c>
      <c r="C2114" s="79" t="s">
        <v>7</v>
      </c>
      <c r="D2114" s="78"/>
      <c r="E2114" s="80"/>
      <c r="F2114" s="81"/>
      <c r="G2114" s="81">
        <v>12000000</v>
      </c>
    </row>
    <row r="2115" spans="1:7">
      <c r="A2115" s="7" t="s">
        <v>3406</v>
      </c>
      <c r="B2115" s="89" t="s">
        <v>195</v>
      </c>
      <c r="C2115" s="90" t="s">
        <v>3407</v>
      </c>
      <c r="D2115" s="89">
        <v>12</v>
      </c>
      <c r="E2115" s="91" t="s">
        <v>180</v>
      </c>
      <c r="F2115" s="92">
        <v>1000000</v>
      </c>
      <c r="G2115" s="92">
        <v>12000000</v>
      </c>
    </row>
    <row r="2116" spans="1:7" ht="15">
      <c r="A2116" s="7" t="s">
        <v>3408</v>
      </c>
      <c r="B2116" s="78" t="s">
        <v>537</v>
      </c>
      <c r="C2116" s="79" t="s">
        <v>64</v>
      </c>
      <c r="D2116" s="78"/>
      <c r="E2116" s="80"/>
      <c r="F2116" s="81"/>
      <c r="G2116" s="81">
        <v>24000000</v>
      </c>
    </row>
    <row r="2117" spans="1:7">
      <c r="A2117" s="7" t="s">
        <v>3409</v>
      </c>
      <c r="B2117" s="89" t="s">
        <v>195</v>
      </c>
      <c r="C2117" s="90" t="s">
        <v>619</v>
      </c>
      <c r="D2117" s="89">
        <v>12</v>
      </c>
      <c r="E2117" s="91" t="s">
        <v>106</v>
      </c>
      <c r="F2117" s="92">
        <v>1000000</v>
      </c>
      <c r="G2117" s="92">
        <v>12000000</v>
      </c>
    </row>
    <row r="2118" spans="1:7">
      <c r="A2118" s="7" t="s">
        <v>3410</v>
      </c>
      <c r="B2118" s="89" t="s">
        <v>195</v>
      </c>
      <c r="C2118" s="90" t="s">
        <v>620</v>
      </c>
      <c r="D2118" s="89">
        <v>12</v>
      </c>
      <c r="E2118" s="91" t="s">
        <v>106</v>
      </c>
      <c r="F2118" s="92">
        <v>1000000</v>
      </c>
      <c r="G2118" s="92">
        <v>12000000</v>
      </c>
    </row>
    <row r="2119" spans="1:7" ht="15">
      <c r="A2119" s="7" t="s">
        <v>3411</v>
      </c>
      <c r="B2119" s="78" t="s">
        <v>516</v>
      </c>
      <c r="C2119" s="79" t="s">
        <v>11</v>
      </c>
      <c r="D2119" s="78"/>
      <c r="E2119" s="80"/>
      <c r="F2119" s="81"/>
      <c r="G2119" s="81">
        <v>21600000</v>
      </c>
    </row>
    <row r="2120" spans="1:7" ht="28.5">
      <c r="A2120" s="7" t="s">
        <v>3412</v>
      </c>
      <c r="B2120" s="89" t="s">
        <v>195</v>
      </c>
      <c r="C2120" s="90" t="s">
        <v>3413</v>
      </c>
      <c r="D2120" s="89">
        <v>24</v>
      </c>
      <c r="E2120" s="91" t="s">
        <v>54</v>
      </c>
      <c r="F2120" s="92">
        <v>900000</v>
      </c>
      <c r="G2120" s="92">
        <v>21600000</v>
      </c>
    </row>
    <row r="2121" spans="1:7" ht="15">
      <c r="A2121" s="7" t="s">
        <v>3414</v>
      </c>
      <c r="B2121" s="78" t="s">
        <v>513</v>
      </c>
      <c r="C2121" s="79" t="s">
        <v>19</v>
      </c>
      <c r="D2121" s="78"/>
      <c r="E2121" s="80"/>
      <c r="F2121" s="81"/>
      <c r="G2121" s="81">
        <v>115000000</v>
      </c>
    </row>
    <row r="2122" spans="1:7" ht="28.5">
      <c r="A2122" s="7" t="s">
        <v>3415</v>
      </c>
      <c r="B2122" s="89" t="s">
        <v>195</v>
      </c>
      <c r="C2122" s="90" t="s">
        <v>3416</v>
      </c>
      <c r="D2122" s="89">
        <v>7</v>
      </c>
      <c r="E2122" s="91" t="s">
        <v>25</v>
      </c>
      <c r="F2122" s="92">
        <v>5000000</v>
      </c>
      <c r="G2122" s="92">
        <v>35000000</v>
      </c>
    </row>
    <row r="2123" spans="1:7">
      <c r="A2123" s="7" t="s">
        <v>3417</v>
      </c>
      <c r="B2123" s="89" t="s">
        <v>195</v>
      </c>
      <c r="C2123" s="90" t="s">
        <v>3418</v>
      </c>
      <c r="D2123" s="89">
        <v>8</v>
      </c>
      <c r="E2123" s="91" t="s">
        <v>25</v>
      </c>
      <c r="F2123" s="92">
        <v>5000000</v>
      </c>
      <c r="G2123" s="92">
        <v>40000000</v>
      </c>
    </row>
    <row r="2124" spans="1:7" ht="28.5">
      <c r="A2124" s="7" t="s">
        <v>3419</v>
      </c>
      <c r="B2124" s="89" t="s">
        <v>195</v>
      </c>
      <c r="C2124" s="90" t="s">
        <v>3420</v>
      </c>
      <c r="D2124" s="89">
        <v>8</v>
      </c>
      <c r="E2124" s="91" t="s">
        <v>25</v>
      </c>
      <c r="F2124" s="92">
        <v>5000000</v>
      </c>
      <c r="G2124" s="92">
        <v>40000000</v>
      </c>
    </row>
    <row r="2125" spans="1:7" ht="30">
      <c r="A2125" s="7" t="s">
        <v>3421</v>
      </c>
      <c r="B2125" s="78" t="s">
        <v>509</v>
      </c>
      <c r="C2125" s="79" t="s">
        <v>14</v>
      </c>
      <c r="D2125" s="78"/>
      <c r="E2125" s="80"/>
      <c r="F2125" s="81"/>
      <c r="G2125" s="81">
        <v>25200000</v>
      </c>
    </row>
    <row r="2126" spans="1:7">
      <c r="A2126" s="7" t="s">
        <v>3422</v>
      </c>
      <c r="B2126" s="89" t="s">
        <v>195</v>
      </c>
      <c r="C2126" s="90" t="s">
        <v>3423</v>
      </c>
      <c r="D2126" s="89">
        <v>70</v>
      </c>
      <c r="E2126" s="91" t="s">
        <v>73</v>
      </c>
      <c r="F2126" s="92">
        <v>210000</v>
      </c>
      <c r="G2126" s="92">
        <v>14700000</v>
      </c>
    </row>
    <row r="2127" spans="1:7">
      <c r="A2127" s="7" t="s">
        <v>3424</v>
      </c>
      <c r="B2127" s="89" t="s">
        <v>195</v>
      </c>
      <c r="C2127" s="90" t="s">
        <v>3425</v>
      </c>
      <c r="D2127" s="89">
        <v>70</v>
      </c>
      <c r="E2127" s="91" t="s">
        <v>73</v>
      </c>
      <c r="F2127" s="92">
        <v>150000</v>
      </c>
      <c r="G2127" s="92">
        <v>10500000</v>
      </c>
    </row>
    <row r="2128" spans="1:7" ht="30">
      <c r="A2128" s="7" t="s">
        <v>3426</v>
      </c>
      <c r="B2128" s="97" t="s">
        <v>512</v>
      </c>
      <c r="C2128" s="98" t="s">
        <v>3427</v>
      </c>
      <c r="D2128" s="97"/>
      <c r="E2128" s="99"/>
      <c r="F2128" s="100"/>
      <c r="G2128" s="100">
        <v>126000000</v>
      </c>
    </row>
    <row r="2129" spans="1:7" ht="15">
      <c r="A2129" s="7" t="s">
        <v>3428</v>
      </c>
      <c r="B2129" s="78" t="s">
        <v>503</v>
      </c>
      <c r="C2129" s="79" t="s">
        <v>7</v>
      </c>
      <c r="D2129" s="78"/>
      <c r="E2129" s="80"/>
      <c r="F2129" s="81"/>
      <c r="G2129" s="81">
        <v>2000000</v>
      </c>
    </row>
    <row r="2130" spans="1:7">
      <c r="A2130" s="7" t="s">
        <v>3429</v>
      </c>
      <c r="B2130" s="89" t="s">
        <v>195</v>
      </c>
      <c r="C2130" s="90" t="s">
        <v>1276</v>
      </c>
      <c r="D2130" s="89">
        <v>2</v>
      </c>
      <c r="E2130" s="91" t="s">
        <v>106</v>
      </c>
      <c r="F2130" s="92">
        <v>1000000</v>
      </c>
      <c r="G2130" s="92">
        <v>2000000</v>
      </c>
    </row>
    <row r="2131" spans="1:7" ht="15">
      <c r="A2131" s="7" t="s">
        <v>3430</v>
      </c>
      <c r="B2131" s="78" t="s">
        <v>537</v>
      </c>
      <c r="C2131" s="79" t="s">
        <v>64</v>
      </c>
      <c r="D2131" s="78"/>
      <c r="E2131" s="80"/>
      <c r="F2131" s="81"/>
      <c r="G2131" s="81">
        <v>24000000</v>
      </c>
    </row>
    <row r="2132" spans="1:7">
      <c r="A2132" s="7" t="s">
        <v>3431</v>
      </c>
      <c r="B2132" s="89" t="s">
        <v>195</v>
      </c>
      <c r="C2132" s="90" t="s">
        <v>619</v>
      </c>
      <c r="D2132" s="89">
        <v>12</v>
      </c>
      <c r="E2132" s="91" t="s">
        <v>106</v>
      </c>
      <c r="F2132" s="92">
        <v>1000000</v>
      </c>
      <c r="G2132" s="92">
        <v>12000000</v>
      </c>
    </row>
    <row r="2133" spans="1:7">
      <c r="A2133" s="7" t="s">
        <v>3432</v>
      </c>
      <c r="B2133" s="89" t="s">
        <v>195</v>
      </c>
      <c r="C2133" s="90" t="s">
        <v>620</v>
      </c>
      <c r="D2133" s="89">
        <v>12</v>
      </c>
      <c r="E2133" s="91" t="s">
        <v>106</v>
      </c>
      <c r="F2133" s="92">
        <v>1000000</v>
      </c>
      <c r="G2133" s="92">
        <v>12000000</v>
      </c>
    </row>
    <row r="2134" spans="1:7" ht="15">
      <c r="A2134" s="7" t="s">
        <v>3433</v>
      </c>
      <c r="B2134" s="78" t="s">
        <v>513</v>
      </c>
      <c r="C2134" s="79" t="s">
        <v>19</v>
      </c>
      <c r="D2134" s="78"/>
      <c r="E2134" s="80"/>
      <c r="F2134" s="81"/>
      <c r="G2134" s="81">
        <v>100000000</v>
      </c>
    </row>
    <row r="2135" spans="1:7">
      <c r="A2135" s="7" t="s">
        <v>3434</v>
      </c>
      <c r="B2135" s="89" t="s">
        <v>195</v>
      </c>
      <c r="C2135" s="90" t="s">
        <v>3435</v>
      </c>
      <c r="D2135" s="89">
        <v>20</v>
      </c>
      <c r="E2135" s="91" t="s">
        <v>25</v>
      </c>
      <c r="F2135" s="92">
        <v>5000000</v>
      </c>
      <c r="G2135" s="92">
        <v>100000000</v>
      </c>
    </row>
    <row r="2136" spans="1:7" ht="15">
      <c r="A2136" s="7" t="s">
        <v>3436</v>
      </c>
      <c r="B2136" s="97" t="s">
        <v>514</v>
      </c>
      <c r="C2136" s="98" t="s">
        <v>3437</v>
      </c>
      <c r="D2136" s="97"/>
      <c r="E2136" s="99"/>
      <c r="F2136" s="100"/>
      <c r="G2136" s="100">
        <v>127000000</v>
      </c>
    </row>
    <row r="2137" spans="1:7" ht="15">
      <c r="A2137" s="7" t="s">
        <v>3438</v>
      </c>
      <c r="B2137" s="78" t="s">
        <v>503</v>
      </c>
      <c r="C2137" s="79" t="s">
        <v>7</v>
      </c>
      <c r="D2137" s="78"/>
      <c r="E2137" s="80"/>
      <c r="F2137" s="81"/>
      <c r="G2137" s="81">
        <v>3000000</v>
      </c>
    </row>
    <row r="2138" spans="1:7">
      <c r="A2138" s="7" t="s">
        <v>3439</v>
      </c>
      <c r="B2138" s="89" t="s">
        <v>195</v>
      </c>
      <c r="C2138" s="90" t="s">
        <v>1276</v>
      </c>
      <c r="D2138" s="89">
        <v>2</v>
      </c>
      <c r="E2138" s="91" t="s">
        <v>106</v>
      </c>
      <c r="F2138" s="92">
        <v>1500000</v>
      </c>
      <c r="G2138" s="92">
        <v>3000000</v>
      </c>
    </row>
    <row r="2139" spans="1:7" ht="15">
      <c r="A2139" s="7" t="s">
        <v>3440</v>
      </c>
      <c r="B2139" s="78" t="s">
        <v>537</v>
      </c>
      <c r="C2139" s="79" t="s">
        <v>64</v>
      </c>
      <c r="D2139" s="78"/>
      <c r="E2139" s="80"/>
      <c r="F2139" s="81"/>
      <c r="G2139" s="81">
        <v>24000000</v>
      </c>
    </row>
    <row r="2140" spans="1:7">
      <c r="A2140" s="7" t="s">
        <v>3441</v>
      </c>
      <c r="B2140" s="89" t="s">
        <v>195</v>
      </c>
      <c r="C2140" s="90" t="s">
        <v>619</v>
      </c>
      <c r="D2140" s="89">
        <v>12</v>
      </c>
      <c r="E2140" s="91" t="s">
        <v>106</v>
      </c>
      <c r="F2140" s="92">
        <v>1000000</v>
      </c>
      <c r="G2140" s="92">
        <v>12000000</v>
      </c>
    </row>
    <row r="2141" spans="1:7">
      <c r="A2141" s="7" t="s">
        <v>3442</v>
      </c>
      <c r="B2141" s="89" t="s">
        <v>195</v>
      </c>
      <c r="C2141" s="90" t="s">
        <v>620</v>
      </c>
      <c r="D2141" s="89">
        <v>12</v>
      </c>
      <c r="E2141" s="91" t="s">
        <v>106</v>
      </c>
      <c r="F2141" s="92">
        <v>1000000</v>
      </c>
      <c r="G2141" s="92">
        <v>12000000</v>
      </c>
    </row>
    <row r="2142" spans="1:7" ht="15">
      <c r="A2142" s="7" t="s">
        <v>3443</v>
      </c>
      <c r="B2142" s="78" t="s">
        <v>513</v>
      </c>
      <c r="C2142" s="79" t="s">
        <v>19</v>
      </c>
      <c r="D2142" s="78"/>
      <c r="E2142" s="80"/>
      <c r="F2142" s="81"/>
      <c r="G2142" s="81">
        <v>100000000</v>
      </c>
    </row>
    <row r="2143" spans="1:7" ht="28.5">
      <c r="A2143" s="7" t="s">
        <v>3444</v>
      </c>
      <c r="B2143" s="89" t="s">
        <v>195</v>
      </c>
      <c r="C2143" s="90" t="s">
        <v>3445</v>
      </c>
      <c r="D2143" s="89">
        <v>20</v>
      </c>
      <c r="E2143" s="91" t="s">
        <v>25</v>
      </c>
      <c r="F2143" s="92">
        <v>5000000</v>
      </c>
      <c r="G2143" s="92">
        <v>100000000</v>
      </c>
    </row>
    <row r="2144" spans="1:7" ht="30">
      <c r="A2144" s="7" t="s">
        <v>3446</v>
      </c>
      <c r="B2144" s="97" t="s">
        <v>519</v>
      </c>
      <c r="C2144" s="98" t="s">
        <v>135</v>
      </c>
      <c r="D2144" s="97"/>
      <c r="E2144" s="99"/>
      <c r="F2144" s="100"/>
      <c r="G2144" s="100">
        <v>372250000</v>
      </c>
    </row>
    <row r="2145" spans="1:7" ht="15">
      <c r="A2145" s="7" t="s">
        <v>3447</v>
      </c>
      <c r="B2145" s="78" t="s">
        <v>503</v>
      </c>
      <c r="C2145" s="79" t="s">
        <v>7</v>
      </c>
      <c r="D2145" s="78"/>
      <c r="E2145" s="80"/>
      <c r="F2145" s="81"/>
      <c r="G2145" s="81">
        <v>6000000</v>
      </c>
    </row>
    <row r="2146" spans="1:7">
      <c r="A2146" s="7" t="s">
        <v>3448</v>
      </c>
      <c r="B2146" s="89" t="s">
        <v>195</v>
      </c>
      <c r="C2146" s="90" t="s">
        <v>619</v>
      </c>
      <c r="D2146" s="89">
        <v>1</v>
      </c>
      <c r="E2146" s="91" t="s">
        <v>106</v>
      </c>
      <c r="F2146" s="92">
        <v>1000000</v>
      </c>
      <c r="G2146" s="92">
        <v>1000000</v>
      </c>
    </row>
    <row r="2147" spans="1:7">
      <c r="A2147" s="7" t="s">
        <v>3449</v>
      </c>
      <c r="B2147" s="89" t="s">
        <v>195</v>
      </c>
      <c r="C2147" s="90" t="s">
        <v>620</v>
      </c>
      <c r="D2147" s="89">
        <v>1</v>
      </c>
      <c r="E2147" s="91" t="s">
        <v>106</v>
      </c>
      <c r="F2147" s="92">
        <v>1000000</v>
      </c>
      <c r="G2147" s="92">
        <v>1000000</v>
      </c>
    </row>
    <row r="2148" spans="1:7">
      <c r="A2148" s="7" t="s">
        <v>3450</v>
      </c>
      <c r="B2148" s="89" t="s">
        <v>195</v>
      </c>
      <c r="C2148" s="90" t="s">
        <v>2591</v>
      </c>
      <c r="D2148" s="89">
        <v>1</v>
      </c>
      <c r="E2148" s="91" t="s">
        <v>180</v>
      </c>
      <c r="F2148" s="92">
        <v>1000000</v>
      </c>
      <c r="G2148" s="92">
        <v>1000000</v>
      </c>
    </row>
    <row r="2149" spans="1:7">
      <c r="A2149" s="7" t="s">
        <v>3451</v>
      </c>
      <c r="B2149" s="89" t="s">
        <v>195</v>
      </c>
      <c r="C2149" s="90" t="s">
        <v>1276</v>
      </c>
      <c r="D2149" s="89">
        <v>3</v>
      </c>
      <c r="E2149" s="91" t="s">
        <v>180</v>
      </c>
      <c r="F2149" s="92">
        <v>1000000</v>
      </c>
      <c r="G2149" s="92">
        <v>3000000</v>
      </c>
    </row>
    <row r="2150" spans="1:7" ht="15">
      <c r="A2150" s="7" t="s">
        <v>3452</v>
      </c>
      <c r="B2150" s="78" t="s">
        <v>517</v>
      </c>
      <c r="C2150" s="79" t="s">
        <v>22</v>
      </c>
      <c r="D2150" s="78"/>
      <c r="E2150" s="80"/>
      <c r="F2150" s="81"/>
      <c r="G2150" s="81">
        <v>175000000</v>
      </c>
    </row>
    <row r="2151" spans="1:7">
      <c r="A2151" s="7" t="s">
        <v>3453</v>
      </c>
      <c r="B2151" s="89" t="s">
        <v>195</v>
      </c>
      <c r="C2151" s="90" t="s">
        <v>3454</v>
      </c>
      <c r="D2151" s="89">
        <v>500</v>
      </c>
      <c r="E2151" s="91" t="s">
        <v>136</v>
      </c>
      <c r="F2151" s="92">
        <v>350000</v>
      </c>
      <c r="G2151" s="92">
        <v>175000000</v>
      </c>
    </row>
    <row r="2152" spans="1:7" ht="15">
      <c r="A2152" s="7" t="s">
        <v>3455</v>
      </c>
      <c r="B2152" s="78" t="s">
        <v>510</v>
      </c>
      <c r="C2152" s="79" t="s">
        <v>15</v>
      </c>
      <c r="D2152" s="78"/>
      <c r="E2152" s="80"/>
      <c r="F2152" s="81"/>
      <c r="G2152" s="81">
        <v>191250000</v>
      </c>
    </row>
    <row r="2153" spans="1:7">
      <c r="A2153" s="7" t="s">
        <v>3456</v>
      </c>
      <c r="B2153" s="89" t="s">
        <v>195</v>
      </c>
      <c r="C2153" s="90" t="s">
        <v>3457</v>
      </c>
      <c r="D2153" s="89">
        <v>1125</v>
      </c>
      <c r="E2153" s="91" t="s">
        <v>73</v>
      </c>
      <c r="F2153" s="92">
        <v>150000</v>
      </c>
      <c r="G2153" s="92">
        <v>168750000</v>
      </c>
    </row>
    <row r="2154" spans="1:7">
      <c r="A2154" s="7" t="s">
        <v>3458</v>
      </c>
      <c r="B2154" s="89" t="s">
        <v>195</v>
      </c>
      <c r="C2154" s="90" t="s">
        <v>3459</v>
      </c>
      <c r="D2154" s="89">
        <v>150</v>
      </c>
      <c r="E2154" s="91" t="s">
        <v>73</v>
      </c>
      <c r="F2154" s="92">
        <v>150000</v>
      </c>
      <c r="G2154" s="92">
        <v>22500000</v>
      </c>
    </row>
    <row r="2155" spans="1:7" ht="15">
      <c r="A2155" s="7" t="s">
        <v>3460</v>
      </c>
      <c r="B2155" s="101" t="s">
        <v>3461</v>
      </c>
      <c r="C2155" s="102" t="s">
        <v>3462</v>
      </c>
      <c r="D2155" s="101"/>
      <c r="E2155" s="103"/>
      <c r="F2155" s="104"/>
      <c r="G2155" s="104">
        <v>80000000</v>
      </c>
    </row>
    <row r="2156" spans="1:7" ht="28.5">
      <c r="A2156" s="7" t="s">
        <v>3463</v>
      </c>
      <c r="B2156" s="89" t="s">
        <v>3464</v>
      </c>
      <c r="C2156" s="90" t="s">
        <v>3465</v>
      </c>
      <c r="D2156" s="89"/>
      <c r="E2156" s="91"/>
      <c r="F2156" s="92"/>
      <c r="G2156" s="92">
        <v>80000000</v>
      </c>
    </row>
    <row r="2157" spans="1:7" ht="45">
      <c r="A2157" s="7" t="s">
        <v>3466</v>
      </c>
      <c r="B2157" s="93" t="s">
        <v>1119</v>
      </c>
      <c r="C2157" s="94" t="s">
        <v>3467</v>
      </c>
      <c r="D2157" s="93"/>
      <c r="E2157" s="95"/>
      <c r="F2157" s="96"/>
      <c r="G2157" s="96">
        <v>80000000</v>
      </c>
    </row>
    <row r="2158" spans="1:7" ht="15">
      <c r="A2158" s="7" t="s">
        <v>3468</v>
      </c>
      <c r="B2158" s="97" t="s">
        <v>8</v>
      </c>
      <c r="C2158" s="98" t="s">
        <v>3469</v>
      </c>
      <c r="D2158" s="97"/>
      <c r="E2158" s="99"/>
      <c r="F2158" s="100"/>
      <c r="G2158" s="100">
        <v>80000000</v>
      </c>
    </row>
    <row r="2159" spans="1:7" ht="15">
      <c r="A2159" s="7" t="s">
        <v>3470</v>
      </c>
      <c r="B2159" s="78" t="s">
        <v>517</v>
      </c>
      <c r="C2159" s="79" t="s">
        <v>22</v>
      </c>
      <c r="D2159" s="78"/>
      <c r="E2159" s="80"/>
      <c r="F2159" s="81"/>
      <c r="G2159" s="81">
        <v>80000000</v>
      </c>
    </row>
    <row r="2160" spans="1:7">
      <c r="A2160" s="7" t="s">
        <v>3471</v>
      </c>
      <c r="B2160" s="89" t="s">
        <v>195</v>
      </c>
      <c r="C2160" s="90" t="s">
        <v>3472</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3473</v>
      </c>
      <c r="B2162" s="101" t="s">
        <v>3474</v>
      </c>
      <c r="C2162" s="102" t="s">
        <v>2312</v>
      </c>
      <c r="D2162" s="101"/>
      <c r="E2162" s="103"/>
      <c r="F2162" s="104"/>
      <c r="G2162" s="104">
        <v>8582500000</v>
      </c>
    </row>
    <row r="2163" spans="1:7">
      <c r="A2163" s="7" t="s">
        <v>3475</v>
      </c>
      <c r="B2163" s="89" t="s">
        <v>3476</v>
      </c>
      <c r="C2163" s="90" t="s">
        <v>3477</v>
      </c>
      <c r="D2163" s="89"/>
      <c r="E2163" s="91"/>
      <c r="F2163" s="92"/>
      <c r="G2163" s="92">
        <v>8582500000</v>
      </c>
    </row>
    <row r="2164" spans="1:7" ht="15">
      <c r="A2164" s="7" t="s">
        <v>3478</v>
      </c>
      <c r="B2164" s="93" t="s">
        <v>833</v>
      </c>
      <c r="C2164" s="94" t="s">
        <v>189</v>
      </c>
      <c r="D2164" s="93"/>
      <c r="E2164" s="95"/>
      <c r="F2164" s="96"/>
      <c r="G2164" s="96">
        <v>8473300000</v>
      </c>
    </row>
    <row r="2165" spans="1:7" ht="15">
      <c r="A2165" s="7" t="s">
        <v>3479</v>
      </c>
      <c r="B2165" s="97" t="s">
        <v>8</v>
      </c>
      <c r="C2165" s="98" t="s">
        <v>190</v>
      </c>
      <c r="D2165" s="97"/>
      <c r="E2165" s="99"/>
      <c r="F2165" s="100"/>
      <c r="G2165" s="100">
        <v>1713564000</v>
      </c>
    </row>
    <row r="2166" spans="1:7" ht="15">
      <c r="A2166" s="7" t="s">
        <v>3480</v>
      </c>
      <c r="B2166" s="78" t="s">
        <v>503</v>
      </c>
      <c r="C2166" s="79" t="s">
        <v>7</v>
      </c>
      <c r="D2166" s="78"/>
      <c r="E2166" s="80"/>
      <c r="F2166" s="81"/>
      <c r="G2166" s="81">
        <v>99100000</v>
      </c>
    </row>
    <row r="2167" spans="1:7">
      <c r="A2167" s="7" t="s">
        <v>3481</v>
      </c>
      <c r="B2167" s="89" t="s">
        <v>195</v>
      </c>
      <c r="C2167" s="90" t="s">
        <v>2745</v>
      </c>
      <c r="D2167" s="89">
        <v>400</v>
      </c>
      <c r="E2167" s="91" t="s">
        <v>10</v>
      </c>
      <c r="F2167" s="92">
        <v>70000</v>
      </c>
      <c r="G2167" s="92">
        <v>28000000</v>
      </c>
    </row>
    <row r="2168" spans="1:7">
      <c r="A2168" s="7" t="s">
        <v>3482</v>
      </c>
      <c r="B2168" s="89" t="s">
        <v>195</v>
      </c>
      <c r="C2168" s="90" t="s">
        <v>3483</v>
      </c>
      <c r="D2168" s="89">
        <v>10</v>
      </c>
      <c r="E2168" s="91" t="s">
        <v>9</v>
      </c>
      <c r="F2168" s="92">
        <v>1500000</v>
      </c>
      <c r="G2168" s="92">
        <v>15000000</v>
      </c>
    </row>
    <row r="2169" spans="1:7">
      <c r="A2169" s="7" t="s">
        <v>3484</v>
      </c>
      <c r="B2169" s="89" t="s">
        <v>195</v>
      </c>
      <c r="C2169" s="90" t="s">
        <v>3485</v>
      </c>
      <c r="D2169" s="89">
        <v>120</v>
      </c>
      <c r="E2169" s="91" t="s">
        <v>25</v>
      </c>
      <c r="F2169" s="92">
        <v>280000</v>
      </c>
      <c r="G2169" s="92">
        <v>33600000</v>
      </c>
    </row>
    <row r="2170" spans="1:7">
      <c r="A2170" s="7" t="s">
        <v>3486</v>
      </c>
      <c r="B2170" s="89" t="s">
        <v>195</v>
      </c>
      <c r="C2170" s="90" t="s">
        <v>3487</v>
      </c>
      <c r="D2170" s="89">
        <v>150</v>
      </c>
      <c r="E2170" s="91" t="s">
        <v>25</v>
      </c>
      <c r="F2170" s="92">
        <v>150000</v>
      </c>
      <c r="G2170" s="92">
        <v>22500000</v>
      </c>
    </row>
    <row r="2171" spans="1:7" ht="15">
      <c r="A2171" s="7" t="s">
        <v>3488</v>
      </c>
      <c r="B2171" s="78" t="s">
        <v>533</v>
      </c>
      <c r="C2171" s="79" t="s">
        <v>53</v>
      </c>
      <c r="D2171" s="78"/>
      <c r="E2171" s="80"/>
      <c r="F2171" s="81"/>
      <c r="G2171" s="81">
        <v>1333864000</v>
      </c>
    </row>
    <row r="2172" spans="1:7">
      <c r="A2172" s="7" t="s">
        <v>3489</v>
      </c>
      <c r="B2172" s="89" t="s">
        <v>195</v>
      </c>
      <c r="C2172" s="90" t="s">
        <v>3490</v>
      </c>
      <c r="D2172" s="89">
        <v>33</v>
      </c>
      <c r="E2172" s="91" t="s">
        <v>155</v>
      </c>
      <c r="F2172" s="92">
        <v>40413000</v>
      </c>
      <c r="G2172" s="92">
        <v>1333614000</v>
      </c>
    </row>
    <row r="2173" spans="1:7">
      <c r="A2173" s="7" t="s">
        <v>3491</v>
      </c>
      <c r="B2173" s="89" t="s">
        <v>195</v>
      </c>
      <c r="C2173" s="90" t="s">
        <v>785</v>
      </c>
      <c r="D2173" s="89">
        <v>1</v>
      </c>
      <c r="E2173" s="91" t="s">
        <v>9</v>
      </c>
      <c r="F2173" s="92">
        <v>250000</v>
      </c>
      <c r="G2173" s="92">
        <v>250000</v>
      </c>
    </row>
    <row r="2174" spans="1:7" ht="15">
      <c r="A2174" s="7" t="s">
        <v>3492</v>
      </c>
      <c r="B2174" s="78" t="s">
        <v>537</v>
      </c>
      <c r="C2174" s="79" t="s">
        <v>64</v>
      </c>
      <c r="D2174" s="78"/>
      <c r="E2174" s="80"/>
      <c r="F2174" s="81"/>
      <c r="G2174" s="81">
        <v>25000000</v>
      </c>
    </row>
    <row r="2175" spans="1:7">
      <c r="A2175" s="7" t="s">
        <v>3493</v>
      </c>
      <c r="B2175" s="89" t="s">
        <v>195</v>
      </c>
      <c r="C2175" s="90" t="s">
        <v>620</v>
      </c>
      <c r="D2175" s="89">
        <v>10</v>
      </c>
      <c r="E2175" s="91" t="s">
        <v>9</v>
      </c>
      <c r="F2175" s="92">
        <v>1000000</v>
      </c>
      <c r="G2175" s="92">
        <v>10000000</v>
      </c>
    </row>
    <row r="2176" spans="1:7">
      <c r="A2176" s="7" t="s">
        <v>3494</v>
      </c>
      <c r="B2176" s="89" t="s">
        <v>195</v>
      </c>
      <c r="C2176" s="90" t="s">
        <v>619</v>
      </c>
      <c r="D2176" s="89">
        <v>10</v>
      </c>
      <c r="E2176" s="91" t="s">
        <v>9</v>
      </c>
      <c r="F2176" s="92">
        <v>1500000</v>
      </c>
      <c r="G2176" s="92">
        <v>15000000</v>
      </c>
    </row>
    <row r="2177" spans="1:7" ht="15">
      <c r="A2177" s="7" t="s">
        <v>3495</v>
      </c>
      <c r="B2177" s="78" t="s">
        <v>516</v>
      </c>
      <c r="C2177" s="79" t="s">
        <v>11</v>
      </c>
      <c r="D2177" s="78"/>
      <c r="E2177" s="80"/>
      <c r="F2177" s="81"/>
      <c r="G2177" s="81">
        <v>15000000</v>
      </c>
    </row>
    <row r="2178" spans="1:7">
      <c r="A2178" s="7" t="s">
        <v>3496</v>
      </c>
      <c r="B2178" s="89" t="s">
        <v>195</v>
      </c>
      <c r="C2178" s="90" t="s">
        <v>774</v>
      </c>
      <c r="D2178" s="89">
        <v>15</v>
      </c>
      <c r="E2178" s="91" t="s">
        <v>12</v>
      </c>
      <c r="F2178" s="92">
        <v>1000000</v>
      </c>
      <c r="G2178" s="92">
        <v>15000000</v>
      </c>
    </row>
    <row r="2179" spans="1:7" ht="15">
      <c r="A2179" s="7" t="s">
        <v>3497</v>
      </c>
      <c r="B2179" s="78" t="s">
        <v>517</v>
      </c>
      <c r="C2179" s="79" t="s">
        <v>22</v>
      </c>
      <c r="D2179" s="78"/>
      <c r="E2179" s="80"/>
      <c r="F2179" s="81"/>
      <c r="G2179" s="81">
        <v>102600000</v>
      </c>
    </row>
    <row r="2180" spans="1:7">
      <c r="A2180" s="7" t="s">
        <v>3498</v>
      </c>
      <c r="B2180" s="89" t="s">
        <v>195</v>
      </c>
      <c r="C2180" s="90" t="s">
        <v>3499</v>
      </c>
      <c r="D2180" s="89">
        <v>120</v>
      </c>
      <c r="E2180" s="91" t="s">
        <v>155</v>
      </c>
      <c r="F2180" s="92">
        <v>855000</v>
      </c>
      <c r="G2180" s="92">
        <v>102600000</v>
      </c>
    </row>
    <row r="2181" spans="1:7" ht="15">
      <c r="A2181" s="7" t="s">
        <v>3500</v>
      </c>
      <c r="B2181" s="78" t="s">
        <v>513</v>
      </c>
      <c r="C2181" s="79" t="s">
        <v>19</v>
      </c>
      <c r="D2181" s="78"/>
      <c r="E2181" s="80"/>
      <c r="F2181" s="81"/>
      <c r="G2181" s="81">
        <v>138000000</v>
      </c>
    </row>
    <row r="2182" spans="1:7">
      <c r="A2182" s="7" t="s">
        <v>3501</v>
      </c>
      <c r="B2182" s="89" t="s">
        <v>195</v>
      </c>
      <c r="C2182" s="90" t="s">
        <v>3502</v>
      </c>
      <c r="D2182" s="89">
        <v>50</v>
      </c>
      <c r="E2182" s="91" t="s">
        <v>10</v>
      </c>
      <c r="F2182" s="92">
        <v>1200000</v>
      </c>
      <c r="G2182" s="92">
        <v>60000000</v>
      </c>
    </row>
    <row r="2183" spans="1:7" ht="28.5">
      <c r="A2183" s="7" t="s">
        <v>3503</v>
      </c>
      <c r="B2183" s="89" t="s">
        <v>195</v>
      </c>
      <c r="C2183" s="90" t="s">
        <v>3504</v>
      </c>
      <c r="D2183" s="89">
        <v>12</v>
      </c>
      <c r="E2183" s="91" t="s">
        <v>10</v>
      </c>
      <c r="F2183" s="92">
        <v>6500000</v>
      </c>
      <c r="G2183" s="92">
        <v>78000000</v>
      </c>
    </row>
    <row r="2184" spans="1:7" ht="15">
      <c r="A2184" s="7" t="s">
        <v>3505</v>
      </c>
      <c r="B2184" s="97" t="s">
        <v>511</v>
      </c>
      <c r="C2184" s="98" t="s">
        <v>191</v>
      </c>
      <c r="D2184" s="97"/>
      <c r="E2184" s="99"/>
      <c r="F2184" s="100"/>
      <c r="G2184" s="100">
        <v>6555695000</v>
      </c>
    </row>
    <row r="2185" spans="1:7" ht="15">
      <c r="A2185" s="7" t="s">
        <v>3506</v>
      </c>
      <c r="B2185" s="78" t="s">
        <v>503</v>
      </c>
      <c r="C2185" s="79" t="s">
        <v>7</v>
      </c>
      <c r="D2185" s="78"/>
      <c r="E2185" s="80"/>
      <c r="F2185" s="81"/>
      <c r="G2185" s="81">
        <v>25000000</v>
      </c>
    </row>
    <row r="2186" spans="1:7">
      <c r="A2186" s="7" t="s">
        <v>3507</v>
      </c>
      <c r="B2186" s="89" t="s">
        <v>195</v>
      </c>
      <c r="C2186" s="90" t="s">
        <v>2745</v>
      </c>
      <c r="D2186" s="89">
        <v>100</v>
      </c>
      <c r="E2186" s="91" t="s">
        <v>10</v>
      </c>
      <c r="F2186" s="92">
        <v>70000</v>
      </c>
      <c r="G2186" s="92">
        <v>7000000</v>
      </c>
    </row>
    <row r="2187" spans="1:7">
      <c r="A2187" s="7" t="s">
        <v>3508</v>
      </c>
      <c r="B2187" s="89" t="s">
        <v>195</v>
      </c>
      <c r="C2187" s="90" t="s">
        <v>3483</v>
      </c>
      <c r="D2187" s="89">
        <v>12</v>
      </c>
      <c r="E2187" s="91" t="s">
        <v>9</v>
      </c>
      <c r="F2187" s="92">
        <v>1500000</v>
      </c>
      <c r="G2187" s="92">
        <v>18000000</v>
      </c>
    </row>
    <row r="2188" spans="1:7" ht="15">
      <c r="A2188" s="7" t="s">
        <v>3509</v>
      </c>
      <c r="B2188" s="78" t="s">
        <v>533</v>
      </c>
      <c r="C2188" s="79" t="s">
        <v>53</v>
      </c>
      <c r="D2188" s="78"/>
      <c r="E2188" s="80"/>
      <c r="F2188" s="81"/>
      <c r="G2188" s="81">
        <v>6308695000</v>
      </c>
    </row>
    <row r="2189" spans="1:7">
      <c r="A2189" s="7" t="s">
        <v>3510</v>
      </c>
      <c r="B2189" s="89" t="s">
        <v>195</v>
      </c>
      <c r="C2189" s="90" t="s">
        <v>3490</v>
      </c>
      <c r="D2189" s="89">
        <v>157</v>
      </c>
      <c r="E2189" s="91" t="s">
        <v>155</v>
      </c>
      <c r="F2189" s="92">
        <v>40130000</v>
      </c>
      <c r="G2189" s="92">
        <v>6300445000</v>
      </c>
    </row>
    <row r="2190" spans="1:7">
      <c r="A2190" s="7" t="s">
        <v>3511</v>
      </c>
      <c r="B2190" s="89" t="s">
        <v>195</v>
      </c>
      <c r="C2190" s="90" t="s">
        <v>785</v>
      </c>
      <c r="D2190" s="89">
        <v>3</v>
      </c>
      <c r="E2190" s="91" t="s">
        <v>9</v>
      </c>
      <c r="F2190" s="92">
        <v>250000</v>
      </c>
      <c r="G2190" s="92">
        <v>750000</v>
      </c>
    </row>
    <row r="2191" spans="1:7">
      <c r="A2191" s="7" t="s">
        <v>3512</v>
      </c>
      <c r="B2191" s="89" t="s">
        <v>195</v>
      </c>
      <c r="C2191" s="90" t="s">
        <v>3513</v>
      </c>
      <c r="D2191" s="89">
        <v>15</v>
      </c>
      <c r="E2191" s="91" t="s">
        <v>106</v>
      </c>
      <c r="F2191" s="92">
        <v>500000</v>
      </c>
      <c r="G2191" s="92">
        <v>7500000</v>
      </c>
    </row>
    <row r="2192" spans="1:7" ht="15">
      <c r="A2192" s="7" t="s">
        <v>3514</v>
      </c>
      <c r="B2192" s="78" t="s">
        <v>537</v>
      </c>
      <c r="C2192" s="79" t="s">
        <v>64</v>
      </c>
      <c r="D2192" s="78"/>
      <c r="E2192" s="80"/>
      <c r="F2192" s="81"/>
      <c r="G2192" s="81">
        <v>30000000</v>
      </c>
    </row>
    <row r="2193" spans="1:7">
      <c r="A2193" s="7" t="s">
        <v>3515</v>
      </c>
      <c r="B2193" s="89" t="s">
        <v>195</v>
      </c>
      <c r="C2193" s="90" t="s">
        <v>620</v>
      </c>
      <c r="D2193" s="89">
        <v>12</v>
      </c>
      <c r="E2193" s="91" t="s">
        <v>9</v>
      </c>
      <c r="F2193" s="92">
        <v>1000000</v>
      </c>
      <c r="G2193" s="92">
        <v>12000000</v>
      </c>
    </row>
    <row r="2194" spans="1:7">
      <c r="A2194" s="7" t="s">
        <v>3516</v>
      </c>
      <c r="B2194" s="89" t="s">
        <v>195</v>
      </c>
      <c r="C2194" s="90" t="s">
        <v>619</v>
      </c>
      <c r="D2194" s="89">
        <v>12</v>
      </c>
      <c r="E2194" s="91" t="s">
        <v>9</v>
      </c>
      <c r="F2194" s="92">
        <v>1500000</v>
      </c>
      <c r="G2194" s="92">
        <v>18000000</v>
      </c>
    </row>
    <row r="2195" spans="1:7" ht="15">
      <c r="A2195" s="7" t="s">
        <v>3517</v>
      </c>
      <c r="B2195" s="78" t="s">
        <v>516</v>
      </c>
      <c r="C2195" s="79" t="s">
        <v>11</v>
      </c>
      <c r="D2195" s="78"/>
      <c r="E2195" s="80"/>
      <c r="F2195" s="81"/>
      <c r="G2195" s="81">
        <v>6000000</v>
      </c>
    </row>
    <row r="2196" spans="1:7">
      <c r="A2196" s="7" t="s">
        <v>3518</v>
      </c>
      <c r="B2196" s="89" t="s">
        <v>195</v>
      </c>
      <c r="C2196" s="90" t="s">
        <v>774</v>
      </c>
      <c r="D2196" s="89">
        <v>6</v>
      </c>
      <c r="E2196" s="91" t="s">
        <v>12</v>
      </c>
      <c r="F2196" s="92">
        <v>1000000</v>
      </c>
      <c r="G2196" s="92">
        <v>6000000</v>
      </c>
    </row>
    <row r="2197" spans="1:7" ht="15">
      <c r="A2197" s="7" t="s">
        <v>3519</v>
      </c>
      <c r="B2197" s="78" t="s">
        <v>513</v>
      </c>
      <c r="C2197" s="79" t="s">
        <v>19</v>
      </c>
      <c r="D2197" s="78"/>
      <c r="E2197" s="80"/>
      <c r="F2197" s="81"/>
      <c r="G2197" s="81">
        <v>186000000</v>
      </c>
    </row>
    <row r="2198" spans="1:7">
      <c r="A2198" s="7" t="s">
        <v>3520</v>
      </c>
      <c r="B2198" s="89" t="s">
        <v>195</v>
      </c>
      <c r="C2198" s="90" t="s">
        <v>3502</v>
      </c>
      <c r="D2198" s="89">
        <v>20</v>
      </c>
      <c r="E2198" s="91" t="s">
        <v>10</v>
      </c>
      <c r="F2198" s="92">
        <v>1500000</v>
      </c>
      <c r="G2198" s="92">
        <v>30000000</v>
      </c>
    </row>
    <row r="2199" spans="1:7" ht="28.5">
      <c r="A2199" s="7" t="s">
        <v>3521</v>
      </c>
      <c r="B2199" s="89" t="s">
        <v>195</v>
      </c>
      <c r="C2199" s="90" t="s">
        <v>3504</v>
      </c>
      <c r="D2199" s="89">
        <v>24</v>
      </c>
      <c r="E2199" s="91" t="s">
        <v>10</v>
      </c>
      <c r="F2199" s="92">
        <v>6500000</v>
      </c>
      <c r="G2199" s="92">
        <v>156000000</v>
      </c>
    </row>
    <row r="2200" spans="1:7" ht="15">
      <c r="A2200" s="7" t="s">
        <v>3522</v>
      </c>
      <c r="B2200" s="97" t="s">
        <v>512</v>
      </c>
      <c r="C2200" s="98" t="s">
        <v>192</v>
      </c>
      <c r="D2200" s="97"/>
      <c r="E2200" s="99"/>
      <c r="F2200" s="100"/>
      <c r="G2200" s="100">
        <v>174041000</v>
      </c>
    </row>
    <row r="2201" spans="1:7" ht="15">
      <c r="A2201" s="7" t="s">
        <v>3523</v>
      </c>
      <c r="B2201" s="78" t="s">
        <v>503</v>
      </c>
      <c r="C2201" s="79" t="s">
        <v>7</v>
      </c>
      <c r="D2201" s="78"/>
      <c r="E2201" s="80"/>
      <c r="F2201" s="81"/>
      <c r="G2201" s="81">
        <v>12000000</v>
      </c>
    </row>
    <row r="2202" spans="1:7">
      <c r="A2202" s="7" t="s">
        <v>3524</v>
      </c>
      <c r="B2202" s="89" t="s">
        <v>195</v>
      </c>
      <c r="C2202" s="90" t="s">
        <v>3483</v>
      </c>
      <c r="D2202" s="89">
        <v>3</v>
      </c>
      <c r="E2202" s="91" t="s">
        <v>9</v>
      </c>
      <c r="F2202" s="92">
        <v>1500000</v>
      </c>
      <c r="G2202" s="92">
        <v>4500000</v>
      </c>
    </row>
    <row r="2203" spans="1:7">
      <c r="A2203" s="7" t="s">
        <v>3525</v>
      </c>
      <c r="B2203" s="89" t="s">
        <v>195</v>
      </c>
      <c r="C2203" s="90" t="s">
        <v>620</v>
      </c>
      <c r="D2203" s="89">
        <v>3</v>
      </c>
      <c r="E2203" s="91" t="s">
        <v>9</v>
      </c>
      <c r="F2203" s="92">
        <v>1000000</v>
      </c>
      <c r="G2203" s="92">
        <v>3000000</v>
      </c>
    </row>
    <row r="2204" spans="1:7">
      <c r="A2204" s="7" t="s">
        <v>3526</v>
      </c>
      <c r="B2204" s="89" t="s">
        <v>195</v>
      </c>
      <c r="C2204" s="90" t="s">
        <v>619</v>
      </c>
      <c r="D2204" s="89">
        <v>3</v>
      </c>
      <c r="E2204" s="91" t="s">
        <v>9</v>
      </c>
      <c r="F2204" s="92">
        <v>1500000</v>
      </c>
      <c r="G2204" s="92">
        <v>4500000</v>
      </c>
    </row>
    <row r="2205" spans="1:7" ht="15">
      <c r="A2205" s="7" t="s">
        <v>3527</v>
      </c>
      <c r="B2205" s="78" t="s">
        <v>533</v>
      </c>
      <c r="C2205" s="79" t="s">
        <v>53</v>
      </c>
      <c r="D2205" s="78"/>
      <c r="E2205" s="80"/>
      <c r="F2205" s="81"/>
      <c r="G2205" s="81">
        <v>20000000</v>
      </c>
    </row>
    <row r="2206" spans="1:7" ht="28.5">
      <c r="A2206" s="7" t="s">
        <v>3528</v>
      </c>
      <c r="B2206" s="89" t="s">
        <v>195</v>
      </c>
      <c r="C2206" s="90" t="s">
        <v>3529</v>
      </c>
      <c r="D2206" s="89">
        <v>2</v>
      </c>
      <c r="E2206" s="91" t="s">
        <v>155</v>
      </c>
      <c r="F2206" s="92">
        <v>10000000</v>
      </c>
      <c r="G2206" s="92">
        <v>20000000</v>
      </c>
    </row>
    <row r="2207" spans="1:7" ht="15">
      <c r="A2207" s="7" t="s">
        <v>3530</v>
      </c>
      <c r="B2207" s="78" t="s">
        <v>1150</v>
      </c>
      <c r="C2207" s="79" t="s">
        <v>1151</v>
      </c>
      <c r="D2207" s="78"/>
      <c r="E2207" s="80"/>
      <c r="F2207" s="81"/>
      <c r="G2207" s="81">
        <v>142041000</v>
      </c>
    </row>
    <row r="2208" spans="1:7" ht="28.5">
      <c r="A2208" s="7" t="s">
        <v>3531</v>
      </c>
      <c r="B2208" s="89" t="s">
        <v>195</v>
      </c>
      <c r="C2208" s="90" t="s">
        <v>3532</v>
      </c>
      <c r="D2208" s="89">
        <v>3</v>
      </c>
      <c r="E2208" s="91" t="s">
        <v>10</v>
      </c>
      <c r="F2208" s="92">
        <v>47347000</v>
      </c>
      <c r="G2208" s="92">
        <v>142041000</v>
      </c>
    </row>
    <row r="2209" spans="1:7" ht="15">
      <c r="A2209" s="7" t="s">
        <v>3533</v>
      </c>
      <c r="B2209" s="97" t="s">
        <v>514</v>
      </c>
      <c r="C2209" s="98" t="s">
        <v>3534</v>
      </c>
      <c r="D2209" s="97"/>
      <c r="E2209" s="99"/>
      <c r="F2209" s="100"/>
      <c r="G2209" s="100">
        <v>30000000</v>
      </c>
    </row>
    <row r="2210" spans="1:7" ht="15">
      <c r="A2210" s="7" t="s">
        <v>3535</v>
      </c>
      <c r="B2210" s="78" t="s">
        <v>518</v>
      </c>
      <c r="C2210" s="79" t="s">
        <v>24</v>
      </c>
      <c r="D2210" s="78"/>
      <c r="E2210" s="80"/>
      <c r="F2210" s="81"/>
      <c r="G2210" s="81">
        <v>30000000</v>
      </c>
    </row>
    <row r="2211" spans="1:7">
      <c r="A2211" s="7" t="s">
        <v>3536</v>
      </c>
      <c r="B2211" s="89" t="s">
        <v>195</v>
      </c>
      <c r="C2211" s="90" t="s">
        <v>3537</v>
      </c>
      <c r="D2211" s="89">
        <v>120</v>
      </c>
      <c r="E2211" s="91" t="s">
        <v>776</v>
      </c>
      <c r="F2211" s="92">
        <v>250000</v>
      </c>
      <c r="G2211" s="92">
        <v>30000000</v>
      </c>
    </row>
    <row r="2212" spans="1:7" ht="15">
      <c r="A2212" s="7" t="s">
        <v>3538</v>
      </c>
      <c r="B2212" s="93" t="s">
        <v>3090</v>
      </c>
      <c r="C2212" s="94" t="s">
        <v>193</v>
      </c>
      <c r="D2212" s="93"/>
      <c r="E2212" s="95"/>
      <c r="F2212" s="96"/>
      <c r="G2212" s="96">
        <v>109200000</v>
      </c>
    </row>
    <row r="2213" spans="1:7" ht="15">
      <c r="A2213" s="7" t="s">
        <v>3539</v>
      </c>
      <c r="B2213" s="97" t="s">
        <v>8</v>
      </c>
      <c r="C2213" s="98" t="s">
        <v>193</v>
      </c>
      <c r="D2213" s="97"/>
      <c r="E2213" s="99"/>
      <c r="F2213" s="100"/>
      <c r="G2213" s="100">
        <v>109200000</v>
      </c>
    </row>
    <row r="2214" spans="1:7" ht="15">
      <c r="A2214" s="7" t="s">
        <v>3540</v>
      </c>
      <c r="B2214" s="78" t="s">
        <v>503</v>
      </c>
      <c r="C2214" s="79" t="s">
        <v>7</v>
      </c>
      <c r="D2214" s="78"/>
      <c r="E2214" s="80"/>
      <c r="F2214" s="81"/>
      <c r="G2214" s="81">
        <v>25000000</v>
      </c>
    </row>
    <row r="2215" spans="1:7">
      <c r="A2215" s="7" t="s">
        <v>3541</v>
      </c>
      <c r="B2215" s="89" t="s">
        <v>195</v>
      </c>
      <c r="C2215" s="90" t="s">
        <v>2745</v>
      </c>
      <c r="D2215" s="89">
        <v>100</v>
      </c>
      <c r="E2215" s="91" t="s">
        <v>10</v>
      </c>
      <c r="F2215" s="92">
        <v>70000</v>
      </c>
      <c r="G2215" s="92">
        <v>7000000</v>
      </c>
    </row>
    <row r="2216" spans="1:7">
      <c r="A2216" s="7" t="s">
        <v>3542</v>
      </c>
      <c r="B2216" s="89" t="s">
        <v>195</v>
      </c>
      <c r="C2216" s="90" t="s">
        <v>3483</v>
      </c>
      <c r="D2216" s="89">
        <v>12</v>
      </c>
      <c r="E2216" s="91" t="s">
        <v>9</v>
      </c>
      <c r="F2216" s="92">
        <v>1500000</v>
      </c>
      <c r="G2216" s="92">
        <v>18000000</v>
      </c>
    </row>
    <row r="2217" spans="1:7" ht="15">
      <c r="A2217" s="7" t="s">
        <v>3543</v>
      </c>
      <c r="B2217" s="78" t="s">
        <v>537</v>
      </c>
      <c r="C2217" s="79" t="s">
        <v>64</v>
      </c>
      <c r="D2217" s="78"/>
      <c r="E2217" s="80"/>
      <c r="F2217" s="81"/>
      <c r="G2217" s="81">
        <v>30000000</v>
      </c>
    </row>
    <row r="2218" spans="1:7">
      <c r="A2218" s="7" t="s">
        <v>3544</v>
      </c>
      <c r="B2218" s="89" t="s">
        <v>195</v>
      </c>
      <c r="C2218" s="90" t="s">
        <v>620</v>
      </c>
      <c r="D2218" s="89">
        <v>12</v>
      </c>
      <c r="E2218" s="91" t="s">
        <v>9</v>
      </c>
      <c r="F2218" s="92">
        <v>1000000</v>
      </c>
      <c r="G2218" s="92">
        <v>12000000</v>
      </c>
    </row>
    <row r="2219" spans="1:7">
      <c r="A2219" s="7" t="s">
        <v>3545</v>
      </c>
      <c r="B2219" s="89" t="s">
        <v>195</v>
      </c>
      <c r="C2219" s="90" t="s">
        <v>619</v>
      </c>
      <c r="D2219" s="89">
        <v>12</v>
      </c>
      <c r="E2219" s="91" t="s">
        <v>9</v>
      </c>
      <c r="F2219" s="92">
        <v>1500000</v>
      </c>
      <c r="G2219" s="92">
        <v>18000000</v>
      </c>
    </row>
    <row r="2220" spans="1:7" ht="15">
      <c r="A2220" s="7" t="s">
        <v>3546</v>
      </c>
      <c r="B2220" s="78" t="s">
        <v>513</v>
      </c>
      <c r="C2220" s="79" t="s">
        <v>19</v>
      </c>
      <c r="D2220" s="78"/>
      <c r="E2220" s="80"/>
      <c r="F2220" s="81"/>
      <c r="G2220" s="81">
        <v>54200000</v>
      </c>
    </row>
    <row r="2221" spans="1:7" ht="28.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c r="B1" s="458" t="s">
        <v>598</v>
      </c>
      <c r="C1" s="458"/>
      <c r="D1" s="458"/>
      <c r="E1" s="458"/>
      <c r="F1" s="458"/>
      <c r="G1" s="466"/>
      <c r="H1" s="269"/>
      <c r="I1" s="269"/>
      <c r="J1" s="269"/>
      <c r="K1" s="269"/>
    </row>
    <row r="2" spans="1:13" ht="15.75">
      <c r="B2" s="467" t="s">
        <v>4186</v>
      </c>
      <c r="C2" s="467"/>
      <c r="D2" s="467"/>
      <c r="E2" s="467"/>
      <c r="F2" s="467"/>
      <c r="G2" s="468"/>
      <c r="H2" s="271"/>
      <c r="I2" s="271"/>
      <c r="J2" s="271"/>
      <c r="K2" s="271"/>
    </row>
    <row r="3" spans="1:13" ht="15.75">
      <c r="B3" s="270"/>
      <c r="C3" s="270"/>
      <c r="D3" s="270"/>
      <c r="E3" s="270"/>
      <c r="F3" s="270"/>
      <c r="G3" s="271"/>
      <c r="H3" s="271"/>
      <c r="I3" s="271"/>
      <c r="J3" s="271"/>
      <c r="K3" s="271"/>
    </row>
    <row r="4" spans="1:13" ht="15">
      <c r="B4" s="138" t="s">
        <v>599</v>
      </c>
      <c r="C4" s="138" t="s">
        <v>600</v>
      </c>
      <c r="D4" s="139"/>
      <c r="E4" s="139"/>
      <c r="F4" s="138"/>
      <c r="G4" s="140"/>
      <c r="H4" s="140"/>
      <c r="I4" s="140"/>
      <c r="J4" s="140"/>
      <c r="K4" s="140"/>
    </row>
    <row r="5" spans="1:13" ht="15">
      <c r="B5" s="138" t="s">
        <v>601</v>
      </c>
      <c r="C5" s="138" t="s">
        <v>602</v>
      </c>
      <c r="D5" s="53"/>
      <c r="E5" s="53"/>
      <c r="F5" s="50"/>
      <c r="G5" s="122"/>
      <c r="H5" s="122"/>
      <c r="I5" s="122"/>
      <c r="J5" s="122"/>
      <c r="K5" s="122"/>
    </row>
    <row r="6" spans="1:13" ht="15">
      <c r="B6" s="138" t="s">
        <v>603</v>
      </c>
      <c r="C6" s="138" t="s">
        <v>604</v>
      </c>
      <c r="D6" s="53"/>
      <c r="E6" s="53"/>
      <c r="F6" s="50"/>
      <c r="G6" s="122"/>
      <c r="H6" s="122"/>
      <c r="I6" s="122"/>
      <c r="J6" s="122"/>
      <c r="K6" s="122"/>
    </row>
    <row r="7" spans="1:13" ht="15.75">
      <c r="B7" s="138" t="s">
        <v>605</v>
      </c>
      <c r="C7" s="141" t="str">
        <f>":  Rp. " &amp; TEXT(G12,"#.##")</f>
        <v>:  Rp. 6.478.996.000</v>
      </c>
      <c r="D7" s="53"/>
      <c r="E7" s="53"/>
      <c r="F7" s="50"/>
      <c r="G7" s="122"/>
      <c r="H7" s="122"/>
      <c r="I7" s="122"/>
      <c r="J7" s="122"/>
      <c r="K7" s="122"/>
    </row>
    <row r="8" spans="1:13" ht="15">
      <c r="B8" s="142"/>
      <c r="C8" s="142"/>
      <c r="D8" s="142"/>
      <c r="E8" s="142"/>
      <c r="F8" s="142"/>
      <c r="G8" s="143"/>
      <c r="H8" s="143"/>
      <c r="I8" s="143"/>
      <c r="J8" s="143"/>
      <c r="K8" s="143"/>
    </row>
    <row r="9" spans="1:13" ht="15" customHeight="1">
      <c r="B9" s="469" t="s">
        <v>606</v>
      </c>
      <c r="C9" s="470" t="s">
        <v>607</v>
      </c>
      <c r="D9" s="471" t="s">
        <v>608</v>
      </c>
      <c r="E9" s="469" t="s">
        <v>609</v>
      </c>
      <c r="F9" s="471" t="s">
        <v>610</v>
      </c>
      <c r="G9" s="465" t="s">
        <v>3848</v>
      </c>
      <c r="H9" s="465" t="s">
        <v>3849</v>
      </c>
      <c r="I9" s="465" t="s">
        <v>3846</v>
      </c>
      <c r="J9" s="465" t="s">
        <v>3850</v>
      </c>
      <c r="K9" s="465" t="s">
        <v>3846</v>
      </c>
    </row>
    <row r="10" spans="1:13" s="133" customFormat="1" ht="14.25" customHeight="1">
      <c r="A10" s="132" t="s">
        <v>499</v>
      </c>
      <c r="B10" s="461"/>
      <c r="C10" s="461"/>
      <c r="D10" s="464"/>
      <c r="E10" s="464"/>
      <c r="F10" s="461"/>
      <c r="G10" s="461"/>
      <c r="H10" s="465"/>
      <c r="I10" s="465"/>
      <c r="J10" s="465"/>
      <c r="K10" s="465"/>
    </row>
    <row r="11" spans="1:13" s="133" customFormat="1">
      <c r="A11" s="132"/>
      <c r="B11" s="129">
        <v>1</v>
      </c>
      <c r="C11" s="129">
        <v>2</v>
      </c>
      <c r="D11" s="129">
        <v>3</v>
      </c>
      <c r="E11" s="129">
        <v>4</v>
      </c>
      <c r="F11" s="129">
        <v>5</v>
      </c>
      <c r="G11" s="130">
        <v>6</v>
      </c>
      <c r="H11" s="129">
        <v>7</v>
      </c>
      <c r="I11" s="130">
        <v>8</v>
      </c>
      <c r="J11" s="129">
        <v>9</v>
      </c>
      <c r="K11" s="130">
        <v>10</v>
      </c>
    </row>
    <row r="12" spans="1:13" s="133" customFormat="1">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c r="A18" s="7" t="s">
        <v>1810</v>
      </c>
      <c r="B18" s="124"/>
      <c r="C18" s="123" t="s">
        <v>3674</v>
      </c>
      <c r="D18" s="124">
        <v>1</v>
      </c>
      <c r="E18" s="124" t="s">
        <v>97</v>
      </c>
      <c r="F18" s="125">
        <v>180000000</v>
      </c>
      <c r="G18" s="125">
        <f>ROUNDDOWN(D18*F18,-3)</f>
        <v>180000000</v>
      </c>
      <c r="H18" s="273"/>
      <c r="I18" s="125"/>
      <c r="J18" s="125"/>
      <c r="K18" s="125"/>
    </row>
    <row r="19" spans="1:13" ht="14.25" hidden="1">
      <c r="A19" s="7" t="s">
        <v>1811</v>
      </c>
      <c r="B19" s="124"/>
      <c r="C19" s="123" t="s">
        <v>3675</v>
      </c>
      <c r="D19" s="124">
        <v>1</v>
      </c>
      <c r="E19" s="124" t="s">
        <v>60</v>
      </c>
      <c r="F19" s="125">
        <v>2123477000</v>
      </c>
      <c r="G19" s="125">
        <f>ROUNDDOWN(D19*F19,-3)</f>
        <v>2123477000</v>
      </c>
      <c r="H19" s="273"/>
      <c r="I19" s="125"/>
      <c r="J19" s="125"/>
      <c r="K19" s="125"/>
    </row>
    <row r="20" spans="1:13" ht="14.25" hidden="1">
      <c r="A20" s="7" t="s">
        <v>1812</v>
      </c>
      <c r="B20" s="124"/>
      <c r="C20" s="123" t="s">
        <v>3676</v>
      </c>
      <c r="D20" s="124">
        <v>1</v>
      </c>
      <c r="E20" s="124" t="s">
        <v>97</v>
      </c>
      <c r="F20" s="125">
        <v>180000000</v>
      </c>
      <c r="G20" s="125">
        <f>ROUNDDOWN(D20*F20,-3)</f>
        <v>180000000</v>
      </c>
      <c r="H20" s="273"/>
      <c r="I20" s="125"/>
      <c r="J20" s="125"/>
      <c r="K20" s="125"/>
    </row>
    <row r="21" spans="1:13" ht="14.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c r="A22" s="7" t="s">
        <v>1814</v>
      </c>
      <c r="B22" s="124"/>
      <c r="C22" s="123" t="s">
        <v>3677</v>
      </c>
      <c r="D22" s="124">
        <v>1</v>
      </c>
      <c r="E22" s="124" t="s">
        <v>97</v>
      </c>
      <c r="F22" s="125">
        <v>3000</v>
      </c>
      <c r="G22" s="125">
        <f>ROUNDDOWN(D22*F22,-3)</f>
        <v>3000</v>
      </c>
      <c r="H22" s="273"/>
      <c r="I22" s="125"/>
      <c r="J22" s="125"/>
      <c r="K22" s="125"/>
    </row>
    <row r="23" spans="1:13" ht="14.25" hidden="1">
      <c r="A23" s="7" t="s">
        <v>1815</v>
      </c>
      <c r="B23" s="124"/>
      <c r="C23" s="123" t="s">
        <v>3678</v>
      </c>
      <c r="D23" s="124">
        <v>1</v>
      </c>
      <c r="E23" s="124" t="s">
        <v>153</v>
      </c>
      <c r="F23" s="125">
        <v>32000</v>
      </c>
      <c r="G23" s="125">
        <f>ROUNDDOWN(D23*F23,-3)</f>
        <v>32000</v>
      </c>
      <c r="H23" s="273"/>
      <c r="I23" s="125"/>
      <c r="J23" s="125"/>
      <c r="K23" s="125"/>
    </row>
    <row r="24" spans="1:13" ht="14.25" hidden="1">
      <c r="A24" s="7" t="s">
        <v>1816</v>
      </c>
      <c r="B24" s="124"/>
      <c r="C24" s="123" t="s">
        <v>3679</v>
      </c>
      <c r="D24" s="124">
        <v>1</v>
      </c>
      <c r="E24" s="124" t="s">
        <v>97</v>
      </c>
      <c r="F24" s="125">
        <v>3000</v>
      </c>
      <c r="G24" s="125">
        <f>ROUNDDOWN(D24*F24,-3)</f>
        <v>3000</v>
      </c>
      <c r="H24" s="273"/>
      <c r="I24" s="125"/>
      <c r="J24" s="125"/>
      <c r="K24" s="125"/>
    </row>
    <row r="25" spans="1:13" ht="14.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c r="A26" s="7" t="s">
        <v>1818</v>
      </c>
      <c r="B26" s="124"/>
      <c r="C26" s="123" t="s">
        <v>3680</v>
      </c>
      <c r="D26" s="124">
        <v>1</v>
      </c>
      <c r="E26" s="124" t="s">
        <v>153</v>
      </c>
      <c r="F26" s="125">
        <v>147267000</v>
      </c>
      <c r="G26" s="125">
        <f>ROUNDDOWN(D26*F26,-3)</f>
        <v>147267000</v>
      </c>
      <c r="H26" s="273"/>
      <c r="I26" s="125"/>
      <c r="J26" s="125"/>
      <c r="K26" s="125"/>
    </row>
    <row r="27" spans="1:13" ht="14.25" hidden="1">
      <c r="A27" s="7" t="s">
        <v>1819</v>
      </c>
      <c r="B27" s="124"/>
      <c r="C27" s="123" t="s">
        <v>3681</v>
      </c>
      <c r="D27" s="124">
        <v>1</v>
      </c>
      <c r="E27" s="124" t="s">
        <v>97</v>
      </c>
      <c r="F27" s="125">
        <v>12494000</v>
      </c>
      <c r="G27" s="125">
        <f>ROUNDDOWN(D27*F27,-3)</f>
        <v>12494000</v>
      </c>
      <c r="H27" s="273"/>
      <c r="I27" s="125"/>
      <c r="J27" s="125"/>
      <c r="K27" s="125"/>
    </row>
    <row r="28" spans="1:13" ht="14.25" hidden="1">
      <c r="A28" s="7" t="s">
        <v>1820</v>
      </c>
      <c r="B28" s="124"/>
      <c r="C28" s="123" t="s">
        <v>3682</v>
      </c>
      <c r="D28" s="124">
        <v>1</v>
      </c>
      <c r="E28" s="124" t="s">
        <v>97</v>
      </c>
      <c r="F28" s="125">
        <v>12198000</v>
      </c>
      <c r="G28" s="125">
        <f>ROUNDDOWN(D28*F28,-3)</f>
        <v>12198000</v>
      </c>
      <c r="H28" s="273"/>
      <c r="I28" s="125"/>
      <c r="J28" s="125"/>
      <c r="K28" s="125"/>
    </row>
    <row r="29" spans="1:13" ht="14.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c r="A30" s="7" t="s">
        <v>1822</v>
      </c>
      <c r="B30" s="124"/>
      <c r="C30" s="123" t="s">
        <v>3683</v>
      </c>
      <c r="D30" s="124">
        <v>1</v>
      </c>
      <c r="E30" s="124" t="s">
        <v>97</v>
      </c>
      <c r="F30" s="125">
        <v>3282000</v>
      </c>
      <c r="G30" s="125">
        <f>ROUNDDOWN(D30*F30,-3)</f>
        <v>3282000</v>
      </c>
      <c r="H30" s="273"/>
      <c r="I30" s="125"/>
      <c r="J30" s="125"/>
      <c r="K30" s="125"/>
    </row>
    <row r="31" spans="1:13" ht="14.25" hidden="1">
      <c r="A31" s="7" t="s">
        <v>1823</v>
      </c>
      <c r="B31" s="124"/>
      <c r="C31" s="123" t="s">
        <v>3684</v>
      </c>
      <c r="D31" s="124">
        <v>1</v>
      </c>
      <c r="E31" s="124" t="s">
        <v>153</v>
      </c>
      <c r="F31" s="125">
        <v>40080000</v>
      </c>
      <c r="G31" s="125">
        <f>ROUNDDOWN(D31*F31,-3)</f>
        <v>40080000</v>
      </c>
      <c r="H31" s="273"/>
      <c r="I31" s="125"/>
      <c r="J31" s="125"/>
      <c r="K31" s="125"/>
    </row>
    <row r="32" spans="1:13" ht="14.25" hidden="1">
      <c r="A32" s="7" t="s">
        <v>1824</v>
      </c>
      <c r="B32" s="124"/>
      <c r="C32" s="123" t="s">
        <v>3685</v>
      </c>
      <c r="D32" s="124">
        <v>1</v>
      </c>
      <c r="E32" s="124" t="s">
        <v>97</v>
      </c>
      <c r="F32" s="125">
        <v>3338000</v>
      </c>
      <c r="G32" s="125">
        <f>ROUNDDOWN(D32*F32,-3)</f>
        <v>3338000</v>
      </c>
      <c r="H32" s="273"/>
      <c r="I32" s="125"/>
      <c r="J32" s="125"/>
      <c r="K32" s="125"/>
    </row>
    <row r="33" spans="1:12" ht="14.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c r="A34" s="7" t="s">
        <v>1826</v>
      </c>
      <c r="B34" s="124"/>
      <c r="C34" s="123" t="s">
        <v>3686</v>
      </c>
      <c r="D34" s="124">
        <v>1</v>
      </c>
      <c r="E34" s="124" t="s">
        <v>97</v>
      </c>
      <c r="F34" s="125">
        <v>12070000</v>
      </c>
      <c r="G34" s="125">
        <f>ROUNDDOWN(D34*F34,-3)</f>
        <v>12070000</v>
      </c>
      <c r="H34" s="273"/>
      <c r="I34" s="125"/>
      <c r="J34" s="125"/>
      <c r="K34" s="125"/>
    </row>
    <row r="35" spans="1:12" ht="14.25" hidden="1">
      <c r="A35" s="7" t="s">
        <v>1827</v>
      </c>
      <c r="B35" s="124"/>
      <c r="C35" s="123" t="s">
        <v>3687</v>
      </c>
      <c r="D35" s="124">
        <v>1</v>
      </c>
      <c r="E35" s="124" t="s">
        <v>60</v>
      </c>
      <c r="F35" s="125">
        <v>133860000</v>
      </c>
      <c r="G35" s="125">
        <f>ROUNDDOWN(D35*F35,-3)</f>
        <v>133860000</v>
      </c>
      <c r="H35" s="273"/>
      <c r="I35" s="125"/>
      <c r="J35" s="125"/>
      <c r="K35" s="125"/>
    </row>
    <row r="36" spans="1:12" ht="14.25" hidden="1">
      <c r="A36" s="7" t="s">
        <v>1828</v>
      </c>
      <c r="B36" s="124"/>
      <c r="C36" s="123" t="s">
        <v>3688</v>
      </c>
      <c r="D36" s="124">
        <v>1</v>
      </c>
      <c r="E36" s="124" t="s">
        <v>97</v>
      </c>
      <c r="F36" s="125">
        <v>12070000</v>
      </c>
      <c r="G36" s="125">
        <f>ROUNDDOWN(D36*F36,-3)</f>
        <v>12070000</v>
      </c>
      <c r="H36" s="273"/>
      <c r="I36" s="125"/>
      <c r="J36" s="125"/>
      <c r="K36" s="125"/>
    </row>
    <row r="37" spans="1:12" ht="14.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c r="A38" s="7" t="s">
        <v>1830</v>
      </c>
      <c r="B38" s="124"/>
      <c r="C38" s="123" t="s">
        <v>3689</v>
      </c>
      <c r="D38" s="124">
        <v>1</v>
      </c>
      <c r="E38" s="124" t="s">
        <v>97</v>
      </c>
      <c r="F38" s="125">
        <v>2000000</v>
      </c>
      <c r="G38" s="125">
        <f>ROUNDDOWN(D38*F38,-3)</f>
        <v>2000000</v>
      </c>
      <c r="H38" s="273"/>
      <c r="I38" s="125"/>
      <c r="J38" s="125"/>
      <c r="K38" s="125"/>
    </row>
    <row r="39" spans="1:12" ht="14.25" hidden="1">
      <c r="A39" s="7" t="s">
        <v>1831</v>
      </c>
      <c r="B39" s="124"/>
      <c r="C39" s="123" t="s">
        <v>3690</v>
      </c>
      <c r="D39" s="124">
        <v>1</v>
      </c>
      <c r="E39" s="124" t="s">
        <v>60</v>
      </c>
      <c r="F39" s="125">
        <v>44180000</v>
      </c>
      <c r="G39" s="125">
        <f>ROUNDDOWN(D39*F39,-3)</f>
        <v>44180000</v>
      </c>
      <c r="H39" s="273"/>
      <c r="I39" s="125"/>
      <c r="J39" s="125"/>
      <c r="K39" s="125"/>
    </row>
    <row r="40" spans="1:12" ht="14.25" hidden="1">
      <c r="A40" s="7" t="s">
        <v>1832</v>
      </c>
      <c r="B40" s="124"/>
      <c r="C40" s="123" t="s">
        <v>3691</v>
      </c>
      <c r="D40" s="124">
        <v>1</v>
      </c>
      <c r="E40" s="124" t="s">
        <v>97</v>
      </c>
      <c r="F40" s="125">
        <v>2000000</v>
      </c>
      <c r="G40" s="125">
        <f>ROUNDDOWN(D40*F40,-3)</f>
        <v>2000000</v>
      </c>
      <c r="H40" s="273"/>
      <c r="I40" s="125"/>
      <c r="J40" s="125"/>
      <c r="K40" s="125"/>
    </row>
    <row r="41" spans="1:12" ht="14.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c r="A42" s="7" t="s">
        <v>1834</v>
      </c>
      <c r="B42" s="124"/>
      <c r="C42" s="123" t="s">
        <v>3692</v>
      </c>
      <c r="D42" s="124">
        <v>1</v>
      </c>
      <c r="E42" s="124" t="s">
        <v>97</v>
      </c>
      <c r="F42" s="125">
        <v>3360000</v>
      </c>
      <c r="G42" s="125">
        <f>ROUNDDOWN(D42*F42,-3)</f>
        <v>3360000</v>
      </c>
      <c r="H42" s="273"/>
      <c r="I42" s="125"/>
      <c r="J42" s="125"/>
      <c r="K42" s="125"/>
    </row>
    <row r="43" spans="1:12" ht="14.25" hidden="1">
      <c r="A43" s="7" t="s">
        <v>1835</v>
      </c>
      <c r="B43" s="124"/>
      <c r="C43" s="123" t="s">
        <v>3693</v>
      </c>
      <c r="D43" s="124">
        <v>1</v>
      </c>
      <c r="E43" s="124" t="s">
        <v>153</v>
      </c>
      <c r="F43" s="125">
        <v>6407000</v>
      </c>
      <c r="G43" s="125">
        <f>ROUNDDOWN(D43*F43,-3)</f>
        <v>6407000</v>
      </c>
      <c r="H43" s="273"/>
      <c r="I43" s="125"/>
      <c r="J43" s="125"/>
      <c r="K43" s="125"/>
    </row>
    <row r="44" spans="1:12" ht="14.25" hidden="1">
      <c r="A44" s="7" t="s">
        <v>1836</v>
      </c>
      <c r="B44" s="124"/>
      <c r="C44" s="123" t="s">
        <v>3694</v>
      </c>
      <c r="D44" s="124">
        <v>1</v>
      </c>
      <c r="E44" s="124" t="s">
        <v>97</v>
      </c>
      <c r="F44" s="125">
        <v>3366000</v>
      </c>
      <c r="G44" s="125">
        <f>ROUNDDOWN(D44*F44,-3)</f>
        <v>3366000</v>
      </c>
      <c r="H44" s="273"/>
      <c r="I44" s="125"/>
      <c r="J44" s="125"/>
      <c r="K44" s="125"/>
    </row>
    <row r="45" spans="1:12" ht="14.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c r="A46" s="7" t="s">
        <v>1838</v>
      </c>
      <c r="B46" s="124"/>
      <c r="C46" s="123" t="s">
        <v>3695</v>
      </c>
      <c r="D46" s="124">
        <v>1</v>
      </c>
      <c r="E46" s="124" t="s">
        <v>60</v>
      </c>
      <c r="F46" s="125">
        <v>130333000</v>
      </c>
      <c r="G46" s="125">
        <f>ROUNDDOWN(D46*F46,-3)</f>
        <v>130333000</v>
      </c>
      <c r="H46" s="273"/>
      <c r="I46" s="125"/>
      <c r="J46" s="125"/>
      <c r="K46" s="125"/>
    </row>
    <row r="47" spans="1:12" ht="14.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c r="A48" s="7" t="s">
        <v>1840</v>
      </c>
      <c r="B48" s="124"/>
      <c r="C48" s="123" t="s">
        <v>3696</v>
      </c>
      <c r="D48" s="124">
        <v>1</v>
      </c>
      <c r="E48" s="124" t="s">
        <v>153</v>
      </c>
      <c r="F48" s="125">
        <v>379379000</v>
      </c>
      <c r="G48" s="125">
        <f>ROUNDDOWN(D48*F48,-3)</f>
        <v>379379000</v>
      </c>
      <c r="H48" s="273"/>
      <c r="I48" s="125"/>
      <c r="J48" s="125"/>
      <c r="K48" s="125"/>
    </row>
    <row r="49" spans="1:12" ht="14.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c r="A50" s="7" t="s">
        <v>1842</v>
      </c>
      <c r="B50" s="124"/>
      <c r="C50" s="123" t="s">
        <v>3697</v>
      </c>
      <c r="D50" s="124">
        <v>1</v>
      </c>
      <c r="E50" s="124" t="s">
        <v>97</v>
      </c>
      <c r="F50" s="125">
        <v>6655000</v>
      </c>
      <c r="G50" s="125">
        <f>ROUNDDOWN(D50*F50,-3)</f>
        <v>6655000</v>
      </c>
      <c r="H50" s="273"/>
      <c r="I50" s="125"/>
      <c r="J50" s="125"/>
      <c r="K50" s="125"/>
    </row>
    <row r="51" spans="1:12" ht="14.25" hidden="1">
      <c r="A51" s="7" t="s">
        <v>1843</v>
      </c>
      <c r="B51" s="124"/>
      <c r="C51" s="123" t="s">
        <v>3698</v>
      </c>
      <c r="D51" s="124">
        <v>1</v>
      </c>
      <c r="E51" s="124" t="s">
        <v>60</v>
      </c>
      <c r="F51" s="125">
        <v>75605000</v>
      </c>
      <c r="G51" s="125">
        <f>ROUNDDOWN(D51*F51,-3)</f>
        <v>75605000</v>
      </c>
      <c r="H51" s="273"/>
      <c r="I51" s="125"/>
      <c r="J51" s="125"/>
      <c r="K51" s="125"/>
    </row>
    <row r="52" spans="1:12" ht="14.25" hidden="1">
      <c r="A52" s="7" t="s">
        <v>1844</v>
      </c>
      <c r="B52" s="124"/>
      <c r="C52" s="123" t="s">
        <v>3699</v>
      </c>
      <c r="D52" s="124">
        <v>1</v>
      </c>
      <c r="E52" s="124" t="s">
        <v>97</v>
      </c>
      <c r="F52" s="125">
        <v>6100000</v>
      </c>
      <c r="G52" s="125">
        <f>ROUNDDOWN(D52*F52,-3)</f>
        <v>6100000</v>
      </c>
      <c r="H52" s="273"/>
      <c r="I52" s="125"/>
      <c r="J52" s="125"/>
      <c r="K52" s="125"/>
    </row>
    <row r="53" spans="1:12" ht="14.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c r="A54" s="7" t="s">
        <v>1846</v>
      </c>
      <c r="B54" s="124"/>
      <c r="C54" s="123" t="s">
        <v>3700</v>
      </c>
      <c r="D54" s="124">
        <v>1</v>
      </c>
      <c r="E54" s="124" t="s">
        <v>153</v>
      </c>
      <c r="F54" s="125">
        <v>2635488000</v>
      </c>
      <c r="G54" s="125">
        <f>ROUNDDOWN(D54*F54,-3)</f>
        <v>2635488000</v>
      </c>
      <c r="H54" s="273"/>
      <c r="I54" s="125"/>
      <c r="J54" s="125"/>
      <c r="K54" s="125"/>
    </row>
    <row r="55" spans="1:12" ht="14.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25" priority="18">
      <formula>NOT(_xlfn.ISFORMULA(G12))</formula>
    </cfRule>
  </conditionalFormatting>
  <conditionalFormatting sqref="B11:K12 K56:K57">
    <cfRule type="expression" dxfId="624" priority="19">
      <formula>AND(#REF!="Ya",#REF!=ROW())</formula>
    </cfRule>
  </conditionalFormatting>
  <conditionalFormatting sqref="B13:J57">
    <cfRule type="expression" dxfId="623" priority="22">
      <formula>AND(#REF!="Ya",#REF!=ROW())</formula>
    </cfRule>
  </conditionalFormatting>
  <conditionalFormatting sqref="K13:K56">
    <cfRule type="expression" dxfId="622" priority="4">
      <formula>AND(#REF!="Ya",#REF!=ROW())</formula>
    </cfRule>
  </conditionalFormatting>
  <conditionalFormatting sqref="I55:I56 I53 I49 I47 I45 I41 I37 I33 I29 I25 I21 I13:I17">
    <cfRule type="expression" dxfId="621" priority="3">
      <formula>AND(#REF!="Ya",#REF!=ROW())</formula>
    </cfRule>
  </conditionalFormatting>
  <conditionalFormatting sqref="J55:J56 J53 J49 J47 J45 J41 J37 J33 J29 J25 J21 J13:J17">
    <cfRule type="expression" dxfId="620" priority="2">
      <formula>AND(#REF!="Ya",#REF!=ROW())</formula>
    </cfRule>
  </conditionalFormatting>
  <conditionalFormatting sqref="K55 K53 K49 K47 K45 K41 K37 K33 K29 K25 K21 K13:K17">
    <cfRule type="expression" dxfId="619"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c r="B1" s="458" t="s">
        <v>598</v>
      </c>
      <c r="C1" s="458"/>
      <c r="D1" s="458"/>
      <c r="E1" s="458"/>
      <c r="F1" s="458"/>
      <c r="G1" s="466"/>
      <c r="H1" s="234"/>
      <c r="I1" s="234"/>
      <c r="J1" s="234"/>
    </row>
    <row r="2" spans="1:24" ht="15.75">
      <c r="B2" s="467" t="s">
        <v>4012</v>
      </c>
      <c r="C2" s="467"/>
      <c r="D2" s="467"/>
      <c r="E2" s="467"/>
      <c r="F2" s="467"/>
      <c r="G2" s="468"/>
      <c r="H2" s="236"/>
      <c r="I2" s="236"/>
      <c r="J2" s="236"/>
    </row>
    <row r="3" spans="1:24" ht="15.75">
      <c r="B3" s="235"/>
      <c r="C3" s="235"/>
      <c r="D3" s="235"/>
      <c r="E3" s="235"/>
      <c r="F3" s="235"/>
      <c r="G3" s="236"/>
      <c r="H3" s="236"/>
      <c r="I3" s="236"/>
      <c r="J3" s="236"/>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16.863.164.000</v>
      </c>
      <c r="D7" s="53"/>
      <c r="E7" s="53"/>
      <c r="F7" s="50"/>
      <c r="G7" s="122"/>
      <c r="H7" s="122"/>
      <c r="I7" s="122"/>
      <c r="J7" s="122"/>
    </row>
    <row r="8" spans="1:24" ht="15">
      <c r="B8" s="142"/>
      <c r="C8" s="142"/>
      <c r="D8" s="142"/>
      <c r="E8" s="142"/>
      <c r="F8" s="142"/>
      <c r="G8" s="143"/>
      <c r="H8" s="143"/>
      <c r="I8" s="143"/>
      <c r="J8" s="143"/>
    </row>
    <row r="9" spans="1:24" ht="15">
      <c r="B9" s="469" t="s">
        <v>606</v>
      </c>
      <c r="C9" s="470" t="s">
        <v>607</v>
      </c>
      <c r="D9" s="471" t="s">
        <v>608</v>
      </c>
      <c r="E9" s="469" t="s">
        <v>609</v>
      </c>
      <c r="F9" s="471" t="s">
        <v>610</v>
      </c>
      <c r="G9" s="465" t="s">
        <v>611</v>
      </c>
      <c r="H9" s="152"/>
      <c r="I9" s="152"/>
      <c r="J9" s="152"/>
      <c r="K9" s="472" t="s">
        <v>3827</v>
      </c>
      <c r="L9" s="472"/>
      <c r="M9" s="472"/>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1"/>
      <c r="C10" s="461"/>
      <c r="D10" s="464"/>
      <c r="E10" s="464"/>
      <c r="F10" s="461"/>
      <c r="G10" s="461"/>
      <c r="H10" s="161"/>
      <c r="I10" s="161"/>
      <c r="J10" s="161"/>
      <c r="K10" s="233" t="s">
        <v>3839</v>
      </c>
      <c r="L10" s="233" t="s">
        <v>3840</v>
      </c>
      <c r="M10" s="233"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SUM(G13,G113)</f>
        <v>16863164000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25.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19875000</v>
      </c>
      <c r="H19" s="154" t="b">
        <f t="shared" si="0"/>
        <v>1</v>
      </c>
      <c r="I19" s="154"/>
      <c r="J19" s="154"/>
    </row>
    <row r="20" spans="1:12" ht="14.25">
      <c r="A20" s="21" t="s">
        <v>425</v>
      </c>
      <c r="B20" s="124"/>
      <c r="C20" s="123" t="s">
        <v>3601</v>
      </c>
      <c r="D20" s="157">
        <v>125</v>
      </c>
      <c r="E20" s="124" t="s">
        <v>10</v>
      </c>
      <c r="F20" s="125">
        <v>75000</v>
      </c>
      <c r="G20" s="125">
        <f>ROUNDDOWN(D20*F20,-3)</f>
        <v>9375000</v>
      </c>
      <c r="H20" s="154" t="b">
        <f t="shared" si="0"/>
        <v>1</v>
      </c>
      <c r="I20" s="154"/>
      <c r="J20" s="154"/>
      <c r="L20" s="109" t="s">
        <v>3842</v>
      </c>
    </row>
    <row r="21" spans="1:12" ht="14.25">
      <c r="A21" s="21" t="s">
        <v>426</v>
      </c>
      <c r="B21" s="124"/>
      <c r="C21" s="123" t="s">
        <v>3602</v>
      </c>
      <c r="D21" s="124">
        <v>3</v>
      </c>
      <c r="E21" s="124" t="s">
        <v>106</v>
      </c>
      <c r="F21" s="125">
        <v>1000000</v>
      </c>
      <c r="G21" s="125">
        <f>ROUNDDOWN(D21*F21,-3)</f>
        <v>3000000</v>
      </c>
      <c r="H21" s="154" t="b">
        <f t="shared" si="0"/>
        <v>1</v>
      </c>
      <c r="I21" s="154"/>
      <c r="J21" s="154"/>
    </row>
    <row r="22" spans="1:12" ht="14.25">
      <c r="A22" s="21" t="s">
        <v>427</v>
      </c>
      <c r="B22" s="124"/>
      <c r="C22" s="123" t="s">
        <v>3588</v>
      </c>
      <c r="D22" s="157">
        <v>3</v>
      </c>
      <c r="E22" s="124" t="s">
        <v>106</v>
      </c>
      <c r="F22" s="125">
        <v>1000000</v>
      </c>
      <c r="G22" s="125">
        <f>ROUNDDOWN(D22*F22,-3)</f>
        <v>3000000</v>
      </c>
      <c r="H22" s="154" t="b">
        <f t="shared" si="0"/>
        <v>1</v>
      </c>
      <c r="I22" s="154"/>
      <c r="J22" s="154"/>
    </row>
    <row r="23" spans="1:12" ht="14.25">
      <c r="A23" s="21" t="s">
        <v>428</v>
      </c>
      <c r="B23" s="124"/>
      <c r="C23" s="123" t="s">
        <v>3589</v>
      </c>
      <c r="D23" s="124">
        <v>3</v>
      </c>
      <c r="E23" s="124" t="s">
        <v>106</v>
      </c>
      <c r="F23" s="125">
        <v>1500000</v>
      </c>
      <c r="G23" s="125">
        <f>ROUNDDOWN(D23*F23,-3)</f>
        <v>4500000</v>
      </c>
      <c r="H23" s="154" t="b">
        <f t="shared" si="0"/>
        <v>1</v>
      </c>
      <c r="I23" s="154"/>
      <c r="J23" s="154"/>
    </row>
    <row r="24" spans="1:12" ht="14.25">
      <c r="A24" s="21" t="s">
        <v>772</v>
      </c>
      <c r="B24" s="60">
        <v>522151</v>
      </c>
      <c r="C24" s="41" t="s">
        <v>11</v>
      </c>
      <c r="D24" s="71"/>
      <c r="E24" s="60"/>
      <c r="F24" s="42"/>
      <c r="G24" s="42">
        <f>G25</f>
        <v>20000000</v>
      </c>
      <c r="H24" s="154" t="b">
        <f>_xlfn.ISFORMULA(G24)</f>
        <v>1</v>
      </c>
      <c r="I24" s="154"/>
      <c r="J24" s="154"/>
    </row>
    <row r="25" spans="1:12" ht="14.25">
      <c r="A25" s="21" t="s">
        <v>773</v>
      </c>
      <c r="B25" s="124"/>
      <c r="C25" s="123" t="s">
        <v>3603</v>
      </c>
      <c r="D25" s="124">
        <v>20</v>
      </c>
      <c r="E25" s="124" t="s">
        <v>54</v>
      </c>
      <c r="F25" s="125">
        <v>1000000</v>
      </c>
      <c r="G25" s="125">
        <f>ROUNDDOWN(D25*F25,-3)</f>
        <v>20000000</v>
      </c>
      <c r="H25" s="154" t="b">
        <f t="shared" si="0"/>
        <v>1</v>
      </c>
      <c r="I25" s="154"/>
      <c r="J25" s="154"/>
    </row>
    <row r="26" spans="1:12" ht="14.25">
      <c r="A26" s="21" t="s">
        <v>429</v>
      </c>
      <c r="B26" s="60">
        <v>524111</v>
      </c>
      <c r="C26" s="41" t="s">
        <v>19</v>
      </c>
      <c r="D26" s="60"/>
      <c r="E26" s="60"/>
      <c r="F26" s="42"/>
      <c r="G26" s="42">
        <f>G27</f>
        <v>43260000</v>
      </c>
      <c r="H26" s="154" t="b">
        <f t="shared" si="0"/>
        <v>1</v>
      </c>
      <c r="I26" s="154"/>
      <c r="J26" s="154"/>
    </row>
    <row r="27" spans="1:12" ht="25.5">
      <c r="A27" s="21" t="s">
        <v>430</v>
      </c>
      <c r="B27" s="124"/>
      <c r="C27" s="123" t="s">
        <v>3604</v>
      </c>
      <c r="D27" s="157">
        <v>9</v>
      </c>
      <c r="E27" s="124" t="s">
        <v>776</v>
      </c>
      <c r="F27" s="125">
        <v>4806667</v>
      </c>
      <c r="G27" s="125">
        <f>ROUNDDOWN(D27*F27,-3)</f>
        <v>43260000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19500000</v>
      </c>
      <c r="H29" s="154" t="b">
        <f t="shared" si="0"/>
        <v>1</v>
      </c>
      <c r="I29" s="154"/>
      <c r="J29" s="154"/>
    </row>
    <row r="30" spans="1:12" ht="14.25">
      <c r="A30" s="21" t="s">
        <v>433</v>
      </c>
      <c r="B30" s="124"/>
      <c r="C30" s="123" t="s">
        <v>3601</v>
      </c>
      <c r="D30" s="124">
        <v>120</v>
      </c>
      <c r="E30" s="124" t="s">
        <v>10</v>
      </c>
      <c r="F30" s="125">
        <v>75000</v>
      </c>
      <c r="G30" s="125">
        <f>ROUNDDOWN(D30*F30,-3)</f>
        <v>9000000</v>
      </c>
      <c r="H30" s="154" t="b">
        <f t="shared" si="0"/>
        <v>1</v>
      </c>
      <c r="I30" s="154"/>
      <c r="J30" s="154"/>
    </row>
    <row r="31" spans="1:12" ht="14.25">
      <c r="A31" s="21" t="s">
        <v>434</v>
      </c>
      <c r="B31" s="124"/>
      <c r="C31" s="123" t="s">
        <v>3602</v>
      </c>
      <c r="D31" s="157">
        <v>3</v>
      </c>
      <c r="E31" s="124" t="s">
        <v>106</v>
      </c>
      <c r="F31" s="125">
        <v>1000000</v>
      </c>
      <c r="G31" s="125">
        <f>ROUNDDOWN(D31*F31,-3)</f>
        <v>3000000</v>
      </c>
      <c r="H31" s="154" t="b">
        <f t="shared" si="0"/>
        <v>1</v>
      </c>
      <c r="I31" s="154"/>
      <c r="J31" s="154"/>
    </row>
    <row r="32" spans="1:12" ht="14.25">
      <c r="A32" s="21" t="s">
        <v>435</v>
      </c>
      <c r="B32" s="124"/>
      <c r="C32" s="123" t="s">
        <v>3588</v>
      </c>
      <c r="D32" s="124">
        <v>3</v>
      </c>
      <c r="E32" s="124" t="s">
        <v>106</v>
      </c>
      <c r="F32" s="125">
        <v>1000000</v>
      </c>
      <c r="G32" s="125">
        <f>ROUNDDOWN(D32*F32,-3)</f>
        <v>3000000</v>
      </c>
      <c r="H32" s="154" t="b">
        <f t="shared" si="0"/>
        <v>1</v>
      </c>
      <c r="I32" s="154"/>
      <c r="J32" s="154"/>
    </row>
    <row r="33" spans="1:10" ht="14.25">
      <c r="A33" s="21" t="s">
        <v>436</v>
      </c>
      <c r="B33" s="124"/>
      <c r="C33" s="123" t="s">
        <v>3589</v>
      </c>
      <c r="D33" s="157">
        <v>3</v>
      </c>
      <c r="E33" s="124" t="s">
        <v>106</v>
      </c>
      <c r="F33" s="125">
        <v>1500000</v>
      </c>
      <c r="G33" s="125">
        <f>ROUNDDOWN(D33*F33,-3)</f>
        <v>4500000</v>
      </c>
      <c r="H33" s="154" t="b">
        <f t="shared" si="0"/>
        <v>1</v>
      </c>
      <c r="I33" s="154"/>
      <c r="J33" s="154"/>
    </row>
    <row r="34" spans="1:10" ht="14.25">
      <c r="A34" s="21" t="s">
        <v>777</v>
      </c>
      <c r="B34" s="60">
        <v>522151</v>
      </c>
      <c r="C34" s="41" t="s">
        <v>11</v>
      </c>
      <c r="D34" s="71"/>
      <c r="E34" s="60"/>
      <c r="F34" s="42"/>
      <c r="G34" s="42">
        <f>G35</f>
        <v>4000000</v>
      </c>
      <c r="H34" s="154" t="b">
        <f t="shared" si="0"/>
        <v>1</v>
      </c>
      <c r="I34" s="154"/>
      <c r="J34" s="154"/>
    </row>
    <row r="35" spans="1:10" ht="14.25">
      <c r="A35" s="21" t="s">
        <v>778</v>
      </c>
      <c r="B35" s="124"/>
      <c r="C35" s="123" t="s">
        <v>3603</v>
      </c>
      <c r="D35" s="124">
        <v>4</v>
      </c>
      <c r="E35" s="124" t="s">
        <v>54</v>
      </c>
      <c r="F35" s="125">
        <v>1000000</v>
      </c>
      <c r="G35" s="125">
        <f>ROUNDDOWN(D35*F35,-3)</f>
        <v>4000000</v>
      </c>
      <c r="H35" s="154" t="b">
        <f t="shared" si="0"/>
        <v>1</v>
      </c>
      <c r="I35" s="154"/>
      <c r="J35" s="154"/>
    </row>
    <row r="36" spans="1:10" ht="14.25">
      <c r="A36" s="21" t="s">
        <v>437</v>
      </c>
      <c r="B36" s="60">
        <v>524111</v>
      </c>
      <c r="C36" s="41" t="s">
        <v>19</v>
      </c>
      <c r="D36" s="71"/>
      <c r="E36" s="60"/>
      <c r="F36" s="42"/>
      <c r="G36" s="42">
        <f>G37</f>
        <v>17465000</v>
      </c>
      <c r="H36" s="154" t="b">
        <f t="shared" si="0"/>
        <v>1</v>
      </c>
      <c r="I36" s="154"/>
      <c r="J36" s="154"/>
    </row>
    <row r="37" spans="1:10" ht="25.5">
      <c r="A37" s="21" t="s">
        <v>438</v>
      </c>
      <c r="B37" s="124"/>
      <c r="C37" s="123" t="s">
        <v>3604</v>
      </c>
      <c r="D37" s="124">
        <v>6</v>
      </c>
      <c r="E37" s="124" t="s">
        <v>776</v>
      </c>
      <c r="F37" s="125">
        <v>2910883</v>
      </c>
      <c r="G37" s="125">
        <f>ROUNDDOWN(D37*F37,-3)</f>
        <v>17465000</v>
      </c>
      <c r="H37" s="154" t="b">
        <f t="shared" si="0"/>
        <v>1</v>
      </c>
      <c r="I37" s="154"/>
      <c r="J37" s="154"/>
    </row>
    <row r="38" spans="1:10" ht="25.5">
      <c r="A38" s="21" t="s">
        <v>439</v>
      </c>
      <c r="B38" s="58" t="s">
        <v>520</v>
      </c>
      <c r="C38" s="35" t="s">
        <v>57</v>
      </c>
      <c r="D38" s="69"/>
      <c r="E38" s="58"/>
      <c r="F38" s="36"/>
      <c r="G38" s="36">
        <f>G39</f>
        <v>54500000</v>
      </c>
      <c r="H38" s="154" t="b">
        <f t="shared" si="0"/>
        <v>1</v>
      </c>
      <c r="I38" s="154"/>
      <c r="J38" s="154"/>
    </row>
    <row r="39" spans="1:10" ht="25.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21250000</v>
      </c>
      <c r="H40" s="154" t="b">
        <f t="shared" si="0"/>
        <v>1</v>
      </c>
      <c r="I40" s="154"/>
      <c r="J40" s="154"/>
    </row>
    <row r="41" spans="1:10" ht="14.25">
      <c r="A41" s="21" t="s">
        <v>442</v>
      </c>
      <c r="B41" s="124"/>
      <c r="C41" s="123" t="s">
        <v>3601</v>
      </c>
      <c r="D41" s="157">
        <v>50</v>
      </c>
      <c r="E41" s="124" t="s">
        <v>10</v>
      </c>
      <c r="F41" s="125">
        <v>75000</v>
      </c>
      <c r="G41" s="125">
        <f t="shared" ref="G41:G46" si="1">ROUNDDOWN(D41*F41,-3)</f>
        <v>3750000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33250000</v>
      </c>
      <c r="H47" s="154" t="b">
        <f t="shared" si="0"/>
        <v>1</v>
      </c>
      <c r="I47" s="154"/>
      <c r="J47" s="154"/>
    </row>
    <row r="48" spans="1:10" ht="25.5">
      <c r="A48" s="21" t="s">
        <v>449</v>
      </c>
      <c r="B48" s="124"/>
      <c r="C48" s="123" t="s">
        <v>3607</v>
      </c>
      <c r="D48" s="157">
        <v>14</v>
      </c>
      <c r="E48" s="124" t="s">
        <v>776</v>
      </c>
      <c r="F48" s="125">
        <v>2375000</v>
      </c>
      <c r="G48" s="125">
        <f>ROUNDDOWN(D48*F48,-3)</f>
        <v>33250000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25.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25.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SUM(G100,G105,G107,G109,G111)</f>
        <v>135100000</v>
      </c>
      <c r="H99" s="154" t="b">
        <f t="shared" si="2"/>
        <v>1</v>
      </c>
      <c r="I99" s="154"/>
      <c r="J99" s="154"/>
    </row>
    <row r="100" spans="1:10" ht="14.25">
      <c r="A100" s="21" t="s">
        <v>486</v>
      </c>
      <c r="B100" s="60">
        <v>521211</v>
      </c>
      <c r="C100" s="41" t="s">
        <v>7</v>
      </c>
      <c r="D100" s="71"/>
      <c r="E100" s="60"/>
      <c r="F100" s="42"/>
      <c r="G100" s="42">
        <f>SUM(G101:G104)</f>
        <v>13900000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490</v>
      </c>
      <c r="B105" s="60">
        <v>521219</v>
      </c>
      <c r="C105" s="41" t="s">
        <v>53</v>
      </c>
      <c r="D105" s="71"/>
      <c r="E105" s="60"/>
      <c r="F105" s="42"/>
      <c r="G105" s="42">
        <f>G106</f>
        <v>8784000</v>
      </c>
      <c r="H105" s="154" t="b">
        <f t="shared" si="2"/>
        <v>1</v>
      </c>
      <c r="I105" s="154"/>
      <c r="J105" s="154"/>
    </row>
    <row r="106" spans="1:10" ht="25.5">
      <c r="A106" s="21" t="s">
        <v>491</v>
      </c>
      <c r="B106" s="124"/>
      <c r="C106" s="123" t="s">
        <v>3622</v>
      </c>
      <c r="D106" s="157">
        <v>1</v>
      </c>
      <c r="E106" s="124" t="s">
        <v>153</v>
      </c>
      <c r="F106" s="125">
        <v>8784000</v>
      </c>
      <c r="G106" s="125">
        <f>ROUNDDOWN(D106*F106,-3)</f>
        <v>8784000</v>
      </c>
      <c r="H106" s="154" t="b">
        <f t="shared" si="2"/>
        <v>1</v>
      </c>
      <c r="I106" s="154"/>
      <c r="J106" s="154"/>
    </row>
    <row r="107" spans="1:10" ht="14.25">
      <c r="A107" s="21" t="s">
        <v>492</v>
      </c>
      <c r="B107" s="60">
        <v>522151</v>
      </c>
      <c r="C107" s="41" t="s">
        <v>11</v>
      </c>
      <c r="D107" s="60"/>
      <c r="E107" s="60"/>
      <c r="F107" s="42"/>
      <c r="G107" s="42">
        <f>G108</f>
        <v>10000000</v>
      </c>
      <c r="H107" s="154" t="b">
        <f t="shared" si="2"/>
        <v>1</v>
      </c>
      <c r="I107" s="154"/>
      <c r="J107" s="154"/>
    </row>
    <row r="108" spans="1:10" ht="14.25">
      <c r="A108" s="21" t="s">
        <v>493</v>
      </c>
      <c r="B108" s="124"/>
      <c r="C108" s="123" t="s">
        <v>3603</v>
      </c>
      <c r="D108" s="157">
        <v>10</v>
      </c>
      <c r="E108" s="124" t="s">
        <v>54</v>
      </c>
      <c r="F108" s="125">
        <v>1000000</v>
      </c>
      <c r="G108" s="125">
        <f>ROUNDDOWN(D108*F108,-3)</f>
        <v>10000000</v>
      </c>
      <c r="H108" s="154" t="b">
        <f t="shared" si="2"/>
        <v>1</v>
      </c>
      <c r="I108" s="154"/>
      <c r="J108" s="154"/>
    </row>
    <row r="109" spans="1:10" ht="14.25">
      <c r="A109" s="21" t="s">
        <v>813</v>
      </c>
      <c r="B109" s="60">
        <v>522192</v>
      </c>
      <c r="C109" s="41" t="s">
        <v>24</v>
      </c>
      <c r="D109" s="60"/>
      <c r="E109" s="60"/>
      <c r="F109" s="42"/>
      <c r="G109" s="42">
        <f>G110</f>
        <v>5000000</v>
      </c>
      <c r="H109" s="154" t="b">
        <f t="shared" si="2"/>
        <v>1</v>
      </c>
      <c r="I109" s="154"/>
      <c r="J109" s="154"/>
    </row>
    <row r="110" spans="1:10" ht="14.25">
      <c r="A110" s="21" t="s">
        <v>814</v>
      </c>
      <c r="B110" s="124"/>
      <c r="C110" s="123" t="s">
        <v>3623</v>
      </c>
      <c r="D110" s="157">
        <v>1</v>
      </c>
      <c r="E110" s="124" t="s">
        <v>153</v>
      </c>
      <c r="F110" s="125">
        <v>5000000</v>
      </c>
      <c r="G110" s="125">
        <f>ROUNDDOWN(D110*F110,-3)</f>
        <v>5000000</v>
      </c>
      <c r="H110" s="154" t="b">
        <f t="shared" si="2"/>
        <v>1</v>
      </c>
      <c r="I110" s="154"/>
      <c r="J110" s="154"/>
    </row>
    <row r="111" spans="1:10" ht="14.25">
      <c r="A111" s="21" t="s">
        <v>816</v>
      </c>
      <c r="B111" s="60">
        <v>524111</v>
      </c>
      <c r="C111" s="41" t="s">
        <v>19</v>
      </c>
      <c r="D111" s="60"/>
      <c r="E111" s="60"/>
      <c r="F111" s="42"/>
      <c r="G111" s="42">
        <f>G112</f>
        <v>97416000</v>
      </c>
      <c r="H111" s="154" t="b">
        <f t="shared" si="2"/>
        <v>1</v>
      </c>
      <c r="I111" s="154"/>
      <c r="J111" s="154"/>
    </row>
    <row r="112" spans="1:10" ht="14.25">
      <c r="A112" s="21" t="s">
        <v>817</v>
      </c>
      <c r="B112" s="124"/>
      <c r="C112" s="123" t="s">
        <v>3624</v>
      </c>
      <c r="D112" s="124">
        <v>36</v>
      </c>
      <c r="E112" s="124" t="s">
        <v>776</v>
      </c>
      <c r="F112" s="125">
        <v>2706000</v>
      </c>
      <c r="G112" s="125">
        <f>ROUNDDOWN(D112*F112,-3)</f>
        <v>97416000</v>
      </c>
      <c r="H112" s="154" t="b">
        <f t="shared" si="2"/>
        <v>1</v>
      </c>
      <c r="I112" s="154"/>
      <c r="J112" s="154"/>
    </row>
    <row r="113" spans="1:10" ht="14.25">
      <c r="A113" s="21" t="s">
        <v>69</v>
      </c>
      <c r="B113" s="54" t="s">
        <v>69</v>
      </c>
      <c r="C113" s="23" t="s">
        <v>70</v>
      </c>
      <c r="D113" s="54"/>
      <c r="E113" s="54"/>
      <c r="F113" s="24"/>
      <c r="G113" s="24">
        <f>SUM(G114,G485)</f>
        <v>15863164000</v>
      </c>
      <c r="H113" s="154" t="b">
        <f t="shared" si="2"/>
        <v>1</v>
      </c>
      <c r="I113" s="154"/>
      <c r="J113" s="154"/>
    </row>
    <row r="114" spans="1:10" ht="25.5">
      <c r="A114" s="21" t="s">
        <v>494</v>
      </c>
      <c r="B114" s="55">
        <v>2378</v>
      </c>
      <c r="C114" s="26" t="s">
        <v>71</v>
      </c>
      <c r="D114" s="68"/>
      <c r="E114" s="55"/>
      <c r="F114" s="27"/>
      <c r="G114" s="27">
        <f>SUM(G115,G121,G336,G342)</f>
        <v>7280664000</v>
      </c>
      <c r="H114" s="154" t="b">
        <f t="shared" si="2"/>
        <v>1</v>
      </c>
      <c r="I114" s="154"/>
      <c r="J114" s="154"/>
    </row>
    <row r="115" spans="1:10" ht="14.25">
      <c r="A115" s="21" t="s">
        <v>819</v>
      </c>
      <c r="B115" s="116" t="s">
        <v>820</v>
      </c>
      <c r="C115" s="114" t="s">
        <v>821</v>
      </c>
      <c r="D115" s="115">
        <v>1</v>
      </c>
      <c r="E115" s="116" t="s">
        <v>42</v>
      </c>
      <c r="F115" s="117"/>
      <c r="G115" s="117">
        <f>G116</f>
        <v>115000000</v>
      </c>
      <c r="H115" s="154" t="b">
        <f t="shared" si="2"/>
        <v>1</v>
      </c>
      <c r="I115" s="154"/>
      <c r="J115" s="154"/>
    </row>
    <row r="116" spans="1:10" ht="25.5">
      <c r="A116" s="21" t="s">
        <v>822</v>
      </c>
      <c r="B116" s="119" t="s">
        <v>3625</v>
      </c>
      <c r="C116" s="118" t="s">
        <v>824</v>
      </c>
      <c r="D116" s="121">
        <v>1</v>
      </c>
      <c r="E116" s="119" t="s">
        <v>42</v>
      </c>
      <c r="F116" s="120"/>
      <c r="G116" s="120">
        <f>G117</f>
        <v>115000000</v>
      </c>
      <c r="H116" s="154" t="b">
        <f t="shared" si="2"/>
        <v>1</v>
      </c>
      <c r="I116" s="154"/>
      <c r="J116" s="154"/>
    </row>
    <row r="117" spans="1:10" ht="25.5">
      <c r="A117" s="21" t="s">
        <v>832</v>
      </c>
      <c r="B117" s="58">
        <v>301</v>
      </c>
      <c r="C117" s="35" t="s">
        <v>834</v>
      </c>
      <c r="D117" s="58"/>
      <c r="E117" s="58"/>
      <c r="F117" s="36"/>
      <c r="G117" s="36">
        <f>G118</f>
        <v>115000000</v>
      </c>
      <c r="H117" s="154" t="b">
        <f t="shared" si="2"/>
        <v>1</v>
      </c>
      <c r="I117" s="154"/>
      <c r="J117" s="154"/>
    </row>
    <row r="118" spans="1:10" ht="14.25">
      <c r="A118" s="21" t="s">
        <v>835</v>
      </c>
      <c r="B118" s="59" t="s">
        <v>8</v>
      </c>
      <c r="C118" s="38" t="s">
        <v>836</v>
      </c>
      <c r="D118" s="70"/>
      <c r="E118" s="59"/>
      <c r="F118" s="39"/>
      <c r="G118" s="39">
        <f>G119</f>
        <v>115000000</v>
      </c>
      <c r="H118" s="154" t="b">
        <f t="shared" si="2"/>
        <v>1</v>
      </c>
      <c r="I118" s="154"/>
      <c r="J118" s="154"/>
    </row>
    <row r="119" spans="1:10" ht="14.25">
      <c r="A119" s="21" t="s">
        <v>837</v>
      </c>
      <c r="B119" s="60">
        <v>532111</v>
      </c>
      <c r="C119" s="41" t="s">
        <v>43</v>
      </c>
      <c r="D119" s="60"/>
      <c r="E119" s="60"/>
      <c r="F119" s="42"/>
      <c r="G119" s="42">
        <f>G120</f>
        <v>115000000</v>
      </c>
      <c r="H119" s="154" t="b">
        <f t="shared" si="2"/>
        <v>1</v>
      </c>
      <c r="I119" s="154"/>
      <c r="J119" s="154"/>
    </row>
    <row r="120" spans="1:10" ht="14.25">
      <c r="A120" s="21" t="s">
        <v>838</v>
      </c>
      <c r="B120" s="124"/>
      <c r="C120" s="123" t="s">
        <v>3626</v>
      </c>
      <c r="D120" s="157">
        <v>1</v>
      </c>
      <c r="E120" s="124" t="s">
        <v>23</v>
      </c>
      <c r="F120" s="125">
        <v>115000000</v>
      </c>
      <c r="G120" s="125">
        <f>ROUNDDOWN(D120*F120,-3)</f>
        <v>115000000</v>
      </c>
      <c r="H120" s="154" t="b">
        <f t="shared" si="2"/>
        <v>1</v>
      </c>
      <c r="I120" s="154"/>
      <c r="J120" s="154"/>
    </row>
    <row r="121" spans="1:10" ht="14.25">
      <c r="A121" s="21" t="s">
        <v>840</v>
      </c>
      <c r="B121" s="116" t="s">
        <v>841</v>
      </c>
      <c r="C121" s="114" t="s">
        <v>842</v>
      </c>
      <c r="D121" s="116">
        <v>9</v>
      </c>
      <c r="E121" s="116" t="s">
        <v>3627</v>
      </c>
      <c r="F121" s="117"/>
      <c r="G121" s="117">
        <f>SUM(G122,G137,G262)</f>
        <v>5085940000</v>
      </c>
      <c r="H121" s="154" t="b">
        <f t="shared" si="2"/>
        <v>1</v>
      </c>
      <c r="I121" s="154"/>
      <c r="J121" s="154"/>
    </row>
    <row r="122" spans="1:10" ht="14.25">
      <c r="A122" s="21" t="s">
        <v>1035</v>
      </c>
      <c r="B122" s="119" t="s">
        <v>3628</v>
      </c>
      <c r="C122" s="118" t="s">
        <v>1037</v>
      </c>
      <c r="D122" s="119">
        <v>2</v>
      </c>
      <c r="E122" s="119" t="s">
        <v>3627</v>
      </c>
      <c r="F122" s="120"/>
      <c r="G122" s="120">
        <f>G123</f>
        <v>153780000</v>
      </c>
      <c r="H122" s="154" t="b">
        <f t="shared" si="2"/>
        <v>1</v>
      </c>
      <c r="I122" s="154"/>
      <c r="J122" s="154"/>
    </row>
    <row r="123" spans="1:10" ht="25.5">
      <c r="A123" s="7" t="s">
        <v>1184</v>
      </c>
      <c r="B123" s="58">
        <v>311</v>
      </c>
      <c r="C123" s="35" t="s">
        <v>1186</v>
      </c>
      <c r="D123" s="58"/>
      <c r="E123" s="58"/>
      <c r="F123" s="36"/>
      <c r="G123" s="36">
        <f>G124</f>
        <v>153780000</v>
      </c>
      <c r="H123" s="154" t="b">
        <f t="shared" si="2"/>
        <v>1</v>
      </c>
      <c r="I123" s="154"/>
      <c r="J123" s="154"/>
    </row>
    <row r="124" spans="1:10" ht="14.25">
      <c r="A124" s="7" t="s">
        <v>1187</v>
      </c>
      <c r="B124" s="59" t="s">
        <v>8</v>
      </c>
      <c r="C124" s="38" t="s">
        <v>75</v>
      </c>
      <c r="D124" s="59"/>
      <c r="E124" s="59"/>
      <c r="F124" s="39"/>
      <c r="G124" s="39">
        <f>SUM(G125,G128,G130,G133,G135)</f>
        <v>153780000</v>
      </c>
      <c r="H124" s="154" t="b">
        <f t="shared" si="2"/>
        <v>1</v>
      </c>
      <c r="I124" s="154"/>
      <c r="J124" s="154"/>
    </row>
    <row r="125" spans="1:10" ht="14.25">
      <c r="A125" s="7" t="s">
        <v>1188</v>
      </c>
      <c r="B125" s="60">
        <v>521211</v>
      </c>
      <c r="C125" s="41" t="s">
        <v>7</v>
      </c>
      <c r="D125" s="60"/>
      <c r="E125" s="60"/>
      <c r="F125" s="42"/>
      <c r="G125" s="42">
        <f>SUM(G126:G127)</f>
        <v>14400000</v>
      </c>
      <c r="H125" s="154" t="b">
        <f t="shared" si="2"/>
        <v>1</v>
      </c>
      <c r="I125" s="154"/>
      <c r="J125" s="154"/>
    </row>
    <row r="126" spans="1:10" ht="14.25">
      <c r="A126" s="7" t="s">
        <v>1189</v>
      </c>
      <c r="B126" s="124"/>
      <c r="C126" s="123" t="s">
        <v>3587</v>
      </c>
      <c r="D126" s="124">
        <v>6</v>
      </c>
      <c r="E126" s="124" t="s">
        <v>52</v>
      </c>
      <c r="F126" s="125">
        <v>1000000</v>
      </c>
      <c r="G126" s="125">
        <f>ROUNDDOWN(D126*F126,-3)</f>
        <v>6000000</v>
      </c>
      <c r="H126" s="154" t="b">
        <f t="shared" si="2"/>
        <v>1</v>
      </c>
      <c r="I126" s="154"/>
      <c r="J126" s="154"/>
    </row>
    <row r="127" spans="1:10" ht="14.25">
      <c r="A127" s="7" t="s">
        <v>1190</v>
      </c>
      <c r="B127" s="124"/>
      <c r="C127" s="123" t="s">
        <v>3608</v>
      </c>
      <c r="D127" s="124">
        <v>120</v>
      </c>
      <c r="E127" s="124" t="s">
        <v>25</v>
      </c>
      <c r="F127" s="125">
        <v>70000</v>
      </c>
      <c r="G127" s="125">
        <f>ROUNDDOWN(D127*F127,-3)</f>
        <v>8400000</v>
      </c>
      <c r="H127" s="154" t="b">
        <f t="shared" si="2"/>
        <v>1</v>
      </c>
      <c r="I127" s="154"/>
      <c r="J127" s="154"/>
    </row>
    <row r="128" spans="1:10" ht="14.25">
      <c r="A128" s="7" t="s">
        <v>1191</v>
      </c>
      <c r="B128" s="60">
        <v>521219</v>
      </c>
      <c r="C128" s="41" t="s">
        <v>53</v>
      </c>
      <c r="D128" s="60"/>
      <c r="E128" s="60"/>
      <c r="F128" s="42"/>
      <c r="G128" s="42">
        <f>G129</f>
        <v>8000000</v>
      </c>
      <c r="H128" s="154" t="b">
        <f t="shared" si="2"/>
        <v>1</v>
      </c>
      <c r="I128" s="154"/>
      <c r="J128" s="154"/>
    </row>
    <row r="129" spans="1:10" ht="14.25">
      <c r="A129" s="7" t="s">
        <v>1192</v>
      </c>
      <c r="B129" s="124"/>
      <c r="C129" s="123" t="s">
        <v>3629</v>
      </c>
      <c r="D129" s="124">
        <v>1</v>
      </c>
      <c r="E129" s="124" t="s">
        <v>106</v>
      </c>
      <c r="F129" s="125">
        <v>8000000</v>
      </c>
      <c r="G129" s="125">
        <f>ROUNDDOWN(D129*F129,-3)</f>
        <v>8000000</v>
      </c>
      <c r="H129" s="154" t="b">
        <f t="shared" si="2"/>
        <v>1</v>
      </c>
      <c r="I129" s="154"/>
      <c r="J129" s="154"/>
    </row>
    <row r="130" spans="1:10" ht="14.25">
      <c r="A130" s="7" t="s">
        <v>1194</v>
      </c>
      <c r="B130" s="60">
        <v>521811</v>
      </c>
      <c r="C130" s="41" t="s">
        <v>64</v>
      </c>
      <c r="D130" s="60"/>
      <c r="E130" s="60"/>
      <c r="F130" s="42"/>
      <c r="G130" s="42">
        <f>SUM(G131:G132)</f>
        <v>12000000</v>
      </c>
      <c r="H130" s="154" t="b">
        <f t="shared" si="2"/>
        <v>1</v>
      </c>
      <c r="I130" s="154"/>
      <c r="J130" s="154"/>
    </row>
    <row r="131" spans="1:10" ht="14.25">
      <c r="A131" s="7" t="s">
        <v>1195</v>
      </c>
      <c r="B131" s="124"/>
      <c r="C131" s="123" t="s">
        <v>3595</v>
      </c>
      <c r="D131" s="124">
        <v>6</v>
      </c>
      <c r="E131" s="124" t="s">
        <v>52</v>
      </c>
      <c r="F131" s="125">
        <v>1000000</v>
      </c>
      <c r="G131" s="125">
        <f>ROUNDDOWN(D131*F131,-3)</f>
        <v>6000000</v>
      </c>
      <c r="H131" s="154" t="b">
        <f t="shared" si="2"/>
        <v>1</v>
      </c>
      <c r="I131" s="154"/>
      <c r="J131" s="154"/>
    </row>
    <row r="132" spans="1:10" ht="14.25">
      <c r="A132" s="7" t="s">
        <v>1196</v>
      </c>
      <c r="B132" s="124"/>
      <c r="C132" s="123" t="s">
        <v>3630</v>
      </c>
      <c r="D132" s="124">
        <v>6</v>
      </c>
      <c r="E132" s="124" t="s">
        <v>52</v>
      </c>
      <c r="F132" s="125">
        <v>1000000</v>
      </c>
      <c r="G132" s="125">
        <f>ROUNDDOWN(D132*F132,-3)</f>
        <v>6000000</v>
      </c>
      <c r="H132" s="154" t="b">
        <f t="shared" si="2"/>
        <v>1</v>
      </c>
      <c r="I132" s="154"/>
      <c r="J132" s="154"/>
    </row>
    <row r="133" spans="1:10" ht="14.25">
      <c r="A133" s="7" t="s">
        <v>1198</v>
      </c>
      <c r="B133" s="60">
        <v>522151</v>
      </c>
      <c r="C133" s="41" t="s">
        <v>11</v>
      </c>
      <c r="D133" s="60"/>
      <c r="E133" s="60"/>
      <c r="F133" s="42"/>
      <c r="G133" s="42">
        <f>G134</f>
        <v>4000000</v>
      </c>
      <c r="H133" s="154" t="b">
        <f t="shared" si="2"/>
        <v>1</v>
      </c>
      <c r="I133" s="154"/>
      <c r="J133" s="154"/>
    </row>
    <row r="134" spans="1:10" ht="14.25">
      <c r="A134" s="7" t="s">
        <v>1199</v>
      </c>
      <c r="B134" s="124"/>
      <c r="C134" s="123" t="s">
        <v>3603</v>
      </c>
      <c r="D134" s="124">
        <v>4</v>
      </c>
      <c r="E134" s="124" t="s">
        <v>54</v>
      </c>
      <c r="F134" s="125">
        <v>1000000</v>
      </c>
      <c r="G134" s="125">
        <f>ROUNDDOWN(D134*F134,-3)</f>
        <v>4000000</v>
      </c>
      <c r="H134" s="154" t="b">
        <f t="shared" si="2"/>
        <v>1</v>
      </c>
      <c r="I134" s="154"/>
      <c r="J134" s="154"/>
    </row>
    <row r="135" spans="1:10" ht="14.25">
      <c r="A135" s="7" t="s">
        <v>1200</v>
      </c>
      <c r="B135" s="60">
        <v>524111</v>
      </c>
      <c r="C135" s="41" t="s">
        <v>19</v>
      </c>
      <c r="D135" s="60"/>
      <c r="E135" s="60"/>
      <c r="F135" s="42"/>
      <c r="G135" s="42">
        <f>G136</f>
        <v>115380000</v>
      </c>
      <c r="H135" s="154" t="b">
        <f t="shared" si="2"/>
        <v>1</v>
      </c>
      <c r="I135" s="154"/>
      <c r="J135" s="154"/>
    </row>
    <row r="136" spans="1:10" ht="14.25">
      <c r="A136" s="7" t="s">
        <v>1201</v>
      </c>
      <c r="B136" s="124"/>
      <c r="C136" s="123" t="s">
        <v>3631</v>
      </c>
      <c r="D136" s="124">
        <v>20</v>
      </c>
      <c r="E136" s="124" t="s">
        <v>25</v>
      </c>
      <c r="F136" s="125">
        <v>5769000</v>
      </c>
      <c r="G136" s="125">
        <f>ROUNDDOWN(D136*F136,-3)</f>
        <v>115380000</v>
      </c>
      <c r="H136" s="154" t="b">
        <f t="shared" si="2"/>
        <v>1</v>
      </c>
      <c r="I136" s="154"/>
      <c r="J136" s="154"/>
    </row>
    <row r="137" spans="1:10" ht="14.25">
      <c r="A137" s="7" t="s">
        <v>1268</v>
      </c>
      <c r="B137" s="119" t="s">
        <v>3632</v>
      </c>
      <c r="C137" s="118" t="s">
        <v>1270</v>
      </c>
      <c r="D137" s="119">
        <v>1</v>
      </c>
      <c r="E137" s="119" t="s">
        <v>3627</v>
      </c>
      <c r="F137" s="120"/>
      <c r="G137" s="120">
        <f>G138</f>
        <v>2736502000</v>
      </c>
      <c r="H137" s="154" t="b">
        <f t="shared" si="2"/>
        <v>1</v>
      </c>
      <c r="I137" s="154"/>
      <c r="J137" s="154"/>
    </row>
    <row r="138" spans="1:10" ht="25.5">
      <c r="A138" s="7" t="s">
        <v>1388</v>
      </c>
      <c r="B138" s="58">
        <v>301</v>
      </c>
      <c r="C138" s="35" t="s">
        <v>1389</v>
      </c>
      <c r="D138" s="58"/>
      <c r="E138" s="58"/>
      <c r="F138" s="36"/>
      <c r="G138" s="36">
        <f>SUM(G139,G149,G160,G173,G183,G199,G215,G227,G247)</f>
        <v>2736502000</v>
      </c>
      <c r="H138" s="154" t="b">
        <f t="shared" si="2"/>
        <v>1</v>
      </c>
      <c r="I138" s="154"/>
      <c r="J138" s="154"/>
    </row>
    <row r="139" spans="1:10" ht="14.25">
      <c r="A139" s="7" t="s">
        <v>1390</v>
      </c>
      <c r="B139" s="59" t="s">
        <v>8</v>
      </c>
      <c r="C139" s="38" t="s">
        <v>148</v>
      </c>
      <c r="D139" s="59"/>
      <c r="E139" s="59"/>
      <c r="F139" s="39"/>
      <c r="G139" s="39">
        <f>SUM(G140,G145,G147)</f>
        <v>42100000</v>
      </c>
      <c r="H139" s="154" t="b">
        <f t="shared" si="2"/>
        <v>1</v>
      </c>
      <c r="I139" s="154"/>
      <c r="J139" s="154"/>
    </row>
    <row r="140" spans="1:10" ht="14.25">
      <c r="A140" s="7" t="s">
        <v>1391</v>
      </c>
      <c r="B140" s="60">
        <v>521211</v>
      </c>
      <c r="C140" s="41" t="s">
        <v>7</v>
      </c>
      <c r="D140" s="60"/>
      <c r="E140" s="60"/>
      <c r="F140" s="42"/>
      <c r="G140" s="42">
        <f>SUM(G141:G144)</f>
        <v>22000000</v>
      </c>
      <c r="H140" s="154" t="b">
        <f t="shared" si="2"/>
        <v>1</v>
      </c>
      <c r="I140" s="154"/>
      <c r="J140" s="154"/>
    </row>
    <row r="141" spans="1:10" ht="14.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c r="A142" s="7" t="s">
        <v>1393</v>
      </c>
      <c r="B142" s="124"/>
      <c r="C142" s="123" t="s">
        <v>3596</v>
      </c>
      <c r="D142" s="124">
        <v>4</v>
      </c>
      <c r="E142" s="124" t="s">
        <v>9</v>
      </c>
      <c r="F142" s="125">
        <v>1000000</v>
      </c>
      <c r="G142" s="125">
        <f>ROUNDDOWN(D142*F142,-3)</f>
        <v>4000000</v>
      </c>
      <c r="H142" s="154" t="b">
        <f t="shared" si="3"/>
        <v>1</v>
      </c>
      <c r="I142" s="154"/>
      <c r="J142" s="154"/>
    </row>
    <row r="143" spans="1:10" ht="14.25">
      <c r="A143" s="7" t="s">
        <v>1394</v>
      </c>
      <c r="B143" s="124"/>
      <c r="C143" s="123" t="s">
        <v>3597</v>
      </c>
      <c r="D143" s="124">
        <v>4</v>
      </c>
      <c r="E143" s="124" t="s">
        <v>9</v>
      </c>
      <c r="F143" s="125">
        <v>1500000</v>
      </c>
      <c r="G143" s="125">
        <f>ROUNDDOWN(D143*F143,-3)</f>
        <v>6000000</v>
      </c>
      <c r="H143" s="154" t="b">
        <f t="shared" si="3"/>
        <v>1</v>
      </c>
      <c r="I143" s="154"/>
      <c r="J143" s="154"/>
    </row>
    <row r="144" spans="1:10" ht="14.25">
      <c r="A144" s="7" t="s">
        <v>1395</v>
      </c>
      <c r="B144" s="124"/>
      <c r="C144" s="123" t="s">
        <v>3633</v>
      </c>
      <c r="D144" s="124">
        <v>12</v>
      </c>
      <c r="E144" s="124" t="s">
        <v>176</v>
      </c>
      <c r="F144" s="125">
        <v>500000</v>
      </c>
      <c r="G144" s="125">
        <f>ROUNDDOWN(D144*F144,-3)</f>
        <v>6000000</v>
      </c>
      <c r="H144" s="154" t="b">
        <f t="shared" si="3"/>
        <v>1</v>
      </c>
      <c r="I144" s="154"/>
      <c r="J144" s="154"/>
    </row>
    <row r="145" spans="1:10" ht="14.25">
      <c r="A145" s="7" t="s">
        <v>1397</v>
      </c>
      <c r="B145" s="60">
        <v>524111</v>
      </c>
      <c r="C145" s="41" t="s">
        <v>19</v>
      </c>
      <c r="D145" s="60"/>
      <c r="E145" s="60"/>
      <c r="F145" s="42"/>
      <c r="G145" s="42">
        <f>G146</f>
        <v>18000000</v>
      </c>
      <c r="H145" s="154" t="b">
        <f t="shared" si="3"/>
        <v>1</v>
      </c>
      <c r="I145" s="154"/>
      <c r="J145" s="154"/>
    </row>
    <row r="146" spans="1:10" ht="14.25">
      <c r="A146" s="7" t="s">
        <v>1398</v>
      </c>
      <c r="B146" s="124"/>
      <c r="C146" s="123" t="s">
        <v>3634</v>
      </c>
      <c r="D146" s="124">
        <v>6</v>
      </c>
      <c r="E146" s="124" t="s">
        <v>10</v>
      </c>
      <c r="F146" s="125">
        <v>3000000</v>
      </c>
      <c r="G146" s="125">
        <f>ROUNDDOWN(D146*F146,-3)</f>
        <v>18000000</v>
      </c>
      <c r="H146" s="154" t="b">
        <f t="shared" si="3"/>
        <v>1</v>
      </c>
      <c r="I146" s="154"/>
      <c r="J146" s="154"/>
    </row>
    <row r="147" spans="1:10" ht="14.25">
      <c r="A147" s="7" t="s">
        <v>1400</v>
      </c>
      <c r="B147" s="60">
        <v>524113</v>
      </c>
      <c r="C147" s="41" t="s">
        <v>13</v>
      </c>
      <c r="D147" s="60"/>
      <c r="E147" s="60"/>
      <c r="F147" s="42"/>
      <c r="G147" s="42">
        <f>G148</f>
        <v>2100000</v>
      </c>
      <c r="H147" s="154" t="b">
        <f t="shared" si="3"/>
        <v>1</v>
      </c>
      <c r="I147" s="154"/>
      <c r="J147" s="154"/>
    </row>
    <row r="148" spans="1:10" ht="14.25">
      <c r="A148" s="7" t="s">
        <v>1401</v>
      </c>
      <c r="B148" s="124"/>
      <c r="C148" s="123" t="s">
        <v>3635</v>
      </c>
      <c r="D148" s="124">
        <v>14</v>
      </c>
      <c r="E148" s="124" t="s">
        <v>10</v>
      </c>
      <c r="F148" s="125">
        <v>150000</v>
      </c>
      <c r="G148" s="125">
        <f>ROUNDDOWN(D148*F148,-3)</f>
        <v>2100000</v>
      </c>
      <c r="H148" s="154" t="b">
        <f t="shared" si="3"/>
        <v>1</v>
      </c>
      <c r="I148" s="154"/>
      <c r="J148" s="154"/>
    </row>
    <row r="149" spans="1:10" ht="14.25">
      <c r="A149" s="7" t="s">
        <v>1403</v>
      </c>
      <c r="B149" s="59" t="s">
        <v>511</v>
      </c>
      <c r="C149" s="38" t="s">
        <v>150</v>
      </c>
      <c r="D149" s="59"/>
      <c r="E149" s="59"/>
      <c r="F149" s="39"/>
      <c r="G149" s="39">
        <f>SUM(G150,G153,G155,G157)</f>
        <v>571380000</v>
      </c>
      <c r="H149" s="154" t="b">
        <f t="shared" si="3"/>
        <v>1</v>
      </c>
      <c r="I149" s="154"/>
      <c r="J149" s="154"/>
    </row>
    <row r="150" spans="1:10" ht="14.25">
      <c r="A150" s="7" t="s">
        <v>1404</v>
      </c>
      <c r="B150" s="60">
        <v>521211</v>
      </c>
      <c r="C150" s="41" t="s">
        <v>7</v>
      </c>
      <c r="D150" s="60"/>
      <c r="E150" s="60"/>
      <c r="F150" s="42"/>
      <c r="G150" s="42">
        <f>SUM(G151:G152)</f>
        <v>10000000</v>
      </c>
      <c r="H150" s="154" t="b">
        <f t="shared" si="3"/>
        <v>1</v>
      </c>
      <c r="I150" s="154"/>
      <c r="J150" s="154"/>
    </row>
    <row r="151" spans="1:10" ht="14.25">
      <c r="A151" s="7" t="s">
        <v>1405</v>
      </c>
      <c r="B151" s="124"/>
      <c r="C151" s="123" t="s">
        <v>3595</v>
      </c>
      <c r="D151" s="124">
        <v>4</v>
      </c>
      <c r="E151" s="124" t="s">
        <v>9</v>
      </c>
      <c r="F151" s="125">
        <v>1500000</v>
      </c>
      <c r="G151" s="125">
        <f>ROUNDDOWN(D151*F151,-3)</f>
        <v>6000000</v>
      </c>
      <c r="H151" s="154" t="b">
        <f t="shared" si="3"/>
        <v>1</v>
      </c>
      <c r="I151" s="154"/>
      <c r="J151" s="154"/>
    </row>
    <row r="152" spans="1:10" ht="14.25">
      <c r="A152" s="7" t="s">
        <v>1406</v>
      </c>
      <c r="B152" s="124"/>
      <c r="C152" s="123" t="s">
        <v>3596</v>
      </c>
      <c r="D152" s="124">
        <v>4</v>
      </c>
      <c r="E152" s="124" t="s">
        <v>9</v>
      </c>
      <c r="F152" s="125">
        <v>1000000</v>
      </c>
      <c r="G152" s="125">
        <f>ROUNDDOWN(D152*F152,-3)</f>
        <v>4000000</v>
      </c>
      <c r="H152" s="154" t="b">
        <f t="shared" si="3"/>
        <v>1</v>
      </c>
      <c r="I152" s="154"/>
      <c r="J152" s="154"/>
    </row>
    <row r="153" spans="1:10" ht="14.25">
      <c r="A153" s="7" t="s">
        <v>1407</v>
      </c>
      <c r="B153" s="60">
        <v>521219</v>
      </c>
      <c r="C153" s="41" t="s">
        <v>53</v>
      </c>
      <c r="D153" s="60"/>
      <c r="E153" s="60"/>
      <c r="F153" s="42"/>
      <c r="G153" s="42">
        <f>G154</f>
        <v>7800000</v>
      </c>
      <c r="H153" s="154" t="b">
        <f t="shared" si="3"/>
        <v>1</v>
      </c>
      <c r="I153" s="154"/>
      <c r="J153" s="154"/>
    </row>
    <row r="154" spans="1:10" ht="14.25">
      <c r="A154" s="7" t="s">
        <v>1408</v>
      </c>
      <c r="B154" s="124"/>
      <c r="C154" s="123" t="s">
        <v>3610</v>
      </c>
      <c r="D154" s="124">
        <v>12</v>
      </c>
      <c r="E154" s="124" t="s">
        <v>66</v>
      </c>
      <c r="F154" s="125">
        <v>650000</v>
      </c>
      <c r="G154" s="125">
        <f>ROUNDDOWN(D154*F154,-3)</f>
        <v>7800000</v>
      </c>
      <c r="H154" s="154" t="b">
        <f t="shared" si="3"/>
        <v>1</v>
      </c>
      <c r="I154" s="154"/>
      <c r="J154" s="154"/>
    </row>
    <row r="155" spans="1:10" ht="14.25">
      <c r="A155" s="7" t="s">
        <v>1409</v>
      </c>
      <c r="B155" s="60">
        <v>522192</v>
      </c>
      <c r="C155" s="41" t="s">
        <v>24</v>
      </c>
      <c r="D155" s="60"/>
      <c r="E155" s="60"/>
      <c r="F155" s="42"/>
      <c r="G155" s="42">
        <f>G156</f>
        <v>39080000</v>
      </c>
      <c r="H155" s="154" t="b">
        <f t="shared" si="3"/>
        <v>1</v>
      </c>
      <c r="I155" s="154"/>
      <c r="J155" s="154"/>
    </row>
    <row r="156" spans="1:10" ht="14.25">
      <c r="A156" s="7" t="s">
        <v>1410</v>
      </c>
      <c r="B156" s="124"/>
      <c r="C156" s="123" t="s">
        <v>3636</v>
      </c>
      <c r="D156" s="124">
        <v>80</v>
      </c>
      <c r="E156" s="124" t="s">
        <v>25</v>
      </c>
      <c r="F156" s="125">
        <v>488500</v>
      </c>
      <c r="G156" s="125">
        <f>ROUNDDOWN(D156*F156,-3)</f>
        <v>39080000</v>
      </c>
      <c r="H156" s="154" t="b">
        <f t="shared" si="3"/>
        <v>1</v>
      </c>
      <c r="I156" s="154"/>
      <c r="J156" s="154"/>
    </row>
    <row r="157" spans="1:10" ht="14.25">
      <c r="A157" s="7" t="s">
        <v>1412</v>
      </c>
      <c r="B157" s="60">
        <v>524111</v>
      </c>
      <c r="C157" s="41" t="s">
        <v>19</v>
      </c>
      <c r="D157" s="60"/>
      <c r="E157" s="60"/>
      <c r="F157" s="42"/>
      <c r="G157" s="42">
        <f>SUM(G158:G159)</f>
        <v>514500000</v>
      </c>
      <c r="H157" s="154" t="b">
        <f t="shared" si="3"/>
        <v>1</v>
      </c>
      <c r="I157" s="154"/>
      <c r="J157" s="154"/>
    </row>
    <row r="158" spans="1:10" ht="14.25">
      <c r="A158" s="7" t="s">
        <v>1413</v>
      </c>
      <c r="B158" s="124"/>
      <c r="C158" s="123" t="s">
        <v>3637</v>
      </c>
      <c r="D158" s="124">
        <v>55</v>
      </c>
      <c r="E158" s="124" t="s">
        <v>10</v>
      </c>
      <c r="F158" s="125">
        <v>6075000</v>
      </c>
      <c r="G158" s="125">
        <f>ROUNDDOWN(D158*F158,-3)</f>
        <v>334125000</v>
      </c>
      <c r="H158" s="154" t="b">
        <f t="shared" si="3"/>
        <v>1</v>
      </c>
      <c r="I158" s="154"/>
      <c r="J158" s="154"/>
    </row>
    <row r="159" spans="1:10" ht="25.5">
      <c r="A159" s="7" t="s">
        <v>1415</v>
      </c>
      <c r="B159" s="124"/>
      <c r="C159" s="123" t="s">
        <v>3638</v>
      </c>
      <c r="D159" s="124">
        <v>30</v>
      </c>
      <c r="E159" s="124" t="s">
        <v>776</v>
      </c>
      <c r="F159" s="125">
        <v>6012500</v>
      </c>
      <c r="G159" s="125">
        <f>ROUNDDOWN(D159*F159,-3)</f>
        <v>180375000</v>
      </c>
      <c r="H159" s="154" t="b">
        <f t="shared" si="3"/>
        <v>1</v>
      </c>
      <c r="I159" s="154"/>
      <c r="J159" s="154"/>
    </row>
    <row r="160" spans="1:10" ht="25.5">
      <c r="A160" s="7" t="s">
        <v>1417</v>
      </c>
      <c r="B160" s="59" t="s">
        <v>512</v>
      </c>
      <c r="C160" s="38" t="s">
        <v>1418</v>
      </c>
      <c r="D160" s="59"/>
      <c r="E160" s="59"/>
      <c r="F160" s="39"/>
      <c r="G160" s="39">
        <f>SUM(G161,G167,G169,G171)</f>
        <v>83500000</v>
      </c>
      <c r="H160" s="154" t="b">
        <f t="shared" si="3"/>
        <v>1</v>
      </c>
      <c r="I160" s="154"/>
      <c r="J160" s="154"/>
    </row>
    <row r="161" spans="1:10" ht="14.25">
      <c r="A161" s="7" t="s">
        <v>1419</v>
      </c>
      <c r="B161" s="60">
        <v>521211</v>
      </c>
      <c r="C161" s="41" t="s">
        <v>7</v>
      </c>
      <c r="D161" s="60"/>
      <c r="E161" s="60"/>
      <c r="F161" s="42"/>
      <c r="G161" s="42">
        <f>SUM(G162:G166)</f>
        <v>46000000</v>
      </c>
      <c r="H161" s="154" t="b">
        <f t="shared" si="3"/>
        <v>1</v>
      </c>
      <c r="I161" s="154"/>
      <c r="J161" s="154"/>
    </row>
    <row r="162" spans="1:10" ht="14.25">
      <c r="A162" s="7" t="s">
        <v>1420</v>
      </c>
      <c r="B162" s="124"/>
      <c r="C162" s="123" t="s">
        <v>3639</v>
      </c>
      <c r="D162" s="124">
        <v>500</v>
      </c>
      <c r="E162" s="124" t="s">
        <v>1422</v>
      </c>
      <c r="F162" s="125">
        <v>36000</v>
      </c>
      <c r="G162" s="125">
        <f>ROUNDDOWN(D162*F162,-3)</f>
        <v>18000000</v>
      </c>
      <c r="H162" s="154" t="b">
        <f t="shared" si="3"/>
        <v>1</v>
      </c>
      <c r="I162" s="154"/>
      <c r="J162" s="154"/>
    </row>
    <row r="163" spans="1:10" ht="14.25">
      <c r="A163" s="7" t="s">
        <v>1423</v>
      </c>
      <c r="B163" s="124"/>
      <c r="C163" s="123" t="s">
        <v>3602</v>
      </c>
      <c r="D163" s="124">
        <v>4</v>
      </c>
      <c r="E163" s="124" t="s">
        <v>9</v>
      </c>
      <c r="F163" s="125">
        <v>1500000</v>
      </c>
      <c r="G163" s="125">
        <f>ROUNDDOWN(D163*F163,-3)</f>
        <v>6000000</v>
      </c>
      <c r="H163" s="154" t="b">
        <f t="shared" si="3"/>
        <v>1</v>
      </c>
      <c r="I163" s="154"/>
      <c r="J163" s="154"/>
    </row>
    <row r="164" spans="1:10" ht="14.25">
      <c r="A164" s="7" t="s">
        <v>1424</v>
      </c>
      <c r="B164" s="124"/>
      <c r="C164" s="123" t="s">
        <v>3588</v>
      </c>
      <c r="D164" s="124">
        <v>4</v>
      </c>
      <c r="E164" s="124" t="s">
        <v>9</v>
      </c>
      <c r="F164" s="125">
        <v>1000000</v>
      </c>
      <c r="G164" s="125">
        <f>ROUNDDOWN(D164*F164,-3)</f>
        <v>4000000</v>
      </c>
      <c r="H164" s="154" t="b">
        <f t="shared" si="3"/>
        <v>1</v>
      </c>
      <c r="I164" s="154"/>
      <c r="J164" s="154"/>
    </row>
    <row r="165" spans="1:10" ht="14.25">
      <c r="A165" s="7" t="s">
        <v>1425</v>
      </c>
      <c r="B165" s="124"/>
      <c r="C165" s="123" t="s">
        <v>3589</v>
      </c>
      <c r="D165" s="124">
        <v>4</v>
      </c>
      <c r="E165" s="124" t="s">
        <v>9</v>
      </c>
      <c r="F165" s="125">
        <v>1500000</v>
      </c>
      <c r="G165" s="125">
        <f>ROUNDDOWN(D165*F165,-3)</f>
        <v>6000000</v>
      </c>
      <c r="H165" s="154" t="b">
        <f t="shared" si="3"/>
        <v>1</v>
      </c>
      <c r="I165" s="154"/>
      <c r="J165" s="154"/>
    </row>
    <row r="166" spans="1:10" ht="14.25">
      <c r="A166" s="7" t="s">
        <v>1426</v>
      </c>
      <c r="B166" s="124"/>
      <c r="C166" s="123" t="s">
        <v>3640</v>
      </c>
      <c r="D166" s="124">
        <v>24</v>
      </c>
      <c r="E166" s="124" t="s">
        <v>176</v>
      </c>
      <c r="F166" s="125">
        <v>500000</v>
      </c>
      <c r="G166" s="125">
        <f>ROUNDDOWN(D166*F166,-3)</f>
        <v>12000000</v>
      </c>
      <c r="H166" s="154" t="b">
        <f t="shared" si="3"/>
        <v>1</v>
      </c>
      <c r="I166" s="154"/>
      <c r="J166" s="154"/>
    </row>
    <row r="167" spans="1:10" ht="14.25">
      <c r="A167" s="7" t="s">
        <v>1428</v>
      </c>
      <c r="B167" s="60">
        <v>522141</v>
      </c>
      <c r="C167" s="41" t="s">
        <v>95</v>
      </c>
      <c r="D167" s="60"/>
      <c r="E167" s="60"/>
      <c r="F167" s="42"/>
      <c r="G167" s="42">
        <f>G168</f>
        <v>6000000</v>
      </c>
      <c r="H167" s="154" t="b">
        <f t="shared" si="3"/>
        <v>1</v>
      </c>
      <c r="I167" s="154"/>
      <c r="J167" s="154"/>
    </row>
    <row r="168" spans="1:10" ht="14.25">
      <c r="A168" s="7" t="s">
        <v>1429</v>
      </c>
      <c r="B168" s="124"/>
      <c r="C168" s="123" t="s">
        <v>3641</v>
      </c>
      <c r="D168" s="124">
        <v>4</v>
      </c>
      <c r="E168" s="124" t="s">
        <v>149</v>
      </c>
      <c r="F168" s="125">
        <v>1500000</v>
      </c>
      <c r="G168" s="125">
        <f>ROUNDDOWN(D168*F168,-3)</f>
        <v>6000000</v>
      </c>
      <c r="H168" s="154" t="b">
        <f t="shared" si="3"/>
        <v>1</v>
      </c>
      <c r="I168" s="154"/>
      <c r="J168" s="154"/>
    </row>
    <row r="169" spans="1:10" ht="14.25">
      <c r="A169" s="7" t="s">
        <v>1431</v>
      </c>
      <c r="B169" s="60">
        <v>524111</v>
      </c>
      <c r="C169" s="41" t="s">
        <v>19</v>
      </c>
      <c r="D169" s="60"/>
      <c r="E169" s="60"/>
      <c r="F169" s="42"/>
      <c r="G169" s="42">
        <f>G170</f>
        <v>27000000</v>
      </c>
      <c r="H169" s="154" t="b">
        <f t="shared" si="3"/>
        <v>1</v>
      </c>
      <c r="I169" s="154"/>
      <c r="J169" s="154"/>
    </row>
    <row r="170" spans="1:10" ht="25.5">
      <c r="A170" s="7" t="s">
        <v>1432</v>
      </c>
      <c r="B170" s="124"/>
      <c r="C170" s="123" t="s">
        <v>3642</v>
      </c>
      <c r="D170" s="124">
        <v>9</v>
      </c>
      <c r="E170" s="124" t="s">
        <v>10</v>
      </c>
      <c r="F170" s="125">
        <v>3000000</v>
      </c>
      <c r="G170" s="125">
        <f>ROUNDDOWN(D170*F170,-3)</f>
        <v>27000000</v>
      </c>
      <c r="H170" s="154" t="b">
        <f t="shared" si="3"/>
        <v>1</v>
      </c>
      <c r="I170" s="154"/>
      <c r="J170" s="154"/>
    </row>
    <row r="171" spans="1:10" ht="14.25">
      <c r="A171" s="7" t="s">
        <v>1434</v>
      </c>
      <c r="B171" s="60">
        <v>524113</v>
      </c>
      <c r="C171" s="41" t="s">
        <v>13</v>
      </c>
      <c r="D171" s="60"/>
      <c r="E171" s="60"/>
      <c r="F171" s="42"/>
      <c r="G171" s="42">
        <f>G172</f>
        <v>4500000</v>
      </c>
      <c r="H171" s="154" t="b">
        <f t="shared" si="3"/>
        <v>1</v>
      </c>
      <c r="I171" s="154"/>
      <c r="J171" s="154"/>
    </row>
    <row r="172" spans="1:10" ht="14.25">
      <c r="A172" s="7" t="s">
        <v>1435</v>
      </c>
      <c r="B172" s="124"/>
      <c r="C172" s="123" t="s">
        <v>3643</v>
      </c>
      <c r="D172" s="124">
        <v>30</v>
      </c>
      <c r="E172" s="124" t="s">
        <v>10</v>
      </c>
      <c r="F172" s="125">
        <v>150000</v>
      </c>
      <c r="G172" s="125">
        <f>ROUNDDOWN(D172*F172,-3)</f>
        <v>4500000</v>
      </c>
      <c r="H172" s="154" t="b">
        <f t="shared" si="3"/>
        <v>1</v>
      </c>
      <c r="I172" s="154"/>
      <c r="J172" s="154"/>
    </row>
    <row r="173" spans="1:10" ht="25.5">
      <c r="A173" s="7" t="s">
        <v>1437</v>
      </c>
      <c r="B173" s="59" t="s">
        <v>514</v>
      </c>
      <c r="C173" s="38" t="s">
        <v>151</v>
      </c>
      <c r="D173" s="59"/>
      <c r="E173" s="59"/>
      <c r="F173" s="39"/>
      <c r="G173" s="39">
        <f>SUM(G174,G179,G181)</f>
        <v>101050000</v>
      </c>
      <c r="H173" s="154" t="b">
        <f t="shared" si="3"/>
        <v>1</v>
      </c>
      <c r="I173" s="154"/>
      <c r="J173" s="154"/>
    </row>
    <row r="174" spans="1:10" ht="14.25">
      <c r="A174" s="7" t="s">
        <v>1438</v>
      </c>
      <c r="B174" s="60">
        <v>521211</v>
      </c>
      <c r="C174" s="41" t="s">
        <v>7</v>
      </c>
      <c r="D174" s="60"/>
      <c r="E174" s="60"/>
      <c r="F174" s="42"/>
      <c r="G174" s="42">
        <f>SUM(G175:G178)</f>
        <v>28000000</v>
      </c>
      <c r="H174" s="154" t="b">
        <f t="shared" si="3"/>
        <v>1</v>
      </c>
      <c r="I174" s="154"/>
      <c r="J174" s="154"/>
    </row>
    <row r="175" spans="1:10" ht="14.25">
      <c r="A175" s="7" t="s">
        <v>1439</v>
      </c>
      <c r="B175" s="124"/>
      <c r="C175" s="123" t="s">
        <v>3595</v>
      </c>
      <c r="D175" s="124">
        <v>4</v>
      </c>
      <c r="E175" s="124" t="s">
        <v>9</v>
      </c>
      <c r="F175" s="125">
        <v>1000000</v>
      </c>
      <c r="G175" s="125">
        <f>ROUNDDOWN(D175*F175,-3)</f>
        <v>4000000</v>
      </c>
      <c r="H175" s="154" t="b">
        <f t="shared" si="3"/>
        <v>1</v>
      </c>
      <c r="I175" s="154"/>
      <c r="J175" s="154"/>
    </row>
    <row r="176" spans="1:10" ht="14.25">
      <c r="A176" s="7" t="s">
        <v>1440</v>
      </c>
      <c r="B176" s="124"/>
      <c r="C176" s="123" t="s">
        <v>3596</v>
      </c>
      <c r="D176" s="124">
        <v>4</v>
      </c>
      <c r="E176" s="124" t="s">
        <v>9</v>
      </c>
      <c r="F176" s="125">
        <v>1500000</v>
      </c>
      <c r="G176" s="125">
        <f>ROUNDDOWN(D176*F176,-3)</f>
        <v>6000000</v>
      </c>
      <c r="H176" s="154" t="b">
        <f t="shared" si="3"/>
        <v>1</v>
      </c>
      <c r="I176" s="154"/>
      <c r="J176" s="154"/>
    </row>
    <row r="177" spans="1:10" ht="14.25">
      <c r="A177" s="7" t="s">
        <v>1441</v>
      </c>
      <c r="B177" s="124"/>
      <c r="C177" s="123" t="s">
        <v>3597</v>
      </c>
      <c r="D177" s="124">
        <v>4</v>
      </c>
      <c r="E177" s="124" t="s">
        <v>9</v>
      </c>
      <c r="F177" s="125">
        <v>1500000</v>
      </c>
      <c r="G177" s="125">
        <f>ROUNDDOWN(D177*F177,-3)</f>
        <v>6000000</v>
      </c>
      <c r="H177" s="154" t="b">
        <f t="shared" si="3"/>
        <v>1</v>
      </c>
      <c r="I177" s="154"/>
      <c r="J177" s="154"/>
    </row>
    <row r="178" spans="1:10" ht="14.25">
      <c r="A178" s="7" t="s">
        <v>1442</v>
      </c>
      <c r="B178" s="124"/>
      <c r="C178" s="123" t="s">
        <v>3644</v>
      </c>
      <c r="D178" s="124">
        <v>24</v>
      </c>
      <c r="E178" s="124" t="s">
        <v>176</v>
      </c>
      <c r="F178" s="125">
        <v>500000</v>
      </c>
      <c r="G178" s="125">
        <f>ROUNDDOWN(D178*F178,-3)</f>
        <v>12000000</v>
      </c>
      <c r="H178" s="154" t="b">
        <f t="shared" si="3"/>
        <v>1</v>
      </c>
      <c r="I178" s="154"/>
      <c r="J178" s="154"/>
    </row>
    <row r="179" spans="1:10" ht="14.25">
      <c r="A179" s="7" t="s">
        <v>1443</v>
      </c>
      <c r="B179" s="60">
        <v>524111</v>
      </c>
      <c r="C179" s="41" t="s">
        <v>19</v>
      </c>
      <c r="D179" s="60"/>
      <c r="E179" s="60"/>
      <c r="F179" s="42"/>
      <c r="G179" s="42">
        <f>G180</f>
        <v>71250000</v>
      </c>
      <c r="H179" s="154" t="b">
        <f t="shared" si="3"/>
        <v>1</v>
      </c>
      <c r="I179" s="154"/>
      <c r="J179" s="154"/>
    </row>
    <row r="180" spans="1:10" ht="25.5">
      <c r="A180" s="7" t="s">
        <v>1444</v>
      </c>
      <c r="B180" s="124"/>
      <c r="C180" s="123" t="s">
        <v>3645</v>
      </c>
      <c r="D180" s="124">
        <v>15</v>
      </c>
      <c r="E180" s="124" t="s">
        <v>10</v>
      </c>
      <c r="F180" s="125">
        <v>4750000</v>
      </c>
      <c r="G180" s="125">
        <f>ROUNDDOWN(D180*F180,-3)</f>
        <v>71250000</v>
      </c>
      <c r="H180" s="154" t="b">
        <f t="shared" si="3"/>
        <v>1</v>
      </c>
      <c r="I180" s="154"/>
      <c r="J180" s="154"/>
    </row>
    <row r="181" spans="1:10" ht="14.25">
      <c r="A181" s="7" t="s">
        <v>1446</v>
      </c>
      <c r="B181" s="60">
        <v>524113</v>
      </c>
      <c r="C181" s="41" t="s">
        <v>13</v>
      </c>
      <c r="D181" s="60"/>
      <c r="E181" s="60"/>
      <c r="F181" s="42"/>
      <c r="G181" s="42">
        <f>G182</f>
        <v>1800000</v>
      </c>
      <c r="H181" s="154" t="b">
        <f t="shared" si="3"/>
        <v>1</v>
      </c>
      <c r="I181" s="154"/>
      <c r="J181" s="154"/>
    </row>
    <row r="182" spans="1:10" ht="14.25">
      <c r="A182" s="7" t="s">
        <v>1447</v>
      </c>
      <c r="B182" s="124"/>
      <c r="C182" s="123" t="s">
        <v>3643</v>
      </c>
      <c r="D182" s="124">
        <v>12</v>
      </c>
      <c r="E182" s="124" t="s">
        <v>10</v>
      </c>
      <c r="F182" s="125">
        <v>150000</v>
      </c>
      <c r="G182" s="125">
        <f>ROUNDDOWN(D182*F182,-3)</f>
        <v>1800000</v>
      </c>
      <c r="H182" s="154" t="b">
        <f t="shared" si="3"/>
        <v>1</v>
      </c>
      <c r="I182" s="154"/>
      <c r="J182" s="154"/>
    </row>
    <row r="183" spans="1:10" ht="14.25">
      <c r="A183" s="7" t="s">
        <v>1448</v>
      </c>
      <c r="B183" s="59" t="s">
        <v>519</v>
      </c>
      <c r="C183" s="38" t="s">
        <v>152</v>
      </c>
      <c r="D183" s="59"/>
      <c r="E183" s="59"/>
      <c r="F183" s="39"/>
      <c r="G183" s="39">
        <f>SUM(G184,G189,G193,G195,G197)</f>
        <v>388472000</v>
      </c>
      <c r="H183" s="154" t="b">
        <f t="shared" si="3"/>
        <v>1</v>
      </c>
      <c r="I183" s="154"/>
      <c r="J183" s="154"/>
    </row>
    <row r="184" spans="1:10" ht="14.25">
      <c r="A184" s="7" t="s">
        <v>1449</v>
      </c>
      <c r="B184" s="60">
        <v>521211</v>
      </c>
      <c r="C184" s="41" t="s">
        <v>7</v>
      </c>
      <c r="D184" s="60"/>
      <c r="E184" s="60"/>
      <c r="F184" s="42"/>
      <c r="G184" s="42">
        <f>SUM(G185:G188)</f>
        <v>46000000</v>
      </c>
      <c r="H184" s="154" t="b">
        <f t="shared" si="3"/>
        <v>1</v>
      </c>
      <c r="I184" s="154"/>
      <c r="J184" s="154"/>
    </row>
    <row r="185" spans="1:10" ht="14.25">
      <c r="A185" s="7" t="s">
        <v>1450</v>
      </c>
      <c r="B185" s="124"/>
      <c r="C185" s="123" t="s">
        <v>3587</v>
      </c>
      <c r="D185" s="124">
        <v>4</v>
      </c>
      <c r="E185" s="124" t="s">
        <v>9</v>
      </c>
      <c r="F185" s="125">
        <v>1500000</v>
      </c>
      <c r="G185" s="125">
        <f>ROUNDDOWN(D185*F185,-3)</f>
        <v>6000000</v>
      </c>
      <c r="H185" s="154" t="b">
        <f t="shared" si="3"/>
        <v>1</v>
      </c>
      <c r="I185" s="154"/>
      <c r="J185" s="154"/>
    </row>
    <row r="186" spans="1:10" ht="14.25">
      <c r="A186" s="7" t="s">
        <v>1451</v>
      </c>
      <c r="B186" s="124"/>
      <c r="C186" s="123" t="s">
        <v>3598</v>
      </c>
      <c r="D186" s="124">
        <v>4</v>
      </c>
      <c r="E186" s="124" t="s">
        <v>9</v>
      </c>
      <c r="F186" s="125">
        <v>1000000</v>
      </c>
      <c r="G186" s="125">
        <f>ROUNDDOWN(D186*F186,-3)</f>
        <v>4000000</v>
      </c>
      <c r="H186" s="154" t="b">
        <f t="shared" si="3"/>
        <v>1</v>
      </c>
      <c r="I186" s="154"/>
      <c r="J186" s="154"/>
    </row>
    <row r="187" spans="1:10" ht="14.25">
      <c r="A187" s="7" t="s">
        <v>1452</v>
      </c>
      <c r="B187" s="124"/>
      <c r="C187" s="123" t="s">
        <v>3599</v>
      </c>
      <c r="D187" s="124">
        <v>4</v>
      </c>
      <c r="E187" s="124" t="s">
        <v>9</v>
      </c>
      <c r="F187" s="125">
        <v>1500000</v>
      </c>
      <c r="G187" s="125">
        <f>ROUNDDOWN(D187*F187,-3)</f>
        <v>6000000</v>
      </c>
      <c r="H187" s="154" t="b">
        <f t="shared" si="3"/>
        <v>1</v>
      </c>
      <c r="I187" s="154"/>
      <c r="J187" s="154"/>
    </row>
    <row r="188" spans="1:10" ht="25.5">
      <c r="A188" s="7" t="s">
        <v>1453</v>
      </c>
      <c r="B188" s="124"/>
      <c r="C188" s="123" t="s">
        <v>3646</v>
      </c>
      <c r="D188" s="124">
        <v>60</v>
      </c>
      <c r="E188" s="124" t="s">
        <v>176</v>
      </c>
      <c r="F188" s="125">
        <v>500000</v>
      </c>
      <c r="G188" s="125">
        <f>ROUNDDOWN(D188*F188,-3)</f>
        <v>30000000</v>
      </c>
      <c r="H188" s="154" t="b">
        <f t="shared" si="3"/>
        <v>1</v>
      </c>
      <c r="I188" s="154"/>
      <c r="J188" s="154"/>
    </row>
    <row r="189" spans="1:10" ht="25.5">
      <c r="A189" s="7" t="s">
        <v>1455</v>
      </c>
      <c r="B189" s="60">
        <v>521241</v>
      </c>
      <c r="C189" s="41" t="s">
        <v>642</v>
      </c>
      <c r="D189" s="60"/>
      <c r="E189" s="60"/>
      <c r="F189" s="42"/>
      <c r="G189" s="42">
        <f>SUM(G190:G192)</f>
        <v>249600000</v>
      </c>
      <c r="H189" s="154" t="b">
        <f t="shared" si="3"/>
        <v>1</v>
      </c>
      <c r="I189" s="154"/>
      <c r="J189" s="154"/>
    </row>
    <row r="190" spans="1:10" ht="14.25">
      <c r="A190" s="7" t="s">
        <v>1456</v>
      </c>
      <c r="B190" s="124"/>
      <c r="C190" s="123" t="s">
        <v>3647</v>
      </c>
      <c r="D190" s="124">
        <v>720</v>
      </c>
      <c r="E190" s="124" t="s">
        <v>32</v>
      </c>
      <c r="F190" s="125">
        <v>200000</v>
      </c>
      <c r="G190" s="125">
        <f>ROUNDDOWN(D190*F190,-3)</f>
        <v>144000000</v>
      </c>
      <c r="H190" s="154" t="b">
        <f t="shared" si="3"/>
        <v>1</v>
      </c>
      <c r="I190" s="154"/>
      <c r="J190" s="154"/>
    </row>
    <row r="191" spans="1:10" ht="25.5">
      <c r="A191" s="7" t="s">
        <v>1458</v>
      </c>
      <c r="B191" s="124"/>
      <c r="C191" s="123" t="s">
        <v>3648</v>
      </c>
      <c r="D191" s="124">
        <v>360</v>
      </c>
      <c r="E191" s="124" t="s">
        <v>776</v>
      </c>
      <c r="F191" s="125">
        <v>280000</v>
      </c>
      <c r="G191" s="125">
        <f>ROUNDDOWN(D191*F191,-3)</f>
        <v>100800000</v>
      </c>
      <c r="H191" s="154" t="b">
        <f t="shared" si="3"/>
        <v>1</v>
      </c>
      <c r="I191" s="154"/>
      <c r="J191" s="154"/>
    </row>
    <row r="192" spans="1:10" ht="14.25">
      <c r="A192" s="7" t="s">
        <v>1460</v>
      </c>
      <c r="B192" s="124"/>
      <c r="C192" s="123" t="s">
        <v>3649</v>
      </c>
      <c r="D192" s="124">
        <v>12</v>
      </c>
      <c r="E192" s="124" t="s">
        <v>32</v>
      </c>
      <c r="F192" s="125">
        <v>400000</v>
      </c>
      <c r="G192" s="125">
        <f>ROUNDDOWN(D192*F192,-3)</f>
        <v>4800000</v>
      </c>
      <c r="H192" s="154" t="b">
        <f t="shared" si="3"/>
        <v>1</v>
      </c>
      <c r="I192" s="154"/>
      <c r="J192" s="154"/>
    </row>
    <row r="193" spans="1:10" ht="14.25">
      <c r="A193" s="7" t="s">
        <v>1462</v>
      </c>
      <c r="B193" s="60">
        <v>522192</v>
      </c>
      <c r="C193" s="41" t="s">
        <v>24</v>
      </c>
      <c r="D193" s="60"/>
      <c r="E193" s="60"/>
      <c r="F193" s="42"/>
      <c r="G193" s="42">
        <f>G194</f>
        <v>48000000</v>
      </c>
      <c r="H193" s="154" t="b">
        <f t="shared" si="3"/>
        <v>1</v>
      </c>
      <c r="I193" s="154"/>
      <c r="J193" s="154"/>
    </row>
    <row r="194" spans="1:10" ht="14.25">
      <c r="A194" s="7" t="s">
        <v>1463</v>
      </c>
      <c r="B194" s="124"/>
      <c r="C194" s="123" t="s">
        <v>3636</v>
      </c>
      <c r="D194" s="124">
        <v>480</v>
      </c>
      <c r="E194" s="124" t="s">
        <v>25</v>
      </c>
      <c r="F194" s="125">
        <v>100000</v>
      </c>
      <c r="G194" s="125">
        <f>ROUNDDOWN(D194*F194,-3)</f>
        <v>48000000</v>
      </c>
      <c r="H194" s="154" t="b">
        <f t="shared" si="3"/>
        <v>1</v>
      </c>
      <c r="I194" s="154"/>
      <c r="J194" s="154"/>
    </row>
    <row r="195" spans="1:10" ht="14.25">
      <c r="A195" s="7" t="s">
        <v>1464</v>
      </c>
      <c r="B195" s="60">
        <v>524111</v>
      </c>
      <c r="C195" s="41" t="s">
        <v>19</v>
      </c>
      <c r="D195" s="60"/>
      <c r="E195" s="60"/>
      <c r="F195" s="42"/>
      <c r="G195" s="42">
        <f>G196</f>
        <v>42772000</v>
      </c>
      <c r="H195" s="154" t="b">
        <f t="shared" si="3"/>
        <v>1</v>
      </c>
      <c r="I195" s="154"/>
      <c r="J195" s="154"/>
    </row>
    <row r="196" spans="1:10" ht="14.25">
      <c r="A196" s="7" t="s">
        <v>1465</v>
      </c>
      <c r="B196" s="124"/>
      <c r="C196" s="123" t="s">
        <v>3650</v>
      </c>
      <c r="D196" s="124">
        <v>10</v>
      </c>
      <c r="E196" s="124" t="s">
        <v>10</v>
      </c>
      <c r="F196" s="125">
        <v>4277200</v>
      </c>
      <c r="G196" s="125">
        <f>ROUNDDOWN(D196*F196,-3)</f>
        <v>42772000</v>
      </c>
      <c r="H196" s="154" t="b">
        <f t="shared" si="3"/>
        <v>1</v>
      </c>
      <c r="I196" s="154"/>
      <c r="J196" s="154"/>
    </row>
    <row r="197" spans="1:10" ht="14.25">
      <c r="A197" s="7" t="s">
        <v>1467</v>
      </c>
      <c r="B197" s="60">
        <v>524113</v>
      </c>
      <c r="C197" s="41" t="s">
        <v>13</v>
      </c>
      <c r="D197" s="60"/>
      <c r="E197" s="60"/>
      <c r="F197" s="42"/>
      <c r="G197" s="42">
        <f>G198</f>
        <v>2100000</v>
      </c>
      <c r="H197" s="154" t="b">
        <f t="shared" si="3"/>
        <v>1</v>
      </c>
      <c r="I197" s="154"/>
      <c r="J197" s="154"/>
    </row>
    <row r="198" spans="1:10" ht="14.25">
      <c r="A198" s="7" t="s">
        <v>1468</v>
      </c>
      <c r="B198" s="124"/>
      <c r="C198" s="123" t="s">
        <v>3643</v>
      </c>
      <c r="D198" s="124">
        <v>14</v>
      </c>
      <c r="E198" s="124" t="s">
        <v>10</v>
      </c>
      <c r="F198" s="125">
        <v>150000</v>
      </c>
      <c r="G198" s="125">
        <f>ROUNDDOWN(D198*F198,-3)</f>
        <v>2100000</v>
      </c>
      <c r="H198" s="154" t="b">
        <f t="shared" si="3"/>
        <v>1</v>
      </c>
      <c r="I198" s="154"/>
      <c r="J198" s="154"/>
    </row>
    <row r="199" spans="1:10" ht="25.5">
      <c r="A199" s="7" t="s">
        <v>1469</v>
      </c>
      <c r="B199" s="59" t="s">
        <v>578</v>
      </c>
      <c r="C199" s="38" t="s">
        <v>154</v>
      </c>
      <c r="D199" s="59"/>
      <c r="E199" s="59"/>
      <c r="F199" s="39"/>
      <c r="G199" s="39">
        <f>SUM(G200,G204,G209,G211,G213)</f>
        <v>450000000</v>
      </c>
      <c r="H199" s="154" t="b">
        <f t="shared" si="3"/>
        <v>1</v>
      </c>
      <c r="I199" s="154"/>
      <c r="J199" s="154"/>
    </row>
    <row r="200" spans="1:10" ht="14.25">
      <c r="A200" s="7" t="s">
        <v>1470</v>
      </c>
      <c r="B200" s="60">
        <v>521211</v>
      </c>
      <c r="C200" s="41" t="s">
        <v>7</v>
      </c>
      <c r="D200" s="60"/>
      <c r="E200" s="60"/>
      <c r="F200" s="42"/>
      <c r="G200" s="42">
        <f>SUM(G201:G203)</f>
        <v>32000000</v>
      </c>
      <c r="H200" s="154" t="b">
        <f t="shared" si="3"/>
        <v>1</v>
      </c>
      <c r="I200" s="154"/>
      <c r="J200" s="154"/>
    </row>
    <row r="201" spans="1:10" ht="14.25">
      <c r="A201" s="7" t="s">
        <v>1471</v>
      </c>
      <c r="B201" s="124"/>
      <c r="C201" s="123" t="s">
        <v>3587</v>
      </c>
      <c r="D201" s="124">
        <v>8</v>
      </c>
      <c r="E201" s="124" t="s">
        <v>9</v>
      </c>
      <c r="F201" s="125">
        <v>1500000</v>
      </c>
      <c r="G201" s="125">
        <f>ROUNDDOWN(D201*F201,-3)</f>
        <v>12000000</v>
      </c>
      <c r="H201" s="154" t="b">
        <f t="shared" si="3"/>
        <v>1</v>
      </c>
      <c r="I201" s="154"/>
      <c r="J201" s="154"/>
    </row>
    <row r="202" spans="1:10" ht="14.25">
      <c r="A202" s="7" t="s">
        <v>1472</v>
      </c>
      <c r="B202" s="124"/>
      <c r="C202" s="123" t="s">
        <v>3598</v>
      </c>
      <c r="D202" s="124">
        <v>8</v>
      </c>
      <c r="E202" s="124" t="s">
        <v>9</v>
      </c>
      <c r="F202" s="125">
        <v>1000000</v>
      </c>
      <c r="G202" s="125">
        <f>ROUNDDOWN(D202*F202,-3)</f>
        <v>8000000</v>
      </c>
      <c r="H202" s="154" t="b">
        <f t="shared" si="3"/>
        <v>1</v>
      </c>
      <c r="I202" s="154"/>
      <c r="J202" s="154"/>
    </row>
    <row r="203" spans="1:10" ht="14.25">
      <c r="A203" s="7" t="s">
        <v>1473</v>
      </c>
      <c r="B203" s="124"/>
      <c r="C203" s="123" t="s">
        <v>3599</v>
      </c>
      <c r="D203" s="124">
        <v>8</v>
      </c>
      <c r="E203" s="124" t="s">
        <v>9</v>
      </c>
      <c r="F203" s="125">
        <v>1500000</v>
      </c>
      <c r="G203" s="125">
        <f>ROUNDDOWN(D203*F203,-3)</f>
        <v>12000000</v>
      </c>
      <c r="H203" s="154" t="b">
        <f t="shared" si="3"/>
        <v>1</v>
      </c>
      <c r="I203" s="154"/>
      <c r="J203" s="154"/>
    </row>
    <row r="204" spans="1:10" ht="14.25">
      <c r="A204" s="7" t="s">
        <v>1474</v>
      </c>
      <c r="B204" s="60">
        <v>521219</v>
      </c>
      <c r="C204" s="41" t="s">
        <v>53</v>
      </c>
      <c r="D204" s="60"/>
      <c r="E204" s="60"/>
      <c r="F204" s="42"/>
      <c r="G204" s="42">
        <f>SUM(G205:G208)</f>
        <v>298141000</v>
      </c>
      <c r="H204" s="154" t="b">
        <f t="shared" si="3"/>
        <v>1</v>
      </c>
      <c r="I204" s="154"/>
      <c r="J204" s="154"/>
    </row>
    <row r="205" spans="1:10" ht="14.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c r="A206" s="7" t="s">
        <v>1477</v>
      </c>
      <c r="B206" s="124"/>
      <c r="C206" s="123" t="s">
        <v>3652</v>
      </c>
      <c r="D206" s="124">
        <v>30</v>
      </c>
      <c r="E206" s="124" t="s">
        <v>776</v>
      </c>
      <c r="F206" s="125">
        <v>8000000</v>
      </c>
      <c r="G206" s="125">
        <f>ROUNDDOWN(D206*F206,-3)</f>
        <v>240000000</v>
      </c>
      <c r="H206" s="154" t="b">
        <f t="shared" si="4"/>
        <v>1</v>
      </c>
      <c r="I206" s="154"/>
      <c r="J206" s="154"/>
    </row>
    <row r="207" spans="1:10" ht="25.5">
      <c r="A207" s="7" t="s">
        <v>1479</v>
      </c>
      <c r="B207" s="124"/>
      <c r="C207" s="123" t="s">
        <v>3653</v>
      </c>
      <c r="D207" s="124">
        <v>400</v>
      </c>
      <c r="E207" s="124" t="s">
        <v>10</v>
      </c>
      <c r="F207" s="125">
        <v>15000</v>
      </c>
      <c r="G207" s="125">
        <f>ROUNDDOWN(D207*F207,-3)</f>
        <v>6000000</v>
      </c>
      <c r="H207" s="154" t="b">
        <f t="shared" si="4"/>
        <v>1</v>
      </c>
      <c r="I207" s="154"/>
      <c r="J207" s="154"/>
    </row>
    <row r="208" spans="1:10" ht="14.25">
      <c r="A208" s="7" t="s">
        <v>1481</v>
      </c>
      <c r="B208" s="124"/>
      <c r="C208" s="123" t="s">
        <v>3654</v>
      </c>
      <c r="D208" s="124">
        <v>1</v>
      </c>
      <c r="E208" s="124" t="s">
        <v>60</v>
      </c>
      <c r="F208" s="125">
        <v>12141000</v>
      </c>
      <c r="G208" s="125">
        <f>ROUNDDOWN(D208*F208,-3)</f>
        <v>12141000</v>
      </c>
      <c r="H208" s="154" t="b">
        <f t="shared" si="4"/>
        <v>1</v>
      </c>
      <c r="I208" s="154"/>
      <c r="J208" s="154"/>
    </row>
    <row r="209" spans="1:10" ht="14.25">
      <c r="A209" s="7" t="s">
        <v>1483</v>
      </c>
      <c r="B209" s="60">
        <v>522151</v>
      </c>
      <c r="C209" s="41" t="s">
        <v>11</v>
      </c>
      <c r="D209" s="60"/>
      <c r="E209" s="60"/>
      <c r="F209" s="42"/>
      <c r="G209" s="42">
        <f>G210</f>
        <v>30000000</v>
      </c>
      <c r="H209" s="154" t="b">
        <f t="shared" si="4"/>
        <v>1</v>
      </c>
      <c r="I209" s="154"/>
      <c r="J209" s="154"/>
    </row>
    <row r="210" spans="1:10" ht="14.25">
      <c r="A210" s="7" t="s">
        <v>1484</v>
      </c>
      <c r="B210" s="124"/>
      <c r="C210" s="123" t="s">
        <v>3603</v>
      </c>
      <c r="D210" s="124">
        <v>30</v>
      </c>
      <c r="E210" s="124" t="s">
        <v>54</v>
      </c>
      <c r="F210" s="125">
        <v>1000000</v>
      </c>
      <c r="G210" s="125">
        <f>ROUNDDOWN(D210*F210,-3)</f>
        <v>30000000</v>
      </c>
      <c r="H210" s="154" t="b">
        <f t="shared" si="4"/>
        <v>1</v>
      </c>
      <c r="I210" s="154"/>
      <c r="J210" s="154"/>
    </row>
    <row r="211" spans="1:10" ht="14.25">
      <c r="A211" s="7" t="s">
        <v>1485</v>
      </c>
      <c r="B211" s="60">
        <v>522192</v>
      </c>
      <c r="C211" s="41" t="s">
        <v>24</v>
      </c>
      <c r="D211" s="60"/>
      <c r="E211" s="60"/>
      <c r="F211" s="42"/>
      <c r="G211" s="42">
        <f>G212</f>
        <v>8000000</v>
      </c>
      <c r="H211" s="154" t="b">
        <f t="shared" si="4"/>
        <v>1</v>
      </c>
      <c r="I211" s="154"/>
      <c r="J211" s="154"/>
    </row>
    <row r="212" spans="1:10" ht="14.25">
      <c r="A212" s="7" t="s">
        <v>1486</v>
      </c>
      <c r="B212" s="124"/>
      <c r="C212" s="123" t="s">
        <v>3623</v>
      </c>
      <c r="D212" s="124">
        <v>1</v>
      </c>
      <c r="E212" s="124" t="s">
        <v>60</v>
      </c>
      <c r="F212" s="125">
        <v>8000000</v>
      </c>
      <c r="G212" s="125">
        <f>ROUNDDOWN(D212*F212,-3)</f>
        <v>8000000</v>
      </c>
      <c r="H212" s="154" t="b">
        <f t="shared" si="4"/>
        <v>1</v>
      </c>
      <c r="I212" s="154"/>
      <c r="J212" s="154"/>
    </row>
    <row r="213" spans="1:10" ht="14.25">
      <c r="A213" s="7" t="s">
        <v>1487</v>
      </c>
      <c r="B213" s="60">
        <v>524111</v>
      </c>
      <c r="C213" s="41" t="s">
        <v>19</v>
      </c>
      <c r="D213" s="60"/>
      <c r="E213" s="60"/>
      <c r="F213" s="42"/>
      <c r="G213" s="42">
        <f>G214</f>
        <v>81859000</v>
      </c>
      <c r="H213" s="154" t="b">
        <f t="shared" si="4"/>
        <v>1</v>
      </c>
      <c r="I213" s="154"/>
      <c r="J213" s="154"/>
    </row>
    <row r="214" spans="1:10" ht="25.5">
      <c r="A214" s="7" t="s">
        <v>1488</v>
      </c>
      <c r="B214" s="124"/>
      <c r="C214" s="123" t="s">
        <v>3655</v>
      </c>
      <c r="D214" s="124">
        <v>32</v>
      </c>
      <c r="E214" s="124" t="s">
        <v>10</v>
      </c>
      <c r="F214" s="125">
        <v>2558095</v>
      </c>
      <c r="G214" s="125">
        <f>ROUNDDOWN(D214*F214,-3)</f>
        <v>81859000</v>
      </c>
      <c r="H214" s="154" t="b">
        <f t="shared" si="4"/>
        <v>1</v>
      </c>
      <c r="I214" s="154"/>
      <c r="J214" s="154"/>
    </row>
    <row r="215" spans="1:10" ht="14.25">
      <c r="A215" s="7" t="s">
        <v>1490</v>
      </c>
      <c r="B215" s="59" t="s">
        <v>579</v>
      </c>
      <c r="C215" s="38" t="s">
        <v>56</v>
      </c>
      <c r="D215" s="59"/>
      <c r="E215" s="59"/>
      <c r="F215" s="39"/>
      <c r="G215" s="39">
        <f>SUM(G216,G221,G223,G225)</f>
        <v>350000000</v>
      </c>
      <c r="H215" s="154" t="b">
        <f t="shared" si="4"/>
        <v>1</v>
      </c>
      <c r="I215" s="154"/>
      <c r="J215" s="154"/>
    </row>
    <row r="216" spans="1:10" ht="14.25">
      <c r="A216" s="7" t="s">
        <v>1491</v>
      </c>
      <c r="B216" s="60">
        <v>521211</v>
      </c>
      <c r="C216" s="41" t="s">
        <v>7</v>
      </c>
      <c r="D216" s="60"/>
      <c r="E216" s="60"/>
      <c r="F216" s="42"/>
      <c r="G216" s="42">
        <f>SUM(G217:G220)</f>
        <v>31000000</v>
      </c>
      <c r="H216" s="154" t="b">
        <f t="shared" si="4"/>
        <v>1</v>
      </c>
      <c r="I216" s="154"/>
      <c r="J216" s="154"/>
    </row>
    <row r="217" spans="1:10" ht="14.25">
      <c r="A217" s="7" t="s">
        <v>1492</v>
      </c>
      <c r="B217" s="124"/>
      <c r="C217" s="123" t="s">
        <v>3601</v>
      </c>
      <c r="D217" s="124">
        <v>300</v>
      </c>
      <c r="E217" s="124" t="s">
        <v>10</v>
      </c>
      <c r="F217" s="125">
        <v>75000</v>
      </c>
      <c r="G217" s="125">
        <f>ROUNDDOWN(D217*F217,-3)</f>
        <v>22500000</v>
      </c>
      <c r="H217" s="154" t="b">
        <f t="shared" si="4"/>
        <v>1</v>
      </c>
      <c r="I217" s="154"/>
      <c r="J217" s="154"/>
    </row>
    <row r="218" spans="1:10" ht="14.25">
      <c r="A218" s="7" t="s">
        <v>1493</v>
      </c>
      <c r="B218" s="124"/>
      <c r="C218" s="123" t="s">
        <v>3602</v>
      </c>
      <c r="D218" s="124">
        <v>1</v>
      </c>
      <c r="E218" s="124" t="s">
        <v>9</v>
      </c>
      <c r="F218" s="125">
        <v>1000000</v>
      </c>
      <c r="G218" s="125">
        <f>ROUNDDOWN(D218*F218,-3)</f>
        <v>1000000</v>
      </c>
      <c r="H218" s="154" t="b">
        <f t="shared" si="4"/>
        <v>1</v>
      </c>
      <c r="I218" s="154"/>
      <c r="J218" s="154"/>
    </row>
    <row r="219" spans="1:10" ht="14.25">
      <c r="A219" s="7" t="s">
        <v>1494</v>
      </c>
      <c r="B219" s="124"/>
      <c r="C219" s="123" t="s">
        <v>3588</v>
      </c>
      <c r="D219" s="124">
        <v>3</v>
      </c>
      <c r="E219" s="124" t="s">
        <v>9</v>
      </c>
      <c r="F219" s="125">
        <v>1000000</v>
      </c>
      <c r="G219" s="125">
        <f>ROUNDDOWN(D219*F219,-3)</f>
        <v>3000000</v>
      </c>
      <c r="H219" s="154" t="b">
        <f t="shared" si="4"/>
        <v>1</v>
      </c>
      <c r="I219" s="154"/>
      <c r="J219" s="154"/>
    </row>
    <row r="220" spans="1:10" ht="14.25">
      <c r="A220" s="7" t="s">
        <v>1495</v>
      </c>
      <c r="B220" s="124"/>
      <c r="C220" s="123" t="s">
        <v>3589</v>
      </c>
      <c r="D220" s="124">
        <v>3</v>
      </c>
      <c r="E220" s="124" t="s">
        <v>9</v>
      </c>
      <c r="F220" s="125">
        <v>1500000</v>
      </c>
      <c r="G220" s="125">
        <f>ROUNDDOWN(D220*F220,-3)</f>
        <v>4500000</v>
      </c>
      <c r="H220" s="154" t="b">
        <f t="shared" si="4"/>
        <v>1</v>
      </c>
      <c r="I220" s="154"/>
      <c r="J220" s="154"/>
    </row>
    <row r="221" spans="1:10" ht="14.25">
      <c r="A221" s="7" t="s">
        <v>1496</v>
      </c>
      <c r="B221" s="60">
        <v>521219</v>
      </c>
      <c r="C221" s="41" t="s">
        <v>53</v>
      </c>
      <c r="D221" s="60"/>
      <c r="E221" s="60"/>
      <c r="F221" s="42"/>
      <c r="G221" s="42">
        <f>G222</f>
        <v>3000000</v>
      </c>
      <c r="H221" s="154" t="b">
        <f t="shared" si="4"/>
        <v>1</v>
      </c>
      <c r="I221" s="154"/>
      <c r="J221" s="154"/>
    </row>
    <row r="222" spans="1:10" ht="14.25">
      <c r="A222" s="7" t="s">
        <v>1497</v>
      </c>
      <c r="B222" s="124"/>
      <c r="C222" s="123" t="s">
        <v>3610</v>
      </c>
      <c r="D222" s="124">
        <v>12</v>
      </c>
      <c r="E222" s="124" t="s">
        <v>78</v>
      </c>
      <c r="F222" s="125">
        <v>250000</v>
      </c>
      <c r="G222" s="125">
        <f>ROUNDDOWN(D222*F222,-3)</f>
        <v>3000000</v>
      </c>
      <c r="H222" s="154" t="b">
        <f t="shared" si="4"/>
        <v>1</v>
      </c>
      <c r="I222" s="154"/>
      <c r="J222" s="154"/>
    </row>
    <row r="223" spans="1:10" ht="14.25">
      <c r="A223" s="7" t="s">
        <v>1498</v>
      </c>
      <c r="B223" s="60">
        <v>522151</v>
      </c>
      <c r="C223" s="41" t="s">
        <v>11</v>
      </c>
      <c r="D223" s="60"/>
      <c r="E223" s="60"/>
      <c r="F223" s="42"/>
      <c r="G223" s="42">
        <f>G224</f>
        <v>70000000</v>
      </c>
      <c r="H223" s="154" t="b">
        <f t="shared" si="4"/>
        <v>1</v>
      </c>
      <c r="I223" s="154"/>
      <c r="J223" s="154"/>
    </row>
    <row r="224" spans="1:10" ht="14.25">
      <c r="A224" s="7" t="s">
        <v>1499</v>
      </c>
      <c r="B224" s="124"/>
      <c r="C224" s="123" t="s">
        <v>3656</v>
      </c>
      <c r="D224" s="124">
        <v>70</v>
      </c>
      <c r="E224" s="124" t="s">
        <v>12</v>
      </c>
      <c r="F224" s="125">
        <v>1000000</v>
      </c>
      <c r="G224" s="125">
        <f>ROUNDDOWN(D224*F224,-3)</f>
        <v>70000000</v>
      </c>
      <c r="H224" s="154" t="b">
        <f t="shared" si="4"/>
        <v>1</v>
      </c>
      <c r="I224" s="154"/>
      <c r="J224" s="154"/>
    </row>
    <row r="225" spans="1:10" ht="14.25">
      <c r="A225" s="7" t="s">
        <v>1501</v>
      </c>
      <c r="B225" s="60">
        <v>524111</v>
      </c>
      <c r="C225" s="41" t="s">
        <v>19</v>
      </c>
      <c r="D225" s="60"/>
      <c r="E225" s="60"/>
      <c r="F225" s="42"/>
      <c r="G225" s="42">
        <f>G226</f>
        <v>246000000</v>
      </c>
      <c r="H225" s="154" t="b">
        <f t="shared" si="4"/>
        <v>1</v>
      </c>
      <c r="I225" s="154"/>
      <c r="J225" s="154"/>
    </row>
    <row r="226" spans="1:10" ht="14.25">
      <c r="A226" s="7" t="s">
        <v>1502</v>
      </c>
      <c r="B226" s="124"/>
      <c r="C226" s="123" t="s">
        <v>3657</v>
      </c>
      <c r="D226" s="124">
        <v>39</v>
      </c>
      <c r="E226" s="124" t="s">
        <v>10</v>
      </c>
      <c r="F226" s="125">
        <v>6307694</v>
      </c>
      <c r="G226" s="125">
        <f>ROUNDDOWN(D226*F226,-3)</f>
        <v>246000000</v>
      </c>
      <c r="H226" s="154" t="b">
        <f t="shared" si="4"/>
        <v>1</v>
      </c>
      <c r="I226" s="154"/>
      <c r="J226" s="154"/>
    </row>
    <row r="227" spans="1:10" ht="25.5">
      <c r="A227" s="7" t="s">
        <v>1504</v>
      </c>
      <c r="B227" s="59" t="s">
        <v>580</v>
      </c>
      <c r="C227" s="38" t="s">
        <v>1505</v>
      </c>
      <c r="D227" s="59"/>
      <c r="E227" s="59"/>
      <c r="F227" s="39"/>
      <c r="G227" s="39">
        <f>SUM(G228,G238,G241,G245)</f>
        <v>668000000</v>
      </c>
      <c r="H227" s="154" t="b">
        <f t="shared" si="4"/>
        <v>1</v>
      </c>
      <c r="I227" s="154"/>
      <c r="J227" s="154"/>
    </row>
    <row r="228" spans="1:10" ht="14.25">
      <c r="A228" s="7" t="s">
        <v>1506</v>
      </c>
      <c r="B228" s="60">
        <v>521211</v>
      </c>
      <c r="C228" s="41" t="s">
        <v>7</v>
      </c>
      <c r="D228" s="60"/>
      <c r="E228" s="60"/>
      <c r="F228" s="42"/>
      <c r="G228" s="42">
        <f>SUM(G229:G237)</f>
        <v>84800000</v>
      </c>
      <c r="H228" s="154" t="b">
        <f t="shared" si="4"/>
        <v>1</v>
      </c>
      <c r="I228" s="154"/>
      <c r="J228" s="154"/>
    </row>
    <row r="229" spans="1:10" ht="14.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c r="A230" s="7" t="s">
        <v>1508</v>
      </c>
      <c r="B230" s="124"/>
      <c r="C230" s="123" t="s">
        <v>3602</v>
      </c>
      <c r="D230" s="124">
        <v>2</v>
      </c>
      <c r="E230" s="124" t="s">
        <v>9</v>
      </c>
      <c r="F230" s="125">
        <v>1000000</v>
      </c>
      <c r="G230" s="125">
        <f t="shared" si="5"/>
        <v>2000000</v>
      </c>
      <c r="H230" s="154" t="b">
        <f t="shared" si="4"/>
        <v>1</v>
      </c>
      <c r="I230" s="154"/>
      <c r="J230" s="154"/>
    </row>
    <row r="231" spans="1:10" ht="14.25">
      <c r="A231" s="7" t="s">
        <v>1509</v>
      </c>
      <c r="B231" s="124"/>
      <c r="C231" s="123" t="s">
        <v>3588</v>
      </c>
      <c r="D231" s="124">
        <v>2</v>
      </c>
      <c r="E231" s="124" t="s">
        <v>9</v>
      </c>
      <c r="F231" s="125">
        <v>1000000</v>
      </c>
      <c r="G231" s="125">
        <f t="shared" si="5"/>
        <v>2000000</v>
      </c>
      <c r="H231" s="154" t="b">
        <f t="shared" si="4"/>
        <v>1</v>
      </c>
      <c r="I231" s="154"/>
      <c r="J231" s="154"/>
    </row>
    <row r="232" spans="1:10" ht="14.25">
      <c r="A232" s="7" t="s">
        <v>1510</v>
      </c>
      <c r="B232" s="124"/>
      <c r="C232" s="123" t="s">
        <v>3589</v>
      </c>
      <c r="D232" s="124">
        <v>2</v>
      </c>
      <c r="E232" s="124" t="s">
        <v>9</v>
      </c>
      <c r="F232" s="125">
        <v>1500000</v>
      </c>
      <c r="G232" s="125">
        <f t="shared" si="5"/>
        <v>3000000</v>
      </c>
      <c r="H232" s="154" t="b">
        <f t="shared" si="4"/>
        <v>1</v>
      </c>
      <c r="I232" s="154"/>
      <c r="J232" s="154"/>
    </row>
    <row r="233" spans="1:10" ht="14.25">
      <c r="A233" s="7" t="s">
        <v>1511</v>
      </c>
      <c r="B233" s="124"/>
      <c r="C233" s="123" t="s">
        <v>3658</v>
      </c>
      <c r="D233" s="124">
        <v>20</v>
      </c>
      <c r="E233" s="124" t="s">
        <v>58</v>
      </c>
      <c r="F233" s="125">
        <v>450000</v>
      </c>
      <c r="G233" s="125">
        <f t="shared" si="5"/>
        <v>9000000</v>
      </c>
      <c r="H233" s="154" t="b">
        <f t="shared" si="4"/>
        <v>1</v>
      </c>
      <c r="I233" s="154"/>
      <c r="J233" s="154"/>
    </row>
    <row r="234" spans="1:10" ht="14.25">
      <c r="A234" s="7" t="s">
        <v>1513</v>
      </c>
      <c r="B234" s="124"/>
      <c r="C234" s="123" t="s">
        <v>3659</v>
      </c>
      <c r="D234" s="124">
        <v>20</v>
      </c>
      <c r="E234" s="124" t="s">
        <v>58</v>
      </c>
      <c r="F234" s="125">
        <v>450000</v>
      </c>
      <c r="G234" s="125">
        <f t="shared" si="5"/>
        <v>9000000</v>
      </c>
      <c r="H234" s="154" t="b">
        <f t="shared" si="4"/>
        <v>1</v>
      </c>
      <c r="I234" s="154"/>
      <c r="J234" s="154"/>
    </row>
    <row r="235" spans="1:10" ht="14.25">
      <c r="A235" s="7" t="s">
        <v>1515</v>
      </c>
      <c r="B235" s="124"/>
      <c r="C235" s="123" t="s">
        <v>3660</v>
      </c>
      <c r="D235" s="124">
        <v>1</v>
      </c>
      <c r="E235" s="124" t="s">
        <v>23</v>
      </c>
      <c r="F235" s="125">
        <v>27575000</v>
      </c>
      <c r="G235" s="125">
        <f t="shared" si="5"/>
        <v>27575000</v>
      </c>
      <c r="H235" s="154" t="b">
        <f t="shared" si="4"/>
        <v>1</v>
      </c>
      <c r="I235" s="154"/>
      <c r="J235" s="154"/>
    </row>
    <row r="236" spans="1:10" ht="14.25">
      <c r="A236" s="7" t="s">
        <v>1517</v>
      </c>
      <c r="B236" s="124"/>
      <c r="C236" s="123" t="s">
        <v>3661</v>
      </c>
      <c r="D236" s="124">
        <v>1</v>
      </c>
      <c r="E236" s="124" t="s">
        <v>23</v>
      </c>
      <c r="F236" s="125">
        <v>27575000</v>
      </c>
      <c r="G236" s="125">
        <f t="shared" si="5"/>
        <v>27575000</v>
      </c>
      <c r="H236" s="154" t="b">
        <f t="shared" si="4"/>
        <v>1</v>
      </c>
      <c r="I236" s="154"/>
      <c r="J236" s="154"/>
    </row>
    <row r="237" spans="1:10" ht="14.25">
      <c r="A237" s="7" t="s">
        <v>1519</v>
      </c>
      <c r="B237" s="124"/>
      <c r="C237" s="123" t="s">
        <v>3662</v>
      </c>
      <c r="D237" s="124">
        <v>3</v>
      </c>
      <c r="E237" s="124" t="s">
        <v>58</v>
      </c>
      <c r="F237" s="125">
        <v>300000</v>
      </c>
      <c r="G237" s="125">
        <f t="shared" si="5"/>
        <v>900000</v>
      </c>
      <c r="H237" s="154" t="b">
        <f t="shared" si="4"/>
        <v>1</v>
      </c>
      <c r="I237" s="154"/>
      <c r="J237" s="154"/>
    </row>
    <row r="238" spans="1:10" ht="14.25">
      <c r="A238" s="7" t="s">
        <v>1521</v>
      </c>
      <c r="B238" s="60">
        <v>521219</v>
      </c>
      <c r="C238" s="41" t="s">
        <v>53</v>
      </c>
      <c r="D238" s="60"/>
      <c r="E238" s="60"/>
      <c r="F238" s="42"/>
      <c r="G238" s="42">
        <f>SUM(G239:G240)</f>
        <v>393200000</v>
      </c>
      <c r="H238" s="154" t="b">
        <f t="shared" si="4"/>
        <v>1</v>
      </c>
      <c r="I238" s="154"/>
      <c r="J238" s="154"/>
    </row>
    <row r="239" spans="1:10" ht="14.25">
      <c r="A239" s="7" t="s">
        <v>1522</v>
      </c>
      <c r="B239" s="124"/>
      <c r="C239" s="123" t="s">
        <v>3663</v>
      </c>
      <c r="D239" s="124">
        <v>1</v>
      </c>
      <c r="E239" s="124" t="s">
        <v>66</v>
      </c>
      <c r="F239" s="125">
        <v>196600000</v>
      </c>
      <c r="G239" s="125">
        <f>ROUNDDOWN(D239*F239,-3)</f>
        <v>196600000</v>
      </c>
      <c r="H239" s="154" t="b">
        <f t="shared" si="4"/>
        <v>1</v>
      </c>
      <c r="I239" s="154"/>
      <c r="J239" s="154"/>
    </row>
    <row r="240" spans="1:10" ht="14.25">
      <c r="A240" s="7" t="s">
        <v>1524</v>
      </c>
      <c r="B240" s="124"/>
      <c r="C240" s="123" t="s">
        <v>3664</v>
      </c>
      <c r="D240" s="124">
        <v>1</v>
      </c>
      <c r="E240" s="124" t="s">
        <v>66</v>
      </c>
      <c r="F240" s="125">
        <v>196600000</v>
      </c>
      <c r="G240" s="125">
        <f>ROUNDDOWN(D240*F240,-3)</f>
        <v>196600000</v>
      </c>
      <c r="H240" s="154" t="b">
        <f t="shared" si="4"/>
        <v>1</v>
      </c>
      <c r="I240" s="154"/>
      <c r="J240" s="154"/>
    </row>
    <row r="241" spans="1:10" ht="14.25">
      <c r="A241" s="7" t="s">
        <v>1526</v>
      </c>
      <c r="B241" s="60">
        <v>522141</v>
      </c>
      <c r="C241" s="41" t="s">
        <v>95</v>
      </c>
      <c r="D241" s="60"/>
      <c r="E241" s="60"/>
      <c r="F241" s="42"/>
      <c r="G241" s="42">
        <f>SUM(G242:G244)</f>
        <v>160000000</v>
      </c>
      <c r="H241" s="154" t="b">
        <f t="shared" si="4"/>
        <v>1</v>
      </c>
      <c r="I241" s="154"/>
      <c r="J241" s="154"/>
    </row>
    <row r="242" spans="1:10" ht="14.25">
      <c r="A242" s="7" t="s">
        <v>1527</v>
      </c>
      <c r="B242" s="124"/>
      <c r="C242" s="123" t="s">
        <v>3665</v>
      </c>
      <c r="D242" s="124">
        <v>2</v>
      </c>
      <c r="E242" s="124" t="s">
        <v>23</v>
      </c>
      <c r="F242" s="125">
        <v>50000000</v>
      </c>
      <c r="G242" s="125">
        <f>ROUNDDOWN(D242*F242,-3)</f>
        <v>100000000</v>
      </c>
      <c r="H242" s="154" t="b">
        <f t="shared" si="4"/>
        <v>1</v>
      </c>
      <c r="I242" s="154"/>
      <c r="J242" s="154"/>
    </row>
    <row r="243" spans="1:10" ht="14.25">
      <c r="A243" s="7" t="s">
        <v>1529</v>
      </c>
      <c r="B243" s="124"/>
      <c r="C243" s="123" t="s">
        <v>3666</v>
      </c>
      <c r="D243" s="124">
        <v>2</v>
      </c>
      <c r="E243" s="124" t="s">
        <v>23</v>
      </c>
      <c r="F243" s="125">
        <v>10000000</v>
      </c>
      <c r="G243" s="125">
        <f>ROUNDDOWN(D243*F243,-3)</f>
        <v>20000000</v>
      </c>
      <c r="H243" s="154" t="b">
        <f t="shared" si="4"/>
        <v>1</v>
      </c>
      <c r="I243" s="154"/>
      <c r="J243" s="154"/>
    </row>
    <row r="244" spans="1:10" ht="14.25">
      <c r="A244" s="7" t="s">
        <v>1531</v>
      </c>
      <c r="B244" s="124"/>
      <c r="C244" s="123" t="s">
        <v>3667</v>
      </c>
      <c r="D244" s="124">
        <v>4</v>
      </c>
      <c r="E244" s="124" t="s">
        <v>23</v>
      </c>
      <c r="F244" s="125">
        <v>10000000</v>
      </c>
      <c r="G244" s="125">
        <f>ROUNDDOWN(D244*F244,-3)</f>
        <v>40000000</v>
      </c>
      <c r="H244" s="154" t="b">
        <f t="shared" si="4"/>
        <v>1</v>
      </c>
      <c r="I244" s="154"/>
      <c r="J244" s="154"/>
    </row>
    <row r="245" spans="1:10" ht="14.25">
      <c r="A245" s="7" t="s">
        <v>1533</v>
      </c>
      <c r="B245" s="60">
        <v>524111</v>
      </c>
      <c r="C245" s="41" t="s">
        <v>19</v>
      </c>
      <c r="D245" s="60"/>
      <c r="E245" s="60"/>
      <c r="F245" s="42"/>
      <c r="G245" s="42">
        <f>G246</f>
        <v>30000000</v>
      </c>
      <c r="H245" s="154" t="b">
        <f t="shared" si="4"/>
        <v>1</v>
      </c>
      <c r="I245" s="154"/>
      <c r="J245" s="154"/>
    </row>
    <row r="246" spans="1:10" ht="25.5">
      <c r="A246" s="7" t="s">
        <v>1534</v>
      </c>
      <c r="B246" s="124"/>
      <c r="C246" s="123" t="s">
        <v>3668</v>
      </c>
      <c r="D246" s="124">
        <v>12</v>
      </c>
      <c r="E246" s="124" t="s">
        <v>10</v>
      </c>
      <c r="F246" s="125">
        <v>2500000</v>
      </c>
      <c r="G246" s="125">
        <f>ROUNDDOWN(D246*F246,-3)</f>
        <v>30000000</v>
      </c>
      <c r="H246" s="154" t="b">
        <f t="shared" si="4"/>
        <v>1</v>
      </c>
      <c r="I246" s="154"/>
      <c r="J246" s="154"/>
    </row>
    <row r="247" spans="1:10" ht="25.5">
      <c r="A247" s="7" t="s">
        <v>1536</v>
      </c>
      <c r="B247" s="59" t="s">
        <v>581</v>
      </c>
      <c r="C247" s="38" t="s">
        <v>1537</v>
      </c>
      <c r="D247" s="59"/>
      <c r="E247" s="59"/>
      <c r="F247" s="39"/>
      <c r="G247" s="39">
        <f>SUM(G248,G256,G258,G260)</f>
        <v>82000000</v>
      </c>
      <c r="H247" s="154" t="b">
        <f t="shared" si="4"/>
        <v>1</v>
      </c>
      <c r="I247" s="154"/>
      <c r="J247" s="154"/>
    </row>
    <row r="248" spans="1:10" ht="14.25">
      <c r="A248" s="7" t="s">
        <v>1538</v>
      </c>
      <c r="B248" s="60">
        <v>521211</v>
      </c>
      <c r="C248" s="41" t="s">
        <v>7</v>
      </c>
      <c r="D248" s="60"/>
      <c r="E248" s="60"/>
      <c r="F248" s="42"/>
      <c r="G248" s="42">
        <f>SUM(G249:G255)</f>
        <v>17550000</v>
      </c>
      <c r="H248" s="154" t="b">
        <f t="shared" si="4"/>
        <v>1</v>
      </c>
      <c r="I248" s="154"/>
      <c r="J248" s="154"/>
    </row>
    <row r="249" spans="1:10" ht="14.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c r="A250" s="7" t="s">
        <v>1540</v>
      </c>
      <c r="B250" s="124"/>
      <c r="C250" s="123" t="s">
        <v>3602</v>
      </c>
      <c r="D250" s="124">
        <v>2</v>
      </c>
      <c r="E250" s="124" t="s">
        <v>9</v>
      </c>
      <c r="F250" s="125">
        <v>1000000</v>
      </c>
      <c r="G250" s="125">
        <f t="shared" si="6"/>
        <v>2000000</v>
      </c>
      <c r="H250" s="154" t="b">
        <f t="shared" si="4"/>
        <v>1</v>
      </c>
      <c r="I250" s="154"/>
      <c r="J250" s="154"/>
    </row>
    <row r="251" spans="1:10" ht="14.25">
      <c r="A251" s="7" t="s">
        <v>1541</v>
      </c>
      <c r="B251" s="124"/>
      <c r="C251" s="123" t="s">
        <v>3588</v>
      </c>
      <c r="D251" s="124">
        <v>2</v>
      </c>
      <c r="E251" s="124" t="s">
        <v>9</v>
      </c>
      <c r="F251" s="125">
        <v>1000000</v>
      </c>
      <c r="G251" s="125">
        <f t="shared" si="6"/>
        <v>2000000</v>
      </c>
      <c r="H251" s="154" t="b">
        <f t="shared" si="4"/>
        <v>1</v>
      </c>
      <c r="I251" s="154"/>
      <c r="J251" s="154"/>
    </row>
    <row r="252" spans="1:10" ht="14.25">
      <c r="A252" s="7" t="s">
        <v>1542</v>
      </c>
      <c r="B252" s="124"/>
      <c r="C252" s="123" t="s">
        <v>3589</v>
      </c>
      <c r="D252" s="124">
        <v>2</v>
      </c>
      <c r="E252" s="124" t="s">
        <v>9</v>
      </c>
      <c r="F252" s="125">
        <v>1500000</v>
      </c>
      <c r="G252" s="125">
        <f t="shared" si="6"/>
        <v>3000000</v>
      </c>
      <c r="H252" s="154" t="b">
        <f t="shared" si="4"/>
        <v>1</v>
      </c>
      <c r="I252" s="154"/>
      <c r="J252" s="154"/>
    </row>
    <row r="253" spans="1:10" ht="14.25">
      <c r="A253" s="7" t="s">
        <v>1543</v>
      </c>
      <c r="B253" s="124"/>
      <c r="C253" s="123" t="s">
        <v>3669</v>
      </c>
      <c r="D253" s="124">
        <v>10</v>
      </c>
      <c r="E253" s="124" t="s">
        <v>58</v>
      </c>
      <c r="F253" s="125">
        <v>250000</v>
      </c>
      <c r="G253" s="125">
        <f t="shared" si="6"/>
        <v>2500000</v>
      </c>
      <c r="H253" s="154" t="b">
        <f t="shared" si="4"/>
        <v>1</v>
      </c>
      <c r="I253" s="154"/>
      <c r="J253" s="154"/>
    </row>
    <row r="254" spans="1:10" ht="14.25">
      <c r="A254" s="7" t="s">
        <v>1545</v>
      </c>
      <c r="B254" s="124"/>
      <c r="C254" s="123" t="s">
        <v>3670</v>
      </c>
      <c r="D254" s="124">
        <v>500</v>
      </c>
      <c r="E254" s="124" t="s">
        <v>58</v>
      </c>
      <c r="F254" s="125">
        <v>6000</v>
      </c>
      <c r="G254" s="125">
        <f t="shared" si="6"/>
        <v>3000000</v>
      </c>
      <c r="H254" s="154" t="b">
        <f t="shared" si="4"/>
        <v>1</v>
      </c>
      <c r="I254" s="154"/>
      <c r="J254" s="154"/>
    </row>
    <row r="255" spans="1:10" ht="14.25">
      <c r="A255" s="7" t="s">
        <v>1547</v>
      </c>
      <c r="B255" s="124"/>
      <c r="C255" s="123" t="s">
        <v>3671</v>
      </c>
      <c r="D255" s="124">
        <v>100</v>
      </c>
      <c r="E255" s="124" t="s">
        <v>58</v>
      </c>
      <c r="F255" s="125">
        <v>35500</v>
      </c>
      <c r="G255" s="125">
        <f t="shared" si="6"/>
        <v>3550000</v>
      </c>
      <c r="H255" s="154" t="b">
        <f t="shared" si="4"/>
        <v>1</v>
      </c>
      <c r="I255" s="154"/>
      <c r="J255" s="154"/>
    </row>
    <row r="256" spans="1:10" ht="14.25">
      <c r="A256" s="7" t="s">
        <v>1549</v>
      </c>
      <c r="B256" s="60">
        <v>521219</v>
      </c>
      <c r="C256" s="41" t="s">
        <v>53</v>
      </c>
      <c r="D256" s="60"/>
      <c r="E256" s="60"/>
      <c r="F256" s="42"/>
      <c r="G256" s="42">
        <f>G257</f>
        <v>3000000</v>
      </c>
      <c r="H256" s="154" t="b">
        <f t="shared" si="4"/>
        <v>1</v>
      </c>
      <c r="I256" s="154"/>
      <c r="J256" s="154"/>
    </row>
    <row r="257" spans="1:10" ht="14.25">
      <c r="A257" s="7" t="s">
        <v>1550</v>
      </c>
      <c r="B257" s="124"/>
      <c r="C257" s="123" t="s">
        <v>3610</v>
      </c>
      <c r="D257" s="124">
        <v>12</v>
      </c>
      <c r="E257" s="124" t="s">
        <v>66</v>
      </c>
      <c r="F257" s="125">
        <v>250000</v>
      </c>
      <c r="G257" s="125">
        <f>ROUNDDOWN(D257*F257,-3)</f>
        <v>3000000</v>
      </c>
      <c r="H257" s="154" t="b">
        <f t="shared" si="4"/>
        <v>1</v>
      </c>
      <c r="I257" s="154"/>
      <c r="J257" s="154"/>
    </row>
    <row r="258" spans="1:10" ht="14.25">
      <c r="A258" s="7" t="s">
        <v>1551</v>
      </c>
      <c r="B258" s="60">
        <v>522151</v>
      </c>
      <c r="C258" s="41" t="s">
        <v>11</v>
      </c>
      <c r="D258" s="60"/>
      <c r="E258" s="60"/>
      <c r="F258" s="42"/>
      <c r="G258" s="42">
        <f>G259</f>
        <v>40000000</v>
      </c>
      <c r="H258" s="154" t="b">
        <f t="shared" si="4"/>
        <v>1</v>
      </c>
      <c r="I258" s="154"/>
      <c r="J258" s="154"/>
    </row>
    <row r="259" spans="1:10" ht="14.25">
      <c r="A259" s="7" t="s">
        <v>1552</v>
      </c>
      <c r="B259" s="124"/>
      <c r="C259" s="123" t="s">
        <v>3656</v>
      </c>
      <c r="D259" s="124">
        <v>40</v>
      </c>
      <c r="E259" s="124" t="s">
        <v>54</v>
      </c>
      <c r="F259" s="125">
        <v>1000000</v>
      </c>
      <c r="G259" s="125">
        <f>ROUNDDOWN(D259*F259,-3)</f>
        <v>40000000</v>
      </c>
      <c r="H259" s="154" t="b">
        <f t="shared" si="4"/>
        <v>1</v>
      </c>
      <c r="I259" s="154"/>
      <c r="J259" s="154"/>
    </row>
    <row r="260" spans="1:10" ht="14.25">
      <c r="A260" s="7" t="s">
        <v>1553</v>
      </c>
      <c r="B260" s="60">
        <v>524111</v>
      </c>
      <c r="C260" s="41" t="s">
        <v>19</v>
      </c>
      <c r="D260" s="60"/>
      <c r="E260" s="60"/>
      <c r="F260" s="42"/>
      <c r="G260" s="42">
        <f>G261</f>
        <v>21450000</v>
      </c>
      <c r="H260" s="154" t="b">
        <f t="shared" si="4"/>
        <v>1</v>
      </c>
      <c r="I260" s="154"/>
      <c r="J260" s="154"/>
    </row>
    <row r="261" spans="1:10" ht="25.5">
      <c r="A261" s="7" t="s">
        <v>1554</v>
      </c>
      <c r="B261" s="124"/>
      <c r="C261" s="123" t="s">
        <v>3672</v>
      </c>
      <c r="D261" s="124">
        <v>10</v>
      </c>
      <c r="E261" s="124" t="s">
        <v>10</v>
      </c>
      <c r="F261" s="125">
        <v>2145000</v>
      </c>
      <c r="G261" s="125">
        <f>ROUNDDOWN(D261*F261,-3)</f>
        <v>21450000</v>
      </c>
      <c r="H261" s="154" t="b">
        <f t="shared" si="4"/>
        <v>1</v>
      </c>
      <c r="I261" s="154"/>
      <c r="J261" s="154"/>
    </row>
    <row r="262" spans="1:10" ht="14.25">
      <c r="A262" s="7" t="s">
        <v>1699</v>
      </c>
      <c r="B262" s="119" t="s">
        <v>3673</v>
      </c>
      <c r="C262" s="118" t="s">
        <v>1701</v>
      </c>
      <c r="D262" s="119">
        <v>1</v>
      </c>
      <c r="E262" s="119" t="s">
        <v>3627</v>
      </c>
      <c r="F262" s="120"/>
      <c r="G262" s="120">
        <f>SUM(G263)</f>
        <v>2195658000</v>
      </c>
      <c r="H262" s="154" t="b">
        <f t="shared" si="4"/>
        <v>1</v>
      </c>
      <c r="I262" s="154"/>
      <c r="J262" s="154"/>
    </row>
    <row r="263" spans="1:10" ht="14.25">
      <c r="A263" s="7" t="s">
        <v>1847</v>
      </c>
      <c r="B263" s="58" t="s">
        <v>557</v>
      </c>
      <c r="C263" s="35" t="s">
        <v>89</v>
      </c>
      <c r="D263" s="58"/>
      <c r="E263" s="58"/>
      <c r="F263" s="36"/>
      <c r="G263" s="36">
        <f>SUM(G264,G285,G291,G304,G319)</f>
        <v>2195658000</v>
      </c>
      <c r="H263" s="154" t="b">
        <f t="shared" ref="H263:H289" si="7">_xlfn.ISFORMULA(G263)</f>
        <v>1</v>
      </c>
      <c r="I263" s="154"/>
      <c r="J263" s="154"/>
    </row>
    <row r="264" spans="1:10" ht="25.5">
      <c r="A264" s="7" t="s">
        <v>2170</v>
      </c>
      <c r="B264" s="59" t="s">
        <v>1807</v>
      </c>
      <c r="C264" s="38" t="s">
        <v>2171</v>
      </c>
      <c r="D264" s="59"/>
      <c r="E264" s="59"/>
      <c r="F264" s="39"/>
      <c r="G264" s="39">
        <f>SUM(G265,G275)</f>
        <v>1254380000</v>
      </c>
      <c r="H264" s="154" t="b">
        <f t="shared" si="7"/>
        <v>1</v>
      </c>
      <c r="I264" s="154"/>
      <c r="J264" s="154"/>
    </row>
    <row r="265" spans="1:10" ht="14.25">
      <c r="A265" s="7" t="s">
        <v>2172</v>
      </c>
      <c r="B265" s="60">
        <v>521111</v>
      </c>
      <c r="C265" s="41" t="s">
        <v>90</v>
      </c>
      <c r="D265" s="60"/>
      <c r="E265" s="60"/>
      <c r="F265" s="42"/>
      <c r="G265" s="42">
        <f>SUM(G266:G274)</f>
        <v>1076220000</v>
      </c>
      <c r="H265" s="154" t="b">
        <f t="shared" si="7"/>
        <v>1</v>
      </c>
      <c r="I265" s="154"/>
      <c r="J265" s="154"/>
    </row>
    <row r="266" spans="1:10" ht="14.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c r="A267" s="7" t="s">
        <v>2174</v>
      </c>
      <c r="B267" s="124"/>
      <c r="C267" s="123" t="s">
        <v>3708</v>
      </c>
      <c r="D267" s="124">
        <v>1</v>
      </c>
      <c r="E267" s="124" t="s">
        <v>60</v>
      </c>
      <c r="F267" s="125">
        <v>60000000</v>
      </c>
      <c r="G267" s="125">
        <f t="shared" si="8"/>
        <v>60000000</v>
      </c>
      <c r="H267" s="154" t="b">
        <f t="shared" si="7"/>
        <v>1</v>
      </c>
      <c r="I267" s="154"/>
      <c r="J267" s="154"/>
    </row>
    <row r="268" spans="1:10" ht="14.25">
      <c r="A268" s="7" t="s">
        <v>2176</v>
      </c>
      <c r="B268" s="124"/>
      <c r="C268" s="123" t="s">
        <v>3709</v>
      </c>
      <c r="D268" s="124">
        <v>156</v>
      </c>
      <c r="E268" s="124" t="s">
        <v>21</v>
      </c>
      <c r="F268" s="125">
        <v>4858000</v>
      </c>
      <c r="G268" s="125">
        <f t="shared" si="8"/>
        <v>757848000</v>
      </c>
      <c r="H268" s="154" t="b">
        <f t="shared" si="7"/>
        <v>1</v>
      </c>
      <c r="I268" s="154"/>
      <c r="J268" s="154"/>
    </row>
    <row r="269" spans="1:10" ht="14.25">
      <c r="A269" s="7" t="s">
        <v>2178</v>
      </c>
      <c r="B269" s="124"/>
      <c r="C269" s="123" t="s">
        <v>3710</v>
      </c>
      <c r="D269" s="124">
        <v>13</v>
      </c>
      <c r="E269" s="124" t="s">
        <v>32</v>
      </c>
      <c r="F269" s="125">
        <v>5344000</v>
      </c>
      <c r="G269" s="125">
        <f t="shared" si="8"/>
        <v>69472000</v>
      </c>
      <c r="H269" s="154" t="b">
        <f t="shared" si="7"/>
        <v>1</v>
      </c>
      <c r="I269" s="154"/>
      <c r="J269" s="154"/>
    </row>
    <row r="270" spans="1:10" ht="25.5">
      <c r="A270" s="7" t="s">
        <v>2179</v>
      </c>
      <c r="B270" s="124"/>
      <c r="C270" s="123" t="s">
        <v>3711</v>
      </c>
      <c r="D270" s="124">
        <v>12</v>
      </c>
      <c r="E270" s="124" t="s">
        <v>78</v>
      </c>
      <c r="F270" s="125">
        <v>500000</v>
      </c>
      <c r="G270" s="125">
        <f t="shared" si="8"/>
        <v>6000000</v>
      </c>
      <c r="H270" s="154" t="b">
        <f t="shared" si="7"/>
        <v>1</v>
      </c>
      <c r="I270" s="154"/>
      <c r="J270" s="154"/>
    </row>
    <row r="271" spans="1:10" ht="14.25">
      <c r="A271" s="7" t="s">
        <v>2181</v>
      </c>
      <c r="B271" s="124"/>
      <c r="C271" s="123" t="s">
        <v>3712</v>
      </c>
      <c r="D271" s="124">
        <v>100</v>
      </c>
      <c r="E271" s="124" t="s">
        <v>58</v>
      </c>
      <c r="F271" s="125">
        <v>500000</v>
      </c>
      <c r="G271" s="125">
        <f t="shared" si="8"/>
        <v>50000000</v>
      </c>
      <c r="H271" s="154" t="b">
        <f t="shared" si="7"/>
        <v>1</v>
      </c>
      <c r="I271" s="154"/>
      <c r="J271" s="154"/>
    </row>
    <row r="272" spans="1:10" ht="14.25">
      <c r="A272" s="7" t="s">
        <v>2183</v>
      </c>
      <c r="B272" s="124"/>
      <c r="C272" s="123" t="s">
        <v>3713</v>
      </c>
      <c r="D272" s="124">
        <v>12</v>
      </c>
      <c r="E272" s="124" t="s">
        <v>115</v>
      </c>
      <c r="F272" s="125">
        <v>750000</v>
      </c>
      <c r="G272" s="125">
        <f t="shared" si="8"/>
        <v>9000000</v>
      </c>
      <c r="H272" s="154" t="b">
        <f t="shared" si="7"/>
        <v>1</v>
      </c>
      <c r="I272" s="154"/>
      <c r="J272" s="154"/>
    </row>
    <row r="273" spans="1:10" ht="14.25">
      <c r="A273" s="7" t="s">
        <v>2185</v>
      </c>
      <c r="B273" s="124"/>
      <c r="C273" s="123" t="s">
        <v>3714</v>
      </c>
      <c r="D273" s="124">
        <v>12</v>
      </c>
      <c r="E273" s="124" t="s">
        <v>115</v>
      </c>
      <c r="F273" s="125">
        <v>1325000</v>
      </c>
      <c r="G273" s="125">
        <f t="shared" si="8"/>
        <v>15900000</v>
      </c>
      <c r="H273" s="154" t="b">
        <f t="shared" si="7"/>
        <v>1</v>
      </c>
      <c r="I273" s="154"/>
      <c r="J273" s="154"/>
    </row>
    <row r="274" spans="1:10" ht="14.25">
      <c r="A274" s="7" t="s">
        <v>2187</v>
      </c>
      <c r="B274" s="124"/>
      <c r="C274" s="123" t="s">
        <v>3715</v>
      </c>
      <c r="D274" s="124">
        <v>12</v>
      </c>
      <c r="E274" s="124" t="s">
        <v>78</v>
      </c>
      <c r="F274" s="125">
        <v>2500000</v>
      </c>
      <c r="G274" s="125">
        <f t="shared" si="8"/>
        <v>30000000</v>
      </c>
      <c r="H274" s="154" t="b">
        <f t="shared" si="7"/>
        <v>1</v>
      </c>
      <c r="I274" s="154"/>
      <c r="J274" s="154"/>
    </row>
    <row r="275" spans="1:10" ht="14.25">
      <c r="A275" s="7" t="s">
        <v>2189</v>
      </c>
      <c r="B275" s="60">
        <v>521811</v>
      </c>
      <c r="C275" s="41" t="s">
        <v>64</v>
      </c>
      <c r="D275" s="60"/>
      <c r="E275" s="60"/>
      <c r="F275" s="42"/>
      <c r="G275" s="42">
        <f>SUM(G276:G284)</f>
        <v>178160000</v>
      </c>
      <c r="H275" s="154" t="b">
        <f t="shared" si="7"/>
        <v>1</v>
      </c>
      <c r="I275" s="154"/>
      <c r="J275" s="154"/>
    </row>
    <row r="276" spans="1:10" ht="14.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c r="A277" s="7" t="s">
        <v>2191</v>
      </c>
      <c r="B277" s="124"/>
      <c r="C277" s="123" t="s">
        <v>3596</v>
      </c>
      <c r="D277" s="124">
        <v>40</v>
      </c>
      <c r="E277" s="124" t="s">
        <v>9</v>
      </c>
      <c r="F277" s="125">
        <v>1500000</v>
      </c>
      <c r="G277" s="125">
        <f t="shared" si="9"/>
        <v>60000000</v>
      </c>
      <c r="H277" s="154" t="b">
        <f t="shared" si="7"/>
        <v>1</v>
      </c>
      <c r="I277" s="154"/>
      <c r="J277" s="154"/>
    </row>
    <row r="278" spans="1:10" ht="14.25">
      <c r="A278" s="7" t="s">
        <v>2192</v>
      </c>
      <c r="B278" s="124"/>
      <c r="C278" s="123" t="s">
        <v>3716</v>
      </c>
      <c r="D278" s="124">
        <v>192</v>
      </c>
      <c r="E278" s="124" t="s">
        <v>9</v>
      </c>
      <c r="F278" s="125">
        <v>50000</v>
      </c>
      <c r="G278" s="125">
        <f t="shared" si="9"/>
        <v>9600000</v>
      </c>
      <c r="H278" s="154" t="b">
        <f t="shared" si="7"/>
        <v>1</v>
      </c>
      <c r="I278" s="154"/>
      <c r="J278" s="154"/>
    </row>
    <row r="279" spans="1:10" ht="14.25">
      <c r="A279" s="7" t="s">
        <v>2194</v>
      </c>
      <c r="B279" s="124"/>
      <c r="C279" s="123" t="s">
        <v>3717</v>
      </c>
      <c r="D279" s="124">
        <v>192</v>
      </c>
      <c r="E279" s="124" t="s">
        <v>9</v>
      </c>
      <c r="F279" s="125">
        <v>55000</v>
      </c>
      <c r="G279" s="125">
        <f t="shared" si="9"/>
        <v>10560000</v>
      </c>
      <c r="H279" s="154" t="b">
        <f t="shared" si="7"/>
        <v>1</v>
      </c>
      <c r="I279" s="154"/>
      <c r="J279" s="154"/>
    </row>
    <row r="280" spans="1:10" ht="14.25">
      <c r="A280" s="7" t="s">
        <v>2196</v>
      </c>
      <c r="B280" s="124"/>
      <c r="C280" s="123" t="s">
        <v>3718</v>
      </c>
      <c r="D280" s="124">
        <v>50</v>
      </c>
      <c r="E280" s="124" t="s">
        <v>2198</v>
      </c>
      <c r="F280" s="125">
        <v>220000</v>
      </c>
      <c r="G280" s="125">
        <f t="shared" si="9"/>
        <v>11000000</v>
      </c>
      <c r="H280" s="154" t="b">
        <f t="shared" si="7"/>
        <v>1</v>
      </c>
      <c r="I280" s="154"/>
      <c r="J280" s="154"/>
    </row>
    <row r="281" spans="1:10" ht="14.25">
      <c r="A281" s="7" t="s">
        <v>2199</v>
      </c>
      <c r="B281" s="124"/>
      <c r="C281" s="123" t="s">
        <v>3719</v>
      </c>
      <c r="D281" s="124">
        <v>50</v>
      </c>
      <c r="E281" s="124" t="s">
        <v>2198</v>
      </c>
      <c r="F281" s="125">
        <v>240000</v>
      </c>
      <c r="G281" s="125">
        <f t="shared" si="9"/>
        <v>12000000</v>
      </c>
      <c r="H281" s="154" t="b">
        <f t="shared" si="7"/>
        <v>1</v>
      </c>
      <c r="I281" s="154"/>
      <c r="J281" s="154"/>
    </row>
    <row r="282" spans="1:10" ht="14.25">
      <c r="A282" s="7" t="s">
        <v>2201</v>
      </c>
      <c r="B282" s="124"/>
      <c r="C282" s="123" t="s">
        <v>3720</v>
      </c>
      <c r="D282" s="124">
        <v>800</v>
      </c>
      <c r="E282" s="124" t="s">
        <v>120</v>
      </c>
      <c r="F282" s="125">
        <v>5000</v>
      </c>
      <c r="G282" s="125">
        <f t="shared" si="9"/>
        <v>4000000</v>
      </c>
      <c r="H282" s="154" t="b">
        <f t="shared" si="7"/>
        <v>1</v>
      </c>
      <c r="I282" s="154"/>
      <c r="J282" s="154"/>
    </row>
    <row r="283" spans="1:10" ht="14.25">
      <c r="A283" s="7" t="s">
        <v>2203</v>
      </c>
      <c r="B283" s="124"/>
      <c r="C283" s="123" t="s">
        <v>3721</v>
      </c>
      <c r="D283" s="124">
        <v>50</v>
      </c>
      <c r="E283" s="124" t="s">
        <v>1422</v>
      </c>
      <c r="F283" s="125">
        <v>220000</v>
      </c>
      <c r="G283" s="125">
        <f t="shared" si="9"/>
        <v>11000000</v>
      </c>
      <c r="H283" s="154" t="b">
        <f t="shared" si="7"/>
        <v>1</v>
      </c>
      <c r="I283" s="154"/>
      <c r="J283" s="154"/>
    </row>
    <row r="284" spans="1:10" ht="14.25">
      <c r="A284" s="7" t="s">
        <v>2205</v>
      </c>
      <c r="B284" s="124"/>
      <c r="C284" s="123" t="s">
        <v>3722</v>
      </c>
      <c r="D284" s="124">
        <v>800</v>
      </c>
      <c r="E284" s="124" t="s">
        <v>120</v>
      </c>
      <c r="F284" s="125">
        <v>25000</v>
      </c>
      <c r="G284" s="125">
        <f t="shared" si="9"/>
        <v>20000000</v>
      </c>
      <c r="H284" s="154" t="b">
        <f t="shared" si="7"/>
        <v>1</v>
      </c>
      <c r="I284" s="154"/>
      <c r="J284" s="154"/>
    </row>
    <row r="285" spans="1:10" ht="14.25">
      <c r="A285" s="7" t="s">
        <v>2207</v>
      </c>
      <c r="B285" s="59" t="s">
        <v>2208</v>
      </c>
      <c r="C285" s="38" t="s">
        <v>2209</v>
      </c>
      <c r="D285" s="59"/>
      <c r="E285" s="59"/>
      <c r="F285" s="39"/>
      <c r="G285" s="39">
        <f>SUM(G286,G288)</f>
        <v>148852000</v>
      </c>
      <c r="H285" s="154" t="b">
        <f t="shared" si="7"/>
        <v>1</v>
      </c>
      <c r="I285" s="154"/>
      <c r="J285" s="154"/>
    </row>
    <row r="286" spans="1:10" ht="14.25">
      <c r="A286" s="7" t="s">
        <v>2210</v>
      </c>
      <c r="B286" s="60">
        <v>521114</v>
      </c>
      <c r="C286" s="41" t="s">
        <v>94</v>
      </c>
      <c r="D286" s="60"/>
      <c r="E286" s="60"/>
      <c r="F286" s="42"/>
      <c r="G286" s="42">
        <f>G287</f>
        <v>30000000</v>
      </c>
      <c r="H286" s="154" t="b">
        <f t="shared" si="7"/>
        <v>1</v>
      </c>
      <c r="I286" s="154"/>
      <c r="J286" s="154"/>
    </row>
    <row r="287" spans="1:10" ht="14.25">
      <c r="A287" s="7" t="s">
        <v>2211</v>
      </c>
      <c r="B287" s="124"/>
      <c r="C287" s="123" t="s">
        <v>3723</v>
      </c>
      <c r="D287" s="124">
        <v>12</v>
      </c>
      <c r="E287" s="124" t="s">
        <v>78</v>
      </c>
      <c r="F287" s="125">
        <v>2500000</v>
      </c>
      <c r="G287" s="125">
        <f>ROUNDDOWN(D287*F287,-3)</f>
        <v>30000000</v>
      </c>
      <c r="H287" s="154" t="b">
        <f t="shared" si="7"/>
        <v>1</v>
      </c>
      <c r="I287" s="154"/>
      <c r="J287" s="154"/>
    </row>
    <row r="288" spans="1:10" ht="14.25">
      <c r="A288" s="7" t="s">
        <v>2213</v>
      </c>
      <c r="B288" s="60">
        <v>522141</v>
      </c>
      <c r="C288" s="41" t="s">
        <v>95</v>
      </c>
      <c r="D288" s="60"/>
      <c r="E288" s="60"/>
      <c r="F288" s="42"/>
      <c r="G288" s="42">
        <f>SUM(G289:G290)</f>
        <v>118852000</v>
      </c>
      <c r="H288" s="154" t="b">
        <f t="shared" si="7"/>
        <v>1</v>
      </c>
      <c r="I288" s="154"/>
      <c r="J288" s="154"/>
    </row>
    <row r="289" spans="1:10" ht="14.25">
      <c r="A289" s="7" t="s">
        <v>2214</v>
      </c>
      <c r="B289" s="124"/>
      <c r="C289" s="123" t="s">
        <v>3724</v>
      </c>
      <c r="D289" s="124">
        <v>12</v>
      </c>
      <c r="E289" s="124" t="s">
        <v>78</v>
      </c>
      <c r="F289" s="125">
        <v>5000000</v>
      </c>
      <c r="G289" s="125">
        <f>ROUNDDOWN(D289*F289,-3)</f>
        <v>60000000</v>
      </c>
      <c r="H289" s="154" t="b">
        <f t="shared" si="7"/>
        <v>1</v>
      </c>
      <c r="I289" s="154"/>
      <c r="J289" s="154"/>
    </row>
    <row r="290" spans="1:10" ht="14.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c r="A291" s="7" t="s">
        <v>2218</v>
      </c>
      <c r="B291" s="59" t="s">
        <v>2219</v>
      </c>
      <c r="C291" s="38" t="s">
        <v>2220</v>
      </c>
      <c r="D291" s="59"/>
      <c r="E291" s="59"/>
      <c r="F291" s="39"/>
      <c r="G291" s="39">
        <f>SUM(G292,G302)</f>
        <v>533050000</v>
      </c>
      <c r="H291" s="154" t="b">
        <f t="shared" si="10"/>
        <v>1</v>
      </c>
      <c r="I291" s="154"/>
      <c r="J291" s="154"/>
    </row>
    <row r="292" spans="1:10" ht="14.25">
      <c r="A292" s="7" t="s">
        <v>2221</v>
      </c>
      <c r="B292" s="60">
        <v>523121</v>
      </c>
      <c r="C292" s="41" t="s">
        <v>99</v>
      </c>
      <c r="D292" s="60"/>
      <c r="E292" s="60"/>
      <c r="F292" s="42"/>
      <c r="G292" s="42">
        <f>SUM(G293:G301)</f>
        <v>497050000</v>
      </c>
      <c r="H292" s="154" t="b">
        <f t="shared" si="10"/>
        <v>1</v>
      </c>
      <c r="I292" s="154"/>
      <c r="J292" s="154"/>
    </row>
    <row r="293" spans="1:10" ht="25.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c r="A294" s="7" t="s">
        <v>2224</v>
      </c>
      <c r="B294" s="124"/>
      <c r="C294" s="123" t="s">
        <v>3727</v>
      </c>
      <c r="D294" s="124">
        <v>9</v>
      </c>
      <c r="E294" s="124" t="s">
        <v>3728</v>
      </c>
      <c r="F294" s="125">
        <v>32850000</v>
      </c>
      <c r="G294" s="125">
        <f t="shared" si="11"/>
        <v>295650000</v>
      </c>
      <c r="H294" s="154" t="b">
        <f t="shared" si="10"/>
        <v>1</v>
      </c>
      <c r="I294" s="154"/>
      <c r="J294" s="154"/>
    </row>
    <row r="295" spans="1:10" ht="25.5">
      <c r="A295" s="7" t="s">
        <v>2226</v>
      </c>
      <c r="B295" s="124"/>
      <c r="C295" s="123" t="s">
        <v>3729</v>
      </c>
      <c r="D295" s="124">
        <v>5</v>
      </c>
      <c r="E295" s="124" t="s">
        <v>42</v>
      </c>
      <c r="F295" s="125">
        <v>3640000</v>
      </c>
      <c r="G295" s="125">
        <f t="shared" si="11"/>
        <v>18200000</v>
      </c>
      <c r="H295" s="154" t="b">
        <f t="shared" si="10"/>
        <v>1</v>
      </c>
      <c r="I295" s="154"/>
      <c r="J295" s="154"/>
    </row>
    <row r="296" spans="1:10" ht="14.25">
      <c r="A296" s="7" t="s">
        <v>2228</v>
      </c>
      <c r="B296" s="124"/>
      <c r="C296" s="123" t="s">
        <v>3730</v>
      </c>
      <c r="D296" s="124">
        <v>40</v>
      </c>
      <c r="E296" s="124" t="s">
        <v>42</v>
      </c>
      <c r="F296" s="125">
        <v>730000</v>
      </c>
      <c r="G296" s="125">
        <f t="shared" si="11"/>
        <v>29200000</v>
      </c>
      <c r="H296" s="154" t="b">
        <f t="shared" si="10"/>
        <v>1</v>
      </c>
      <c r="I296" s="154"/>
      <c r="J296" s="154"/>
    </row>
    <row r="297" spans="1:10" ht="14.25">
      <c r="A297" s="7" t="s">
        <v>2229</v>
      </c>
      <c r="B297" s="124"/>
      <c r="C297" s="123" t="s">
        <v>3731</v>
      </c>
      <c r="D297" s="124">
        <v>35</v>
      </c>
      <c r="E297" s="124" t="s">
        <v>44</v>
      </c>
      <c r="F297" s="125">
        <v>730000</v>
      </c>
      <c r="G297" s="125">
        <f t="shared" si="11"/>
        <v>25550000</v>
      </c>
      <c r="H297" s="154" t="b">
        <f t="shared" si="10"/>
        <v>1</v>
      </c>
      <c r="I297" s="154"/>
      <c r="J297" s="154"/>
    </row>
    <row r="298" spans="1:10" ht="14.25">
      <c r="A298" s="7" t="s">
        <v>2230</v>
      </c>
      <c r="B298" s="124"/>
      <c r="C298" s="123" t="s">
        <v>3732</v>
      </c>
      <c r="D298" s="124">
        <v>35</v>
      </c>
      <c r="E298" s="124" t="s">
        <v>44</v>
      </c>
      <c r="F298" s="125">
        <v>690000</v>
      </c>
      <c r="G298" s="125">
        <f t="shared" si="11"/>
        <v>24150000</v>
      </c>
      <c r="H298" s="154" t="b">
        <f t="shared" si="10"/>
        <v>1</v>
      </c>
      <c r="I298" s="154"/>
      <c r="J298" s="154"/>
    </row>
    <row r="299" spans="1:10" ht="14.25">
      <c r="A299" s="7" t="s">
        <v>2231</v>
      </c>
      <c r="B299" s="124"/>
      <c r="C299" s="123" t="s">
        <v>3733</v>
      </c>
      <c r="D299" s="124">
        <v>3</v>
      </c>
      <c r="E299" s="124" t="s">
        <v>44</v>
      </c>
      <c r="F299" s="125">
        <v>3500000</v>
      </c>
      <c r="G299" s="125">
        <f t="shared" si="11"/>
        <v>10500000</v>
      </c>
      <c r="H299" s="154" t="b">
        <f t="shared" si="10"/>
        <v>1</v>
      </c>
      <c r="I299" s="154"/>
      <c r="J299" s="154"/>
    </row>
    <row r="300" spans="1:10" ht="14.25">
      <c r="A300" s="7" t="s">
        <v>2232</v>
      </c>
      <c r="B300" s="124"/>
      <c r="C300" s="123" t="s">
        <v>3734</v>
      </c>
      <c r="D300" s="124">
        <v>6</v>
      </c>
      <c r="E300" s="124" t="s">
        <v>44</v>
      </c>
      <c r="F300" s="125">
        <v>470000</v>
      </c>
      <c r="G300" s="125">
        <f t="shared" si="11"/>
        <v>2820000</v>
      </c>
      <c r="H300" s="154" t="b">
        <f t="shared" si="10"/>
        <v>1</v>
      </c>
      <c r="I300" s="154"/>
      <c r="J300" s="154"/>
    </row>
    <row r="301" spans="1:10" ht="14.25">
      <c r="A301" s="7" t="s">
        <v>2234</v>
      </c>
      <c r="B301" s="124"/>
      <c r="C301" s="123" t="s">
        <v>3735</v>
      </c>
      <c r="D301" s="124">
        <v>1</v>
      </c>
      <c r="E301" s="124" t="s">
        <v>60</v>
      </c>
      <c r="F301" s="125">
        <v>52250000</v>
      </c>
      <c r="G301" s="125">
        <f t="shared" si="11"/>
        <v>52250000</v>
      </c>
      <c r="H301" s="154" t="b">
        <f t="shared" si="10"/>
        <v>1</v>
      </c>
      <c r="I301" s="154"/>
      <c r="J301" s="154"/>
    </row>
    <row r="302" spans="1:10" ht="14.25">
      <c r="A302" s="7" t="s">
        <v>2235</v>
      </c>
      <c r="B302" s="60">
        <v>523199</v>
      </c>
      <c r="C302" s="41" t="s">
        <v>102</v>
      </c>
      <c r="D302" s="60"/>
      <c r="E302" s="60"/>
      <c r="F302" s="42"/>
      <c r="G302" s="42">
        <f>G303</f>
        <v>36000000</v>
      </c>
      <c r="H302" s="154" t="b">
        <f t="shared" si="10"/>
        <v>1</v>
      </c>
      <c r="I302" s="154"/>
      <c r="J302" s="154"/>
    </row>
    <row r="303" spans="1:10" ht="14.25">
      <c r="A303" s="7" t="s">
        <v>2236</v>
      </c>
      <c r="B303" s="124"/>
      <c r="C303" s="123" t="s">
        <v>3736</v>
      </c>
      <c r="D303" s="124">
        <v>24</v>
      </c>
      <c r="E303" s="124" t="s">
        <v>96</v>
      </c>
      <c r="F303" s="125">
        <v>1500000</v>
      </c>
      <c r="G303" s="125">
        <f>ROUNDDOWN(D303*F303,-3)</f>
        <v>36000000</v>
      </c>
      <c r="H303" s="154" t="b">
        <f t="shared" si="10"/>
        <v>1</v>
      </c>
      <c r="I303" s="154"/>
      <c r="J303" s="154"/>
    </row>
    <row r="304" spans="1:10" ht="25.5">
      <c r="A304" s="7" t="s">
        <v>2238</v>
      </c>
      <c r="B304" s="59" t="s">
        <v>2239</v>
      </c>
      <c r="C304" s="38" t="s">
        <v>2240</v>
      </c>
      <c r="D304" s="59"/>
      <c r="E304" s="59"/>
      <c r="F304" s="39"/>
      <c r="G304" s="39">
        <f>SUM(G305,G308)</f>
        <v>159376000</v>
      </c>
      <c r="H304" s="154" t="b">
        <f t="shared" si="10"/>
        <v>1</v>
      </c>
      <c r="I304" s="154"/>
      <c r="J304" s="154"/>
    </row>
    <row r="305" spans="1:10" ht="14.25">
      <c r="A305" s="7" t="s">
        <v>2241</v>
      </c>
      <c r="B305" s="60">
        <v>521111</v>
      </c>
      <c r="C305" s="41" t="s">
        <v>90</v>
      </c>
      <c r="D305" s="60"/>
      <c r="E305" s="60"/>
      <c r="F305" s="42"/>
      <c r="G305" s="42">
        <f>SUM(G306:G307)</f>
        <v>101040000</v>
      </c>
      <c r="H305" s="154" t="b">
        <f t="shared" si="10"/>
        <v>1</v>
      </c>
      <c r="I305" s="154"/>
      <c r="J305" s="154"/>
    </row>
    <row r="306" spans="1:10" s="156" customFormat="1" ht="14.25">
      <c r="A306" s="155" t="s">
        <v>2242</v>
      </c>
      <c r="B306" s="124"/>
      <c r="C306" s="123" t="s">
        <v>3737</v>
      </c>
      <c r="D306" s="124">
        <v>100</v>
      </c>
      <c r="E306" s="124" t="s">
        <v>2244</v>
      </c>
      <c r="F306" s="125">
        <v>857000</v>
      </c>
      <c r="G306" s="125">
        <f>ROUNDDOWN(D306*F306,-3)</f>
        <v>85700000</v>
      </c>
      <c r="H306" s="154" t="b">
        <f t="shared" si="10"/>
        <v>1</v>
      </c>
      <c r="I306" s="154"/>
      <c r="J306" s="154"/>
    </row>
    <row r="307" spans="1:10" ht="14.25">
      <c r="A307" s="7" t="s">
        <v>2245</v>
      </c>
      <c r="B307" s="124"/>
      <c r="C307" s="123" t="s">
        <v>3738</v>
      </c>
      <c r="D307" s="124">
        <v>26</v>
      </c>
      <c r="E307" s="124" t="s">
        <v>121</v>
      </c>
      <c r="F307" s="125">
        <v>590000</v>
      </c>
      <c r="G307" s="125">
        <f>ROUNDDOWN(D307*F307,-3)</f>
        <v>15340000</v>
      </c>
      <c r="H307" s="154" t="b">
        <f t="shared" si="10"/>
        <v>1</v>
      </c>
      <c r="I307" s="154"/>
      <c r="J307" s="154"/>
    </row>
    <row r="308" spans="1:10" ht="14.25">
      <c r="A308" s="7" t="s">
        <v>2247</v>
      </c>
      <c r="B308" s="60">
        <v>521115</v>
      </c>
      <c r="C308" s="41" t="s">
        <v>104</v>
      </c>
      <c r="D308" s="60"/>
      <c r="E308" s="60"/>
      <c r="F308" s="42"/>
      <c r="G308" s="42">
        <f>SUM(G309:G318)</f>
        <v>58336000</v>
      </c>
      <c r="H308" s="154" t="b">
        <f t="shared" si="10"/>
        <v>1</v>
      </c>
      <c r="I308" s="154"/>
      <c r="J308" s="154"/>
    </row>
    <row r="309" spans="1:10" ht="14.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c r="A310" s="7" t="s">
        <v>2250</v>
      </c>
      <c r="B310" s="124"/>
      <c r="C310" s="123" t="s">
        <v>3740</v>
      </c>
      <c r="D310" s="124">
        <v>12</v>
      </c>
      <c r="E310" s="124" t="s">
        <v>32</v>
      </c>
      <c r="F310" s="125">
        <v>324000</v>
      </c>
      <c r="G310" s="125">
        <f t="shared" si="12"/>
        <v>3888000</v>
      </c>
      <c r="H310" s="154" t="b">
        <f t="shared" si="10"/>
        <v>1</v>
      </c>
      <c r="I310" s="154"/>
      <c r="J310" s="154"/>
    </row>
    <row r="311" spans="1:10" ht="14.25">
      <c r="A311" s="7" t="s">
        <v>2252</v>
      </c>
      <c r="B311" s="124"/>
      <c r="C311" s="123" t="s">
        <v>3741</v>
      </c>
      <c r="D311" s="124">
        <v>12</v>
      </c>
      <c r="E311" s="124" t="s">
        <v>32</v>
      </c>
      <c r="F311" s="125">
        <v>324000</v>
      </c>
      <c r="G311" s="125">
        <f t="shared" si="12"/>
        <v>3888000</v>
      </c>
      <c r="H311" s="154" t="b">
        <f t="shared" si="10"/>
        <v>1</v>
      </c>
      <c r="I311" s="154"/>
      <c r="J311" s="154"/>
    </row>
    <row r="312" spans="1:10" s="156" customFormat="1" ht="25.5">
      <c r="A312" s="155" t="s">
        <v>2254</v>
      </c>
      <c r="B312" s="124"/>
      <c r="C312" s="123" t="s">
        <v>3742</v>
      </c>
      <c r="D312" s="124">
        <v>12</v>
      </c>
      <c r="E312" s="124" t="s">
        <v>32</v>
      </c>
      <c r="F312" s="125">
        <v>680000</v>
      </c>
      <c r="G312" s="125">
        <f t="shared" si="12"/>
        <v>8160000</v>
      </c>
      <c r="H312" s="154" t="b">
        <f t="shared" si="10"/>
        <v>1</v>
      </c>
      <c r="I312" s="154"/>
      <c r="J312" s="154"/>
    </row>
    <row r="313" spans="1:10" ht="14.25">
      <c r="A313" s="7" t="s">
        <v>2256</v>
      </c>
      <c r="B313" s="124"/>
      <c r="C313" s="123" t="s">
        <v>3743</v>
      </c>
      <c r="D313" s="124">
        <v>12</v>
      </c>
      <c r="E313" s="124" t="s">
        <v>32</v>
      </c>
      <c r="F313" s="125">
        <v>200000</v>
      </c>
      <c r="G313" s="125">
        <f t="shared" si="12"/>
        <v>2400000</v>
      </c>
      <c r="H313" s="154" t="b">
        <f t="shared" si="10"/>
        <v>1</v>
      </c>
      <c r="I313" s="154"/>
      <c r="J313" s="154"/>
    </row>
    <row r="314" spans="1:10" ht="14.25">
      <c r="A314" s="7" t="s">
        <v>2258</v>
      </c>
      <c r="B314" s="124"/>
      <c r="C314" s="123" t="s">
        <v>3744</v>
      </c>
      <c r="D314" s="124">
        <v>12</v>
      </c>
      <c r="E314" s="124" t="s">
        <v>32</v>
      </c>
      <c r="F314" s="125">
        <v>80000</v>
      </c>
      <c r="G314" s="125">
        <f t="shared" si="12"/>
        <v>960000</v>
      </c>
      <c r="H314" s="154" t="b">
        <f t="shared" si="10"/>
        <v>1</v>
      </c>
      <c r="I314" s="154"/>
      <c r="J314" s="154"/>
    </row>
    <row r="315" spans="1:10" ht="14.25">
      <c r="A315" s="7" t="s">
        <v>2260</v>
      </c>
      <c r="B315" s="124"/>
      <c r="C315" s="123" t="s">
        <v>3745</v>
      </c>
      <c r="D315" s="124">
        <v>12</v>
      </c>
      <c r="E315" s="124" t="s">
        <v>32</v>
      </c>
      <c r="F315" s="125">
        <v>200000</v>
      </c>
      <c r="G315" s="125">
        <f t="shared" si="12"/>
        <v>2400000</v>
      </c>
      <c r="H315" s="154" t="b">
        <f t="shared" si="10"/>
        <v>1</v>
      </c>
      <c r="I315" s="154"/>
      <c r="J315" s="154"/>
    </row>
    <row r="316" spans="1:10" ht="14.25">
      <c r="A316" s="7" t="s">
        <v>2262</v>
      </c>
      <c r="B316" s="124"/>
      <c r="C316" s="123" t="s">
        <v>3746</v>
      </c>
      <c r="D316" s="124">
        <v>1</v>
      </c>
      <c r="E316" s="124" t="s">
        <v>776</v>
      </c>
      <c r="F316" s="125">
        <v>400000</v>
      </c>
      <c r="G316" s="125">
        <f t="shared" si="12"/>
        <v>400000</v>
      </c>
      <c r="H316" s="154" t="b">
        <f t="shared" si="10"/>
        <v>1</v>
      </c>
      <c r="I316" s="154"/>
      <c r="J316" s="154"/>
    </row>
    <row r="317" spans="1:10" s="156" customFormat="1" ht="14.25">
      <c r="A317" s="155" t="s">
        <v>2264</v>
      </c>
      <c r="B317" s="124"/>
      <c r="C317" s="123" t="s">
        <v>3747</v>
      </c>
      <c r="D317" s="124">
        <v>1</v>
      </c>
      <c r="E317" s="124" t="s">
        <v>25</v>
      </c>
      <c r="F317" s="125">
        <v>300000</v>
      </c>
      <c r="G317" s="125">
        <f t="shared" si="12"/>
        <v>300000</v>
      </c>
      <c r="H317" s="154" t="b">
        <f t="shared" si="10"/>
        <v>1</v>
      </c>
      <c r="I317" s="154"/>
      <c r="J317" s="154"/>
    </row>
    <row r="318" spans="1:10" ht="25.5">
      <c r="A318" s="7" t="s">
        <v>2266</v>
      </c>
      <c r="B318" s="124"/>
      <c r="C318" s="123" t="s">
        <v>3748</v>
      </c>
      <c r="D318" s="124">
        <v>3</v>
      </c>
      <c r="E318" s="124" t="s">
        <v>25</v>
      </c>
      <c r="F318" s="125">
        <v>300000</v>
      </c>
      <c r="G318" s="125">
        <f t="shared" si="12"/>
        <v>900000</v>
      </c>
      <c r="H318" s="154" t="b">
        <f t="shared" si="10"/>
        <v>1</v>
      </c>
      <c r="I318" s="154"/>
      <c r="J318" s="154"/>
    </row>
    <row r="319" spans="1:10" ht="14.25">
      <c r="A319" s="7" t="s">
        <v>3749</v>
      </c>
      <c r="B319" s="59" t="s">
        <v>3750</v>
      </c>
      <c r="C319" s="38" t="s">
        <v>3751</v>
      </c>
      <c r="D319" s="59"/>
      <c r="E319" s="59"/>
      <c r="F319" s="39"/>
      <c r="G319" s="39">
        <f>SUM(G320,G325,G330)</f>
        <v>100000000</v>
      </c>
      <c r="H319" s="154" t="b">
        <f t="shared" si="10"/>
        <v>1</v>
      </c>
      <c r="I319" s="154"/>
      <c r="J319" s="154"/>
    </row>
    <row r="320" spans="1:10" ht="14.25">
      <c r="A320" s="7" t="s">
        <v>3752</v>
      </c>
      <c r="B320" s="60">
        <v>521111</v>
      </c>
      <c r="C320" s="41" t="s">
        <v>90</v>
      </c>
      <c r="D320" s="60"/>
      <c r="E320" s="60"/>
      <c r="F320" s="42"/>
      <c r="G320" s="42">
        <f>SUM(G321:G324)</f>
        <v>45000000</v>
      </c>
      <c r="H320" s="154" t="b">
        <f t="shared" si="10"/>
        <v>1</v>
      </c>
      <c r="I320" s="154"/>
      <c r="J320" s="154"/>
    </row>
    <row r="321" spans="1:10" ht="14.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c r="A322" s="155" t="s">
        <v>3755</v>
      </c>
      <c r="B322" s="124"/>
      <c r="C322" s="123" t="s">
        <v>3756</v>
      </c>
      <c r="D322" s="124">
        <v>48</v>
      </c>
      <c r="E322" s="124" t="s">
        <v>58</v>
      </c>
      <c r="F322" s="125">
        <v>500000</v>
      </c>
      <c r="G322" s="125">
        <f>ROUNDDOWN(D322*F322,-3)</f>
        <v>24000000</v>
      </c>
      <c r="H322" s="154" t="b">
        <f t="shared" si="10"/>
        <v>1</v>
      </c>
      <c r="I322" s="154"/>
      <c r="J322" s="154"/>
    </row>
    <row r="323" spans="1:10" ht="14.25">
      <c r="A323" s="7" t="s">
        <v>3757</v>
      </c>
      <c r="B323" s="124"/>
      <c r="C323" s="123" t="s">
        <v>3758</v>
      </c>
      <c r="D323" s="124">
        <v>12</v>
      </c>
      <c r="E323" s="124" t="s">
        <v>78</v>
      </c>
      <c r="F323" s="125">
        <v>500000</v>
      </c>
      <c r="G323" s="125">
        <f>ROUNDDOWN(D323*F323,-3)</f>
        <v>6000000</v>
      </c>
      <c r="H323" s="154" t="b">
        <f t="shared" si="10"/>
        <v>1</v>
      </c>
      <c r="I323" s="154"/>
      <c r="J323" s="154"/>
    </row>
    <row r="324" spans="1:10" ht="14.25">
      <c r="A324" s="7" t="s">
        <v>3759</v>
      </c>
      <c r="B324" s="124"/>
      <c r="C324" s="123" t="s">
        <v>3760</v>
      </c>
      <c r="D324" s="124">
        <v>60</v>
      </c>
      <c r="E324" s="124" t="s">
        <v>116</v>
      </c>
      <c r="F324" s="125">
        <v>200000</v>
      </c>
      <c r="G324" s="125">
        <f>ROUNDDOWN(D324*F324,-3)</f>
        <v>12000000</v>
      </c>
      <c r="H324" s="154" t="b">
        <f t="shared" si="10"/>
        <v>1</v>
      </c>
      <c r="I324" s="154"/>
      <c r="J324" s="154"/>
    </row>
    <row r="325" spans="1:10" ht="14.25">
      <c r="A325" s="7" t="s">
        <v>3761</v>
      </c>
      <c r="B325" s="60">
        <v>521811</v>
      </c>
      <c r="C325" s="41" t="s">
        <v>64</v>
      </c>
      <c r="D325" s="60"/>
      <c r="E325" s="60"/>
      <c r="F325" s="42"/>
      <c r="G325" s="42">
        <f>SUM(G326:G329)</f>
        <v>26000000</v>
      </c>
      <c r="H325" s="154" t="b">
        <f t="shared" si="10"/>
        <v>1</v>
      </c>
      <c r="I325" s="154"/>
      <c r="J325" s="154"/>
    </row>
    <row r="326" spans="1:10" ht="14.25">
      <c r="A326" s="7" t="s">
        <v>3762</v>
      </c>
      <c r="B326" s="124"/>
      <c r="C326" s="123" t="s">
        <v>3595</v>
      </c>
      <c r="D326" s="124">
        <v>8</v>
      </c>
      <c r="E326" s="124" t="s">
        <v>9</v>
      </c>
      <c r="F326" s="125">
        <v>1000000</v>
      </c>
      <c r="G326" s="125">
        <f>ROUNDDOWN(D326*F326,-3)</f>
        <v>8000000</v>
      </c>
      <c r="H326" s="154" t="b">
        <f t="shared" si="10"/>
        <v>1</v>
      </c>
      <c r="I326" s="154"/>
      <c r="J326" s="154"/>
    </row>
    <row r="327" spans="1:10" ht="14.25">
      <c r="A327" s="7" t="s">
        <v>3763</v>
      </c>
      <c r="B327" s="124"/>
      <c r="C327" s="123" t="s">
        <v>3596</v>
      </c>
      <c r="D327" s="124">
        <v>8</v>
      </c>
      <c r="E327" s="124" t="s">
        <v>9</v>
      </c>
      <c r="F327" s="125">
        <v>1500000</v>
      </c>
      <c r="G327" s="125">
        <f>ROUNDDOWN(D327*F327,-3)</f>
        <v>12000000</v>
      </c>
      <c r="H327" s="154" t="b">
        <f t="shared" si="10"/>
        <v>1</v>
      </c>
      <c r="I327" s="154"/>
      <c r="J327" s="154"/>
    </row>
    <row r="328" spans="1:10" ht="14.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c r="A329" s="155" t="s">
        <v>3766</v>
      </c>
      <c r="B329" s="124"/>
      <c r="C329" s="123" t="s">
        <v>3767</v>
      </c>
      <c r="D329" s="124">
        <v>200</v>
      </c>
      <c r="E329" s="124" t="s">
        <v>120</v>
      </c>
      <c r="F329" s="125">
        <v>25000</v>
      </c>
      <c r="G329" s="125">
        <f>ROUNDDOWN(D329*F329,-3)</f>
        <v>5000000</v>
      </c>
      <c r="H329" s="154" t="b">
        <f t="shared" si="10"/>
        <v>1</v>
      </c>
      <c r="I329" s="154"/>
      <c r="J329" s="154"/>
    </row>
    <row r="330" spans="1:10" ht="14.25">
      <c r="A330" s="7" t="s">
        <v>3768</v>
      </c>
      <c r="B330" s="60">
        <v>523121</v>
      </c>
      <c r="C330" s="41" t="s">
        <v>99</v>
      </c>
      <c r="D330" s="60"/>
      <c r="E330" s="60"/>
      <c r="F330" s="42"/>
      <c r="G330" s="42">
        <f>SUM(G331:G335)</f>
        <v>29000000</v>
      </c>
      <c r="H330" s="154" t="b">
        <f t="shared" si="10"/>
        <v>1</v>
      </c>
      <c r="I330" s="154"/>
      <c r="J330" s="154"/>
    </row>
    <row r="331" spans="1:10" s="156" customFormat="1" ht="14.25">
      <c r="A331" s="155" t="s">
        <v>3769</v>
      </c>
      <c r="B331" s="124"/>
      <c r="C331" s="123" t="s">
        <v>3770</v>
      </c>
      <c r="D331" s="124">
        <v>1</v>
      </c>
      <c r="E331" s="124" t="s">
        <v>42</v>
      </c>
      <c r="F331" s="125">
        <v>7200000</v>
      </c>
      <c r="G331" s="125">
        <f>ROUNDDOWN(D331*F331,-3)</f>
        <v>7200000</v>
      </c>
      <c r="H331" s="154" t="b">
        <f t="shared" si="10"/>
        <v>1</v>
      </c>
      <c r="I331" s="154"/>
      <c r="J331" s="154"/>
    </row>
    <row r="332" spans="1:10" ht="14.25">
      <c r="A332" s="7" t="s">
        <v>3771</v>
      </c>
      <c r="B332" s="124"/>
      <c r="C332" s="123" t="s">
        <v>3772</v>
      </c>
      <c r="D332" s="124">
        <v>10</v>
      </c>
      <c r="E332" s="124" t="s">
        <v>42</v>
      </c>
      <c r="F332" s="125">
        <v>730000</v>
      </c>
      <c r="G332" s="125">
        <f>ROUNDDOWN(D332*F332,-3)</f>
        <v>7300000</v>
      </c>
      <c r="H332" s="154" t="b">
        <f t="shared" si="10"/>
        <v>1</v>
      </c>
      <c r="I332" s="154"/>
      <c r="J332" s="154"/>
    </row>
    <row r="333" spans="1:10" ht="14.25">
      <c r="A333" s="7" t="s">
        <v>3773</v>
      </c>
      <c r="B333" s="124"/>
      <c r="C333" s="123" t="s">
        <v>3774</v>
      </c>
      <c r="D333" s="124">
        <v>10</v>
      </c>
      <c r="E333" s="124" t="s">
        <v>44</v>
      </c>
      <c r="F333" s="125">
        <v>730000</v>
      </c>
      <c r="G333" s="125">
        <f>ROUNDDOWN(D333*F333,-3)</f>
        <v>7300000</v>
      </c>
      <c r="H333" s="154" t="b">
        <f t="shared" si="10"/>
        <v>1</v>
      </c>
      <c r="I333" s="154"/>
      <c r="J333" s="154"/>
    </row>
    <row r="334" spans="1:10" ht="14.25">
      <c r="A334" s="7" t="s">
        <v>3775</v>
      </c>
      <c r="B334" s="124"/>
      <c r="C334" s="123" t="s">
        <v>3776</v>
      </c>
      <c r="D334" s="124">
        <v>10</v>
      </c>
      <c r="E334" s="124" t="s">
        <v>44</v>
      </c>
      <c r="F334" s="125">
        <v>690000</v>
      </c>
      <c r="G334" s="125">
        <f>ROUNDDOWN(D334*F334,-3)</f>
        <v>6900000</v>
      </c>
      <c r="H334" s="154" t="b">
        <f t="shared" si="10"/>
        <v>1</v>
      </c>
      <c r="I334" s="154"/>
      <c r="J334" s="154"/>
    </row>
    <row r="335" spans="1:10" ht="14.25">
      <c r="A335" s="7" t="s">
        <v>3777</v>
      </c>
      <c r="B335" s="124"/>
      <c r="C335" s="123" t="s">
        <v>3778</v>
      </c>
      <c r="D335" s="124">
        <v>1</v>
      </c>
      <c r="E335" s="124" t="s">
        <v>60</v>
      </c>
      <c r="F335" s="125">
        <v>300000</v>
      </c>
      <c r="G335" s="125">
        <f>ROUNDDOWN(D335*F335,-3)</f>
        <v>300000</v>
      </c>
      <c r="H335" s="154" t="b">
        <f t="shared" si="10"/>
        <v>1</v>
      </c>
      <c r="I335" s="154"/>
      <c r="J335" s="154"/>
    </row>
    <row r="336" spans="1:10" ht="14.25">
      <c r="A336" s="7" t="s">
        <v>2268</v>
      </c>
      <c r="B336" s="116" t="s">
        <v>2269</v>
      </c>
      <c r="C336" s="114" t="s">
        <v>2270</v>
      </c>
      <c r="D336" s="116">
        <v>2</v>
      </c>
      <c r="E336" s="116" t="s">
        <v>42</v>
      </c>
      <c r="F336" s="117"/>
      <c r="G336" s="117">
        <f>G337</f>
        <v>540934000</v>
      </c>
      <c r="H336" s="154" t="b">
        <f t="shared" si="10"/>
        <v>1</v>
      </c>
      <c r="I336" s="154"/>
      <c r="J336" s="154"/>
    </row>
    <row r="337" spans="1:10" ht="14.25">
      <c r="A337" s="7" t="s">
        <v>2271</v>
      </c>
      <c r="B337" s="119" t="s">
        <v>3779</v>
      </c>
      <c r="C337" s="118" t="s">
        <v>2273</v>
      </c>
      <c r="D337" s="119">
        <v>1</v>
      </c>
      <c r="E337" s="119" t="s">
        <v>42</v>
      </c>
      <c r="F337" s="120"/>
      <c r="G337" s="120">
        <f>G338</f>
        <v>540934000</v>
      </c>
      <c r="H337" s="154" t="b">
        <f t="shared" si="10"/>
        <v>1</v>
      </c>
      <c r="I337" s="154"/>
      <c r="J337" s="154"/>
    </row>
    <row r="338" spans="1:10" ht="25.5">
      <c r="A338" s="7" t="s">
        <v>2289</v>
      </c>
      <c r="B338" s="58">
        <v>301</v>
      </c>
      <c r="C338" s="35" t="s">
        <v>2290</v>
      </c>
      <c r="D338" s="58"/>
      <c r="E338" s="58"/>
      <c r="F338" s="36"/>
      <c r="G338" s="36">
        <f>G339</f>
        <v>540934000</v>
      </c>
      <c r="H338" s="154" t="b">
        <f t="shared" si="10"/>
        <v>1</v>
      </c>
      <c r="I338" s="154"/>
      <c r="J338" s="154"/>
    </row>
    <row r="339" spans="1:10" ht="14.25">
      <c r="A339" s="7" t="s">
        <v>2291</v>
      </c>
      <c r="B339" s="59" t="s">
        <v>8</v>
      </c>
      <c r="C339" s="38" t="s">
        <v>2292</v>
      </c>
      <c r="D339" s="59"/>
      <c r="E339" s="59"/>
      <c r="F339" s="39"/>
      <c r="G339" s="39">
        <f>G340</f>
        <v>540934000</v>
      </c>
      <c r="H339" s="154" t="b">
        <f t="shared" si="10"/>
        <v>1</v>
      </c>
      <c r="I339" s="154"/>
      <c r="J339" s="154"/>
    </row>
    <row r="340" spans="1:10" ht="14.25">
      <c r="A340" s="7" t="s">
        <v>2293</v>
      </c>
      <c r="B340" s="60">
        <v>532111</v>
      </c>
      <c r="C340" s="41" t="s">
        <v>43</v>
      </c>
      <c r="D340" s="60"/>
      <c r="E340" s="60"/>
      <c r="F340" s="42"/>
      <c r="G340" s="42">
        <f>G341</f>
        <v>540934000</v>
      </c>
      <c r="H340" s="154" t="b">
        <f t="shared" si="10"/>
        <v>1</v>
      </c>
      <c r="I340" s="154"/>
      <c r="J340" s="154"/>
    </row>
    <row r="341" spans="1:10" ht="14.25">
      <c r="A341" s="7" t="s">
        <v>2294</v>
      </c>
      <c r="B341" s="124"/>
      <c r="C341" s="123" t="s">
        <v>3780</v>
      </c>
      <c r="D341" s="124">
        <v>1</v>
      </c>
      <c r="E341" s="124" t="s">
        <v>42</v>
      </c>
      <c r="F341" s="125">
        <v>540934000</v>
      </c>
      <c r="G341" s="125">
        <f>ROUNDDOWN(D341*F341,-3)</f>
        <v>540934000</v>
      </c>
      <c r="H341" s="154" t="b">
        <f t="shared" si="10"/>
        <v>1</v>
      </c>
      <c r="I341" s="154"/>
      <c r="J341" s="154"/>
    </row>
    <row r="342" spans="1:10" ht="14.25">
      <c r="A342" s="7" t="s">
        <v>2465</v>
      </c>
      <c r="B342" s="116" t="s">
        <v>2466</v>
      </c>
      <c r="C342" s="114" t="s">
        <v>2467</v>
      </c>
      <c r="D342" s="116">
        <v>5</v>
      </c>
      <c r="E342" s="116" t="s">
        <v>3782</v>
      </c>
      <c r="F342" s="117"/>
      <c r="G342" s="117">
        <f>SUM(G343,G383,G425)</f>
        <v>1538790000</v>
      </c>
      <c r="H342" s="154" t="b">
        <f t="shared" si="10"/>
        <v>1</v>
      </c>
      <c r="I342" s="154"/>
      <c r="J342" s="154"/>
    </row>
    <row r="343" spans="1:10" ht="14.25">
      <c r="A343" s="7" t="s">
        <v>2468</v>
      </c>
      <c r="B343" s="119" t="s">
        <v>3783</v>
      </c>
      <c r="C343" s="118" t="s">
        <v>2470</v>
      </c>
      <c r="D343" s="119">
        <v>1</v>
      </c>
      <c r="E343" s="119" t="s">
        <v>3782</v>
      </c>
      <c r="F343" s="120"/>
      <c r="G343" s="120">
        <f>G344</f>
        <v>615138000</v>
      </c>
      <c r="H343" s="154" t="b">
        <f t="shared" si="10"/>
        <v>1</v>
      </c>
      <c r="I343" s="154"/>
      <c r="J343" s="154"/>
    </row>
    <row r="344" spans="1:10" ht="25.5">
      <c r="A344" s="7" t="s">
        <v>2739</v>
      </c>
      <c r="B344" s="58">
        <v>301</v>
      </c>
      <c r="C344" s="35" t="s">
        <v>2740</v>
      </c>
      <c r="D344" s="58"/>
      <c r="E344" s="58"/>
      <c r="F344" s="36"/>
      <c r="G344" s="36">
        <f>SUM(G345,G357,G371)</f>
        <v>615138000</v>
      </c>
      <c r="H344" s="154" t="b">
        <f t="shared" si="10"/>
        <v>1</v>
      </c>
      <c r="I344" s="154"/>
      <c r="J344" s="154"/>
    </row>
    <row r="345" spans="1:10" ht="14.25">
      <c r="A345" s="7" t="s">
        <v>2741</v>
      </c>
      <c r="B345" s="59" t="s">
        <v>8</v>
      </c>
      <c r="C345" s="38" t="s">
        <v>129</v>
      </c>
      <c r="D345" s="59"/>
      <c r="E345" s="59"/>
      <c r="F345" s="39"/>
      <c r="G345" s="39">
        <f>SUM(G346,G350,G352,G355)</f>
        <v>101050000</v>
      </c>
      <c r="H345" s="154" t="b">
        <f t="shared" si="10"/>
        <v>1</v>
      </c>
      <c r="I345" s="154"/>
      <c r="J345" s="154"/>
    </row>
    <row r="346" spans="1:10" ht="14.25">
      <c r="A346" s="7" t="s">
        <v>2742</v>
      </c>
      <c r="B346" s="60">
        <v>521211</v>
      </c>
      <c r="C346" s="41" t="s">
        <v>7</v>
      </c>
      <c r="D346" s="60"/>
      <c r="E346" s="60"/>
      <c r="F346" s="42"/>
      <c r="G346" s="42">
        <f>SUM(G347:G349)</f>
        <v>22650000</v>
      </c>
      <c r="H346" s="154" t="b">
        <f t="shared" si="10"/>
        <v>1</v>
      </c>
      <c r="I346" s="154"/>
      <c r="J346" s="154"/>
    </row>
    <row r="347" spans="1:10" ht="14.25">
      <c r="A347" s="7" t="s">
        <v>2743</v>
      </c>
      <c r="B347" s="124"/>
      <c r="C347" s="123" t="s">
        <v>3587</v>
      </c>
      <c r="D347" s="124">
        <v>6</v>
      </c>
      <c r="E347" s="124" t="s">
        <v>9</v>
      </c>
      <c r="F347" s="125">
        <v>1500000</v>
      </c>
      <c r="G347" s="125">
        <f>ROUNDDOWN(D347*F347,-3)</f>
        <v>9000000</v>
      </c>
      <c r="H347" s="154" t="b">
        <f t="shared" si="10"/>
        <v>1</v>
      </c>
      <c r="I347" s="154"/>
      <c r="J347" s="154"/>
    </row>
    <row r="348" spans="1:10" ht="14.25">
      <c r="A348" s="7" t="s">
        <v>2744</v>
      </c>
      <c r="B348" s="124"/>
      <c r="C348" s="123" t="s">
        <v>3784</v>
      </c>
      <c r="D348" s="124">
        <v>70</v>
      </c>
      <c r="E348" s="124" t="s">
        <v>10</v>
      </c>
      <c r="F348" s="125">
        <v>70000</v>
      </c>
      <c r="G348" s="125">
        <f>ROUNDDOWN(D348*F348,-3)</f>
        <v>4900000</v>
      </c>
      <c r="H348" s="154" t="b">
        <f t="shared" si="10"/>
        <v>1</v>
      </c>
      <c r="I348" s="154"/>
      <c r="J348" s="154"/>
    </row>
    <row r="349" spans="1:10" ht="14.25">
      <c r="A349" s="7" t="s">
        <v>2746</v>
      </c>
      <c r="B349" s="124"/>
      <c r="C349" s="123" t="s">
        <v>3785</v>
      </c>
      <c r="D349" s="124">
        <v>25</v>
      </c>
      <c r="E349" s="124" t="s">
        <v>176</v>
      </c>
      <c r="F349" s="125">
        <v>350000</v>
      </c>
      <c r="G349" s="125">
        <f>ROUNDDOWN(D349*F349,-3)</f>
        <v>8750000</v>
      </c>
      <c r="H349" s="154" t="b">
        <f t="shared" si="10"/>
        <v>1</v>
      </c>
      <c r="I349" s="154"/>
      <c r="J349" s="154"/>
    </row>
    <row r="350" spans="1:10" ht="14.25">
      <c r="A350" s="7" t="s">
        <v>2747</v>
      </c>
      <c r="B350" s="60">
        <v>521219</v>
      </c>
      <c r="C350" s="41" t="s">
        <v>53</v>
      </c>
      <c r="D350" s="60"/>
      <c r="E350" s="60"/>
      <c r="F350" s="42"/>
      <c r="G350" s="42">
        <f>G351</f>
        <v>1000000</v>
      </c>
      <c r="H350" s="154" t="b">
        <f t="shared" si="10"/>
        <v>1</v>
      </c>
      <c r="I350" s="154"/>
      <c r="J350" s="154"/>
    </row>
    <row r="351" spans="1:10" ht="14.25">
      <c r="A351" s="7" t="s">
        <v>2748</v>
      </c>
      <c r="B351" s="124"/>
      <c r="C351" s="123" t="s">
        <v>3610</v>
      </c>
      <c r="D351" s="124">
        <v>4</v>
      </c>
      <c r="E351" s="124" t="s">
        <v>2749</v>
      </c>
      <c r="F351" s="125">
        <v>250000</v>
      </c>
      <c r="G351" s="125">
        <f>ROUNDDOWN(D351*F351,-3)</f>
        <v>1000000</v>
      </c>
      <c r="H351" s="154" t="b">
        <f t="shared" si="10"/>
        <v>1</v>
      </c>
      <c r="I351" s="154"/>
      <c r="J351" s="154"/>
    </row>
    <row r="352" spans="1:10" ht="14.25">
      <c r="A352" s="7" t="s">
        <v>2750</v>
      </c>
      <c r="B352" s="60">
        <v>521811</v>
      </c>
      <c r="C352" s="41" t="s">
        <v>64</v>
      </c>
      <c r="D352" s="60"/>
      <c r="E352" s="60"/>
      <c r="F352" s="42"/>
      <c r="G352" s="42">
        <f>SUM(G353:G354)</f>
        <v>15000000</v>
      </c>
      <c r="H352" s="154" t="b">
        <f t="shared" si="10"/>
        <v>1</v>
      </c>
      <c r="I352" s="154"/>
      <c r="J352" s="154"/>
    </row>
    <row r="353" spans="1:10" ht="14.25">
      <c r="A353" s="7" t="s">
        <v>2751</v>
      </c>
      <c r="B353" s="124"/>
      <c r="C353" s="123" t="s">
        <v>3595</v>
      </c>
      <c r="D353" s="124">
        <v>6</v>
      </c>
      <c r="E353" s="124" t="s">
        <v>106</v>
      </c>
      <c r="F353" s="125">
        <v>1000000</v>
      </c>
      <c r="G353" s="125">
        <f>ROUNDDOWN(D353*F353,-3)</f>
        <v>6000000</v>
      </c>
      <c r="H353" s="154" t="b">
        <f t="shared" si="10"/>
        <v>1</v>
      </c>
      <c r="I353" s="154"/>
      <c r="J353" s="154"/>
    </row>
    <row r="354" spans="1:10" ht="14.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c r="A355" s="7" t="s">
        <v>2753</v>
      </c>
      <c r="B355" s="60">
        <v>524111</v>
      </c>
      <c r="C355" s="41" t="s">
        <v>19</v>
      </c>
      <c r="D355" s="60"/>
      <c r="E355" s="60"/>
      <c r="F355" s="42"/>
      <c r="G355" s="42">
        <f>G356</f>
        <v>62400000</v>
      </c>
      <c r="H355" s="154" t="b">
        <f t="shared" si="13"/>
        <v>1</v>
      </c>
      <c r="I355" s="154"/>
      <c r="J355" s="154"/>
    </row>
    <row r="356" spans="1:10" ht="25.5">
      <c r="A356" s="7" t="s">
        <v>2754</v>
      </c>
      <c r="B356" s="124"/>
      <c r="C356" s="123" t="s">
        <v>3786</v>
      </c>
      <c r="D356" s="124">
        <v>12</v>
      </c>
      <c r="E356" s="124" t="s">
        <v>10</v>
      </c>
      <c r="F356" s="125">
        <v>5200000</v>
      </c>
      <c r="G356" s="125">
        <f>ROUNDDOWN(D356*F356,-3)</f>
        <v>62400000</v>
      </c>
      <c r="H356" s="154" t="b">
        <f t="shared" si="13"/>
        <v>1</v>
      </c>
      <c r="I356" s="154"/>
      <c r="J356" s="154"/>
    </row>
    <row r="357" spans="1:10" ht="14.25">
      <c r="A357" s="7" t="s">
        <v>2756</v>
      </c>
      <c r="B357" s="59" t="s">
        <v>511</v>
      </c>
      <c r="C357" s="38" t="s">
        <v>130</v>
      </c>
      <c r="D357" s="59"/>
      <c r="E357" s="59"/>
      <c r="F357" s="39"/>
      <c r="G357" s="39">
        <f>SUM(G358,G362,G364,G367,G369)</f>
        <v>345988000</v>
      </c>
      <c r="H357" s="154" t="b">
        <f t="shared" si="13"/>
        <v>1</v>
      </c>
      <c r="I357" s="154"/>
      <c r="J357" s="154"/>
    </row>
    <row r="358" spans="1:10" ht="14.25">
      <c r="A358" s="7" t="s">
        <v>2757</v>
      </c>
      <c r="B358" s="60">
        <v>521211</v>
      </c>
      <c r="C358" s="41" t="s">
        <v>7</v>
      </c>
      <c r="D358" s="60"/>
      <c r="E358" s="60"/>
      <c r="F358" s="42"/>
      <c r="G358" s="42">
        <f>SUM(G359:G361)</f>
        <v>49300000</v>
      </c>
      <c r="H358" s="154" t="b">
        <f t="shared" si="13"/>
        <v>1</v>
      </c>
      <c r="I358" s="154"/>
      <c r="J358" s="154"/>
    </row>
    <row r="359" spans="1:10" ht="14.25">
      <c r="A359" s="7" t="s">
        <v>2758</v>
      </c>
      <c r="B359" s="124"/>
      <c r="C359" s="123" t="s">
        <v>3587</v>
      </c>
      <c r="D359" s="124">
        <v>10</v>
      </c>
      <c r="E359" s="124" t="s">
        <v>9</v>
      </c>
      <c r="F359" s="125">
        <v>1500000</v>
      </c>
      <c r="G359" s="125">
        <f>ROUNDDOWN(D359*F359,-3)</f>
        <v>15000000</v>
      </c>
      <c r="H359" s="154" t="b">
        <f t="shared" si="13"/>
        <v>1</v>
      </c>
      <c r="I359" s="154"/>
      <c r="J359" s="154"/>
    </row>
    <row r="360" spans="1:10" ht="14.25">
      <c r="A360" s="7" t="s">
        <v>2759</v>
      </c>
      <c r="B360" s="124"/>
      <c r="C360" s="123" t="s">
        <v>3784</v>
      </c>
      <c r="D360" s="124">
        <v>290</v>
      </c>
      <c r="E360" s="124" t="s">
        <v>10</v>
      </c>
      <c r="F360" s="125">
        <v>70000</v>
      </c>
      <c r="G360" s="125">
        <f>ROUNDDOWN(D360*F360,-3)</f>
        <v>20300000</v>
      </c>
      <c r="H360" s="154" t="b">
        <f t="shared" si="13"/>
        <v>1</v>
      </c>
      <c r="I360" s="154"/>
      <c r="J360" s="154"/>
    </row>
    <row r="361" spans="1:10" ht="14.25">
      <c r="A361" s="7" t="s">
        <v>2760</v>
      </c>
      <c r="B361" s="124"/>
      <c r="C361" s="123" t="s">
        <v>3785</v>
      </c>
      <c r="D361" s="124">
        <v>40</v>
      </c>
      <c r="E361" s="124" t="s">
        <v>176</v>
      </c>
      <c r="F361" s="125">
        <v>350000</v>
      </c>
      <c r="G361" s="125">
        <f>ROUNDDOWN(D361*F361,-3)</f>
        <v>14000000</v>
      </c>
      <c r="H361" s="154" t="b">
        <f t="shared" si="13"/>
        <v>1</v>
      </c>
      <c r="I361" s="154"/>
      <c r="J361" s="154"/>
    </row>
    <row r="362" spans="1:10" ht="14.25">
      <c r="A362" s="7" t="s">
        <v>2761</v>
      </c>
      <c r="B362" s="60">
        <v>521219</v>
      </c>
      <c r="C362" s="41" t="s">
        <v>53</v>
      </c>
      <c r="D362" s="60"/>
      <c r="E362" s="60"/>
      <c r="F362" s="42"/>
      <c r="G362" s="42">
        <f>G363</f>
        <v>1000000</v>
      </c>
      <c r="H362" s="154" t="b">
        <f t="shared" si="13"/>
        <v>1</v>
      </c>
      <c r="I362" s="154"/>
      <c r="J362" s="154"/>
    </row>
    <row r="363" spans="1:10" ht="14.25">
      <c r="A363" s="7" t="s">
        <v>2762</v>
      </c>
      <c r="B363" s="124"/>
      <c r="C363" s="123" t="s">
        <v>3610</v>
      </c>
      <c r="D363" s="124">
        <v>4</v>
      </c>
      <c r="E363" s="124" t="s">
        <v>9</v>
      </c>
      <c r="F363" s="125">
        <v>250000</v>
      </c>
      <c r="G363" s="125">
        <f>ROUNDDOWN(D363*F363,-3)</f>
        <v>1000000</v>
      </c>
      <c r="H363" s="154" t="b">
        <f t="shared" si="13"/>
        <v>1</v>
      </c>
      <c r="I363" s="154"/>
      <c r="J363" s="154"/>
    </row>
    <row r="364" spans="1:10" ht="14.25">
      <c r="A364" s="7" t="s">
        <v>2763</v>
      </c>
      <c r="B364" s="60">
        <v>521811</v>
      </c>
      <c r="C364" s="41" t="s">
        <v>64</v>
      </c>
      <c r="D364" s="60"/>
      <c r="E364" s="60"/>
      <c r="F364" s="42"/>
      <c r="G364" s="42">
        <f>SUM(G365:G366)</f>
        <v>25000000</v>
      </c>
      <c r="H364" s="154" t="b">
        <f t="shared" si="13"/>
        <v>1</v>
      </c>
      <c r="I364" s="154"/>
      <c r="J364" s="154"/>
    </row>
    <row r="365" spans="1:10" ht="14.25">
      <c r="A365" s="7" t="s">
        <v>2764</v>
      </c>
      <c r="B365" s="124"/>
      <c r="C365" s="123" t="s">
        <v>3595</v>
      </c>
      <c r="D365" s="124">
        <v>10</v>
      </c>
      <c r="E365" s="124" t="s">
        <v>106</v>
      </c>
      <c r="F365" s="125">
        <v>1000000</v>
      </c>
      <c r="G365" s="125">
        <f>ROUNDDOWN(D365*F365,-3)</f>
        <v>10000000</v>
      </c>
      <c r="H365" s="154" t="b">
        <f t="shared" si="13"/>
        <v>1</v>
      </c>
      <c r="I365" s="154"/>
      <c r="J365" s="154"/>
    </row>
    <row r="366" spans="1:10" ht="14.25">
      <c r="A366" s="7" t="s">
        <v>2765</v>
      </c>
      <c r="B366" s="124"/>
      <c r="C366" s="123" t="s">
        <v>3596</v>
      </c>
      <c r="D366" s="124">
        <v>10</v>
      </c>
      <c r="E366" s="124" t="s">
        <v>106</v>
      </c>
      <c r="F366" s="125">
        <v>1500000</v>
      </c>
      <c r="G366" s="125">
        <f>ROUNDDOWN(D366*F366,-3)</f>
        <v>15000000</v>
      </c>
      <c r="H366" s="154" t="b">
        <f t="shared" si="13"/>
        <v>1</v>
      </c>
      <c r="I366" s="154"/>
      <c r="J366" s="154"/>
    </row>
    <row r="367" spans="1:10" ht="14.25">
      <c r="A367" s="7" t="s">
        <v>2766</v>
      </c>
      <c r="B367" s="60">
        <v>522151</v>
      </c>
      <c r="C367" s="41" t="s">
        <v>11</v>
      </c>
      <c r="D367" s="60"/>
      <c r="E367" s="60"/>
      <c r="F367" s="42"/>
      <c r="G367" s="42">
        <f>G368</f>
        <v>12000000</v>
      </c>
      <c r="H367" s="154" t="b">
        <f t="shared" si="13"/>
        <v>1</v>
      </c>
      <c r="I367" s="154"/>
      <c r="J367" s="154"/>
    </row>
    <row r="368" spans="1:10" ht="14.25">
      <c r="A368" s="7" t="s">
        <v>2767</v>
      </c>
      <c r="B368" s="124"/>
      <c r="C368" s="123" t="s">
        <v>3603</v>
      </c>
      <c r="D368" s="124">
        <v>12</v>
      </c>
      <c r="E368" s="124" t="s">
        <v>54</v>
      </c>
      <c r="F368" s="125">
        <v>1000000</v>
      </c>
      <c r="G368" s="125">
        <f>ROUNDDOWN(D368*F368,-3)</f>
        <v>12000000</v>
      </c>
      <c r="H368" s="154" t="b">
        <f t="shared" si="13"/>
        <v>1</v>
      </c>
      <c r="I368" s="154"/>
      <c r="J368" s="154"/>
    </row>
    <row r="369" spans="1:10" ht="14.25">
      <c r="A369" s="7" t="s">
        <v>2768</v>
      </c>
      <c r="B369" s="60">
        <v>524111</v>
      </c>
      <c r="C369" s="41" t="s">
        <v>19</v>
      </c>
      <c r="D369" s="60"/>
      <c r="E369" s="60"/>
      <c r="F369" s="42"/>
      <c r="G369" s="42">
        <f>G370</f>
        <v>258688000</v>
      </c>
      <c r="H369" s="154" t="b">
        <f t="shared" si="13"/>
        <v>1</v>
      </c>
      <c r="I369" s="154"/>
      <c r="J369" s="154"/>
    </row>
    <row r="370" spans="1:10" ht="14.25">
      <c r="A370" s="7" t="s">
        <v>2769</v>
      </c>
      <c r="B370" s="124"/>
      <c r="C370" s="123" t="s">
        <v>3787</v>
      </c>
      <c r="D370" s="124">
        <v>40</v>
      </c>
      <c r="E370" s="124" t="s">
        <v>10</v>
      </c>
      <c r="F370" s="125">
        <v>6467200</v>
      </c>
      <c r="G370" s="125">
        <f>ROUNDDOWN(D370*F370,-3)</f>
        <v>258688000</v>
      </c>
      <c r="H370" s="154" t="b">
        <f t="shared" si="13"/>
        <v>1</v>
      </c>
      <c r="I370" s="154"/>
      <c r="J370" s="154"/>
    </row>
    <row r="371" spans="1:10" ht="14.25">
      <c r="A371" s="7" t="s">
        <v>2771</v>
      </c>
      <c r="B371" s="59" t="s">
        <v>512</v>
      </c>
      <c r="C371" s="38" t="s">
        <v>131</v>
      </c>
      <c r="D371" s="59"/>
      <c r="E371" s="59"/>
      <c r="F371" s="39"/>
      <c r="G371" s="39">
        <f>SUM(G372,G376,G379,G381)</f>
        <v>168100000</v>
      </c>
      <c r="H371" s="154" t="b">
        <f t="shared" si="13"/>
        <v>1</v>
      </c>
      <c r="I371" s="154"/>
      <c r="J371" s="154"/>
    </row>
    <row r="372" spans="1:10" ht="14.25">
      <c r="A372" s="7" t="s">
        <v>2772</v>
      </c>
      <c r="B372" s="60">
        <v>521211</v>
      </c>
      <c r="C372" s="41" t="s">
        <v>7</v>
      </c>
      <c r="D372" s="60"/>
      <c r="E372" s="60"/>
      <c r="F372" s="42"/>
      <c r="G372" s="42">
        <f>SUM(G373:G375)</f>
        <v>39500000</v>
      </c>
      <c r="H372" s="154" t="b">
        <f t="shared" si="13"/>
        <v>1</v>
      </c>
      <c r="I372" s="154"/>
      <c r="J372" s="154"/>
    </row>
    <row r="373" spans="1:10" ht="14.25">
      <c r="A373" s="7" t="s">
        <v>2773</v>
      </c>
      <c r="B373" s="124"/>
      <c r="C373" s="123" t="s">
        <v>3587</v>
      </c>
      <c r="D373" s="124">
        <v>10</v>
      </c>
      <c r="E373" s="124" t="s">
        <v>9</v>
      </c>
      <c r="F373" s="125">
        <v>1500000</v>
      </c>
      <c r="G373" s="125">
        <f>ROUNDDOWN(D373*F373,-3)</f>
        <v>15000000</v>
      </c>
      <c r="H373" s="154" t="b">
        <f t="shared" si="13"/>
        <v>1</v>
      </c>
      <c r="I373" s="154"/>
      <c r="J373" s="154"/>
    </row>
    <row r="374" spans="1:10" ht="14.25">
      <c r="A374" s="7" t="s">
        <v>2774</v>
      </c>
      <c r="B374" s="124"/>
      <c r="C374" s="123" t="s">
        <v>3784</v>
      </c>
      <c r="D374" s="124">
        <v>150</v>
      </c>
      <c r="E374" s="124" t="s">
        <v>10</v>
      </c>
      <c r="F374" s="125">
        <v>70000</v>
      </c>
      <c r="G374" s="125">
        <f>ROUNDDOWN(D374*F374,-3)</f>
        <v>10500000</v>
      </c>
      <c r="H374" s="154" t="b">
        <f t="shared" si="13"/>
        <v>1</v>
      </c>
      <c r="I374" s="154"/>
      <c r="J374" s="154"/>
    </row>
    <row r="375" spans="1:10" ht="14.25">
      <c r="A375" s="7" t="s">
        <v>2775</v>
      </c>
      <c r="B375" s="124"/>
      <c r="C375" s="123" t="s">
        <v>3785</v>
      </c>
      <c r="D375" s="124">
        <v>40</v>
      </c>
      <c r="E375" s="124" t="s">
        <v>176</v>
      </c>
      <c r="F375" s="125">
        <v>350000</v>
      </c>
      <c r="G375" s="125">
        <f>ROUNDDOWN(D375*F375,-3)</f>
        <v>14000000</v>
      </c>
      <c r="H375" s="154" t="b">
        <f t="shared" si="13"/>
        <v>1</v>
      </c>
      <c r="I375" s="154"/>
      <c r="J375" s="154"/>
    </row>
    <row r="376" spans="1:10" ht="14.25">
      <c r="A376" s="7" t="s">
        <v>2776</v>
      </c>
      <c r="B376" s="60">
        <v>521811</v>
      </c>
      <c r="C376" s="41" t="s">
        <v>64</v>
      </c>
      <c r="D376" s="60"/>
      <c r="E376" s="60"/>
      <c r="F376" s="42"/>
      <c r="G376" s="42">
        <f>SUM(G377:G378)</f>
        <v>25000000</v>
      </c>
      <c r="H376" s="154" t="b">
        <f t="shared" si="13"/>
        <v>1</v>
      </c>
      <c r="I376" s="154"/>
      <c r="J376" s="154"/>
    </row>
    <row r="377" spans="1:10" ht="14.25">
      <c r="A377" s="7" t="s">
        <v>2777</v>
      </c>
      <c r="B377" s="124"/>
      <c r="C377" s="123" t="s">
        <v>3595</v>
      </c>
      <c r="D377" s="124">
        <v>10</v>
      </c>
      <c r="E377" s="124" t="s">
        <v>106</v>
      </c>
      <c r="F377" s="125">
        <v>1000000</v>
      </c>
      <c r="G377" s="125">
        <f>ROUNDDOWN(D377*F377,-3)</f>
        <v>10000000</v>
      </c>
      <c r="H377" s="154" t="b">
        <f t="shared" si="13"/>
        <v>1</v>
      </c>
      <c r="I377" s="154"/>
      <c r="J377" s="154"/>
    </row>
    <row r="378" spans="1:10" ht="14.25">
      <c r="A378" s="7" t="s">
        <v>2778</v>
      </c>
      <c r="B378" s="124"/>
      <c r="C378" s="123" t="s">
        <v>3596</v>
      </c>
      <c r="D378" s="124">
        <v>10</v>
      </c>
      <c r="E378" s="124" t="s">
        <v>106</v>
      </c>
      <c r="F378" s="125">
        <v>1500000</v>
      </c>
      <c r="G378" s="125">
        <f>ROUNDDOWN(D378*F378,-3)</f>
        <v>15000000</v>
      </c>
      <c r="H378" s="154" t="b">
        <f t="shared" si="13"/>
        <v>1</v>
      </c>
      <c r="I378" s="154"/>
      <c r="J378" s="154"/>
    </row>
    <row r="379" spans="1:10" ht="14.25">
      <c r="A379" s="7" t="s">
        <v>2779</v>
      </c>
      <c r="B379" s="60">
        <v>522151</v>
      </c>
      <c r="C379" s="41" t="s">
        <v>11</v>
      </c>
      <c r="D379" s="60"/>
      <c r="E379" s="60"/>
      <c r="F379" s="42"/>
      <c r="G379" s="42">
        <f>G380</f>
        <v>10000000</v>
      </c>
      <c r="H379" s="154" t="b">
        <f t="shared" si="13"/>
        <v>1</v>
      </c>
      <c r="I379" s="154"/>
      <c r="J379" s="154"/>
    </row>
    <row r="380" spans="1:10" ht="14.25">
      <c r="A380" s="7" t="s">
        <v>2780</v>
      </c>
      <c r="B380" s="124"/>
      <c r="C380" s="123" t="s">
        <v>3603</v>
      </c>
      <c r="D380" s="124">
        <v>10</v>
      </c>
      <c r="E380" s="124" t="s">
        <v>54</v>
      </c>
      <c r="F380" s="125">
        <v>1000000</v>
      </c>
      <c r="G380" s="125">
        <f>ROUNDDOWN(D380*F380,-3)</f>
        <v>10000000</v>
      </c>
      <c r="H380" s="154" t="b">
        <f t="shared" si="13"/>
        <v>1</v>
      </c>
      <c r="I380" s="154"/>
      <c r="J380" s="154"/>
    </row>
    <row r="381" spans="1:10" ht="14.25">
      <c r="A381" s="7" t="s">
        <v>2781</v>
      </c>
      <c r="B381" s="60">
        <v>524111</v>
      </c>
      <c r="C381" s="41" t="s">
        <v>19</v>
      </c>
      <c r="D381" s="60"/>
      <c r="E381" s="60"/>
      <c r="F381" s="42"/>
      <c r="G381" s="42">
        <f>G382</f>
        <v>93600000</v>
      </c>
      <c r="H381" s="154" t="b">
        <f t="shared" si="13"/>
        <v>1</v>
      </c>
      <c r="I381" s="154"/>
      <c r="J381" s="154"/>
    </row>
    <row r="382" spans="1:10" ht="25.5">
      <c r="A382" s="7" t="s">
        <v>2782</v>
      </c>
      <c r="B382" s="124"/>
      <c r="C382" s="123" t="s">
        <v>3788</v>
      </c>
      <c r="D382" s="124">
        <v>18</v>
      </c>
      <c r="E382" s="124" t="s">
        <v>10</v>
      </c>
      <c r="F382" s="125">
        <v>5200000</v>
      </c>
      <c r="G382" s="125">
        <f>ROUNDDOWN(D382*F382,-3)</f>
        <v>93600000</v>
      </c>
      <c r="H382" s="154" t="b">
        <f t="shared" si="13"/>
        <v>1</v>
      </c>
      <c r="I382" s="154"/>
      <c r="J382" s="154"/>
    </row>
    <row r="383" spans="1:10" ht="14.25">
      <c r="A383" s="7" t="s">
        <v>2784</v>
      </c>
      <c r="B383" s="119" t="s">
        <v>3789</v>
      </c>
      <c r="C383" s="118" t="s">
        <v>2786</v>
      </c>
      <c r="D383" s="119">
        <v>2</v>
      </c>
      <c r="E383" s="119" t="s">
        <v>3782</v>
      </c>
      <c r="F383" s="120"/>
      <c r="G383" s="120">
        <f>SUM(G384,G413)</f>
        <v>633732000</v>
      </c>
      <c r="H383" s="154" t="b">
        <f t="shared" si="13"/>
        <v>1</v>
      </c>
      <c r="I383" s="154"/>
      <c r="J383" s="154"/>
    </row>
    <row r="384" spans="1:10" ht="25.5">
      <c r="A384" s="7" t="s">
        <v>3052</v>
      </c>
      <c r="B384" s="58">
        <v>301</v>
      </c>
      <c r="C384" s="35" t="s">
        <v>3053</v>
      </c>
      <c r="D384" s="58"/>
      <c r="E384" s="58"/>
      <c r="F384" s="36"/>
      <c r="G384" s="36">
        <f>SUM(G385,G396)</f>
        <v>507200000</v>
      </c>
      <c r="H384" s="154" t="b">
        <f t="shared" si="13"/>
        <v>1</v>
      </c>
      <c r="I384" s="154"/>
      <c r="J384" s="154"/>
    </row>
    <row r="385" spans="1:10" ht="25.5">
      <c r="A385" s="7" t="s">
        <v>3054</v>
      </c>
      <c r="B385" s="59" t="s">
        <v>8</v>
      </c>
      <c r="C385" s="38" t="s">
        <v>174</v>
      </c>
      <c r="D385" s="59"/>
      <c r="E385" s="59"/>
      <c r="F385" s="39"/>
      <c r="G385" s="39">
        <f>SUM(G386,G392,G394)</f>
        <v>295200000</v>
      </c>
      <c r="H385" s="154" t="b">
        <f t="shared" si="13"/>
        <v>1</v>
      </c>
      <c r="I385" s="154"/>
      <c r="J385" s="154"/>
    </row>
    <row r="386" spans="1:10" ht="14.25">
      <c r="A386" s="7" t="s">
        <v>3055</v>
      </c>
      <c r="B386" s="60">
        <v>521211</v>
      </c>
      <c r="C386" s="41" t="s">
        <v>7</v>
      </c>
      <c r="D386" s="60"/>
      <c r="E386" s="60"/>
      <c r="F386" s="42"/>
      <c r="G386" s="42">
        <f>SUM(G387:G391)</f>
        <v>46000000</v>
      </c>
      <c r="H386" s="154" t="b">
        <f t="shared" si="13"/>
        <v>1</v>
      </c>
      <c r="I386" s="154"/>
      <c r="J386" s="154"/>
    </row>
    <row r="387" spans="1:10" ht="14.25">
      <c r="A387" s="7" t="s">
        <v>3056</v>
      </c>
      <c r="B387" s="124"/>
      <c r="C387" s="123" t="s">
        <v>3587</v>
      </c>
      <c r="D387" s="124">
        <v>5</v>
      </c>
      <c r="E387" s="124" t="s">
        <v>9</v>
      </c>
      <c r="F387" s="125">
        <v>1500000</v>
      </c>
      <c r="G387" s="125">
        <f>ROUNDDOWN(D387*F387,-3)</f>
        <v>7500000</v>
      </c>
      <c r="H387" s="154" t="b">
        <f t="shared" si="13"/>
        <v>1</v>
      </c>
      <c r="I387" s="154"/>
      <c r="J387" s="154"/>
    </row>
    <row r="388" spans="1:10" ht="14.25">
      <c r="A388" s="7" t="s">
        <v>3057</v>
      </c>
      <c r="B388" s="124"/>
      <c r="C388" s="123" t="s">
        <v>3784</v>
      </c>
      <c r="D388" s="124">
        <v>280</v>
      </c>
      <c r="E388" s="124" t="s">
        <v>10</v>
      </c>
      <c r="F388" s="125">
        <v>75000</v>
      </c>
      <c r="G388" s="125">
        <f>ROUNDDOWN(D388*F388,-3)</f>
        <v>21000000</v>
      </c>
      <c r="H388" s="154" t="b">
        <f t="shared" si="13"/>
        <v>1</v>
      </c>
      <c r="I388" s="154"/>
      <c r="J388" s="154"/>
    </row>
    <row r="389" spans="1:10" ht="14.25">
      <c r="A389" s="7" t="s">
        <v>3058</v>
      </c>
      <c r="B389" s="124"/>
      <c r="C389" s="123" t="s">
        <v>3785</v>
      </c>
      <c r="D389" s="124">
        <v>30</v>
      </c>
      <c r="E389" s="124" t="s">
        <v>176</v>
      </c>
      <c r="F389" s="125">
        <v>250000</v>
      </c>
      <c r="G389" s="125">
        <f>ROUNDDOWN(D389*F389,-3)</f>
        <v>7500000</v>
      </c>
      <c r="H389" s="154" t="b">
        <f t="shared" si="13"/>
        <v>1</v>
      </c>
      <c r="I389" s="154"/>
      <c r="J389" s="154"/>
    </row>
    <row r="390" spans="1:10" ht="14.25">
      <c r="A390" s="7" t="s">
        <v>3059</v>
      </c>
      <c r="B390" s="124"/>
      <c r="C390" s="123" t="s">
        <v>3591</v>
      </c>
      <c r="D390" s="124">
        <v>4</v>
      </c>
      <c r="E390" s="124" t="s">
        <v>106</v>
      </c>
      <c r="F390" s="125">
        <v>1000000</v>
      </c>
      <c r="G390" s="125">
        <f>ROUNDDOWN(D390*F390,-3)</f>
        <v>4000000</v>
      </c>
      <c r="H390" s="154" t="b">
        <f t="shared" si="13"/>
        <v>1</v>
      </c>
      <c r="I390" s="154"/>
      <c r="J390" s="154"/>
    </row>
    <row r="391" spans="1:10" ht="14.25">
      <c r="A391" s="7" t="s">
        <v>3060</v>
      </c>
      <c r="B391" s="124"/>
      <c r="C391" s="123" t="s">
        <v>3592</v>
      </c>
      <c r="D391" s="124">
        <v>4</v>
      </c>
      <c r="E391" s="124" t="s">
        <v>106</v>
      </c>
      <c r="F391" s="125">
        <v>1500000</v>
      </c>
      <c r="G391" s="125">
        <f>ROUNDDOWN(D391*F391,-3)</f>
        <v>6000000</v>
      </c>
      <c r="H391" s="154" t="b">
        <f t="shared" si="13"/>
        <v>1</v>
      </c>
      <c r="I391" s="154"/>
      <c r="J391" s="154"/>
    </row>
    <row r="392" spans="1:10" ht="14.25">
      <c r="A392" s="7" t="s">
        <v>3061</v>
      </c>
      <c r="B392" s="60">
        <v>521219</v>
      </c>
      <c r="C392" s="41" t="s">
        <v>53</v>
      </c>
      <c r="D392" s="60"/>
      <c r="E392" s="60"/>
      <c r="F392" s="42"/>
      <c r="G392" s="42">
        <f>G393</f>
        <v>2000000</v>
      </c>
      <c r="H392" s="154" t="b">
        <f t="shared" si="13"/>
        <v>1</v>
      </c>
      <c r="I392" s="154"/>
      <c r="J392" s="154"/>
    </row>
    <row r="393" spans="1:10" ht="25.5">
      <c r="A393" s="7" t="s">
        <v>3062</v>
      </c>
      <c r="B393" s="124"/>
      <c r="C393" s="123" t="s">
        <v>3790</v>
      </c>
      <c r="D393" s="124">
        <v>1</v>
      </c>
      <c r="E393" s="124" t="s">
        <v>153</v>
      </c>
      <c r="F393" s="125">
        <v>2000000</v>
      </c>
      <c r="G393" s="125">
        <f>ROUNDDOWN(D393*F393,-3)</f>
        <v>2000000</v>
      </c>
      <c r="H393" s="154" t="b">
        <f t="shared" si="13"/>
        <v>1</v>
      </c>
      <c r="I393" s="154"/>
      <c r="J393" s="154"/>
    </row>
    <row r="394" spans="1:10" ht="14.25">
      <c r="A394" s="7" t="s">
        <v>3064</v>
      </c>
      <c r="B394" s="60">
        <v>524111</v>
      </c>
      <c r="C394" s="41" t="s">
        <v>19</v>
      </c>
      <c r="D394" s="60"/>
      <c r="E394" s="60"/>
      <c r="F394" s="42"/>
      <c r="G394" s="42">
        <f>G395</f>
        <v>247200000</v>
      </c>
      <c r="H394" s="154" t="b">
        <f t="shared" si="13"/>
        <v>1</v>
      </c>
      <c r="I394" s="154"/>
      <c r="J394" s="154"/>
    </row>
    <row r="395" spans="1:10" ht="14.25">
      <c r="A395" s="7" t="s">
        <v>3065</v>
      </c>
      <c r="B395" s="124"/>
      <c r="C395" s="123" t="s">
        <v>3791</v>
      </c>
      <c r="D395" s="124">
        <v>40</v>
      </c>
      <c r="E395" s="124" t="s">
        <v>10</v>
      </c>
      <c r="F395" s="125">
        <v>6180000</v>
      </c>
      <c r="G395" s="125">
        <f>ROUNDDOWN(D395*F395,-3)</f>
        <v>247200000</v>
      </c>
      <c r="H395" s="154" t="b">
        <f t="shared" si="13"/>
        <v>1</v>
      </c>
      <c r="I395" s="154"/>
      <c r="J395" s="154"/>
    </row>
    <row r="396" spans="1:10" ht="14.25">
      <c r="A396" s="7" t="s">
        <v>3067</v>
      </c>
      <c r="B396" s="59" t="s">
        <v>511</v>
      </c>
      <c r="C396" s="38" t="s">
        <v>175</v>
      </c>
      <c r="D396" s="59"/>
      <c r="E396" s="59"/>
      <c r="F396" s="39"/>
      <c r="G396" s="39">
        <f>SUM(G397,G404,G407,G409,G411)</f>
        <v>212000000</v>
      </c>
      <c r="H396" s="154" t="b">
        <f t="shared" si="13"/>
        <v>1</v>
      </c>
      <c r="I396" s="154"/>
      <c r="J396" s="154"/>
    </row>
    <row r="397" spans="1:10" ht="14.25">
      <c r="A397" s="7" t="s">
        <v>3068</v>
      </c>
      <c r="B397" s="60">
        <v>521211</v>
      </c>
      <c r="C397" s="41" t="s">
        <v>7</v>
      </c>
      <c r="D397" s="60"/>
      <c r="E397" s="60"/>
      <c r="F397" s="42"/>
      <c r="G397" s="42">
        <f>SUM(G398:G403)</f>
        <v>41000000</v>
      </c>
      <c r="H397" s="154" t="b">
        <f t="shared" si="13"/>
        <v>1</v>
      </c>
      <c r="I397" s="154"/>
      <c r="J397" s="154"/>
    </row>
    <row r="398" spans="1:10" ht="14.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c r="A399" s="7" t="s">
        <v>3070</v>
      </c>
      <c r="B399" s="124"/>
      <c r="C399" s="123" t="s">
        <v>3784</v>
      </c>
      <c r="D399" s="124">
        <v>180</v>
      </c>
      <c r="E399" s="124" t="s">
        <v>10</v>
      </c>
      <c r="F399" s="125">
        <v>75000</v>
      </c>
      <c r="G399" s="125">
        <f t="shared" si="14"/>
        <v>13500000</v>
      </c>
      <c r="H399" s="154" t="b">
        <f t="shared" si="13"/>
        <v>1</v>
      </c>
      <c r="I399" s="154"/>
      <c r="J399" s="154"/>
    </row>
    <row r="400" spans="1:10" ht="14.25">
      <c r="A400" s="7" t="s">
        <v>3071</v>
      </c>
      <c r="B400" s="124"/>
      <c r="C400" s="123" t="s">
        <v>3792</v>
      </c>
      <c r="D400" s="124">
        <v>15</v>
      </c>
      <c r="E400" s="124" t="s">
        <v>176</v>
      </c>
      <c r="F400" s="125">
        <v>500000</v>
      </c>
      <c r="G400" s="125">
        <f t="shared" si="14"/>
        <v>7500000</v>
      </c>
      <c r="H400" s="154" t="b">
        <f t="shared" si="13"/>
        <v>1</v>
      </c>
      <c r="I400" s="154"/>
      <c r="J400" s="154"/>
    </row>
    <row r="401" spans="1:10" ht="14.25">
      <c r="A401" s="7" t="s">
        <v>3073</v>
      </c>
      <c r="B401" s="124"/>
      <c r="C401" s="123" t="s">
        <v>3591</v>
      </c>
      <c r="D401" s="124">
        <v>4</v>
      </c>
      <c r="E401" s="124" t="s">
        <v>106</v>
      </c>
      <c r="F401" s="125">
        <v>1000000</v>
      </c>
      <c r="G401" s="125">
        <f t="shared" si="14"/>
        <v>4000000</v>
      </c>
      <c r="H401" s="154" t="b">
        <f t="shared" si="13"/>
        <v>1</v>
      </c>
      <c r="I401" s="154"/>
      <c r="J401" s="154"/>
    </row>
    <row r="402" spans="1:10" ht="14.25">
      <c r="A402" s="7" t="s">
        <v>3074</v>
      </c>
      <c r="B402" s="124"/>
      <c r="C402" s="123" t="s">
        <v>3592</v>
      </c>
      <c r="D402" s="124">
        <v>4</v>
      </c>
      <c r="E402" s="124" t="s">
        <v>106</v>
      </c>
      <c r="F402" s="125">
        <v>1500000</v>
      </c>
      <c r="G402" s="125">
        <f t="shared" si="14"/>
        <v>6000000</v>
      </c>
      <c r="H402" s="154" t="b">
        <f t="shared" si="13"/>
        <v>1</v>
      </c>
      <c r="I402" s="154"/>
      <c r="J402" s="154"/>
    </row>
    <row r="403" spans="1:10" ht="14.25">
      <c r="A403" s="7" t="s">
        <v>3075</v>
      </c>
      <c r="B403" s="124"/>
      <c r="C403" s="123" t="s">
        <v>3793</v>
      </c>
      <c r="D403" s="124">
        <v>8</v>
      </c>
      <c r="E403" s="124" t="s">
        <v>58</v>
      </c>
      <c r="F403" s="125">
        <v>500000</v>
      </c>
      <c r="G403" s="125">
        <f t="shared" si="14"/>
        <v>4000000</v>
      </c>
      <c r="H403" s="154" t="b">
        <f t="shared" si="13"/>
        <v>1</v>
      </c>
      <c r="I403" s="154"/>
      <c r="J403" s="154"/>
    </row>
    <row r="404" spans="1:10" ht="14.25">
      <c r="A404" s="7" t="s">
        <v>3077</v>
      </c>
      <c r="B404" s="60">
        <v>521219</v>
      </c>
      <c r="C404" s="41" t="s">
        <v>53</v>
      </c>
      <c r="D404" s="60"/>
      <c r="E404" s="60"/>
      <c r="F404" s="42"/>
      <c r="G404" s="42">
        <f>SUM(G405:G406)</f>
        <v>32000000</v>
      </c>
      <c r="H404" s="154" t="b">
        <f t="shared" si="13"/>
        <v>1</v>
      </c>
      <c r="I404" s="154"/>
      <c r="J404" s="154"/>
    </row>
    <row r="405" spans="1:10" ht="25.5">
      <c r="A405" s="7" t="s">
        <v>3078</v>
      </c>
      <c r="B405" s="124"/>
      <c r="C405" s="123" t="s">
        <v>3794</v>
      </c>
      <c r="D405" s="124">
        <v>2</v>
      </c>
      <c r="E405" s="124" t="s">
        <v>177</v>
      </c>
      <c r="F405" s="125">
        <v>15000000</v>
      </c>
      <c r="G405" s="125">
        <f>ROUNDDOWN(D405*F405,-3)</f>
        <v>30000000</v>
      </c>
      <c r="H405" s="154" t="b">
        <f t="shared" si="13"/>
        <v>1</v>
      </c>
      <c r="I405" s="154"/>
      <c r="J405" s="154"/>
    </row>
    <row r="406" spans="1:10" ht="25.5">
      <c r="A406" s="7" t="s">
        <v>3080</v>
      </c>
      <c r="B406" s="124"/>
      <c r="C406" s="123" t="s">
        <v>3795</v>
      </c>
      <c r="D406" s="124">
        <v>1</v>
      </c>
      <c r="E406" s="124" t="s">
        <v>60</v>
      </c>
      <c r="F406" s="125">
        <v>2000000</v>
      </c>
      <c r="G406" s="125">
        <f>ROUNDDOWN(D406*F406,-3)</f>
        <v>2000000</v>
      </c>
      <c r="H406" s="154" t="b">
        <f t="shared" si="13"/>
        <v>1</v>
      </c>
      <c r="I406" s="154"/>
      <c r="J406" s="154"/>
    </row>
    <row r="407" spans="1:10" ht="14.25">
      <c r="A407" s="7" t="s">
        <v>3082</v>
      </c>
      <c r="B407" s="60">
        <v>522151</v>
      </c>
      <c r="C407" s="41" t="s">
        <v>11</v>
      </c>
      <c r="D407" s="60"/>
      <c r="E407" s="60"/>
      <c r="F407" s="42"/>
      <c r="G407" s="42">
        <f>G408</f>
        <v>10000000</v>
      </c>
      <c r="H407" s="154" t="b">
        <f t="shared" si="13"/>
        <v>1</v>
      </c>
      <c r="I407" s="154"/>
      <c r="J407" s="154"/>
    </row>
    <row r="408" spans="1:10" ht="14.25">
      <c r="A408" s="7" t="s">
        <v>3083</v>
      </c>
      <c r="B408" s="124"/>
      <c r="C408" s="123" t="s">
        <v>3603</v>
      </c>
      <c r="D408" s="124">
        <v>10</v>
      </c>
      <c r="E408" s="124" t="s">
        <v>54</v>
      </c>
      <c r="F408" s="125">
        <v>1000000</v>
      </c>
      <c r="G408" s="125">
        <f>ROUNDDOWN(D408*F408,-3)</f>
        <v>10000000</v>
      </c>
      <c r="H408" s="154" t="b">
        <f t="shared" si="13"/>
        <v>1</v>
      </c>
      <c r="I408" s="154"/>
      <c r="J408" s="154"/>
    </row>
    <row r="409" spans="1:10" ht="14.25">
      <c r="A409" s="7" t="s">
        <v>3084</v>
      </c>
      <c r="B409" s="60">
        <v>524111</v>
      </c>
      <c r="C409" s="41" t="s">
        <v>19</v>
      </c>
      <c r="D409" s="60"/>
      <c r="E409" s="60"/>
      <c r="F409" s="42"/>
      <c r="G409" s="42">
        <f>G410</f>
        <v>120000000</v>
      </c>
      <c r="H409" s="154" t="b">
        <f t="shared" si="13"/>
        <v>1</v>
      </c>
      <c r="I409" s="154"/>
      <c r="J409" s="154"/>
    </row>
    <row r="410" spans="1:10" ht="14.25">
      <c r="A410" s="7" t="s">
        <v>3085</v>
      </c>
      <c r="B410" s="124"/>
      <c r="C410" s="123" t="s">
        <v>3796</v>
      </c>
      <c r="D410" s="124">
        <v>30</v>
      </c>
      <c r="E410" s="124" t="s">
        <v>10</v>
      </c>
      <c r="F410" s="125">
        <v>4000000</v>
      </c>
      <c r="G410" s="125">
        <f>ROUNDDOWN(D410*F410,-3)</f>
        <v>120000000</v>
      </c>
      <c r="H410" s="154" t="b">
        <f t="shared" si="13"/>
        <v>1</v>
      </c>
      <c r="I410" s="154"/>
      <c r="J410" s="154"/>
    </row>
    <row r="411" spans="1:10" ht="14.25">
      <c r="A411" s="7" t="s">
        <v>3087</v>
      </c>
      <c r="B411" s="60">
        <v>524113</v>
      </c>
      <c r="C411" s="41" t="s">
        <v>13</v>
      </c>
      <c r="D411" s="60"/>
      <c r="E411" s="60"/>
      <c r="F411" s="42"/>
      <c r="G411" s="42">
        <f>G412</f>
        <v>9000000</v>
      </c>
      <c r="H411" s="154" t="b">
        <f t="shared" si="13"/>
        <v>1</v>
      </c>
      <c r="I411" s="154"/>
      <c r="J411" s="154"/>
    </row>
    <row r="412" spans="1:10" ht="14.25">
      <c r="A412" s="7" t="s">
        <v>3088</v>
      </c>
      <c r="B412" s="124"/>
      <c r="C412" s="123" t="s">
        <v>3593</v>
      </c>
      <c r="D412" s="124">
        <v>60</v>
      </c>
      <c r="E412" s="124" t="s">
        <v>25</v>
      </c>
      <c r="F412" s="125">
        <v>150000</v>
      </c>
      <c r="G412" s="125">
        <f>ROUNDDOWN(D412*F412,-3)</f>
        <v>9000000</v>
      </c>
      <c r="H412" s="154" t="b">
        <f t="shared" si="13"/>
        <v>1</v>
      </c>
      <c r="I412" s="154"/>
      <c r="J412" s="154"/>
    </row>
    <row r="413" spans="1:10" ht="25.5">
      <c r="A413" s="7" t="s">
        <v>3089</v>
      </c>
      <c r="B413" s="58">
        <v>302</v>
      </c>
      <c r="C413" s="35" t="s">
        <v>3091</v>
      </c>
      <c r="D413" s="58"/>
      <c r="E413" s="58"/>
      <c r="F413" s="36"/>
      <c r="G413" s="36">
        <f>G414</f>
        <v>126532000</v>
      </c>
      <c r="H413" s="154" t="b">
        <f t="shared" si="13"/>
        <v>1</v>
      </c>
      <c r="I413" s="154"/>
      <c r="J413" s="154"/>
    </row>
    <row r="414" spans="1:10" ht="14.25">
      <c r="A414" s="7" t="s">
        <v>3092</v>
      </c>
      <c r="B414" s="59" t="s">
        <v>8</v>
      </c>
      <c r="C414" s="38" t="s">
        <v>178</v>
      </c>
      <c r="D414" s="59"/>
      <c r="E414" s="59"/>
      <c r="F414" s="39"/>
      <c r="G414" s="39">
        <f>SUM(G415,G421,G423)</f>
        <v>126532000</v>
      </c>
      <c r="H414" s="154" t="b">
        <f t="shared" si="13"/>
        <v>1</v>
      </c>
      <c r="I414" s="154"/>
      <c r="J414" s="154"/>
    </row>
    <row r="415" spans="1:10" ht="14.25">
      <c r="A415" s="7" t="s">
        <v>3093</v>
      </c>
      <c r="B415" s="60">
        <v>521211</v>
      </c>
      <c r="C415" s="41" t="s">
        <v>7</v>
      </c>
      <c r="D415" s="60"/>
      <c r="E415" s="60"/>
      <c r="F415" s="42"/>
      <c r="G415" s="42">
        <f>SUM(G416:G420)</f>
        <v>35500000</v>
      </c>
      <c r="H415" s="154" t="b">
        <f t="shared" si="13"/>
        <v>1</v>
      </c>
      <c r="I415" s="154"/>
      <c r="J415" s="154"/>
    </row>
    <row r="416" spans="1:10" ht="14.25">
      <c r="A416" s="7" t="s">
        <v>3094</v>
      </c>
      <c r="B416" s="124"/>
      <c r="C416" s="123" t="s">
        <v>3587</v>
      </c>
      <c r="D416" s="124">
        <v>4</v>
      </c>
      <c r="E416" s="124" t="s">
        <v>9</v>
      </c>
      <c r="F416" s="125">
        <v>1500000</v>
      </c>
      <c r="G416" s="125">
        <f>ROUNDDOWN(D416*F416,-3)</f>
        <v>6000000</v>
      </c>
      <c r="H416" s="154" t="b">
        <f t="shared" si="13"/>
        <v>1</v>
      </c>
      <c r="I416" s="154"/>
      <c r="J416" s="154"/>
    </row>
    <row r="417" spans="1:10" ht="14.25">
      <c r="A417" s="7" t="s">
        <v>3095</v>
      </c>
      <c r="B417" s="124"/>
      <c r="C417" s="123" t="s">
        <v>3784</v>
      </c>
      <c r="D417" s="124">
        <v>180</v>
      </c>
      <c r="E417" s="124" t="s">
        <v>10</v>
      </c>
      <c r="F417" s="125">
        <v>75000</v>
      </c>
      <c r="G417" s="125">
        <f>ROUNDDOWN(D417*F417,-3)</f>
        <v>13500000</v>
      </c>
      <c r="H417" s="154" t="b">
        <f t="shared" si="13"/>
        <v>1</v>
      </c>
      <c r="I417" s="154"/>
      <c r="J417" s="154"/>
    </row>
    <row r="418" spans="1:10" ht="14.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c r="A419" s="7" t="s">
        <v>3097</v>
      </c>
      <c r="B419" s="124"/>
      <c r="C419" s="123" t="s">
        <v>3589</v>
      </c>
      <c r="D419" s="124">
        <v>4</v>
      </c>
      <c r="E419" s="124" t="s">
        <v>106</v>
      </c>
      <c r="F419" s="125">
        <v>1500000</v>
      </c>
      <c r="G419" s="125">
        <f>ROUNDDOWN(D419*F419,-3)</f>
        <v>6000000</v>
      </c>
      <c r="H419" s="154" t="b">
        <f t="shared" si="15"/>
        <v>1</v>
      </c>
      <c r="I419" s="154"/>
      <c r="J419" s="154"/>
    </row>
    <row r="420" spans="1:10" ht="14.25">
      <c r="A420" s="7" t="s">
        <v>3098</v>
      </c>
      <c r="B420" s="124"/>
      <c r="C420" s="123" t="s">
        <v>3797</v>
      </c>
      <c r="D420" s="124">
        <v>12</v>
      </c>
      <c r="E420" s="124" t="s">
        <v>176</v>
      </c>
      <c r="F420" s="125">
        <v>500000</v>
      </c>
      <c r="G420" s="125">
        <f>ROUNDDOWN(D420*F420,-3)</f>
        <v>6000000</v>
      </c>
      <c r="H420" s="154" t="b">
        <f t="shared" si="15"/>
        <v>1</v>
      </c>
      <c r="I420" s="154"/>
      <c r="J420" s="154"/>
    </row>
    <row r="421" spans="1:10" ht="14.25">
      <c r="A421" s="7" t="s">
        <v>3100</v>
      </c>
      <c r="B421" s="60">
        <v>521219</v>
      </c>
      <c r="C421" s="41" t="s">
        <v>53</v>
      </c>
      <c r="D421" s="60"/>
      <c r="E421" s="60"/>
      <c r="F421" s="42"/>
      <c r="G421" s="42">
        <f>G422</f>
        <v>2000000</v>
      </c>
      <c r="H421" s="154" t="b">
        <f t="shared" si="15"/>
        <v>1</v>
      </c>
      <c r="I421" s="154"/>
      <c r="J421" s="154"/>
    </row>
    <row r="422" spans="1:10" ht="25.5">
      <c r="A422" s="7" t="s">
        <v>3101</v>
      </c>
      <c r="B422" s="124"/>
      <c r="C422" s="123" t="s">
        <v>3790</v>
      </c>
      <c r="D422" s="124">
        <v>1</v>
      </c>
      <c r="E422" s="124" t="s">
        <v>153</v>
      </c>
      <c r="F422" s="125">
        <v>2000000</v>
      </c>
      <c r="G422" s="125">
        <f>ROUNDDOWN(D422*F422,-3)</f>
        <v>2000000</v>
      </c>
      <c r="H422" s="154" t="b">
        <f t="shared" si="15"/>
        <v>1</v>
      </c>
      <c r="I422" s="154"/>
      <c r="J422" s="154"/>
    </row>
    <row r="423" spans="1:10" ht="14.25">
      <c r="A423" s="7" t="s">
        <v>3102</v>
      </c>
      <c r="B423" s="60">
        <v>524111</v>
      </c>
      <c r="C423" s="41" t="s">
        <v>19</v>
      </c>
      <c r="D423" s="60"/>
      <c r="E423" s="60"/>
      <c r="F423" s="42"/>
      <c r="G423" s="42">
        <f>G424</f>
        <v>89032000</v>
      </c>
      <c r="H423" s="154" t="b">
        <f t="shared" si="15"/>
        <v>1</v>
      </c>
      <c r="I423" s="154"/>
      <c r="J423" s="154"/>
    </row>
    <row r="424" spans="1:10" ht="14.25">
      <c r="A424" s="7" t="s">
        <v>3103</v>
      </c>
      <c r="B424" s="124"/>
      <c r="C424" s="123" t="s">
        <v>3796</v>
      </c>
      <c r="D424" s="124">
        <v>22</v>
      </c>
      <c r="E424" s="124" t="s">
        <v>10</v>
      </c>
      <c r="F424" s="125">
        <v>4046950</v>
      </c>
      <c r="G424" s="125">
        <f>ROUNDDOWN(D424*F424,-3)</f>
        <v>89032000</v>
      </c>
      <c r="H424" s="154" t="b">
        <f t="shared" si="15"/>
        <v>1</v>
      </c>
      <c r="I424" s="154"/>
      <c r="J424" s="154"/>
    </row>
    <row r="425" spans="1:10" ht="14.25">
      <c r="A425" s="7" t="s">
        <v>3104</v>
      </c>
      <c r="B425" s="119" t="s">
        <v>3798</v>
      </c>
      <c r="C425" s="118" t="s">
        <v>3106</v>
      </c>
      <c r="D425" s="119">
        <v>1</v>
      </c>
      <c r="E425" s="119" t="s">
        <v>3782</v>
      </c>
      <c r="F425" s="120"/>
      <c r="G425" s="120">
        <f>G426</f>
        <v>289920000</v>
      </c>
      <c r="H425" s="154" t="b">
        <f t="shared" si="15"/>
        <v>1</v>
      </c>
      <c r="I425" s="154"/>
      <c r="J425" s="154"/>
    </row>
    <row r="426" spans="1:10" ht="25.5">
      <c r="A426" s="7" t="s">
        <v>3318</v>
      </c>
      <c r="B426" s="58">
        <v>301</v>
      </c>
      <c r="C426" s="35" t="s">
        <v>3319</v>
      </c>
      <c r="D426" s="58"/>
      <c r="E426" s="58"/>
      <c r="F426" s="36"/>
      <c r="G426" s="36">
        <f>SUM(G427,G437,G446,G454,G467,G475)</f>
        <v>289920000</v>
      </c>
      <c r="H426" s="154" t="b">
        <f t="shared" si="15"/>
        <v>1</v>
      </c>
      <c r="I426" s="154"/>
      <c r="J426" s="154"/>
    </row>
    <row r="427" spans="1:10" ht="14.25">
      <c r="A427" s="7" t="s">
        <v>3320</v>
      </c>
      <c r="B427" s="59" t="s">
        <v>8</v>
      </c>
      <c r="C427" s="38" t="s">
        <v>143</v>
      </c>
      <c r="D427" s="59"/>
      <c r="E427" s="59"/>
      <c r="F427" s="39"/>
      <c r="G427" s="39">
        <f>SUM(G428,G433,G435)</f>
        <v>40700000</v>
      </c>
      <c r="H427" s="154" t="b">
        <f t="shared" si="15"/>
        <v>1</v>
      </c>
      <c r="I427" s="154"/>
      <c r="J427" s="154"/>
    </row>
    <row r="428" spans="1:10" ht="14.25">
      <c r="A428" s="7" t="s">
        <v>3321</v>
      </c>
      <c r="B428" s="60">
        <v>521211</v>
      </c>
      <c r="C428" s="41" t="s">
        <v>7</v>
      </c>
      <c r="D428" s="60"/>
      <c r="E428" s="60"/>
      <c r="F428" s="42"/>
      <c r="G428" s="42">
        <f>SUM(G429:G432)</f>
        <v>23900000</v>
      </c>
      <c r="H428" s="154" t="b">
        <f t="shared" si="15"/>
        <v>1</v>
      </c>
      <c r="I428" s="154"/>
      <c r="J428" s="154"/>
    </row>
    <row r="429" spans="1:10" ht="14.25">
      <c r="A429" s="7" t="s">
        <v>3322</v>
      </c>
      <c r="B429" s="124"/>
      <c r="C429" s="123" t="s">
        <v>3587</v>
      </c>
      <c r="D429" s="124">
        <v>5</v>
      </c>
      <c r="E429" s="124" t="s">
        <v>9</v>
      </c>
      <c r="F429" s="125">
        <v>1500000</v>
      </c>
      <c r="G429" s="125">
        <f>ROUNDDOWN(D429*F429,-3)</f>
        <v>7500000</v>
      </c>
      <c r="H429" s="154" t="b">
        <f t="shared" si="15"/>
        <v>1</v>
      </c>
      <c r="I429" s="154"/>
      <c r="J429" s="154"/>
    </row>
    <row r="430" spans="1:10" ht="14.25">
      <c r="A430" s="7" t="s">
        <v>3323</v>
      </c>
      <c r="B430" s="124"/>
      <c r="C430" s="123" t="s">
        <v>3784</v>
      </c>
      <c r="D430" s="124">
        <v>20</v>
      </c>
      <c r="E430" s="124" t="s">
        <v>10</v>
      </c>
      <c r="F430" s="125">
        <v>70000</v>
      </c>
      <c r="G430" s="125">
        <f>ROUNDDOWN(D430*F430,-3)</f>
        <v>1400000</v>
      </c>
      <c r="H430" s="154" t="b">
        <f t="shared" si="15"/>
        <v>1</v>
      </c>
      <c r="I430" s="154"/>
      <c r="J430" s="154"/>
    </row>
    <row r="431" spans="1:10" ht="14.25">
      <c r="A431" s="7" t="s">
        <v>3324</v>
      </c>
      <c r="B431" s="124"/>
      <c r="C431" s="123" t="s">
        <v>3588</v>
      </c>
      <c r="D431" s="124">
        <v>6</v>
      </c>
      <c r="E431" s="124" t="s">
        <v>106</v>
      </c>
      <c r="F431" s="125">
        <v>1000000</v>
      </c>
      <c r="G431" s="125">
        <f>ROUNDDOWN(D431*F431,-3)</f>
        <v>6000000</v>
      </c>
      <c r="H431" s="154" t="b">
        <f t="shared" si="15"/>
        <v>1</v>
      </c>
      <c r="I431" s="154"/>
      <c r="J431" s="154"/>
    </row>
    <row r="432" spans="1:10" ht="14.25">
      <c r="A432" s="7" t="s">
        <v>3325</v>
      </c>
      <c r="B432" s="124"/>
      <c r="C432" s="123" t="s">
        <v>3589</v>
      </c>
      <c r="D432" s="124">
        <v>6</v>
      </c>
      <c r="E432" s="124" t="s">
        <v>106</v>
      </c>
      <c r="F432" s="125">
        <v>1500000</v>
      </c>
      <c r="G432" s="125">
        <f>ROUNDDOWN(D432*F432,-3)</f>
        <v>9000000</v>
      </c>
      <c r="H432" s="154" t="b">
        <f t="shared" si="15"/>
        <v>1</v>
      </c>
      <c r="I432" s="154"/>
      <c r="J432" s="154"/>
    </row>
    <row r="433" spans="1:10" ht="14.25">
      <c r="A433" s="7" t="s">
        <v>3326</v>
      </c>
      <c r="B433" s="60">
        <v>524111</v>
      </c>
      <c r="C433" s="41" t="s">
        <v>19</v>
      </c>
      <c r="D433" s="60"/>
      <c r="E433" s="60"/>
      <c r="F433" s="42"/>
      <c r="G433" s="42">
        <f>G434</f>
        <v>15000000</v>
      </c>
      <c r="H433" s="154" t="b">
        <f t="shared" si="15"/>
        <v>1</v>
      </c>
      <c r="I433" s="154"/>
      <c r="J433" s="154"/>
    </row>
    <row r="434" spans="1:10" ht="14.25">
      <c r="A434" s="7" t="s">
        <v>3327</v>
      </c>
      <c r="B434" s="124"/>
      <c r="C434" s="123" t="s">
        <v>3800</v>
      </c>
      <c r="D434" s="124">
        <v>5</v>
      </c>
      <c r="E434" s="124" t="s">
        <v>10</v>
      </c>
      <c r="F434" s="125">
        <v>3000000</v>
      </c>
      <c r="G434" s="125">
        <f>ROUNDDOWN(D434*F434,-3)</f>
        <v>15000000</v>
      </c>
      <c r="H434" s="154" t="b">
        <f t="shared" si="15"/>
        <v>1</v>
      </c>
      <c r="I434" s="154"/>
      <c r="J434" s="154"/>
    </row>
    <row r="435" spans="1:10" ht="14.25">
      <c r="A435" s="7" t="s">
        <v>3329</v>
      </c>
      <c r="B435" s="60">
        <v>524113</v>
      </c>
      <c r="C435" s="41" t="s">
        <v>13</v>
      </c>
      <c r="D435" s="60"/>
      <c r="E435" s="60"/>
      <c r="F435" s="42"/>
      <c r="G435" s="42">
        <f>G436</f>
        <v>1800000</v>
      </c>
      <c r="H435" s="154" t="b">
        <f t="shared" si="15"/>
        <v>1</v>
      </c>
      <c r="I435" s="154"/>
      <c r="J435" s="154"/>
    </row>
    <row r="436" spans="1:10" ht="14.25">
      <c r="A436" s="7" t="s">
        <v>3330</v>
      </c>
      <c r="B436" s="124"/>
      <c r="C436" s="123" t="s">
        <v>3590</v>
      </c>
      <c r="D436" s="124">
        <v>12</v>
      </c>
      <c r="E436" s="124" t="s">
        <v>10</v>
      </c>
      <c r="F436" s="125">
        <v>150000</v>
      </c>
      <c r="G436" s="125">
        <f>ROUNDDOWN(D436*F436,-3)</f>
        <v>1800000</v>
      </c>
      <c r="H436" s="154" t="b">
        <f t="shared" si="15"/>
        <v>1</v>
      </c>
      <c r="I436" s="154"/>
      <c r="J436" s="154"/>
    </row>
    <row r="437" spans="1:10" ht="14.25">
      <c r="A437" s="7" t="s">
        <v>3331</v>
      </c>
      <c r="B437" s="59" t="s">
        <v>511</v>
      </c>
      <c r="C437" s="38" t="s">
        <v>144</v>
      </c>
      <c r="D437" s="59"/>
      <c r="E437" s="59"/>
      <c r="F437" s="39"/>
      <c r="G437" s="39">
        <f>SUM(G438,G442,G444)</f>
        <v>30900000</v>
      </c>
      <c r="H437" s="154" t="b">
        <f t="shared" si="15"/>
        <v>1</v>
      </c>
      <c r="I437" s="154"/>
      <c r="J437" s="154"/>
    </row>
    <row r="438" spans="1:10" ht="14.25">
      <c r="A438" s="7" t="s">
        <v>3332</v>
      </c>
      <c r="B438" s="60">
        <v>521211</v>
      </c>
      <c r="C438" s="41" t="s">
        <v>7</v>
      </c>
      <c r="D438" s="60"/>
      <c r="E438" s="60"/>
      <c r="F438" s="42"/>
      <c r="G438" s="42">
        <f>SUM(G439:G441)</f>
        <v>11400000</v>
      </c>
      <c r="H438" s="154" t="b">
        <f t="shared" si="15"/>
        <v>1</v>
      </c>
      <c r="I438" s="154"/>
      <c r="J438" s="154"/>
    </row>
    <row r="439" spans="1:10" ht="14.25">
      <c r="A439" s="7" t="s">
        <v>3333</v>
      </c>
      <c r="B439" s="124"/>
      <c r="C439" s="123" t="s">
        <v>3781</v>
      </c>
      <c r="D439" s="124">
        <v>4</v>
      </c>
      <c r="E439" s="124" t="s">
        <v>9</v>
      </c>
      <c r="F439" s="125">
        <v>1500000</v>
      </c>
      <c r="G439" s="125">
        <f>ROUNDDOWN(D439*F439,-3)</f>
        <v>6000000</v>
      </c>
      <c r="H439" s="154" t="b">
        <f t="shared" si="15"/>
        <v>1</v>
      </c>
      <c r="I439" s="154"/>
      <c r="J439" s="154"/>
    </row>
    <row r="440" spans="1:10" ht="14.25">
      <c r="A440" s="7" t="s">
        <v>3334</v>
      </c>
      <c r="B440" s="124"/>
      <c r="C440" s="123" t="s">
        <v>3784</v>
      </c>
      <c r="D440" s="124">
        <v>20</v>
      </c>
      <c r="E440" s="124" t="s">
        <v>10</v>
      </c>
      <c r="F440" s="125">
        <v>70000</v>
      </c>
      <c r="G440" s="125">
        <f>ROUNDDOWN(D440*F440,-3)</f>
        <v>1400000</v>
      </c>
      <c r="H440" s="154" t="b">
        <f t="shared" si="15"/>
        <v>1</v>
      </c>
      <c r="I440" s="154"/>
      <c r="J440" s="154"/>
    </row>
    <row r="441" spans="1:10" ht="14.25">
      <c r="A441" s="7" t="s">
        <v>3335</v>
      </c>
      <c r="B441" s="124"/>
      <c r="C441" s="123" t="s">
        <v>3588</v>
      </c>
      <c r="D441" s="124">
        <v>4</v>
      </c>
      <c r="E441" s="124" t="s">
        <v>106</v>
      </c>
      <c r="F441" s="125">
        <v>1000000</v>
      </c>
      <c r="G441" s="125">
        <f>ROUNDDOWN(D441*F441,-3)</f>
        <v>4000000</v>
      </c>
      <c r="H441" s="154" t="b">
        <f t="shared" si="15"/>
        <v>1</v>
      </c>
      <c r="I441" s="154"/>
      <c r="J441" s="154"/>
    </row>
    <row r="442" spans="1:10" ht="14.25">
      <c r="A442" s="7" t="s">
        <v>3336</v>
      </c>
      <c r="B442" s="60">
        <v>524111</v>
      </c>
      <c r="C442" s="41" t="s">
        <v>19</v>
      </c>
      <c r="D442" s="60"/>
      <c r="E442" s="60"/>
      <c r="F442" s="42"/>
      <c r="G442" s="42">
        <f>G443</f>
        <v>18000000</v>
      </c>
      <c r="H442" s="154" t="b">
        <f t="shared" si="15"/>
        <v>1</v>
      </c>
      <c r="I442" s="154"/>
      <c r="J442" s="154"/>
    </row>
    <row r="443" spans="1:10" ht="14.25">
      <c r="A443" s="7" t="s">
        <v>3337</v>
      </c>
      <c r="B443" s="124"/>
      <c r="C443" s="123" t="s">
        <v>3800</v>
      </c>
      <c r="D443" s="124">
        <v>6</v>
      </c>
      <c r="E443" s="124" t="s">
        <v>10</v>
      </c>
      <c r="F443" s="125">
        <v>3000000</v>
      </c>
      <c r="G443" s="125">
        <f>ROUNDDOWN(D443*F443,-3)</f>
        <v>18000000</v>
      </c>
      <c r="H443" s="154" t="b">
        <f t="shared" si="15"/>
        <v>1</v>
      </c>
      <c r="I443" s="154"/>
      <c r="J443" s="154"/>
    </row>
    <row r="444" spans="1:10" ht="14.25">
      <c r="A444" s="7" t="s">
        <v>3338</v>
      </c>
      <c r="B444" s="60">
        <v>524113</v>
      </c>
      <c r="C444" s="41" t="s">
        <v>13</v>
      </c>
      <c r="D444" s="60"/>
      <c r="E444" s="60"/>
      <c r="F444" s="42"/>
      <c r="G444" s="42">
        <f>G445</f>
        <v>1500000</v>
      </c>
      <c r="H444" s="154" t="b">
        <f t="shared" si="15"/>
        <v>1</v>
      </c>
      <c r="I444" s="154"/>
      <c r="J444" s="154"/>
    </row>
    <row r="445" spans="1:10" ht="14.25">
      <c r="A445" s="7" t="s">
        <v>3339</v>
      </c>
      <c r="B445" s="124"/>
      <c r="C445" s="123" t="s">
        <v>3593</v>
      </c>
      <c r="D445" s="124">
        <v>10</v>
      </c>
      <c r="E445" s="124" t="s">
        <v>10</v>
      </c>
      <c r="F445" s="125">
        <v>150000</v>
      </c>
      <c r="G445" s="125">
        <f>ROUNDDOWN(D445*F445,-3)</f>
        <v>1500000</v>
      </c>
      <c r="H445" s="154" t="b">
        <f t="shared" si="15"/>
        <v>1</v>
      </c>
      <c r="I445" s="154"/>
      <c r="J445" s="154"/>
    </row>
    <row r="446" spans="1:10" ht="14.25">
      <c r="A446" s="7" t="s">
        <v>3340</v>
      </c>
      <c r="B446" s="59" t="s">
        <v>512</v>
      </c>
      <c r="C446" s="38" t="s">
        <v>145</v>
      </c>
      <c r="D446" s="59"/>
      <c r="E446" s="59"/>
      <c r="F446" s="39"/>
      <c r="G446" s="39">
        <f>SUM(G447,G450,G452)</f>
        <v>26500000</v>
      </c>
      <c r="H446" s="154" t="b">
        <f t="shared" si="15"/>
        <v>1</v>
      </c>
      <c r="I446" s="154"/>
      <c r="J446" s="154"/>
    </row>
    <row r="447" spans="1:10" ht="14.25">
      <c r="A447" s="7" t="s">
        <v>3341</v>
      </c>
      <c r="B447" s="60">
        <v>521211</v>
      </c>
      <c r="C447" s="41" t="s">
        <v>7</v>
      </c>
      <c r="D447" s="60"/>
      <c r="E447" s="60"/>
      <c r="F447" s="42"/>
      <c r="G447" s="42">
        <f>SUM(G448:G449)</f>
        <v>10000000</v>
      </c>
      <c r="H447" s="154" t="b">
        <f t="shared" si="15"/>
        <v>1</v>
      </c>
      <c r="I447" s="154"/>
      <c r="J447" s="154"/>
    </row>
    <row r="448" spans="1:10" ht="14.25">
      <c r="A448" s="7" t="s">
        <v>3342</v>
      </c>
      <c r="B448" s="124"/>
      <c r="C448" s="123" t="s">
        <v>3781</v>
      </c>
      <c r="D448" s="124">
        <v>4</v>
      </c>
      <c r="E448" s="124" t="s">
        <v>9</v>
      </c>
      <c r="F448" s="125">
        <v>1500000</v>
      </c>
      <c r="G448" s="125">
        <f>ROUNDDOWN(D448*F448,-3)</f>
        <v>6000000</v>
      </c>
      <c r="H448" s="154" t="b">
        <f t="shared" si="15"/>
        <v>1</v>
      </c>
      <c r="I448" s="154"/>
      <c r="J448" s="154"/>
    </row>
    <row r="449" spans="1:10" ht="14.25">
      <c r="A449" s="7" t="s">
        <v>3343</v>
      </c>
      <c r="B449" s="124"/>
      <c r="C449" s="123" t="s">
        <v>3598</v>
      </c>
      <c r="D449" s="124">
        <v>4</v>
      </c>
      <c r="E449" s="124" t="s">
        <v>106</v>
      </c>
      <c r="F449" s="125">
        <v>1000000</v>
      </c>
      <c r="G449" s="125">
        <f>ROUNDDOWN(D449*F449,-3)</f>
        <v>4000000</v>
      </c>
      <c r="H449" s="154" t="b">
        <f t="shared" si="15"/>
        <v>1</v>
      </c>
      <c r="I449" s="154"/>
      <c r="J449" s="154"/>
    </row>
    <row r="450" spans="1:10" ht="14.25">
      <c r="A450" s="7" t="s">
        <v>3344</v>
      </c>
      <c r="B450" s="60">
        <v>524111</v>
      </c>
      <c r="C450" s="41" t="s">
        <v>19</v>
      </c>
      <c r="D450" s="60"/>
      <c r="E450" s="60"/>
      <c r="F450" s="42"/>
      <c r="G450" s="42">
        <f>G451</f>
        <v>15000000</v>
      </c>
      <c r="H450" s="154" t="b">
        <f t="shared" si="15"/>
        <v>1</v>
      </c>
      <c r="I450" s="154"/>
      <c r="J450" s="154"/>
    </row>
    <row r="451" spans="1:10" ht="14.25">
      <c r="A451" s="7" t="s">
        <v>3345</v>
      </c>
      <c r="B451" s="124"/>
      <c r="C451" s="123" t="s">
        <v>3801</v>
      </c>
      <c r="D451" s="124">
        <v>5</v>
      </c>
      <c r="E451" s="124" t="s">
        <v>10</v>
      </c>
      <c r="F451" s="125">
        <v>3000000</v>
      </c>
      <c r="G451" s="125">
        <f>ROUNDDOWN(D451*F451,-3)</f>
        <v>15000000</v>
      </c>
      <c r="H451" s="154" t="b">
        <f t="shared" si="15"/>
        <v>1</v>
      </c>
      <c r="I451" s="154"/>
      <c r="J451" s="154"/>
    </row>
    <row r="452" spans="1:10" ht="14.25">
      <c r="A452" s="7" t="s">
        <v>3347</v>
      </c>
      <c r="B452" s="60">
        <v>524113</v>
      </c>
      <c r="C452" s="41" t="s">
        <v>13</v>
      </c>
      <c r="D452" s="60"/>
      <c r="E452" s="60"/>
      <c r="F452" s="42"/>
      <c r="G452" s="42">
        <f>G453</f>
        <v>1500000</v>
      </c>
      <c r="H452" s="154" t="b">
        <f t="shared" si="15"/>
        <v>1</v>
      </c>
      <c r="I452" s="154"/>
      <c r="J452" s="154"/>
    </row>
    <row r="453" spans="1:10" ht="14.25">
      <c r="A453" s="7" t="s">
        <v>3348</v>
      </c>
      <c r="B453" s="124"/>
      <c r="C453" s="123" t="s">
        <v>3593</v>
      </c>
      <c r="D453" s="124">
        <v>10</v>
      </c>
      <c r="E453" s="124" t="s">
        <v>10</v>
      </c>
      <c r="F453" s="125">
        <v>150000</v>
      </c>
      <c r="G453" s="125">
        <f>ROUNDDOWN(D453*F453,-3)</f>
        <v>1500000</v>
      </c>
      <c r="H453" s="154" t="b">
        <f t="shared" si="15"/>
        <v>1</v>
      </c>
      <c r="I453" s="154"/>
      <c r="J453" s="154"/>
    </row>
    <row r="454" spans="1:10" ht="14.25">
      <c r="A454" s="7" t="s">
        <v>3349</v>
      </c>
      <c r="B454" s="59" t="s">
        <v>514</v>
      </c>
      <c r="C454" s="38" t="s">
        <v>3350</v>
      </c>
      <c r="D454" s="59"/>
      <c r="E454" s="59"/>
      <c r="F454" s="39"/>
      <c r="G454" s="39">
        <f>SUM(G455,G461,G463,G465)</f>
        <v>86700000</v>
      </c>
      <c r="H454" s="154" t="b">
        <f t="shared" si="15"/>
        <v>1</v>
      </c>
      <c r="I454" s="154"/>
      <c r="J454" s="154"/>
    </row>
    <row r="455" spans="1:10" ht="14.25">
      <c r="A455" s="7" t="s">
        <v>3351</v>
      </c>
      <c r="B455" s="60">
        <v>521211</v>
      </c>
      <c r="C455" s="41" t="s">
        <v>7</v>
      </c>
      <c r="D455" s="60"/>
      <c r="E455" s="60"/>
      <c r="F455" s="42"/>
      <c r="G455" s="42">
        <f>SUM(G456:G460)</f>
        <v>32400000</v>
      </c>
      <c r="H455" s="154" t="b">
        <f t="shared" si="15"/>
        <v>1</v>
      </c>
      <c r="I455" s="154"/>
      <c r="J455" s="154"/>
    </row>
    <row r="456" spans="1:10" ht="14.25">
      <c r="A456" s="7" t="s">
        <v>3352</v>
      </c>
      <c r="B456" s="124"/>
      <c r="C456" s="123" t="s">
        <v>3781</v>
      </c>
      <c r="D456" s="124">
        <v>6</v>
      </c>
      <c r="E456" s="124" t="s">
        <v>9</v>
      </c>
      <c r="F456" s="125">
        <v>1500000</v>
      </c>
      <c r="G456" s="125">
        <f>ROUNDDOWN(D456*F456,-3)</f>
        <v>9000000</v>
      </c>
      <c r="H456" s="154" t="b">
        <f t="shared" si="15"/>
        <v>1</v>
      </c>
      <c r="I456" s="154"/>
      <c r="J456" s="154"/>
    </row>
    <row r="457" spans="1:10" ht="14.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c r="A458" s="155" t="s">
        <v>3354</v>
      </c>
      <c r="B458" s="124"/>
      <c r="C458" s="123" t="s">
        <v>3802</v>
      </c>
      <c r="D458" s="124">
        <v>28</v>
      </c>
      <c r="E458" s="124" t="s">
        <v>176</v>
      </c>
      <c r="F458" s="125">
        <v>500000</v>
      </c>
      <c r="G458" s="125">
        <f>ROUNDDOWN(D458*F458,-3)</f>
        <v>14000000</v>
      </c>
      <c r="H458" s="154" t="b">
        <f t="shared" si="15"/>
        <v>1</v>
      </c>
      <c r="I458" s="154"/>
      <c r="J458" s="154"/>
    </row>
    <row r="459" spans="1:10" ht="14.25">
      <c r="A459" s="7" t="s">
        <v>3356</v>
      </c>
      <c r="B459" s="124"/>
      <c r="C459" s="123" t="s">
        <v>3803</v>
      </c>
      <c r="D459" s="124">
        <v>4</v>
      </c>
      <c r="E459" s="124" t="s">
        <v>58</v>
      </c>
      <c r="F459" s="125">
        <v>500000</v>
      </c>
      <c r="G459" s="125">
        <f>ROUNDDOWN(D459*F459,-3)</f>
        <v>2000000</v>
      </c>
      <c r="H459" s="154" t="b">
        <f t="shared" si="15"/>
        <v>1</v>
      </c>
      <c r="I459" s="154"/>
      <c r="J459" s="154"/>
    </row>
    <row r="460" spans="1:10" ht="14.25">
      <c r="A460" s="7" t="s">
        <v>3358</v>
      </c>
      <c r="B460" s="124"/>
      <c r="C460" s="123" t="s">
        <v>3799</v>
      </c>
      <c r="D460" s="124">
        <v>6</v>
      </c>
      <c r="E460" s="124" t="s">
        <v>106</v>
      </c>
      <c r="F460" s="125">
        <v>1000000</v>
      </c>
      <c r="G460" s="125">
        <f>ROUNDDOWN(D460*F460,-3)</f>
        <v>6000000</v>
      </c>
      <c r="H460" s="154" t="b">
        <f t="shared" si="15"/>
        <v>1</v>
      </c>
      <c r="I460" s="154"/>
      <c r="J460" s="154"/>
    </row>
    <row r="461" spans="1:10" ht="14.25">
      <c r="A461" s="7" t="s">
        <v>3359</v>
      </c>
      <c r="B461" s="60">
        <v>522151</v>
      </c>
      <c r="C461" s="41" t="s">
        <v>11</v>
      </c>
      <c r="D461" s="60"/>
      <c r="E461" s="60"/>
      <c r="F461" s="42"/>
      <c r="G461" s="42">
        <f>G462</f>
        <v>9000000</v>
      </c>
      <c r="H461" s="154" t="b">
        <f t="shared" si="15"/>
        <v>1</v>
      </c>
      <c r="I461" s="154"/>
      <c r="J461" s="154"/>
    </row>
    <row r="462" spans="1:10" ht="14.25">
      <c r="A462" s="7" t="s">
        <v>3360</v>
      </c>
      <c r="B462" s="124"/>
      <c r="C462" s="123" t="s">
        <v>3603</v>
      </c>
      <c r="D462" s="124">
        <v>10</v>
      </c>
      <c r="E462" s="124" t="s">
        <v>12</v>
      </c>
      <c r="F462" s="125">
        <v>900000</v>
      </c>
      <c r="G462" s="125">
        <f>ROUNDDOWN(D462*F462,-3)</f>
        <v>9000000</v>
      </c>
      <c r="H462" s="154" t="b">
        <f t="shared" si="15"/>
        <v>1</v>
      </c>
      <c r="I462" s="154"/>
      <c r="J462" s="154"/>
    </row>
    <row r="463" spans="1:10" ht="14.25">
      <c r="A463" s="7" t="s">
        <v>3361</v>
      </c>
      <c r="B463" s="60">
        <v>524111</v>
      </c>
      <c r="C463" s="41" t="s">
        <v>19</v>
      </c>
      <c r="D463" s="60"/>
      <c r="E463" s="60"/>
      <c r="F463" s="42"/>
      <c r="G463" s="42">
        <f>G464</f>
        <v>42000000</v>
      </c>
      <c r="H463" s="154" t="b">
        <f t="shared" si="15"/>
        <v>1</v>
      </c>
      <c r="I463" s="154"/>
      <c r="J463" s="154"/>
    </row>
    <row r="464" spans="1:10" ht="25.5">
      <c r="A464" s="7" t="s">
        <v>3362</v>
      </c>
      <c r="B464" s="124"/>
      <c r="C464" s="123" t="s">
        <v>3804</v>
      </c>
      <c r="D464" s="124">
        <v>14</v>
      </c>
      <c r="E464" s="124" t="s">
        <v>10</v>
      </c>
      <c r="F464" s="125">
        <v>3000000</v>
      </c>
      <c r="G464" s="125">
        <f>ROUNDDOWN(D464*F464,-3)</f>
        <v>42000000</v>
      </c>
      <c r="H464" s="154" t="b">
        <f t="shared" si="15"/>
        <v>1</v>
      </c>
      <c r="I464" s="154"/>
      <c r="J464" s="154"/>
    </row>
    <row r="465" spans="1:10" ht="14.25">
      <c r="A465" s="7" t="s">
        <v>3364</v>
      </c>
      <c r="B465" s="60">
        <v>524113</v>
      </c>
      <c r="C465" s="41" t="s">
        <v>13</v>
      </c>
      <c r="D465" s="60"/>
      <c r="E465" s="60"/>
      <c r="F465" s="42"/>
      <c r="G465" s="42">
        <f>G466</f>
        <v>3300000</v>
      </c>
      <c r="H465" s="154" t="b">
        <f t="shared" si="15"/>
        <v>1</v>
      </c>
      <c r="I465" s="154"/>
      <c r="J465" s="154"/>
    </row>
    <row r="466" spans="1:10" ht="25.5">
      <c r="A466" s="7" t="s">
        <v>3365</v>
      </c>
      <c r="B466" s="124"/>
      <c r="C466" s="123" t="s">
        <v>3805</v>
      </c>
      <c r="D466" s="124">
        <v>22</v>
      </c>
      <c r="E466" s="124" t="s">
        <v>10</v>
      </c>
      <c r="F466" s="125">
        <v>150000</v>
      </c>
      <c r="G466" s="125">
        <f>ROUNDDOWN(D466*F466,-3)</f>
        <v>3300000</v>
      </c>
      <c r="H466" s="154" t="b">
        <f t="shared" si="15"/>
        <v>1</v>
      </c>
      <c r="I466" s="154"/>
      <c r="J466" s="154"/>
    </row>
    <row r="467" spans="1:10" ht="14.25">
      <c r="A467" s="7" t="s">
        <v>3367</v>
      </c>
      <c r="B467" s="59" t="s">
        <v>519</v>
      </c>
      <c r="C467" s="38" t="s">
        <v>146</v>
      </c>
      <c r="D467" s="59"/>
      <c r="E467" s="59"/>
      <c r="F467" s="39"/>
      <c r="G467" s="39">
        <f>SUM(G468,G471,G473)</f>
        <v>28800000</v>
      </c>
      <c r="H467" s="154" t="b">
        <f t="shared" si="15"/>
        <v>1</v>
      </c>
      <c r="I467" s="154"/>
      <c r="J467" s="154"/>
    </row>
    <row r="468" spans="1:10" ht="14.25">
      <c r="A468" s="7" t="s">
        <v>3368</v>
      </c>
      <c r="B468" s="60">
        <v>521211</v>
      </c>
      <c r="C468" s="41" t="s">
        <v>7</v>
      </c>
      <c r="D468" s="60"/>
      <c r="E468" s="60"/>
      <c r="F468" s="42"/>
      <c r="G468" s="42">
        <f>SUM(G469:G470)</f>
        <v>15000000</v>
      </c>
      <c r="H468" s="154" t="b">
        <f t="shared" si="15"/>
        <v>1</v>
      </c>
      <c r="I468" s="154"/>
      <c r="J468" s="154"/>
    </row>
    <row r="469" spans="1:10" ht="14.25">
      <c r="A469" s="7" t="s">
        <v>3369</v>
      </c>
      <c r="B469" s="124"/>
      <c r="C469" s="123" t="s">
        <v>3781</v>
      </c>
      <c r="D469" s="124">
        <v>6</v>
      </c>
      <c r="E469" s="124" t="s">
        <v>9</v>
      </c>
      <c r="F469" s="125">
        <v>1500000</v>
      </c>
      <c r="G469" s="125">
        <f>ROUNDDOWN(D469*F469,-3)</f>
        <v>9000000</v>
      </c>
      <c r="H469" s="154" t="b">
        <f t="shared" si="15"/>
        <v>1</v>
      </c>
      <c r="I469" s="154"/>
      <c r="J469" s="154"/>
    </row>
    <row r="470" spans="1:10" ht="14.25">
      <c r="A470" s="7" t="s">
        <v>3370</v>
      </c>
      <c r="B470" s="124"/>
      <c r="C470" s="123" t="s">
        <v>3598</v>
      </c>
      <c r="D470" s="124">
        <v>6</v>
      </c>
      <c r="E470" s="124" t="s">
        <v>106</v>
      </c>
      <c r="F470" s="125">
        <v>1000000</v>
      </c>
      <c r="G470" s="125">
        <f>ROUNDDOWN(D470*F470,-3)</f>
        <v>6000000</v>
      </c>
      <c r="H470" s="154" t="b">
        <f t="shared" si="15"/>
        <v>1</v>
      </c>
      <c r="I470" s="154"/>
      <c r="J470" s="154"/>
    </row>
    <row r="471" spans="1:10" ht="14.25">
      <c r="A471" s="7" t="s">
        <v>3371</v>
      </c>
      <c r="B471" s="60">
        <v>524111</v>
      </c>
      <c r="C471" s="41" t="s">
        <v>19</v>
      </c>
      <c r="D471" s="60"/>
      <c r="E471" s="60"/>
      <c r="F471" s="42"/>
      <c r="G471" s="42">
        <f>G472</f>
        <v>12000000</v>
      </c>
      <c r="H471" s="154" t="b">
        <f t="shared" si="15"/>
        <v>1</v>
      </c>
      <c r="I471" s="154"/>
      <c r="J471" s="154"/>
    </row>
    <row r="472" spans="1:10" ht="14.25">
      <c r="A472" s="7" t="s">
        <v>3372</v>
      </c>
      <c r="B472" s="124"/>
      <c r="C472" s="123" t="s">
        <v>3806</v>
      </c>
      <c r="D472" s="124">
        <v>4</v>
      </c>
      <c r="E472" s="124" t="s">
        <v>10</v>
      </c>
      <c r="F472" s="125">
        <v>3000000</v>
      </c>
      <c r="G472" s="125">
        <f>ROUNDDOWN(D472*F472,-3)</f>
        <v>12000000</v>
      </c>
      <c r="H472" s="154" t="b">
        <f t="shared" si="15"/>
        <v>1</v>
      </c>
      <c r="I472" s="154"/>
      <c r="J472" s="154"/>
    </row>
    <row r="473" spans="1:10" ht="14.25">
      <c r="A473" s="7" t="s">
        <v>3374</v>
      </c>
      <c r="B473" s="60">
        <v>524113</v>
      </c>
      <c r="C473" s="41" t="s">
        <v>13</v>
      </c>
      <c r="D473" s="60"/>
      <c r="E473" s="60"/>
      <c r="F473" s="42"/>
      <c r="G473" s="42">
        <f>G474</f>
        <v>1800000</v>
      </c>
      <c r="H473" s="154" t="b">
        <f t="shared" si="15"/>
        <v>1</v>
      </c>
      <c r="I473" s="154"/>
      <c r="J473" s="154"/>
    </row>
    <row r="474" spans="1:10" ht="14.25">
      <c r="A474" s="7" t="s">
        <v>3375</v>
      </c>
      <c r="B474" s="124"/>
      <c r="C474" s="123" t="s">
        <v>3807</v>
      </c>
      <c r="D474" s="124">
        <v>12</v>
      </c>
      <c r="E474" s="124" t="s">
        <v>10</v>
      </c>
      <c r="F474" s="125">
        <v>150000</v>
      </c>
      <c r="G474" s="125">
        <f>ROUNDDOWN(D474*F474,-3)</f>
        <v>1800000</v>
      </c>
      <c r="H474" s="154" t="b">
        <f t="shared" si="15"/>
        <v>1</v>
      </c>
      <c r="I474" s="154"/>
      <c r="J474" s="154"/>
    </row>
    <row r="475" spans="1:10" ht="14.25">
      <c r="A475" s="7" t="s">
        <v>3377</v>
      </c>
      <c r="B475" s="59" t="s">
        <v>578</v>
      </c>
      <c r="C475" s="38" t="s">
        <v>147</v>
      </c>
      <c r="D475" s="59"/>
      <c r="E475" s="59"/>
      <c r="F475" s="39"/>
      <c r="G475" s="39">
        <f>SUM(G476,G478,G481,G483)</f>
        <v>76320000</v>
      </c>
      <c r="H475" s="154" t="b">
        <f t="shared" si="15"/>
        <v>1</v>
      </c>
      <c r="I475" s="154"/>
      <c r="J475" s="154"/>
    </row>
    <row r="476" spans="1:10" ht="14.25">
      <c r="A476" s="7" t="s">
        <v>3378</v>
      </c>
      <c r="B476" s="60">
        <v>521211</v>
      </c>
      <c r="C476" s="41" t="s">
        <v>7</v>
      </c>
      <c r="D476" s="60"/>
      <c r="E476" s="60"/>
      <c r="F476" s="42"/>
      <c r="G476" s="42">
        <f>G477</f>
        <v>4800000</v>
      </c>
      <c r="H476" s="154" t="b">
        <f t="shared" si="15"/>
        <v>1</v>
      </c>
      <c r="I476" s="154"/>
      <c r="J476" s="154"/>
    </row>
    <row r="477" spans="1:10" ht="14.25">
      <c r="A477" s="7" t="s">
        <v>3379</v>
      </c>
      <c r="B477" s="124"/>
      <c r="C477" s="123" t="s">
        <v>3808</v>
      </c>
      <c r="D477" s="124">
        <v>24</v>
      </c>
      <c r="E477" s="124" t="s">
        <v>176</v>
      </c>
      <c r="F477" s="125">
        <v>200000</v>
      </c>
      <c r="G477" s="125">
        <f>ROUNDDOWN(D477*F477,-3)</f>
        <v>4800000</v>
      </c>
      <c r="H477" s="154" t="b">
        <f t="shared" si="15"/>
        <v>1</v>
      </c>
      <c r="I477" s="154"/>
      <c r="J477" s="154"/>
    </row>
    <row r="478" spans="1:10" ht="14.25">
      <c r="A478" s="7" t="s">
        <v>3381</v>
      </c>
      <c r="B478" s="60">
        <v>521811</v>
      </c>
      <c r="C478" s="41" t="s">
        <v>64</v>
      </c>
      <c r="D478" s="60"/>
      <c r="E478" s="60"/>
      <c r="F478" s="42"/>
      <c r="G478" s="42">
        <f>SUM(G479:G480)</f>
        <v>25000000</v>
      </c>
      <c r="H478" s="154" t="b">
        <f t="shared" si="15"/>
        <v>1</v>
      </c>
      <c r="I478" s="154"/>
      <c r="J478" s="154"/>
    </row>
    <row r="479" spans="1:10" ht="14.25">
      <c r="A479" s="7" t="s">
        <v>3382</v>
      </c>
      <c r="B479" s="124"/>
      <c r="C479" s="123" t="s">
        <v>3781</v>
      </c>
      <c r="D479" s="124">
        <v>10</v>
      </c>
      <c r="E479" s="124" t="s">
        <v>9</v>
      </c>
      <c r="F479" s="125">
        <v>1500000</v>
      </c>
      <c r="G479" s="125">
        <f>ROUNDDOWN(D479*F479,-3)</f>
        <v>15000000</v>
      </c>
      <c r="H479" s="154" t="b">
        <f t="shared" si="15"/>
        <v>1</v>
      </c>
      <c r="I479" s="154"/>
      <c r="J479" s="154"/>
    </row>
    <row r="480" spans="1:10" ht="14.25">
      <c r="A480" s="7" t="s">
        <v>3383</v>
      </c>
      <c r="B480" s="124"/>
      <c r="C480" s="123" t="s">
        <v>3598</v>
      </c>
      <c r="D480" s="124">
        <v>10</v>
      </c>
      <c r="E480" s="124" t="s">
        <v>2749</v>
      </c>
      <c r="F480" s="125">
        <v>1000000</v>
      </c>
      <c r="G480" s="125">
        <f>ROUNDDOWN(D480*F480,-3)</f>
        <v>10000000</v>
      </c>
      <c r="H480" s="154" t="b">
        <f t="shared" si="15"/>
        <v>1</v>
      </c>
      <c r="I480" s="154"/>
      <c r="J480" s="154"/>
    </row>
    <row r="481" spans="1:10" ht="14.25">
      <c r="A481" s="7" t="s">
        <v>3384</v>
      </c>
      <c r="B481" s="60">
        <v>524111</v>
      </c>
      <c r="C481" s="41" t="s">
        <v>19</v>
      </c>
      <c r="D481" s="60"/>
      <c r="E481" s="60"/>
      <c r="F481" s="42"/>
      <c r="G481" s="42">
        <f>G482</f>
        <v>42770000</v>
      </c>
      <c r="H481" s="154" t="b">
        <f t="shared" si="15"/>
        <v>1</v>
      </c>
      <c r="I481" s="154"/>
      <c r="J481" s="154"/>
    </row>
    <row r="482" spans="1:10" ht="14.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c r="A483" s="7" t="s">
        <v>3387</v>
      </c>
      <c r="B483" s="60">
        <v>524113</v>
      </c>
      <c r="C483" s="41" t="s">
        <v>13</v>
      </c>
      <c r="D483" s="60"/>
      <c r="E483" s="60"/>
      <c r="F483" s="42"/>
      <c r="G483" s="42">
        <f>G484</f>
        <v>3750000</v>
      </c>
      <c r="H483" s="154" t="b">
        <f t="shared" si="16"/>
        <v>1</v>
      </c>
      <c r="I483" s="154"/>
      <c r="J483" s="154"/>
    </row>
    <row r="484" spans="1:10" ht="14.25">
      <c r="A484" s="7" t="s">
        <v>3388</v>
      </c>
      <c r="B484" s="124"/>
      <c r="C484" s="123" t="s">
        <v>3594</v>
      </c>
      <c r="D484" s="124">
        <v>25</v>
      </c>
      <c r="E484" s="124" t="s">
        <v>10</v>
      </c>
      <c r="F484" s="125">
        <v>150000</v>
      </c>
      <c r="G484" s="125">
        <f>ROUNDDOWN(D484*F484,-3)</f>
        <v>3750000</v>
      </c>
      <c r="H484" s="154" t="b">
        <f t="shared" si="16"/>
        <v>1</v>
      </c>
      <c r="I484" s="154"/>
      <c r="J484" s="154"/>
    </row>
    <row r="485" spans="1:10" ht="14.25">
      <c r="A485" s="7" t="s">
        <v>495</v>
      </c>
      <c r="B485" s="55">
        <v>4345</v>
      </c>
      <c r="C485" s="26" t="s">
        <v>188</v>
      </c>
      <c r="D485" s="55"/>
      <c r="E485" s="55"/>
      <c r="F485" s="27"/>
      <c r="G485" s="27">
        <f>G486</f>
        <v>8582500000</v>
      </c>
      <c r="H485" s="154" t="b">
        <f t="shared" si="16"/>
        <v>1</v>
      </c>
      <c r="I485" s="154"/>
      <c r="J485" s="154"/>
    </row>
    <row r="486" spans="1:10" ht="14.25">
      <c r="A486" s="7" t="s">
        <v>3473</v>
      </c>
      <c r="B486" s="116" t="s">
        <v>3474</v>
      </c>
      <c r="C486" s="114" t="s">
        <v>2312</v>
      </c>
      <c r="D486" s="116">
        <v>4725</v>
      </c>
      <c r="E486" s="116" t="s">
        <v>155</v>
      </c>
      <c r="F486" s="117"/>
      <c r="G486" s="117">
        <f>G487</f>
        <v>8582500000</v>
      </c>
      <c r="H486" s="154" t="b">
        <f t="shared" si="16"/>
        <v>1</v>
      </c>
      <c r="I486" s="154"/>
      <c r="J486" s="154"/>
    </row>
    <row r="487" spans="1:10" ht="14.25">
      <c r="A487" s="7" t="s">
        <v>3475</v>
      </c>
      <c r="B487" s="119" t="s">
        <v>3810</v>
      </c>
      <c r="C487" s="118" t="s">
        <v>3477</v>
      </c>
      <c r="D487" s="119">
        <v>4725</v>
      </c>
      <c r="E487" s="119" t="s">
        <v>155</v>
      </c>
      <c r="F487" s="120"/>
      <c r="G487" s="120">
        <f>SUM(G488,G536)</f>
        <v>8582500000</v>
      </c>
      <c r="H487" s="154" t="b">
        <f t="shared" si="16"/>
        <v>1</v>
      </c>
      <c r="I487" s="154"/>
      <c r="J487" s="154"/>
    </row>
    <row r="488" spans="1:10" ht="14.25">
      <c r="A488" s="7" t="s">
        <v>3478</v>
      </c>
      <c r="B488" s="58">
        <v>301</v>
      </c>
      <c r="C488" s="35" t="s">
        <v>189</v>
      </c>
      <c r="D488" s="58"/>
      <c r="E488" s="58"/>
      <c r="F488" s="36"/>
      <c r="G488" s="36">
        <f>SUM(G489,G508,G524,G533)</f>
        <v>8473300000</v>
      </c>
      <c r="H488" s="154" t="b">
        <f t="shared" si="16"/>
        <v>1</v>
      </c>
      <c r="I488" s="154"/>
      <c r="J488" s="154"/>
    </row>
    <row r="489" spans="1:10" ht="14.25">
      <c r="A489" s="7" t="s">
        <v>3479</v>
      </c>
      <c r="B489" s="59" t="s">
        <v>8</v>
      </c>
      <c r="C489" s="38" t="s">
        <v>190</v>
      </c>
      <c r="D489" s="59"/>
      <c r="E489" s="59"/>
      <c r="F489" s="39"/>
      <c r="G489" s="39">
        <f>SUM(G490,G495,G498,G501,G503,G505)</f>
        <v>1713564000</v>
      </c>
      <c r="H489" s="154" t="b">
        <f t="shared" si="16"/>
        <v>1</v>
      </c>
      <c r="I489" s="154"/>
      <c r="J489" s="154"/>
    </row>
    <row r="490" spans="1:10" ht="14.25">
      <c r="A490" s="7" t="s">
        <v>3480</v>
      </c>
      <c r="B490" s="60">
        <v>521211</v>
      </c>
      <c r="C490" s="41" t="s">
        <v>7</v>
      </c>
      <c r="D490" s="60"/>
      <c r="E490" s="60"/>
      <c r="F490" s="42"/>
      <c r="G490" s="42">
        <f>SUM(G491:G494)</f>
        <v>99100000</v>
      </c>
      <c r="H490" s="154" t="b">
        <f t="shared" si="16"/>
        <v>1</v>
      </c>
      <c r="I490" s="154"/>
      <c r="J490" s="154"/>
    </row>
    <row r="491" spans="1:10" ht="14.25">
      <c r="A491" s="7" t="s">
        <v>3481</v>
      </c>
      <c r="B491" s="124"/>
      <c r="C491" s="123" t="s">
        <v>3811</v>
      </c>
      <c r="D491" s="124">
        <v>400</v>
      </c>
      <c r="E491" s="124" t="s">
        <v>10</v>
      </c>
      <c r="F491" s="125">
        <v>70000</v>
      </c>
      <c r="G491" s="125">
        <f>ROUNDDOWN(D491*F491,-3)</f>
        <v>28000000</v>
      </c>
      <c r="H491" s="154" t="b">
        <f t="shared" si="16"/>
        <v>1</v>
      </c>
      <c r="I491" s="154"/>
      <c r="J491" s="154"/>
    </row>
    <row r="492" spans="1:10" ht="14.25">
      <c r="A492" s="7" t="s">
        <v>3482</v>
      </c>
      <c r="B492" s="124"/>
      <c r="C492" s="123" t="s">
        <v>3812</v>
      </c>
      <c r="D492" s="124">
        <v>10</v>
      </c>
      <c r="E492" s="124" t="s">
        <v>9</v>
      </c>
      <c r="F492" s="125">
        <v>1500000</v>
      </c>
      <c r="G492" s="125">
        <f>ROUNDDOWN(D492*F492,-3)</f>
        <v>15000000</v>
      </c>
      <c r="H492" s="154" t="b">
        <f t="shared" si="16"/>
        <v>1</v>
      </c>
      <c r="I492" s="154"/>
      <c r="J492" s="154"/>
    </row>
    <row r="493" spans="1:10" ht="14.25">
      <c r="A493" s="7" t="s">
        <v>3484</v>
      </c>
      <c r="B493" s="124"/>
      <c r="C493" s="123" t="s">
        <v>3813</v>
      </c>
      <c r="D493" s="124">
        <v>120</v>
      </c>
      <c r="E493" s="124" t="s">
        <v>25</v>
      </c>
      <c r="F493" s="125">
        <v>280000</v>
      </c>
      <c r="G493" s="125">
        <f>ROUNDDOWN(D493*F493,-3)</f>
        <v>33600000</v>
      </c>
      <c r="H493" s="154" t="b">
        <f t="shared" si="16"/>
        <v>1</v>
      </c>
      <c r="I493" s="154"/>
      <c r="J493" s="154"/>
    </row>
    <row r="494" spans="1:10" ht="14.25">
      <c r="A494" s="7" t="s">
        <v>3486</v>
      </c>
      <c r="B494" s="124"/>
      <c r="C494" s="123" t="s">
        <v>3814</v>
      </c>
      <c r="D494" s="124">
        <v>150</v>
      </c>
      <c r="E494" s="124" t="s">
        <v>25</v>
      </c>
      <c r="F494" s="125">
        <v>150000</v>
      </c>
      <c r="G494" s="125">
        <f>ROUNDDOWN(D494*F494,-3)</f>
        <v>22500000</v>
      </c>
      <c r="H494" s="154" t="b">
        <f t="shared" si="16"/>
        <v>1</v>
      </c>
      <c r="I494" s="154"/>
      <c r="J494" s="154"/>
    </row>
    <row r="495" spans="1:10" ht="14.25">
      <c r="A495" s="7" t="s">
        <v>3488</v>
      </c>
      <c r="B495" s="60">
        <v>521219</v>
      </c>
      <c r="C495" s="41" t="s">
        <v>53</v>
      </c>
      <c r="D495" s="60"/>
      <c r="E495" s="60"/>
      <c r="F495" s="42"/>
      <c r="G495" s="42">
        <f>SUM(G496:G497)</f>
        <v>1333864000</v>
      </c>
      <c r="H495" s="154" t="b">
        <f t="shared" si="16"/>
        <v>1</v>
      </c>
      <c r="I495" s="154"/>
      <c r="J495" s="154"/>
    </row>
    <row r="496" spans="1:10" ht="14.25">
      <c r="A496" s="7" t="s">
        <v>3489</v>
      </c>
      <c r="B496" s="124"/>
      <c r="C496" s="123" t="s">
        <v>3815</v>
      </c>
      <c r="D496" s="124">
        <v>33</v>
      </c>
      <c r="E496" s="124" t="s">
        <v>155</v>
      </c>
      <c r="F496" s="125">
        <v>40412550</v>
      </c>
      <c r="G496" s="125">
        <f>ROUNDDOWN(D496*F496,-3)</f>
        <v>1333614000</v>
      </c>
      <c r="H496" s="154" t="b">
        <f t="shared" si="16"/>
        <v>1</v>
      </c>
      <c r="I496" s="154"/>
      <c r="J496" s="154"/>
    </row>
    <row r="497" spans="1:10" ht="14.25">
      <c r="A497" s="7" t="s">
        <v>3491</v>
      </c>
      <c r="B497" s="124"/>
      <c r="C497" s="123" t="s">
        <v>3816</v>
      </c>
      <c r="D497" s="124">
        <v>1</v>
      </c>
      <c r="E497" s="124" t="s">
        <v>9</v>
      </c>
      <c r="F497" s="125">
        <v>250000</v>
      </c>
      <c r="G497" s="125">
        <f>ROUNDDOWN(D497*F497,-3)</f>
        <v>250000</v>
      </c>
      <c r="H497" s="154" t="b">
        <f t="shared" si="16"/>
        <v>1</v>
      </c>
      <c r="I497" s="154"/>
      <c r="J497" s="154"/>
    </row>
    <row r="498" spans="1:10" ht="14.25">
      <c r="A498" s="7" t="s">
        <v>3492</v>
      </c>
      <c r="B498" s="60">
        <v>521811</v>
      </c>
      <c r="C498" s="41" t="s">
        <v>64</v>
      </c>
      <c r="D498" s="60"/>
      <c r="E498" s="60"/>
      <c r="F498" s="42"/>
      <c r="G498" s="42">
        <f>SUM(G499:G500)</f>
        <v>25000000</v>
      </c>
      <c r="H498" s="154" t="b">
        <f t="shared" si="16"/>
        <v>1</v>
      </c>
      <c r="I498" s="154"/>
      <c r="J498" s="154"/>
    </row>
    <row r="499" spans="1:10" ht="14.25">
      <c r="A499" s="7" t="s">
        <v>3493</v>
      </c>
      <c r="B499" s="124"/>
      <c r="C499" s="123" t="s">
        <v>3781</v>
      </c>
      <c r="D499" s="124">
        <v>10</v>
      </c>
      <c r="E499" s="124" t="s">
        <v>9</v>
      </c>
      <c r="F499" s="125">
        <v>1000000</v>
      </c>
      <c r="G499" s="125">
        <f>ROUNDDOWN(D499*F499,-3)</f>
        <v>10000000</v>
      </c>
      <c r="H499" s="154" t="b">
        <f t="shared" si="16"/>
        <v>1</v>
      </c>
      <c r="I499" s="154"/>
      <c r="J499" s="154"/>
    </row>
    <row r="500" spans="1:10" ht="14.25">
      <c r="A500" s="7" t="s">
        <v>3494</v>
      </c>
      <c r="B500" s="124"/>
      <c r="C500" s="123" t="s">
        <v>3598</v>
      </c>
      <c r="D500" s="124">
        <v>10</v>
      </c>
      <c r="E500" s="124" t="s">
        <v>9</v>
      </c>
      <c r="F500" s="125">
        <v>1500000</v>
      </c>
      <c r="G500" s="125">
        <f>ROUNDDOWN(D500*F500,-3)</f>
        <v>15000000</v>
      </c>
      <c r="H500" s="154" t="b">
        <f t="shared" si="16"/>
        <v>1</v>
      </c>
      <c r="I500" s="154"/>
      <c r="J500" s="154"/>
    </row>
    <row r="501" spans="1:10" ht="14.25">
      <c r="A501" s="7" t="s">
        <v>3495</v>
      </c>
      <c r="B501" s="60">
        <v>522151</v>
      </c>
      <c r="C501" s="41" t="s">
        <v>11</v>
      </c>
      <c r="D501" s="60"/>
      <c r="E501" s="60"/>
      <c r="F501" s="42"/>
      <c r="G501" s="42">
        <f>G502</f>
        <v>15000000</v>
      </c>
      <c r="H501" s="154" t="b">
        <f t="shared" si="16"/>
        <v>1</v>
      </c>
      <c r="I501" s="154"/>
      <c r="J501" s="154"/>
    </row>
    <row r="502" spans="1:10" ht="14.25">
      <c r="A502" s="7" t="s">
        <v>3496</v>
      </c>
      <c r="B502" s="124"/>
      <c r="C502" s="123" t="s">
        <v>3603</v>
      </c>
      <c r="D502" s="124">
        <v>15</v>
      </c>
      <c r="E502" s="124" t="s">
        <v>12</v>
      </c>
      <c r="F502" s="125">
        <v>1000000</v>
      </c>
      <c r="G502" s="125">
        <f>ROUNDDOWN(D502*F502,-3)</f>
        <v>15000000</v>
      </c>
      <c r="H502" s="154" t="b">
        <f t="shared" si="16"/>
        <v>1</v>
      </c>
      <c r="I502" s="154"/>
      <c r="J502" s="154"/>
    </row>
    <row r="503" spans="1:10" ht="14.25">
      <c r="A503" s="7" t="s">
        <v>3497</v>
      </c>
      <c r="B503" s="60">
        <v>522191</v>
      </c>
      <c r="C503" s="41" t="s">
        <v>22</v>
      </c>
      <c r="D503" s="60"/>
      <c r="E503" s="60"/>
      <c r="F503" s="42"/>
      <c r="G503" s="42">
        <f>G504</f>
        <v>102600000</v>
      </c>
      <c r="H503" s="154" t="b">
        <f t="shared" si="16"/>
        <v>1</v>
      </c>
      <c r="I503" s="154"/>
      <c r="J503" s="154"/>
    </row>
    <row r="504" spans="1:10" ht="14.25">
      <c r="A504" s="7" t="s">
        <v>3498</v>
      </c>
      <c r="B504" s="124"/>
      <c r="C504" s="123" t="s">
        <v>3817</v>
      </c>
      <c r="D504" s="124">
        <v>120</v>
      </c>
      <c r="E504" s="124" t="s">
        <v>155</v>
      </c>
      <c r="F504" s="125">
        <v>855000</v>
      </c>
      <c r="G504" s="125">
        <f>ROUNDDOWN(D504*F504,-3)</f>
        <v>102600000</v>
      </c>
      <c r="H504" s="154" t="b">
        <f t="shared" si="16"/>
        <v>1</v>
      </c>
      <c r="I504" s="154"/>
      <c r="J504" s="154"/>
    </row>
    <row r="505" spans="1:10" ht="14.25">
      <c r="A505" s="7" t="s">
        <v>3500</v>
      </c>
      <c r="B505" s="60">
        <v>524111</v>
      </c>
      <c r="C505" s="41" t="s">
        <v>19</v>
      </c>
      <c r="D505" s="60"/>
      <c r="E505" s="60"/>
      <c r="F505" s="42"/>
      <c r="G505" s="42">
        <f>SUM(G506:G507)</f>
        <v>138000000</v>
      </c>
      <c r="H505" s="154" t="b">
        <f t="shared" si="16"/>
        <v>1</v>
      </c>
      <c r="I505" s="154"/>
      <c r="J505" s="154"/>
    </row>
    <row r="506" spans="1:10" ht="14.25">
      <c r="A506" s="7" t="s">
        <v>3501</v>
      </c>
      <c r="B506" s="124"/>
      <c r="C506" s="123" t="s">
        <v>3818</v>
      </c>
      <c r="D506" s="124">
        <v>50</v>
      </c>
      <c r="E506" s="124" t="s">
        <v>10</v>
      </c>
      <c r="F506" s="125">
        <v>1200000</v>
      </c>
      <c r="G506" s="125">
        <f>ROUNDDOWN(D506*F506,-3)</f>
        <v>60000000</v>
      </c>
      <c r="H506" s="154" t="b">
        <f t="shared" si="16"/>
        <v>1</v>
      </c>
      <c r="I506" s="154"/>
      <c r="J506" s="154"/>
    </row>
    <row r="507" spans="1:10" ht="25.5">
      <c r="A507" s="7" t="s">
        <v>3503</v>
      </c>
      <c r="B507" s="124"/>
      <c r="C507" s="123" t="s">
        <v>3819</v>
      </c>
      <c r="D507" s="124">
        <v>12</v>
      </c>
      <c r="E507" s="124" t="s">
        <v>10</v>
      </c>
      <c r="F507" s="125">
        <v>6500000</v>
      </c>
      <c r="G507" s="125">
        <f>ROUNDDOWN(D507*F507,-3)</f>
        <v>78000000</v>
      </c>
      <c r="H507" s="154" t="b">
        <f t="shared" si="16"/>
        <v>1</v>
      </c>
      <c r="I507" s="154"/>
      <c r="J507" s="154"/>
    </row>
    <row r="508" spans="1:10" ht="14.25">
      <c r="A508" s="7" t="s">
        <v>3505</v>
      </c>
      <c r="B508" s="59" t="s">
        <v>511</v>
      </c>
      <c r="C508" s="38" t="s">
        <v>191</v>
      </c>
      <c r="D508" s="59"/>
      <c r="E508" s="59"/>
      <c r="F508" s="39"/>
      <c r="G508" s="39">
        <f>SUM(G509,G512,G516,G519,G521)</f>
        <v>6555695000</v>
      </c>
      <c r="H508" s="154" t="b">
        <f t="shared" si="16"/>
        <v>1</v>
      </c>
      <c r="I508" s="154"/>
      <c r="J508" s="154"/>
    </row>
    <row r="509" spans="1:10" ht="14.25">
      <c r="A509" s="7" t="s">
        <v>3506</v>
      </c>
      <c r="B509" s="60">
        <v>521211</v>
      </c>
      <c r="C509" s="41" t="s">
        <v>7</v>
      </c>
      <c r="D509" s="60"/>
      <c r="E509" s="60"/>
      <c r="F509" s="42"/>
      <c r="G509" s="42">
        <f>SUM(G510:G511)</f>
        <v>25000000</v>
      </c>
      <c r="H509" s="154" t="b">
        <f t="shared" si="16"/>
        <v>1</v>
      </c>
      <c r="I509" s="154"/>
      <c r="J509" s="154"/>
    </row>
    <row r="510" spans="1:10" ht="14.25">
      <c r="A510" s="7" t="s">
        <v>3507</v>
      </c>
      <c r="B510" s="124"/>
      <c r="C510" s="123" t="s">
        <v>3811</v>
      </c>
      <c r="D510" s="124">
        <v>100</v>
      </c>
      <c r="E510" s="124" t="s">
        <v>10</v>
      </c>
      <c r="F510" s="125">
        <v>70000</v>
      </c>
      <c r="G510" s="125">
        <f>ROUNDDOWN(D510*F510,-3)</f>
        <v>7000000</v>
      </c>
      <c r="H510" s="154" t="b">
        <f t="shared" si="16"/>
        <v>1</v>
      </c>
      <c r="I510" s="154"/>
      <c r="J510" s="154"/>
    </row>
    <row r="511" spans="1:10" ht="14.25">
      <c r="A511" s="7" t="s">
        <v>3508</v>
      </c>
      <c r="B511" s="124"/>
      <c r="C511" s="123" t="s">
        <v>3812</v>
      </c>
      <c r="D511" s="124">
        <v>12</v>
      </c>
      <c r="E511" s="124" t="s">
        <v>9</v>
      </c>
      <c r="F511" s="125">
        <v>1500000</v>
      </c>
      <c r="G511" s="125">
        <f>ROUNDDOWN(D511*F511,-3)</f>
        <v>18000000</v>
      </c>
      <c r="H511" s="154" t="b">
        <f t="shared" si="16"/>
        <v>1</v>
      </c>
      <c r="I511" s="154"/>
      <c r="J511" s="154"/>
    </row>
    <row r="512" spans="1:10" ht="14.25">
      <c r="A512" s="7" t="s">
        <v>3509</v>
      </c>
      <c r="B512" s="60">
        <v>521219</v>
      </c>
      <c r="C512" s="41" t="s">
        <v>53</v>
      </c>
      <c r="D512" s="60"/>
      <c r="E512" s="60"/>
      <c r="F512" s="42"/>
      <c r="G512" s="42">
        <f>SUM(G513:G515)</f>
        <v>6308695000</v>
      </c>
      <c r="H512" s="154" t="b">
        <f t="shared" si="16"/>
        <v>1</v>
      </c>
      <c r="I512" s="154"/>
      <c r="J512" s="154"/>
    </row>
    <row r="513" spans="1:10" ht="14.25">
      <c r="A513" s="7" t="s">
        <v>3510</v>
      </c>
      <c r="B513" s="124"/>
      <c r="C513" s="123" t="s">
        <v>3815</v>
      </c>
      <c r="D513" s="124">
        <v>157</v>
      </c>
      <c r="E513" s="124" t="s">
        <v>155</v>
      </c>
      <c r="F513" s="125">
        <v>40130229</v>
      </c>
      <c r="G513" s="125">
        <f>ROUNDDOWN(D513*F513,-3)</f>
        <v>6300445000</v>
      </c>
      <c r="H513" s="154" t="b">
        <f t="shared" si="16"/>
        <v>1</v>
      </c>
      <c r="I513" s="154"/>
      <c r="J513" s="154"/>
    </row>
    <row r="514" spans="1:10" ht="14.25">
      <c r="A514" s="7" t="s">
        <v>3511</v>
      </c>
      <c r="B514" s="124"/>
      <c r="C514" s="123" t="s">
        <v>3816</v>
      </c>
      <c r="D514" s="124">
        <v>3</v>
      </c>
      <c r="E514" s="124" t="s">
        <v>9</v>
      </c>
      <c r="F514" s="125">
        <v>250000</v>
      </c>
      <c r="G514" s="125">
        <f>ROUNDDOWN(D514*F514,-3)</f>
        <v>750000</v>
      </c>
      <c r="H514" s="154" t="b">
        <f t="shared" si="16"/>
        <v>1</v>
      </c>
      <c r="I514" s="154"/>
      <c r="J514" s="154"/>
    </row>
    <row r="515" spans="1:10" ht="14.25">
      <c r="A515" s="7" t="s">
        <v>3512</v>
      </c>
      <c r="B515" s="124"/>
      <c r="C515" s="123" t="s">
        <v>3820</v>
      </c>
      <c r="D515" s="124">
        <v>15</v>
      </c>
      <c r="E515" s="124" t="s">
        <v>106</v>
      </c>
      <c r="F515" s="125">
        <v>500000</v>
      </c>
      <c r="G515" s="125">
        <f>ROUNDDOWN(D515*F515,-3)</f>
        <v>7500000</v>
      </c>
      <c r="H515" s="154" t="b">
        <f t="shared" si="16"/>
        <v>1</v>
      </c>
      <c r="I515" s="154"/>
      <c r="J515" s="154"/>
    </row>
    <row r="516" spans="1:10" ht="14.25">
      <c r="A516" s="7" t="s">
        <v>3514</v>
      </c>
      <c r="B516" s="60">
        <v>521811</v>
      </c>
      <c r="C516" s="41" t="s">
        <v>64</v>
      </c>
      <c r="D516" s="60"/>
      <c r="E516" s="60"/>
      <c r="F516" s="42"/>
      <c r="G516" s="42">
        <f>SUM(G517:G518)</f>
        <v>30000000</v>
      </c>
      <c r="H516" s="154" t="b">
        <f t="shared" si="16"/>
        <v>1</v>
      </c>
      <c r="I516" s="154"/>
      <c r="J516" s="154"/>
    </row>
    <row r="517" spans="1:10" ht="14.25">
      <c r="A517" s="7" t="s">
        <v>3515</v>
      </c>
      <c r="B517" s="124"/>
      <c r="C517" s="123" t="s">
        <v>3781</v>
      </c>
      <c r="D517" s="124">
        <v>12</v>
      </c>
      <c r="E517" s="124" t="s">
        <v>9</v>
      </c>
      <c r="F517" s="125">
        <v>1000000</v>
      </c>
      <c r="G517" s="125">
        <f>ROUNDDOWN(D517*F517,-3)</f>
        <v>12000000</v>
      </c>
      <c r="H517" s="154" t="b">
        <f t="shared" si="16"/>
        <v>1</v>
      </c>
      <c r="I517" s="154"/>
      <c r="J517" s="154"/>
    </row>
    <row r="518" spans="1:10" ht="14.25">
      <c r="A518" s="7" t="s">
        <v>3516</v>
      </c>
      <c r="B518" s="124"/>
      <c r="C518" s="123" t="s">
        <v>3598</v>
      </c>
      <c r="D518" s="124">
        <v>12</v>
      </c>
      <c r="E518" s="124" t="s">
        <v>9</v>
      </c>
      <c r="F518" s="125">
        <v>1500000</v>
      </c>
      <c r="G518" s="125">
        <f>ROUNDDOWN(D518*F518,-3)</f>
        <v>18000000</v>
      </c>
      <c r="H518" s="154" t="b">
        <f t="shared" si="16"/>
        <v>1</v>
      </c>
      <c r="I518" s="154"/>
      <c r="J518" s="154"/>
    </row>
    <row r="519" spans="1:10" ht="14.25">
      <c r="A519" s="7" t="s">
        <v>3517</v>
      </c>
      <c r="B519" s="60">
        <v>522151</v>
      </c>
      <c r="C519" s="41" t="s">
        <v>11</v>
      </c>
      <c r="D519" s="60"/>
      <c r="E519" s="60"/>
      <c r="F519" s="42"/>
      <c r="G519" s="42">
        <f>G520</f>
        <v>6000000</v>
      </c>
      <c r="H519" s="154" t="b">
        <f t="shared" si="16"/>
        <v>1</v>
      </c>
      <c r="I519" s="154"/>
      <c r="J519" s="154"/>
    </row>
    <row r="520" spans="1:10" ht="14.25">
      <c r="A520" s="7" t="s">
        <v>3518</v>
      </c>
      <c r="B520" s="124"/>
      <c r="C520" s="123" t="s">
        <v>3603</v>
      </c>
      <c r="D520" s="124">
        <v>6</v>
      </c>
      <c r="E520" s="124" t="s">
        <v>12</v>
      </c>
      <c r="F520" s="125">
        <v>1000000</v>
      </c>
      <c r="G520" s="125">
        <f>ROUNDDOWN(D520*F520,-3)</f>
        <v>6000000</v>
      </c>
      <c r="H520" s="154" t="b">
        <f t="shared" si="16"/>
        <v>1</v>
      </c>
      <c r="I520" s="154"/>
      <c r="J520" s="154"/>
    </row>
    <row r="521" spans="1:10" ht="14.25">
      <c r="A521" s="7" t="s">
        <v>3519</v>
      </c>
      <c r="B521" s="60">
        <v>524111</v>
      </c>
      <c r="C521" s="41" t="s">
        <v>19</v>
      </c>
      <c r="D521" s="60"/>
      <c r="E521" s="60"/>
      <c r="F521" s="42"/>
      <c r="G521" s="42">
        <f>SUM(G522:G523)</f>
        <v>186000000</v>
      </c>
      <c r="H521" s="154" t="b">
        <f t="shared" si="16"/>
        <v>1</v>
      </c>
      <c r="I521" s="154"/>
      <c r="J521" s="154"/>
    </row>
    <row r="522" spans="1:10" ht="14.25">
      <c r="A522" s="7" t="s">
        <v>3520</v>
      </c>
      <c r="B522" s="124"/>
      <c r="C522" s="123" t="s">
        <v>3818</v>
      </c>
      <c r="D522" s="124">
        <v>20</v>
      </c>
      <c r="E522" s="124" t="s">
        <v>10</v>
      </c>
      <c r="F522" s="125">
        <v>1500000</v>
      </c>
      <c r="G522" s="125">
        <f>ROUNDDOWN(D522*F522,-3)</f>
        <v>30000000</v>
      </c>
      <c r="H522" s="154" t="b">
        <f t="shared" si="16"/>
        <v>1</v>
      </c>
      <c r="I522" s="154"/>
      <c r="J522" s="154"/>
    </row>
    <row r="523" spans="1:10" ht="25.5">
      <c r="A523" s="7" t="s">
        <v>3521</v>
      </c>
      <c r="B523" s="124"/>
      <c r="C523" s="123" t="s">
        <v>3819</v>
      </c>
      <c r="D523" s="124">
        <v>24</v>
      </c>
      <c r="E523" s="124" t="s">
        <v>10</v>
      </c>
      <c r="F523" s="125">
        <v>6500000</v>
      </c>
      <c r="G523" s="125">
        <f>ROUNDDOWN(D523*F523,-3)</f>
        <v>156000000</v>
      </c>
      <c r="H523" s="154" t="b">
        <f t="shared" si="16"/>
        <v>1</v>
      </c>
      <c r="I523" s="154"/>
      <c r="J523" s="154"/>
    </row>
    <row r="524" spans="1:10" ht="14.25">
      <c r="A524" s="7" t="s">
        <v>3522</v>
      </c>
      <c r="B524" s="59" t="s">
        <v>512</v>
      </c>
      <c r="C524" s="38" t="s">
        <v>192</v>
      </c>
      <c r="D524" s="59"/>
      <c r="E524" s="59"/>
      <c r="F524" s="39"/>
      <c r="G524" s="39">
        <f>SUM(G525,G529,G531)</f>
        <v>174041000</v>
      </c>
      <c r="H524" s="154" t="b">
        <f t="shared" si="16"/>
        <v>1</v>
      </c>
      <c r="I524" s="154"/>
      <c r="J524" s="154"/>
    </row>
    <row r="525" spans="1:10" ht="14.25">
      <c r="A525" s="7" t="s">
        <v>3523</v>
      </c>
      <c r="B525" s="60">
        <v>521211</v>
      </c>
      <c r="C525" s="41" t="s">
        <v>7</v>
      </c>
      <c r="D525" s="60"/>
      <c r="E525" s="60"/>
      <c r="F525" s="42"/>
      <c r="G525" s="42">
        <f>SUM(G526:G528)</f>
        <v>12000000</v>
      </c>
      <c r="H525" s="154" t="b">
        <f t="shared" si="16"/>
        <v>1</v>
      </c>
      <c r="I525" s="154"/>
      <c r="J525" s="154"/>
    </row>
    <row r="526" spans="1:10" ht="14.25">
      <c r="A526" s="7" t="s">
        <v>3524</v>
      </c>
      <c r="B526" s="124"/>
      <c r="C526" s="123" t="s">
        <v>3821</v>
      </c>
      <c r="D526" s="124">
        <v>3</v>
      </c>
      <c r="E526" s="124" t="s">
        <v>9</v>
      </c>
      <c r="F526" s="125">
        <v>1500000</v>
      </c>
      <c r="G526" s="125">
        <f>ROUNDDOWN(D526*F526,-3)</f>
        <v>4500000</v>
      </c>
      <c r="H526" s="154" t="b">
        <f t="shared" si="16"/>
        <v>1</v>
      </c>
      <c r="I526" s="154"/>
      <c r="J526" s="154"/>
    </row>
    <row r="527" spans="1:10" ht="14.25">
      <c r="A527" s="7" t="s">
        <v>3525</v>
      </c>
      <c r="B527" s="124"/>
      <c r="C527" s="123" t="s">
        <v>3596</v>
      </c>
      <c r="D527" s="124">
        <v>3</v>
      </c>
      <c r="E527" s="124" t="s">
        <v>9</v>
      </c>
      <c r="F527" s="125">
        <v>1000000</v>
      </c>
      <c r="G527" s="125">
        <f>ROUNDDOWN(D527*F527,-3)</f>
        <v>3000000</v>
      </c>
      <c r="H527" s="154" t="b">
        <f t="shared" si="16"/>
        <v>1</v>
      </c>
      <c r="I527" s="154"/>
      <c r="J527" s="154"/>
    </row>
    <row r="528" spans="1:10" ht="14.25">
      <c r="A528" s="7" t="s">
        <v>3526</v>
      </c>
      <c r="B528" s="124"/>
      <c r="C528" s="123" t="s">
        <v>3588</v>
      </c>
      <c r="D528" s="124">
        <v>3</v>
      </c>
      <c r="E528" s="124" t="s">
        <v>9</v>
      </c>
      <c r="F528" s="125">
        <v>1500000</v>
      </c>
      <c r="G528" s="125">
        <f>ROUNDDOWN(D528*F528,-3)</f>
        <v>4500000</v>
      </c>
      <c r="H528" s="154" t="b">
        <f t="shared" si="16"/>
        <v>1</v>
      </c>
      <c r="I528" s="154"/>
      <c r="J528" s="154"/>
    </row>
    <row r="529" spans="1:10" ht="14.25">
      <c r="A529" s="7" t="s">
        <v>3527</v>
      </c>
      <c r="B529" s="60">
        <v>521219</v>
      </c>
      <c r="C529" s="41" t="s">
        <v>53</v>
      </c>
      <c r="D529" s="60"/>
      <c r="E529" s="60"/>
      <c r="F529" s="42"/>
      <c r="G529" s="42">
        <f>G530</f>
        <v>20000000</v>
      </c>
      <c r="H529" s="154" t="b">
        <f t="shared" si="16"/>
        <v>1</v>
      </c>
      <c r="I529" s="154"/>
      <c r="J529" s="154"/>
    </row>
    <row r="530" spans="1:10" ht="25.5">
      <c r="A530" s="7" t="s">
        <v>3528</v>
      </c>
      <c r="B530" s="124"/>
      <c r="C530" s="123" t="s">
        <v>3822</v>
      </c>
      <c r="D530" s="124">
        <v>2</v>
      </c>
      <c r="E530" s="124" t="s">
        <v>155</v>
      </c>
      <c r="F530" s="125">
        <v>10000000</v>
      </c>
      <c r="G530" s="125">
        <f>ROUNDDOWN(D530*F530,-3)</f>
        <v>20000000</v>
      </c>
      <c r="H530" s="154" t="b">
        <f t="shared" si="16"/>
        <v>1</v>
      </c>
      <c r="I530" s="154"/>
      <c r="J530" s="154"/>
    </row>
    <row r="531" spans="1:10" ht="14.25">
      <c r="A531" s="7" t="s">
        <v>3530</v>
      </c>
      <c r="B531" s="60">
        <v>524211</v>
      </c>
      <c r="C531" s="41" t="s">
        <v>1151</v>
      </c>
      <c r="D531" s="60"/>
      <c r="E531" s="60"/>
      <c r="F531" s="42"/>
      <c r="G531" s="42">
        <f>G532</f>
        <v>142041000</v>
      </c>
      <c r="H531" s="154" t="b">
        <f t="shared" si="16"/>
        <v>1</v>
      </c>
      <c r="I531" s="154"/>
      <c r="J531" s="154"/>
    </row>
    <row r="532" spans="1:10" ht="25.5">
      <c r="A532" s="7" t="s">
        <v>3531</v>
      </c>
      <c r="B532" s="124"/>
      <c r="C532" s="123" t="s">
        <v>3823</v>
      </c>
      <c r="D532" s="124">
        <v>3</v>
      </c>
      <c r="E532" s="124" t="s">
        <v>10</v>
      </c>
      <c r="F532" s="125">
        <v>47347000</v>
      </c>
      <c r="G532" s="125">
        <f>ROUNDDOWN(D532*F532,-3)</f>
        <v>142041000</v>
      </c>
      <c r="H532" s="154" t="b">
        <f t="shared" si="16"/>
        <v>1</v>
      </c>
      <c r="I532" s="154"/>
      <c r="J532" s="154"/>
    </row>
    <row r="533" spans="1:10" ht="14.25">
      <c r="A533" s="7" t="s">
        <v>3533</v>
      </c>
      <c r="B533" s="59" t="s">
        <v>514</v>
      </c>
      <c r="C533" s="38" t="s">
        <v>3534</v>
      </c>
      <c r="D533" s="59"/>
      <c r="E533" s="59"/>
      <c r="F533" s="39"/>
      <c r="G533" s="39">
        <f>G534</f>
        <v>30000000</v>
      </c>
      <c r="H533" s="154" t="b">
        <f t="shared" si="16"/>
        <v>1</v>
      </c>
      <c r="I533" s="154"/>
      <c r="J533" s="154"/>
    </row>
    <row r="534" spans="1:10" ht="14.25">
      <c r="A534" s="7" t="s">
        <v>3535</v>
      </c>
      <c r="B534" s="60">
        <v>522192</v>
      </c>
      <c r="C534" s="41" t="s">
        <v>24</v>
      </c>
      <c r="D534" s="60"/>
      <c r="E534" s="60"/>
      <c r="F534" s="42"/>
      <c r="G534" s="42">
        <f>G535</f>
        <v>30000000</v>
      </c>
      <c r="H534" s="154" t="b">
        <f t="shared" si="16"/>
        <v>1</v>
      </c>
      <c r="I534" s="154"/>
      <c r="J534" s="154"/>
    </row>
    <row r="535" spans="1:10" ht="14.25">
      <c r="A535" s="7" t="s">
        <v>3536</v>
      </c>
      <c r="B535" s="124"/>
      <c r="C535" s="123" t="s">
        <v>3824</v>
      </c>
      <c r="D535" s="124">
        <v>120</v>
      </c>
      <c r="E535" s="124" t="s">
        <v>776</v>
      </c>
      <c r="F535" s="125">
        <v>250000</v>
      </c>
      <c r="G535" s="125">
        <f>ROUNDDOWN(D535*F535,-3)</f>
        <v>30000000</v>
      </c>
      <c r="H535" s="154" t="b">
        <f t="shared" si="16"/>
        <v>1</v>
      </c>
      <c r="I535" s="154"/>
      <c r="J535" s="154"/>
    </row>
    <row r="536" spans="1:10" ht="14.25">
      <c r="A536" s="7" t="s">
        <v>3538</v>
      </c>
      <c r="B536" s="58">
        <v>302</v>
      </c>
      <c r="C536" s="35" t="s">
        <v>193</v>
      </c>
      <c r="D536" s="58"/>
      <c r="E536" s="58"/>
      <c r="F536" s="36"/>
      <c r="G536" s="36">
        <f>G537</f>
        <v>109200000</v>
      </c>
      <c r="H536" s="154" t="b">
        <f t="shared" si="16"/>
        <v>1</v>
      </c>
      <c r="I536" s="154"/>
      <c r="J536" s="154"/>
    </row>
    <row r="537" spans="1:10" ht="14.25">
      <c r="A537" s="7" t="s">
        <v>3539</v>
      </c>
      <c r="B537" s="59" t="s">
        <v>8</v>
      </c>
      <c r="C537" s="38" t="s">
        <v>193</v>
      </c>
      <c r="D537" s="59"/>
      <c r="E537" s="59"/>
      <c r="F537" s="39"/>
      <c r="G537" s="39">
        <f>SUM(G538,G541,G544)</f>
        <v>109200000</v>
      </c>
      <c r="H537" s="154" t="b">
        <f t="shared" si="16"/>
        <v>1</v>
      </c>
      <c r="I537" s="154"/>
      <c r="J537" s="154"/>
    </row>
    <row r="538" spans="1:10" ht="14.25">
      <c r="A538" s="7" t="s">
        <v>3540</v>
      </c>
      <c r="B538" s="60">
        <v>521211</v>
      </c>
      <c r="C538" s="41" t="s">
        <v>7</v>
      </c>
      <c r="D538" s="60"/>
      <c r="E538" s="60"/>
      <c r="F538" s="42"/>
      <c r="G538" s="42">
        <f>SUM(G539:G540)</f>
        <v>25000000</v>
      </c>
      <c r="H538" s="154" t="b">
        <f t="shared" si="16"/>
        <v>1</v>
      </c>
      <c r="I538" s="154"/>
      <c r="J538" s="154"/>
    </row>
    <row r="539" spans="1:10" ht="14.25">
      <c r="A539" s="7" t="s">
        <v>3541</v>
      </c>
      <c r="B539" s="124"/>
      <c r="C539" s="123" t="s">
        <v>3811</v>
      </c>
      <c r="D539" s="124">
        <v>100</v>
      </c>
      <c r="E539" s="124" t="s">
        <v>10</v>
      </c>
      <c r="F539" s="125">
        <v>70000</v>
      </c>
      <c r="G539" s="125">
        <f>ROUNDDOWN(D539*F539,-3)</f>
        <v>7000000</v>
      </c>
      <c r="H539" s="154" t="b">
        <f t="shared" si="16"/>
        <v>1</v>
      </c>
      <c r="I539" s="154"/>
      <c r="J539" s="154"/>
    </row>
    <row r="540" spans="1:10" ht="14.25">
      <c r="A540" s="7" t="s">
        <v>3542</v>
      </c>
      <c r="B540" s="124"/>
      <c r="C540" s="123" t="s">
        <v>3812</v>
      </c>
      <c r="D540" s="124">
        <v>12</v>
      </c>
      <c r="E540" s="124" t="s">
        <v>9</v>
      </c>
      <c r="F540" s="125">
        <v>1500000</v>
      </c>
      <c r="G540" s="125">
        <f>ROUNDDOWN(D540*F540,-3)</f>
        <v>18000000</v>
      </c>
      <c r="H540" s="154" t="b">
        <f t="shared" si="16"/>
        <v>1</v>
      </c>
      <c r="I540" s="154"/>
      <c r="J540" s="154"/>
    </row>
    <row r="541" spans="1:10" ht="14.25">
      <c r="A541" s="7" t="s">
        <v>3543</v>
      </c>
      <c r="B541" s="60">
        <v>521811</v>
      </c>
      <c r="C541" s="41" t="s">
        <v>64</v>
      </c>
      <c r="D541" s="60"/>
      <c r="E541" s="60"/>
      <c r="F541" s="42"/>
      <c r="G541" s="42">
        <f>SUM(G542:G543)</f>
        <v>30000000</v>
      </c>
      <c r="H541" s="154" t="b">
        <f t="shared" si="16"/>
        <v>1</v>
      </c>
      <c r="I541" s="154"/>
      <c r="J541" s="154"/>
    </row>
    <row r="542" spans="1:10" ht="14.25">
      <c r="A542" s="7" t="s">
        <v>3544</v>
      </c>
      <c r="B542" s="124"/>
      <c r="C542" s="123" t="s">
        <v>3781</v>
      </c>
      <c r="D542" s="124">
        <v>12</v>
      </c>
      <c r="E542" s="124" t="s">
        <v>9</v>
      </c>
      <c r="F542" s="125">
        <v>1000000</v>
      </c>
      <c r="G542" s="125">
        <f>ROUNDDOWN(D542*F542,-3)</f>
        <v>12000000</v>
      </c>
      <c r="H542" s="154" t="b">
        <f t="shared" si="16"/>
        <v>1</v>
      </c>
      <c r="I542" s="154"/>
      <c r="J542" s="154"/>
    </row>
    <row r="543" spans="1:10" ht="14.25">
      <c r="A543" s="7" t="s">
        <v>3545</v>
      </c>
      <c r="B543" s="124"/>
      <c r="C543" s="123" t="s">
        <v>3598</v>
      </c>
      <c r="D543" s="124">
        <v>12</v>
      </c>
      <c r="E543" s="124" t="s">
        <v>9</v>
      </c>
      <c r="F543" s="125">
        <v>1500000</v>
      </c>
      <c r="G543" s="125">
        <f>ROUNDDOWN(D543*F543,-3)</f>
        <v>18000000</v>
      </c>
      <c r="H543" s="154" t="b">
        <f t="shared" si="16"/>
        <v>1</v>
      </c>
      <c r="I543" s="154"/>
      <c r="J543" s="154"/>
    </row>
    <row r="544" spans="1:10" ht="14.25">
      <c r="A544" s="7" t="s">
        <v>3546</v>
      </c>
      <c r="B544" s="60">
        <v>524111</v>
      </c>
      <c r="C544" s="41" t="s">
        <v>19</v>
      </c>
      <c r="D544" s="60"/>
      <c r="E544" s="60"/>
      <c r="F544" s="42"/>
      <c r="G544" s="42">
        <f>G545</f>
        <v>54200000</v>
      </c>
      <c r="H544" s="154" t="b">
        <f t="shared" si="16"/>
        <v>1</v>
      </c>
      <c r="I544" s="154"/>
      <c r="J544" s="154"/>
    </row>
    <row r="545" spans="1:10" ht="25.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618" priority="14">
      <formula>NOT(_xlfn.ISFORMULA(G12))</formula>
    </cfRule>
  </conditionalFormatting>
  <conditionalFormatting sqref="B11:J12 H13:J545">
    <cfRule type="expression" dxfId="617" priority="15">
      <formula>AND(#REF!="Ya",#REF!=ROW())</formula>
    </cfRule>
  </conditionalFormatting>
  <conditionalFormatting sqref="B517:F517 G542:G543 G539:G540 G535 G532 G530 G526:G528 G522:G523 G520 G517:G518 B13:G516">
    <cfRule type="expression" dxfId="616" priority="13">
      <formula>AND($R$4="Ya",$Q$2=ROW())</formula>
    </cfRule>
  </conditionalFormatting>
  <conditionalFormatting sqref="G545">
    <cfRule type="expression" dxfId="615" priority="12">
      <formula>AND($R$4="Ya",$Q$2=ROW())</formula>
    </cfRule>
  </conditionalFormatting>
  <conditionalFormatting sqref="G545 G542:G543 G539:G540 G535 G532 G530 G526:G528 G522:G523 G520 G517:G518">
    <cfRule type="expression" dxfId="614" priority="11">
      <formula>NOT(_xlfn.ISFORMULA(G517))</formula>
    </cfRule>
  </conditionalFormatting>
  <conditionalFormatting sqref="G529">
    <cfRule type="expression" dxfId="613" priority="10">
      <formula>NOT(_xlfn.ISFORMULA(G529))</formula>
    </cfRule>
  </conditionalFormatting>
  <conditionalFormatting sqref="G529">
    <cfRule type="expression" dxfId="612" priority="9">
      <formula>AND($R$4="Ya",$Q$2=ROW())</formula>
    </cfRule>
  </conditionalFormatting>
  <conditionalFormatting sqref="G519">
    <cfRule type="expression" dxfId="611" priority="8">
      <formula>NOT(_xlfn.ISFORMULA(G519))</formula>
    </cfRule>
  </conditionalFormatting>
  <conditionalFormatting sqref="G519">
    <cfRule type="expression" dxfId="610" priority="7">
      <formula>AND($R$4="Ya",$Q$2=ROW())</formula>
    </cfRule>
  </conditionalFormatting>
  <conditionalFormatting sqref="G544">
    <cfRule type="expression" dxfId="609" priority="6">
      <formula>NOT(_xlfn.ISFORMULA(G544))</formula>
    </cfRule>
  </conditionalFormatting>
  <conditionalFormatting sqref="G544">
    <cfRule type="expression" dxfId="608" priority="5">
      <formula>AND($R$4="Ya",$Q$2=ROW())</formula>
    </cfRule>
  </conditionalFormatting>
  <conditionalFormatting sqref="G541">
    <cfRule type="expression" dxfId="607" priority="4">
      <formula>NOT(_xlfn.ISFORMULA(G541))</formula>
    </cfRule>
  </conditionalFormatting>
  <conditionalFormatting sqref="G541">
    <cfRule type="expression" dxfId="606" priority="3">
      <formula>AND($R$4="Ya",$Q$2=ROW())</formula>
    </cfRule>
  </conditionalFormatting>
  <conditionalFormatting sqref="G538">
    <cfRule type="expression" dxfId="605" priority="2">
      <formula>NOT(_xlfn.ISFORMULA(G538))</formula>
    </cfRule>
  </conditionalFormatting>
  <conditionalFormatting sqref="G538">
    <cfRule type="expression" dxfId="60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c r="B1" s="458" t="s">
        <v>598</v>
      </c>
      <c r="C1" s="458"/>
      <c r="D1" s="458"/>
      <c r="E1" s="458"/>
      <c r="F1" s="458"/>
      <c r="G1" s="466"/>
      <c r="H1" s="158"/>
      <c r="I1" s="177"/>
      <c r="J1" s="177"/>
    </row>
    <row r="2" spans="1:24" ht="15.75">
      <c r="B2" s="467" t="s">
        <v>3826</v>
      </c>
      <c r="C2" s="467"/>
      <c r="D2" s="467"/>
      <c r="E2" s="467"/>
      <c r="F2" s="467"/>
      <c r="G2" s="468"/>
      <c r="H2" s="160"/>
      <c r="I2" s="178"/>
      <c r="J2" s="178"/>
    </row>
    <row r="3" spans="1:24" ht="15.75">
      <c r="B3" s="159"/>
      <c r="C3" s="159"/>
      <c r="D3" s="159"/>
      <c r="E3" s="159"/>
      <c r="F3" s="159"/>
      <c r="G3" s="160"/>
      <c r="H3" s="160"/>
      <c r="I3" s="178"/>
      <c r="J3" s="178"/>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23.342.160.000</v>
      </c>
      <c r="D7" s="53"/>
      <c r="E7" s="53"/>
      <c r="F7" s="50"/>
      <c r="G7" s="122"/>
      <c r="H7" s="122"/>
      <c r="I7" s="122"/>
      <c r="J7" s="122"/>
    </row>
    <row r="8" spans="1:24" ht="15">
      <c r="B8" s="142"/>
      <c r="C8" s="142"/>
      <c r="D8" s="142"/>
      <c r="E8" s="142"/>
      <c r="F8" s="142"/>
      <c r="G8" s="143"/>
      <c r="H8" s="143"/>
      <c r="I8" s="143"/>
      <c r="J8" s="143"/>
    </row>
    <row r="9" spans="1:24" ht="15">
      <c r="B9" s="469" t="s">
        <v>606</v>
      </c>
      <c r="C9" s="470" t="s">
        <v>607</v>
      </c>
      <c r="D9" s="471" t="s">
        <v>608</v>
      </c>
      <c r="E9" s="469" t="s">
        <v>609</v>
      </c>
      <c r="F9" s="471" t="s">
        <v>610</v>
      </c>
      <c r="G9" s="465" t="s">
        <v>611</v>
      </c>
      <c r="H9" s="152"/>
      <c r="I9" s="152"/>
      <c r="J9" s="152"/>
      <c r="K9" s="472" t="s">
        <v>3827</v>
      </c>
      <c r="L9" s="472"/>
      <c r="M9" s="472"/>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1"/>
      <c r="C10" s="461"/>
      <c r="D10" s="464"/>
      <c r="E10" s="464"/>
      <c r="F10" s="461"/>
      <c r="G10" s="461"/>
      <c r="H10" s="161"/>
      <c r="I10" s="161"/>
      <c r="J10" s="161"/>
      <c r="K10" s="162" t="s">
        <v>3839</v>
      </c>
      <c r="L10" s="162" t="s">
        <v>3840</v>
      </c>
      <c r="M10" s="162"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SUM(G13,G114)</f>
        <v>23342160000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14.2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8375000</v>
      </c>
      <c r="H19" s="154" t="b">
        <f t="shared" si="0"/>
        <v>1</v>
      </c>
      <c r="I19" s="154"/>
      <c r="J19" s="154"/>
    </row>
    <row r="20" spans="1:12" ht="14.25">
      <c r="A20" s="21" t="s">
        <v>425</v>
      </c>
      <c r="B20" s="124"/>
      <c r="C20" s="123" t="s">
        <v>3601</v>
      </c>
      <c r="D20" s="157">
        <v>65</v>
      </c>
      <c r="E20" s="124" t="s">
        <v>10</v>
      </c>
      <c r="F20" s="125">
        <v>75000</v>
      </c>
      <c r="G20" s="125">
        <f>ROUNDDOWN(D20*F20,-3)</f>
        <v>4875000</v>
      </c>
      <c r="H20" s="154" t="b">
        <f t="shared" si="0"/>
        <v>1</v>
      </c>
      <c r="I20" s="154"/>
      <c r="J20" s="154"/>
      <c r="L20" s="109" t="s">
        <v>3842</v>
      </c>
    </row>
    <row r="21" spans="1:12" ht="14.25">
      <c r="A21" s="21" t="s">
        <v>426</v>
      </c>
      <c r="B21" s="124"/>
      <c r="C21" s="123" t="s">
        <v>3602</v>
      </c>
      <c r="D21" s="124">
        <v>1</v>
      </c>
      <c r="E21" s="124" t="s">
        <v>106</v>
      </c>
      <c r="F21" s="125">
        <v>1000000</v>
      </c>
      <c r="G21" s="125">
        <f>ROUNDDOWN(D21*F21,-3)</f>
        <v>1000000</v>
      </c>
      <c r="H21" s="154" t="b">
        <f t="shared" si="0"/>
        <v>1</v>
      </c>
      <c r="I21" s="154"/>
      <c r="J21" s="154"/>
    </row>
    <row r="22" spans="1:12" ht="14.25">
      <c r="A22" s="21" t="s">
        <v>427</v>
      </c>
      <c r="B22" s="124"/>
      <c r="C22" s="123" t="s">
        <v>3588</v>
      </c>
      <c r="D22" s="157">
        <v>1</v>
      </c>
      <c r="E22" s="124" t="s">
        <v>106</v>
      </c>
      <c r="F22" s="125">
        <v>1000000</v>
      </c>
      <c r="G22" s="125">
        <f>ROUNDDOWN(D22*F22,-3)</f>
        <v>1000000</v>
      </c>
      <c r="H22" s="154" t="b">
        <f t="shared" si="0"/>
        <v>1</v>
      </c>
      <c r="I22" s="154"/>
      <c r="J22" s="154"/>
    </row>
    <row r="23" spans="1:12" ht="14.25">
      <c r="A23" s="21" t="s">
        <v>428</v>
      </c>
      <c r="B23" s="124"/>
      <c r="C23" s="123" t="s">
        <v>3589</v>
      </c>
      <c r="D23" s="124">
        <v>1</v>
      </c>
      <c r="E23" s="124" t="s">
        <v>106</v>
      </c>
      <c r="F23" s="125">
        <v>1500000</v>
      </c>
      <c r="G23" s="125">
        <f>ROUNDDOWN(D23*F23,-3)</f>
        <v>1500000</v>
      </c>
      <c r="H23" s="154" t="b">
        <f t="shared" si="0"/>
        <v>1</v>
      </c>
      <c r="I23" s="154"/>
      <c r="J23" s="154"/>
    </row>
    <row r="24" spans="1:12" ht="14.25">
      <c r="A24" s="21" t="s">
        <v>772</v>
      </c>
      <c r="B24" s="60">
        <v>522151</v>
      </c>
      <c r="C24" s="41" t="s">
        <v>11</v>
      </c>
      <c r="D24" s="71"/>
      <c r="E24" s="60"/>
      <c r="F24" s="42"/>
      <c r="G24" s="42">
        <f>G25</f>
        <v>1000000</v>
      </c>
      <c r="H24" s="154" t="b">
        <f>_xlfn.ISFORMULA(G24)</f>
        <v>1</v>
      </c>
      <c r="I24" s="154"/>
      <c r="J24" s="154"/>
    </row>
    <row r="25" spans="1:12" ht="14.25">
      <c r="A25" s="21" t="s">
        <v>773</v>
      </c>
      <c r="B25" s="124"/>
      <c r="C25" s="123" t="s">
        <v>3603</v>
      </c>
      <c r="D25" s="124">
        <v>1</v>
      </c>
      <c r="E25" s="124" t="s">
        <v>54</v>
      </c>
      <c r="F25" s="125">
        <v>1000000</v>
      </c>
      <c r="G25" s="125">
        <f>ROUNDDOWN(D25*F25,-3)</f>
        <v>1000000</v>
      </c>
      <c r="H25" s="154" t="b">
        <f t="shared" si="0"/>
        <v>1</v>
      </c>
      <c r="I25" s="154"/>
      <c r="J25" s="154"/>
    </row>
    <row r="26" spans="1:12" ht="14.25">
      <c r="A26" s="21" t="s">
        <v>429</v>
      </c>
      <c r="B26" s="60">
        <v>524111</v>
      </c>
      <c r="C26" s="41" t="s">
        <v>19</v>
      </c>
      <c r="D26" s="60"/>
      <c r="E26" s="60"/>
      <c r="F26" s="42"/>
      <c r="G26" s="42">
        <f>G27</f>
        <v>73760000</v>
      </c>
      <c r="H26" s="154" t="b">
        <f t="shared" si="0"/>
        <v>1</v>
      </c>
      <c r="I26" s="154"/>
      <c r="J26" s="154"/>
    </row>
    <row r="27" spans="1:12" ht="14.25">
      <c r="A27" s="21" t="s">
        <v>430</v>
      </c>
      <c r="B27" s="124"/>
      <c r="C27" s="123" t="s">
        <v>3604</v>
      </c>
      <c r="D27" s="157">
        <v>12</v>
      </c>
      <c r="E27" s="124" t="s">
        <v>776</v>
      </c>
      <c r="F27" s="125">
        <v>6146667</v>
      </c>
      <c r="G27" s="125">
        <f>ROUNDDOWN(D27*F27,-3)</f>
        <v>73760000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6725000</v>
      </c>
      <c r="H29" s="154" t="b">
        <f t="shared" si="0"/>
        <v>1</v>
      </c>
      <c r="I29" s="154"/>
      <c r="J29" s="154"/>
    </row>
    <row r="30" spans="1:12" ht="14.25">
      <c r="A30" s="21" t="s">
        <v>433</v>
      </c>
      <c r="B30" s="124"/>
      <c r="C30" s="123" t="s">
        <v>3601</v>
      </c>
      <c r="D30" s="124">
        <v>43</v>
      </c>
      <c r="E30" s="124" t="s">
        <v>10</v>
      </c>
      <c r="F30" s="125">
        <v>75000</v>
      </c>
      <c r="G30" s="125">
        <f>ROUNDDOWN(D30*F30,-3)</f>
        <v>3225000</v>
      </c>
      <c r="H30" s="154" t="b">
        <f t="shared" si="0"/>
        <v>1</v>
      </c>
      <c r="I30" s="154"/>
      <c r="J30" s="154"/>
    </row>
    <row r="31" spans="1:12" ht="14.25">
      <c r="A31" s="21" t="s">
        <v>434</v>
      </c>
      <c r="B31" s="124"/>
      <c r="C31" s="123" t="s">
        <v>3602</v>
      </c>
      <c r="D31" s="157">
        <v>1</v>
      </c>
      <c r="E31" s="124" t="s">
        <v>106</v>
      </c>
      <c r="F31" s="125">
        <v>1000000</v>
      </c>
      <c r="G31" s="125">
        <f>ROUNDDOWN(D31*F31,-3)</f>
        <v>1000000</v>
      </c>
      <c r="H31" s="154" t="b">
        <f t="shared" si="0"/>
        <v>1</v>
      </c>
      <c r="I31" s="154"/>
      <c r="J31" s="154"/>
    </row>
    <row r="32" spans="1:12" ht="14.25">
      <c r="A32" s="21" t="s">
        <v>435</v>
      </c>
      <c r="B32" s="124"/>
      <c r="C32" s="123" t="s">
        <v>3588</v>
      </c>
      <c r="D32" s="124">
        <v>1</v>
      </c>
      <c r="E32" s="124" t="s">
        <v>106</v>
      </c>
      <c r="F32" s="125">
        <v>1000000</v>
      </c>
      <c r="G32" s="125">
        <f>ROUNDDOWN(D32*F32,-3)</f>
        <v>1000000</v>
      </c>
      <c r="H32" s="154" t="b">
        <f t="shared" si="0"/>
        <v>1</v>
      </c>
      <c r="I32" s="154"/>
      <c r="J32" s="154"/>
    </row>
    <row r="33" spans="1:10" ht="14.25">
      <c r="A33" s="21" t="s">
        <v>436</v>
      </c>
      <c r="B33" s="124"/>
      <c r="C33" s="123" t="s">
        <v>3589</v>
      </c>
      <c r="D33" s="157">
        <v>1</v>
      </c>
      <c r="E33" s="124" t="s">
        <v>106</v>
      </c>
      <c r="F33" s="125">
        <v>1500000</v>
      </c>
      <c r="G33" s="125">
        <f>ROUNDDOWN(D33*F33,-3)</f>
        <v>1500000</v>
      </c>
      <c r="H33" s="154" t="b">
        <f t="shared" si="0"/>
        <v>1</v>
      </c>
      <c r="I33" s="154"/>
      <c r="J33" s="154"/>
    </row>
    <row r="34" spans="1:10" ht="14.25">
      <c r="A34" s="21" t="s">
        <v>777</v>
      </c>
      <c r="B34" s="60">
        <v>522151</v>
      </c>
      <c r="C34" s="41" t="s">
        <v>11</v>
      </c>
      <c r="D34" s="71"/>
      <c r="E34" s="60"/>
      <c r="F34" s="42"/>
      <c r="G34" s="42">
        <f>G35</f>
        <v>1000000</v>
      </c>
      <c r="H34" s="154" t="b">
        <f t="shared" si="0"/>
        <v>1</v>
      </c>
      <c r="I34" s="154"/>
      <c r="J34" s="154"/>
    </row>
    <row r="35" spans="1:10" ht="14.25">
      <c r="A35" s="21" t="s">
        <v>778</v>
      </c>
      <c r="B35" s="124"/>
      <c r="C35" s="123" t="s">
        <v>3603</v>
      </c>
      <c r="D35" s="124">
        <v>1</v>
      </c>
      <c r="E35" s="124" t="s">
        <v>54</v>
      </c>
      <c r="F35" s="125">
        <v>1000000</v>
      </c>
      <c r="G35" s="125">
        <f>ROUNDDOWN(D35*F35,-3)</f>
        <v>1000000</v>
      </c>
      <c r="H35" s="154" t="b">
        <f t="shared" si="0"/>
        <v>1</v>
      </c>
      <c r="I35" s="154"/>
      <c r="J35" s="154"/>
    </row>
    <row r="36" spans="1:10" ht="14.25">
      <c r="A36" s="21" t="s">
        <v>437</v>
      </c>
      <c r="B36" s="60">
        <v>524111</v>
      </c>
      <c r="C36" s="41" t="s">
        <v>19</v>
      </c>
      <c r="D36" s="71"/>
      <c r="E36" s="60"/>
      <c r="F36" s="42"/>
      <c r="G36" s="42">
        <f>G37</f>
        <v>33240000</v>
      </c>
      <c r="H36" s="154" t="b">
        <f t="shared" si="0"/>
        <v>1</v>
      </c>
      <c r="I36" s="154"/>
      <c r="J36" s="154"/>
    </row>
    <row r="37" spans="1:10" ht="14.25">
      <c r="A37" s="21" t="s">
        <v>438</v>
      </c>
      <c r="B37" s="124"/>
      <c r="C37" s="123" t="s">
        <v>3604</v>
      </c>
      <c r="D37" s="124">
        <v>12</v>
      </c>
      <c r="E37" s="124" t="s">
        <v>776</v>
      </c>
      <c r="F37" s="125">
        <v>2770000</v>
      </c>
      <c r="G37" s="125">
        <f>ROUNDDOWN(D37*F37,-3)</f>
        <v>33240000</v>
      </c>
      <c r="H37" s="154" t="b">
        <f t="shared" si="0"/>
        <v>1</v>
      </c>
      <c r="I37" s="154"/>
      <c r="J37" s="154"/>
    </row>
    <row r="38" spans="1:10" ht="14.25">
      <c r="A38" s="21" t="s">
        <v>439</v>
      </c>
      <c r="B38" s="58" t="s">
        <v>520</v>
      </c>
      <c r="C38" s="35" t="s">
        <v>57</v>
      </c>
      <c r="D38" s="69"/>
      <c r="E38" s="58"/>
      <c r="F38" s="36"/>
      <c r="G38" s="36">
        <f>G39</f>
        <v>54500000</v>
      </c>
      <c r="H38" s="154" t="b">
        <f t="shared" si="0"/>
        <v>1</v>
      </c>
      <c r="I38" s="154"/>
      <c r="J38" s="154"/>
    </row>
    <row r="39" spans="1:10" ht="14.2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19225000</v>
      </c>
      <c r="H40" s="154" t="b">
        <f t="shared" si="0"/>
        <v>1</v>
      </c>
      <c r="I40" s="154"/>
      <c r="J40" s="154"/>
    </row>
    <row r="41" spans="1:10" ht="14.25">
      <c r="A41" s="21" t="s">
        <v>442</v>
      </c>
      <c r="B41" s="124"/>
      <c r="C41" s="123" t="s">
        <v>3601</v>
      </c>
      <c r="D41" s="157">
        <v>23</v>
      </c>
      <c r="E41" s="124" t="s">
        <v>10</v>
      </c>
      <c r="F41" s="125">
        <v>75000</v>
      </c>
      <c r="G41" s="125">
        <f t="shared" ref="G41:G46" si="1">ROUNDDOWN(D41*F41,-3)</f>
        <v>1725000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35275000</v>
      </c>
      <c r="H47" s="154" t="b">
        <f t="shared" si="0"/>
        <v>1</v>
      </c>
      <c r="I47" s="154"/>
      <c r="J47" s="154"/>
    </row>
    <row r="48" spans="1:10" ht="14.25">
      <c r="A48" s="21" t="s">
        <v>449</v>
      </c>
      <c r="B48" s="124"/>
      <c r="C48" s="123" t="s">
        <v>3607</v>
      </c>
      <c r="D48" s="157">
        <v>10</v>
      </c>
      <c r="E48" s="124" t="s">
        <v>776</v>
      </c>
      <c r="F48" s="125">
        <v>3527550</v>
      </c>
      <c r="G48" s="125">
        <f>ROUNDDOWN(D48*F48,-3)</f>
        <v>35275000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14.2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14.2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SUM(G100,G106,G108,G110,G112)</f>
        <v>135100000</v>
      </c>
      <c r="H99" s="154" t="b">
        <f t="shared" si="2"/>
        <v>1</v>
      </c>
      <c r="I99" s="154"/>
      <c r="J99" s="154"/>
    </row>
    <row r="100" spans="1:10" ht="14.25">
      <c r="A100" s="21" t="s">
        <v>486</v>
      </c>
      <c r="B100" s="60">
        <v>521211</v>
      </c>
      <c r="C100" s="41" t="s">
        <v>7</v>
      </c>
      <c r="D100" s="71"/>
      <c r="E100" s="60"/>
      <c r="F100" s="42"/>
      <c r="G100" s="42">
        <f>SUM(G101:G105)</f>
        <v>21100000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810</v>
      </c>
      <c r="B105" s="124"/>
      <c r="C105" s="123" t="s">
        <v>3621</v>
      </c>
      <c r="D105" s="157">
        <v>36</v>
      </c>
      <c r="E105" s="124" t="s">
        <v>25</v>
      </c>
      <c r="F105" s="125">
        <v>200000</v>
      </c>
      <c r="G105" s="125">
        <f>ROUNDDOWN(D105*F105,-3)</f>
        <v>7200000</v>
      </c>
      <c r="H105" s="154" t="b">
        <f t="shared" si="2"/>
        <v>1</v>
      </c>
      <c r="I105" s="154"/>
      <c r="J105" s="154"/>
    </row>
    <row r="106" spans="1:10" ht="14.25">
      <c r="A106" s="21" t="s">
        <v>490</v>
      </c>
      <c r="B106" s="60">
        <v>521219</v>
      </c>
      <c r="C106" s="41" t="s">
        <v>53</v>
      </c>
      <c r="D106" s="71"/>
      <c r="E106" s="60"/>
      <c r="F106" s="42"/>
      <c r="G106" s="42">
        <f>G107</f>
        <v>1584000</v>
      </c>
      <c r="H106" s="154" t="b">
        <f t="shared" si="2"/>
        <v>1</v>
      </c>
      <c r="I106" s="154"/>
      <c r="J106" s="154"/>
    </row>
    <row r="107" spans="1:10" ht="14.25">
      <c r="A107" s="21" t="s">
        <v>491</v>
      </c>
      <c r="B107" s="124"/>
      <c r="C107" s="123" t="s">
        <v>3622</v>
      </c>
      <c r="D107" s="157">
        <v>36</v>
      </c>
      <c r="E107" s="124" t="s">
        <v>25</v>
      </c>
      <c r="F107" s="125">
        <v>44000</v>
      </c>
      <c r="G107" s="125">
        <f>ROUNDDOWN(D107*F107,-3)</f>
        <v>1584000</v>
      </c>
      <c r="H107" s="154" t="b">
        <f t="shared" si="2"/>
        <v>1</v>
      </c>
      <c r="I107" s="154"/>
      <c r="J107" s="154"/>
    </row>
    <row r="108" spans="1:10" ht="14.25">
      <c r="A108" s="21" t="s">
        <v>492</v>
      </c>
      <c r="B108" s="60">
        <v>522151</v>
      </c>
      <c r="C108" s="41" t="s">
        <v>11</v>
      </c>
      <c r="D108" s="60"/>
      <c r="E108" s="60"/>
      <c r="F108" s="42"/>
      <c r="G108" s="42">
        <f>G109</f>
        <v>10000000</v>
      </c>
      <c r="H108" s="154" t="b">
        <f t="shared" si="2"/>
        <v>1</v>
      </c>
      <c r="I108" s="154"/>
      <c r="J108" s="154"/>
    </row>
    <row r="109" spans="1:10" ht="14.25">
      <c r="A109" s="21" t="s">
        <v>493</v>
      </c>
      <c r="B109" s="124"/>
      <c r="C109" s="123" t="s">
        <v>3603</v>
      </c>
      <c r="D109" s="157">
        <v>10</v>
      </c>
      <c r="E109" s="124" t="s">
        <v>54</v>
      </c>
      <c r="F109" s="125">
        <v>1000000</v>
      </c>
      <c r="G109" s="125">
        <f>ROUNDDOWN(D109*F109,-3)</f>
        <v>10000000</v>
      </c>
      <c r="H109" s="154" t="b">
        <f t="shared" si="2"/>
        <v>1</v>
      </c>
      <c r="I109" s="154"/>
      <c r="J109" s="154"/>
    </row>
    <row r="110" spans="1:10" ht="14.25">
      <c r="A110" s="21" t="s">
        <v>813</v>
      </c>
      <c r="B110" s="60">
        <v>522192</v>
      </c>
      <c r="C110" s="41" t="s">
        <v>24</v>
      </c>
      <c r="D110" s="60"/>
      <c r="E110" s="60"/>
      <c r="F110" s="42"/>
      <c r="G110" s="42">
        <f>G111</f>
        <v>5000000</v>
      </c>
      <c r="H110" s="154" t="b">
        <f t="shared" si="2"/>
        <v>1</v>
      </c>
      <c r="I110" s="154"/>
      <c r="J110" s="154"/>
    </row>
    <row r="111" spans="1:10" ht="14.25">
      <c r="A111" s="21" t="s">
        <v>814</v>
      </c>
      <c r="B111" s="124"/>
      <c r="C111" s="123" t="s">
        <v>3623</v>
      </c>
      <c r="D111" s="157">
        <v>1</v>
      </c>
      <c r="E111" s="124" t="s">
        <v>153</v>
      </c>
      <c r="F111" s="125">
        <v>5000000</v>
      </c>
      <c r="G111" s="125">
        <f>ROUNDDOWN(D111*F111,-3)</f>
        <v>5000000</v>
      </c>
      <c r="H111" s="154" t="b">
        <f t="shared" si="2"/>
        <v>1</v>
      </c>
      <c r="I111" s="154"/>
      <c r="J111" s="154"/>
    </row>
    <row r="112" spans="1:10" ht="14.25">
      <c r="A112" s="21" t="s">
        <v>816</v>
      </c>
      <c r="B112" s="60">
        <v>524111</v>
      </c>
      <c r="C112" s="41" t="s">
        <v>19</v>
      </c>
      <c r="D112" s="60"/>
      <c r="E112" s="60"/>
      <c r="F112" s="42"/>
      <c r="G112" s="42">
        <f>G113</f>
        <v>97416000</v>
      </c>
      <c r="H112" s="154" t="b">
        <f t="shared" si="2"/>
        <v>1</v>
      </c>
      <c r="I112" s="154"/>
      <c r="J112" s="154"/>
    </row>
    <row r="113" spans="1:10" ht="14.25">
      <c r="A113" s="21" t="s">
        <v>817</v>
      </c>
      <c r="B113" s="124"/>
      <c r="C113" s="123" t="s">
        <v>3624</v>
      </c>
      <c r="D113" s="124">
        <v>36</v>
      </c>
      <c r="E113" s="124" t="s">
        <v>776</v>
      </c>
      <c r="F113" s="125">
        <v>2706000</v>
      </c>
      <c r="G113" s="125">
        <f>ROUNDDOWN(D113*F113,-3)</f>
        <v>97416000</v>
      </c>
      <c r="H113" s="154" t="b">
        <f t="shared" si="2"/>
        <v>1</v>
      </c>
      <c r="I113" s="154"/>
      <c r="J113" s="154"/>
    </row>
    <row r="114" spans="1:10" ht="14.25">
      <c r="A114" s="21" t="s">
        <v>69</v>
      </c>
      <c r="B114" s="54" t="s">
        <v>69</v>
      </c>
      <c r="C114" s="23" t="s">
        <v>70</v>
      </c>
      <c r="D114" s="54"/>
      <c r="E114" s="54"/>
      <c r="F114" s="24"/>
      <c r="G114" s="24">
        <f>SUM(G115,G529)</f>
        <v>22342160000</v>
      </c>
      <c r="H114" s="154" t="b">
        <f t="shared" si="2"/>
        <v>1</v>
      </c>
      <c r="I114" s="154"/>
      <c r="J114" s="154"/>
    </row>
    <row r="115" spans="1:10" ht="25.5">
      <c r="A115" s="21" t="s">
        <v>494</v>
      </c>
      <c r="B115" s="55">
        <v>2378</v>
      </c>
      <c r="C115" s="26" t="s">
        <v>71</v>
      </c>
      <c r="D115" s="68"/>
      <c r="E115" s="55"/>
      <c r="F115" s="27"/>
      <c r="G115" s="27">
        <f>SUM(G116,G122,G380,G386)</f>
        <v>13759660000</v>
      </c>
      <c r="H115" s="154" t="b">
        <f t="shared" si="2"/>
        <v>1</v>
      </c>
      <c r="I115" s="154"/>
      <c r="J115" s="154"/>
    </row>
    <row r="116" spans="1:10" ht="14.25">
      <c r="A116" s="21" t="s">
        <v>819</v>
      </c>
      <c r="B116" s="116" t="s">
        <v>820</v>
      </c>
      <c r="C116" s="114" t="s">
        <v>821</v>
      </c>
      <c r="D116" s="115">
        <v>1</v>
      </c>
      <c r="E116" s="116" t="s">
        <v>42</v>
      </c>
      <c r="F116" s="117"/>
      <c r="G116" s="117">
        <f>G117</f>
        <v>115000000</v>
      </c>
      <c r="H116" s="154" t="b">
        <f t="shared" si="2"/>
        <v>1</v>
      </c>
      <c r="I116" s="154"/>
      <c r="J116" s="154"/>
    </row>
    <row r="117" spans="1:10" ht="25.5">
      <c r="A117" s="21" t="s">
        <v>822</v>
      </c>
      <c r="B117" s="119" t="s">
        <v>3625</v>
      </c>
      <c r="C117" s="118" t="s">
        <v>824</v>
      </c>
      <c r="D117" s="121">
        <v>1</v>
      </c>
      <c r="E117" s="119" t="s">
        <v>42</v>
      </c>
      <c r="F117" s="120"/>
      <c r="G117" s="120">
        <f>G118</f>
        <v>115000000</v>
      </c>
      <c r="H117" s="154" t="b">
        <f t="shared" si="2"/>
        <v>1</v>
      </c>
      <c r="I117" s="154"/>
      <c r="J117" s="154"/>
    </row>
    <row r="118" spans="1:10" ht="14.25">
      <c r="A118" s="21" t="s">
        <v>832</v>
      </c>
      <c r="B118" s="58">
        <v>301</v>
      </c>
      <c r="C118" s="35" t="s">
        <v>834</v>
      </c>
      <c r="D118" s="58"/>
      <c r="E118" s="58"/>
      <c r="F118" s="36"/>
      <c r="G118" s="36">
        <f>G119</f>
        <v>115000000</v>
      </c>
      <c r="H118" s="154" t="b">
        <f t="shared" si="2"/>
        <v>1</v>
      </c>
      <c r="I118" s="154"/>
      <c r="J118" s="154"/>
    </row>
    <row r="119" spans="1:10" ht="14.25">
      <c r="A119" s="21" t="s">
        <v>835</v>
      </c>
      <c r="B119" s="59" t="s">
        <v>8</v>
      </c>
      <c r="C119" s="38" t="s">
        <v>836</v>
      </c>
      <c r="D119" s="70"/>
      <c r="E119" s="59"/>
      <c r="F119" s="39"/>
      <c r="G119" s="39">
        <f>G120</f>
        <v>115000000</v>
      </c>
      <c r="H119" s="154" t="b">
        <f t="shared" si="2"/>
        <v>1</v>
      </c>
      <c r="I119" s="154"/>
      <c r="J119" s="154"/>
    </row>
    <row r="120" spans="1:10" ht="14.25">
      <c r="A120" s="21" t="s">
        <v>837</v>
      </c>
      <c r="B120" s="60">
        <v>532111</v>
      </c>
      <c r="C120" s="41" t="s">
        <v>43</v>
      </c>
      <c r="D120" s="60"/>
      <c r="E120" s="60"/>
      <c r="F120" s="42"/>
      <c r="G120" s="42">
        <f>G121</f>
        <v>115000000</v>
      </c>
      <c r="H120" s="154" t="b">
        <f t="shared" si="2"/>
        <v>1</v>
      </c>
      <c r="I120" s="154"/>
      <c r="J120" s="154"/>
    </row>
    <row r="121" spans="1:10" ht="14.25">
      <c r="A121" s="21" t="s">
        <v>838</v>
      </c>
      <c r="B121" s="124"/>
      <c r="C121" s="123" t="s">
        <v>3626</v>
      </c>
      <c r="D121" s="157">
        <v>1</v>
      </c>
      <c r="E121" s="124" t="s">
        <v>23</v>
      </c>
      <c r="F121" s="125">
        <v>115000000</v>
      </c>
      <c r="G121" s="125">
        <f>ROUNDDOWN(D121*F121,-3)</f>
        <v>115000000</v>
      </c>
      <c r="H121" s="154" t="b">
        <f t="shared" si="2"/>
        <v>1</v>
      </c>
      <c r="I121" s="154"/>
      <c r="J121" s="154"/>
    </row>
    <row r="122" spans="1:10" ht="14.25">
      <c r="A122" s="21" t="s">
        <v>840</v>
      </c>
      <c r="B122" s="116" t="s">
        <v>841</v>
      </c>
      <c r="C122" s="114" t="s">
        <v>842</v>
      </c>
      <c r="D122" s="116">
        <v>9</v>
      </c>
      <c r="E122" s="116" t="s">
        <v>3627</v>
      </c>
      <c r="F122" s="117"/>
      <c r="G122" s="117">
        <f>SUM(G123,G138,G263)</f>
        <v>11564936000</v>
      </c>
      <c r="H122" s="154" t="b">
        <f t="shared" si="2"/>
        <v>1</v>
      </c>
      <c r="I122" s="154"/>
      <c r="J122" s="154"/>
    </row>
    <row r="123" spans="1:10" ht="14.25">
      <c r="A123" s="21" t="s">
        <v>1035</v>
      </c>
      <c r="B123" s="119" t="s">
        <v>3628</v>
      </c>
      <c r="C123" s="118" t="s">
        <v>1037</v>
      </c>
      <c r="D123" s="119">
        <v>2</v>
      </c>
      <c r="E123" s="119" t="s">
        <v>3627</v>
      </c>
      <c r="F123" s="120"/>
      <c r="G123" s="120">
        <f>G124</f>
        <v>153780000</v>
      </c>
      <c r="H123" s="154" t="b">
        <f t="shared" si="2"/>
        <v>1</v>
      </c>
      <c r="I123" s="154"/>
      <c r="J123" s="154"/>
    </row>
    <row r="124" spans="1:10" ht="14.25">
      <c r="A124" s="7" t="s">
        <v>1184</v>
      </c>
      <c r="B124" s="58">
        <v>311</v>
      </c>
      <c r="C124" s="35" t="s">
        <v>1186</v>
      </c>
      <c r="D124" s="58"/>
      <c r="E124" s="58"/>
      <c r="F124" s="36"/>
      <c r="G124" s="36">
        <f>G125</f>
        <v>153780000</v>
      </c>
      <c r="H124" s="154" t="b">
        <f t="shared" si="2"/>
        <v>1</v>
      </c>
      <c r="I124" s="154"/>
      <c r="J124" s="154"/>
    </row>
    <row r="125" spans="1:10" ht="14.25">
      <c r="A125" s="7" t="s">
        <v>1187</v>
      </c>
      <c r="B125" s="59" t="s">
        <v>8</v>
      </c>
      <c r="C125" s="38" t="s">
        <v>75</v>
      </c>
      <c r="D125" s="59"/>
      <c r="E125" s="59"/>
      <c r="F125" s="39"/>
      <c r="G125" s="39">
        <f>SUM(G126,G129,G131,G134,G136)</f>
        <v>153780000</v>
      </c>
      <c r="H125" s="154" t="b">
        <f t="shared" si="2"/>
        <v>1</v>
      </c>
      <c r="I125" s="154"/>
      <c r="J125" s="154"/>
    </row>
    <row r="126" spans="1:10" ht="14.25">
      <c r="A126" s="7" t="s">
        <v>1188</v>
      </c>
      <c r="B126" s="60">
        <v>521211</v>
      </c>
      <c r="C126" s="41" t="s">
        <v>7</v>
      </c>
      <c r="D126" s="60"/>
      <c r="E126" s="60"/>
      <c r="F126" s="42"/>
      <c r="G126" s="42">
        <f>SUM(G127:G128)</f>
        <v>14400000</v>
      </c>
      <c r="H126" s="154" t="b">
        <f t="shared" si="2"/>
        <v>1</v>
      </c>
      <c r="I126" s="154"/>
      <c r="J126" s="154"/>
    </row>
    <row r="127" spans="1:10" ht="14.25">
      <c r="A127" s="7" t="s">
        <v>1189</v>
      </c>
      <c r="B127" s="124"/>
      <c r="C127" s="123" t="s">
        <v>3587</v>
      </c>
      <c r="D127" s="124">
        <v>6</v>
      </c>
      <c r="E127" s="124" t="s">
        <v>52</v>
      </c>
      <c r="F127" s="125">
        <v>1000000</v>
      </c>
      <c r="G127" s="125">
        <f>ROUNDDOWN(D127*F127,-3)</f>
        <v>6000000</v>
      </c>
      <c r="H127" s="154" t="b">
        <f t="shared" si="2"/>
        <v>1</v>
      </c>
      <c r="I127" s="154"/>
      <c r="J127" s="154"/>
    </row>
    <row r="128" spans="1:10" ht="14.25">
      <c r="A128" s="7" t="s">
        <v>1190</v>
      </c>
      <c r="B128" s="124"/>
      <c r="C128" s="123" t="s">
        <v>3608</v>
      </c>
      <c r="D128" s="124">
        <v>120</v>
      </c>
      <c r="E128" s="124" t="s">
        <v>25</v>
      </c>
      <c r="F128" s="125">
        <v>70000</v>
      </c>
      <c r="G128" s="125">
        <f>ROUNDDOWN(D128*F128,-3)</f>
        <v>8400000</v>
      </c>
      <c r="H128" s="154" t="b">
        <f t="shared" si="2"/>
        <v>1</v>
      </c>
      <c r="I128" s="154"/>
      <c r="J128" s="154"/>
    </row>
    <row r="129" spans="1:10" ht="14.25">
      <c r="A129" s="7" t="s">
        <v>1191</v>
      </c>
      <c r="B129" s="60">
        <v>521219</v>
      </c>
      <c r="C129" s="41" t="s">
        <v>53</v>
      </c>
      <c r="D129" s="60"/>
      <c r="E129" s="60"/>
      <c r="F129" s="42"/>
      <c r="G129" s="42">
        <f>G130</f>
        <v>8000000</v>
      </c>
      <c r="H129" s="154" t="b">
        <f t="shared" si="2"/>
        <v>1</v>
      </c>
      <c r="I129" s="154"/>
      <c r="J129" s="154"/>
    </row>
    <row r="130" spans="1:10" ht="14.25">
      <c r="A130" s="7" t="s">
        <v>1192</v>
      </c>
      <c r="B130" s="124"/>
      <c r="C130" s="123" t="s">
        <v>3629</v>
      </c>
      <c r="D130" s="124">
        <v>1</v>
      </c>
      <c r="E130" s="124" t="s">
        <v>106</v>
      </c>
      <c r="F130" s="125">
        <v>8000000</v>
      </c>
      <c r="G130" s="125">
        <f>ROUNDDOWN(D130*F130,-3)</f>
        <v>8000000</v>
      </c>
      <c r="H130" s="154" t="b">
        <f t="shared" si="2"/>
        <v>1</v>
      </c>
      <c r="I130" s="154"/>
      <c r="J130" s="154"/>
    </row>
    <row r="131" spans="1:10" ht="14.25">
      <c r="A131" s="7" t="s">
        <v>1194</v>
      </c>
      <c r="B131" s="60">
        <v>521811</v>
      </c>
      <c r="C131" s="41" t="s">
        <v>64</v>
      </c>
      <c r="D131" s="60"/>
      <c r="E131" s="60"/>
      <c r="F131" s="42"/>
      <c r="G131" s="42">
        <f>SUM(G132:G133)</f>
        <v>12000000</v>
      </c>
      <c r="H131" s="154" t="b">
        <f t="shared" si="2"/>
        <v>1</v>
      </c>
      <c r="I131" s="154"/>
      <c r="J131" s="154"/>
    </row>
    <row r="132" spans="1:10" ht="14.25">
      <c r="A132" s="7" t="s">
        <v>1195</v>
      </c>
      <c r="B132" s="124"/>
      <c r="C132" s="123" t="s">
        <v>3595</v>
      </c>
      <c r="D132" s="124">
        <v>6</v>
      </c>
      <c r="E132" s="124" t="s">
        <v>52</v>
      </c>
      <c r="F132" s="125">
        <v>1000000</v>
      </c>
      <c r="G132" s="125">
        <f>ROUNDDOWN(D132*F132,-3)</f>
        <v>6000000</v>
      </c>
      <c r="H132" s="154" t="b">
        <f t="shared" si="2"/>
        <v>1</v>
      </c>
      <c r="I132" s="154"/>
      <c r="J132" s="154"/>
    </row>
    <row r="133" spans="1:10" ht="14.25">
      <c r="A133" s="7" t="s">
        <v>1196</v>
      </c>
      <c r="B133" s="124"/>
      <c r="C133" s="123" t="s">
        <v>3630</v>
      </c>
      <c r="D133" s="124">
        <v>6</v>
      </c>
      <c r="E133" s="124" t="s">
        <v>52</v>
      </c>
      <c r="F133" s="125">
        <v>1000000</v>
      </c>
      <c r="G133" s="125">
        <f>ROUNDDOWN(D133*F133,-3)</f>
        <v>6000000</v>
      </c>
      <c r="H133" s="154" t="b">
        <f t="shared" si="2"/>
        <v>1</v>
      </c>
      <c r="I133" s="154"/>
      <c r="J133" s="154"/>
    </row>
    <row r="134" spans="1:10" ht="14.25">
      <c r="A134" s="7" t="s">
        <v>1198</v>
      </c>
      <c r="B134" s="60">
        <v>522151</v>
      </c>
      <c r="C134" s="41" t="s">
        <v>11</v>
      </c>
      <c r="D134" s="60"/>
      <c r="E134" s="60"/>
      <c r="F134" s="42"/>
      <c r="G134" s="42">
        <f>G135</f>
        <v>4000000</v>
      </c>
      <c r="H134" s="154" t="b">
        <f t="shared" si="2"/>
        <v>1</v>
      </c>
      <c r="I134" s="154"/>
      <c r="J134" s="154"/>
    </row>
    <row r="135" spans="1:10" ht="14.25">
      <c r="A135" s="7" t="s">
        <v>1199</v>
      </c>
      <c r="B135" s="124"/>
      <c r="C135" s="123" t="s">
        <v>3603</v>
      </c>
      <c r="D135" s="124">
        <v>4</v>
      </c>
      <c r="E135" s="124" t="s">
        <v>54</v>
      </c>
      <c r="F135" s="125">
        <v>1000000</v>
      </c>
      <c r="G135" s="125">
        <f>ROUNDDOWN(D135*F135,-3)</f>
        <v>4000000</v>
      </c>
      <c r="H135" s="154" t="b">
        <f t="shared" si="2"/>
        <v>1</v>
      </c>
      <c r="I135" s="154"/>
      <c r="J135" s="154"/>
    </row>
    <row r="136" spans="1:10" ht="14.25">
      <c r="A136" s="7" t="s">
        <v>1200</v>
      </c>
      <c r="B136" s="60">
        <v>524111</v>
      </c>
      <c r="C136" s="41" t="s">
        <v>19</v>
      </c>
      <c r="D136" s="60"/>
      <c r="E136" s="60"/>
      <c r="F136" s="42"/>
      <c r="G136" s="42">
        <f>G137</f>
        <v>115380000</v>
      </c>
      <c r="H136" s="154" t="b">
        <f t="shared" si="2"/>
        <v>1</v>
      </c>
      <c r="I136" s="154"/>
      <c r="J136" s="154"/>
    </row>
    <row r="137" spans="1:10" ht="14.25">
      <c r="A137" s="7" t="s">
        <v>1201</v>
      </c>
      <c r="B137" s="124"/>
      <c r="C137" s="123" t="s">
        <v>3631</v>
      </c>
      <c r="D137" s="124">
        <v>20</v>
      </c>
      <c r="E137" s="124" t="s">
        <v>25</v>
      </c>
      <c r="F137" s="125">
        <v>5769000</v>
      </c>
      <c r="G137" s="125">
        <f>ROUNDDOWN(D137*F137,-3)</f>
        <v>115380000</v>
      </c>
      <c r="H137" s="154" t="b">
        <f t="shared" si="2"/>
        <v>1</v>
      </c>
      <c r="I137" s="154"/>
      <c r="J137" s="154"/>
    </row>
    <row r="138" spans="1:10" ht="14.25">
      <c r="A138" s="7" t="s">
        <v>1268</v>
      </c>
      <c r="B138" s="119" t="s">
        <v>3632</v>
      </c>
      <c r="C138" s="118" t="s">
        <v>1270</v>
      </c>
      <c r="D138" s="119">
        <v>1</v>
      </c>
      <c r="E138" s="119" t="s">
        <v>3627</v>
      </c>
      <c r="F138" s="120"/>
      <c r="G138" s="120">
        <f>G139</f>
        <v>2736502000</v>
      </c>
      <c r="H138" s="154" t="b">
        <f t="shared" si="2"/>
        <v>1</v>
      </c>
      <c r="I138" s="154"/>
      <c r="J138" s="154"/>
    </row>
    <row r="139" spans="1:10" ht="14.25">
      <c r="A139" s="7" t="s">
        <v>1388</v>
      </c>
      <c r="B139" s="58">
        <v>301</v>
      </c>
      <c r="C139" s="35" t="s">
        <v>1389</v>
      </c>
      <c r="D139" s="58"/>
      <c r="E139" s="58"/>
      <c r="F139" s="36"/>
      <c r="G139" s="36">
        <f>SUM(G140,G150,G161,G174,G184,G200,G216,G228,G248)</f>
        <v>2736502000</v>
      </c>
      <c r="H139" s="154" t="b">
        <f t="shared" si="2"/>
        <v>1</v>
      </c>
      <c r="I139" s="154"/>
      <c r="J139" s="154"/>
    </row>
    <row r="140" spans="1:10" ht="14.25">
      <c r="A140" s="7" t="s">
        <v>1390</v>
      </c>
      <c r="B140" s="59" t="s">
        <v>8</v>
      </c>
      <c r="C140" s="38" t="s">
        <v>148</v>
      </c>
      <c r="D140" s="59"/>
      <c r="E140" s="59"/>
      <c r="F140" s="39"/>
      <c r="G140" s="39">
        <f>SUM(G141,G146,G148)</f>
        <v>42100000</v>
      </c>
      <c r="H140" s="154" t="b">
        <f t="shared" si="2"/>
        <v>1</v>
      </c>
      <c r="I140" s="154"/>
      <c r="J140" s="154"/>
    </row>
    <row r="141" spans="1:10" ht="14.25">
      <c r="A141" s="7" t="s">
        <v>1391</v>
      </c>
      <c r="B141" s="60">
        <v>521211</v>
      </c>
      <c r="C141" s="41" t="s">
        <v>7</v>
      </c>
      <c r="D141" s="60"/>
      <c r="E141" s="60"/>
      <c r="F141" s="42"/>
      <c r="G141" s="42">
        <f>SUM(G142:G145)</f>
        <v>22000000</v>
      </c>
      <c r="H141" s="154" t="b">
        <f t="shared" si="2"/>
        <v>1</v>
      </c>
      <c r="I141" s="154"/>
      <c r="J141" s="154"/>
    </row>
    <row r="142" spans="1:10" ht="14.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c r="A143" s="7" t="s">
        <v>1393</v>
      </c>
      <c r="B143" s="124"/>
      <c r="C143" s="123" t="s">
        <v>3596</v>
      </c>
      <c r="D143" s="124">
        <v>4</v>
      </c>
      <c r="E143" s="124" t="s">
        <v>9</v>
      </c>
      <c r="F143" s="125">
        <v>1000000</v>
      </c>
      <c r="G143" s="125">
        <f>ROUNDDOWN(D143*F143,-3)</f>
        <v>4000000</v>
      </c>
      <c r="H143" s="154" t="b">
        <f t="shared" si="3"/>
        <v>1</v>
      </c>
      <c r="I143" s="154"/>
      <c r="J143" s="154"/>
    </row>
    <row r="144" spans="1:10" ht="14.25">
      <c r="A144" s="7" t="s">
        <v>1394</v>
      </c>
      <c r="B144" s="124"/>
      <c r="C144" s="123" t="s">
        <v>3597</v>
      </c>
      <c r="D144" s="124">
        <v>4</v>
      </c>
      <c r="E144" s="124" t="s">
        <v>9</v>
      </c>
      <c r="F144" s="125">
        <v>1500000</v>
      </c>
      <c r="G144" s="125">
        <f>ROUNDDOWN(D144*F144,-3)</f>
        <v>6000000</v>
      </c>
      <c r="H144" s="154" t="b">
        <f t="shared" si="3"/>
        <v>1</v>
      </c>
      <c r="I144" s="154"/>
      <c r="J144" s="154"/>
    </row>
    <row r="145" spans="1:10" ht="14.25">
      <c r="A145" s="7" t="s">
        <v>1395</v>
      </c>
      <c r="B145" s="124"/>
      <c r="C145" s="123" t="s">
        <v>3633</v>
      </c>
      <c r="D145" s="124">
        <v>12</v>
      </c>
      <c r="E145" s="124" t="s">
        <v>176</v>
      </c>
      <c r="F145" s="125">
        <v>500000</v>
      </c>
      <c r="G145" s="125">
        <f>ROUNDDOWN(D145*F145,-3)</f>
        <v>6000000</v>
      </c>
      <c r="H145" s="154" t="b">
        <f t="shared" si="3"/>
        <v>1</v>
      </c>
      <c r="I145" s="154"/>
      <c r="J145" s="154"/>
    </row>
    <row r="146" spans="1:10" ht="14.25">
      <c r="A146" s="7" t="s">
        <v>1397</v>
      </c>
      <c r="B146" s="60">
        <v>524111</v>
      </c>
      <c r="C146" s="41" t="s">
        <v>19</v>
      </c>
      <c r="D146" s="60"/>
      <c r="E146" s="60"/>
      <c r="F146" s="42"/>
      <c r="G146" s="42">
        <f>G147</f>
        <v>18000000</v>
      </c>
      <c r="H146" s="154" t="b">
        <f t="shared" si="3"/>
        <v>1</v>
      </c>
      <c r="I146" s="154"/>
      <c r="J146" s="154"/>
    </row>
    <row r="147" spans="1:10" ht="14.25">
      <c r="A147" s="7" t="s">
        <v>1398</v>
      </c>
      <c r="B147" s="124"/>
      <c r="C147" s="123" t="s">
        <v>3634</v>
      </c>
      <c r="D147" s="124">
        <v>6</v>
      </c>
      <c r="E147" s="124" t="s">
        <v>10</v>
      </c>
      <c r="F147" s="125">
        <v>3000000</v>
      </c>
      <c r="G147" s="125">
        <f>ROUNDDOWN(D147*F147,-3)</f>
        <v>18000000</v>
      </c>
      <c r="H147" s="154" t="b">
        <f t="shared" si="3"/>
        <v>1</v>
      </c>
      <c r="I147" s="154"/>
      <c r="J147" s="154"/>
    </row>
    <row r="148" spans="1:10" ht="14.25">
      <c r="A148" s="7" t="s">
        <v>1400</v>
      </c>
      <c r="B148" s="60">
        <v>524113</v>
      </c>
      <c r="C148" s="41" t="s">
        <v>13</v>
      </c>
      <c r="D148" s="60"/>
      <c r="E148" s="60"/>
      <c r="F148" s="42"/>
      <c r="G148" s="42">
        <f>G149</f>
        <v>2100000</v>
      </c>
      <c r="H148" s="154" t="b">
        <f t="shared" si="3"/>
        <v>1</v>
      </c>
      <c r="I148" s="154"/>
      <c r="J148" s="154"/>
    </row>
    <row r="149" spans="1:10" ht="14.25">
      <c r="A149" s="7" t="s">
        <v>1401</v>
      </c>
      <c r="B149" s="124"/>
      <c r="C149" s="123" t="s">
        <v>3635</v>
      </c>
      <c r="D149" s="124">
        <v>14</v>
      </c>
      <c r="E149" s="124" t="s">
        <v>10</v>
      </c>
      <c r="F149" s="125">
        <v>150000</v>
      </c>
      <c r="G149" s="125">
        <f>ROUNDDOWN(D149*F149,-3)</f>
        <v>2100000</v>
      </c>
      <c r="H149" s="154" t="b">
        <f t="shared" si="3"/>
        <v>1</v>
      </c>
      <c r="I149" s="154"/>
      <c r="J149" s="154"/>
    </row>
    <row r="150" spans="1:10" ht="14.25">
      <c r="A150" s="7" t="s">
        <v>1403</v>
      </c>
      <c r="B150" s="59" t="s">
        <v>511</v>
      </c>
      <c r="C150" s="38" t="s">
        <v>150</v>
      </c>
      <c r="D150" s="59"/>
      <c r="E150" s="59"/>
      <c r="F150" s="39"/>
      <c r="G150" s="39">
        <f>SUM(G151,G154,G156,G158)</f>
        <v>571380000</v>
      </c>
      <c r="H150" s="154" t="b">
        <f t="shared" si="3"/>
        <v>1</v>
      </c>
      <c r="I150" s="154"/>
      <c r="J150" s="154"/>
    </row>
    <row r="151" spans="1:10" ht="14.25">
      <c r="A151" s="7" t="s">
        <v>1404</v>
      </c>
      <c r="B151" s="60">
        <v>521211</v>
      </c>
      <c r="C151" s="41" t="s">
        <v>7</v>
      </c>
      <c r="D151" s="60"/>
      <c r="E151" s="60"/>
      <c r="F151" s="42"/>
      <c r="G151" s="42">
        <f>SUM(G152:G153)</f>
        <v>10000000</v>
      </c>
      <c r="H151" s="154" t="b">
        <f t="shared" si="3"/>
        <v>1</v>
      </c>
      <c r="I151" s="154"/>
      <c r="J151" s="154"/>
    </row>
    <row r="152" spans="1:10" ht="14.25">
      <c r="A152" s="7" t="s">
        <v>1405</v>
      </c>
      <c r="B152" s="124"/>
      <c r="C152" s="123" t="s">
        <v>3595</v>
      </c>
      <c r="D152" s="124">
        <v>4</v>
      </c>
      <c r="E152" s="124" t="s">
        <v>9</v>
      </c>
      <c r="F152" s="125">
        <v>1500000</v>
      </c>
      <c r="G152" s="125">
        <f>ROUNDDOWN(D152*F152,-3)</f>
        <v>6000000</v>
      </c>
      <c r="H152" s="154" t="b">
        <f t="shared" si="3"/>
        <v>1</v>
      </c>
      <c r="I152" s="154"/>
      <c r="J152" s="154"/>
    </row>
    <row r="153" spans="1:10" ht="14.25">
      <c r="A153" s="7" t="s">
        <v>1406</v>
      </c>
      <c r="B153" s="124"/>
      <c r="C153" s="123" t="s">
        <v>3596</v>
      </c>
      <c r="D153" s="124">
        <v>4</v>
      </c>
      <c r="E153" s="124" t="s">
        <v>9</v>
      </c>
      <c r="F153" s="125">
        <v>1000000</v>
      </c>
      <c r="G153" s="125">
        <f>ROUNDDOWN(D153*F153,-3)</f>
        <v>4000000</v>
      </c>
      <c r="H153" s="154" t="b">
        <f t="shared" si="3"/>
        <v>1</v>
      </c>
      <c r="I153" s="154"/>
      <c r="J153" s="154"/>
    </row>
    <row r="154" spans="1:10" ht="14.25">
      <c r="A154" s="7" t="s">
        <v>1407</v>
      </c>
      <c r="B154" s="60">
        <v>521219</v>
      </c>
      <c r="C154" s="41" t="s">
        <v>53</v>
      </c>
      <c r="D154" s="60"/>
      <c r="E154" s="60"/>
      <c r="F154" s="42"/>
      <c r="G154" s="42">
        <f>G155</f>
        <v>7800000</v>
      </c>
      <c r="H154" s="154" t="b">
        <f t="shared" si="3"/>
        <v>1</v>
      </c>
      <c r="I154" s="154"/>
      <c r="J154" s="154"/>
    </row>
    <row r="155" spans="1:10" ht="14.25">
      <c r="A155" s="7" t="s">
        <v>1408</v>
      </c>
      <c r="B155" s="124"/>
      <c r="C155" s="123" t="s">
        <v>3610</v>
      </c>
      <c r="D155" s="124">
        <v>12</v>
      </c>
      <c r="E155" s="124" t="s">
        <v>66</v>
      </c>
      <c r="F155" s="125">
        <v>650000</v>
      </c>
      <c r="G155" s="125">
        <f>ROUNDDOWN(D155*F155,-3)</f>
        <v>7800000</v>
      </c>
      <c r="H155" s="154" t="b">
        <f t="shared" si="3"/>
        <v>1</v>
      </c>
      <c r="I155" s="154"/>
      <c r="J155" s="154"/>
    </row>
    <row r="156" spans="1:10" ht="14.25">
      <c r="A156" s="7" t="s">
        <v>1409</v>
      </c>
      <c r="B156" s="60">
        <v>522192</v>
      </c>
      <c r="C156" s="41" t="s">
        <v>24</v>
      </c>
      <c r="D156" s="60"/>
      <c r="E156" s="60"/>
      <c r="F156" s="42"/>
      <c r="G156" s="42">
        <f>G157</f>
        <v>39080000</v>
      </c>
      <c r="H156" s="154" t="b">
        <f t="shared" si="3"/>
        <v>1</v>
      </c>
      <c r="I156" s="154"/>
      <c r="J156" s="154"/>
    </row>
    <row r="157" spans="1:10" ht="14.25">
      <c r="A157" s="7" t="s">
        <v>1410</v>
      </c>
      <c r="B157" s="124"/>
      <c r="C157" s="123" t="s">
        <v>3636</v>
      </c>
      <c r="D157" s="124">
        <v>80</v>
      </c>
      <c r="E157" s="124" t="s">
        <v>25</v>
      </c>
      <c r="F157" s="125">
        <v>488500</v>
      </c>
      <c r="G157" s="125">
        <f>ROUNDDOWN(D157*F157,-3)</f>
        <v>39080000</v>
      </c>
      <c r="H157" s="154" t="b">
        <f t="shared" si="3"/>
        <v>1</v>
      </c>
      <c r="I157" s="154"/>
      <c r="J157" s="154"/>
    </row>
    <row r="158" spans="1:10" ht="14.25">
      <c r="A158" s="7" t="s">
        <v>1412</v>
      </c>
      <c r="B158" s="60">
        <v>524111</v>
      </c>
      <c r="C158" s="41" t="s">
        <v>19</v>
      </c>
      <c r="D158" s="60"/>
      <c r="E158" s="60"/>
      <c r="F158" s="42"/>
      <c r="G158" s="42">
        <f>SUM(G159:G160)</f>
        <v>514500000</v>
      </c>
      <c r="H158" s="154" t="b">
        <f t="shared" si="3"/>
        <v>1</v>
      </c>
      <c r="I158" s="154"/>
      <c r="J158" s="154"/>
    </row>
    <row r="159" spans="1:10" ht="14.25">
      <c r="A159" s="7" t="s">
        <v>1413</v>
      </c>
      <c r="B159" s="124"/>
      <c r="C159" s="123" t="s">
        <v>3637</v>
      </c>
      <c r="D159" s="124">
        <v>55</v>
      </c>
      <c r="E159" s="124" t="s">
        <v>10</v>
      </c>
      <c r="F159" s="125">
        <v>6075000</v>
      </c>
      <c r="G159" s="125">
        <f>ROUNDDOWN(D159*F159,-3)</f>
        <v>334125000</v>
      </c>
      <c r="H159" s="154" t="b">
        <f t="shared" si="3"/>
        <v>1</v>
      </c>
      <c r="I159" s="154"/>
      <c r="J159" s="154"/>
    </row>
    <row r="160" spans="1:10" ht="14.25">
      <c r="A160" s="7" t="s">
        <v>1415</v>
      </c>
      <c r="B160" s="124"/>
      <c r="C160" s="123" t="s">
        <v>3638</v>
      </c>
      <c r="D160" s="124">
        <v>30</v>
      </c>
      <c r="E160" s="124" t="s">
        <v>776</v>
      </c>
      <c r="F160" s="125">
        <v>6012500</v>
      </c>
      <c r="G160" s="125">
        <f>ROUNDDOWN(D160*F160,-3)</f>
        <v>180375000</v>
      </c>
      <c r="H160" s="154" t="b">
        <f t="shared" si="3"/>
        <v>1</v>
      </c>
      <c r="I160" s="154"/>
      <c r="J160" s="154"/>
    </row>
    <row r="161" spans="1:10" ht="14.25">
      <c r="A161" s="7" t="s">
        <v>1417</v>
      </c>
      <c r="B161" s="59" t="s">
        <v>512</v>
      </c>
      <c r="C161" s="38" t="s">
        <v>1418</v>
      </c>
      <c r="D161" s="59"/>
      <c r="E161" s="59"/>
      <c r="F161" s="39"/>
      <c r="G161" s="39">
        <f>SUM(G162,G168,G170,G172)</f>
        <v>83500000</v>
      </c>
      <c r="H161" s="154" t="b">
        <f t="shared" si="3"/>
        <v>1</v>
      </c>
      <c r="I161" s="154"/>
      <c r="J161" s="154"/>
    </row>
    <row r="162" spans="1:10" ht="14.25">
      <c r="A162" s="7" t="s">
        <v>1419</v>
      </c>
      <c r="B162" s="60">
        <v>521211</v>
      </c>
      <c r="C162" s="41" t="s">
        <v>7</v>
      </c>
      <c r="D162" s="60"/>
      <c r="E162" s="60"/>
      <c r="F162" s="42"/>
      <c r="G162" s="42">
        <f>SUM(G163:G167)</f>
        <v>46000000</v>
      </c>
      <c r="H162" s="154" t="b">
        <f t="shared" si="3"/>
        <v>1</v>
      </c>
      <c r="I162" s="154"/>
      <c r="J162" s="154"/>
    </row>
    <row r="163" spans="1:10" ht="14.25">
      <c r="A163" s="7" t="s">
        <v>1420</v>
      </c>
      <c r="B163" s="124"/>
      <c r="C163" s="123" t="s">
        <v>3639</v>
      </c>
      <c r="D163" s="124">
        <v>500</v>
      </c>
      <c r="E163" s="124" t="s">
        <v>1422</v>
      </c>
      <c r="F163" s="125">
        <v>36000</v>
      </c>
      <c r="G163" s="125">
        <f>ROUNDDOWN(D163*F163,-3)</f>
        <v>18000000</v>
      </c>
      <c r="H163" s="154" t="b">
        <f t="shared" si="3"/>
        <v>1</v>
      </c>
      <c r="I163" s="154"/>
      <c r="J163" s="154"/>
    </row>
    <row r="164" spans="1:10" ht="14.25">
      <c r="A164" s="7" t="s">
        <v>1423</v>
      </c>
      <c r="B164" s="124"/>
      <c r="C164" s="123" t="s">
        <v>3602</v>
      </c>
      <c r="D164" s="124">
        <v>4</v>
      </c>
      <c r="E164" s="124" t="s">
        <v>9</v>
      </c>
      <c r="F164" s="125">
        <v>1500000</v>
      </c>
      <c r="G164" s="125">
        <f>ROUNDDOWN(D164*F164,-3)</f>
        <v>6000000</v>
      </c>
      <c r="H164" s="154" t="b">
        <f t="shared" si="3"/>
        <v>1</v>
      </c>
      <c r="I164" s="154"/>
      <c r="J164" s="154"/>
    </row>
    <row r="165" spans="1:10" ht="14.25">
      <c r="A165" s="7" t="s">
        <v>1424</v>
      </c>
      <c r="B165" s="124"/>
      <c r="C165" s="123" t="s">
        <v>3588</v>
      </c>
      <c r="D165" s="124">
        <v>4</v>
      </c>
      <c r="E165" s="124" t="s">
        <v>9</v>
      </c>
      <c r="F165" s="125">
        <v>1000000</v>
      </c>
      <c r="G165" s="125">
        <f>ROUNDDOWN(D165*F165,-3)</f>
        <v>4000000</v>
      </c>
      <c r="H165" s="154" t="b">
        <f t="shared" si="3"/>
        <v>1</v>
      </c>
      <c r="I165" s="154"/>
      <c r="J165" s="154"/>
    </row>
    <row r="166" spans="1:10" ht="14.25">
      <c r="A166" s="7" t="s">
        <v>1425</v>
      </c>
      <c r="B166" s="124"/>
      <c r="C166" s="123" t="s">
        <v>3589</v>
      </c>
      <c r="D166" s="124">
        <v>4</v>
      </c>
      <c r="E166" s="124" t="s">
        <v>9</v>
      </c>
      <c r="F166" s="125">
        <v>1500000</v>
      </c>
      <c r="G166" s="125">
        <f>ROUNDDOWN(D166*F166,-3)</f>
        <v>6000000</v>
      </c>
      <c r="H166" s="154" t="b">
        <f t="shared" si="3"/>
        <v>1</v>
      </c>
      <c r="I166" s="154"/>
      <c r="J166" s="154"/>
    </row>
    <row r="167" spans="1:10" ht="14.25">
      <c r="A167" s="7" t="s">
        <v>1426</v>
      </c>
      <c r="B167" s="124"/>
      <c r="C167" s="123" t="s">
        <v>3640</v>
      </c>
      <c r="D167" s="124">
        <v>24</v>
      </c>
      <c r="E167" s="124" t="s">
        <v>176</v>
      </c>
      <c r="F167" s="125">
        <v>500000</v>
      </c>
      <c r="G167" s="125">
        <f>ROUNDDOWN(D167*F167,-3)</f>
        <v>12000000</v>
      </c>
      <c r="H167" s="154" t="b">
        <f t="shared" si="3"/>
        <v>1</v>
      </c>
      <c r="I167" s="154"/>
      <c r="J167" s="154"/>
    </row>
    <row r="168" spans="1:10" ht="14.25">
      <c r="A168" s="7" t="s">
        <v>1428</v>
      </c>
      <c r="B168" s="60">
        <v>522141</v>
      </c>
      <c r="C168" s="41" t="s">
        <v>95</v>
      </c>
      <c r="D168" s="60"/>
      <c r="E168" s="60"/>
      <c r="F168" s="42"/>
      <c r="G168" s="42">
        <f>G169</f>
        <v>6000000</v>
      </c>
      <c r="H168" s="154" t="b">
        <f t="shared" si="3"/>
        <v>1</v>
      </c>
      <c r="I168" s="154"/>
      <c r="J168" s="154"/>
    </row>
    <row r="169" spans="1:10" ht="14.25">
      <c r="A169" s="7" t="s">
        <v>1429</v>
      </c>
      <c r="B169" s="124"/>
      <c r="C169" s="123" t="s">
        <v>3641</v>
      </c>
      <c r="D169" s="124">
        <v>4</v>
      </c>
      <c r="E169" s="124" t="s">
        <v>149</v>
      </c>
      <c r="F169" s="125">
        <v>1500000</v>
      </c>
      <c r="G169" s="125">
        <f>ROUNDDOWN(D169*F169,-3)</f>
        <v>6000000</v>
      </c>
      <c r="H169" s="154" t="b">
        <f t="shared" si="3"/>
        <v>1</v>
      </c>
      <c r="I169" s="154"/>
      <c r="J169" s="154"/>
    </row>
    <row r="170" spans="1:10" ht="14.25">
      <c r="A170" s="7" t="s">
        <v>1431</v>
      </c>
      <c r="B170" s="60">
        <v>524111</v>
      </c>
      <c r="C170" s="41" t="s">
        <v>19</v>
      </c>
      <c r="D170" s="60"/>
      <c r="E170" s="60"/>
      <c r="F170" s="42"/>
      <c r="G170" s="42">
        <f>G171</f>
        <v>27000000</v>
      </c>
      <c r="H170" s="154" t="b">
        <f t="shared" si="3"/>
        <v>1</v>
      </c>
      <c r="I170" s="154"/>
      <c r="J170" s="154"/>
    </row>
    <row r="171" spans="1:10" ht="25.5">
      <c r="A171" s="7" t="s">
        <v>1432</v>
      </c>
      <c r="B171" s="124"/>
      <c r="C171" s="123" t="s">
        <v>3642</v>
      </c>
      <c r="D171" s="124">
        <v>9</v>
      </c>
      <c r="E171" s="124" t="s">
        <v>10</v>
      </c>
      <c r="F171" s="125">
        <v>3000000</v>
      </c>
      <c r="G171" s="125">
        <f>ROUNDDOWN(D171*F171,-3)</f>
        <v>27000000</v>
      </c>
      <c r="H171" s="154" t="b">
        <f t="shared" si="3"/>
        <v>1</v>
      </c>
      <c r="I171" s="154"/>
      <c r="J171" s="154"/>
    </row>
    <row r="172" spans="1:10" ht="14.25">
      <c r="A172" s="7" t="s">
        <v>1434</v>
      </c>
      <c r="B172" s="60">
        <v>524113</v>
      </c>
      <c r="C172" s="41" t="s">
        <v>13</v>
      </c>
      <c r="D172" s="60"/>
      <c r="E172" s="60"/>
      <c r="F172" s="42"/>
      <c r="G172" s="42">
        <f>G173</f>
        <v>4500000</v>
      </c>
      <c r="H172" s="154" t="b">
        <f t="shared" si="3"/>
        <v>1</v>
      </c>
      <c r="I172" s="154"/>
      <c r="J172" s="154"/>
    </row>
    <row r="173" spans="1:10" ht="14.25">
      <c r="A173" s="7" t="s">
        <v>1435</v>
      </c>
      <c r="B173" s="124"/>
      <c r="C173" s="123" t="s">
        <v>3643</v>
      </c>
      <c r="D173" s="124">
        <v>30</v>
      </c>
      <c r="E173" s="124" t="s">
        <v>10</v>
      </c>
      <c r="F173" s="125">
        <v>150000</v>
      </c>
      <c r="G173" s="125">
        <f>ROUNDDOWN(D173*F173,-3)</f>
        <v>4500000</v>
      </c>
      <c r="H173" s="154" t="b">
        <f t="shared" si="3"/>
        <v>1</v>
      </c>
      <c r="I173" s="154"/>
      <c r="J173" s="154"/>
    </row>
    <row r="174" spans="1:10" ht="14.25">
      <c r="A174" s="7" t="s">
        <v>1437</v>
      </c>
      <c r="B174" s="59" t="s">
        <v>514</v>
      </c>
      <c r="C174" s="38" t="s">
        <v>151</v>
      </c>
      <c r="D174" s="59"/>
      <c r="E174" s="59"/>
      <c r="F174" s="39"/>
      <c r="G174" s="39">
        <f>SUM(G175,G180,G182)</f>
        <v>101050000</v>
      </c>
      <c r="H174" s="154" t="b">
        <f t="shared" si="3"/>
        <v>1</v>
      </c>
      <c r="I174" s="154"/>
      <c r="J174" s="154"/>
    </row>
    <row r="175" spans="1:10" ht="14.25">
      <c r="A175" s="7" t="s">
        <v>1438</v>
      </c>
      <c r="B175" s="60">
        <v>521211</v>
      </c>
      <c r="C175" s="41" t="s">
        <v>7</v>
      </c>
      <c r="D175" s="60"/>
      <c r="E175" s="60"/>
      <c r="F175" s="42"/>
      <c r="G175" s="42">
        <f>SUM(G176:G179)</f>
        <v>28000000</v>
      </c>
      <c r="H175" s="154" t="b">
        <f t="shared" si="3"/>
        <v>1</v>
      </c>
      <c r="I175" s="154"/>
      <c r="J175" s="154"/>
    </row>
    <row r="176" spans="1:10" ht="14.25">
      <c r="A176" s="7" t="s">
        <v>1439</v>
      </c>
      <c r="B176" s="124"/>
      <c r="C176" s="123" t="s">
        <v>3595</v>
      </c>
      <c r="D176" s="124">
        <v>4</v>
      </c>
      <c r="E176" s="124" t="s">
        <v>9</v>
      </c>
      <c r="F176" s="125">
        <v>1000000</v>
      </c>
      <c r="G176" s="125">
        <f>ROUNDDOWN(D176*F176,-3)</f>
        <v>4000000</v>
      </c>
      <c r="H176" s="154" t="b">
        <f t="shared" si="3"/>
        <v>1</v>
      </c>
      <c r="I176" s="154"/>
      <c r="J176" s="154"/>
    </row>
    <row r="177" spans="1:10" ht="14.25">
      <c r="A177" s="7" t="s">
        <v>1440</v>
      </c>
      <c r="B177" s="124"/>
      <c r="C177" s="123" t="s">
        <v>3596</v>
      </c>
      <c r="D177" s="124">
        <v>4</v>
      </c>
      <c r="E177" s="124" t="s">
        <v>9</v>
      </c>
      <c r="F177" s="125">
        <v>1500000</v>
      </c>
      <c r="G177" s="125">
        <f>ROUNDDOWN(D177*F177,-3)</f>
        <v>6000000</v>
      </c>
      <c r="H177" s="154" t="b">
        <f t="shared" si="3"/>
        <v>1</v>
      </c>
      <c r="I177" s="154"/>
      <c r="J177" s="154"/>
    </row>
    <row r="178" spans="1:10" ht="14.25">
      <c r="A178" s="7" t="s">
        <v>1441</v>
      </c>
      <c r="B178" s="124"/>
      <c r="C178" s="123" t="s">
        <v>3597</v>
      </c>
      <c r="D178" s="124">
        <v>4</v>
      </c>
      <c r="E178" s="124" t="s">
        <v>9</v>
      </c>
      <c r="F178" s="125">
        <v>1500000</v>
      </c>
      <c r="G178" s="125">
        <f>ROUNDDOWN(D178*F178,-3)</f>
        <v>6000000</v>
      </c>
      <c r="H178" s="154" t="b">
        <f t="shared" si="3"/>
        <v>1</v>
      </c>
      <c r="I178" s="154"/>
      <c r="J178" s="154"/>
    </row>
    <row r="179" spans="1:10" ht="14.25">
      <c r="A179" s="7" t="s">
        <v>1442</v>
      </c>
      <c r="B179" s="124"/>
      <c r="C179" s="123" t="s">
        <v>3644</v>
      </c>
      <c r="D179" s="124">
        <v>24</v>
      </c>
      <c r="E179" s="124" t="s">
        <v>176</v>
      </c>
      <c r="F179" s="125">
        <v>500000</v>
      </c>
      <c r="G179" s="125">
        <f>ROUNDDOWN(D179*F179,-3)</f>
        <v>12000000</v>
      </c>
      <c r="H179" s="154" t="b">
        <f t="shared" si="3"/>
        <v>1</v>
      </c>
      <c r="I179" s="154"/>
      <c r="J179" s="154"/>
    </row>
    <row r="180" spans="1:10" ht="14.25">
      <c r="A180" s="7" t="s">
        <v>1443</v>
      </c>
      <c r="B180" s="60">
        <v>524111</v>
      </c>
      <c r="C180" s="41" t="s">
        <v>19</v>
      </c>
      <c r="D180" s="60"/>
      <c r="E180" s="60"/>
      <c r="F180" s="42"/>
      <c r="G180" s="42">
        <f>G181</f>
        <v>71250000</v>
      </c>
      <c r="H180" s="154" t="b">
        <f t="shared" si="3"/>
        <v>1</v>
      </c>
      <c r="I180" s="154"/>
      <c r="J180" s="154"/>
    </row>
    <row r="181" spans="1:10" ht="14.25">
      <c r="A181" s="7" t="s">
        <v>1444</v>
      </c>
      <c r="B181" s="124"/>
      <c r="C181" s="123" t="s">
        <v>3645</v>
      </c>
      <c r="D181" s="124">
        <v>15</v>
      </c>
      <c r="E181" s="124" t="s">
        <v>10</v>
      </c>
      <c r="F181" s="125">
        <v>4750000</v>
      </c>
      <c r="G181" s="125">
        <f>ROUNDDOWN(D181*F181,-3)</f>
        <v>71250000</v>
      </c>
      <c r="H181" s="154" t="b">
        <f t="shared" si="3"/>
        <v>1</v>
      </c>
      <c r="I181" s="154"/>
      <c r="J181" s="154"/>
    </row>
    <row r="182" spans="1:10" ht="14.25">
      <c r="A182" s="7" t="s">
        <v>1446</v>
      </c>
      <c r="B182" s="60">
        <v>524113</v>
      </c>
      <c r="C182" s="41" t="s">
        <v>13</v>
      </c>
      <c r="D182" s="60"/>
      <c r="E182" s="60"/>
      <c r="F182" s="42"/>
      <c r="G182" s="42">
        <f>G183</f>
        <v>1800000</v>
      </c>
      <c r="H182" s="154" t="b">
        <f t="shared" si="3"/>
        <v>1</v>
      </c>
      <c r="I182" s="154"/>
      <c r="J182" s="154"/>
    </row>
    <row r="183" spans="1:10" ht="14.25">
      <c r="A183" s="7" t="s">
        <v>1447</v>
      </c>
      <c r="B183" s="124"/>
      <c r="C183" s="123" t="s">
        <v>3643</v>
      </c>
      <c r="D183" s="124">
        <v>12</v>
      </c>
      <c r="E183" s="124" t="s">
        <v>10</v>
      </c>
      <c r="F183" s="125">
        <v>150000</v>
      </c>
      <c r="G183" s="125">
        <f>ROUNDDOWN(D183*F183,-3)</f>
        <v>1800000</v>
      </c>
      <c r="H183" s="154" t="b">
        <f t="shared" si="3"/>
        <v>1</v>
      </c>
      <c r="I183" s="154"/>
      <c r="J183" s="154"/>
    </row>
    <row r="184" spans="1:10" ht="14.25">
      <c r="A184" s="7" t="s">
        <v>1448</v>
      </c>
      <c r="B184" s="59" t="s">
        <v>519</v>
      </c>
      <c r="C184" s="38" t="s">
        <v>152</v>
      </c>
      <c r="D184" s="59"/>
      <c r="E184" s="59"/>
      <c r="F184" s="39"/>
      <c r="G184" s="39">
        <f>SUM(G185,G190,G194,G196,G198)</f>
        <v>388472000</v>
      </c>
      <c r="H184" s="154" t="b">
        <f t="shared" si="3"/>
        <v>1</v>
      </c>
      <c r="I184" s="154"/>
      <c r="J184" s="154"/>
    </row>
    <row r="185" spans="1:10" ht="14.25">
      <c r="A185" s="7" t="s">
        <v>1449</v>
      </c>
      <c r="B185" s="60">
        <v>521211</v>
      </c>
      <c r="C185" s="41" t="s">
        <v>7</v>
      </c>
      <c r="D185" s="60"/>
      <c r="E185" s="60"/>
      <c r="F185" s="42"/>
      <c r="G185" s="42">
        <f>SUM(G186:G189)</f>
        <v>46000000</v>
      </c>
      <c r="H185" s="154" t="b">
        <f t="shared" si="3"/>
        <v>1</v>
      </c>
      <c r="I185" s="154"/>
      <c r="J185" s="154"/>
    </row>
    <row r="186" spans="1:10" ht="14.25">
      <c r="A186" s="7" t="s">
        <v>1450</v>
      </c>
      <c r="B186" s="124"/>
      <c r="C186" s="123" t="s">
        <v>3587</v>
      </c>
      <c r="D186" s="124">
        <v>4</v>
      </c>
      <c r="E186" s="124" t="s">
        <v>9</v>
      </c>
      <c r="F186" s="125">
        <v>1500000</v>
      </c>
      <c r="G186" s="125">
        <f>ROUNDDOWN(D186*F186,-3)</f>
        <v>6000000</v>
      </c>
      <c r="H186" s="154" t="b">
        <f t="shared" si="3"/>
        <v>1</v>
      </c>
      <c r="I186" s="154"/>
      <c r="J186" s="154"/>
    </row>
    <row r="187" spans="1:10" ht="14.25">
      <c r="A187" s="7" t="s">
        <v>1451</v>
      </c>
      <c r="B187" s="124"/>
      <c r="C187" s="123" t="s">
        <v>3598</v>
      </c>
      <c r="D187" s="124">
        <v>4</v>
      </c>
      <c r="E187" s="124" t="s">
        <v>9</v>
      </c>
      <c r="F187" s="125">
        <v>1000000</v>
      </c>
      <c r="G187" s="125">
        <f>ROUNDDOWN(D187*F187,-3)</f>
        <v>4000000</v>
      </c>
      <c r="H187" s="154" t="b">
        <f t="shared" si="3"/>
        <v>1</v>
      </c>
      <c r="I187" s="154"/>
      <c r="J187" s="154"/>
    </row>
    <row r="188" spans="1:10" ht="14.25">
      <c r="A188" s="7" t="s">
        <v>1452</v>
      </c>
      <c r="B188" s="124"/>
      <c r="C188" s="123" t="s">
        <v>3599</v>
      </c>
      <c r="D188" s="124">
        <v>4</v>
      </c>
      <c r="E188" s="124" t="s">
        <v>9</v>
      </c>
      <c r="F188" s="125">
        <v>1500000</v>
      </c>
      <c r="G188" s="125">
        <f>ROUNDDOWN(D188*F188,-3)</f>
        <v>6000000</v>
      </c>
      <c r="H188" s="154" t="b">
        <f t="shared" si="3"/>
        <v>1</v>
      </c>
      <c r="I188" s="154"/>
      <c r="J188" s="154"/>
    </row>
    <row r="189" spans="1:10" ht="14.25">
      <c r="A189" s="7" t="s">
        <v>1453</v>
      </c>
      <c r="B189" s="124"/>
      <c r="C189" s="123" t="s">
        <v>3646</v>
      </c>
      <c r="D189" s="124">
        <v>60</v>
      </c>
      <c r="E189" s="124" t="s">
        <v>176</v>
      </c>
      <c r="F189" s="125">
        <v>500000</v>
      </c>
      <c r="G189" s="125">
        <f>ROUNDDOWN(D189*F189,-3)</f>
        <v>30000000</v>
      </c>
      <c r="H189" s="154" t="b">
        <f t="shared" si="3"/>
        <v>1</v>
      </c>
      <c r="I189" s="154"/>
      <c r="J189" s="154"/>
    </row>
    <row r="190" spans="1:10" ht="14.25">
      <c r="A190" s="7" t="s">
        <v>1455</v>
      </c>
      <c r="B190" s="60">
        <v>521241</v>
      </c>
      <c r="C190" s="41" t="s">
        <v>642</v>
      </c>
      <c r="D190" s="60"/>
      <c r="E190" s="60"/>
      <c r="F190" s="42"/>
      <c r="G190" s="42">
        <f>SUM(G191:G193)</f>
        <v>249600000</v>
      </c>
      <c r="H190" s="154" t="b">
        <f t="shared" si="3"/>
        <v>1</v>
      </c>
      <c r="I190" s="154"/>
      <c r="J190" s="154"/>
    </row>
    <row r="191" spans="1:10" ht="14.25">
      <c r="A191" s="7" t="s">
        <v>1456</v>
      </c>
      <c r="B191" s="124"/>
      <c r="C191" s="123" t="s">
        <v>3647</v>
      </c>
      <c r="D191" s="124">
        <v>720</v>
      </c>
      <c r="E191" s="124" t="s">
        <v>32</v>
      </c>
      <c r="F191" s="125">
        <v>200000</v>
      </c>
      <c r="G191" s="125">
        <f>ROUNDDOWN(D191*F191,-3)</f>
        <v>144000000</v>
      </c>
      <c r="H191" s="154" t="b">
        <f t="shared" si="3"/>
        <v>1</v>
      </c>
      <c r="I191" s="154"/>
      <c r="J191" s="154"/>
    </row>
    <row r="192" spans="1:10" ht="14.25">
      <c r="A192" s="7" t="s">
        <v>1458</v>
      </c>
      <c r="B192" s="124"/>
      <c r="C192" s="123" t="s">
        <v>3648</v>
      </c>
      <c r="D192" s="124">
        <v>360</v>
      </c>
      <c r="E192" s="124" t="s">
        <v>776</v>
      </c>
      <c r="F192" s="125">
        <v>280000</v>
      </c>
      <c r="G192" s="125">
        <f>ROUNDDOWN(D192*F192,-3)</f>
        <v>100800000</v>
      </c>
      <c r="H192" s="154" t="b">
        <f t="shared" si="3"/>
        <v>1</v>
      </c>
      <c r="I192" s="154"/>
      <c r="J192" s="154"/>
    </row>
    <row r="193" spans="1:10" ht="14.25">
      <c r="A193" s="7" t="s">
        <v>1460</v>
      </c>
      <c r="B193" s="124"/>
      <c r="C193" s="123" t="s">
        <v>3649</v>
      </c>
      <c r="D193" s="124">
        <v>12</v>
      </c>
      <c r="E193" s="124" t="s">
        <v>32</v>
      </c>
      <c r="F193" s="125">
        <v>400000</v>
      </c>
      <c r="G193" s="125">
        <f>ROUNDDOWN(D193*F193,-3)</f>
        <v>4800000</v>
      </c>
      <c r="H193" s="154" t="b">
        <f t="shared" si="3"/>
        <v>1</v>
      </c>
      <c r="I193" s="154"/>
      <c r="J193" s="154"/>
    </row>
    <row r="194" spans="1:10" ht="14.25">
      <c r="A194" s="7" t="s">
        <v>1462</v>
      </c>
      <c r="B194" s="60">
        <v>522192</v>
      </c>
      <c r="C194" s="41" t="s">
        <v>24</v>
      </c>
      <c r="D194" s="60"/>
      <c r="E194" s="60"/>
      <c r="F194" s="42"/>
      <c r="G194" s="42">
        <f>G195</f>
        <v>48000000</v>
      </c>
      <c r="H194" s="154" t="b">
        <f t="shared" si="3"/>
        <v>1</v>
      </c>
      <c r="I194" s="154"/>
      <c r="J194" s="154"/>
    </row>
    <row r="195" spans="1:10" ht="14.25">
      <c r="A195" s="7" t="s">
        <v>1463</v>
      </c>
      <c r="B195" s="124"/>
      <c r="C195" s="123" t="s">
        <v>3636</v>
      </c>
      <c r="D195" s="124">
        <v>480</v>
      </c>
      <c r="E195" s="124" t="s">
        <v>25</v>
      </c>
      <c r="F195" s="125">
        <v>100000</v>
      </c>
      <c r="G195" s="125">
        <f>ROUNDDOWN(D195*F195,-3)</f>
        <v>48000000</v>
      </c>
      <c r="H195" s="154" t="b">
        <f t="shared" si="3"/>
        <v>1</v>
      </c>
      <c r="I195" s="154"/>
      <c r="J195" s="154"/>
    </row>
    <row r="196" spans="1:10" ht="14.25">
      <c r="A196" s="7" t="s">
        <v>1464</v>
      </c>
      <c r="B196" s="60">
        <v>524111</v>
      </c>
      <c r="C196" s="41" t="s">
        <v>19</v>
      </c>
      <c r="D196" s="60"/>
      <c r="E196" s="60"/>
      <c r="F196" s="42"/>
      <c r="G196" s="42">
        <f>G197</f>
        <v>42772000</v>
      </c>
      <c r="H196" s="154" t="b">
        <f t="shared" si="3"/>
        <v>1</v>
      </c>
      <c r="I196" s="154"/>
      <c r="J196" s="154"/>
    </row>
    <row r="197" spans="1:10" ht="14.25">
      <c r="A197" s="7" t="s">
        <v>1465</v>
      </c>
      <c r="B197" s="124"/>
      <c r="C197" s="123" t="s">
        <v>3650</v>
      </c>
      <c r="D197" s="124">
        <v>10</v>
      </c>
      <c r="E197" s="124" t="s">
        <v>10</v>
      </c>
      <c r="F197" s="125">
        <v>4277200</v>
      </c>
      <c r="G197" s="125">
        <f>ROUNDDOWN(D197*F197,-3)</f>
        <v>42772000</v>
      </c>
      <c r="H197" s="154" t="b">
        <f t="shared" si="3"/>
        <v>1</v>
      </c>
      <c r="I197" s="154"/>
      <c r="J197" s="154"/>
    </row>
    <row r="198" spans="1:10" ht="14.25">
      <c r="A198" s="7" t="s">
        <v>1467</v>
      </c>
      <c r="B198" s="60">
        <v>524113</v>
      </c>
      <c r="C198" s="41" t="s">
        <v>13</v>
      </c>
      <c r="D198" s="60"/>
      <c r="E198" s="60"/>
      <c r="F198" s="42"/>
      <c r="G198" s="42">
        <f>G199</f>
        <v>2100000</v>
      </c>
      <c r="H198" s="154" t="b">
        <f t="shared" si="3"/>
        <v>1</v>
      </c>
      <c r="I198" s="154"/>
      <c r="J198" s="154"/>
    </row>
    <row r="199" spans="1:10" ht="14.25">
      <c r="A199" s="7" t="s">
        <v>1468</v>
      </c>
      <c r="B199" s="124"/>
      <c r="C199" s="123" t="s">
        <v>3643</v>
      </c>
      <c r="D199" s="124">
        <v>14</v>
      </c>
      <c r="E199" s="124" t="s">
        <v>10</v>
      </c>
      <c r="F199" s="125">
        <v>150000</v>
      </c>
      <c r="G199" s="125">
        <f>ROUNDDOWN(D199*F199,-3)</f>
        <v>2100000</v>
      </c>
      <c r="H199" s="154" t="b">
        <f t="shared" si="3"/>
        <v>1</v>
      </c>
      <c r="I199" s="154"/>
      <c r="J199" s="154"/>
    </row>
    <row r="200" spans="1:10" ht="14.25">
      <c r="A200" s="7" t="s">
        <v>1469</v>
      </c>
      <c r="B200" s="59" t="s">
        <v>578</v>
      </c>
      <c r="C200" s="38" t="s">
        <v>154</v>
      </c>
      <c r="D200" s="59"/>
      <c r="E200" s="59"/>
      <c r="F200" s="39"/>
      <c r="G200" s="39">
        <f>SUM(G201,G205,G210,G212,G214)</f>
        <v>450000000</v>
      </c>
      <c r="H200" s="154" t="b">
        <f t="shared" si="3"/>
        <v>1</v>
      </c>
      <c r="I200" s="154"/>
      <c r="J200" s="154"/>
    </row>
    <row r="201" spans="1:10" ht="14.25">
      <c r="A201" s="7" t="s">
        <v>1470</v>
      </c>
      <c r="B201" s="60">
        <v>521211</v>
      </c>
      <c r="C201" s="41" t="s">
        <v>7</v>
      </c>
      <c r="D201" s="60"/>
      <c r="E201" s="60"/>
      <c r="F201" s="42"/>
      <c r="G201" s="42">
        <f>SUM(G202:G204)</f>
        <v>32000000</v>
      </c>
      <c r="H201" s="154" t="b">
        <f t="shared" si="3"/>
        <v>1</v>
      </c>
      <c r="I201" s="154"/>
      <c r="J201" s="154"/>
    </row>
    <row r="202" spans="1:10" ht="14.25">
      <c r="A202" s="7" t="s">
        <v>1471</v>
      </c>
      <c r="B202" s="124"/>
      <c r="C202" s="123" t="s">
        <v>3587</v>
      </c>
      <c r="D202" s="124">
        <v>8</v>
      </c>
      <c r="E202" s="124" t="s">
        <v>9</v>
      </c>
      <c r="F202" s="125">
        <v>1500000</v>
      </c>
      <c r="G202" s="125">
        <f>ROUNDDOWN(D202*F202,-3)</f>
        <v>12000000</v>
      </c>
      <c r="H202" s="154" t="b">
        <f t="shared" si="3"/>
        <v>1</v>
      </c>
      <c r="I202" s="154"/>
      <c r="J202" s="154"/>
    </row>
    <row r="203" spans="1:10" ht="14.25">
      <c r="A203" s="7" t="s">
        <v>1472</v>
      </c>
      <c r="B203" s="124"/>
      <c r="C203" s="123" t="s">
        <v>3598</v>
      </c>
      <c r="D203" s="124">
        <v>8</v>
      </c>
      <c r="E203" s="124" t="s">
        <v>9</v>
      </c>
      <c r="F203" s="125">
        <v>1000000</v>
      </c>
      <c r="G203" s="125">
        <f>ROUNDDOWN(D203*F203,-3)</f>
        <v>8000000</v>
      </c>
      <c r="H203" s="154" t="b">
        <f t="shared" si="3"/>
        <v>1</v>
      </c>
      <c r="I203" s="154"/>
      <c r="J203" s="154"/>
    </row>
    <row r="204" spans="1:10" ht="14.25">
      <c r="A204" s="7" t="s">
        <v>1473</v>
      </c>
      <c r="B204" s="124"/>
      <c r="C204" s="123" t="s">
        <v>3599</v>
      </c>
      <c r="D204" s="124">
        <v>8</v>
      </c>
      <c r="E204" s="124" t="s">
        <v>9</v>
      </c>
      <c r="F204" s="125">
        <v>1500000</v>
      </c>
      <c r="G204" s="125">
        <f>ROUNDDOWN(D204*F204,-3)</f>
        <v>12000000</v>
      </c>
      <c r="H204" s="154" t="b">
        <f t="shared" si="3"/>
        <v>1</v>
      </c>
      <c r="I204" s="154"/>
      <c r="J204" s="154"/>
    </row>
    <row r="205" spans="1:10" ht="14.25">
      <c r="A205" s="7" t="s">
        <v>1474</v>
      </c>
      <c r="B205" s="60">
        <v>521219</v>
      </c>
      <c r="C205" s="41" t="s">
        <v>53</v>
      </c>
      <c r="D205" s="60"/>
      <c r="E205" s="60"/>
      <c r="F205" s="42"/>
      <c r="G205" s="42">
        <f>SUM(G206:G209)</f>
        <v>298141000</v>
      </c>
      <c r="H205" s="154" t="b">
        <f t="shared" si="3"/>
        <v>1</v>
      </c>
      <c r="I205" s="154"/>
      <c r="J205" s="154"/>
    </row>
    <row r="206" spans="1:10" ht="14.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c r="A207" s="7" t="s">
        <v>1477</v>
      </c>
      <c r="B207" s="124"/>
      <c r="C207" s="123" t="s">
        <v>3652</v>
      </c>
      <c r="D207" s="124">
        <v>30</v>
      </c>
      <c r="E207" s="124" t="s">
        <v>776</v>
      </c>
      <c r="F207" s="125">
        <v>8000000</v>
      </c>
      <c r="G207" s="125">
        <f>ROUNDDOWN(D207*F207,-3)</f>
        <v>240000000</v>
      </c>
      <c r="H207" s="154" t="b">
        <f t="shared" si="4"/>
        <v>1</v>
      </c>
      <c r="I207" s="154"/>
      <c r="J207" s="154"/>
    </row>
    <row r="208" spans="1:10" ht="14.25">
      <c r="A208" s="7" t="s">
        <v>1479</v>
      </c>
      <c r="B208" s="124"/>
      <c r="C208" s="123" t="s">
        <v>3653</v>
      </c>
      <c r="D208" s="124">
        <v>400</v>
      </c>
      <c r="E208" s="124" t="s">
        <v>10</v>
      </c>
      <c r="F208" s="125">
        <v>15000</v>
      </c>
      <c r="G208" s="125">
        <f>ROUNDDOWN(D208*F208,-3)</f>
        <v>6000000</v>
      </c>
      <c r="H208" s="154" t="b">
        <f t="shared" si="4"/>
        <v>1</v>
      </c>
      <c r="I208" s="154"/>
      <c r="J208" s="154"/>
    </row>
    <row r="209" spans="1:10" ht="14.25">
      <c r="A209" s="7" t="s">
        <v>1481</v>
      </c>
      <c r="B209" s="124"/>
      <c r="C209" s="123" t="s">
        <v>3654</v>
      </c>
      <c r="D209" s="124">
        <v>1</v>
      </c>
      <c r="E209" s="124" t="s">
        <v>60</v>
      </c>
      <c r="F209" s="125">
        <v>12141000</v>
      </c>
      <c r="G209" s="125">
        <f>ROUNDDOWN(D209*F209,-3)</f>
        <v>12141000</v>
      </c>
      <c r="H209" s="154" t="b">
        <f t="shared" si="4"/>
        <v>1</v>
      </c>
      <c r="I209" s="154"/>
      <c r="J209" s="154"/>
    </row>
    <row r="210" spans="1:10" ht="14.25">
      <c r="A210" s="7" t="s">
        <v>1483</v>
      </c>
      <c r="B210" s="60">
        <v>522151</v>
      </c>
      <c r="C210" s="41" t="s">
        <v>11</v>
      </c>
      <c r="D210" s="60"/>
      <c r="E210" s="60"/>
      <c r="F210" s="42"/>
      <c r="G210" s="42">
        <f>G211</f>
        <v>30000000</v>
      </c>
      <c r="H210" s="154" t="b">
        <f t="shared" si="4"/>
        <v>1</v>
      </c>
      <c r="I210" s="154"/>
      <c r="J210" s="154"/>
    </row>
    <row r="211" spans="1:10" ht="14.25">
      <c r="A211" s="7" t="s">
        <v>1484</v>
      </c>
      <c r="B211" s="124"/>
      <c r="C211" s="123" t="s">
        <v>3603</v>
      </c>
      <c r="D211" s="124">
        <v>30</v>
      </c>
      <c r="E211" s="124" t="s">
        <v>54</v>
      </c>
      <c r="F211" s="125">
        <v>1000000</v>
      </c>
      <c r="G211" s="125">
        <f>ROUNDDOWN(D211*F211,-3)</f>
        <v>30000000</v>
      </c>
      <c r="H211" s="154" t="b">
        <f t="shared" si="4"/>
        <v>1</v>
      </c>
      <c r="I211" s="154"/>
      <c r="J211" s="154"/>
    </row>
    <row r="212" spans="1:10" ht="14.25">
      <c r="A212" s="7" t="s">
        <v>1485</v>
      </c>
      <c r="B212" s="60">
        <v>522192</v>
      </c>
      <c r="C212" s="41" t="s">
        <v>24</v>
      </c>
      <c r="D212" s="60"/>
      <c r="E212" s="60"/>
      <c r="F212" s="42"/>
      <c r="G212" s="42">
        <f>G213</f>
        <v>8000000</v>
      </c>
      <c r="H212" s="154" t="b">
        <f t="shared" si="4"/>
        <v>1</v>
      </c>
      <c r="I212" s="154"/>
      <c r="J212" s="154"/>
    </row>
    <row r="213" spans="1:10" ht="14.25">
      <c r="A213" s="7" t="s">
        <v>1486</v>
      </c>
      <c r="B213" s="124"/>
      <c r="C213" s="123" t="s">
        <v>3623</v>
      </c>
      <c r="D213" s="124">
        <v>1</v>
      </c>
      <c r="E213" s="124" t="s">
        <v>60</v>
      </c>
      <c r="F213" s="125">
        <v>8000000</v>
      </c>
      <c r="G213" s="125">
        <f>ROUNDDOWN(D213*F213,-3)</f>
        <v>8000000</v>
      </c>
      <c r="H213" s="154" t="b">
        <f t="shared" si="4"/>
        <v>1</v>
      </c>
      <c r="I213" s="154"/>
      <c r="J213" s="154"/>
    </row>
    <row r="214" spans="1:10" ht="14.25">
      <c r="A214" s="7" t="s">
        <v>1487</v>
      </c>
      <c r="B214" s="60">
        <v>524111</v>
      </c>
      <c r="C214" s="41" t="s">
        <v>19</v>
      </c>
      <c r="D214" s="60"/>
      <c r="E214" s="60"/>
      <c r="F214" s="42"/>
      <c r="G214" s="42">
        <f>G215</f>
        <v>81859000</v>
      </c>
      <c r="H214" s="154" t="b">
        <f t="shared" si="4"/>
        <v>1</v>
      </c>
      <c r="I214" s="154"/>
      <c r="J214" s="154"/>
    </row>
    <row r="215" spans="1:10" ht="14.25">
      <c r="A215" s="7" t="s">
        <v>1488</v>
      </c>
      <c r="B215" s="124"/>
      <c r="C215" s="123" t="s">
        <v>3655</v>
      </c>
      <c r="D215" s="124">
        <v>32</v>
      </c>
      <c r="E215" s="124" t="s">
        <v>10</v>
      </c>
      <c r="F215" s="125">
        <v>2558095</v>
      </c>
      <c r="G215" s="125">
        <f>ROUNDDOWN(D215*F215,-3)</f>
        <v>81859000</v>
      </c>
      <c r="H215" s="154" t="b">
        <f t="shared" si="4"/>
        <v>1</v>
      </c>
      <c r="I215" s="154"/>
      <c r="J215" s="154"/>
    </row>
    <row r="216" spans="1:10" ht="14.25">
      <c r="A216" s="7" t="s">
        <v>1490</v>
      </c>
      <c r="B216" s="59" t="s">
        <v>579</v>
      </c>
      <c r="C216" s="38" t="s">
        <v>56</v>
      </c>
      <c r="D216" s="59"/>
      <c r="E216" s="59"/>
      <c r="F216" s="39"/>
      <c r="G216" s="39">
        <f>SUM(G217,G222,G224,G226)</f>
        <v>350000000</v>
      </c>
      <c r="H216" s="154" t="b">
        <f t="shared" si="4"/>
        <v>1</v>
      </c>
      <c r="I216" s="154"/>
      <c r="J216" s="154"/>
    </row>
    <row r="217" spans="1:10" ht="14.25">
      <c r="A217" s="7" t="s">
        <v>1491</v>
      </c>
      <c r="B217" s="60">
        <v>521211</v>
      </c>
      <c r="C217" s="41" t="s">
        <v>7</v>
      </c>
      <c r="D217" s="60"/>
      <c r="E217" s="60"/>
      <c r="F217" s="42"/>
      <c r="G217" s="42">
        <f>SUM(G218:G221)</f>
        <v>31000000</v>
      </c>
      <c r="H217" s="154" t="b">
        <f t="shared" si="4"/>
        <v>1</v>
      </c>
      <c r="I217" s="154"/>
      <c r="J217" s="154"/>
    </row>
    <row r="218" spans="1:10" ht="14.25">
      <c r="A218" s="7" t="s">
        <v>1492</v>
      </c>
      <c r="B218" s="124"/>
      <c r="C218" s="123" t="s">
        <v>3601</v>
      </c>
      <c r="D218" s="124">
        <v>300</v>
      </c>
      <c r="E218" s="124" t="s">
        <v>10</v>
      </c>
      <c r="F218" s="125">
        <v>75000</v>
      </c>
      <c r="G218" s="125">
        <f>ROUNDDOWN(D218*F218,-3)</f>
        <v>22500000</v>
      </c>
      <c r="H218" s="154" t="b">
        <f t="shared" si="4"/>
        <v>1</v>
      </c>
      <c r="I218" s="154"/>
      <c r="J218" s="154"/>
    </row>
    <row r="219" spans="1:10" ht="14.25">
      <c r="A219" s="7" t="s">
        <v>1493</v>
      </c>
      <c r="B219" s="124"/>
      <c r="C219" s="123" t="s">
        <v>3602</v>
      </c>
      <c r="D219" s="124">
        <v>1</v>
      </c>
      <c r="E219" s="124" t="s">
        <v>9</v>
      </c>
      <c r="F219" s="125">
        <v>1000000</v>
      </c>
      <c r="G219" s="125">
        <f>ROUNDDOWN(D219*F219,-3)</f>
        <v>1000000</v>
      </c>
      <c r="H219" s="154" t="b">
        <f t="shared" si="4"/>
        <v>1</v>
      </c>
      <c r="I219" s="154"/>
      <c r="J219" s="154"/>
    </row>
    <row r="220" spans="1:10" ht="14.25">
      <c r="A220" s="7" t="s">
        <v>1494</v>
      </c>
      <c r="B220" s="124"/>
      <c r="C220" s="123" t="s">
        <v>3588</v>
      </c>
      <c r="D220" s="124">
        <v>3</v>
      </c>
      <c r="E220" s="124" t="s">
        <v>9</v>
      </c>
      <c r="F220" s="125">
        <v>1000000</v>
      </c>
      <c r="G220" s="125">
        <f>ROUNDDOWN(D220*F220,-3)</f>
        <v>3000000</v>
      </c>
      <c r="H220" s="154" t="b">
        <f t="shared" si="4"/>
        <v>1</v>
      </c>
      <c r="I220" s="154"/>
      <c r="J220" s="154"/>
    </row>
    <row r="221" spans="1:10" ht="14.25">
      <c r="A221" s="7" t="s">
        <v>1495</v>
      </c>
      <c r="B221" s="124"/>
      <c r="C221" s="123" t="s">
        <v>3589</v>
      </c>
      <c r="D221" s="124">
        <v>3</v>
      </c>
      <c r="E221" s="124" t="s">
        <v>9</v>
      </c>
      <c r="F221" s="125">
        <v>1500000</v>
      </c>
      <c r="G221" s="125">
        <f>ROUNDDOWN(D221*F221,-3)</f>
        <v>4500000</v>
      </c>
      <c r="H221" s="154" t="b">
        <f t="shared" si="4"/>
        <v>1</v>
      </c>
      <c r="I221" s="154"/>
      <c r="J221" s="154"/>
    </row>
    <row r="222" spans="1:10" ht="14.25">
      <c r="A222" s="7" t="s">
        <v>1496</v>
      </c>
      <c r="B222" s="60">
        <v>521219</v>
      </c>
      <c r="C222" s="41" t="s">
        <v>53</v>
      </c>
      <c r="D222" s="60"/>
      <c r="E222" s="60"/>
      <c r="F222" s="42"/>
      <c r="G222" s="42">
        <f>G223</f>
        <v>3000000</v>
      </c>
      <c r="H222" s="154" t="b">
        <f t="shared" si="4"/>
        <v>1</v>
      </c>
      <c r="I222" s="154"/>
      <c r="J222" s="154"/>
    </row>
    <row r="223" spans="1:10" ht="14.25">
      <c r="A223" s="7" t="s">
        <v>1497</v>
      </c>
      <c r="B223" s="124"/>
      <c r="C223" s="123" t="s">
        <v>3610</v>
      </c>
      <c r="D223" s="124">
        <v>12</v>
      </c>
      <c r="E223" s="124" t="s">
        <v>78</v>
      </c>
      <c r="F223" s="125">
        <v>250000</v>
      </c>
      <c r="G223" s="125">
        <f>ROUNDDOWN(D223*F223,-3)</f>
        <v>3000000</v>
      </c>
      <c r="H223" s="154" t="b">
        <f t="shared" si="4"/>
        <v>1</v>
      </c>
      <c r="I223" s="154"/>
      <c r="J223" s="154"/>
    </row>
    <row r="224" spans="1:10" ht="14.25">
      <c r="A224" s="7" t="s">
        <v>1498</v>
      </c>
      <c r="B224" s="60">
        <v>522151</v>
      </c>
      <c r="C224" s="41" t="s">
        <v>11</v>
      </c>
      <c r="D224" s="60"/>
      <c r="E224" s="60"/>
      <c r="F224" s="42"/>
      <c r="G224" s="42">
        <f>G225</f>
        <v>70000000</v>
      </c>
      <c r="H224" s="154" t="b">
        <f t="shared" si="4"/>
        <v>1</v>
      </c>
      <c r="I224" s="154"/>
      <c r="J224" s="154"/>
    </row>
    <row r="225" spans="1:10" ht="14.25">
      <c r="A225" s="7" t="s">
        <v>1499</v>
      </c>
      <c r="B225" s="124"/>
      <c r="C225" s="123" t="s">
        <v>3656</v>
      </c>
      <c r="D225" s="124">
        <v>70</v>
      </c>
      <c r="E225" s="124" t="s">
        <v>12</v>
      </c>
      <c r="F225" s="125">
        <v>1000000</v>
      </c>
      <c r="G225" s="125">
        <f>ROUNDDOWN(D225*F225,-3)</f>
        <v>70000000</v>
      </c>
      <c r="H225" s="154" t="b">
        <f t="shared" si="4"/>
        <v>1</v>
      </c>
      <c r="I225" s="154"/>
      <c r="J225" s="154"/>
    </row>
    <row r="226" spans="1:10" ht="14.25">
      <c r="A226" s="7" t="s">
        <v>1501</v>
      </c>
      <c r="B226" s="60">
        <v>524111</v>
      </c>
      <c r="C226" s="41" t="s">
        <v>19</v>
      </c>
      <c r="D226" s="60"/>
      <c r="E226" s="60"/>
      <c r="F226" s="42"/>
      <c r="G226" s="42">
        <f>G227</f>
        <v>246000000</v>
      </c>
      <c r="H226" s="154" t="b">
        <f t="shared" si="4"/>
        <v>1</v>
      </c>
      <c r="I226" s="154"/>
      <c r="J226" s="154"/>
    </row>
    <row r="227" spans="1:10" ht="14.25">
      <c r="A227" s="7" t="s">
        <v>1502</v>
      </c>
      <c r="B227" s="124"/>
      <c r="C227" s="123" t="s">
        <v>3657</v>
      </c>
      <c r="D227" s="124">
        <v>39</v>
      </c>
      <c r="E227" s="124" t="s">
        <v>10</v>
      </c>
      <c r="F227" s="125">
        <v>6307694</v>
      </c>
      <c r="G227" s="125">
        <f>ROUNDDOWN(D227*F227,-3)</f>
        <v>246000000</v>
      </c>
      <c r="H227" s="154" t="b">
        <f t="shared" si="4"/>
        <v>1</v>
      </c>
      <c r="I227" s="154"/>
      <c r="J227" s="154"/>
    </row>
    <row r="228" spans="1:10" ht="14.25">
      <c r="A228" s="7" t="s">
        <v>1504</v>
      </c>
      <c r="B228" s="59" t="s">
        <v>580</v>
      </c>
      <c r="C228" s="38" t="s">
        <v>1505</v>
      </c>
      <c r="D228" s="59"/>
      <c r="E228" s="59"/>
      <c r="F228" s="39"/>
      <c r="G228" s="39">
        <f>SUM(G229,G239,G242,G246)</f>
        <v>668000000</v>
      </c>
      <c r="H228" s="154" t="b">
        <f t="shared" si="4"/>
        <v>1</v>
      </c>
      <c r="I228" s="154"/>
      <c r="J228" s="154"/>
    </row>
    <row r="229" spans="1:10" ht="14.25">
      <c r="A229" s="7" t="s">
        <v>1506</v>
      </c>
      <c r="B229" s="60">
        <v>521211</v>
      </c>
      <c r="C229" s="41" t="s">
        <v>7</v>
      </c>
      <c r="D229" s="60"/>
      <c r="E229" s="60"/>
      <c r="F229" s="42"/>
      <c r="G229" s="42">
        <f>SUM(G230:G238)</f>
        <v>84800000</v>
      </c>
      <c r="H229" s="154" t="b">
        <f t="shared" si="4"/>
        <v>1</v>
      </c>
      <c r="I229" s="154"/>
      <c r="J229" s="154"/>
    </row>
    <row r="230" spans="1:10" ht="14.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c r="A231" s="7" t="s">
        <v>1508</v>
      </c>
      <c r="B231" s="124"/>
      <c r="C231" s="123" t="s">
        <v>3602</v>
      </c>
      <c r="D231" s="124">
        <v>2</v>
      </c>
      <c r="E231" s="124" t="s">
        <v>9</v>
      </c>
      <c r="F231" s="125">
        <v>1000000</v>
      </c>
      <c r="G231" s="125">
        <f t="shared" si="5"/>
        <v>2000000</v>
      </c>
      <c r="H231" s="154" t="b">
        <f t="shared" si="4"/>
        <v>1</v>
      </c>
      <c r="I231" s="154"/>
      <c r="J231" s="154"/>
    </row>
    <row r="232" spans="1:10" ht="14.25">
      <c r="A232" s="7" t="s">
        <v>1509</v>
      </c>
      <c r="B232" s="124"/>
      <c r="C232" s="123" t="s">
        <v>3588</v>
      </c>
      <c r="D232" s="124">
        <v>2</v>
      </c>
      <c r="E232" s="124" t="s">
        <v>9</v>
      </c>
      <c r="F232" s="125">
        <v>1000000</v>
      </c>
      <c r="G232" s="125">
        <f t="shared" si="5"/>
        <v>2000000</v>
      </c>
      <c r="H232" s="154" t="b">
        <f t="shared" si="4"/>
        <v>1</v>
      </c>
      <c r="I232" s="154"/>
      <c r="J232" s="154"/>
    </row>
    <row r="233" spans="1:10" ht="14.25">
      <c r="A233" s="7" t="s">
        <v>1510</v>
      </c>
      <c r="B233" s="124"/>
      <c r="C233" s="123" t="s">
        <v>3589</v>
      </c>
      <c r="D233" s="124">
        <v>2</v>
      </c>
      <c r="E233" s="124" t="s">
        <v>9</v>
      </c>
      <c r="F233" s="125">
        <v>1500000</v>
      </c>
      <c r="G233" s="125">
        <f t="shared" si="5"/>
        <v>3000000</v>
      </c>
      <c r="H233" s="154" t="b">
        <f t="shared" si="4"/>
        <v>1</v>
      </c>
      <c r="I233" s="154"/>
      <c r="J233" s="154"/>
    </row>
    <row r="234" spans="1:10" ht="14.25">
      <c r="A234" s="7" t="s">
        <v>1511</v>
      </c>
      <c r="B234" s="124"/>
      <c r="C234" s="123" t="s">
        <v>3658</v>
      </c>
      <c r="D234" s="124">
        <v>20</v>
      </c>
      <c r="E234" s="124" t="s">
        <v>58</v>
      </c>
      <c r="F234" s="125">
        <v>450000</v>
      </c>
      <c r="G234" s="125">
        <f t="shared" si="5"/>
        <v>9000000</v>
      </c>
      <c r="H234" s="154" t="b">
        <f t="shared" si="4"/>
        <v>1</v>
      </c>
      <c r="I234" s="154"/>
      <c r="J234" s="154"/>
    </row>
    <row r="235" spans="1:10" ht="14.25">
      <c r="A235" s="7" t="s">
        <v>1513</v>
      </c>
      <c r="B235" s="124"/>
      <c r="C235" s="123" t="s">
        <v>3659</v>
      </c>
      <c r="D235" s="124">
        <v>20</v>
      </c>
      <c r="E235" s="124" t="s">
        <v>58</v>
      </c>
      <c r="F235" s="125">
        <v>450000</v>
      </c>
      <c r="G235" s="125">
        <f t="shared" si="5"/>
        <v>9000000</v>
      </c>
      <c r="H235" s="154" t="b">
        <f t="shared" si="4"/>
        <v>1</v>
      </c>
      <c r="I235" s="154"/>
      <c r="J235" s="154"/>
    </row>
    <row r="236" spans="1:10" ht="14.25">
      <c r="A236" s="7" t="s">
        <v>1515</v>
      </c>
      <c r="B236" s="124"/>
      <c r="C236" s="123" t="s">
        <v>3660</v>
      </c>
      <c r="D236" s="124">
        <v>1</v>
      </c>
      <c r="E236" s="124" t="s">
        <v>23</v>
      </c>
      <c r="F236" s="125">
        <v>27575000</v>
      </c>
      <c r="G236" s="125">
        <f t="shared" si="5"/>
        <v>27575000</v>
      </c>
      <c r="H236" s="154" t="b">
        <f t="shared" si="4"/>
        <v>1</v>
      </c>
      <c r="I236" s="154"/>
      <c r="J236" s="154"/>
    </row>
    <row r="237" spans="1:10" ht="14.25">
      <c r="A237" s="7" t="s">
        <v>1517</v>
      </c>
      <c r="B237" s="124"/>
      <c r="C237" s="123" t="s">
        <v>3661</v>
      </c>
      <c r="D237" s="124">
        <v>1</v>
      </c>
      <c r="E237" s="124" t="s">
        <v>23</v>
      </c>
      <c r="F237" s="125">
        <v>27575000</v>
      </c>
      <c r="G237" s="125">
        <f t="shared" si="5"/>
        <v>27575000</v>
      </c>
      <c r="H237" s="154" t="b">
        <f t="shared" si="4"/>
        <v>1</v>
      </c>
      <c r="I237" s="154"/>
      <c r="J237" s="154"/>
    </row>
    <row r="238" spans="1:10" ht="14.25">
      <c r="A238" s="7" t="s">
        <v>1519</v>
      </c>
      <c r="B238" s="124"/>
      <c r="C238" s="123" t="s">
        <v>3662</v>
      </c>
      <c r="D238" s="124">
        <v>3</v>
      </c>
      <c r="E238" s="124" t="s">
        <v>58</v>
      </c>
      <c r="F238" s="125">
        <v>300000</v>
      </c>
      <c r="G238" s="125">
        <f t="shared" si="5"/>
        <v>900000</v>
      </c>
      <c r="H238" s="154" t="b">
        <f t="shared" si="4"/>
        <v>1</v>
      </c>
      <c r="I238" s="154"/>
      <c r="J238" s="154"/>
    </row>
    <row r="239" spans="1:10" ht="14.25">
      <c r="A239" s="7" t="s">
        <v>1521</v>
      </c>
      <c r="B239" s="60">
        <v>521219</v>
      </c>
      <c r="C239" s="41" t="s">
        <v>53</v>
      </c>
      <c r="D239" s="60"/>
      <c r="E239" s="60"/>
      <c r="F239" s="42"/>
      <c r="G239" s="42">
        <f>SUM(G240:G241)</f>
        <v>393200000</v>
      </c>
      <c r="H239" s="154" t="b">
        <f t="shared" si="4"/>
        <v>1</v>
      </c>
      <c r="I239" s="154"/>
      <c r="J239" s="154"/>
    </row>
    <row r="240" spans="1:10" ht="14.25">
      <c r="A240" s="7" t="s">
        <v>1522</v>
      </c>
      <c r="B240" s="124"/>
      <c r="C240" s="123" t="s">
        <v>3663</v>
      </c>
      <c r="D240" s="124">
        <v>1</v>
      </c>
      <c r="E240" s="124" t="s">
        <v>66</v>
      </c>
      <c r="F240" s="125">
        <v>196600000</v>
      </c>
      <c r="G240" s="125">
        <f>ROUNDDOWN(D240*F240,-3)</f>
        <v>196600000</v>
      </c>
      <c r="H240" s="154" t="b">
        <f t="shared" si="4"/>
        <v>1</v>
      </c>
      <c r="I240" s="154"/>
      <c r="J240" s="154"/>
    </row>
    <row r="241" spans="1:10" ht="14.25">
      <c r="A241" s="7" t="s">
        <v>1524</v>
      </c>
      <c r="B241" s="124"/>
      <c r="C241" s="123" t="s">
        <v>3664</v>
      </c>
      <c r="D241" s="124">
        <v>1</v>
      </c>
      <c r="E241" s="124" t="s">
        <v>66</v>
      </c>
      <c r="F241" s="125">
        <v>196600000</v>
      </c>
      <c r="G241" s="125">
        <f>ROUNDDOWN(D241*F241,-3)</f>
        <v>196600000</v>
      </c>
      <c r="H241" s="154" t="b">
        <f t="shared" si="4"/>
        <v>1</v>
      </c>
      <c r="I241" s="154"/>
      <c r="J241" s="154"/>
    </row>
    <row r="242" spans="1:10" ht="14.25">
      <c r="A242" s="7" t="s">
        <v>1526</v>
      </c>
      <c r="B242" s="60">
        <v>522141</v>
      </c>
      <c r="C242" s="41" t="s">
        <v>95</v>
      </c>
      <c r="D242" s="60"/>
      <c r="E242" s="60"/>
      <c r="F242" s="42"/>
      <c r="G242" s="42">
        <f>SUM(G243:G245)</f>
        <v>160000000</v>
      </c>
      <c r="H242" s="154" t="b">
        <f t="shared" si="4"/>
        <v>1</v>
      </c>
      <c r="I242" s="154"/>
      <c r="J242" s="154"/>
    </row>
    <row r="243" spans="1:10" ht="14.25">
      <c r="A243" s="7" t="s">
        <v>1527</v>
      </c>
      <c r="B243" s="124"/>
      <c r="C243" s="123" t="s">
        <v>3665</v>
      </c>
      <c r="D243" s="124">
        <v>2</v>
      </c>
      <c r="E243" s="124" t="s">
        <v>23</v>
      </c>
      <c r="F243" s="125">
        <v>50000000</v>
      </c>
      <c r="G243" s="125">
        <f>ROUNDDOWN(D243*F243,-3)</f>
        <v>100000000</v>
      </c>
      <c r="H243" s="154" t="b">
        <f t="shared" si="4"/>
        <v>1</v>
      </c>
      <c r="I243" s="154"/>
      <c r="J243" s="154"/>
    </row>
    <row r="244" spans="1:10" ht="14.25">
      <c r="A244" s="7" t="s">
        <v>1529</v>
      </c>
      <c r="B244" s="124"/>
      <c r="C244" s="123" t="s">
        <v>3666</v>
      </c>
      <c r="D244" s="124">
        <v>2</v>
      </c>
      <c r="E244" s="124" t="s">
        <v>23</v>
      </c>
      <c r="F244" s="125">
        <v>10000000</v>
      </c>
      <c r="G244" s="125">
        <f>ROUNDDOWN(D244*F244,-3)</f>
        <v>20000000</v>
      </c>
      <c r="H244" s="154" t="b">
        <f t="shared" si="4"/>
        <v>1</v>
      </c>
      <c r="I244" s="154"/>
      <c r="J244" s="154"/>
    </row>
    <row r="245" spans="1:10" ht="14.25">
      <c r="A245" s="7" t="s">
        <v>1531</v>
      </c>
      <c r="B245" s="124"/>
      <c r="C245" s="123" t="s">
        <v>3667</v>
      </c>
      <c r="D245" s="124">
        <v>4</v>
      </c>
      <c r="E245" s="124" t="s">
        <v>23</v>
      </c>
      <c r="F245" s="125">
        <v>10000000</v>
      </c>
      <c r="G245" s="125">
        <f>ROUNDDOWN(D245*F245,-3)</f>
        <v>40000000</v>
      </c>
      <c r="H245" s="154" t="b">
        <f t="shared" si="4"/>
        <v>1</v>
      </c>
      <c r="I245" s="154"/>
      <c r="J245" s="154"/>
    </row>
    <row r="246" spans="1:10" ht="14.25">
      <c r="A246" s="7" t="s">
        <v>1533</v>
      </c>
      <c r="B246" s="60">
        <v>524111</v>
      </c>
      <c r="C246" s="41" t="s">
        <v>19</v>
      </c>
      <c r="D246" s="60"/>
      <c r="E246" s="60"/>
      <c r="F246" s="42"/>
      <c r="G246" s="42">
        <f>G247</f>
        <v>30000000</v>
      </c>
      <c r="H246" s="154" t="b">
        <f t="shared" si="4"/>
        <v>1</v>
      </c>
      <c r="I246" s="154"/>
      <c r="J246" s="154"/>
    </row>
    <row r="247" spans="1:10" ht="14.25">
      <c r="A247" s="7" t="s">
        <v>1534</v>
      </c>
      <c r="B247" s="124"/>
      <c r="C247" s="123" t="s">
        <v>3668</v>
      </c>
      <c r="D247" s="124">
        <v>12</v>
      </c>
      <c r="E247" s="124" t="s">
        <v>10</v>
      </c>
      <c r="F247" s="125">
        <v>2500000</v>
      </c>
      <c r="G247" s="125">
        <f>ROUNDDOWN(D247*F247,-3)</f>
        <v>30000000</v>
      </c>
      <c r="H247" s="154" t="b">
        <f t="shared" si="4"/>
        <v>1</v>
      </c>
      <c r="I247" s="154"/>
      <c r="J247" s="154"/>
    </row>
    <row r="248" spans="1:10" ht="14.25">
      <c r="A248" s="7" t="s">
        <v>1536</v>
      </c>
      <c r="B248" s="59" t="s">
        <v>581</v>
      </c>
      <c r="C248" s="38" t="s">
        <v>1537</v>
      </c>
      <c r="D248" s="59"/>
      <c r="E248" s="59"/>
      <c r="F248" s="39"/>
      <c r="G248" s="39">
        <f>SUM(G249,G257,G259,G261)</f>
        <v>82000000</v>
      </c>
      <c r="H248" s="154" t="b">
        <f t="shared" si="4"/>
        <v>1</v>
      </c>
      <c r="I248" s="154"/>
      <c r="J248" s="154"/>
    </row>
    <row r="249" spans="1:10" ht="14.25">
      <c r="A249" s="7" t="s">
        <v>1538</v>
      </c>
      <c r="B249" s="60">
        <v>521211</v>
      </c>
      <c r="C249" s="41" t="s">
        <v>7</v>
      </c>
      <c r="D249" s="60"/>
      <c r="E249" s="60"/>
      <c r="F249" s="42"/>
      <c r="G249" s="42">
        <f>SUM(G250:G256)</f>
        <v>17550000</v>
      </c>
      <c r="H249" s="154" t="b">
        <f t="shared" si="4"/>
        <v>1</v>
      </c>
      <c r="I249" s="154"/>
      <c r="J249" s="154"/>
    </row>
    <row r="250" spans="1:10" ht="14.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c r="A251" s="7" t="s">
        <v>1540</v>
      </c>
      <c r="B251" s="124"/>
      <c r="C251" s="123" t="s">
        <v>3602</v>
      </c>
      <c r="D251" s="124">
        <v>2</v>
      </c>
      <c r="E251" s="124" t="s">
        <v>9</v>
      </c>
      <c r="F251" s="125">
        <v>1000000</v>
      </c>
      <c r="G251" s="125">
        <f t="shared" si="6"/>
        <v>2000000</v>
      </c>
      <c r="H251" s="154" t="b">
        <f t="shared" si="4"/>
        <v>1</v>
      </c>
      <c r="I251" s="154"/>
      <c r="J251" s="154"/>
    </row>
    <row r="252" spans="1:10" ht="14.25">
      <c r="A252" s="7" t="s">
        <v>1541</v>
      </c>
      <c r="B252" s="124"/>
      <c r="C252" s="123" t="s">
        <v>3588</v>
      </c>
      <c r="D252" s="124">
        <v>2</v>
      </c>
      <c r="E252" s="124" t="s">
        <v>9</v>
      </c>
      <c r="F252" s="125">
        <v>1000000</v>
      </c>
      <c r="G252" s="125">
        <f t="shared" si="6"/>
        <v>2000000</v>
      </c>
      <c r="H252" s="154" t="b">
        <f t="shared" si="4"/>
        <v>1</v>
      </c>
      <c r="I252" s="154"/>
      <c r="J252" s="154"/>
    </row>
    <row r="253" spans="1:10" ht="14.25">
      <c r="A253" s="7" t="s">
        <v>1542</v>
      </c>
      <c r="B253" s="124"/>
      <c r="C253" s="123" t="s">
        <v>3589</v>
      </c>
      <c r="D253" s="124">
        <v>2</v>
      </c>
      <c r="E253" s="124" t="s">
        <v>9</v>
      </c>
      <c r="F253" s="125">
        <v>1500000</v>
      </c>
      <c r="G253" s="125">
        <f t="shared" si="6"/>
        <v>3000000</v>
      </c>
      <c r="H253" s="154" t="b">
        <f t="shared" si="4"/>
        <v>1</v>
      </c>
      <c r="I253" s="154"/>
      <c r="J253" s="154"/>
    </row>
    <row r="254" spans="1:10" ht="14.25">
      <c r="A254" s="7" t="s">
        <v>1543</v>
      </c>
      <c r="B254" s="124"/>
      <c r="C254" s="123" t="s">
        <v>3669</v>
      </c>
      <c r="D254" s="124">
        <v>10</v>
      </c>
      <c r="E254" s="124" t="s">
        <v>58</v>
      </c>
      <c r="F254" s="125">
        <v>250000</v>
      </c>
      <c r="G254" s="125">
        <f t="shared" si="6"/>
        <v>2500000</v>
      </c>
      <c r="H254" s="154" t="b">
        <f t="shared" si="4"/>
        <v>1</v>
      </c>
      <c r="I254" s="154"/>
      <c r="J254" s="154"/>
    </row>
    <row r="255" spans="1:10" ht="14.25">
      <c r="A255" s="7" t="s">
        <v>1545</v>
      </c>
      <c r="B255" s="124"/>
      <c r="C255" s="123" t="s">
        <v>3670</v>
      </c>
      <c r="D255" s="124">
        <v>500</v>
      </c>
      <c r="E255" s="124" t="s">
        <v>58</v>
      </c>
      <c r="F255" s="125">
        <v>6000</v>
      </c>
      <c r="G255" s="125">
        <f t="shared" si="6"/>
        <v>3000000</v>
      </c>
      <c r="H255" s="154" t="b">
        <f t="shared" si="4"/>
        <v>1</v>
      </c>
      <c r="I255" s="154"/>
      <c r="J255" s="154"/>
    </row>
    <row r="256" spans="1:10" ht="14.25">
      <c r="A256" s="7" t="s">
        <v>1547</v>
      </c>
      <c r="B256" s="124"/>
      <c r="C256" s="123" t="s">
        <v>3671</v>
      </c>
      <c r="D256" s="124">
        <v>100</v>
      </c>
      <c r="E256" s="124" t="s">
        <v>58</v>
      </c>
      <c r="F256" s="125">
        <v>35500</v>
      </c>
      <c r="G256" s="125">
        <f t="shared" si="6"/>
        <v>3550000</v>
      </c>
      <c r="H256" s="154" t="b">
        <f t="shared" si="4"/>
        <v>1</v>
      </c>
      <c r="I256" s="154"/>
      <c r="J256" s="154"/>
    </row>
    <row r="257" spans="1:10" ht="14.25">
      <c r="A257" s="7" t="s">
        <v>1549</v>
      </c>
      <c r="B257" s="60">
        <v>521219</v>
      </c>
      <c r="C257" s="41" t="s">
        <v>53</v>
      </c>
      <c r="D257" s="60"/>
      <c r="E257" s="60"/>
      <c r="F257" s="42"/>
      <c r="G257" s="42">
        <f>G258</f>
        <v>3000000</v>
      </c>
      <c r="H257" s="154" t="b">
        <f t="shared" si="4"/>
        <v>1</v>
      </c>
      <c r="I257" s="154"/>
      <c r="J257" s="154"/>
    </row>
    <row r="258" spans="1:10" ht="14.25">
      <c r="A258" s="7" t="s">
        <v>1550</v>
      </c>
      <c r="B258" s="124"/>
      <c r="C258" s="123" t="s">
        <v>3610</v>
      </c>
      <c r="D258" s="124">
        <v>12</v>
      </c>
      <c r="E258" s="124" t="s">
        <v>66</v>
      </c>
      <c r="F258" s="125">
        <v>250000</v>
      </c>
      <c r="G258" s="125">
        <f>ROUNDDOWN(D258*F258,-3)</f>
        <v>3000000</v>
      </c>
      <c r="H258" s="154" t="b">
        <f t="shared" si="4"/>
        <v>1</v>
      </c>
      <c r="I258" s="154"/>
      <c r="J258" s="154"/>
    </row>
    <row r="259" spans="1:10" ht="14.25">
      <c r="A259" s="7" t="s">
        <v>1551</v>
      </c>
      <c r="B259" s="60">
        <v>522151</v>
      </c>
      <c r="C259" s="41" t="s">
        <v>11</v>
      </c>
      <c r="D259" s="60"/>
      <c r="E259" s="60"/>
      <c r="F259" s="42"/>
      <c r="G259" s="42">
        <f>G260</f>
        <v>40000000</v>
      </c>
      <c r="H259" s="154" t="b">
        <f t="shared" si="4"/>
        <v>1</v>
      </c>
      <c r="I259" s="154"/>
      <c r="J259" s="154"/>
    </row>
    <row r="260" spans="1:10" ht="14.25">
      <c r="A260" s="7" t="s">
        <v>1552</v>
      </c>
      <c r="B260" s="124"/>
      <c r="C260" s="123" t="s">
        <v>3656</v>
      </c>
      <c r="D260" s="124">
        <v>40</v>
      </c>
      <c r="E260" s="124" t="s">
        <v>54</v>
      </c>
      <c r="F260" s="125">
        <v>1000000</v>
      </c>
      <c r="G260" s="125">
        <f>ROUNDDOWN(D260*F260,-3)</f>
        <v>40000000</v>
      </c>
      <c r="H260" s="154" t="b">
        <f t="shared" si="4"/>
        <v>1</v>
      </c>
      <c r="I260" s="154"/>
      <c r="J260" s="154"/>
    </row>
    <row r="261" spans="1:10" ht="14.25">
      <c r="A261" s="7" t="s">
        <v>1553</v>
      </c>
      <c r="B261" s="60">
        <v>524111</v>
      </c>
      <c r="C261" s="41" t="s">
        <v>19</v>
      </c>
      <c r="D261" s="60"/>
      <c r="E261" s="60"/>
      <c r="F261" s="42"/>
      <c r="G261" s="42">
        <f>G262</f>
        <v>21450000</v>
      </c>
      <c r="H261" s="154" t="b">
        <f t="shared" si="4"/>
        <v>1</v>
      </c>
      <c r="I261" s="154"/>
      <c r="J261" s="154"/>
    </row>
    <row r="262" spans="1:10" ht="25.5">
      <c r="A262" s="7" t="s">
        <v>1554</v>
      </c>
      <c r="B262" s="124"/>
      <c r="C262" s="123" t="s">
        <v>3672</v>
      </c>
      <c r="D262" s="124">
        <v>10</v>
      </c>
      <c r="E262" s="124" t="s">
        <v>10</v>
      </c>
      <c r="F262" s="125">
        <v>2145000</v>
      </c>
      <c r="G262" s="125">
        <f>ROUNDDOWN(D262*F262,-3)</f>
        <v>21450000</v>
      </c>
      <c r="H262" s="154" t="b">
        <f t="shared" si="4"/>
        <v>1</v>
      </c>
      <c r="I262" s="154"/>
      <c r="J262" s="154"/>
    </row>
    <row r="263" spans="1:10" ht="14.25">
      <c r="A263" s="7" t="s">
        <v>1699</v>
      </c>
      <c r="B263" s="119" t="s">
        <v>3673</v>
      </c>
      <c r="C263" s="118" t="s">
        <v>1701</v>
      </c>
      <c r="D263" s="119">
        <v>1</v>
      </c>
      <c r="E263" s="119" t="s">
        <v>3627</v>
      </c>
      <c r="F263" s="120"/>
      <c r="G263" s="120">
        <f>SUM(G264,G307)</f>
        <v>8674654000</v>
      </c>
      <c r="H263" s="154" t="b">
        <f t="shared" si="4"/>
        <v>1</v>
      </c>
      <c r="I263" s="154"/>
      <c r="J263" s="154"/>
    </row>
    <row r="264" spans="1:10" ht="14.25">
      <c r="A264" s="7" t="s">
        <v>1702</v>
      </c>
      <c r="B264" s="58" t="s">
        <v>501</v>
      </c>
      <c r="C264" s="35" t="s">
        <v>76</v>
      </c>
      <c r="D264" s="58"/>
      <c r="E264" s="58"/>
      <c r="F264" s="36"/>
      <c r="G264" s="36">
        <f>SUM(G265,G304)</f>
        <v>6478996000</v>
      </c>
      <c r="H264" s="154" t="b">
        <f t="shared" si="4"/>
        <v>1</v>
      </c>
      <c r="I264" s="154"/>
      <c r="J264" s="154"/>
    </row>
    <row r="265" spans="1:10" ht="14.25">
      <c r="A265" s="7" t="s">
        <v>1806</v>
      </c>
      <c r="B265" s="59" t="s">
        <v>1807</v>
      </c>
      <c r="C265" s="38" t="s">
        <v>1808</v>
      </c>
      <c r="D265" s="59"/>
      <c r="E265" s="59"/>
      <c r="F265" s="39"/>
      <c r="G265" s="39">
        <f>SUM(G266,G270,G274,G278,G282,G286,G290,G294,G296,G298,G302)</f>
        <v>6155047000</v>
      </c>
      <c r="H265" s="154" t="b">
        <f t="shared" si="4"/>
        <v>1</v>
      </c>
      <c r="I265" s="154"/>
      <c r="J265" s="154"/>
    </row>
    <row r="266" spans="1:10" ht="14.25">
      <c r="A266" s="7" t="s">
        <v>1809</v>
      </c>
      <c r="B266" s="60">
        <v>511111</v>
      </c>
      <c r="C266" s="41" t="s">
        <v>77</v>
      </c>
      <c r="D266" s="60"/>
      <c r="E266" s="60"/>
      <c r="F266" s="42"/>
      <c r="G266" s="42">
        <f>SUM(G267:G269)</f>
        <v>2483477000</v>
      </c>
      <c r="H266" s="154" t="b">
        <f t="shared" si="4"/>
        <v>1</v>
      </c>
      <c r="I266" s="154"/>
      <c r="J266" s="154"/>
    </row>
    <row r="267" spans="1:10" ht="14.25">
      <c r="A267" s="7" t="s">
        <v>1810</v>
      </c>
      <c r="B267" s="124"/>
      <c r="C267" s="123" t="s">
        <v>3674</v>
      </c>
      <c r="D267" s="124">
        <v>1</v>
      </c>
      <c r="E267" s="124" t="s">
        <v>97</v>
      </c>
      <c r="F267" s="125">
        <v>180000000</v>
      </c>
      <c r="G267" s="125">
        <f>ROUNDDOWN(D267*F267,-3)</f>
        <v>180000000</v>
      </c>
      <c r="H267" s="154" t="b">
        <f t="shared" si="4"/>
        <v>1</v>
      </c>
      <c r="I267" s="154"/>
      <c r="J267" s="154"/>
    </row>
    <row r="268" spans="1:10" ht="14.25">
      <c r="A268" s="7" t="s">
        <v>1811</v>
      </c>
      <c r="B268" s="124"/>
      <c r="C268" s="123" t="s">
        <v>3675</v>
      </c>
      <c r="D268" s="124">
        <v>1</v>
      </c>
      <c r="E268" s="124" t="s">
        <v>60</v>
      </c>
      <c r="F268" s="125">
        <v>2123477000</v>
      </c>
      <c r="G268" s="125">
        <f>ROUNDDOWN(D268*F268,-3)</f>
        <v>2123477000</v>
      </c>
      <c r="H268" s="154" t="b">
        <f t="shared" si="4"/>
        <v>1</v>
      </c>
      <c r="I268" s="154"/>
      <c r="J268" s="154"/>
    </row>
    <row r="269" spans="1:10" ht="14.25">
      <c r="A269" s="7" t="s">
        <v>1812</v>
      </c>
      <c r="B269" s="124"/>
      <c r="C269" s="123" t="s">
        <v>3676</v>
      </c>
      <c r="D269" s="124">
        <v>1</v>
      </c>
      <c r="E269" s="124" t="s">
        <v>97</v>
      </c>
      <c r="F269" s="125">
        <v>180000000</v>
      </c>
      <c r="G269" s="125">
        <f>ROUNDDOWN(D269*F269,-3)</f>
        <v>180000000</v>
      </c>
      <c r="H269" s="154" t="b">
        <f t="shared" si="4"/>
        <v>1</v>
      </c>
      <c r="I269" s="154"/>
      <c r="J269" s="154"/>
    </row>
    <row r="270" spans="1:10" ht="14.25">
      <c r="A270" s="7" t="s">
        <v>1813</v>
      </c>
      <c r="B270" s="60">
        <v>511119</v>
      </c>
      <c r="C270" s="41" t="s">
        <v>79</v>
      </c>
      <c r="D270" s="60"/>
      <c r="E270" s="60"/>
      <c r="F270" s="42"/>
      <c r="G270" s="42">
        <f>SUM(G271:G273)</f>
        <v>38000</v>
      </c>
      <c r="H270" s="154" t="b">
        <f t="shared" ref="H270:H333" si="7">_xlfn.ISFORMULA(G270)</f>
        <v>1</v>
      </c>
      <c r="I270" s="154"/>
      <c r="J270" s="154"/>
    </row>
    <row r="271" spans="1:10" ht="14.25">
      <c r="A271" s="7" t="s">
        <v>1814</v>
      </c>
      <c r="B271" s="124"/>
      <c r="C271" s="123" t="s">
        <v>3677</v>
      </c>
      <c r="D271" s="124">
        <v>1</v>
      </c>
      <c r="E271" s="124" t="s">
        <v>97</v>
      </c>
      <c r="F271" s="125">
        <v>3000</v>
      </c>
      <c r="G271" s="125">
        <f>ROUNDDOWN(D271*F271,-3)</f>
        <v>3000</v>
      </c>
      <c r="H271" s="154" t="b">
        <f t="shared" si="7"/>
        <v>1</v>
      </c>
      <c r="I271" s="154"/>
      <c r="J271" s="154"/>
    </row>
    <row r="272" spans="1:10" ht="14.25">
      <c r="A272" s="7" t="s">
        <v>1815</v>
      </c>
      <c r="B272" s="124"/>
      <c r="C272" s="123" t="s">
        <v>3678</v>
      </c>
      <c r="D272" s="124">
        <v>1</v>
      </c>
      <c r="E272" s="124" t="s">
        <v>153</v>
      </c>
      <c r="F272" s="125">
        <v>32000</v>
      </c>
      <c r="G272" s="125">
        <f>ROUNDDOWN(D272*F272,-3)</f>
        <v>32000</v>
      </c>
      <c r="H272" s="154" t="b">
        <f t="shared" si="7"/>
        <v>1</v>
      </c>
      <c r="I272" s="154"/>
      <c r="J272" s="154"/>
    </row>
    <row r="273" spans="1:10" ht="14.25">
      <c r="A273" s="7" t="s">
        <v>1816</v>
      </c>
      <c r="B273" s="124"/>
      <c r="C273" s="123" t="s">
        <v>3679</v>
      </c>
      <c r="D273" s="124">
        <v>1</v>
      </c>
      <c r="E273" s="124" t="s">
        <v>97</v>
      </c>
      <c r="F273" s="125">
        <v>3000</v>
      </c>
      <c r="G273" s="125">
        <f>ROUNDDOWN(D273*F273,-3)</f>
        <v>3000</v>
      </c>
      <c r="H273" s="154" t="b">
        <f t="shared" si="7"/>
        <v>1</v>
      </c>
      <c r="I273" s="154"/>
      <c r="J273" s="154"/>
    </row>
    <row r="274" spans="1:10" ht="14.25">
      <c r="A274" s="7" t="s">
        <v>1817</v>
      </c>
      <c r="B274" s="60">
        <v>511121</v>
      </c>
      <c r="C274" s="41" t="s">
        <v>80</v>
      </c>
      <c r="D274" s="60"/>
      <c r="E274" s="60"/>
      <c r="F274" s="42"/>
      <c r="G274" s="42">
        <f>SUM(G275:G277)</f>
        <v>171959000</v>
      </c>
      <c r="H274" s="154" t="b">
        <f t="shared" si="7"/>
        <v>1</v>
      </c>
      <c r="I274" s="154"/>
      <c r="J274" s="154"/>
    </row>
    <row r="275" spans="1:10" ht="14.25">
      <c r="A275" s="7" t="s">
        <v>1818</v>
      </c>
      <c r="B275" s="124"/>
      <c r="C275" s="123" t="s">
        <v>3680</v>
      </c>
      <c r="D275" s="124">
        <v>1</v>
      </c>
      <c r="E275" s="124" t="s">
        <v>153</v>
      </c>
      <c r="F275" s="125">
        <v>147267000</v>
      </c>
      <c r="G275" s="125">
        <f>ROUNDDOWN(D275*F275,-3)</f>
        <v>147267000</v>
      </c>
      <c r="H275" s="154" t="b">
        <f t="shared" si="7"/>
        <v>1</v>
      </c>
      <c r="I275" s="154"/>
      <c r="J275" s="154"/>
    </row>
    <row r="276" spans="1:10" ht="14.25">
      <c r="A276" s="7" t="s">
        <v>1819</v>
      </c>
      <c r="B276" s="124"/>
      <c r="C276" s="123" t="s">
        <v>3681</v>
      </c>
      <c r="D276" s="124">
        <v>1</v>
      </c>
      <c r="E276" s="124" t="s">
        <v>97</v>
      </c>
      <c r="F276" s="125">
        <v>12494000</v>
      </c>
      <c r="G276" s="125">
        <f>ROUNDDOWN(D276*F276,-3)</f>
        <v>12494000</v>
      </c>
      <c r="H276" s="154" t="b">
        <f t="shared" si="7"/>
        <v>1</v>
      </c>
      <c r="I276" s="154"/>
      <c r="J276" s="154"/>
    </row>
    <row r="277" spans="1:10" ht="14.25">
      <c r="A277" s="7" t="s">
        <v>1820</v>
      </c>
      <c r="B277" s="124"/>
      <c r="C277" s="123" t="s">
        <v>3682</v>
      </c>
      <c r="D277" s="124">
        <v>1</v>
      </c>
      <c r="E277" s="124" t="s">
        <v>97</v>
      </c>
      <c r="F277" s="125">
        <v>12198000</v>
      </c>
      <c r="G277" s="125">
        <f>ROUNDDOWN(D277*F277,-3)</f>
        <v>12198000</v>
      </c>
      <c r="H277" s="154" t="b">
        <f t="shared" si="7"/>
        <v>1</v>
      </c>
      <c r="I277" s="154"/>
      <c r="J277" s="154"/>
    </row>
    <row r="278" spans="1:10" ht="14.25">
      <c r="A278" s="7" t="s">
        <v>1821</v>
      </c>
      <c r="B278" s="60">
        <v>511122</v>
      </c>
      <c r="C278" s="41" t="s">
        <v>81</v>
      </c>
      <c r="D278" s="60"/>
      <c r="E278" s="60"/>
      <c r="F278" s="42"/>
      <c r="G278" s="42">
        <f>SUM(G279:G281)</f>
        <v>46700000</v>
      </c>
      <c r="H278" s="154" t="b">
        <f t="shared" si="7"/>
        <v>1</v>
      </c>
      <c r="I278" s="154"/>
      <c r="J278" s="154"/>
    </row>
    <row r="279" spans="1:10" ht="14.25">
      <c r="A279" s="7" t="s">
        <v>1822</v>
      </c>
      <c r="B279" s="124"/>
      <c r="C279" s="123" t="s">
        <v>3683</v>
      </c>
      <c r="D279" s="124">
        <v>1</v>
      </c>
      <c r="E279" s="124" t="s">
        <v>97</v>
      </c>
      <c r="F279" s="125">
        <v>3282000</v>
      </c>
      <c r="G279" s="125">
        <f>ROUNDDOWN(D279*F279,-3)</f>
        <v>3282000</v>
      </c>
      <c r="H279" s="154" t="b">
        <f t="shared" si="7"/>
        <v>1</v>
      </c>
      <c r="I279" s="154"/>
      <c r="J279" s="154"/>
    </row>
    <row r="280" spans="1:10" ht="14.25">
      <c r="A280" s="7" t="s">
        <v>1823</v>
      </c>
      <c r="B280" s="124"/>
      <c r="C280" s="123" t="s">
        <v>3684</v>
      </c>
      <c r="D280" s="124">
        <v>1</v>
      </c>
      <c r="E280" s="124" t="s">
        <v>153</v>
      </c>
      <c r="F280" s="125">
        <v>40080000</v>
      </c>
      <c r="G280" s="125">
        <f>ROUNDDOWN(D280*F280,-3)</f>
        <v>40080000</v>
      </c>
      <c r="H280" s="154" t="b">
        <f t="shared" si="7"/>
        <v>1</v>
      </c>
      <c r="I280" s="154"/>
      <c r="J280" s="154"/>
    </row>
    <row r="281" spans="1:10" ht="14.25">
      <c r="A281" s="7" t="s">
        <v>1824</v>
      </c>
      <c r="B281" s="124"/>
      <c r="C281" s="123" t="s">
        <v>3685</v>
      </c>
      <c r="D281" s="124">
        <v>1</v>
      </c>
      <c r="E281" s="124" t="s">
        <v>97</v>
      </c>
      <c r="F281" s="125">
        <v>3338000</v>
      </c>
      <c r="G281" s="125">
        <f>ROUNDDOWN(D281*F281,-3)</f>
        <v>3338000</v>
      </c>
      <c r="H281" s="154" t="b">
        <f t="shared" si="7"/>
        <v>1</v>
      </c>
      <c r="I281" s="154"/>
      <c r="J281" s="154"/>
    </row>
    <row r="282" spans="1:10" ht="14.25">
      <c r="A282" s="7" t="s">
        <v>1825</v>
      </c>
      <c r="B282" s="60">
        <v>511123</v>
      </c>
      <c r="C282" s="41" t="s">
        <v>82</v>
      </c>
      <c r="D282" s="60"/>
      <c r="E282" s="60"/>
      <c r="F282" s="42"/>
      <c r="G282" s="42">
        <f>SUM(G283:G285)</f>
        <v>158000000</v>
      </c>
      <c r="H282" s="154" t="b">
        <f t="shared" si="7"/>
        <v>1</v>
      </c>
      <c r="I282" s="154"/>
      <c r="J282" s="154"/>
    </row>
    <row r="283" spans="1:10" ht="14.25">
      <c r="A283" s="7" t="s">
        <v>1826</v>
      </c>
      <c r="B283" s="124"/>
      <c r="C283" s="123" t="s">
        <v>3686</v>
      </c>
      <c r="D283" s="124">
        <v>1</v>
      </c>
      <c r="E283" s="124" t="s">
        <v>97</v>
      </c>
      <c r="F283" s="125">
        <v>12070000</v>
      </c>
      <c r="G283" s="125">
        <f>ROUNDDOWN(D283*F283,-3)</f>
        <v>12070000</v>
      </c>
      <c r="H283" s="154" t="b">
        <f t="shared" si="7"/>
        <v>1</v>
      </c>
      <c r="I283" s="154"/>
      <c r="J283" s="154"/>
    </row>
    <row r="284" spans="1:10" ht="14.25">
      <c r="A284" s="7" t="s">
        <v>1827</v>
      </c>
      <c r="B284" s="124"/>
      <c r="C284" s="123" t="s">
        <v>3687</v>
      </c>
      <c r="D284" s="124">
        <v>1</v>
      </c>
      <c r="E284" s="124" t="s">
        <v>60</v>
      </c>
      <c r="F284" s="125">
        <v>133860000</v>
      </c>
      <c r="G284" s="125">
        <f>ROUNDDOWN(D284*F284,-3)</f>
        <v>133860000</v>
      </c>
      <c r="H284" s="154" t="b">
        <f t="shared" si="7"/>
        <v>1</v>
      </c>
      <c r="I284" s="154"/>
      <c r="J284" s="154"/>
    </row>
    <row r="285" spans="1:10" ht="14.25">
      <c r="A285" s="7" t="s">
        <v>1828</v>
      </c>
      <c r="B285" s="124"/>
      <c r="C285" s="123" t="s">
        <v>3688</v>
      </c>
      <c r="D285" s="124">
        <v>1</v>
      </c>
      <c r="E285" s="124" t="s">
        <v>97</v>
      </c>
      <c r="F285" s="125">
        <v>12070000</v>
      </c>
      <c r="G285" s="125">
        <f>ROUNDDOWN(D285*F285,-3)</f>
        <v>12070000</v>
      </c>
      <c r="H285" s="154" t="b">
        <f t="shared" si="7"/>
        <v>1</v>
      </c>
      <c r="I285" s="154"/>
      <c r="J285" s="154"/>
    </row>
    <row r="286" spans="1:10" ht="14.25">
      <c r="A286" s="7" t="s">
        <v>1829</v>
      </c>
      <c r="B286" s="60">
        <v>511124</v>
      </c>
      <c r="C286" s="41" t="s">
        <v>83</v>
      </c>
      <c r="D286" s="60"/>
      <c r="E286" s="60"/>
      <c r="F286" s="42"/>
      <c r="G286" s="42">
        <f>SUM(G287:G289)</f>
        <v>48180000</v>
      </c>
      <c r="H286" s="154" t="b">
        <f t="shared" si="7"/>
        <v>1</v>
      </c>
      <c r="I286" s="154"/>
      <c r="J286" s="154"/>
    </row>
    <row r="287" spans="1:10" ht="14.25">
      <c r="A287" s="7" t="s">
        <v>1830</v>
      </c>
      <c r="B287" s="124"/>
      <c r="C287" s="123" t="s">
        <v>3689</v>
      </c>
      <c r="D287" s="124">
        <v>1</v>
      </c>
      <c r="E287" s="124" t="s">
        <v>97</v>
      </c>
      <c r="F287" s="125">
        <v>2000000</v>
      </c>
      <c r="G287" s="125">
        <f>ROUNDDOWN(D287*F287,-3)</f>
        <v>2000000</v>
      </c>
      <c r="H287" s="154" t="b">
        <f t="shared" si="7"/>
        <v>1</v>
      </c>
      <c r="I287" s="154"/>
      <c r="J287" s="154"/>
    </row>
    <row r="288" spans="1:10" ht="14.25">
      <c r="A288" s="7" t="s">
        <v>1831</v>
      </c>
      <c r="B288" s="124"/>
      <c r="C288" s="123" t="s">
        <v>3690</v>
      </c>
      <c r="D288" s="124">
        <v>1</v>
      </c>
      <c r="E288" s="124" t="s">
        <v>60</v>
      </c>
      <c r="F288" s="125">
        <v>44180000</v>
      </c>
      <c r="G288" s="125">
        <f>ROUNDDOWN(D288*F288,-3)</f>
        <v>44180000</v>
      </c>
      <c r="H288" s="154" t="b">
        <f t="shared" si="7"/>
        <v>1</v>
      </c>
      <c r="I288" s="154"/>
      <c r="J288" s="154"/>
    </row>
    <row r="289" spans="1:10" ht="14.25">
      <c r="A289" s="7" t="s">
        <v>1832</v>
      </c>
      <c r="B289" s="124"/>
      <c r="C289" s="123" t="s">
        <v>3691</v>
      </c>
      <c r="D289" s="124">
        <v>1</v>
      </c>
      <c r="E289" s="124" t="s">
        <v>97</v>
      </c>
      <c r="F289" s="125">
        <v>2000000</v>
      </c>
      <c r="G289" s="125">
        <f>ROUNDDOWN(D289*F289,-3)</f>
        <v>2000000</v>
      </c>
      <c r="H289" s="154" t="b">
        <f t="shared" si="7"/>
        <v>1</v>
      </c>
      <c r="I289" s="154"/>
      <c r="J289" s="154"/>
    </row>
    <row r="290" spans="1:10" ht="14.25">
      <c r="A290" s="7" t="s">
        <v>1833</v>
      </c>
      <c r="B290" s="60">
        <v>511125</v>
      </c>
      <c r="C290" s="41" t="s">
        <v>84</v>
      </c>
      <c r="D290" s="60"/>
      <c r="E290" s="60"/>
      <c r="F290" s="42"/>
      <c r="G290" s="42">
        <f>SUM(G291:G293)</f>
        <v>13133000</v>
      </c>
      <c r="H290" s="154" t="b">
        <f t="shared" si="7"/>
        <v>1</v>
      </c>
      <c r="I290" s="154"/>
      <c r="J290" s="154"/>
    </row>
    <row r="291" spans="1:10" ht="14.25">
      <c r="A291" s="7" t="s">
        <v>1834</v>
      </c>
      <c r="B291" s="124"/>
      <c r="C291" s="123" t="s">
        <v>3692</v>
      </c>
      <c r="D291" s="124">
        <v>1</v>
      </c>
      <c r="E291" s="124" t="s">
        <v>97</v>
      </c>
      <c r="F291" s="125">
        <v>3360000</v>
      </c>
      <c r="G291" s="125">
        <f>ROUNDDOWN(D291*F291,-3)</f>
        <v>3360000</v>
      </c>
      <c r="H291" s="154" t="b">
        <f t="shared" si="7"/>
        <v>1</v>
      </c>
      <c r="I291" s="154"/>
      <c r="J291" s="154"/>
    </row>
    <row r="292" spans="1:10" ht="14.25">
      <c r="A292" s="7" t="s">
        <v>1835</v>
      </c>
      <c r="B292" s="124"/>
      <c r="C292" s="123" t="s">
        <v>3693</v>
      </c>
      <c r="D292" s="124">
        <v>1</v>
      </c>
      <c r="E292" s="124" t="s">
        <v>153</v>
      </c>
      <c r="F292" s="125">
        <v>6407000</v>
      </c>
      <c r="G292" s="125">
        <f>ROUNDDOWN(D292*F292,-3)</f>
        <v>6407000</v>
      </c>
      <c r="H292" s="154" t="b">
        <f t="shared" si="7"/>
        <v>1</v>
      </c>
      <c r="I292" s="154"/>
      <c r="J292" s="154"/>
    </row>
    <row r="293" spans="1:10" ht="14.25">
      <c r="A293" s="7" t="s">
        <v>1836</v>
      </c>
      <c r="B293" s="124"/>
      <c r="C293" s="123" t="s">
        <v>3694</v>
      </c>
      <c r="D293" s="124">
        <v>1</v>
      </c>
      <c r="E293" s="124" t="s">
        <v>97</v>
      </c>
      <c r="F293" s="125">
        <v>3366000</v>
      </c>
      <c r="G293" s="125">
        <f>ROUNDDOWN(D293*F293,-3)</f>
        <v>3366000</v>
      </c>
      <c r="H293" s="154" t="b">
        <f t="shared" si="7"/>
        <v>1</v>
      </c>
      <c r="I293" s="154"/>
      <c r="J293" s="154"/>
    </row>
    <row r="294" spans="1:10" ht="14.25">
      <c r="A294" s="7" t="s">
        <v>1837</v>
      </c>
      <c r="B294" s="60">
        <v>511126</v>
      </c>
      <c r="C294" s="41" t="s">
        <v>85</v>
      </c>
      <c r="D294" s="60"/>
      <c r="E294" s="60"/>
      <c r="F294" s="42"/>
      <c r="G294" s="42">
        <f>G295</f>
        <v>130333000</v>
      </c>
      <c r="H294" s="154" t="b">
        <f t="shared" si="7"/>
        <v>1</v>
      </c>
      <c r="I294" s="154"/>
      <c r="J294" s="154"/>
    </row>
    <row r="295" spans="1:10" ht="14.25">
      <c r="A295" s="7" t="s">
        <v>1838</v>
      </c>
      <c r="B295" s="124"/>
      <c r="C295" s="123" t="s">
        <v>3695</v>
      </c>
      <c r="D295" s="124">
        <v>1</v>
      </c>
      <c r="E295" s="124" t="s">
        <v>60</v>
      </c>
      <c r="F295" s="125">
        <v>130333000</v>
      </c>
      <c r="G295" s="125">
        <f>ROUNDDOWN(D295*F295,-3)</f>
        <v>130333000</v>
      </c>
      <c r="H295" s="154" t="b">
        <f t="shared" si="7"/>
        <v>1</v>
      </c>
      <c r="I295" s="154"/>
      <c r="J295" s="154"/>
    </row>
    <row r="296" spans="1:10" ht="14.25">
      <c r="A296" s="7" t="s">
        <v>1839</v>
      </c>
      <c r="B296" s="60">
        <v>511129</v>
      </c>
      <c r="C296" s="41" t="s">
        <v>86</v>
      </c>
      <c r="D296" s="60"/>
      <c r="E296" s="60"/>
      <c r="F296" s="42"/>
      <c r="G296" s="42">
        <f>G297</f>
        <v>379379000</v>
      </c>
      <c r="H296" s="154" t="b">
        <f t="shared" si="7"/>
        <v>1</v>
      </c>
      <c r="I296" s="154"/>
      <c r="J296" s="154"/>
    </row>
    <row r="297" spans="1:10" ht="14.25">
      <c r="A297" s="7" t="s">
        <v>1840</v>
      </c>
      <c r="B297" s="124"/>
      <c r="C297" s="123" t="s">
        <v>3696</v>
      </c>
      <c r="D297" s="124">
        <v>1</v>
      </c>
      <c r="E297" s="124" t="s">
        <v>153</v>
      </c>
      <c r="F297" s="125">
        <v>379379000</v>
      </c>
      <c r="G297" s="125">
        <f>ROUNDDOWN(D297*F297,-3)</f>
        <v>379379000</v>
      </c>
      <c r="H297" s="154" t="b">
        <f t="shared" si="7"/>
        <v>1</v>
      </c>
      <c r="I297" s="154"/>
      <c r="J297" s="154"/>
    </row>
    <row r="298" spans="1:10" ht="14.25">
      <c r="A298" s="7" t="s">
        <v>1841</v>
      </c>
      <c r="B298" s="60">
        <v>511151</v>
      </c>
      <c r="C298" s="41" t="s">
        <v>87</v>
      </c>
      <c r="D298" s="60"/>
      <c r="E298" s="60"/>
      <c r="F298" s="42"/>
      <c r="G298" s="42">
        <f>SUM(G299:G301)</f>
        <v>88360000</v>
      </c>
      <c r="H298" s="154" t="b">
        <f t="shared" si="7"/>
        <v>1</v>
      </c>
      <c r="I298" s="154"/>
      <c r="J298" s="154"/>
    </row>
    <row r="299" spans="1:10" ht="14.25">
      <c r="A299" s="7" t="s">
        <v>1842</v>
      </c>
      <c r="B299" s="124"/>
      <c r="C299" s="123" t="s">
        <v>3697</v>
      </c>
      <c r="D299" s="124">
        <v>1</v>
      </c>
      <c r="E299" s="124" t="s">
        <v>97</v>
      </c>
      <c r="F299" s="125">
        <v>6655000</v>
      </c>
      <c r="G299" s="125">
        <f>ROUNDDOWN(D299*F299,-3)</f>
        <v>6655000</v>
      </c>
      <c r="H299" s="154" t="b">
        <f t="shared" si="7"/>
        <v>1</v>
      </c>
      <c r="I299" s="154"/>
      <c r="J299" s="154"/>
    </row>
    <row r="300" spans="1:10" ht="14.25">
      <c r="A300" s="7" t="s">
        <v>1843</v>
      </c>
      <c r="B300" s="124"/>
      <c r="C300" s="123" t="s">
        <v>3698</v>
      </c>
      <c r="D300" s="124">
        <v>1</v>
      </c>
      <c r="E300" s="124" t="s">
        <v>60</v>
      </c>
      <c r="F300" s="125">
        <v>75605000</v>
      </c>
      <c r="G300" s="125">
        <f>ROUNDDOWN(D300*F300,-3)</f>
        <v>75605000</v>
      </c>
      <c r="H300" s="154" t="b">
        <f t="shared" si="7"/>
        <v>1</v>
      </c>
      <c r="I300" s="154"/>
      <c r="J300" s="154"/>
    </row>
    <row r="301" spans="1:10" ht="14.25">
      <c r="A301" s="7" t="s">
        <v>1844</v>
      </c>
      <c r="B301" s="124"/>
      <c r="C301" s="123" t="s">
        <v>3699</v>
      </c>
      <c r="D301" s="124">
        <v>1</v>
      </c>
      <c r="E301" s="124" t="s">
        <v>97</v>
      </c>
      <c r="F301" s="125">
        <v>6100000</v>
      </c>
      <c r="G301" s="125">
        <f>ROUNDDOWN(D301*F301,-3)</f>
        <v>6100000</v>
      </c>
      <c r="H301" s="154" t="b">
        <f t="shared" si="7"/>
        <v>1</v>
      </c>
      <c r="I301" s="154"/>
      <c r="J301" s="154"/>
    </row>
    <row r="302" spans="1:10" ht="14.25">
      <c r="A302" s="7" t="s">
        <v>1845</v>
      </c>
      <c r="B302" s="60">
        <v>512411</v>
      </c>
      <c r="C302" s="41" t="s">
        <v>88</v>
      </c>
      <c r="D302" s="60"/>
      <c r="E302" s="60"/>
      <c r="F302" s="42"/>
      <c r="G302" s="42">
        <f>G303</f>
        <v>2635488000</v>
      </c>
      <c r="H302" s="154" t="b">
        <f t="shared" si="7"/>
        <v>1</v>
      </c>
      <c r="I302" s="154"/>
      <c r="J302" s="154"/>
    </row>
    <row r="303" spans="1:10" ht="14.25">
      <c r="A303" s="7" t="s">
        <v>1846</v>
      </c>
      <c r="B303" s="124"/>
      <c r="C303" s="123" t="s">
        <v>3700</v>
      </c>
      <c r="D303" s="124">
        <v>1</v>
      </c>
      <c r="E303" s="124" t="s">
        <v>153</v>
      </c>
      <c r="F303" s="125">
        <v>2635488000</v>
      </c>
      <c r="G303" s="125">
        <f>ROUNDDOWN(D303*F303,-3)</f>
        <v>2635488000</v>
      </c>
      <c r="H303" s="154" t="b">
        <f t="shared" si="7"/>
        <v>1</v>
      </c>
      <c r="I303" s="154"/>
      <c r="J303" s="154"/>
    </row>
    <row r="304" spans="1:10" ht="14.25">
      <c r="A304" s="7" t="s">
        <v>3701</v>
      </c>
      <c r="B304" s="59" t="s">
        <v>2208</v>
      </c>
      <c r="C304" s="38" t="s">
        <v>3702</v>
      </c>
      <c r="D304" s="59"/>
      <c r="E304" s="59"/>
      <c r="F304" s="39"/>
      <c r="G304" s="39">
        <f>G305</f>
        <v>323949000</v>
      </c>
      <c r="H304" s="154" t="b">
        <f t="shared" si="7"/>
        <v>1</v>
      </c>
      <c r="I304" s="154"/>
      <c r="J304" s="154"/>
    </row>
    <row r="305" spans="1:10" ht="14.25">
      <c r="A305" s="7" t="s">
        <v>3703</v>
      </c>
      <c r="B305" s="60">
        <v>512411</v>
      </c>
      <c r="C305" s="41" t="s">
        <v>88</v>
      </c>
      <c r="D305" s="60"/>
      <c r="E305" s="60"/>
      <c r="F305" s="42"/>
      <c r="G305" s="42">
        <f>G306</f>
        <v>323949000</v>
      </c>
      <c r="H305" s="154" t="b">
        <f t="shared" si="7"/>
        <v>1</v>
      </c>
      <c r="I305" s="154"/>
      <c r="J305" s="154"/>
    </row>
    <row r="306" spans="1:10" ht="14.25">
      <c r="A306" s="7" t="s">
        <v>3704</v>
      </c>
      <c r="B306" s="124"/>
      <c r="C306" s="123" t="s">
        <v>3705</v>
      </c>
      <c r="D306" s="124">
        <v>1</v>
      </c>
      <c r="E306" s="124" t="s">
        <v>3706</v>
      </c>
      <c r="F306" s="125">
        <v>323949000</v>
      </c>
      <c r="G306" s="125">
        <f>ROUNDDOWN(D306*F306,-3)</f>
        <v>323949000</v>
      </c>
      <c r="H306" s="154" t="b">
        <f t="shared" si="7"/>
        <v>1</v>
      </c>
      <c r="I306" s="154"/>
      <c r="J306" s="154"/>
    </row>
    <row r="307" spans="1:10" ht="14.25">
      <c r="A307" s="7" t="s">
        <v>1847</v>
      </c>
      <c r="B307" s="58" t="s">
        <v>557</v>
      </c>
      <c r="C307" s="35" t="s">
        <v>89</v>
      </c>
      <c r="D307" s="58"/>
      <c r="E307" s="58"/>
      <c r="F307" s="36"/>
      <c r="G307" s="36">
        <f>SUM(G308,G329,G335,G348,G363)</f>
        <v>2195658000</v>
      </c>
      <c r="H307" s="154" t="b">
        <f t="shared" si="7"/>
        <v>1</v>
      </c>
      <c r="I307" s="154"/>
      <c r="J307" s="154"/>
    </row>
    <row r="308" spans="1:10" ht="14.25">
      <c r="A308" s="7" t="s">
        <v>2170</v>
      </c>
      <c r="B308" s="59" t="s">
        <v>1807</v>
      </c>
      <c r="C308" s="38" t="s">
        <v>2171</v>
      </c>
      <c r="D308" s="59"/>
      <c r="E308" s="59"/>
      <c r="F308" s="39"/>
      <c r="G308" s="39">
        <f>SUM(G309,G319)</f>
        <v>1254380000</v>
      </c>
      <c r="H308" s="154" t="b">
        <f t="shared" si="7"/>
        <v>1</v>
      </c>
      <c r="I308" s="154"/>
      <c r="J308" s="154"/>
    </row>
    <row r="309" spans="1:10" ht="14.25">
      <c r="A309" s="7" t="s">
        <v>2172</v>
      </c>
      <c r="B309" s="60">
        <v>521111</v>
      </c>
      <c r="C309" s="41" t="s">
        <v>90</v>
      </c>
      <c r="D309" s="60"/>
      <c r="E309" s="60"/>
      <c r="F309" s="42"/>
      <c r="G309" s="42">
        <f>SUM(G310:G318)</f>
        <v>1076220000</v>
      </c>
      <c r="H309" s="154" t="b">
        <f t="shared" si="7"/>
        <v>1</v>
      </c>
      <c r="I309" s="154"/>
      <c r="J309" s="154"/>
    </row>
    <row r="310" spans="1:10" ht="14.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c r="A311" s="7" t="s">
        <v>2174</v>
      </c>
      <c r="B311" s="124"/>
      <c r="C311" s="123" t="s">
        <v>3708</v>
      </c>
      <c r="D311" s="124">
        <v>1</v>
      </c>
      <c r="E311" s="124" t="s">
        <v>60</v>
      </c>
      <c r="F311" s="125">
        <v>60000000</v>
      </c>
      <c r="G311" s="125">
        <f t="shared" si="8"/>
        <v>60000000</v>
      </c>
      <c r="H311" s="154" t="b">
        <f t="shared" si="7"/>
        <v>1</v>
      </c>
      <c r="I311" s="154"/>
      <c r="J311" s="154"/>
    </row>
    <row r="312" spans="1:10" ht="14.25">
      <c r="A312" s="7" t="s">
        <v>2176</v>
      </c>
      <c r="B312" s="124"/>
      <c r="C312" s="123" t="s">
        <v>3709</v>
      </c>
      <c r="D312" s="124">
        <v>156</v>
      </c>
      <c r="E312" s="124" t="s">
        <v>21</v>
      </c>
      <c r="F312" s="125">
        <v>4858000</v>
      </c>
      <c r="G312" s="125">
        <f t="shared" si="8"/>
        <v>757848000</v>
      </c>
      <c r="H312" s="154" t="b">
        <f t="shared" si="7"/>
        <v>1</v>
      </c>
      <c r="I312" s="154"/>
      <c r="J312" s="154"/>
    </row>
    <row r="313" spans="1:10" ht="14.25">
      <c r="A313" s="7" t="s">
        <v>2178</v>
      </c>
      <c r="B313" s="124"/>
      <c r="C313" s="123" t="s">
        <v>3710</v>
      </c>
      <c r="D313" s="124">
        <v>13</v>
      </c>
      <c r="E313" s="124" t="s">
        <v>32</v>
      </c>
      <c r="F313" s="125">
        <v>5344000</v>
      </c>
      <c r="G313" s="125">
        <f t="shared" si="8"/>
        <v>69472000</v>
      </c>
      <c r="H313" s="154" t="b">
        <f t="shared" si="7"/>
        <v>1</v>
      </c>
      <c r="I313" s="154"/>
      <c r="J313" s="154"/>
    </row>
    <row r="314" spans="1:10" ht="14.25">
      <c r="A314" s="7" t="s">
        <v>2179</v>
      </c>
      <c r="B314" s="124"/>
      <c r="C314" s="123" t="s">
        <v>3711</v>
      </c>
      <c r="D314" s="124">
        <v>12</v>
      </c>
      <c r="E314" s="124" t="s">
        <v>78</v>
      </c>
      <c r="F314" s="125">
        <v>500000</v>
      </c>
      <c r="G314" s="125">
        <f t="shared" si="8"/>
        <v>6000000</v>
      </c>
      <c r="H314" s="154" t="b">
        <f t="shared" si="7"/>
        <v>1</v>
      </c>
      <c r="I314" s="154"/>
      <c r="J314" s="154"/>
    </row>
    <row r="315" spans="1:10" ht="14.25">
      <c r="A315" s="7" t="s">
        <v>2181</v>
      </c>
      <c r="B315" s="124"/>
      <c r="C315" s="123" t="s">
        <v>3712</v>
      </c>
      <c r="D315" s="124">
        <v>100</v>
      </c>
      <c r="E315" s="124" t="s">
        <v>58</v>
      </c>
      <c r="F315" s="125">
        <v>500000</v>
      </c>
      <c r="G315" s="125">
        <f t="shared" si="8"/>
        <v>50000000</v>
      </c>
      <c r="H315" s="154" t="b">
        <f t="shared" si="7"/>
        <v>1</v>
      </c>
      <c r="I315" s="154"/>
      <c r="J315" s="154"/>
    </row>
    <row r="316" spans="1:10" ht="14.25">
      <c r="A316" s="7" t="s">
        <v>2183</v>
      </c>
      <c r="B316" s="124"/>
      <c r="C316" s="123" t="s">
        <v>3713</v>
      </c>
      <c r="D316" s="124">
        <v>12</v>
      </c>
      <c r="E316" s="124" t="s">
        <v>115</v>
      </c>
      <c r="F316" s="125">
        <v>750000</v>
      </c>
      <c r="G316" s="125">
        <f t="shared" si="8"/>
        <v>9000000</v>
      </c>
      <c r="H316" s="154" t="b">
        <f t="shared" si="7"/>
        <v>1</v>
      </c>
      <c r="I316" s="154"/>
      <c r="J316" s="154"/>
    </row>
    <row r="317" spans="1:10" ht="14.25">
      <c r="A317" s="7" t="s">
        <v>2185</v>
      </c>
      <c r="B317" s="124"/>
      <c r="C317" s="123" t="s">
        <v>3714</v>
      </c>
      <c r="D317" s="124">
        <v>12</v>
      </c>
      <c r="E317" s="124" t="s">
        <v>115</v>
      </c>
      <c r="F317" s="125">
        <v>1325000</v>
      </c>
      <c r="G317" s="125">
        <f t="shared" si="8"/>
        <v>15900000</v>
      </c>
      <c r="H317" s="154" t="b">
        <f t="shared" si="7"/>
        <v>1</v>
      </c>
      <c r="I317" s="154"/>
      <c r="J317" s="154"/>
    </row>
    <row r="318" spans="1:10" ht="14.25">
      <c r="A318" s="7" t="s">
        <v>2187</v>
      </c>
      <c r="B318" s="124"/>
      <c r="C318" s="123" t="s">
        <v>3715</v>
      </c>
      <c r="D318" s="124">
        <v>12</v>
      </c>
      <c r="E318" s="124" t="s">
        <v>78</v>
      </c>
      <c r="F318" s="125">
        <v>2500000</v>
      </c>
      <c r="G318" s="125">
        <f t="shared" si="8"/>
        <v>30000000</v>
      </c>
      <c r="H318" s="154" t="b">
        <f t="shared" si="7"/>
        <v>1</v>
      </c>
      <c r="I318" s="154"/>
      <c r="J318" s="154"/>
    </row>
    <row r="319" spans="1:10" ht="14.25">
      <c r="A319" s="7" t="s">
        <v>2189</v>
      </c>
      <c r="B319" s="60">
        <v>521811</v>
      </c>
      <c r="C319" s="41" t="s">
        <v>64</v>
      </c>
      <c r="D319" s="60"/>
      <c r="E319" s="60"/>
      <c r="F319" s="42"/>
      <c r="G319" s="42">
        <f>SUM(G320:G328)</f>
        <v>178160000</v>
      </c>
      <c r="H319" s="154" t="b">
        <f t="shared" si="7"/>
        <v>1</v>
      </c>
      <c r="I319" s="154"/>
      <c r="J319" s="154"/>
    </row>
    <row r="320" spans="1:10" ht="14.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c r="A321" s="7" t="s">
        <v>2191</v>
      </c>
      <c r="B321" s="124"/>
      <c r="C321" s="123" t="s">
        <v>3596</v>
      </c>
      <c r="D321" s="124">
        <v>40</v>
      </c>
      <c r="E321" s="124" t="s">
        <v>9</v>
      </c>
      <c r="F321" s="125">
        <v>1500000</v>
      </c>
      <c r="G321" s="125">
        <f t="shared" si="9"/>
        <v>60000000</v>
      </c>
      <c r="H321" s="154" t="b">
        <f t="shared" si="7"/>
        <v>1</v>
      </c>
      <c r="I321" s="154"/>
      <c r="J321" s="154"/>
    </row>
    <row r="322" spans="1:10" ht="14.25">
      <c r="A322" s="7" t="s">
        <v>2192</v>
      </c>
      <c r="B322" s="124"/>
      <c r="C322" s="123" t="s">
        <v>3716</v>
      </c>
      <c r="D322" s="124">
        <v>192</v>
      </c>
      <c r="E322" s="124" t="s">
        <v>9</v>
      </c>
      <c r="F322" s="125">
        <v>50000</v>
      </c>
      <c r="G322" s="125">
        <f t="shared" si="9"/>
        <v>9600000</v>
      </c>
      <c r="H322" s="154" t="b">
        <f t="shared" si="7"/>
        <v>1</v>
      </c>
      <c r="I322" s="154"/>
      <c r="J322" s="154"/>
    </row>
    <row r="323" spans="1:10" ht="14.25">
      <c r="A323" s="7" t="s">
        <v>2194</v>
      </c>
      <c r="B323" s="124"/>
      <c r="C323" s="123" t="s">
        <v>3717</v>
      </c>
      <c r="D323" s="124">
        <v>192</v>
      </c>
      <c r="E323" s="124" t="s">
        <v>9</v>
      </c>
      <c r="F323" s="125">
        <v>55000</v>
      </c>
      <c r="G323" s="125">
        <f t="shared" si="9"/>
        <v>10560000</v>
      </c>
      <c r="H323" s="154" t="b">
        <f t="shared" si="7"/>
        <v>1</v>
      </c>
      <c r="I323" s="154"/>
      <c r="J323" s="154"/>
    </row>
    <row r="324" spans="1:10" ht="14.25">
      <c r="A324" s="7" t="s">
        <v>2196</v>
      </c>
      <c r="B324" s="124"/>
      <c r="C324" s="123" t="s">
        <v>3718</v>
      </c>
      <c r="D324" s="124">
        <v>50</v>
      </c>
      <c r="E324" s="124" t="s">
        <v>2198</v>
      </c>
      <c r="F324" s="125">
        <v>220000</v>
      </c>
      <c r="G324" s="125">
        <f t="shared" si="9"/>
        <v>11000000</v>
      </c>
      <c r="H324" s="154" t="b">
        <f t="shared" si="7"/>
        <v>1</v>
      </c>
      <c r="I324" s="154"/>
      <c r="J324" s="154"/>
    </row>
    <row r="325" spans="1:10" ht="14.25">
      <c r="A325" s="7" t="s">
        <v>2199</v>
      </c>
      <c r="B325" s="124"/>
      <c r="C325" s="123" t="s">
        <v>3719</v>
      </c>
      <c r="D325" s="124">
        <v>50</v>
      </c>
      <c r="E325" s="124" t="s">
        <v>2198</v>
      </c>
      <c r="F325" s="125">
        <v>240000</v>
      </c>
      <c r="G325" s="125">
        <f t="shared" si="9"/>
        <v>12000000</v>
      </c>
      <c r="H325" s="154" t="b">
        <f t="shared" si="7"/>
        <v>1</v>
      </c>
      <c r="I325" s="154"/>
      <c r="J325" s="154"/>
    </row>
    <row r="326" spans="1:10" ht="14.25">
      <c r="A326" s="7" t="s">
        <v>2201</v>
      </c>
      <c r="B326" s="124"/>
      <c r="C326" s="123" t="s">
        <v>3720</v>
      </c>
      <c r="D326" s="124">
        <v>800</v>
      </c>
      <c r="E326" s="124" t="s">
        <v>120</v>
      </c>
      <c r="F326" s="125">
        <v>5000</v>
      </c>
      <c r="G326" s="125">
        <f t="shared" si="9"/>
        <v>4000000</v>
      </c>
      <c r="H326" s="154" t="b">
        <f t="shared" si="7"/>
        <v>1</v>
      </c>
      <c r="I326" s="154"/>
      <c r="J326" s="154"/>
    </row>
    <row r="327" spans="1:10" ht="14.25">
      <c r="A327" s="7" t="s">
        <v>2203</v>
      </c>
      <c r="B327" s="124"/>
      <c r="C327" s="123" t="s">
        <v>3721</v>
      </c>
      <c r="D327" s="124">
        <v>50</v>
      </c>
      <c r="E327" s="124" t="s">
        <v>1422</v>
      </c>
      <c r="F327" s="125">
        <v>220000</v>
      </c>
      <c r="G327" s="125">
        <f t="shared" si="9"/>
        <v>11000000</v>
      </c>
      <c r="H327" s="154" t="b">
        <f t="shared" si="7"/>
        <v>1</v>
      </c>
      <c r="I327" s="154"/>
      <c r="J327" s="154"/>
    </row>
    <row r="328" spans="1:10" ht="14.25">
      <c r="A328" s="7" t="s">
        <v>2205</v>
      </c>
      <c r="B328" s="124"/>
      <c r="C328" s="123" t="s">
        <v>3722</v>
      </c>
      <c r="D328" s="124">
        <v>800</v>
      </c>
      <c r="E328" s="124" t="s">
        <v>120</v>
      </c>
      <c r="F328" s="125">
        <v>25000</v>
      </c>
      <c r="G328" s="125">
        <f t="shared" si="9"/>
        <v>20000000</v>
      </c>
      <c r="H328" s="154" t="b">
        <f t="shared" si="7"/>
        <v>1</v>
      </c>
      <c r="I328" s="154"/>
      <c r="J328" s="154"/>
    </row>
    <row r="329" spans="1:10" ht="14.25">
      <c r="A329" s="7" t="s">
        <v>2207</v>
      </c>
      <c r="B329" s="59" t="s">
        <v>2208</v>
      </c>
      <c r="C329" s="38" t="s">
        <v>2209</v>
      </c>
      <c r="D329" s="59"/>
      <c r="E329" s="59"/>
      <c r="F329" s="39"/>
      <c r="G329" s="39">
        <f>SUM(G330,G332)</f>
        <v>148852000</v>
      </c>
      <c r="H329" s="154" t="b">
        <f t="shared" si="7"/>
        <v>1</v>
      </c>
      <c r="I329" s="154"/>
      <c r="J329" s="154"/>
    </row>
    <row r="330" spans="1:10" ht="14.25">
      <c r="A330" s="7" t="s">
        <v>2210</v>
      </c>
      <c r="B330" s="60">
        <v>521114</v>
      </c>
      <c r="C330" s="41" t="s">
        <v>94</v>
      </c>
      <c r="D330" s="60"/>
      <c r="E330" s="60"/>
      <c r="F330" s="42"/>
      <c r="G330" s="42">
        <f>G331</f>
        <v>30000000</v>
      </c>
      <c r="H330" s="154" t="b">
        <f>_xlfn.ISFORMULA(G330)</f>
        <v>1</v>
      </c>
      <c r="I330" s="154"/>
      <c r="J330" s="154"/>
    </row>
    <row r="331" spans="1:10" ht="14.25">
      <c r="A331" s="7" t="s">
        <v>2211</v>
      </c>
      <c r="B331" s="124"/>
      <c r="C331" s="123" t="s">
        <v>3723</v>
      </c>
      <c r="D331" s="124">
        <v>12</v>
      </c>
      <c r="E331" s="124" t="s">
        <v>78</v>
      </c>
      <c r="F331" s="125">
        <v>2500000</v>
      </c>
      <c r="G331" s="125">
        <f>ROUNDDOWN(D331*F331,-3)</f>
        <v>30000000</v>
      </c>
      <c r="H331" s="154" t="b">
        <f t="shared" si="7"/>
        <v>1</v>
      </c>
      <c r="I331" s="154"/>
      <c r="J331" s="154"/>
    </row>
    <row r="332" spans="1:10" ht="14.25">
      <c r="A332" s="7" t="s">
        <v>2213</v>
      </c>
      <c r="B332" s="60">
        <v>522141</v>
      </c>
      <c r="C332" s="41" t="s">
        <v>95</v>
      </c>
      <c r="D332" s="60"/>
      <c r="E332" s="60"/>
      <c r="F332" s="42"/>
      <c r="G332" s="42">
        <f>SUM(G333:G334)</f>
        <v>118852000</v>
      </c>
      <c r="H332" s="154" t="b">
        <f t="shared" si="7"/>
        <v>1</v>
      </c>
      <c r="I332" s="154"/>
      <c r="J332" s="154"/>
    </row>
    <row r="333" spans="1:10" ht="14.25">
      <c r="A333" s="7" t="s">
        <v>2214</v>
      </c>
      <c r="B333" s="124"/>
      <c r="C333" s="123" t="s">
        <v>3724</v>
      </c>
      <c r="D333" s="124">
        <v>12</v>
      </c>
      <c r="E333" s="124" t="s">
        <v>78</v>
      </c>
      <c r="F333" s="125">
        <v>5000000</v>
      </c>
      <c r="G333" s="125">
        <f>ROUNDDOWN(D333*F333,-3)</f>
        <v>60000000</v>
      </c>
      <c r="H333" s="154" t="b">
        <f t="shared" si="7"/>
        <v>1</v>
      </c>
      <c r="I333" s="154"/>
      <c r="J333" s="154"/>
    </row>
    <row r="334" spans="1:10" ht="14.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c r="A335" s="7" t="s">
        <v>2218</v>
      </c>
      <c r="B335" s="59" t="s">
        <v>2219</v>
      </c>
      <c r="C335" s="38" t="s">
        <v>2220</v>
      </c>
      <c r="D335" s="59"/>
      <c r="E335" s="59"/>
      <c r="F335" s="39"/>
      <c r="G335" s="39">
        <f>SUM(G336,G346)</f>
        <v>533050000</v>
      </c>
      <c r="H335" s="154" t="b">
        <f t="shared" si="10"/>
        <v>1</v>
      </c>
      <c r="I335" s="154"/>
      <c r="J335" s="154"/>
    </row>
    <row r="336" spans="1:10" ht="14.25">
      <c r="A336" s="7" t="s">
        <v>2221</v>
      </c>
      <c r="B336" s="60">
        <v>523121</v>
      </c>
      <c r="C336" s="41" t="s">
        <v>99</v>
      </c>
      <c r="D336" s="60"/>
      <c r="E336" s="60"/>
      <c r="F336" s="42"/>
      <c r="G336" s="42">
        <f>SUM(G337:G345)</f>
        <v>497050000</v>
      </c>
      <c r="H336" s="154" t="b">
        <f t="shared" si="10"/>
        <v>1</v>
      </c>
      <c r="I336" s="154"/>
      <c r="J336" s="154"/>
    </row>
    <row r="337" spans="1:10" ht="14.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c r="A338" s="7" t="s">
        <v>2224</v>
      </c>
      <c r="B338" s="124"/>
      <c r="C338" s="123" t="s">
        <v>3727</v>
      </c>
      <c r="D338" s="124">
        <v>9</v>
      </c>
      <c r="E338" s="124" t="s">
        <v>3728</v>
      </c>
      <c r="F338" s="125">
        <v>32850000</v>
      </c>
      <c r="G338" s="125">
        <f t="shared" si="11"/>
        <v>295650000</v>
      </c>
      <c r="H338" s="154" t="b">
        <f t="shared" si="10"/>
        <v>1</v>
      </c>
      <c r="I338" s="154"/>
      <c r="J338" s="154"/>
    </row>
    <row r="339" spans="1:10" ht="14.25">
      <c r="A339" s="7" t="s">
        <v>2226</v>
      </c>
      <c r="B339" s="124"/>
      <c r="C339" s="123" t="s">
        <v>3729</v>
      </c>
      <c r="D339" s="124">
        <v>5</v>
      </c>
      <c r="E339" s="124" t="s">
        <v>42</v>
      </c>
      <c r="F339" s="125">
        <v>3640000</v>
      </c>
      <c r="G339" s="125">
        <f t="shared" si="11"/>
        <v>18200000</v>
      </c>
      <c r="H339" s="154" t="b">
        <f t="shared" si="10"/>
        <v>1</v>
      </c>
      <c r="I339" s="154"/>
      <c r="J339" s="154"/>
    </row>
    <row r="340" spans="1:10" ht="14.25">
      <c r="A340" s="7" t="s">
        <v>2228</v>
      </c>
      <c r="B340" s="124"/>
      <c r="C340" s="123" t="s">
        <v>3730</v>
      </c>
      <c r="D340" s="124">
        <v>40</v>
      </c>
      <c r="E340" s="124" t="s">
        <v>42</v>
      </c>
      <c r="F340" s="125">
        <v>730000</v>
      </c>
      <c r="G340" s="125">
        <f t="shared" si="11"/>
        <v>29200000</v>
      </c>
      <c r="H340" s="154" t="b">
        <f t="shared" si="10"/>
        <v>1</v>
      </c>
      <c r="I340" s="154"/>
      <c r="J340" s="154"/>
    </row>
    <row r="341" spans="1:10" ht="14.25">
      <c r="A341" s="7" t="s">
        <v>2229</v>
      </c>
      <c r="B341" s="124"/>
      <c r="C341" s="123" t="s">
        <v>3731</v>
      </c>
      <c r="D341" s="124">
        <v>35</v>
      </c>
      <c r="E341" s="124" t="s">
        <v>44</v>
      </c>
      <c r="F341" s="125">
        <v>730000</v>
      </c>
      <c r="G341" s="125">
        <f t="shared" si="11"/>
        <v>25550000</v>
      </c>
      <c r="H341" s="154" t="b">
        <f t="shared" si="10"/>
        <v>1</v>
      </c>
      <c r="I341" s="154"/>
      <c r="J341" s="154"/>
    </row>
    <row r="342" spans="1:10" ht="14.25">
      <c r="A342" s="7" t="s">
        <v>2230</v>
      </c>
      <c r="B342" s="124"/>
      <c r="C342" s="123" t="s">
        <v>3732</v>
      </c>
      <c r="D342" s="124">
        <v>35</v>
      </c>
      <c r="E342" s="124" t="s">
        <v>44</v>
      </c>
      <c r="F342" s="125">
        <v>690000</v>
      </c>
      <c r="G342" s="125">
        <f t="shared" si="11"/>
        <v>24150000</v>
      </c>
      <c r="H342" s="154" t="b">
        <f t="shared" si="10"/>
        <v>1</v>
      </c>
      <c r="I342" s="154"/>
      <c r="J342" s="154"/>
    </row>
    <row r="343" spans="1:10" ht="14.25">
      <c r="A343" s="7" t="s">
        <v>2231</v>
      </c>
      <c r="B343" s="124"/>
      <c r="C343" s="123" t="s">
        <v>3733</v>
      </c>
      <c r="D343" s="124">
        <v>3</v>
      </c>
      <c r="E343" s="124" t="s">
        <v>44</v>
      </c>
      <c r="F343" s="125">
        <v>3500000</v>
      </c>
      <c r="G343" s="125">
        <f t="shared" si="11"/>
        <v>10500000</v>
      </c>
      <c r="H343" s="154" t="b">
        <f t="shared" si="10"/>
        <v>1</v>
      </c>
      <c r="I343" s="154"/>
      <c r="J343" s="154"/>
    </row>
    <row r="344" spans="1:10" ht="14.25">
      <c r="A344" s="7" t="s">
        <v>2232</v>
      </c>
      <c r="B344" s="124"/>
      <c r="C344" s="123" t="s">
        <v>3734</v>
      </c>
      <c r="D344" s="124">
        <v>6</v>
      </c>
      <c r="E344" s="124" t="s">
        <v>44</v>
      </c>
      <c r="F344" s="125">
        <v>470000</v>
      </c>
      <c r="G344" s="125">
        <f t="shared" si="11"/>
        <v>2820000</v>
      </c>
      <c r="H344" s="154" t="b">
        <f t="shared" si="10"/>
        <v>1</v>
      </c>
      <c r="I344" s="154"/>
      <c r="J344" s="154"/>
    </row>
    <row r="345" spans="1:10" ht="14.25">
      <c r="A345" s="7" t="s">
        <v>2234</v>
      </c>
      <c r="B345" s="124"/>
      <c r="C345" s="123" t="s">
        <v>3735</v>
      </c>
      <c r="D345" s="124">
        <v>1</v>
      </c>
      <c r="E345" s="124" t="s">
        <v>60</v>
      </c>
      <c r="F345" s="125">
        <v>52250000</v>
      </c>
      <c r="G345" s="125">
        <f t="shared" si="11"/>
        <v>52250000</v>
      </c>
      <c r="H345" s="154" t="b">
        <f t="shared" si="10"/>
        <v>1</v>
      </c>
      <c r="I345" s="154"/>
      <c r="J345" s="154"/>
    </row>
    <row r="346" spans="1:10" ht="14.25">
      <c r="A346" s="7" t="s">
        <v>2235</v>
      </c>
      <c r="B346" s="60">
        <v>523199</v>
      </c>
      <c r="C346" s="41" t="s">
        <v>102</v>
      </c>
      <c r="D346" s="60"/>
      <c r="E346" s="60"/>
      <c r="F346" s="42"/>
      <c r="G346" s="42">
        <f>G347</f>
        <v>36000000</v>
      </c>
      <c r="H346" s="154" t="b">
        <f t="shared" si="10"/>
        <v>1</v>
      </c>
      <c r="I346" s="154"/>
      <c r="J346" s="154"/>
    </row>
    <row r="347" spans="1:10" ht="14.25">
      <c r="A347" s="7" t="s">
        <v>2236</v>
      </c>
      <c r="B347" s="124"/>
      <c r="C347" s="123" t="s">
        <v>3736</v>
      </c>
      <c r="D347" s="124">
        <v>24</v>
      </c>
      <c r="E347" s="124" t="s">
        <v>96</v>
      </c>
      <c r="F347" s="125">
        <v>1500000</v>
      </c>
      <c r="G347" s="125">
        <f>ROUNDDOWN(D347*F347,-3)</f>
        <v>36000000</v>
      </c>
      <c r="H347" s="154" t="b">
        <f t="shared" si="10"/>
        <v>1</v>
      </c>
      <c r="I347" s="154"/>
      <c r="J347" s="154"/>
    </row>
    <row r="348" spans="1:10" ht="14.25">
      <c r="A348" s="7" t="s">
        <v>2238</v>
      </c>
      <c r="B348" s="59" t="s">
        <v>2239</v>
      </c>
      <c r="C348" s="38" t="s">
        <v>2240</v>
      </c>
      <c r="D348" s="59"/>
      <c r="E348" s="59"/>
      <c r="F348" s="39"/>
      <c r="G348" s="39">
        <f>SUM(G349,G352)</f>
        <v>159376000</v>
      </c>
      <c r="H348" s="154" t="b">
        <f t="shared" si="10"/>
        <v>1</v>
      </c>
      <c r="I348" s="154"/>
      <c r="J348" s="154"/>
    </row>
    <row r="349" spans="1:10" ht="14.25">
      <c r="A349" s="7" t="s">
        <v>2241</v>
      </c>
      <c r="B349" s="60">
        <v>521111</v>
      </c>
      <c r="C349" s="41" t="s">
        <v>90</v>
      </c>
      <c r="D349" s="60"/>
      <c r="E349" s="60"/>
      <c r="F349" s="42"/>
      <c r="G349" s="42">
        <f>SUM(G350:G351)</f>
        <v>101040000</v>
      </c>
      <c r="H349" s="154" t="b">
        <f t="shared" si="10"/>
        <v>1</v>
      </c>
      <c r="I349" s="154"/>
      <c r="J349" s="154"/>
    </row>
    <row r="350" spans="1:10" s="156" customFormat="1" ht="14.25">
      <c r="A350" s="155" t="s">
        <v>2242</v>
      </c>
      <c r="B350" s="124"/>
      <c r="C350" s="123" t="s">
        <v>3737</v>
      </c>
      <c r="D350" s="124">
        <v>100</v>
      </c>
      <c r="E350" s="124" t="s">
        <v>2244</v>
      </c>
      <c r="F350" s="125">
        <v>857000</v>
      </c>
      <c r="G350" s="125">
        <f>ROUNDDOWN(D350*F350,-3)</f>
        <v>85700000</v>
      </c>
      <c r="H350" s="154" t="b">
        <f t="shared" si="10"/>
        <v>1</v>
      </c>
      <c r="I350" s="154"/>
      <c r="J350" s="154"/>
    </row>
    <row r="351" spans="1:10" ht="14.25">
      <c r="A351" s="7" t="s">
        <v>2245</v>
      </c>
      <c r="B351" s="124"/>
      <c r="C351" s="123" t="s">
        <v>3738</v>
      </c>
      <c r="D351" s="124">
        <v>26</v>
      </c>
      <c r="E351" s="124" t="s">
        <v>121</v>
      </c>
      <c r="F351" s="125">
        <v>590000</v>
      </c>
      <c r="G351" s="125">
        <f>ROUNDDOWN(D351*F351,-3)</f>
        <v>15340000</v>
      </c>
      <c r="H351" s="154" t="b">
        <f t="shared" si="10"/>
        <v>1</v>
      </c>
      <c r="I351" s="154"/>
      <c r="J351" s="154"/>
    </row>
    <row r="352" spans="1:10" ht="14.25">
      <c r="A352" s="7" t="s">
        <v>2247</v>
      </c>
      <c r="B352" s="60">
        <v>521115</v>
      </c>
      <c r="C352" s="41" t="s">
        <v>104</v>
      </c>
      <c r="D352" s="60"/>
      <c r="E352" s="60"/>
      <c r="F352" s="42"/>
      <c r="G352" s="42">
        <f>SUM(G353:G362)</f>
        <v>58336000</v>
      </c>
      <c r="H352" s="154" t="b">
        <f t="shared" si="10"/>
        <v>1</v>
      </c>
      <c r="I352" s="154"/>
      <c r="J352" s="154"/>
    </row>
    <row r="353" spans="1:10" ht="14.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c r="A354" s="7" t="s">
        <v>2250</v>
      </c>
      <c r="B354" s="124"/>
      <c r="C354" s="123" t="s">
        <v>3740</v>
      </c>
      <c r="D354" s="124">
        <v>12</v>
      </c>
      <c r="E354" s="124" t="s">
        <v>32</v>
      </c>
      <c r="F354" s="125">
        <v>324000</v>
      </c>
      <c r="G354" s="125">
        <f t="shared" si="12"/>
        <v>3888000</v>
      </c>
      <c r="H354" s="154" t="b">
        <f t="shared" si="10"/>
        <v>1</v>
      </c>
      <c r="I354" s="154"/>
      <c r="J354" s="154"/>
    </row>
    <row r="355" spans="1:10" ht="14.25">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c r="A356" s="155" t="s">
        <v>2254</v>
      </c>
      <c r="B356" s="124"/>
      <c r="C356" s="123" t="s">
        <v>3742</v>
      </c>
      <c r="D356" s="124">
        <v>12</v>
      </c>
      <c r="E356" s="124" t="s">
        <v>32</v>
      </c>
      <c r="F356" s="125">
        <v>680000</v>
      </c>
      <c r="G356" s="125">
        <f t="shared" si="12"/>
        <v>8160000</v>
      </c>
      <c r="H356" s="154" t="b">
        <f t="shared" si="10"/>
        <v>1</v>
      </c>
      <c r="I356" s="154"/>
      <c r="J356" s="154"/>
    </row>
    <row r="357" spans="1:10" ht="14.25">
      <c r="A357" s="7" t="s">
        <v>2256</v>
      </c>
      <c r="B357" s="124"/>
      <c r="C357" s="123" t="s">
        <v>3743</v>
      </c>
      <c r="D357" s="124">
        <v>12</v>
      </c>
      <c r="E357" s="124" t="s">
        <v>32</v>
      </c>
      <c r="F357" s="125">
        <v>200000</v>
      </c>
      <c r="G357" s="125">
        <f t="shared" si="12"/>
        <v>2400000</v>
      </c>
      <c r="H357" s="154" t="b">
        <f t="shared" si="10"/>
        <v>1</v>
      </c>
      <c r="I357" s="154"/>
      <c r="J357" s="154"/>
    </row>
    <row r="358" spans="1:10" ht="14.25">
      <c r="A358" s="7" t="s">
        <v>2258</v>
      </c>
      <c r="B358" s="124"/>
      <c r="C358" s="123" t="s">
        <v>3744</v>
      </c>
      <c r="D358" s="124">
        <v>12</v>
      </c>
      <c r="E358" s="124" t="s">
        <v>32</v>
      </c>
      <c r="F358" s="125">
        <v>80000</v>
      </c>
      <c r="G358" s="125">
        <f t="shared" si="12"/>
        <v>960000</v>
      </c>
      <c r="H358" s="154" t="b">
        <f t="shared" si="10"/>
        <v>1</v>
      </c>
      <c r="I358" s="154"/>
      <c r="J358" s="154"/>
    </row>
    <row r="359" spans="1:10" ht="14.25">
      <c r="A359" s="7" t="s">
        <v>2260</v>
      </c>
      <c r="B359" s="124"/>
      <c r="C359" s="123" t="s">
        <v>3745</v>
      </c>
      <c r="D359" s="124">
        <v>12</v>
      </c>
      <c r="E359" s="124" t="s">
        <v>32</v>
      </c>
      <c r="F359" s="125">
        <v>200000</v>
      </c>
      <c r="G359" s="125">
        <f t="shared" si="12"/>
        <v>2400000</v>
      </c>
      <c r="H359" s="154" t="b">
        <f t="shared" si="10"/>
        <v>1</v>
      </c>
      <c r="I359" s="154"/>
      <c r="J359" s="154"/>
    </row>
    <row r="360" spans="1:10" ht="14.25">
      <c r="A360" s="7" t="s">
        <v>2262</v>
      </c>
      <c r="B360" s="124"/>
      <c r="C360" s="123" t="s">
        <v>3746</v>
      </c>
      <c r="D360" s="124">
        <v>1</v>
      </c>
      <c r="E360" s="124" t="s">
        <v>776</v>
      </c>
      <c r="F360" s="125">
        <v>400000</v>
      </c>
      <c r="G360" s="125">
        <f t="shared" si="12"/>
        <v>400000</v>
      </c>
      <c r="H360" s="154" t="b">
        <f t="shared" si="10"/>
        <v>1</v>
      </c>
      <c r="I360" s="154"/>
      <c r="J360" s="154"/>
    </row>
    <row r="361" spans="1:10" s="156" customFormat="1" ht="14.25">
      <c r="A361" s="155" t="s">
        <v>2264</v>
      </c>
      <c r="B361" s="124"/>
      <c r="C361" s="123" t="s">
        <v>3747</v>
      </c>
      <c r="D361" s="124">
        <v>1</v>
      </c>
      <c r="E361" s="124" t="s">
        <v>25</v>
      </c>
      <c r="F361" s="125">
        <v>300000</v>
      </c>
      <c r="G361" s="125">
        <f t="shared" si="12"/>
        <v>300000</v>
      </c>
      <c r="H361" s="154" t="b">
        <f t="shared" si="10"/>
        <v>1</v>
      </c>
      <c r="I361" s="154"/>
      <c r="J361" s="154"/>
    </row>
    <row r="362" spans="1:10" ht="14.25">
      <c r="A362" s="7" t="s">
        <v>2266</v>
      </c>
      <c r="B362" s="124"/>
      <c r="C362" s="123" t="s">
        <v>3748</v>
      </c>
      <c r="D362" s="124">
        <v>3</v>
      </c>
      <c r="E362" s="124" t="s">
        <v>25</v>
      </c>
      <c r="F362" s="125">
        <v>300000</v>
      </c>
      <c r="G362" s="125">
        <f t="shared" si="12"/>
        <v>900000</v>
      </c>
      <c r="H362" s="154" t="b">
        <f t="shared" si="10"/>
        <v>1</v>
      </c>
      <c r="I362" s="154"/>
      <c r="J362" s="154"/>
    </row>
    <row r="363" spans="1:10" ht="14.25">
      <c r="A363" s="7" t="s">
        <v>3749</v>
      </c>
      <c r="B363" s="59" t="s">
        <v>3750</v>
      </c>
      <c r="C363" s="38" t="s">
        <v>3751</v>
      </c>
      <c r="D363" s="59"/>
      <c r="E363" s="59"/>
      <c r="F363" s="39"/>
      <c r="G363" s="39">
        <f>SUM(G364,G369,G374)</f>
        <v>100000000</v>
      </c>
      <c r="H363" s="154" t="b">
        <f t="shared" si="10"/>
        <v>1</v>
      </c>
      <c r="I363" s="154"/>
      <c r="J363" s="154"/>
    </row>
    <row r="364" spans="1:10" ht="14.25">
      <c r="A364" s="7" t="s">
        <v>3752</v>
      </c>
      <c r="B364" s="60">
        <v>521111</v>
      </c>
      <c r="C364" s="41" t="s">
        <v>90</v>
      </c>
      <c r="D364" s="60"/>
      <c r="E364" s="60"/>
      <c r="F364" s="42"/>
      <c r="G364" s="42">
        <f>SUM(G365:G368)</f>
        <v>45000000</v>
      </c>
      <c r="H364" s="154" t="b">
        <f t="shared" si="10"/>
        <v>1</v>
      </c>
      <c r="I364" s="154"/>
      <c r="J364" s="154"/>
    </row>
    <row r="365" spans="1:10" ht="14.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c r="A366" s="155" t="s">
        <v>3755</v>
      </c>
      <c r="B366" s="124"/>
      <c r="C366" s="123" t="s">
        <v>3756</v>
      </c>
      <c r="D366" s="124">
        <v>48</v>
      </c>
      <c r="E366" s="124" t="s">
        <v>58</v>
      </c>
      <c r="F366" s="125">
        <v>500000</v>
      </c>
      <c r="G366" s="125">
        <f>ROUNDDOWN(D366*F366,-3)</f>
        <v>24000000</v>
      </c>
      <c r="H366" s="154" t="b">
        <f t="shared" si="10"/>
        <v>1</v>
      </c>
      <c r="I366" s="154"/>
      <c r="J366" s="154"/>
    </row>
    <row r="367" spans="1:10" ht="14.25">
      <c r="A367" s="7" t="s">
        <v>3757</v>
      </c>
      <c r="B367" s="124"/>
      <c r="C367" s="123" t="s">
        <v>3758</v>
      </c>
      <c r="D367" s="124">
        <v>12</v>
      </c>
      <c r="E367" s="124" t="s">
        <v>78</v>
      </c>
      <c r="F367" s="125">
        <v>500000</v>
      </c>
      <c r="G367" s="125">
        <f>ROUNDDOWN(D367*F367,-3)</f>
        <v>6000000</v>
      </c>
      <c r="H367" s="154" t="b">
        <f t="shared" si="10"/>
        <v>1</v>
      </c>
      <c r="I367" s="154"/>
      <c r="J367" s="154"/>
    </row>
    <row r="368" spans="1:10" ht="14.25">
      <c r="A368" s="7" t="s">
        <v>3759</v>
      </c>
      <c r="B368" s="124"/>
      <c r="C368" s="123" t="s">
        <v>3760</v>
      </c>
      <c r="D368" s="124">
        <v>60</v>
      </c>
      <c r="E368" s="124" t="s">
        <v>116</v>
      </c>
      <c r="F368" s="125">
        <v>200000</v>
      </c>
      <c r="G368" s="125">
        <f>ROUNDDOWN(D368*F368,-3)</f>
        <v>12000000</v>
      </c>
      <c r="H368" s="154" t="b">
        <f t="shared" si="10"/>
        <v>1</v>
      </c>
      <c r="I368" s="154"/>
      <c r="J368" s="154"/>
    </row>
    <row r="369" spans="1:10" ht="14.25">
      <c r="A369" s="7" t="s">
        <v>3761</v>
      </c>
      <c r="B369" s="60">
        <v>521811</v>
      </c>
      <c r="C369" s="41" t="s">
        <v>64</v>
      </c>
      <c r="D369" s="60"/>
      <c r="E369" s="60"/>
      <c r="F369" s="42"/>
      <c r="G369" s="42">
        <f>SUM(G370:G373)</f>
        <v>26000000</v>
      </c>
      <c r="H369" s="154" t="b">
        <f t="shared" si="10"/>
        <v>1</v>
      </c>
      <c r="I369" s="154"/>
      <c r="J369" s="154"/>
    </row>
    <row r="370" spans="1:10" ht="14.25">
      <c r="A370" s="7" t="s">
        <v>3762</v>
      </c>
      <c r="B370" s="124"/>
      <c r="C370" s="123" t="s">
        <v>3595</v>
      </c>
      <c r="D370" s="124">
        <v>8</v>
      </c>
      <c r="E370" s="124" t="s">
        <v>9</v>
      </c>
      <c r="F370" s="125">
        <v>1000000</v>
      </c>
      <c r="G370" s="125">
        <f>ROUNDDOWN(D370*F370,-3)</f>
        <v>8000000</v>
      </c>
      <c r="H370" s="154" t="b">
        <f t="shared" si="10"/>
        <v>1</v>
      </c>
      <c r="I370" s="154"/>
      <c r="J370" s="154"/>
    </row>
    <row r="371" spans="1:10" ht="14.25">
      <c r="A371" s="7" t="s">
        <v>3763</v>
      </c>
      <c r="B371" s="124"/>
      <c r="C371" s="123" t="s">
        <v>3596</v>
      </c>
      <c r="D371" s="124">
        <v>8</v>
      </c>
      <c r="E371" s="124" t="s">
        <v>9</v>
      </c>
      <c r="F371" s="125">
        <v>1500000</v>
      </c>
      <c r="G371" s="125">
        <f>ROUNDDOWN(D371*F371,-3)</f>
        <v>12000000</v>
      </c>
      <c r="H371" s="154" t="b">
        <f t="shared" si="10"/>
        <v>1</v>
      </c>
      <c r="I371" s="154"/>
      <c r="J371" s="154"/>
    </row>
    <row r="372" spans="1:10" ht="14.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c r="A373" s="155" t="s">
        <v>3766</v>
      </c>
      <c r="B373" s="124"/>
      <c r="C373" s="123" t="s">
        <v>3767</v>
      </c>
      <c r="D373" s="124">
        <v>200</v>
      </c>
      <c r="E373" s="124" t="s">
        <v>120</v>
      </c>
      <c r="F373" s="125">
        <v>25000</v>
      </c>
      <c r="G373" s="125">
        <f>ROUNDDOWN(D373*F373,-3)</f>
        <v>5000000</v>
      </c>
      <c r="H373" s="154" t="b">
        <f t="shared" si="10"/>
        <v>1</v>
      </c>
      <c r="I373" s="154"/>
      <c r="J373" s="154"/>
    </row>
    <row r="374" spans="1:10" ht="14.25">
      <c r="A374" s="7" t="s">
        <v>3768</v>
      </c>
      <c r="B374" s="60">
        <v>523121</v>
      </c>
      <c r="C374" s="41" t="s">
        <v>99</v>
      </c>
      <c r="D374" s="60"/>
      <c r="E374" s="60"/>
      <c r="F374" s="42"/>
      <c r="G374" s="42">
        <f>SUM(G375:G379)</f>
        <v>29000000</v>
      </c>
      <c r="H374" s="154" t="b">
        <f t="shared" si="10"/>
        <v>1</v>
      </c>
      <c r="I374" s="154"/>
      <c r="J374" s="154"/>
    </row>
    <row r="375" spans="1:10" s="156" customFormat="1" ht="14.25">
      <c r="A375" s="155" t="s">
        <v>3769</v>
      </c>
      <c r="B375" s="124"/>
      <c r="C375" s="123" t="s">
        <v>3770</v>
      </c>
      <c r="D375" s="124">
        <v>1</v>
      </c>
      <c r="E375" s="124" t="s">
        <v>42</v>
      </c>
      <c r="F375" s="125">
        <v>7200000</v>
      </c>
      <c r="G375" s="125">
        <f>ROUNDDOWN(D375*F375,-3)</f>
        <v>7200000</v>
      </c>
      <c r="H375" s="154" t="b">
        <f t="shared" si="10"/>
        <v>1</v>
      </c>
      <c r="I375" s="154"/>
      <c r="J375" s="154"/>
    </row>
    <row r="376" spans="1:10" ht="14.25">
      <c r="A376" s="7" t="s">
        <v>3771</v>
      </c>
      <c r="B376" s="124"/>
      <c r="C376" s="123" t="s">
        <v>3772</v>
      </c>
      <c r="D376" s="124">
        <v>10</v>
      </c>
      <c r="E376" s="124" t="s">
        <v>42</v>
      </c>
      <c r="F376" s="125">
        <v>730000</v>
      </c>
      <c r="G376" s="125">
        <f>ROUNDDOWN(D376*F376,-3)</f>
        <v>7300000</v>
      </c>
      <c r="H376" s="154" t="b">
        <f t="shared" si="10"/>
        <v>1</v>
      </c>
      <c r="I376" s="154"/>
      <c r="J376" s="154"/>
    </row>
    <row r="377" spans="1:10" ht="14.25">
      <c r="A377" s="7" t="s">
        <v>3773</v>
      </c>
      <c r="B377" s="124"/>
      <c r="C377" s="123" t="s">
        <v>3774</v>
      </c>
      <c r="D377" s="124">
        <v>10</v>
      </c>
      <c r="E377" s="124" t="s">
        <v>44</v>
      </c>
      <c r="F377" s="125">
        <v>730000</v>
      </c>
      <c r="G377" s="125">
        <f>ROUNDDOWN(D377*F377,-3)</f>
        <v>7300000</v>
      </c>
      <c r="H377" s="154" t="b">
        <f t="shared" si="10"/>
        <v>1</v>
      </c>
      <c r="I377" s="154"/>
      <c r="J377" s="154"/>
    </row>
    <row r="378" spans="1:10" ht="14.25">
      <c r="A378" s="7" t="s">
        <v>3775</v>
      </c>
      <c r="B378" s="124"/>
      <c r="C378" s="123" t="s">
        <v>3776</v>
      </c>
      <c r="D378" s="124">
        <v>10</v>
      </c>
      <c r="E378" s="124" t="s">
        <v>44</v>
      </c>
      <c r="F378" s="125">
        <v>690000</v>
      </c>
      <c r="G378" s="125">
        <f>ROUNDDOWN(D378*F378,-3)</f>
        <v>6900000</v>
      </c>
      <c r="H378" s="154" t="b">
        <f t="shared" si="10"/>
        <v>1</v>
      </c>
      <c r="I378" s="154"/>
      <c r="J378" s="154"/>
    </row>
    <row r="379" spans="1:10" ht="14.25">
      <c r="A379" s="7" t="s">
        <v>3777</v>
      </c>
      <c r="B379" s="124"/>
      <c r="C379" s="123" t="s">
        <v>3778</v>
      </c>
      <c r="D379" s="124">
        <v>1</v>
      </c>
      <c r="E379" s="124" t="s">
        <v>60</v>
      </c>
      <c r="F379" s="125">
        <v>300000</v>
      </c>
      <c r="G379" s="125">
        <f>ROUNDDOWN(D379*F379,-3)</f>
        <v>300000</v>
      </c>
      <c r="H379" s="154" t="b">
        <f t="shared" si="10"/>
        <v>1</v>
      </c>
      <c r="I379" s="154"/>
      <c r="J379" s="154"/>
    </row>
    <row r="380" spans="1:10" ht="14.25">
      <c r="A380" s="7" t="s">
        <v>2268</v>
      </c>
      <c r="B380" s="116" t="s">
        <v>2269</v>
      </c>
      <c r="C380" s="114" t="s">
        <v>2270</v>
      </c>
      <c r="D380" s="116">
        <v>2</v>
      </c>
      <c r="E380" s="116" t="s">
        <v>42</v>
      </c>
      <c r="F380" s="117"/>
      <c r="G380" s="117">
        <f>G381</f>
        <v>540934000</v>
      </c>
      <c r="H380" s="154" t="b">
        <f t="shared" si="10"/>
        <v>1</v>
      </c>
      <c r="I380" s="154"/>
      <c r="J380" s="154"/>
    </row>
    <row r="381" spans="1:10" ht="14.25">
      <c r="A381" s="7" t="s">
        <v>2271</v>
      </c>
      <c r="B381" s="119" t="s">
        <v>3779</v>
      </c>
      <c r="C381" s="118" t="s">
        <v>2273</v>
      </c>
      <c r="D381" s="119">
        <v>1</v>
      </c>
      <c r="E381" s="119" t="s">
        <v>42</v>
      </c>
      <c r="F381" s="120"/>
      <c r="G381" s="120">
        <f>G382</f>
        <v>540934000</v>
      </c>
      <c r="H381" s="154" t="b">
        <f t="shared" si="10"/>
        <v>1</v>
      </c>
      <c r="I381" s="154"/>
      <c r="J381" s="154"/>
    </row>
    <row r="382" spans="1:10" ht="14.25">
      <c r="A382" s="7" t="s">
        <v>2289</v>
      </c>
      <c r="B382" s="58">
        <v>301</v>
      </c>
      <c r="C382" s="35" t="s">
        <v>2290</v>
      </c>
      <c r="D382" s="58"/>
      <c r="E382" s="58"/>
      <c r="F382" s="36"/>
      <c r="G382" s="36">
        <f>G383</f>
        <v>540934000</v>
      </c>
      <c r="H382" s="154" t="b">
        <f t="shared" si="10"/>
        <v>1</v>
      </c>
      <c r="I382" s="154"/>
      <c r="J382" s="154"/>
    </row>
    <row r="383" spans="1:10" ht="14.25">
      <c r="A383" s="7" t="s">
        <v>2291</v>
      </c>
      <c r="B383" s="59" t="s">
        <v>8</v>
      </c>
      <c r="C383" s="38" t="s">
        <v>2292</v>
      </c>
      <c r="D383" s="59"/>
      <c r="E383" s="59"/>
      <c r="F383" s="39"/>
      <c r="G383" s="39">
        <f>G384</f>
        <v>540934000</v>
      </c>
      <c r="H383" s="154" t="b">
        <f t="shared" si="10"/>
        <v>1</v>
      </c>
      <c r="I383" s="154"/>
      <c r="J383" s="154"/>
    </row>
    <row r="384" spans="1:10" ht="14.25">
      <c r="A384" s="7" t="s">
        <v>2293</v>
      </c>
      <c r="B384" s="60">
        <v>532111</v>
      </c>
      <c r="C384" s="41" t="s">
        <v>43</v>
      </c>
      <c r="D384" s="60"/>
      <c r="E384" s="60"/>
      <c r="F384" s="42"/>
      <c r="G384" s="42">
        <f>G385</f>
        <v>540934000</v>
      </c>
      <c r="H384" s="154" t="b">
        <f t="shared" si="10"/>
        <v>1</v>
      </c>
      <c r="I384" s="154"/>
      <c r="J384" s="154"/>
    </row>
    <row r="385" spans="1:10" ht="14.25">
      <c r="A385" s="7" t="s">
        <v>2294</v>
      </c>
      <c r="B385" s="124"/>
      <c r="C385" s="123" t="s">
        <v>3780</v>
      </c>
      <c r="D385" s="124">
        <v>1</v>
      </c>
      <c r="E385" s="124" t="s">
        <v>42</v>
      </c>
      <c r="F385" s="125">
        <v>540934000</v>
      </c>
      <c r="G385" s="125">
        <f>ROUNDDOWN(D385*F385,-3)</f>
        <v>540934000</v>
      </c>
      <c r="H385" s="154" t="b">
        <f t="shared" si="10"/>
        <v>1</v>
      </c>
      <c r="I385" s="154"/>
      <c r="J385" s="154"/>
    </row>
    <row r="386" spans="1:10" ht="14.25">
      <c r="A386" s="7" t="s">
        <v>2465</v>
      </c>
      <c r="B386" s="116" t="s">
        <v>2466</v>
      </c>
      <c r="C386" s="114" t="s">
        <v>2467</v>
      </c>
      <c r="D386" s="116">
        <v>5</v>
      </c>
      <c r="E386" s="116" t="s">
        <v>3782</v>
      </c>
      <c r="F386" s="117"/>
      <c r="G386" s="117">
        <f>SUM(G387,G427,G469)</f>
        <v>1538790000</v>
      </c>
      <c r="H386" s="154" t="b">
        <f t="shared" si="10"/>
        <v>1</v>
      </c>
      <c r="I386" s="154"/>
      <c r="J386" s="154"/>
    </row>
    <row r="387" spans="1:10" ht="14.25">
      <c r="A387" s="7" t="s">
        <v>2468</v>
      </c>
      <c r="B387" s="119" t="s">
        <v>3783</v>
      </c>
      <c r="C387" s="118" t="s">
        <v>2470</v>
      </c>
      <c r="D387" s="119">
        <v>1</v>
      </c>
      <c r="E387" s="119" t="s">
        <v>3782</v>
      </c>
      <c r="F387" s="120"/>
      <c r="G387" s="120">
        <f>G388</f>
        <v>615138000</v>
      </c>
      <c r="H387" s="154" t="b">
        <f t="shared" si="10"/>
        <v>1</v>
      </c>
      <c r="I387" s="154"/>
      <c r="J387" s="154"/>
    </row>
    <row r="388" spans="1:10" ht="14.25">
      <c r="A388" s="7" t="s">
        <v>2739</v>
      </c>
      <c r="B388" s="58">
        <v>301</v>
      </c>
      <c r="C388" s="35" t="s">
        <v>2740</v>
      </c>
      <c r="D388" s="58"/>
      <c r="E388" s="58"/>
      <c r="F388" s="36"/>
      <c r="G388" s="36">
        <f>SUM(G389,G401,G415)</f>
        <v>615138000</v>
      </c>
      <c r="H388" s="154" t="b">
        <f t="shared" si="10"/>
        <v>1</v>
      </c>
      <c r="I388" s="154"/>
      <c r="J388" s="154"/>
    </row>
    <row r="389" spans="1:10" ht="14.25">
      <c r="A389" s="7" t="s">
        <v>2741</v>
      </c>
      <c r="B389" s="59" t="s">
        <v>8</v>
      </c>
      <c r="C389" s="38" t="s">
        <v>129</v>
      </c>
      <c r="D389" s="59"/>
      <c r="E389" s="59"/>
      <c r="F389" s="39"/>
      <c r="G389" s="39">
        <f>SUM(G390,G394,G396,G399)</f>
        <v>101050000</v>
      </c>
      <c r="H389" s="154" t="b">
        <f t="shared" si="10"/>
        <v>1</v>
      </c>
      <c r="I389" s="154"/>
      <c r="J389" s="154"/>
    </row>
    <row r="390" spans="1:10" ht="14.25">
      <c r="A390" s="7" t="s">
        <v>2742</v>
      </c>
      <c r="B390" s="60">
        <v>521211</v>
      </c>
      <c r="C390" s="41" t="s">
        <v>7</v>
      </c>
      <c r="D390" s="60"/>
      <c r="E390" s="60"/>
      <c r="F390" s="42"/>
      <c r="G390" s="42">
        <f>SUM(G391:G393)</f>
        <v>22650000</v>
      </c>
      <c r="H390" s="154" t="b">
        <f t="shared" si="10"/>
        <v>1</v>
      </c>
      <c r="I390" s="154"/>
      <c r="J390" s="154"/>
    </row>
    <row r="391" spans="1:10" ht="14.25">
      <c r="A391" s="7" t="s">
        <v>2743</v>
      </c>
      <c r="B391" s="124"/>
      <c r="C391" s="123" t="s">
        <v>3587</v>
      </c>
      <c r="D391" s="124">
        <v>6</v>
      </c>
      <c r="E391" s="124" t="s">
        <v>9</v>
      </c>
      <c r="F391" s="125">
        <v>1500000</v>
      </c>
      <c r="G391" s="125">
        <f>ROUNDDOWN(D391*F391,-3)</f>
        <v>9000000</v>
      </c>
      <c r="H391" s="154" t="b">
        <f t="shared" si="10"/>
        <v>1</v>
      </c>
      <c r="I391" s="154"/>
      <c r="J391" s="154"/>
    </row>
    <row r="392" spans="1:10" ht="14.25">
      <c r="A392" s="7" t="s">
        <v>2744</v>
      </c>
      <c r="B392" s="124"/>
      <c r="C392" s="123" t="s">
        <v>3784</v>
      </c>
      <c r="D392" s="124">
        <v>70</v>
      </c>
      <c r="E392" s="124" t="s">
        <v>10</v>
      </c>
      <c r="F392" s="125">
        <v>70000</v>
      </c>
      <c r="G392" s="125">
        <f>ROUNDDOWN(D392*F392,-3)</f>
        <v>4900000</v>
      </c>
      <c r="H392" s="154" t="b">
        <f t="shared" si="10"/>
        <v>1</v>
      </c>
      <c r="I392" s="154"/>
      <c r="J392" s="154"/>
    </row>
    <row r="393" spans="1:10" ht="14.25">
      <c r="A393" s="7" t="s">
        <v>2746</v>
      </c>
      <c r="B393" s="124"/>
      <c r="C393" s="123" t="s">
        <v>3785</v>
      </c>
      <c r="D393" s="124">
        <v>25</v>
      </c>
      <c r="E393" s="124" t="s">
        <v>176</v>
      </c>
      <c r="F393" s="125">
        <v>350000</v>
      </c>
      <c r="G393" s="125">
        <f>ROUNDDOWN(D393*F393,-3)</f>
        <v>8750000</v>
      </c>
      <c r="H393" s="154" t="b">
        <f t="shared" si="10"/>
        <v>1</v>
      </c>
      <c r="I393" s="154"/>
      <c r="J393" s="154"/>
    </row>
    <row r="394" spans="1:10" ht="14.25">
      <c r="A394" s="7" t="s">
        <v>2747</v>
      </c>
      <c r="B394" s="60">
        <v>521219</v>
      </c>
      <c r="C394" s="41" t="s">
        <v>53</v>
      </c>
      <c r="D394" s="60"/>
      <c r="E394" s="60"/>
      <c r="F394" s="42"/>
      <c r="G394" s="42">
        <f>G395</f>
        <v>1000000</v>
      </c>
      <c r="H394" s="154" t="b">
        <f t="shared" si="10"/>
        <v>1</v>
      </c>
      <c r="I394" s="154"/>
      <c r="J394" s="154"/>
    </row>
    <row r="395" spans="1:10" ht="14.25">
      <c r="A395" s="7" t="s">
        <v>2748</v>
      </c>
      <c r="B395" s="124"/>
      <c r="C395" s="123" t="s">
        <v>3610</v>
      </c>
      <c r="D395" s="124">
        <v>4</v>
      </c>
      <c r="E395" s="124" t="s">
        <v>2749</v>
      </c>
      <c r="F395" s="125">
        <v>250000</v>
      </c>
      <c r="G395" s="125">
        <f>ROUNDDOWN(D395*F395,-3)</f>
        <v>1000000</v>
      </c>
      <c r="H395" s="154" t="b">
        <f t="shared" si="10"/>
        <v>1</v>
      </c>
      <c r="I395" s="154"/>
      <c r="J395" s="154"/>
    </row>
    <row r="396" spans="1:10" ht="14.25">
      <c r="A396" s="7" t="s">
        <v>2750</v>
      </c>
      <c r="B396" s="60">
        <v>521811</v>
      </c>
      <c r="C396" s="41" t="s">
        <v>64</v>
      </c>
      <c r="D396" s="60"/>
      <c r="E396" s="60"/>
      <c r="F396" s="42"/>
      <c r="G396" s="42">
        <f>SUM(G397:G398)</f>
        <v>15000000</v>
      </c>
      <c r="H396" s="154" t="b">
        <f t="shared" si="10"/>
        <v>1</v>
      </c>
      <c r="I396" s="154"/>
      <c r="J396" s="154"/>
    </row>
    <row r="397" spans="1:10" ht="14.25">
      <c r="A397" s="7" t="s">
        <v>2751</v>
      </c>
      <c r="B397" s="124"/>
      <c r="C397" s="123" t="s">
        <v>3595</v>
      </c>
      <c r="D397" s="124">
        <v>6</v>
      </c>
      <c r="E397" s="124" t="s">
        <v>106</v>
      </c>
      <c r="F397" s="125">
        <v>1000000</v>
      </c>
      <c r="G397" s="125">
        <f>ROUNDDOWN(D397*F397,-3)</f>
        <v>6000000</v>
      </c>
      <c r="H397" s="154" t="b">
        <f t="shared" si="10"/>
        <v>1</v>
      </c>
      <c r="I397" s="154"/>
      <c r="J397" s="154"/>
    </row>
    <row r="398" spans="1:10" ht="14.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c r="A399" s="7" t="s">
        <v>2753</v>
      </c>
      <c r="B399" s="60">
        <v>524111</v>
      </c>
      <c r="C399" s="41" t="s">
        <v>19</v>
      </c>
      <c r="D399" s="60"/>
      <c r="E399" s="60"/>
      <c r="F399" s="42"/>
      <c r="G399" s="42">
        <f>G400</f>
        <v>62400000</v>
      </c>
      <c r="H399" s="154" t="b">
        <f t="shared" si="13"/>
        <v>1</v>
      </c>
      <c r="I399" s="154"/>
      <c r="J399" s="154"/>
    </row>
    <row r="400" spans="1:10" ht="14.25">
      <c r="A400" s="7" t="s">
        <v>2754</v>
      </c>
      <c r="B400" s="124"/>
      <c r="C400" s="123" t="s">
        <v>3786</v>
      </c>
      <c r="D400" s="124">
        <v>12</v>
      </c>
      <c r="E400" s="124" t="s">
        <v>10</v>
      </c>
      <c r="F400" s="125">
        <v>5200000</v>
      </c>
      <c r="G400" s="125">
        <f>ROUNDDOWN(D400*F400,-3)</f>
        <v>62400000</v>
      </c>
      <c r="H400" s="154" t="b">
        <f t="shared" si="13"/>
        <v>1</v>
      </c>
      <c r="I400" s="154"/>
      <c r="J400" s="154"/>
    </row>
    <row r="401" spans="1:10" ht="14.25">
      <c r="A401" s="7" t="s">
        <v>2756</v>
      </c>
      <c r="B401" s="59" t="s">
        <v>511</v>
      </c>
      <c r="C401" s="38" t="s">
        <v>130</v>
      </c>
      <c r="D401" s="59"/>
      <c r="E401" s="59"/>
      <c r="F401" s="39"/>
      <c r="G401" s="39">
        <f>SUM(G402,G406,G408,G411,G413)</f>
        <v>345988000</v>
      </c>
      <c r="H401" s="154" t="b">
        <f t="shared" si="13"/>
        <v>1</v>
      </c>
      <c r="I401" s="154"/>
      <c r="J401" s="154"/>
    </row>
    <row r="402" spans="1:10" ht="14.25">
      <c r="A402" s="7" t="s">
        <v>2757</v>
      </c>
      <c r="B402" s="60">
        <v>521211</v>
      </c>
      <c r="C402" s="41" t="s">
        <v>7</v>
      </c>
      <c r="D402" s="60"/>
      <c r="E402" s="60"/>
      <c r="F402" s="42"/>
      <c r="G402" s="42">
        <f>SUM(G403:G405)</f>
        <v>49300000</v>
      </c>
      <c r="H402" s="154" t="b">
        <f t="shared" si="13"/>
        <v>1</v>
      </c>
      <c r="I402" s="154"/>
      <c r="J402" s="154"/>
    </row>
    <row r="403" spans="1:10" ht="14.25">
      <c r="A403" s="7" t="s">
        <v>2758</v>
      </c>
      <c r="B403" s="124"/>
      <c r="C403" s="123" t="s">
        <v>3587</v>
      </c>
      <c r="D403" s="124">
        <v>10</v>
      </c>
      <c r="E403" s="124" t="s">
        <v>9</v>
      </c>
      <c r="F403" s="125">
        <v>1500000</v>
      </c>
      <c r="G403" s="125">
        <f>ROUNDDOWN(D403*F403,-3)</f>
        <v>15000000</v>
      </c>
      <c r="H403" s="154" t="b">
        <f t="shared" si="13"/>
        <v>1</v>
      </c>
      <c r="I403" s="154"/>
      <c r="J403" s="154"/>
    </row>
    <row r="404" spans="1:10" ht="14.25">
      <c r="A404" s="7" t="s">
        <v>2759</v>
      </c>
      <c r="B404" s="124"/>
      <c r="C404" s="123" t="s">
        <v>3784</v>
      </c>
      <c r="D404" s="124">
        <v>290</v>
      </c>
      <c r="E404" s="124" t="s">
        <v>10</v>
      </c>
      <c r="F404" s="125">
        <v>70000</v>
      </c>
      <c r="G404" s="125">
        <f>ROUNDDOWN(D404*F404,-3)</f>
        <v>20300000</v>
      </c>
      <c r="H404" s="154" t="b">
        <f t="shared" si="13"/>
        <v>1</v>
      </c>
      <c r="I404" s="154"/>
      <c r="J404" s="154"/>
    </row>
    <row r="405" spans="1:10" ht="14.25">
      <c r="A405" s="7" t="s">
        <v>2760</v>
      </c>
      <c r="B405" s="124"/>
      <c r="C405" s="123" t="s">
        <v>3785</v>
      </c>
      <c r="D405" s="124">
        <v>40</v>
      </c>
      <c r="E405" s="124" t="s">
        <v>176</v>
      </c>
      <c r="F405" s="125">
        <v>350000</v>
      </c>
      <c r="G405" s="125">
        <f>ROUNDDOWN(D405*F405,-3)</f>
        <v>14000000</v>
      </c>
      <c r="H405" s="154" t="b">
        <f t="shared" si="13"/>
        <v>1</v>
      </c>
      <c r="I405" s="154"/>
      <c r="J405" s="154"/>
    </row>
    <row r="406" spans="1:10" ht="14.25">
      <c r="A406" s="7" t="s">
        <v>2761</v>
      </c>
      <c r="B406" s="60">
        <v>521219</v>
      </c>
      <c r="C406" s="41" t="s">
        <v>53</v>
      </c>
      <c r="D406" s="60"/>
      <c r="E406" s="60"/>
      <c r="F406" s="42"/>
      <c r="G406" s="42">
        <f>G407</f>
        <v>1000000</v>
      </c>
      <c r="H406" s="154" t="b">
        <f t="shared" si="13"/>
        <v>1</v>
      </c>
      <c r="I406" s="154"/>
      <c r="J406" s="154"/>
    </row>
    <row r="407" spans="1:10" ht="14.25">
      <c r="A407" s="7" t="s">
        <v>2762</v>
      </c>
      <c r="B407" s="124"/>
      <c r="C407" s="123" t="s">
        <v>3610</v>
      </c>
      <c r="D407" s="124">
        <v>4</v>
      </c>
      <c r="E407" s="124" t="s">
        <v>9</v>
      </c>
      <c r="F407" s="125">
        <v>250000</v>
      </c>
      <c r="G407" s="125">
        <f>ROUNDDOWN(D407*F407,-3)</f>
        <v>1000000</v>
      </c>
      <c r="H407" s="154" t="b">
        <f t="shared" si="13"/>
        <v>1</v>
      </c>
      <c r="I407" s="154"/>
      <c r="J407" s="154"/>
    </row>
    <row r="408" spans="1:10" ht="14.25">
      <c r="A408" s="7" t="s">
        <v>2763</v>
      </c>
      <c r="B408" s="60">
        <v>521811</v>
      </c>
      <c r="C408" s="41" t="s">
        <v>64</v>
      </c>
      <c r="D408" s="60"/>
      <c r="E408" s="60"/>
      <c r="F408" s="42"/>
      <c r="G408" s="42">
        <f>SUM(G409:G410)</f>
        <v>25000000</v>
      </c>
      <c r="H408" s="154" t="b">
        <f t="shared" si="13"/>
        <v>1</v>
      </c>
      <c r="I408" s="154"/>
      <c r="J408" s="154"/>
    </row>
    <row r="409" spans="1:10" ht="14.25">
      <c r="A409" s="7" t="s">
        <v>2764</v>
      </c>
      <c r="B409" s="124"/>
      <c r="C409" s="123" t="s">
        <v>3595</v>
      </c>
      <c r="D409" s="124">
        <v>10</v>
      </c>
      <c r="E409" s="124" t="s">
        <v>106</v>
      </c>
      <c r="F409" s="125">
        <v>1000000</v>
      </c>
      <c r="G409" s="125">
        <f>ROUNDDOWN(D409*F409,-3)</f>
        <v>10000000</v>
      </c>
      <c r="H409" s="154" t="b">
        <f t="shared" si="13"/>
        <v>1</v>
      </c>
      <c r="I409" s="154"/>
      <c r="J409" s="154"/>
    </row>
    <row r="410" spans="1:10" ht="14.25">
      <c r="A410" s="7" t="s">
        <v>2765</v>
      </c>
      <c r="B410" s="124"/>
      <c r="C410" s="123" t="s">
        <v>3596</v>
      </c>
      <c r="D410" s="124">
        <v>10</v>
      </c>
      <c r="E410" s="124" t="s">
        <v>106</v>
      </c>
      <c r="F410" s="125">
        <v>1500000</v>
      </c>
      <c r="G410" s="125">
        <f>ROUNDDOWN(D410*F410,-3)</f>
        <v>15000000</v>
      </c>
      <c r="H410" s="154" t="b">
        <f t="shared" si="13"/>
        <v>1</v>
      </c>
      <c r="I410" s="154"/>
      <c r="J410" s="154"/>
    </row>
    <row r="411" spans="1:10" ht="14.25">
      <c r="A411" s="7" t="s">
        <v>2766</v>
      </c>
      <c r="B411" s="60">
        <v>522151</v>
      </c>
      <c r="C411" s="41" t="s">
        <v>11</v>
      </c>
      <c r="D411" s="60"/>
      <c r="E411" s="60"/>
      <c r="F411" s="42"/>
      <c r="G411" s="42">
        <f>G412</f>
        <v>12000000</v>
      </c>
      <c r="H411" s="154" t="b">
        <f t="shared" si="13"/>
        <v>1</v>
      </c>
      <c r="I411" s="154"/>
      <c r="J411" s="154"/>
    </row>
    <row r="412" spans="1:10" ht="14.25">
      <c r="A412" s="7" t="s">
        <v>2767</v>
      </c>
      <c r="B412" s="124"/>
      <c r="C412" s="123" t="s">
        <v>3603</v>
      </c>
      <c r="D412" s="124">
        <v>12</v>
      </c>
      <c r="E412" s="124" t="s">
        <v>54</v>
      </c>
      <c r="F412" s="125">
        <v>1000000</v>
      </c>
      <c r="G412" s="125">
        <f>ROUNDDOWN(D412*F412,-3)</f>
        <v>12000000</v>
      </c>
      <c r="H412" s="154" t="b">
        <f t="shared" si="13"/>
        <v>1</v>
      </c>
      <c r="I412" s="154"/>
      <c r="J412" s="154"/>
    </row>
    <row r="413" spans="1:10" ht="14.25">
      <c r="A413" s="7" t="s">
        <v>2768</v>
      </c>
      <c r="B413" s="60">
        <v>524111</v>
      </c>
      <c r="C413" s="41" t="s">
        <v>19</v>
      </c>
      <c r="D413" s="60"/>
      <c r="E413" s="60"/>
      <c r="F413" s="42"/>
      <c r="G413" s="42">
        <f>G414</f>
        <v>258688000</v>
      </c>
      <c r="H413" s="154" t="b">
        <f t="shared" si="13"/>
        <v>1</v>
      </c>
      <c r="I413" s="154"/>
      <c r="J413" s="154"/>
    </row>
    <row r="414" spans="1:10" ht="14.25">
      <c r="A414" s="7" t="s">
        <v>2769</v>
      </c>
      <c r="B414" s="124"/>
      <c r="C414" s="123" t="s">
        <v>3787</v>
      </c>
      <c r="D414" s="124">
        <v>40</v>
      </c>
      <c r="E414" s="124" t="s">
        <v>10</v>
      </c>
      <c r="F414" s="125">
        <v>6467200</v>
      </c>
      <c r="G414" s="125">
        <f>ROUNDDOWN(D414*F414,-3)</f>
        <v>258688000</v>
      </c>
      <c r="H414" s="154" t="b">
        <f t="shared" si="13"/>
        <v>1</v>
      </c>
      <c r="I414" s="154"/>
      <c r="J414" s="154"/>
    </row>
    <row r="415" spans="1:10" ht="14.25">
      <c r="A415" s="7" t="s">
        <v>2771</v>
      </c>
      <c r="B415" s="59" t="s">
        <v>512</v>
      </c>
      <c r="C415" s="38" t="s">
        <v>131</v>
      </c>
      <c r="D415" s="59"/>
      <c r="E415" s="59"/>
      <c r="F415" s="39"/>
      <c r="G415" s="39">
        <f>SUM(G416,G420,G423,G425)</f>
        <v>168100000</v>
      </c>
      <c r="H415" s="154" t="b">
        <f t="shared" si="13"/>
        <v>1</v>
      </c>
      <c r="I415" s="154"/>
      <c r="J415" s="154"/>
    </row>
    <row r="416" spans="1:10" ht="14.25">
      <c r="A416" s="7" t="s">
        <v>2772</v>
      </c>
      <c r="B416" s="60">
        <v>521211</v>
      </c>
      <c r="C416" s="41" t="s">
        <v>7</v>
      </c>
      <c r="D416" s="60"/>
      <c r="E416" s="60"/>
      <c r="F416" s="42"/>
      <c r="G416" s="42">
        <f>SUM(G417:G419)</f>
        <v>39500000</v>
      </c>
      <c r="H416" s="154" t="b">
        <f t="shared" si="13"/>
        <v>1</v>
      </c>
      <c r="I416" s="154"/>
      <c r="J416" s="154"/>
    </row>
    <row r="417" spans="1:10" ht="14.25">
      <c r="A417" s="7" t="s">
        <v>2773</v>
      </c>
      <c r="B417" s="124"/>
      <c r="C417" s="123" t="s">
        <v>3587</v>
      </c>
      <c r="D417" s="124">
        <v>10</v>
      </c>
      <c r="E417" s="124" t="s">
        <v>9</v>
      </c>
      <c r="F417" s="125">
        <v>1500000</v>
      </c>
      <c r="G417" s="125">
        <f>ROUNDDOWN(D417*F417,-3)</f>
        <v>15000000</v>
      </c>
      <c r="H417" s="154" t="b">
        <f t="shared" si="13"/>
        <v>1</v>
      </c>
      <c r="I417" s="154"/>
      <c r="J417" s="154"/>
    </row>
    <row r="418" spans="1:10" ht="14.25">
      <c r="A418" s="7" t="s">
        <v>2774</v>
      </c>
      <c r="B418" s="124"/>
      <c r="C418" s="123" t="s">
        <v>3784</v>
      </c>
      <c r="D418" s="124">
        <v>150</v>
      </c>
      <c r="E418" s="124" t="s">
        <v>10</v>
      </c>
      <c r="F418" s="125">
        <v>70000</v>
      </c>
      <c r="G418" s="125">
        <f>ROUNDDOWN(D418*F418,-3)</f>
        <v>10500000</v>
      </c>
      <c r="H418" s="154" t="b">
        <f t="shared" si="13"/>
        <v>1</v>
      </c>
      <c r="I418" s="154"/>
      <c r="J418" s="154"/>
    </row>
    <row r="419" spans="1:10" ht="14.25">
      <c r="A419" s="7" t="s">
        <v>2775</v>
      </c>
      <c r="B419" s="124"/>
      <c r="C419" s="123" t="s">
        <v>3785</v>
      </c>
      <c r="D419" s="124">
        <v>40</v>
      </c>
      <c r="E419" s="124" t="s">
        <v>176</v>
      </c>
      <c r="F419" s="125">
        <v>350000</v>
      </c>
      <c r="G419" s="125">
        <f>ROUNDDOWN(D419*F419,-3)</f>
        <v>14000000</v>
      </c>
      <c r="H419" s="154" t="b">
        <f t="shared" si="13"/>
        <v>1</v>
      </c>
      <c r="I419" s="154"/>
      <c r="J419" s="154"/>
    </row>
    <row r="420" spans="1:10" ht="14.25">
      <c r="A420" s="7" t="s">
        <v>2776</v>
      </c>
      <c r="B420" s="60">
        <v>521811</v>
      </c>
      <c r="C420" s="41" t="s">
        <v>64</v>
      </c>
      <c r="D420" s="60"/>
      <c r="E420" s="60"/>
      <c r="F420" s="42"/>
      <c r="G420" s="42">
        <f>SUM(G421:G422)</f>
        <v>25000000</v>
      </c>
      <c r="H420" s="154" t="b">
        <f t="shared" si="13"/>
        <v>1</v>
      </c>
      <c r="I420" s="154"/>
      <c r="J420" s="154"/>
    </row>
    <row r="421" spans="1:10" ht="14.25">
      <c r="A421" s="7" t="s">
        <v>2777</v>
      </c>
      <c r="B421" s="124"/>
      <c r="C421" s="123" t="s">
        <v>3595</v>
      </c>
      <c r="D421" s="124">
        <v>10</v>
      </c>
      <c r="E421" s="124" t="s">
        <v>106</v>
      </c>
      <c r="F421" s="125">
        <v>1000000</v>
      </c>
      <c r="G421" s="125">
        <f>ROUNDDOWN(D421*F421,-3)</f>
        <v>10000000</v>
      </c>
      <c r="H421" s="154" t="b">
        <f t="shared" si="13"/>
        <v>1</v>
      </c>
      <c r="I421" s="154"/>
      <c r="J421" s="154"/>
    </row>
    <row r="422" spans="1:10" ht="14.25">
      <c r="A422" s="7" t="s">
        <v>2778</v>
      </c>
      <c r="B422" s="124"/>
      <c r="C422" s="123" t="s">
        <v>3596</v>
      </c>
      <c r="D422" s="124">
        <v>10</v>
      </c>
      <c r="E422" s="124" t="s">
        <v>106</v>
      </c>
      <c r="F422" s="125">
        <v>1500000</v>
      </c>
      <c r="G422" s="125">
        <f>ROUNDDOWN(D422*F422,-3)</f>
        <v>15000000</v>
      </c>
      <c r="H422" s="154" t="b">
        <f t="shared" si="13"/>
        <v>1</v>
      </c>
      <c r="I422" s="154"/>
      <c r="J422" s="154"/>
    </row>
    <row r="423" spans="1:10" ht="14.25">
      <c r="A423" s="7" t="s">
        <v>2779</v>
      </c>
      <c r="B423" s="60">
        <v>522151</v>
      </c>
      <c r="C423" s="41" t="s">
        <v>11</v>
      </c>
      <c r="D423" s="60"/>
      <c r="E423" s="60"/>
      <c r="F423" s="42"/>
      <c r="G423" s="42">
        <f>G424</f>
        <v>10000000</v>
      </c>
      <c r="H423" s="154" t="b">
        <f t="shared" si="13"/>
        <v>1</v>
      </c>
      <c r="I423" s="154"/>
      <c r="J423" s="154"/>
    </row>
    <row r="424" spans="1:10" ht="14.25">
      <c r="A424" s="7" t="s">
        <v>2780</v>
      </c>
      <c r="B424" s="124"/>
      <c r="C424" s="123" t="s">
        <v>3603</v>
      </c>
      <c r="D424" s="124">
        <v>10</v>
      </c>
      <c r="E424" s="124" t="s">
        <v>54</v>
      </c>
      <c r="F424" s="125">
        <v>1000000</v>
      </c>
      <c r="G424" s="125">
        <f>ROUNDDOWN(D424*F424,-3)</f>
        <v>10000000</v>
      </c>
      <c r="H424" s="154" t="b">
        <f t="shared" si="13"/>
        <v>1</v>
      </c>
      <c r="I424" s="154"/>
      <c r="J424" s="154"/>
    </row>
    <row r="425" spans="1:10" ht="14.25">
      <c r="A425" s="7" t="s">
        <v>2781</v>
      </c>
      <c r="B425" s="60">
        <v>524111</v>
      </c>
      <c r="C425" s="41" t="s">
        <v>19</v>
      </c>
      <c r="D425" s="60"/>
      <c r="E425" s="60"/>
      <c r="F425" s="42"/>
      <c r="G425" s="42">
        <f>G426</f>
        <v>93600000</v>
      </c>
      <c r="H425" s="154" t="b">
        <f t="shared" si="13"/>
        <v>1</v>
      </c>
      <c r="I425" s="154"/>
      <c r="J425" s="154"/>
    </row>
    <row r="426" spans="1:10" ht="14.25">
      <c r="A426" s="7" t="s">
        <v>2782</v>
      </c>
      <c r="B426" s="124"/>
      <c r="C426" s="123" t="s">
        <v>3788</v>
      </c>
      <c r="D426" s="124">
        <v>18</v>
      </c>
      <c r="E426" s="124" t="s">
        <v>10</v>
      </c>
      <c r="F426" s="125">
        <v>5200000</v>
      </c>
      <c r="G426" s="125">
        <f>ROUNDDOWN(D426*F426,-3)</f>
        <v>93600000</v>
      </c>
      <c r="H426" s="154" t="b">
        <f t="shared" si="13"/>
        <v>1</v>
      </c>
      <c r="I426" s="154"/>
      <c r="J426" s="154"/>
    </row>
    <row r="427" spans="1:10" ht="14.25">
      <c r="A427" s="7" t="s">
        <v>2784</v>
      </c>
      <c r="B427" s="119" t="s">
        <v>3789</v>
      </c>
      <c r="C427" s="118" t="s">
        <v>2786</v>
      </c>
      <c r="D427" s="119">
        <v>2</v>
      </c>
      <c r="E427" s="119" t="s">
        <v>3782</v>
      </c>
      <c r="F427" s="120"/>
      <c r="G427" s="120">
        <f>SUM(G428,G457)</f>
        <v>633732000</v>
      </c>
      <c r="H427" s="154" t="b">
        <f t="shared" si="13"/>
        <v>1</v>
      </c>
      <c r="I427" s="154"/>
      <c r="J427" s="154"/>
    </row>
    <row r="428" spans="1:10" ht="14.25">
      <c r="A428" s="7" t="s">
        <v>3052</v>
      </c>
      <c r="B428" s="58">
        <v>301</v>
      </c>
      <c r="C428" s="35" t="s">
        <v>3053</v>
      </c>
      <c r="D428" s="58"/>
      <c r="E428" s="58"/>
      <c r="F428" s="36"/>
      <c r="G428" s="36">
        <f>SUM(G429,G440)</f>
        <v>507200000</v>
      </c>
      <c r="H428" s="154" t="b">
        <f t="shared" si="13"/>
        <v>1</v>
      </c>
      <c r="I428" s="154"/>
      <c r="J428" s="154"/>
    </row>
    <row r="429" spans="1:10" ht="14.25">
      <c r="A429" s="7" t="s">
        <v>3054</v>
      </c>
      <c r="B429" s="59" t="s">
        <v>8</v>
      </c>
      <c r="C429" s="38" t="s">
        <v>174</v>
      </c>
      <c r="D429" s="59"/>
      <c r="E429" s="59"/>
      <c r="F429" s="39"/>
      <c r="G429" s="39">
        <f>SUM(G430,G436,G438)</f>
        <v>295200000</v>
      </c>
      <c r="H429" s="154" t="b">
        <f t="shared" si="13"/>
        <v>1</v>
      </c>
      <c r="I429" s="154"/>
      <c r="J429" s="154"/>
    </row>
    <row r="430" spans="1:10" ht="14.25">
      <c r="A430" s="7" t="s">
        <v>3055</v>
      </c>
      <c r="B430" s="60">
        <v>521211</v>
      </c>
      <c r="C430" s="41" t="s">
        <v>7</v>
      </c>
      <c r="D430" s="60"/>
      <c r="E430" s="60"/>
      <c r="F430" s="42"/>
      <c r="G430" s="42">
        <f>SUM(G431:G435)</f>
        <v>46000000</v>
      </c>
      <c r="H430" s="154" t="b">
        <f t="shared" si="13"/>
        <v>1</v>
      </c>
      <c r="I430" s="154"/>
      <c r="J430" s="154"/>
    </row>
    <row r="431" spans="1:10" ht="14.25">
      <c r="A431" s="7" t="s">
        <v>3056</v>
      </c>
      <c r="B431" s="124"/>
      <c r="C431" s="123" t="s">
        <v>3587</v>
      </c>
      <c r="D431" s="124">
        <v>5</v>
      </c>
      <c r="E431" s="124" t="s">
        <v>9</v>
      </c>
      <c r="F431" s="125">
        <v>1500000</v>
      </c>
      <c r="G431" s="125">
        <f>ROUNDDOWN(D431*F431,-3)</f>
        <v>7500000</v>
      </c>
      <c r="H431" s="154" t="b">
        <f t="shared" si="13"/>
        <v>1</v>
      </c>
      <c r="I431" s="154"/>
      <c r="J431" s="154"/>
    </row>
    <row r="432" spans="1:10" ht="14.25">
      <c r="A432" s="7" t="s">
        <v>3057</v>
      </c>
      <c r="B432" s="124"/>
      <c r="C432" s="123" t="s">
        <v>3784</v>
      </c>
      <c r="D432" s="124">
        <v>280</v>
      </c>
      <c r="E432" s="124" t="s">
        <v>10</v>
      </c>
      <c r="F432" s="125">
        <v>75000</v>
      </c>
      <c r="G432" s="125">
        <f>ROUNDDOWN(D432*F432,-3)</f>
        <v>21000000</v>
      </c>
      <c r="H432" s="154" t="b">
        <f t="shared" si="13"/>
        <v>1</v>
      </c>
      <c r="I432" s="154"/>
      <c r="J432" s="154"/>
    </row>
    <row r="433" spans="1:10" ht="14.25">
      <c r="A433" s="7" t="s">
        <v>3058</v>
      </c>
      <c r="B433" s="124"/>
      <c r="C433" s="123" t="s">
        <v>3785</v>
      </c>
      <c r="D433" s="124">
        <v>30</v>
      </c>
      <c r="E433" s="124" t="s">
        <v>176</v>
      </c>
      <c r="F433" s="125">
        <v>250000</v>
      </c>
      <c r="G433" s="125">
        <f>ROUNDDOWN(D433*F433,-3)</f>
        <v>7500000</v>
      </c>
      <c r="H433" s="154" t="b">
        <f t="shared" si="13"/>
        <v>1</v>
      </c>
      <c r="I433" s="154"/>
      <c r="J433" s="154"/>
    </row>
    <row r="434" spans="1:10" ht="14.25">
      <c r="A434" s="7" t="s">
        <v>3059</v>
      </c>
      <c r="B434" s="124"/>
      <c r="C434" s="123" t="s">
        <v>3591</v>
      </c>
      <c r="D434" s="124">
        <v>4</v>
      </c>
      <c r="E434" s="124" t="s">
        <v>106</v>
      </c>
      <c r="F434" s="125">
        <v>1000000</v>
      </c>
      <c r="G434" s="125">
        <f>ROUNDDOWN(D434*F434,-3)</f>
        <v>4000000</v>
      </c>
      <c r="H434" s="154" t="b">
        <f t="shared" si="13"/>
        <v>1</v>
      </c>
      <c r="I434" s="154"/>
      <c r="J434" s="154"/>
    </row>
    <row r="435" spans="1:10" ht="14.25">
      <c r="A435" s="7" t="s">
        <v>3060</v>
      </c>
      <c r="B435" s="124"/>
      <c r="C435" s="123" t="s">
        <v>3592</v>
      </c>
      <c r="D435" s="124">
        <v>4</v>
      </c>
      <c r="E435" s="124" t="s">
        <v>106</v>
      </c>
      <c r="F435" s="125">
        <v>1500000</v>
      </c>
      <c r="G435" s="125">
        <f>ROUNDDOWN(D435*F435,-3)</f>
        <v>6000000</v>
      </c>
      <c r="H435" s="154" t="b">
        <f t="shared" si="13"/>
        <v>1</v>
      </c>
      <c r="I435" s="154"/>
      <c r="J435" s="154"/>
    </row>
    <row r="436" spans="1:10" ht="14.25">
      <c r="A436" s="7" t="s">
        <v>3061</v>
      </c>
      <c r="B436" s="60">
        <v>521219</v>
      </c>
      <c r="C436" s="41" t="s">
        <v>53</v>
      </c>
      <c r="D436" s="60"/>
      <c r="E436" s="60"/>
      <c r="F436" s="42"/>
      <c r="G436" s="42">
        <f>G437</f>
        <v>2000000</v>
      </c>
      <c r="H436" s="154" t="b">
        <f t="shared" si="13"/>
        <v>1</v>
      </c>
      <c r="I436" s="154"/>
      <c r="J436" s="154"/>
    </row>
    <row r="437" spans="1:10" ht="14.25">
      <c r="A437" s="7" t="s">
        <v>3062</v>
      </c>
      <c r="B437" s="124"/>
      <c r="C437" s="123" t="s">
        <v>3790</v>
      </c>
      <c r="D437" s="124">
        <v>1</v>
      </c>
      <c r="E437" s="124" t="s">
        <v>153</v>
      </c>
      <c r="F437" s="125">
        <v>2000000</v>
      </c>
      <c r="G437" s="125">
        <f>ROUNDDOWN(D437*F437,-3)</f>
        <v>2000000</v>
      </c>
      <c r="H437" s="154" t="b">
        <f t="shared" si="13"/>
        <v>1</v>
      </c>
      <c r="I437" s="154"/>
      <c r="J437" s="154"/>
    </row>
    <row r="438" spans="1:10" ht="14.25">
      <c r="A438" s="7" t="s">
        <v>3064</v>
      </c>
      <c r="B438" s="60">
        <v>524111</v>
      </c>
      <c r="C438" s="41" t="s">
        <v>19</v>
      </c>
      <c r="D438" s="60"/>
      <c r="E438" s="60"/>
      <c r="F438" s="42"/>
      <c r="G438" s="42">
        <f>G439</f>
        <v>247200000</v>
      </c>
      <c r="H438" s="154" t="b">
        <f t="shared" si="13"/>
        <v>1</v>
      </c>
      <c r="I438" s="154"/>
      <c r="J438" s="154"/>
    </row>
    <row r="439" spans="1:10" ht="14.25">
      <c r="A439" s="7" t="s">
        <v>3065</v>
      </c>
      <c r="B439" s="124"/>
      <c r="C439" s="123" t="s">
        <v>3791</v>
      </c>
      <c r="D439" s="124">
        <v>40</v>
      </c>
      <c r="E439" s="124" t="s">
        <v>10</v>
      </c>
      <c r="F439" s="125">
        <v>6180000</v>
      </c>
      <c r="G439" s="125">
        <f>ROUNDDOWN(D439*F439,-3)</f>
        <v>247200000</v>
      </c>
      <c r="H439" s="154" t="b">
        <f t="shared" si="13"/>
        <v>1</v>
      </c>
      <c r="I439" s="154"/>
      <c r="J439" s="154"/>
    </row>
    <row r="440" spans="1:10" ht="14.25">
      <c r="A440" s="7" t="s">
        <v>3067</v>
      </c>
      <c r="B440" s="59" t="s">
        <v>511</v>
      </c>
      <c r="C440" s="38" t="s">
        <v>175</v>
      </c>
      <c r="D440" s="59"/>
      <c r="E440" s="59"/>
      <c r="F440" s="39"/>
      <c r="G440" s="39">
        <f>SUM(G441,G448,G451,G453,G455)</f>
        <v>212000000</v>
      </c>
      <c r="H440" s="154" t="b">
        <f t="shared" si="13"/>
        <v>1</v>
      </c>
      <c r="I440" s="154"/>
      <c r="J440" s="154"/>
    </row>
    <row r="441" spans="1:10" ht="14.25">
      <c r="A441" s="7" t="s">
        <v>3068</v>
      </c>
      <c r="B441" s="60">
        <v>521211</v>
      </c>
      <c r="C441" s="41" t="s">
        <v>7</v>
      </c>
      <c r="D441" s="60"/>
      <c r="E441" s="60"/>
      <c r="F441" s="42"/>
      <c r="G441" s="42">
        <f>SUM(G442:G447)</f>
        <v>41000000</v>
      </c>
      <c r="H441" s="154" t="b">
        <f t="shared" si="13"/>
        <v>1</v>
      </c>
      <c r="I441" s="154"/>
      <c r="J441" s="154"/>
    </row>
    <row r="442" spans="1:10" ht="14.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c r="A443" s="7" t="s">
        <v>3070</v>
      </c>
      <c r="B443" s="124"/>
      <c r="C443" s="123" t="s">
        <v>3784</v>
      </c>
      <c r="D443" s="124">
        <v>180</v>
      </c>
      <c r="E443" s="124" t="s">
        <v>10</v>
      </c>
      <c r="F443" s="125">
        <v>75000</v>
      </c>
      <c r="G443" s="125">
        <f t="shared" si="14"/>
        <v>13500000</v>
      </c>
      <c r="H443" s="154" t="b">
        <f t="shared" si="13"/>
        <v>1</v>
      </c>
      <c r="I443" s="154"/>
      <c r="J443" s="154"/>
    </row>
    <row r="444" spans="1:10" ht="14.25">
      <c r="A444" s="7" t="s">
        <v>3071</v>
      </c>
      <c r="B444" s="124"/>
      <c r="C444" s="123" t="s">
        <v>3792</v>
      </c>
      <c r="D444" s="124">
        <v>15</v>
      </c>
      <c r="E444" s="124" t="s">
        <v>176</v>
      </c>
      <c r="F444" s="125">
        <v>500000</v>
      </c>
      <c r="G444" s="125">
        <f t="shared" si="14"/>
        <v>7500000</v>
      </c>
      <c r="H444" s="154" t="b">
        <f t="shared" si="13"/>
        <v>1</v>
      </c>
      <c r="I444" s="154"/>
      <c r="J444" s="154"/>
    </row>
    <row r="445" spans="1:10" ht="14.25">
      <c r="A445" s="7" t="s">
        <v>3073</v>
      </c>
      <c r="B445" s="124"/>
      <c r="C445" s="123" t="s">
        <v>3591</v>
      </c>
      <c r="D445" s="124">
        <v>4</v>
      </c>
      <c r="E445" s="124" t="s">
        <v>106</v>
      </c>
      <c r="F445" s="125">
        <v>1000000</v>
      </c>
      <c r="G445" s="125">
        <f t="shared" si="14"/>
        <v>4000000</v>
      </c>
      <c r="H445" s="154" t="b">
        <f t="shared" si="13"/>
        <v>1</v>
      </c>
      <c r="I445" s="154"/>
      <c r="J445" s="154"/>
    </row>
    <row r="446" spans="1:10" ht="14.25">
      <c r="A446" s="7" t="s">
        <v>3074</v>
      </c>
      <c r="B446" s="124"/>
      <c r="C446" s="123" t="s">
        <v>3592</v>
      </c>
      <c r="D446" s="124">
        <v>4</v>
      </c>
      <c r="E446" s="124" t="s">
        <v>106</v>
      </c>
      <c r="F446" s="125">
        <v>1500000</v>
      </c>
      <c r="G446" s="125">
        <f t="shared" si="14"/>
        <v>6000000</v>
      </c>
      <c r="H446" s="154" t="b">
        <f t="shared" si="13"/>
        <v>1</v>
      </c>
      <c r="I446" s="154"/>
      <c r="J446" s="154"/>
    </row>
    <row r="447" spans="1:10" ht="14.25">
      <c r="A447" s="7" t="s">
        <v>3075</v>
      </c>
      <c r="B447" s="124"/>
      <c r="C447" s="123" t="s">
        <v>3793</v>
      </c>
      <c r="D447" s="124">
        <v>8</v>
      </c>
      <c r="E447" s="124" t="s">
        <v>58</v>
      </c>
      <c r="F447" s="125">
        <v>500000</v>
      </c>
      <c r="G447" s="125">
        <f t="shared" si="14"/>
        <v>4000000</v>
      </c>
      <c r="H447" s="154" t="b">
        <f t="shared" si="13"/>
        <v>1</v>
      </c>
      <c r="I447" s="154"/>
      <c r="J447" s="154"/>
    </row>
    <row r="448" spans="1:10" ht="14.25">
      <c r="A448" s="7" t="s">
        <v>3077</v>
      </c>
      <c r="B448" s="60">
        <v>521219</v>
      </c>
      <c r="C448" s="41" t="s">
        <v>53</v>
      </c>
      <c r="D448" s="60"/>
      <c r="E448" s="60"/>
      <c r="F448" s="42"/>
      <c r="G448" s="42">
        <f>SUM(G449:G450)</f>
        <v>32000000</v>
      </c>
      <c r="H448" s="154" t="b">
        <f t="shared" si="13"/>
        <v>1</v>
      </c>
      <c r="I448" s="154"/>
      <c r="J448" s="154"/>
    </row>
    <row r="449" spans="1:10" ht="14.25">
      <c r="A449" s="7" t="s">
        <v>3078</v>
      </c>
      <c r="B449" s="124"/>
      <c r="C449" s="123" t="s">
        <v>3794</v>
      </c>
      <c r="D449" s="124">
        <v>2</v>
      </c>
      <c r="E449" s="124" t="s">
        <v>177</v>
      </c>
      <c r="F449" s="125">
        <v>15000000</v>
      </c>
      <c r="G449" s="125">
        <f>ROUNDDOWN(D449*F449,-3)</f>
        <v>30000000</v>
      </c>
      <c r="H449" s="154" t="b">
        <f t="shared" si="13"/>
        <v>1</v>
      </c>
      <c r="I449" s="154"/>
      <c r="J449" s="154"/>
    </row>
    <row r="450" spans="1:10" ht="14.25">
      <c r="A450" s="7" t="s">
        <v>3080</v>
      </c>
      <c r="B450" s="124"/>
      <c r="C450" s="123" t="s">
        <v>3795</v>
      </c>
      <c r="D450" s="124">
        <v>1</v>
      </c>
      <c r="E450" s="124" t="s">
        <v>60</v>
      </c>
      <c r="F450" s="125">
        <v>2000000</v>
      </c>
      <c r="G450" s="125">
        <f>ROUNDDOWN(D450*F450,-3)</f>
        <v>2000000</v>
      </c>
      <c r="H450" s="154" t="b">
        <f t="shared" si="13"/>
        <v>1</v>
      </c>
      <c r="I450" s="154"/>
      <c r="J450" s="154"/>
    </row>
    <row r="451" spans="1:10" ht="14.25">
      <c r="A451" s="7" t="s">
        <v>3082</v>
      </c>
      <c r="B451" s="60">
        <v>522151</v>
      </c>
      <c r="C451" s="41" t="s">
        <v>11</v>
      </c>
      <c r="D451" s="60"/>
      <c r="E451" s="60"/>
      <c r="F451" s="42"/>
      <c r="G451" s="42">
        <f>G452</f>
        <v>10000000</v>
      </c>
      <c r="H451" s="154" t="b">
        <f t="shared" si="13"/>
        <v>1</v>
      </c>
      <c r="I451" s="154"/>
      <c r="J451" s="154"/>
    </row>
    <row r="452" spans="1:10" ht="14.25">
      <c r="A452" s="7" t="s">
        <v>3083</v>
      </c>
      <c r="B452" s="124"/>
      <c r="C452" s="123" t="s">
        <v>3603</v>
      </c>
      <c r="D452" s="124">
        <v>10</v>
      </c>
      <c r="E452" s="124" t="s">
        <v>54</v>
      </c>
      <c r="F452" s="125">
        <v>1000000</v>
      </c>
      <c r="G452" s="125">
        <f>ROUNDDOWN(D452*F452,-3)</f>
        <v>10000000</v>
      </c>
      <c r="H452" s="154" t="b">
        <f t="shared" si="13"/>
        <v>1</v>
      </c>
      <c r="I452" s="154"/>
      <c r="J452" s="154"/>
    </row>
    <row r="453" spans="1:10" ht="14.25">
      <c r="A453" s="7" t="s">
        <v>3084</v>
      </c>
      <c r="B453" s="60">
        <v>524111</v>
      </c>
      <c r="C453" s="41" t="s">
        <v>19</v>
      </c>
      <c r="D453" s="60"/>
      <c r="E453" s="60"/>
      <c r="F453" s="42"/>
      <c r="G453" s="42">
        <f>G454</f>
        <v>120000000</v>
      </c>
      <c r="H453" s="154" t="b">
        <f t="shared" si="13"/>
        <v>1</v>
      </c>
      <c r="I453" s="154"/>
      <c r="J453" s="154"/>
    </row>
    <row r="454" spans="1:10" ht="14.25">
      <c r="A454" s="7" t="s">
        <v>3085</v>
      </c>
      <c r="B454" s="124"/>
      <c r="C454" s="123" t="s">
        <v>3796</v>
      </c>
      <c r="D454" s="124">
        <v>30</v>
      </c>
      <c r="E454" s="124" t="s">
        <v>10</v>
      </c>
      <c r="F454" s="125">
        <v>4000000</v>
      </c>
      <c r="G454" s="125">
        <f>ROUNDDOWN(D454*F454,-3)</f>
        <v>120000000</v>
      </c>
      <c r="H454" s="154" t="b">
        <f t="shared" si="13"/>
        <v>1</v>
      </c>
      <c r="I454" s="154"/>
      <c r="J454" s="154"/>
    </row>
    <row r="455" spans="1:10" ht="14.25">
      <c r="A455" s="7" t="s">
        <v>3087</v>
      </c>
      <c r="B455" s="60">
        <v>524113</v>
      </c>
      <c r="C455" s="41" t="s">
        <v>13</v>
      </c>
      <c r="D455" s="60"/>
      <c r="E455" s="60"/>
      <c r="F455" s="42"/>
      <c r="G455" s="42">
        <f>G456</f>
        <v>9000000</v>
      </c>
      <c r="H455" s="154" t="b">
        <f t="shared" si="13"/>
        <v>1</v>
      </c>
      <c r="I455" s="154"/>
      <c r="J455" s="154"/>
    </row>
    <row r="456" spans="1:10" ht="14.25">
      <c r="A456" s="7" t="s">
        <v>3088</v>
      </c>
      <c r="B456" s="124"/>
      <c r="C456" s="123" t="s">
        <v>3593</v>
      </c>
      <c r="D456" s="124">
        <v>60</v>
      </c>
      <c r="E456" s="124" t="s">
        <v>25</v>
      </c>
      <c r="F456" s="125">
        <v>150000</v>
      </c>
      <c r="G456" s="125">
        <f>ROUNDDOWN(D456*F456,-3)</f>
        <v>9000000</v>
      </c>
      <c r="H456" s="154" t="b">
        <f t="shared" si="13"/>
        <v>1</v>
      </c>
      <c r="I456" s="154"/>
      <c r="J456" s="154"/>
    </row>
    <row r="457" spans="1:10" ht="14.25">
      <c r="A457" s="7" t="s">
        <v>3089</v>
      </c>
      <c r="B457" s="58">
        <v>302</v>
      </c>
      <c r="C457" s="35" t="s">
        <v>3091</v>
      </c>
      <c r="D457" s="58"/>
      <c r="E457" s="58"/>
      <c r="F457" s="36"/>
      <c r="G457" s="36">
        <f>G458</f>
        <v>126532000</v>
      </c>
      <c r="H457" s="154" t="b">
        <f t="shared" si="13"/>
        <v>1</v>
      </c>
      <c r="I457" s="154"/>
      <c r="J457" s="154"/>
    </row>
    <row r="458" spans="1:10" ht="14.25">
      <c r="A458" s="7" t="s">
        <v>3092</v>
      </c>
      <c r="B458" s="59" t="s">
        <v>8</v>
      </c>
      <c r="C458" s="38" t="s">
        <v>178</v>
      </c>
      <c r="D458" s="59"/>
      <c r="E458" s="59"/>
      <c r="F458" s="39"/>
      <c r="G458" s="39">
        <f>SUM(G459,G465,G467)</f>
        <v>126532000</v>
      </c>
      <c r="H458" s="154" t="b">
        <f t="shared" si="13"/>
        <v>1</v>
      </c>
      <c r="I458" s="154"/>
      <c r="J458" s="154"/>
    </row>
    <row r="459" spans="1:10" ht="14.25">
      <c r="A459" s="7" t="s">
        <v>3093</v>
      </c>
      <c r="B459" s="60">
        <v>521211</v>
      </c>
      <c r="C459" s="41" t="s">
        <v>7</v>
      </c>
      <c r="D459" s="60"/>
      <c r="E459" s="60"/>
      <c r="F459" s="42"/>
      <c r="G459" s="42">
        <f>SUM(G460:G464)</f>
        <v>35500000</v>
      </c>
      <c r="H459" s="154" t="b">
        <f t="shared" si="13"/>
        <v>1</v>
      </c>
      <c r="I459" s="154"/>
      <c r="J459" s="154"/>
    </row>
    <row r="460" spans="1:10" ht="14.25">
      <c r="A460" s="7" t="s">
        <v>3094</v>
      </c>
      <c r="B460" s="124"/>
      <c r="C460" s="123" t="s">
        <v>3587</v>
      </c>
      <c r="D460" s="124">
        <v>4</v>
      </c>
      <c r="E460" s="124" t="s">
        <v>9</v>
      </c>
      <c r="F460" s="125">
        <v>1500000</v>
      </c>
      <c r="G460" s="125">
        <f>ROUNDDOWN(D460*F460,-3)</f>
        <v>6000000</v>
      </c>
      <c r="H460" s="154" t="b">
        <f t="shared" si="13"/>
        <v>1</v>
      </c>
      <c r="I460" s="154"/>
      <c r="J460" s="154"/>
    </row>
    <row r="461" spans="1:10" ht="14.25">
      <c r="A461" s="7" t="s">
        <v>3095</v>
      </c>
      <c r="B461" s="124"/>
      <c r="C461" s="123" t="s">
        <v>3784</v>
      </c>
      <c r="D461" s="124">
        <v>180</v>
      </c>
      <c r="E461" s="124" t="s">
        <v>10</v>
      </c>
      <c r="F461" s="125">
        <v>75000</v>
      </c>
      <c r="G461" s="125">
        <f>ROUNDDOWN(D461*F461,-3)</f>
        <v>13500000</v>
      </c>
      <c r="H461" s="154" t="b">
        <f t="shared" si="13"/>
        <v>1</v>
      </c>
      <c r="I461" s="154"/>
      <c r="J461" s="154"/>
    </row>
    <row r="462" spans="1:10" ht="14.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c r="A463" s="7" t="s">
        <v>3097</v>
      </c>
      <c r="B463" s="124"/>
      <c r="C463" s="123" t="s">
        <v>3589</v>
      </c>
      <c r="D463" s="124">
        <v>4</v>
      </c>
      <c r="E463" s="124" t="s">
        <v>106</v>
      </c>
      <c r="F463" s="125">
        <v>1500000</v>
      </c>
      <c r="G463" s="125">
        <f>ROUNDDOWN(D463*F463,-3)</f>
        <v>6000000</v>
      </c>
      <c r="H463" s="154" t="b">
        <f t="shared" si="15"/>
        <v>1</v>
      </c>
      <c r="I463" s="154"/>
      <c r="J463" s="154"/>
    </row>
    <row r="464" spans="1:10" ht="14.25">
      <c r="A464" s="7" t="s">
        <v>3098</v>
      </c>
      <c r="B464" s="124"/>
      <c r="C464" s="123" t="s">
        <v>3797</v>
      </c>
      <c r="D464" s="124">
        <v>12</v>
      </c>
      <c r="E464" s="124" t="s">
        <v>176</v>
      </c>
      <c r="F464" s="125">
        <v>500000</v>
      </c>
      <c r="G464" s="125">
        <f>ROUNDDOWN(D464*F464,-3)</f>
        <v>6000000</v>
      </c>
      <c r="H464" s="154" t="b">
        <f t="shared" si="15"/>
        <v>1</v>
      </c>
      <c r="I464" s="154"/>
      <c r="J464" s="154"/>
    </row>
    <row r="465" spans="1:10" ht="14.25">
      <c r="A465" s="7" t="s">
        <v>3100</v>
      </c>
      <c r="B465" s="60">
        <v>521219</v>
      </c>
      <c r="C465" s="41" t="s">
        <v>53</v>
      </c>
      <c r="D465" s="60"/>
      <c r="E465" s="60"/>
      <c r="F465" s="42"/>
      <c r="G465" s="42">
        <f>G466</f>
        <v>2000000</v>
      </c>
      <c r="H465" s="154" t="b">
        <f t="shared" si="15"/>
        <v>1</v>
      </c>
      <c r="I465" s="154"/>
      <c r="J465" s="154"/>
    </row>
    <row r="466" spans="1:10" ht="14.25">
      <c r="A466" s="7" t="s">
        <v>3101</v>
      </c>
      <c r="B466" s="124"/>
      <c r="C466" s="123" t="s">
        <v>3790</v>
      </c>
      <c r="D466" s="124">
        <v>1</v>
      </c>
      <c r="E466" s="124" t="s">
        <v>153</v>
      </c>
      <c r="F466" s="125">
        <v>2000000</v>
      </c>
      <c r="G466" s="125">
        <f>ROUNDDOWN(D466*F466,-3)</f>
        <v>2000000</v>
      </c>
      <c r="H466" s="154" t="b">
        <f t="shared" si="15"/>
        <v>1</v>
      </c>
      <c r="I466" s="154"/>
      <c r="J466" s="154"/>
    </row>
    <row r="467" spans="1:10" ht="14.25">
      <c r="A467" s="7" t="s">
        <v>3102</v>
      </c>
      <c r="B467" s="60">
        <v>524111</v>
      </c>
      <c r="C467" s="41" t="s">
        <v>19</v>
      </c>
      <c r="D467" s="60"/>
      <c r="E467" s="60"/>
      <c r="F467" s="42"/>
      <c r="G467" s="42">
        <f>G468</f>
        <v>89032000</v>
      </c>
      <c r="H467" s="154" t="b">
        <f t="shared" si="15"/>
        <v>1</v>
      </c>
      <c r="I467" s="154"/>
      <c r="J467" s="154"/>
    </row>
    <row r="468" spans="1:10" ht="14.25">
      <c r="A468" s="7" t="s">
        <v>3103</v>
      </c>
      <c r="B468" s="124"/>
      <c r="C468" s="123" t="s">
        <v>3796</v>
      </c>
      <c r="D468" s="124">
        <v>22</v>
      </c>
      <c r="E468" s="124" t="s">
        <v>10</v>
      </c>
      <c r="F468" s="125">
        <v>4046950</v>
      </c>
      <c r="G468" s="125">
        <f>ROUNDDOWN(D468*F468,-3)</f>
        <v>89032000</v>
      </c>
      <c r="H468" s="154" t="b">
        <f t="shared" si="15"/>
        <v>1</v>
      </c>
      <c r="I468" s="154"/>
      <c r="J468" s="154"/>
    </row>
    <row r="469" spans="1:10" ht="14.25">
      <c r="A469" s="7" t="s">
        <v>3104</v>
      </c>
      <c r="B469" s="119" t="s">
        <v>3798</v>
      </c>
      <c r="C469" s="118" t="s">
        <v>3106</v>
      </c>
      <c r="D469" s="119">
        <v>1</v>
      </c>
      <c r="E469" s="119" t="s">
        <v>3782</v>
      </c>
      <c r="F469" s="120"/>
      <c r="G469" s="120">
        <f>G470</f>
        <v>289920000</v>
      </c>
      <c r="H469" s="154" t="b">
        <f t="shared" si="15"/>
        <v>1</v>
      </c>
      <c r="I469" s="154"/>
      <c r="J469" s="154"/>
    </row>
    <row r="470" spans="1:10" ht="14.25">
      <c r="A470" s="7" t="s">
        <v>3318</v>
      </c>
      <c r="B470" s="58">
        <v>301</v>
      </c>
      <c r="C470" s="35" t="s">
        <v>3319</v>
      </c>
      <c r="D470" s="58"/>
      <c r="E470" s="58"/>
      <c r="F470" s="36"/>
      <c r="G470" s="36">
        <f>SUM(G471,G481,G490,G498,G511,G519)</f>
        <v>289920000</v>
      </c>
      <c r="H470" s="154" t="b">
        <f t="shared" si="15"/>
        <v>1</v>
      </c>
      <c r="I470" s="154"/>
      <c r="J470" s="154"/>
    </row>
    <row r="471" spans="1:10" ht="14.25">
      <c r="A471" s="7" t="s">
        <v>3320</v>
      </c>
      <c r="B471" s="59" t="s">
        <v>8</v>
      </c>
      <c r="C471" s="38" t="s">
        <v>143</v>
      </c>
      <c r="D471" s="59"/>
      <c r="E471" s="59"/>
      <c r="F471" s="39"/>
      <c r="G471" s="39">
        <f>SUM(G472,G477,G479)</f>
        <v>40700000</v>
      </c>
      <c r="H471" s="154" t="b">
        <f t="shared" si="15"/>
        <v>1</v>
      </c>
      <c r="I471" s="154"/>
      <c r="J471" s="154"/>
    </row>
    <row r="472" spans="1:10" ht="14.25">
      <c r="A472" s="7" t="s">
        <v>3321</v>
      </c>
      <c r="B472" s="60">
        <v>521211</v>
      </c>
      <c r="C472" s="41" t="s">
        <v>7</v>
      </c>
      <c r="D472" s="60"/>
      <c r="E472" s="60"/>
      <c r="F472" s="42"/>
      <c r="G472" s="42">
        <f>SUM(G473:G476)</f>
        <v>23900000</v>
      </c>
      <c r="H472" s="154" t="b">
        <f t="shared" si="15"/>
        <v>1</v>
      </c>
      <c r="I472" s="154"/>
      <c r="J472" s="154"/>
    </row>
    <row r="473" spans="1:10" ht="14.25">
      <c r="A473" s="7" t="s">
        <v>3322</v>
      </c>
      <c r="B473" s="124"/>
      <c r="C473" s="123" t="s">
        <v>3587</v>
      </c>
      <c r="D473" s="124">
        <v>5</v>
      </c>
      <c r="E473" s="124" t="s">
        <v>9</v>
      </c>
      <c r="F473" s="125">
        <v>1500000</v>
      </c>
      <c r="G473" s="125">
        <f>ROUNDDOWN(D473*F473,-3)</f>
        <v>7500000</v>
      </c>
      <c r="H473" s="154" t="b">
        <f t="shared" si="15"/>
        <v>1</v>
      </c>
      <c r="I473" s="154"/>
      <c r="J473" s="154"/>
    </row>
    <row r="474" spans="1:10" ht="14.25">
      <c r="A474" s="7" t="s">
        <v>3323</v>
      </c>
      <c r="B474" s="124"/>
      <c r="C474" s="123" t="s">
        <v>3784</v>
      </c>
      <c r="D474" s="124">
        <v>20</v>
      </c>
      <c r="E474" s="124" t="s">
        <v>10</v>
      </c>
      <c r="F474" s="125">
        <v>70000</v>
      </c>
      <c r="G474" s="125">
        <f>ROUNDDOWN(D474*F474,-3)</f>
        <v>1400000</v>
      </c>
      <c r="H474" s="154" t="b">
        <f t="shared" si="15"/>
        <v>1</v>
      </c>
      <c r="I474" s="154"/>
      <c r="J474" s="154"/>
    </row>
    <row r="475" spans="1:10" ht="14.25">
      <c r="A475" s="7" t="s">
        <v>3324</v>
      </c>
      <c r="B475" s="124"/>
      <c r="C475" s="123" t="s">
        <v>3588</v>
      </c>
      <c r="D475" s="124">
        <v>6</v>
      </c>
      <c r="E475" s="124" t="s">
        <v>106</v>
      </c>
      <c r="F475" s="125">
        <v>1000000</v>
      </c>
      <c r="G475" s="125">
        <f>ROUNDDOWN(D475*F475,-3)</f>
        <v>6000000</v>
      </c>
      <c r="H475" s="154" t="b">
        <f t="shared" si="15"/>
        <v>1</v>
      </c>
      <c r="I475" s="154"/>
      <c r="J475" s="154"/>
    </row>
    <row r="476" spans="1:10" ht="14.25">
      <c r="A476" s="7" t="s">
        <v>3325</v>
      </c>
      <c r="B476" s="124"/>
      <c r="C476" s="123" t="s">
        <v>3589</v>
      </c>
      <c r="D476" s="124">
        <v>6</v>
      </c>
      <c r="E476" s="124" t="s">
        <v>106</v>
      </c>
      <c r="F476" s="125">
        <v>1500000</v>
      </c>
      <c r="G476" s="125">
        <f>ROUNDDOWN(D476*F476,-3)</f>
        <v>9000000</v>
      </c>
      <c r="H476" s="154" t="b">
        <f t="shared" si="15"/>
        <v>1</v>
      </c>
      <c r="I476" s="154"/>
      <c r="J476" s="154"/>
    </row>
    <row r="477" spans="1:10" ht="14.25">
      <c r="A477" s="7" t="s">
        <v>3326</v>
      </c>
      <c r="B477" s="60">
        <v>524111</v>
      </c>
      <c r="C477" s="41" t="s">
        <v>19</v>
      </c>
      <c r="D477" s="60"/>
      <c r="E477" s="60"/>
      <c r="F477" s="42"/>
      <c r="G477" s="42">
        <f>G478</f>
        <v>15000000</v>
      </c>
      <c r="H477" s="154" t="b">
        <f t="shared" si="15"/>
        <v>1</v>
      </c>
      <c r="I477" s="154"/>
      <c r="J477" s="154"/>
    </row>
    <row r="478" spans="1:10" ht="14.25">
      <c r="A478" s="7" t="s">
        <v>3327</v>
      </c>
      <c r="B478" s="124"/>
      <c r="C478" s="123" t="s">
        <v>3800</v>
      </c>
      <c r="D478" s="124">
        <v>5</v>
      </c>
      <c r="E478" s="124" t="s">
        <v>10</v>
      </c>
      <c r="F478" s="125">
        <v>3000000</v>
      </c>
      <c r="G478" s="125">
        <f>ROUNDDOWN(D478*F478,-3)</f>
        <v>15000000</v>
      </c>
      <c r="H478" s="154" t="b">
        <f t="shared" si="15"/>
        <v>1</v>
      </c>
      <c r="I478" s="154"/>
      <c r="J478" s="154"/>
    </row>
    <row r="479" spans="1:10" ht="14.25">
      <c r="A479" s="7" t="s">
        <v>3329</v>
      </c>
      <c r="B479" s="60">
        <v>524113</v>
      </c>
      <c r="C479" s="41" t="s">
        <v>13</v>
      </c>
      <c r="D479" s="60"/>
      <c r="E479" s="60"/>
      <c r="F479" s="42"/>
      <c r="G479" s="42">
        <f>G480</f>
        <v>1800000</v>
      </c>
      <c r="H479" s="154" t="b">
        <f t="shared" si="15"/>
        <v>1</v>
      </c>
      <c r="I479" s="154"/>
      <c r="J479" s="154"/>
    </row>
    <row r="480" spans="1:10" ht="14.25">
      <c r="A480" s="7" t="s">
        <v>3330</v>
      </c>
      <c r="B480" s="124"/>
      <c r="C480" s="123" t="s">
        <v>3590</v>
      </c>
      <c r="D480" s="124">
        <v>12</v>
      </c>
      <c r="E480" s="124" t="s">
        <v>10</v>
      </c>
      <c r="F480" s="125">
        <v>150000</v>
      </c>
      <c r="G480" s="125">
        <f>ROUNDDOWN(D480*F480,-3)</f>
        <v>1800000</v>
      </c>
      <c r="H480" s="154" t="b">
        <f t="shared" si="15"/>
        <v>1</v>
      </c>
      <c r="I480" s="154"/>
      <c r="J480" s="154"/>
    </row>
    <row r="481" spans="1:10" ht="14.25">
      <c r="A481" s="7" t="s">
        <v>3331</v>
      </c>
      <c r="B481" s="59" t="s">
        <v>511</v>
      </c>
      <c r="C481" s="38" t="s">
        <v>144</v>
      </c>
      <c r="D481" s="59"/>
      <c r="E481" s="59"/>
      <c r="F481" s="39"/>
      <c r="G481" s="39">
        <f>SUM(G482,G486,G488)</f>
        <v>30900000</v>
      </c>
      <c r="H481" s="154" t="b">
        <f t="shared" si="15"/>
        <v>1</v>
      </c>
      <c r="I481" s="154"/>
      <c r="J481" s="154"/>
    </row>
    <row r="482" spans="1:10" ht="14.25">
      <c r="A482" s="7" t="s">
        <v>3332</v>
      </c>
      <c r="B482" s="60">
        <v>521211</v>
      </c>
      <c r="C482" s="41" t="s">
        <v>7</v>
      </c>
      <c r="D482" s="60"/>
      <c r="E482" s="60"/>
      <c r="F482" s="42"/>
      <c r="G482" s="42">
        <f>SUM(G483:G485)</f>
        <v>11400000</v>
      </c>
      <c r="H482" s="154" t="b">
        <f t="shared" si="15"/>
        <v>1</v>
      </c>
      <c r="I482" s="154"/>
      <c r="J482" s="154"/>
    </row>
    <row r="483" spans="1:10" ht="14.25">
      <c r="A483" s="7" t="s">
        <v>3333</v>
      </c>
      <c r="B483" s="124"/>
      <c r="C483" s="123" t="s">
        <v>3781</v>
      </c>
      <c r="D483" s="124">
        <v>4</v>
      </c>
      <c r="E483" s="124" t="s">
        <v>9</v>
      </c>
      <c r="F483" s="125">
        <v>1500000</v>
      </c>
      <c r="G483" s="125">
        <f>ROUNDDOWN(D483*F483,-3)</f>
        <v>6000000</v>
      </c>
      <c r="H483" s="154" t="b">
        <f t="shared" si="15"/>
        <v>1</v>
      </c>
      <c r="I483" s="154"/>
      <c r="J483" s="154"/>
    </row>
    <row r="484" spans="1:10" ht="14.25">
      <c r="A484" s="7" t="s">
        <v>3334</v>
      </c>
      <c r="B484" s="124"/>
      <c r="C484" s="123" t="s">
        <v>3784</v>
      </c>
      <c r="D484" s="124">
        <v>20</v>
      </c>
      <c r="E484" s="124" t="s">
        <v>10</v>
      </c>
      <c r="F484" s="125">
        <v>70000</v>
      </c>
      <c r="G484" s="125">
        <f>ROUNDDOWN(D484*F484,-3)</f>
        <v>1400000</v>
      </c>
      <c r="H484" s="154" t="b">
        <f t="shared" si="15"/>
        <v>1</v>
      </c>
      <c r="I484" s="154"/>
      <c r="J484" s="154"/>
    </row>
    <row r="485" spans="1:10" ht="14.25">
      <c r="A485" s="7" t="s">
        <v>3335</v>
      </c>
      <c r="B485" s="124"/>
      <c r="C485" s="123" t="s">
        <v>3588</v>
      </c>
      <c r="D485" s="124">
        <v>4</v>
      </c>
      <c r="E485" s="124" t="s">
        <v>106</v>
      </c>
      <c r="F485" s="125">
        <v>1000000</v>
      </c>
      <c r="G485" s="125">
        <f>ROUNDDOWN(D485*F485,-3)</f>
        <v>4000000</v>
      </c>
      <c r="H485" s="154" t="b">
        <f t="shared" si="15"/>
        <v>1</v>
      </c>
      <c r="I485" s="154"/>
      <c r="J485" s="154"/>
    </row>
    <row r="486" spans="1:10" ht="14.25">
      <c r="A486" s="7" t="s">
        <v>3336</v>
      </c>
      <c r="B486" s="60">
        <v>524111</v>
      </c>
      <c r="C486" s="41" t="s">
        <v>19</v>
      </c>
      <c r="D486" s="60"/>
      <c r="E486" s="60"/>
      <c r="F486" s="42"/>
      <c r="G486" s="42">
        <f>G487</f>
        <v>18000000</v>
      </c>
      <c r="H486" s="154" t="b">
        <f t="shared" si="15"/>
        <v>1</v>
      </c>
      <c r="I486" s="154"/>
      <c r="J486" s="154"/>
    </row>
    <row r="487" spans="1:10" ht="14.25">
      <c r="A487" s="7" t="s">
        <v>3337</v>
      </c>
      <c r="B487" s="124"/>
      <c r="C487" s="123" t="s">
        <v>3800</v>
      </c>
      <c r="D487" s="124">
        <v>6</v>
      </c>
      <c r="E487" s="124" t="s">
        <v>10</v>
      </c>
      <c r="F487" s="125">
        <v>3000000</v>
      </c>
      <c r="G487" s="125">
        <f>ROUNDDOWN(D487*F487,-3)</f>
        <v>18000000</v>
      </c>
      <c r="H487" s="154" t="b">
        <f t="shared" si="15"/>
        <v>1</v>
      </c>
      <c r="I487" s="154"/>
      <c r="J487" s="154"/>
    </row>
    <row r="488" spans="1:10" ht="14.25">
      <c r="A488" s="7" t="s">
        <v>3338</v>
      </c>
      <c r="B488" s="60">
        <v>524113</v>
      </c>
      <c r="C488" s="41" t="s">
        <v>13</v>
      </c>
      <c r="D488" s="60"/>
      <c r="E488" s="60"/>
      <c r="F488" s="42"/>
      <c r="G488" s="42">
        <f>G489</f>
        <v>1500000</v>
      </c>
      <c r="H488" s="154" t="b">
        <f t="shared" si="15"/>
        <v>1</v>
      </c>
      <c r="I488" s="154"/>
      <c r="J488" s="154"/>
    </row>
    <row r="489" spans="1:10" ht="14.25">
      <c r="A489" s="7" t="s">
        <v>3339</v>
      </c>
      <c r="B489" s="124"/>
      <c r="C489" s="123" t="s">
        <v>3593</v>
      </c>
      <c r="D489" s="124">
        <v>10</v>
      </c>
      <c r="E489" s="124" t="s">
        <v>10</v>
      </c>
      <c r="F489" s="125">
        <v>150000</v>
      </c>
      <c r="G489" s="125">
        <f>ROUNDDOWN(D489*F489,-3)</f>
        <v>1500000</v>
      </c>
      <c r="H489" s="154" t="b">
        <f t="shared" si="15"/>
        <v>1</v>
      </c>
      <c r="I489" s="154"/>
      <c r="J489" s="154"/>
    </row>
    <row r="490" spans="1:10" ht="14.25">
      <c r="A490" s="7" t="s">
        <v>3340</v>
      </c>
      <c r="B490" s="59" t="s">
        <v>512</v>
      </c>
      <c r="C490" s="38" t="s">
        <v>145</v>
      </c>
      <c r="D490" s="59"/>
      <c r="E490" s="59"/>
      <c r="F490" s="39"/>
      <c r="G490" s="39">
        <f>SUM(G491,G494,G496)</f>
        <v>26500000</v>
      </c>
      <c r="H490" s="154" t="b">
        <f t="shared" si="15"/>
        <v>1</v>
      </c>
      <c r="I490" s="154"/>
      <c r="J490" s="154"/>
    </row>
    <row r="491" spans="1:10" ht="14.25">
      <c r="A491" s="7" t="s">
        <v>3341</v>
      </c>
      <c r="B491" s="60">
        <v>521211</v>
      </c>
      <c r="C491" s="41" t="s">
        <v>7</v>
      </c>
      <c r="D491" s="60"/>
      <c r="E491" s="60"/>
      <c r="F491" s="42"/>
      <c r="G491" s="42">
        <f>SUM(G492:G493)</f>
        <v>10000000</v>
      </c>
      <c r="H491" s="154" t="b">
        <f t="shared" si="15"/>
        <v>1</v>
      </c>
      <c r="I491" s="154"/>
      <c r="J491" s="154"/>
    </row>
    <row r="492" spans="1:10" ht="14.25">
      <c r="A492" s="7" t="s">
        <v>3342</v>
      </c>
      <c r="B492" s="124"/>
      <c r="C492" s="123" t="s">
        <v>3781</v>
      </c>
      <c r="D492" s="124">
        <v>4</v>
      </c>
      <c r="E492" s="124" t="s">
        <v>9</v>
      </c>
      <c r="F492" s="125">
        <v>1500000</v>
      </c>
      <c r="G492" s="125">
        <f>ROUNDDOWN(D492*F492,-3)</f>
        <v>6000000</v>
      </c>
      <c r="H492" s="154" t="b">
        <f t="shared" si="15"/>
        <v>1</v>
      </c>
      <c r="I492" s="154"/>
      <c r="J492" s="154"/>
    </row>
    <row r="493" spans="1:10" ht="14.25">
      <c r="A493" s="7" t="s">
        <v>3343</v>
      </c>
      <c r="B493" s="124"/>
      <c r="C493" s="123" t="s">
        <v>3598</v>
      </c>
      <c r="D493" s="124">
        <v>4</v>
      </c>
      <c r="E493" s="124" t="s">
        <v>106</v>
      </c>
      <c r="F493" s="125">
        <v>1000000</v>
      </c>
      <c r="G493" s="125">
        <f>ROUNDDOWN(D493*F493,-3)</f>
        <v>4000000</v>
      </c>
      <c r="H493" s="154" t="b">
        <f t="shared" si="15"/>
        <v>1</v>
      </c>
      <c r="I493" s="154"/>
      <c r="J493" s="154"/>
    </row>
    <row r="494" spans="1:10" ht="14.25">
      <c r="A494" s="7" t="s">
        <v>3344</v>
      </c>
      <c r="B494" s="60">
        <v>524111</v>
      </c>
      <c r="C494" s="41" t="s">
        <v>19</v>
      </c>
      <c r="D494" s="60"/>
      <c r="E494" s="60"/>
      <c r="F494" s="42"/>
      <c r="G494" s="42">
        <f>G495</f>
        <v>15000000</v>
      </c>
      <c r="H494" s="154" t="b">
        <f t="shared" si="15"/>
        <v>1</v>
      </c>
      <c r="I494" s="154"/>
      <c r="J494" s="154"/>
    </row>
    <row r="495" spans="1:10" ht="14.25">
      <c r="A495" s="7" t="s">
        <v>3345</v>
      </c>
      <c r="B495" s="124"/>
      <c r="C495" s="123" t="s">
        <v>3801</v>
      </c>
      <c r="D495" s="124">
        <v>5</v>
      </c>
      <c r="E495" s="124" t="s">
        <v>10</v>
      </c>
      <c r="F495" s="125">
        <v>3000000</v>
      </c>
      <c r="G495" s="125">
        <f>ROUNDDOWN(D495*F495,-3)</f>
        <v>15000000</v>
      </c>
      <c r="H495" s="154" t="b">
        <f t="shared" si="15"/>
        <v>1</v>
      </c>
      <c r="I495" s="154"/>
      <c r="J495" s="154"/>
    </row>
    <row r="496" spans="1:10" ht="14.25">
      <c r="A496" s="7" t="s">
        <v>3347</v>
      </c>
      <c r="B496" s="60">
        <v>524113</v>
      </c>
      <c r="C496" s="41" t="s">
        <v>13</v>
      </c>
      <c r="D496" s="60"/>
      <c r="E496" s="60"/>
      <c r="F496" s="42"/>
      <c r="G496" s="42">
        <f>G497</f>
        <v>1500000</v>
      </c>
      <c r="H496" s="154" t="b">
        <f t="shared" si="15"/>
        <v>1</v>
      </c>
      <c r="I496" s="154"/>
      <c r="J496" s="154"/>
    </row>
    <row r="497" spans="1:10" ht="14.25">
      <c r="A497" s="7" t="s">
        <v>3348</v>
      </c>
      <c r="B497" s="124"/>
      <c r="C497" s="123" t="s">
        <v>3593</v>
      </c>
      <c r="D497" s="124">
        <v>10</v>
      </c>
      <c r="E497" s="124" t="s">
        <v>10</v>
      </c>
      <c r="F497" s="125">
        <v>150000</v>
      </c>
      <c r="G497" s="125">
        <f>ROUNDDOWN(D497*F497,-3)</f>
        <v>1500000</v>
      </c>
      <c r="H497" s="154" t="b">
        <f t="shared" si="15"/>
        <v>1</v>
      </c>
      <c r="I497" s="154"/>
      <c r="J497" s="154"/>
    </row>
    <row r="498" spans="1:10" ht="14.25">
      <c r="A498" s="7" t="s">
        <v>3349</v>
      </c>
      <c r="B498" s="59" t="s">
        <v>514</v>
      </c>
      <c r="C498" s="38" t="s">
        <v>3350</v>
      </c>
      <c r="D498" s="59"/>
      <c r="E498" s="59"/>
      <c r="F498" s="39"/>
      <c r="G498" s="39">
        <f>SUM(G499,G505,G507,G509)</f>
        <v>86700000</v>
      </c>
      <c r="H498" s="154" t="b">
        <f t="shared" si="15"/>
        <v>1</v>
      </c>
      <c r="I498" s="154"/>
      <c r="J498" s="154"/>
    </row>
    <row r="499" spans="1:10" ht="14.25">
      <c r="A499" s="7" t="s">
        <v>3351</v>
      </c>
      <c r="B499" s="60">
        <v>521211</v>
      </c>
      <c r="C499" s="41" t="s">
        <v>7</v>
      </c>
      <c r="D499" s="60"/>
      <c r="E499" s="60"/>
      <c r="F499" s="42"/>
      <c r="G499" s="42">
        <f>SUM(G500:G504)</f>
        <v>32400000</v>
      </c>
      <c r="H499" s="154" t="b">
        <f t="shared" si="15"/>
        <v>1</v>
      </c>
      <c r="I499" s="154"/>
      <c r="J499" s="154"/>
    </row>
    <row r="500" spans="1:10" ht="14.25">
      <c r="A500" s="7" t="s">
        <v>3352</v>
      </c>
      <c r="B500" s="124"/>
      <c r="C500" s="123" t="s">
        <v>3781</v>
      </c>
      <c r="D500" s="124">
        <v>6</v>
      </c>
      <c r="E500" s="124" t="s">
        <v>9</v>
      </c>
      <c r="F500" s="125">
        <v>1500000</v>
      </c>
      <c r="G500" s="125">
        <f>ROUNDDOWN(D500*F500,-3)</f>
        <v>9000000</v>
      </c>
      <c r="H500" s="154" t="b">
        <f t="shared" si="15"/>
        <v>1</v>
      </c>
      <c r="I500" s="154"/>
      <c r="J500" s="154"/>
    </row>
    <row r="501" spans="1:10" ht="14.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c r="A502" s="155" t="s">
        <v>3354</v>
      </c>
      <c r="B502" s="124"/>
      <c r="C502" s="123" t="s">
        <v>3802</v>
      </c>
      <c r="D502" s="124">
        <v>28</v>
      </c>
      <c r="E502" s="124" t="s">
        <v>176</v>
      </c>
      <c r="F502" s="125">
        <v>500000</v>
      </c>
      <c r="G502" s="125">
        <f>ROUNDDOWN(D502*F502,-3)</f>
        <v>14000000</v>
      </c>
      <c r="H502" s="154" t="b">
        <f t="shared" si="15"/>
        <v>1</v>
      </c>
      <c r="I502" s="154"/>
      <c r="J502" s="154"/>
    </row>
    <row r="503" spans="1:10" ht="14.25">
      <c r="A503" s="7" t="s">
        <v>3356</v>
      </c>
      <c r="B503" s="124"/>
      <c r="C503" s="123" t="s">
        <v>3803</v>
      </c>
      <c r="D503" s="124">
        <v>4</v>
      </c>
      <c r="E503" s="124" t="s">
        <v>58</v>
      </c>
      <c r="F503" s="125">
        <v>500000</v>
      </c>
      <c r="G503" s="125">
        <f>ROUNDDOWN(D503*F503,-3)</f>
        <v>2000000</v>
      </c>
      <c r="H503" s="154" t="b">
        <f t="shared" si="15"/>
        <v>1</v>
      </c>
      <c r="I503" s="154"/>
      <c r="J503" s="154"/>
    </row>
    <row r="504" spans="1:10" ht="14.25">
      <c r="A504" s="7" t="s">
        <v>3358</v>
      </c>
      <c r="B504" s="124"/>
      <c r="C504" s="123" t="s">
        <v>3799</v>
      </c>
      <c r="D504" s="124">
        <v>6</v>
      </c>
      <c r="E504" s="124" t="s">
        <v>106</v>
      </c>
      <c r="F504" s="125">
        <v>1000000</v>
      </c>
      <c r="G504" s="125">
        <f>ROUNDDOWN(D504*F504,-3)</f>
        <v>6000000</v>
      </c>
      <c r="H504" s="154" t="b">
        <f t="shared" si="15"/>
        <v>1</v>
      </c>
      <c r="I504" s="154"/>
      <c r="J504" s="154"/>
    </row>
    <row r="505" spans="1:10" ht="14.25">
      <c r="A505" s="7" t="s">
        <v>3359</v>
      </c>
      <c r="B505" s="60">
        <v>522151</v>
      </c>
      <c r="C505" s="41" t="s">
        <v>11</v>
      </c>
      <c r="D505" s="60"/>
      <c r="E505" s="60"/>
      <c r="F505" s="42"/>
      <c r="G505" s="42">
        <f>G506</f>
        <v>9000000</v>
      </c>
      <c r="H505" s="154" t="b">
        <f t="shared" si="15"/>
        <v>1</v>
      </c>
      <c r="I505" s="154"/>
      <c r="J505" s="154"/>
    </row>
    <row r="506" spans="1:10" ht="14.25">
      <c r="A506" s="7" t="s">
        <v>3360</v>
      </c>
      <c r="B506" s="124"/>
      <c r="C506" s="123" t="s">
        <v>3603</v>
      </c>
      <c r="D506" s="124">
        <v>10</v>
      </c>
      <c r="E506" s="124" t="s">
        <v>12</v>
      </c>
      <c r="F506" s="125">
        <v>900000</v>
      </c>
      <c r="G506" s="125">
        <f>ROUNDDOWN(D506*F506,-3)</f>
        <v>9000000</v>
      </c>
      <c r="H506" s="154" t="b">
        <f t="shared" si="15"/>
        <v>1</v>
      </c>
      <c r="I506" s="154"/>
      <c r="J506" s="154"/>
    </row>
    <row r="507" spans="1:10" ht="14.25">
      <c r="A507" s="7" t="s">
        <v>3361</v>
      </c>
      <c r="B507" s="60">
        <v>524111</v>
      </c>
      <c r="C507" s="41" t="s">
        <v>19</v>
      </c>
      <c r="D507" s="60"/>
      <c r="E507" s="60"/>
      <c r="F507" s="42"/>
      <c r="G507" s="42">
        <f>G508</f>
        <v>42000000</v>
      </c>
      <c r="H507" s="154" t="b">
        <f t="shared" si="15"/>
        <v>1</v>
      </c>
      <c r="I507" s="154"/>
      <c r="J507" s="154"/>
    </row>
    <row r="508" spans="1:10" ht="14.25">
      <c r="A508" s="7" t="s">
        <v>3362</v>
      </c>
      <c r="B508" s="124"/>
      <c r="C508" s="123" t="s">
        <v>3804</v>
      </c>
      <c r="D508" s="124">
        <v>14</v>
      </c>
      <c r="E508" s="124" t="s">
        <v>10</v>
      </c>
      <c r="F508" s="125">
        <v>3000000</v>
      </c>
      <c r="G508" s="125">
        <f>ROUNDDOWN(D508*F508,-3)</f>
        <v>42000000</v>
      </c>
      <c r="H508" s="154" t="b">
        <f t="shared" si="15"/>
        <v>1</v>
      </c>
      <c r="I508" s="154"/>
      <c r="J508" s="154"/>
    </row>
    <row r="509" spans="1:10" ht="14.25">
      <c r="A509" s="7" t="s">
        <v>3364</v>
      </c>
      <c r="B509" s="60">
        <v>524113</v>
      </c>
      <c r="C509" s="41" t="s">
        <v>13</v>
      </c>
      <c r="D509" s="60"/>
      <c r="E509" s="60"/>
      <c r="F509" s="42"/>
      <c r="G509" s="42">
        <f>G510</f>
        <v>3300000</v>
      </c>
      <c r="H509" s="154" t="b">
        <f t="shared" si="15"/>
        <v>1</v>
      </c>
      <c r="I509" s="154"/>
      <c r="J509" s="154"/>
    </row>
    <row r="510" spans="1:10" ht="14.25">
      <c r="A510" s="7" t="s">
        <v>3365</v>
      </c>
      <c r="B510" s="124"/>
      <c r="C510" s="123" t="s">
        <v>3805</v>
      </c>
      <c r="D510" s="124">
        <v>22</v>
      </c>
      <c r="E510" s="124" t="s">
        <v>10</v>
      </c>
      <c r="F510" s="125">
        <v>150000</v>
      </c>
      <c r="G510" s="125">
        <f>ROUNDDOWN(D510*F510,-3)</f>
        <v>3300000</v>
      </c>
      <c r="H510" s="154" t="b">
        <f t="shared" si="15"/>
        <v>1</v>
      </c>
      <c r="I510" s="154"/>
      <c r="J510" s="154"/>
    </row>
    <row r="511" spans="1:10" ht="14.25">
      <c r="A511" s="7" t="s">
        <v>3367</v>
      </c>
      <c r="B511" s="59" t="s">
        <v>519</v>
      </c>
      <c r="C511" s="38" t="s">
        <v>146</v>
      </c>
      <c r="D511" s="59"/>
      <c r="E511" s="59"/>
      <c r="F511" s="39"/>
      <c r="G511" s="39">
        <f>SUM(G512,G515,G517)</f>
        <v>28800000</v>
      </c>
      <c r="H511" s="154" t="b">
        <f t="shared" si="15"/>
        <v>1</v>
      </c>
      <c r="I511" s="154"/>
      <c r="J511" s="154"/>
    </row>
    <row r="512" spans="1:10" ht="14.25">
      <c r="A512" s="7" t="s">
        <v>3368</v>
      </c>
      <c r="B512" s="60">
        <v>521211</v>
      </c>
      <c r="C512" s="41" t="s">
        <v>7</v>
      </c>
      <c r="D512" s="60"/>
      <c r="E512" s="60"/>
      <c r="F512" s="42"/>
      <c r="G512" s="42">
        <f>SUM(G513:G514)</f>
        <v>15000000</v>
      </c>
      <c r="H512" s="154" t="b">
        <f t="shared" si="15"/>
        <v>1</v>
      </c>
      <c r="I512" s="154"/>
      <c r="J512" s="154"/>
    </row>
    <row r="513" spans="1:10" ht="14.25">
      <c r="A513" s="7" t="s">
        <v>3369</v>
      </c>
      <c r="B513" s="124"/>
      <c r="C513" s="123" t="s">
        <v>3781</v>
      </c>
      <c r="D513" s="124">
        <v>6</v>
      </c>
      <c r="E513" s="124" t="s">
        <v>9</v>
      </c>
      <c r="F513" s="125">
        <v>1500000</v>
      </c>
      <c r="G513" s="125">
        <f>ROUNDDOWN(D513*F513,-3)</f>
        <v>9000000</v>
      </c>
      <c r="H513" s="154" t="b">
        <f t="shared" si="15"/>
        <v>1</v>
      </c>
      <c r="I513" s="154"/>
      <c r="J513" s="154"/>
    </row>
    <row r="514" spans="1:10" ht="14.25">
      <c r="A514" s="7" t="s">
        <v>3370</v>
      </c>
      <c r="B514" s="124"/>
      <c r="C514" s="123" t="s">
        <v>3598</v>
      </c>
      <c r="D514" s="124">
        <v>6</v>
      </c>
      <c r="E514" s="124" t="s">
        <v>106</v>
      </c>
      <c r="F514" s="125">
        <v>1000000</v>
      </c>
      <c r="G514" s="125">
        <f>ROUNDDOWN(D514*F514,-3)</f>
        <v>6000000</v>
      </c>
      <c r="H514" s="154" t="b">
        <f t="shared" si="15"/>
        <v>1</v>
      </c>
      <c r="I514" s="154"/>
      <c r="J514" s="154"/>
    </row>
    <row r="515" spans="1:10" ht="14.25">
      <c r="A515" s="7" t="s">
        <v>3371</v>
      </c>
      <c r="B515" s="60">
        <v>524111</v>
      </c>
      <c r="C515" s="41" t="s">
        <v>19</v>
      </c>
      <c r="D515" s="60"/>
      <c r="E515" s="60"/>
      <c r="F515" s="42"/>
      <c r="G515" s="42">
        <f>G516</f>
        <v>12000000</v>
      </c>
      <c r="H515" s="154" t="b">
        <f t="shared" si="15"/>
        <v>1</v>
      </c>
      <c r="I515" s="154"/>
      <c r="J515" s="154"/>
    </row>
    <row r="516" spans="1:10" ht="14.25">
      <c r="A516" s="7" t="s">
        <v>3372</v>
      </c>
      <c r="B516" s="124"/>
      <c r="C516" s="123" t="s">
        <v>3806</v>
      </c>
      <c r="D516" s="124">
        <v>4</v>
      </c>
      <c r="E516" s="124" t="s">
        <v>10</v>
      </c>
      <c r="F516" s="125">
        <v>3000000</v>
      </c>
      <c r="G516" s="125">
        <f>ROUNDDOWN(D516*F516,-3)</f>
        <v>12000000</v>
      </c>
      <c r="H516" s="154" t="b">
        <f t="shared" si="15"/>
        <v>1</v>
      </c>
      <c r="I516" s="154"/>
      <c r="J516" s="154"/>
    </row>
    <row r="517" spans="1:10" ht="14.25">
      <c r="A517" s="7" t="s">
        <v>3374</v>
      </c>
      <c r="B517" s="60">
        <v>524113</v>
      </c>
      <c r="C517" s="41" t="s">
        <v>13</v>
      </c>
      <c r="D517" s="60"/>
      <c r="E517" s="60"/>
      <c r="F517" s="42"/>
      <c r="G517" s="42">
        <f>G518</f>
        <v>1800000</v>
      </c>
      <c r="H517" s="154" t="b">
        <f t="shared" si="15"/>
        <v>1</v>
      </c>
      <c r="I517" s="154"/>
      <c r="J517" s="154"/>
    </row>
    <row r="518" spans="1:10" ht="14.25">
      <c r="A518" s="7" t="s">
        <v>3375</v>
      </c>
      <c r="B518" s="124"/>
      <c r="C518" s="123" t="s">
        <v>3807</v>
      </c>
      <c r="D518" s="124">
        <v>12</v>
      </c>
      <c r="E518" s="124" t="s">
        <v>10</v>
      </c>
      <c r="F518" s="125">
        <v>150000</v>
      </c>
      <c r="G518" s="125">
        <f>ROUNDDOWN(D518*F518,-3)</f>
        <v>1800000</v>
      </c>
      <c r="H518" s="154" t="b">
        <f t="shared" si="15"/>
        <v>1</v>
      </c>
      <c r="I518" s="154"/>
      <c r="J518" s="154"/>
    </row>
    <row r="519" spans="1:10" ht="14.25">
      <c r="A519" s="7" t="s">
        <v>3377</v>
      </c>
      <c r="B519" s="59" t="s">
        <v>578</v>
      </c>
      <c r="C519" s="38" t="s">
        <v>147</v>
      </c>
      <c r="D519" s="59"/>
      <c r="E519" s="59"/>
      <c r="F519" s="39"/>
      <c r="G519" s="39">
        <f>SUM(G520,G522,G525,G527)</f>
        <v>76320000</v>
      </c>
      <c r="H519" s="154" t="b">
        <f t="shared" si="15"/>
        <v>1</v>
      </c>
      <c r="I519" s="154"/>
      <c r="J519" s="154"/>
    </row>
    <row r="520" spans="1:10" ht="14.25">
      <c r="A520" s="7" t="s">
        <v>3378</v>
      </c>
      <c r="B520" s="60">
        <v>521211</v>
      </c>
      <c r="C520" s="41" t="s">
        <v>7</v>
      </c>
      <c r="D520" s="60"/>
      <c r="E520" s="60"/>
      <c r="F520" s="42"/>
      <c r="G520" s="42">
        <f>G521</f>
        <v>4800000</v>
      </c>
      <c r="H520" s="154" t="b">
        <f t="shared" si="15"/>
        <v>1</v>
      </c>
      <c r="I520" s="154"/>
      <c r="J520" s="154"/>
    </row>
    <row r="521" spans="1:10" ht="14.25">
      <c r="A521" s="7" t="s">
        <v>3379</v>
      </c>
      <c r="B521" s="124"/>
      <c r="C521" s="123" t="s">
        <v>3808</v>
      </c>
      <c r="D521" s="124">
        <v>24</v>
      </c>
      <c r="E521" s="124" t="s">
        <v>176</v>
      </c>
      <c r="F521" s="125">
        <v>200000</v>
      </c>
      <c r="G521" s="125">
        <f>ROUNDDOWN(D521*F521,-3)</f>
        <v>4800000</v>
      </c>
      <c r="H521" s="154" t="b">
        <f t="shared" si="15"/>
        <v>1</v>
      </c>
      <c r="I521" s="154"/>
      <c r="J521" s="154"/>
    </row>
    <row r="522" spans="1:10" ht="14.25">
      <c r="A522" s="7" t="s">
        <v>3381</v>
      </c>
      <c r="B522" s="60">
        <v>521811</v>
      </c>
      <c r="C522" s="41" t="s">
        <v>64</v>
      </c>
      <c r="D522" s="60"/>
      <c r="E522" s="60"/>
      <c r="F522" s="42"/>
      <c r="G522" s="42">
        <f>SUM(G523:G524)</f>
        <v>25000000</v>
      </c>
      <c r="H522" s="154" t="b">
        <f t="shared" si="15"/>
        <v>1</v>
      </c>
      <c r="I522" s="154"/>
      <c r="J522" s="154"/>
    </row>
    <row r="523" spans="1:10" ht="14.25">
      <c r="A523" s="7" t="s">
        <v>3382</v>
      </c>
      <c r="B523" s="124"/>
      <c r="C523" s="123" t="s">
        <v>3781</v>
      </c>
      <c r="D523" s="124">
        <v>10</v>
      </c>
      <c r="E523" s="124" t="s">
        <v>9</v>
      </c>
      <c r="F523" s="125">
        <v>1500000</v>
      </c>
      <c r="G523" s="125">
        <f>ROUNDDOWN(D523*F523,-3)</f>
        <v>15000000</v>
      </c>
      <c r="H523" s="154" t="b">
        <f t="shared" si="15"/>
        <v>1</v>
      </c>
      <c r="I523" s="154"/>
      <c r="J523" s="154"/>
    </row>
    <row r="524" spans="1:10" ht="14.25">
      <c r="A524" s="7" t="s">
        <v>3383</v>
      </c>
      <c r="B524" s="124"/>
      <c r="C524" s="123" t="s">
        <v>3598</v>
      </c>
      <c r="D524" s="124">
        <v>10</v>
      </c>
      <c r="E524" s="124" t="s">
        <v>2749</v>
      </c>
      <c r="F524" s="125">
        <v>1000000</v>
      </c>
      <c r="G524" s="125">
        <f>ROUNDDOWN(D524*F524,-3)</f>
        <v>10000000</v>
      </c>
      <c r="H524" s="154" t="b">
        <f t="shared" si="15"/>
        <v>1</v>
      </c>
      <c r="I524" s="154"/>
      <c r="J524" s="154"/>
    </row>
    <row r="525" spans="1:10" ht="14.25">
      <c r="A525" s="7" t="s">
        <v>3384</v>
      </c>
      <c r="B525" s="60">
        <v>524111</v>
      </c>
      <c r="C525" s="41" t="s">
        <v>19</v>
      </c>
      <c r="D525" s="60"/>
      <c r="E525" s="60"/>
      <c r="F525" s="42"/>
      <c r="G525" s="42">
        <f>G526</f>
        <v>42770000</v>
      </c>
      <c r="H525" s="154" t="b">
        <f t="shared" si="15"/>
        <v>1</v>
      </c>
      <c r="I525" s="154"/>
      <c r="J525" s="154"/>
    </row>
    <row r="526" spans="1:10" ht="14.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c r="A527" s="7" t="s">
        <v>3387</v>
      </c>
      <c r="B527" s="60">
        <v>524113</v>
      </c>
      <c r="C527" s="41" t="s">
        <v>13</v>
      </c>
      <c r="D527" s="60"/>
      <c r="E527" s="60"/>
      <c r="F527" s="42"/>
      <c r="G527" s="42">
        <f>G528</f>
        <v>3750000</v>
      </c>
      <c r="H527" s="154" t="b">
        <f t="shared" si="16"/>
        <v>1</v>
      </c>
      <c r="I527" s="154"/>
      <c r="J527" s="154"/>
    </row>
    <row r="528" spans="1:10" ht="14.25">
      <c r="A528" s="7" t="s">
        <v>3388</v>
      </c>
      <c r="B528" s="124"/>
      <c r="C528" s="123" t="s">
        <v>3594</v>
      </c>
      <c r="D528" s="124">
        <v>25</v>
      </c>
      <c r="E528" s="124" t="s">
        <v>10</v>
      </c>
      <c r="F528" s="125">
        <v>150000</v>
      </c>
      <c r="G528" s="125">
        <f>ROUNDDOWN(D528*F528,-3)</f>
        <v>3750000</v>
      </c>
      <c r="H528" s="154" t="b">
        <f t="shared" si="16"/>
        <v>1</v>
      </c>
      <c r="I528" s="154"/>
      <c r="J528" s="154"/>
    </row>
    <row r="529" spans="1:10" ht="14.25">
      <c r="A529" s="7" t="s">
        <v>495</v>
      </c>
      <c r="B529" s="55">
        <v>4345</v>
      </c>
      <c r="C529" s="26" t="s">
        <v>188</v>
      </c>
      <c r="D529" s="55"/>
      <c r="E529" s="55"/>
      <c r="F529" s="27"/>
      <c r="G529" s="27">
        <f>G530</f>
        <v>8582500000</v>
      </c>
      <c r="H529" s="154" t="b">
        <f t="shared" si="16"/>
        <v>1</v>
      </c>
      <c r="I529" s="154"/>
      <c r="J529" s="154"/>
    </row>
    <row r="530" spans="1:10" ht="14.25">
      <c r="A530" s="7" t="s">
        <v>3473</v>
      </c>
      <c r="B530" s="116" t="s">
        <v>3474</v>
      </c>
      <c r="C530" s="114" t="s">
        <v>2312</v>
      </c>
      <c r="D530" s="116">
        <v>4725</v>
      </c>
      <c r="E530" s="116" t="s">
        <v>155</v>
      </c>
      <c r="F530" s="117"/>
      <c r="G530" s="117">
        <f>G531</f>
        <v>8582500000</v>
      </c>
      <c r="H530" s="154" t="b">
        <f t="shared" si="16"/>
        <v>1</v>
      </c>
      <c r="I530" s="154"/>
      <c r="J530" s="154"/>
    </row>
    <row r="531" spans="1:10" ht="14.25">
      <c r="A531" s="7" t="s">
        <v>3475</v>
      </c>
      <c r="B531" s="119" t="s">
        <v>3810</v>
      </c>
      <c r="C531" s="118" t="s">
        <v>3477</v>
      </c>
      <c r="D531" s="119">
        <v>4725</v>
      </c>
      <c r="E531" s="119" t="s">
        <v>155</v>
      </c>
      <c r="F531" s="120"/>
      <c r="G531" s="120">
        <f>SUM(G532,G580)</f>
        <v>8582500000</v>
      </c>
      <c r="H531" s="154" t="b">
        <f t="shared" si="16"/>
        <v>1</v>
      </c>
      <c r="I531" s="154"/>
      <c r="J531" s="154"/>
    </row>
    <row r="532" spans="1:10" ht="14.25">
      <c r="A532" s="7" t="s">
        <v>3478</v>
      </c>
      <c r="B532" s="58">
        <v>301</v>
      </c>
      <c r="C532" s="35" t="s">
        <v>189</v>
      </c>
      <c r="D532" s="58"/>
      <c r="E532" s="58"/>
      <c r="F532" s="36"/>
      <c r="G532" s="36">
        <f>SUM(G533,G552,G568,G577)</f>
        <v>8473300000</v>
      </c>
      <c r="H532" s="154" t="b">
        <f t="shared" si="16"/>
        <v>1</v>
      </c>
      <c r="I532" s="154"/>
      <c r="J532" s="154"/>
    </row>
    <row r="533" spans="1:10" ht="14.25">
      <c r="A533" s="7" t="s">
        <v>3479</v>
      </c>
      <c r="B533" s="59" t="s">
        <v>8</v>
      </c>
      <c r="C533" s="38" t="s">
        <v>190</v>
      </c>
      <c r="D533" s="59"/>
      <c r="E533" s="59"/>
      <c r="F533" s="39"/>
      <c r="G533" s="39">
        <f>SUM(G534,G539,G542,G545,G547,G549)</f>
        <v>1713564000</v>
      </c>
      <c r="H533" s="154" t="b">
        <f t="shared" si="16"/>
        <v>1</v>
      </c>
      <c r="I533" s="154"/>
      <c r="J533" s="154"/>
    </row>
    <row r="534" spans="1:10" ht="14.25">
      <c r="A534" s="7" t="s">
        <v>3480</v>
      </c>
      <c r="B534" s="60">
        <v>521211</v>
      </c>
      <c r="C534" s="41" t="s">
        <v>7</v>
      </c>
      <c r="D534" s="60"/>
      <c r="E534" s="60"/>
      <c r="F534" s="42"/>
      <c r="G534" s="42">
        <f>SUM(G535:G538)</f>
        <v>99100000</v>
      </c>
      <c r="H534" s="154" t="b">
        <f t="shared" si="16"/>
        <v>1</v>
      </c>
      <c r="I534" s="154"/>
      <c r="J534" s="154"/>
    </row>
    <row r="535" spans="1:10" ht="14.25">
      <c r="A535" s="7" t="s">
        <v>3481</v>
      </c>
      <c r="B535" s="124"/>
      <c r="C535" s="123" t="s">
        <v>3811</v>
      </c>
      <c r="D535" s="124">
        <v>400</v>
      </c>
      <c r="E535" s="124" t="s">
        <v>10</v>
      </c>
      <c r="F535" s="125">
        <v>70000</v>
      </c>
      <c r="G535" s="125">
        <f>ROUNDDOWN(D535*F535,-3)</f>
        <v>28000000</v>
      </c>
      <c r="H535" s="154" t="b">
        <f t="shared" si="16"/>
        <v>1</v>
      </c>
      <c r="I535" s="154"/>
      <c r="J535" s="154"/>
    </row>
    <row r="536" spans="1:10" ht="14.25">
      <c r="A536" s="7" t="s">
        <v>3482</v>
      </c>
      <c r="B536" s="124"/>
      <c r="C536" s="123" t="s">
        <v>3812</v>
      </c>
      <c r="D536" s="124">
        <v>10</v>
      </c>
      <c r="E536" s="124" t="s">
        <v>9</v>
      </c>
      <c r="F536" s="125">
        <v>1500000</v>
      </c>
      <c r="G536" s="125">
        <f>ROUNDDOWN(D536*F536,-3)</f>
        <v>15000000</v>
      </c>
      <c r="H536" s="154" t="b">
        <f t="shared" si="16"/>
        <v>1</v>
      </c>
      <c r="I536" s="154"/>
      <c r="J536" s="154"/>
    </row>
    <row r="537" spans="1:10" ht="14.25">
      <c r="A537" s="7" t="s">
        <v>3484</v>
      </c>
      <c r="B537" s="124"/>
      <c r="C537" s="123" t="s">
        <v>3813</v>
      </c>
      <c r="D537" s="124">
        <v>120</v>
      </c>
      <c r="E537" s="124" t="s">
        <v>25</v>
      </c>
      <c r="F537" s="125">
        <v>280000</v>
      </c>
      <c r="G537" s="125">
        <f>ROUNDDOWN(D537*F537,-3)</f>
        <v>33600000</v>
      </c>
      <c r="H537" s="154" t="b">
        <f t="shared" si="16"/>
        <v>1</v>
      </c>
      <c r="I537" s="154"/>
      <c r="J537" s="154"/>
    </row>
    <row r="538" spans="1:10" ht="14.25">
      <c r="A538" s="7" t="s">
        <v>3486</v>
      </c>
      <c r="B538" s="124"/>
      <c r="C538" s="123" t="s">
        <v>3814</v>
      </c>
      <c r="D538" s="124">
        <v>150</v>
      </c>
      <c r="E538" s="124" t="s">
        <v>25</v>
      </c>
      <c r="F538" s="125">
        <v>150000</v>
      </c>
      <c r="G538" s="125">
        <f>ROUNDDOWN(D538*F538,-3)</f>
        <v>22500000</v>
      </c>
      <c r="H538" s="154" t="b">
        <f t="shared" si="16"/>
        <v>1</v>
      </c>
      <c r="I538" s="154"/>
      <c r="J538" s="154"/>
    </row>
    <row r="539" spans="1:10" ht="14.25">
      <c r="A539" s="7" t="s">
        <v>3488</v>
      </c>
      <c r="B539" s="60">
        <v>521219</v>
      </c>
      <c r="C539" s="41" t="s">
        <v>53</v>
      </c>
      <c r="D539" s="60"/>
      <c r="E539" s="60"/>
      <c r="F539" s="42"/>
      <c r="G539" s="42">
        <f>SUM(G540:G541)</f>
        <v>1333864000</v>
      </c>
      <c r="H539" s="154" t="b">
        <f t="shared" si="16"/>
        <v>1</v>
      </c>
      <c r="I539" s="154"/>
      <c r="J539" s="154"/>
    </row>
    <row r="540" spans="1:10" ht="14.25">
      <c r="A540" s="7" t="s">
        <v>3489</v>
      </c>
      <c r="B540" s="124"/>
      <c r="C540" s="123" t="s">
        <v>3815</v>
      </c>
      <c r="D540" s="124">
        <v>33</v>
      </c>
      <c r="E540" s="124" t="s">
        <v>155</v>
      </c>
      <c r="F540" s="125">
        <v>40412550</v>
      </c>
      <c r="G540" s="125">
        <f>ROUNDDOWN(D540*F540,-3)</f>
        <v>1333614000</v>
      </c>
      <c r="H540" s="154" t="b">
        <f t="shared" si="16"/>
        <v>1</v>
      </c>
      <c r="I540" s="154"/>
      <c r="J540" s="154"/>
    </row>
    <row r="541" spans="1:10" ht="14.25">
      <c r="A541" s="7" t="s">
        <v>3491</v>
      </c>
      <c r="B541" s="124"/>
      <c r="C541" s="123" t="s">
        <v>3816</v>
      </c>
      <c r="D541" s="124">
        <v>1</v>
      </c>
      <c r="E541" s="124" t="s">
        <v>9</v>
      </c>
      <c r="F541" s="125">
        <v>250000</v>
      </c>
      <c r="G541" s="125">
        <f>ROUNDDOWN(D541*F541,-3)</f>
        <v>250000</v>
      </c>
      <c r="H541" s="154" t="b">
        <f t="shared" si="16"/>
        <v>1</v>
      </c>
      <c r="I541" s="154"/>
      <c r="J541" s="154"/>
    </row>
    <row r="542" spans="1:10" ht="14.25">
      <c r="A542" s="7" t="s">
        <v>3492</v>
      </c>
      <c r="B542" s="60">
        <v>521811</v>
      </c>
      <c r="C542" s="41" t="s">
        <v>64</v>
      </c>
      <c r="D542" s="60"/>
      <c r="E542" s="60"/>
      <c r="F542" s="42"/>
      <c r="G542" s="42">
        <f>SUM(G543:G544)</f>
        <v>25000000</v>
      </c>
      <c r="H542" s="154" t="b">
        <f t="shared" si="16"/>
        <v>1</v>
      </c>
      <c r="I542" s="154"/>
      <c r="J542" s="154"/>
    </row>
    <row r="543" spans="1:10" ht="14.25">
      <c r="A543" s="7" t="s">
        <v>3493</v>
      </c>
      <c r="B543" s="124"/>
      <c r="C543" s="123" t="s">
        <v>3781</v>
      </c>
      <c r="D543" s="124">
        <v>10</v>
      </c>
      <c r="E543" s="124" t="s">
        <v>9</v>
      </c>
      <c r="F543" s="125">
        <v>1000000</v>
      </c>
      <c r="G543" s="125">
        <f>ROUNDDOWN(D543*F543,-3)</f>
        <v>10000000</v>
      </c>
      <c r="H543" s="154" t="b">
        <f t="shared" si="16"/>
        <v>1</v>
      </c>
      <c r="I543" s="154"/>
      <c r="J543" s="154"/>
    </row>
    <row r="544" spans="1:10" ht="14.25">
      <c r="A544" s="7" t="s">
        <v>3494</v>
      </c>
      <c r="B544" s="124"/>
      <c r="C544" s="123" t="s">
        <v>3598</v>
      </c>
      <c r="D544" s="124">
        <v>10</v>
      </c>
      <c r="E544" s="124" t="s">
        <v>9</v>
      </c>
      <c r="F544" s="125">
        <v>1500000</v>
      </c>
      <c r="G544" s="125">
        <f>ROUNDDOWN(D544*F544,-3)</f>
        <v>15000000</v>
      </c>
      <c r="H544" s="154" t="b">
        <f t="shared" si="16"/>
        <v>1</v>
      </c>
      <c r="I544" s="154"/>
      <c r="J544" s="154"/>
    </row>
    <row r="545" spans="1:10" ht="14.25">
      <c r="A545" s="7" t="s">
        <v>3495</v>
      </c>
      <c r="B545" s="60">
        <v>522151</v>
      </c>
      <c r="C545" s="41" t="s">
        <v>11</v>
      </c>
      <c r="D545" s="60"/>
      <c r="E545" s="60"/>
      <c r="F545" s="42"/>
      <c r="G545" s="42">
        <f>G546</f>
        <v>15000000</v>
      </c>
      <c r="H545" s="154" t="b">
        <f t="shared" si="16"/>
        <v>1</v>
      </c>
      <c r="I545" s="154"/>
      <c r="J545" s="154"/>
    </row>
    <row r="546" spans="1:10" ht="14.25">
      <c r="A546" s="7" t="s">
        <v>3496</v>
      </c>
      <c r="B546" s="124"/>
      <c r="C546" s="123" t="s">
        <v>3603</v>
      </c>
      <c r="D546" s="124">
        <v>15</v>
      </c>
      <c r="E546" s="124" t="s">
        <v>12</v>
      </c>
      <c r="F546" s="125">
        <v>1000000</v>
      </c>
      <c r="G546" s="125">
        <f>ROUNDDOWN(D546*F546,-3)</f>
        <v>15000000</v>
      </c>
      <c r="H546" s="154" t="b">
        <f t="shared" si="16"/>
        <v>1</v>
      </c>
      <c r="I546" s="154"/>
      <c r="J546" s="154"/>
    </row>
    <row r="547" spans="1:10" ht="14.25">
      <c r="A547" s="7" t="s">
        <v>3497</v>
      </c>
      <c r="B547" s="60">
        <v>522191</v>
      </c>
      <c r="C547" s="41" t="s">
        <v>22</v>
      </c>
      <c r="D547" s="60"/>
      <c r="E547" s="60"/>
      <c r="F547" s="42"/>
      <c r="G547" s="42">
        <f>G548</f>
        <v>102600000</v>
      </c>
      <c r="H547" s="154" t="b">
        <f t="shared" si="16"/>
        <v>1</v>
      </c>
      <c r="I547" s="154"/>
      <c r="J547" s="154"/>
    </row>
    <row r="548" spans="1:10" ht="14.25">
      <c r="A548" s="7" t="s">
        <v>3498</v>
      </c>
      <c r="B548" s="124"/>
      <c r="C548" s="123" t="s">
        <v>3817</v>
      </c>
      <c r="D548" s="124">
        <v>120</v>
      </c>
      <c r="E548" s="124" t="s">
        <v>155</v>
      </c>
      <c r="F548" s="125">
        <v>855000</v>
      </c>
      <c r="G548" s="125">
        <f>ROUNDDOWN(D548*F548,-3)</f>
        <v>102600000</v>
      </c>
      <c r="H548" s="154" t="b">
        <f t="shared" si="16"/>
        <v>1</v>
      </c>
      <c r="I548" s="154"/>
      <c r="J548" s="154"/>
    </row>
    <row r="549" spans="1:10" ht="14.25">
      <c r="A549" s="7" t="s">
        <v>3500</v>
      </c>
      <c r="B549" s="60">
        <v>524111</v>
      </c>
      <c r="C549" s="41" t="s">
        <v>19</v>
      </c>
      <c r="D549" s="60"/>
      <c r="E549" s="60"/>
      <c r="F549" s="42"/>
      <c r="G549" s="42">
        <f>SUM(G550:G551)</f>
        <v>138000000</v>
      </c>
      <c r="H549" s="154" t="b">
        <f t="shared" si="16"/>
        <v>1</v>
      </c>
      <c r="I549" s="154"/>
      <c r="J549" s="154"/>
    </row>
    <row r="550" spans="1:10" ht="14.25">
      <c r="A550" s="7" t="s">
        <v>3501</v>
      </c>
      <c r="B550" s="124"/>
      <c r="C550" s="123" t="s">
        <v>3818</v>
      </c>
      <c r="D550" s="124">
        <v>50</v>
      </c>
      <c r="E550" s="124" t="s">
        <v>10</v>
      </c>
      <c r="F550" s="125">
        <v>1200000</v>
      </c>
      <c r="G550" s="125">
        <f>ROUNDDOWN(D550*F550,-3)</f>
        <v>60000000</v>
      </c>
      <c r="H550" s="154" t="b">
        <f t="shared" si="16"/>
        <v>1</v>
      </c>
      <c r="I550" s="154"/>
      <c r="J550" s="154"/>
    </row>
    <row r="551" spans="1:10" ht="14.25">
      <c r="A551" s="7" t="s">
        <v>3503</v>
      </c>
      <c r="B551" s="124"/>
      <c r="C551" s="123" t="s">
        <v>3819</v>
      </c>
      <c r="D551" s="124">
        <v>12</v>
      </c>
      <c r="E551" s="124" t="s">
        <v>10</v>
      </c>
      <c r="F551" s="125">
        <v>6500000</v>
      </c>
      <c r="G551" s="125">
        <f>ROUNDDOWN(D551*F551,-3)</f>
        <v>78000000</v>
      </c>
      <c r="H551" s="154" t="b">
        <f t="shared" si="16"/>
        <v>1</v>
      </c>
      <c r="I551" s="154"/>
      <c r="J551" s="154"/>
    </row>
    <row r="552" spans="1:10" ht="14.25">
      <c r="A552" s="7" t="s">
        <v>3505</v>
      </c>
      <c r="B552" s="59" t="s">
        <v>511</v>
      </c>
      <c r="C552" s="38" t="s">
        <v>191</v>
      </c>
      <c r="D552" s="59"/>
      <c r="E552" s="59"/>
      <c r="F552" s="39"/>
      <c r="G552" s="39">
        <f>SUM(G553,G556,G560,G563,G565)</f>
        <v>6555695000</v>
      </c>
      <c r="H552" s="154" t="b">
        <f t="shared" si="16"/>
        <v>1</v>
      </c>
      <c r="I552" s="154"/>
      <c r="J552" s="154"/>
    </row>
    <row r="553" spans="1:10" ht="14.25">
      <c r="A553" s="7" t="s">
        <v>3506</v>
      </c>
      <c r="B553" s="60">
        <v>521211</v>
      </c>
      <c r="C553" s="41" t="s">
        <v>7</v>
      </c>
      <c r="D553" s="60"/>
      <c r="E553" s="60"/>
      <c r="F553" s="42"/>
      <c r="G553" s="42">
        <f>SUM(G554:G555)</f>
        <v>25000000</v>
      </c>
      <c r="H553" s="154" t="b">
        <f t="shared" si="16"/>
        <v>1</v>
      </c>
      <c r="I553" s="154"/>
      <c r="J553" s="154"/>
    </row>
    <row r="554" spans="1:10" ht="14.25">
      <c r="A554" s="7" t="s">
        <v>3507</v>
      </c>
      <c r="B554" s="124"/>
      <c r="C554" s="123" t="s">
        <v>3811</v>
      </c>
      <c r="D554" s="124">
        <v>100</v>
      </c>
      <c r="E554" s="124" t="s">
        <v>10</v>
      </c>
      <c r="F554" s="125">
        <v>70000</v>
      </c>
      <c r="G554" s="125">
        <f>ROUNDDOWN(D554*F554,-3)</f>
        <v>7000000</v>
      </c>
      <c r="H554" s="154" t="b">
        <f t="shared" si="16"/>
        <v>1</v>
      </c>
      <c r="I554" s="154"/>
      <c r="J554" s="154"/>
    </row>
    <row r="555" spans="1:10" ht="14.25">
      <c r="A555" s="7" t="s">
        <v>3508</v>
      </c>
      <c r="B555" s="124"/>
      <c r="C555" s="123" t="s">
        <v>3812</v>
      </c>
      <c r="D555" s="124">
        <v>12</v>
      </c>
      <c r="E555" s="124" t="s">
        <v>9</v>
      </c>
      <c r="F555" s="125">
        <v>1500000</v>
      </c>
      <c r="G555" s="125">
        <f>ROUNDDOWN(D555*F555,-3)</f>
        <v>18000000</v>
      </c>
      <c r="H555" s="154" t="b">
        <f t="shared" si="16"/>
        <v>1</v>
      </c>
      <c r="I555" s="154"/>
      <c r="J555" s="154"/>
    </row>
    <row r="556" spans="1:10" ht="14.25">
      <c r="A556" s="7" t="s">
        <v>3509</v>
      </c>
      <c r="B556" s="60">
        <v>521219</v>
      </c>
      <c r="C556" s="41" t="s">
        <v>53</v>
      </c>
      <c r="D556" s="60"/>
      <c r="E556" s="60"/>
      <c r="F556" s="42"/>
      <c r="G556" s="42">
        <f>SUM(G557:G559)</f>
        <v>6308695000</v>
      </c>
      <c r="H556" s="154" t="b">
        <f t="shared" si="16"/>
        <v>1</v>
      </c>
      <c r="I556" s="154"/>
      <c r="J556" s="154"/>
    </row>
    <row r="557" spans="1:10" ht="14.25">
      <c r="A557" s="7" t="s">
        <v>3510</v>
      </c>
      <c r="B557" s="124"/>
      <c r="C557" s="123" t="s">
        <v>3815</v>
      </c>
      <c r="D557" s="124">
        <v>157</v>
      </c>
      <c r="E557" s="124" t="s">
        <v>155</v>
      </c>
      <c r="F557" s="125">
        <v>40130229</v>
      </c>
      <c r="G557" s="125">
        <f>ROUNDDOWN(D557*F557,-3)</f>
        <v>6300445000</v>
      </c>
      <c r="H557" s="154" t="b">
        <f t="shared" si="16"/>
        <v>1</v>
      </c>
      <c r="I557" s="154"/>
      <c r="J557" s="154"/>
    </row>
    <row r="558" spans="1:10" ht="14.25">
      <c r="A558" s="7" t="s">
        <v>3511</v>
      </c>
      <c r="B558" s="124"/>
      <c r="C558" s="123" t="s">
        <v>3816</v>
      </c>
      <c r="D558" s="124">
        <v>3</v>
      </c>
      <c r="E558" s="124" t="s">
        <v>9</v>
      </c>
      <c r="F558" s="125">
        <v>250000</v>
      </c>
      <c r="G558" s="125">
        <f>ROUNDDOWN(D558*F558,-3)</f>
        <v>750000</v>
      </c>
      <c r="H558" s="154" t="b">
        <f t="shared" si="16"/>
        <v>1</v>
      </c>
      <c r="I558" s="154"/>
      <c r="J558" s="154"/>
    </row>
    <row r="559" spans="1:10" ht="14.25">
      <c r="A559" s="7" t="s">
        <v>3512</v>
      </c>
      <c r="B559" s="124"/>
      <c r="C559" s="123" t="s">
        <v>3820</v>
      </c>
      <c r="D559" s="124">
        <v>15</v>
      </c>
      <c r="E559" s="124" t="s">
        <v>106</v>
      </c>
      <c r="F559" s="125">
        <v>500000</v>
      </c>
      <c r="G559" s="125">
        <f>ROUNDDOWN(D559*F559,-3)</f>
        <v>7500000</v>
      </c>
      <c r="H559" s="154" t="b">
        <f t="shared" si="16"/>
        <v>1</v>
      </c>
      <c r="I559" s="154"/>
      <c r="J559" s="154"/>
    </row>
    <row r="560" spans="1:10" ht="14.25">
      <c r="A560" s="7" t="s">
        <v>3514</v>
      </c>
      <c r="B560" s="60">
        <v>521811</v>
      </c>
      <c r="C560" s="41" t="s">
        <v>64</v>
      </c>
      <c r="D560" s="60"/>
      <c r="E560" s="60"/>
      <c r="F560" s="42"/>
      <c r="G560" s="42">
        <f>SUM(G561:G562)</f>
        <v>30000000</v>
      </c>
      <c r="H560" s="154" t="b">
        <f t="shared" si="16"/>
        <v>1</v>
      </c>
      <c r="I560" s="154"/>
      <c r="J560" s="154"/>
    </row>
    <row r="561" spans="1:10" ht="14.25">
      <c r="A561" s="7" t="s">
        <v>3515</v>
      </c>
      <c r="B561" s="124"/>
      <c r="C561" s="123" t="s">
        <v>3781</v>
      </c>
      <c r="D561" s="124">
        <v>12</v>
      </c>
      <c r="E561" s="124" t="s">
        <v>9</v>
      </c>
      <c r="F561" s="125">
        <v>1000000</v>
      </c>
      <c r="G561" s="125">
        <f>ROUNDDOWN(D561*F561,-3)</f>
        <v>12000000</v>
      </c>
      <c r="H561" s="154" t="b">
        <f t="shared" si="16"/>
        <v>1</v>
      </c>
      <c r="I561" s="154"/>
      <c r="J561" s="154"/>
    </row>
    <row r="562" spans="1:10" ht="14.25">
      <c r="A562" s="7" t="s">
        <v>3516</v>
      </c>
      <c r="B562" s="124"/>
      <c r="C562" s="123" t="s">
        <v>3598</v>
      </c>
      <c r="D562" s="124">
        <v>12</v>
      </c>
      <c r="E562" s="124" t="s">
        <v>9</v>
      </c>
      <c r="F562" s="125">
        <v>1500000</v>
      </c>
      <c r="G562" s="125">
        <f>ROUNDDOWN(D562*F562,-3)</f>
        <v>18000000</v>
      </c>
      <c r="H562" s="154" t="b">
        <f t="shared" si="16"/>
        <v>1</v>
      </c>
      <c r="I562" s="154"/>
      <c r="J562" s="154"/>
    </row>
    <row r="563" spans="1:10" ht="14.25">
      <c r="A563" s="7" t="s">
        <v>3517</v>
      </c>
      <c r="B563" s="60">
        <v>522151</v>
      </c>
      <c r="C563" s="41" t="s">
        <v>11</v>
      </c>
      <c r="D563" s="60"/>
      <c r="E563" s="60"/>
      <c r="F563" s="42"/>
      <c r="G563" s="42">
        <f>G564</f>
        <v>6000000</v>
      </c>
      <c r="H563" s="154" t="b">
        <f t="shared" si="16"/>
        <v>1</v>
      </c>
      <c r="I563" s="154"/>
      <c r="J563" s="154"/>
    </row>
    <row r="564" spans="1:10" ht="14.25">
      <c r="A564" s="7" t="s">
        <v>3518</v>
      </c>
      <c r="B564" s="124"/>
      <c r="C564" s="123" t="s">
        <v>3603</v>
      </c>
      <c r="D564" s="124">
        <v>6</v>
      </c>
      <c r="E564" s="124" t="s">
        <v>12</v>
      </c>
      <c r="F564" s="125">
        <v>1000000</v>
      </c>
      <c r="G564" s="125">
        <f>ROUNDDOWN(D564*F564,-3)</f>
        <v>6000000</v>
      </c>
      <c r="H564" s="154" t="b">
        <f t="shared" si="16"/>
        <v>1</v>
      </c>
      <c r="I564" s="154"/>
      <c r="J564" s="154"/>
    </row>
    <row r="565" spans="1:10" ht="14.25">
      <c r="A565" s="7" t="s">
        <v>3519</v>
      </c>
      <c r="B565" s="60">
        <v>524111</v>
      </c>
      <c r="C565" s="41" t="s">
        <v>19</v>
      </c>
      <c r="D565" s="60"/>
      <c r="E565" s="60"/>
      <c r="F565" s="42"/>
      <c r="G565" s="42">
        <f>SUM(G566:G567)</f>
        <v>186000000</v>
      </c>
      <c r="H565" s="154" t="b">
        <f t="shared" si="16"/>
        <v>1</v>
      </c>
      <c r="I565" s="154"/>
      <c r="J565" s="154"/>
    </row>
    <row r="566" spans="1:10" ht="14.25">
      <c r="A566" s="7" t="s">
        <v>3520</v>
      </c>
      <c r="B566" s="124"/>
      <c r="C566" s="123" t="s">
        <v>3818</v>
      </c>
      <c r="D566" s="124">
        <v>20</v>
      </c>
      <c r="E566" s="124" t="s">
        <v>10</v>
      </c>
      <c r="F566" s="125">
        <v>1500000</v>
      </c>
      <c r="G566" s="125">
        <f>ROUNDDOWN(D566*F566,-3)</f>
        <v>30000000</v>
      </c>
      <c r="H566" s="154" t="b">
        <f t="shared" si="16"/>
        <v>1</v>
      </c>
      <c r="I566" s="154"/>
      <c r="J566" s="154"/>
    </row>
    <row r="567" spans="1:10" ht="14.25">
      <c r="A567" s="7" t="s">
        <v>3521</v>
      </c>
      <c r="B567" s="124"/>
      <c r="C567" s="123" t="s">
        <v>3819</v>
      </c>
      <c r="D567" s="124">
        <v>24</v>
      </c>
      <c r="E567" s="124" t="s">
        <v>10</v>
      </c>
      <c r="F567" s="125">
        <v>6500000</v>
      </c>
      <c r="G567" s="125">
        <f>ROUNDDOWN(D567*F567,-3)</f>
        <v>156000000</v>
      </c>
      <c r="H567" s="154" t="b">
        <f t="shared" si="16"/>
        <v>1</v>
      </c>
      <c r="I567" s="154"/>
      <c r="J567" s="154"/>
    </row>
    <row r="568" spans="1:10" ht="14.25">
      <c r="A568" s="7" t="s">
        <v>3522</v>
      </c>
      <c r="B568" s="59" t="s">
        <v>512</v>
      </c>
      <c r="C568" s="38" t="s">
        <v>192</v>
      </c>
      <c r="D568" s="59"/>
      <c r="E568" s="59"/>
      <c r="F568" s="39"/>
      <c r="G568" s="39">
        <f>SUM(G569,G573,G575)</f>
        <v>174041000</v>
      </c>
      <c r="H568" s="154" t="b">
        <f t="shared" si="16"/>
        <v>1</v>
      </c>
      <c r="I568" s="154"/>
      <c r="J568" s="154"/>
    </row>
    <row r="569" spans="1:10" ht="14.25">
      <c r="A569" s="7" t="s">
        <v>3523</v>
      </c>
      <c r="B569" s="60">
        <v>521211</v>
      </c>
      <c r="C569" s="41" t="s">
        <v>7</v>
      </c>
      <c r="D569" s="60"/>
      <c r="E569" s="60"/>
      <c r="F569" s="42"/>
      <c r="G569" s="42">
        <f>SUM(G570:G572)</f>
        <v>12000000</v>
      </c>
      <c r="H569" s="154" t="b">
        <f t="shared" si="16"/>
        <v>1</v>
      </c>
      <c r="I569" s="154"/>
      <c r="J569" s="154"/>
    </row>
    <row r="570" spans="1:10" ht="14.25">
      <c r="A570" s="7" t="s">
        <v>3524</v>
      </c>
      <c r="B570" s="124"/>
      <c r="C570" s="123" t="s">
        <v>3821</v>
      </c>
      <c r="D570" s="124">
        <v>3</v>
      </c>
      <c r="E570" s="124" t="s">
        <v>9</v>
      </c>
      <c r="F570" s="125">
        <v>1500000</v>
      </c>
      <c r="G570" s="125">
        <f>ROUNDDOWN(D570*F570,-3)</f>
        <v>4500000</v>
      </c>
      <c r="H570" s="154" t="b">
        <f t="shared" si="16"/>
        <v>1</v>
      </c>
      <c r="I570" s="154"/>
      <c r="J570" s="154"/>
    </row>
    <row r="571" spans="1:10" ht="14.25">
      <c r="A571" s="7" t="s">
        <v>3525</v>
      </c>
      <c r="B571" s="124"/>
      <c r="C571" s="123" t="s">
        <v>3596</v>
      </c>
      <c r="D571" s="124">
        <v>3</v>
      </c>
      <c r="E571" s="124" t="s">
        <v>9</v>
      </c>
      <c r="F571" s="125">
        <v>1000000</v>
      </c>
      <c r="G571" s="125">
        <f>ROUNDDOWN(D571*F571,-3)</f>
        <v>3000000</v>
      </c>
      <c r="H571" s="154" t="b">
        <f t="shared" si="16"/>
        <v>1</v>
      </c>
      <c r="I571" s="154"/>
      <c r="J571" s="154"/>
    </row>
    <row r="572" spans="1:10" ht="14.25">
      <c r="A572" s="7" t="s">
        <v>3526</v>
      </c>
      <c r="B572" s="124"/>
      <c r="C572" s="123" t="s">
        <v>3588</v>
      </c>
      <c r="D572" s="124">
        <v>3</v>
      </c>
      <c r="E572" s="124" t="s">
        <v>9</v>
      </c>
      <c r="F572" s="125">
        <v>1500000</v>
      </c>
      <c r="G572" s="125">
        <f>ROUNDDOWN(D572*F572,-3)</f>
        <v>4500000</v>
      </c>
      <c r="H572" s="154" t="b">
        <f t="shared" si="16"/>
        <v>1</v>
      </c>
      <c r="I572" s="154"/>
      <c r="J572" s="154"/>
    </row>
    <row r="573" spans="1:10" ht="14.25">
      <c r="A573" s="7" t="s">
        <v>3527</v>
      </c>
      <c r="B573" s="60">
        <v>521219</v>
      </c>
      <c r="C573" s="41" t="s">
        <v>53</v>
      </c>
      <c r="D573" s="60"/>
      <c r="E573" s="60"/>
      <c r="F573" s="42"/>
      <c r="G573" s="42">
        <f>G574</f>
        <v>20000000</v>
      </c>
      <c r="H573" s="154" t="b">
        <f t="shared" si="16"/>
        <v>1</v>
      </c>
      <c r="I573" s="154"/>
      <c r="J573" s="154"/>
    </row>
    <row r="574" spans="1:10" ht="14.25">
      <c r="A574" s="7" t="s">
        <v>3528</v>
      </c>
      <c r="B574" s="124"/>
      <c r="C574" s="123" t="s">
        <v>3822</v>
      </c>
      <c r="D574" s="124">
        <v>2</v>
      </c>
      <c r="E574" s="124" t="s">
        <v>155</v>
      </c>
      <c r="F574" s="125">
        <v>10000000</v>
      </c>
      <c r="G574" s="125">
        <f>ROUNDDOWN(D574*F574,-3)</f>
        <v>20000000</v>
      </c>
      <c r="H574" s="154" t="b">
        <f t="shared" si="16"/>
        <v>1</v>
      </c>
      <c r="I574" s="154"/>
      <c r="J574" s="154"/>
    </row>
    <row r="575" spans="1:10" ht="14.25">
      <c r="A575" s="7" t="s">
        <v>3530</v>
      </c>
      <c r="B575" s="60">
        <v>524211</v>
      </c>
      <c r="C575" s="41" t="s">
        <v>1151</v>
      </c>
      <c r="D575" s="60"/>
      <c r="E575" s="60"/>
      <c r="F575" s="42"/>
      <c r="G575" s="42">
        <f>G576</f>
        <v>142041000</v>
      </c>
      <c r="H575" s="154" t="b">
        <f t="shared" si="16"/>
        <v>1</v>
      </c>
      <c r="I575" s="154"/>
      <c r="J575" s="154"/>
    </row>
    <row r="576" spans="1:10" ht="14.25">
      <c r="A576" s="7" t="s">
        <v>3531</v>
      </c>
      <c r="B576" s="124"/>
      <c r="C576" s="123" t="s">
        <v>3823</v>
      </c>
      <c r="D576" s="124">
        <v>3</v>
      </c>
      <c r="E576" s="124" t="s">
        <v>10</v>
      </c>
      <c r="F576" s="125">
        <v>47347000</v>
      </c>
      <c r="G576" s="125">
        <f>ROUNDDOWN(D576*F576,-3)</f>
        <v>142041000</v>
      </c>
      <c r="H576" s="154" t="b">
        <f t="shared" si="16"/>
        <v>1</v>
      </c>
      <c r="I576" s="154"/>
      <c r="J576" s="154"/>
    </row>
    <row r="577" spans="1:10" ht="14.25">
      <c r="A577" s="7" t="s">
        <v>3533</v>
      </c>
      <c r="B577" s="59" t="s">
        <v>514</v>
      </c>
      <c r="C577" s="38" t="s">
        <v>3534</v>
      </c>
      <c r="D577" s="59"/>
      <c r="E577" s="59"/>
      <c r="F577" s="39"/>
      <c r="G577" s="39">
        <f>G578</f>
        <v>30000000</v>
      </c>
      <c r="H577" s="154" t="b">
        <f t="shared" si="16"/>
        <v>1</v>
      </c>
      <c r="I577" s="154"/>
      <c r="J577" s="154"/>
    </row>
    <row r="578" spans="1:10" ht="14.25">
      <c r="A578" s="7" t="s">
        <v>3535</v>
      </c>
      <c r="B578" s="60">
        <v>522192</v>
      </c>
      <c r="C578" s="41" t="s">
        <v>24</v>
      </c>
      <c r="D578" s="60"/>
      <c r="E578" s="60"/>
      <c r="F578" s="42"/>
      <c r="G578" s="42">
        <f>G579</f>
        <v>30000000</v>
      </c>
      <c r="H578" s="154" t="b">
        <f t="shared" si="16"/>
        <v>1</v>
      </c>
      <c r="I578" s="154"/>
      <c r="J578" s="154"/>
    </row>
    <row r="579" spans="1:10" ht="14.25">
      <c r="A579" s="7" t="s">
        <v>3536</v>
      </c>
      <c r="B579" s="124"/>
      <c r="C579" s="123" t="s">
        <v>3824</v>
      </c>
      <c r="D579" s="124">
        <v>120</v>
      </c>
      <c r="E579" s="124" t="s">
        <v>776</v>
      </c>
      <c r="F579" s="125">
        <v>250000</v>
      </c>
      <c r="G579" s="125">
        <f>ROUNDDOWN(D579*F579,-3)</f>
        <v>30000000</v>
      </c>
      <c r="H579" s="154" t="b">
        <f t="shared" si="16"/>
        <v>1</v>
      </c>
      <c r="I579" s="154"/>
      <c r="J579" s="154"/>
    </row>
    <row r="580" spans="1:10" ht="14.25">
      <c r="A580" s="7" t="s">
        <v>3538</v>
      </c>
      <c r="B580" s="58">
        <v>302</v>
      </c>
      <c r="C580" s="35" t="s">
        <v>193</v>
      </c>
      <c r="D580" s="58"/>
      <c r="E580" s="58"/>
      <c r="F580" s="36"/>
      <c r="G580" s="36">
        <f>G581</f>
        <v>109200000</v>
      </c>
      <c r="H580" s="154" t="b">
        <f t="shared" si="16"/>
        <v>1</v>
      </c>
      <c r="I580" s="154"/>
      <c r="J580" s="154"/>
    </row>
    <row r="581" spans="1:10" ht="14.25">
      <c r="A581" s="7" t="s">
        <v>3539</v>
      </c>
      <c r="B581" s="59" t="s">
        <v>8</v>
      </c>
      <c r="C581" s="38" t="s">
        <v>193</v>
      </c>
      <c r="D581" s="59"/>
      <c r="E581" s="59"/>
      <c r="F581" s="39"/>
      <c r="G581" s="39">
        <f>SUM(G582,G585,G588)</f>
        <v>109200000</v>
      </c>
      <c r="H581" s="154" t="b">
        <f t="shared" si="16"/>
        <v>1</v>
      </c>
      <c r="I581" s="154"/>
      <c r="J581" s="154"/>
    </row>
    <row r="582" spans="1:10" ht="14.25">
      <c r="A582" s="7" t="s">
        <v>3540</v>
      </c>
      <c r="B582" s="60">
        <v>521211</v>
      </c>
      <c r="C582" s="41" t="s">
        <v>7</v>
      </c>
      <c r="D582" s="60"/>
      <c r="E582" s="60"/>
      <c r="F582" s="42"/>
      <c r="G582" s="42">
        <f>SUM(G583:G584)</f>
        <v>25000000</v>
      </c>
      <c r="H582" s="154" t="b">
        <f t="shared" si="16"/>
        <v>1</v>
      </c>
      <c r="I582" s="154"/>
      <c r="J582" s="154"/>
    </row>
    <row r="583" spans="1:10" ht="14.25">
      <c r="A583" s="7" t="s">
        <v>3541</v>
      </c>
      <c r="B583" s="124"/>
      <c r="C583" s="123" t="s">
        <v>3811</v>
      </c>
      <c r="D583" s="124">
        <v>100</v>
      </c>
      <c r="E583" s="124" t="s">
        <v>10</v>
      </c>
      <c r="F583" s="125">
        <v>70000</v>
      </c>
      <c r="G583" s="125">
        <f>ROUNDDOWN(D583*F583,-3)</f>
        <v>7000000</v>
      </c>
      <c r="H583" s="154" t="b">
        <f t="shared" si="16"/>
        <v>1</v>
      </c>
      <c r="I583" s="154"/>
      <c r="J583" s="154"/>
    </row>
    <row r="584" spans="1:10" ht="14.25">
      <c r="A584" s="7" t="s">
        <v>3542</v>
      </c>
      <c r="B584" s="124"/>
      <c r="C584" s="123" t="s">
        <v>3812</v>
      </c>
      <c r="D584" s="124">
        <v>12</v>
      </c>
      <c r="E584" s="124" t="s">
        <v>9</v>
      </c>
      <c r="F584" s="125">
        <v>1500000</v>
      </c>
      <c r="G584" s="125">
        <f>ROUNDDOWN(D584*F584,-3)</f>
        <v>18000000</v>
      </c>
      <c r="H584" s="154" t="b">
        <f t="shared" si="16"/>
        <v>1</v>
      </c>
      <c r="I584" s="154"/>
      <c r="J584" s="154"/>
    </row>
    <row r="585" spans="1:10" ht="14.25">
      <c r="A585" s="7" t="s">
        <v>3543</v>
      </c>
      <c r="B585" s="60">
        <v>521811</v>
      </c>
      <c r="C585" s="41" t="s">
        <v>64</v>
      </c>
      <c r="D585" s="60"/>
      <c r="E585" s="60"/>
      <c r="F585" s="42"/>
      <c r="G585" s="42">
        <f>SUM(G586:G587)</f>
        <v>30000000</v>
      </c>
      <c r="H585" s="154" t="b">
        <f t="shared" si="16"/>
        <v>1</v>
      </c>
      <c r="I585" s="154"/>
      <c r="J585" s="154"/>
    </row>
    <row r="586" spans="1:10" ht="14.25">
      <c r="A586" s="7" t="s">
        <v>3544</v>
      </c>
      <c r="B586" s="124"/>
      <c r="C586" s="123" t="s">
        <v>3781</v>
      </c>
      <c r="D586" s="124">
        <v>12</v>
      </c>
      <c r="E586" s="124" t="s">
        <v>9</v>
      </c>
      <c r="F586" s="125">
        <v>1000000</v>
      </c>
      <c r="G586" s="125">
        <f>ROUNDDOWN(D586*F586,-3)</f>
        <v>12000000</v>
      </c>
      <c r="H586" s="154" t="b">
        <f t="shared" si="16"/>
        <v>1</v>
      </c>
      <c r="I586" s="154"/>
      <c r="J586" s="154"/>
    </row>
    <row r="587" spans="1:10" ht="14.25">
      <c r="A587" s="7" t="s">
        <v>3545</v>
      </c>
      <c r="B587" s="124"/>
      <c r="C587" s="123" t="s">
        <v>3598</v>
      </c>
      <c r="D587" s="124">
        <v>12</v>
      </c>
      <c r="E587" s="124" t="s">
        <v>9</v>
      </c>
      <c r="F587" s="125">
        <v>1500000</v>
      </c>
      <c r="G587" s="125">
        <f>ROUNDDOWN(D587*F587,-3)</f>
        <v>18000000</v>
      </c>
      <c r="H587" s="154" t="b">
        <f t="shared" si="16"/>
        <v>1</v>
      </c>
      <c r="I587" s="154"/>
      <c r="J587" s="154"/>
    </row>
    <row r="588" spans="1:10" ht="14.25">
      <c r="A588" s="7" t="s">
        <v>3546</v>
      </c>
      <c r="B588" s="60">
        <v>524111</v>
      </c>
      <c r="C588" s="41" t="s">
        <v>19</v>
      </c>
      <c r="D588" s="60"/>
      <c r="E588" s="60"/>
      <c r="F588" s="42"/>
      <c r="G588" s="42">
        <f>G589</f>
        <v>54200000</v>
      </c>
      <c r="H588" s="154" t="b">
        <f t="shared" si="16"/>
        <v>1</v>
      </c>
      <c r="I588" s="154"/>
      <c r="J588" s="154"/>
    </row>
    <row r="589" spans="1:10" ht="14.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603" priority="14">
      <formula>NOT(_xlfn.ISFORMULA(G12))</formula>
    </cfRule>
  </conditionalFormatting>
  <conditionalFormatting sqref="B11:J12 H13:J589">
    <cfRule type="expression" dxfId="602" priority="15">
      <formula>AND(#REF!="Ya",#REF!=ROW())</formula>
    </cfRule>
  </conditionalFormatting>
  <conditionalFormatting sqref="B561:F561 G586:G587 G583:G584 G579 G576 G574 G570:G572 G566:G567 G564 G561:G562 B13:G560">
    <cfRule type="expression" dxfId="601" priority="13">
      <formula>AND($R$4="Ya",$Q$2=ROW())</formula>
    </cfRule>
  </conditionalFormatting>
  <conditionalFormatting sqref="G589">
    <cfRule type="expression" dxfId="600" priority="12">
      <formula>AND($R$4="Ya",$Q$2=ROW())</formula>
    </cfRule>
  </conditionalFormatting>
  <conditionalFormatting sqref="G589 G586:G587 G583:G584 G579 G576 G574 G570:G572 G566:G567 G564 G561:G562">
    <cfRule type="expression" dxfId="599" priority="11">
      <formula>NOT(_xlfn.ISFORMULA(G561))</formula>
    </cfRule>
  </conditionalFormatting>
  <conditionalFormatting sqref="G573">
    <cfRule type="expression" dxfId="598" priority="10">
      <formula>NOT(_xlfn.ISFORMULA(G573))</formula>
    </cfRule>
  </conditionalFormatting>
  <conditionalFormatting sqref="G573">
    <cfRule type="expression" dxfId="597" priority="9">
      <formula>AND($R$4="Ya",$Q$2=ROW())</formula>
    </cfRule>
  </conditionalFormatting>
  <conditionalFormatting sqref="G563">
    <cfRule type="expression" dxfId="596" priority="8">
      <formula>NOT(_xlfn.ISFORMULA(G563))</formula>
    </cfRule>
  </conditionalFormatting>
  <conditionalFormatting sqref="G563">
    <cfRule type="expression" dxfId="595" priority="7">
      <formula>AND($R$4="Ya",$Q$2=ROW())</formula>
    </cfRule>
  </conditionalFormatting>
  <conditionalFormatting sqref="G588">
    <cfRule type="expression" dxfId="594" priority="6">
      <formula>NOT(_xlfn.ISFORMULA(G588))</formula>
    </cfRule>
  </conditionalFormatting>
  <conditionalFormatting sqref="G588">
    <cfRule type="expression" dxfId="593" priority="5">
      <formula>AND($R$4="Ya",$Q$2=ROW())</formula>
    </cfRule>
  </conditionalFormatting>
  <conditionalFormatting sqref="G585">
    <cfRule type="expression" dxfId="592" priority="4">
      <formula>NOT(_xlfn.ISFORMULA(G585))</formula>
    </cfRule>
  </conditionalFormatting>
  <conditionalFormatting sqref="G585">
    <cfRule type="expression" dxfId="591" priority="3">
      <formula>AND($R$4="Ya",$Q$2=ROW())</formula>
    </cfRule>
  </conditionalFormatting>
  <conditionalFormatting sqref="G582">
    <cfRule type="expression" dxfId="590" priority="2">
      <formula>NOT(_xlfn.ISFORMULA(G582))</formula>
    </cfRule>
  </conditionalFormatting>
  <conditionalFormatting sqref="G582">
    <cfRule type="expression" dxfId="58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c r="B1" s="458" t="s">
        <v>598</v>
      </c>
      <c r="C1" s="458"/>
      <c r="D1" s="458"/>
      <c r="E1" s="458"/>
      <c r="F1" s="458"/>
      <c r="G1" s="466"/>
      <c r="H1" s="150"/>
    </row>
    <row r="2" spans="1:22" ht="15.75">
      <c r="B2" s="467" t="s">
        <v>3826</v>
      </c>
      <c r="C2" s="467"/>
      <c r="D2" s="467"/>
      <c r="E2" s="467"/>
      <c r="F2" s="467"/>
      <c r="G2" s="468"/>
      <c r="H2" s="151"/>
    </row>
    <row r="3" spans="1:22" ht="15.75">
      <c r="B3" s="136"/>
      <c r="C3" s="136"/>
      <c r="D3" s="136"/>
      <c r="E3" s="136"/>
      <c r="F3" s="136"/>
      <c r="G3" s="137"/>
      <c r="H3" s="151"/>
    </row>
    <row r="4" spans="1:22" ht="15">
      <c r="B4" s="138" t="s">
        <v>599</v>
      </c>
      <c r="C4" s="138" t="s">
        <v>600</v>
      </c>
      <c r="D4" s="139"/>
      <c r="E4" s="139"/>
      <c r="F4" s="138"/>
      <c r="G4" s="140"/>
      <c r="H4" s="140"/>
    </row>
    <row r="5" spans="1:22" ht="15">
      <c r="B5" s="138" t="s">
        <v>601</v>
      </c>
      <c r="C5" s="138" t="s">
        <v>602</v>
      </c>
      <c r="D5" s="53"/>
      <c r="E5" s="53"/>
      <c r="F5" s="50"/>
      <c r="G5" s="122"/>
      <c r="H5" s="122"/>
    </row>
    <row r="6" spans="1:22" ht="15">
      <c r="B6" s="138" t="s">
        <v>603</v>
      </c>
      <c r="C6" s="138" t="s">
        <v>604</v>
      </c>
      <c r="D6" s="53"/>
      <c r="E6" s="53"/>
      <c r="F6" s="50"/>
      <c r="G6" s="122"/>
      <c r="H6" s="122"/>
    </row>
    <row r="7" spans="1:22" ht="15.75">
      <c r="B7" s="138" t="s">
        <v>605</v>
      </c>
      <c r="C7" s="141" t="str">
        <f>":  Rp. " &amp; TEXT(G12,"#.##")</f>
        <v>:  Rp. 23.342.160.000</v>
      </c>
      <c r="D7" s="53"/>
      <c r="E7" s="53"/>
      <c r="F7" s="50"/>
      <c r="G7" s="122"/>
      <c r="H7" s="122"/>
    </row>
    <row r="8" spans="1:22" ht="15">
      <c r="B8" s="142"/>
      <c r="C8" s="142"/>
      <c r="D8" s="142"/>
      <c r="E8" s="142"/>
      <c r="F8" s="142"/>
      <c r="G8" s="143"/>
      <c r="H8" s="143"/>
    </row>
    <row r="9" spans="1:22" ht="15">
      <c r="B9" s="469" t="s">
        <v>606</v>
      </c>
      <c r="C9" s="470" t="s">
        <v>607</v>
      </c>
      <c r="D9" s="471" t="s">
        <v>608</v>
      </c>
      <c r="E9" s="469" t="s">
        <v>609</v>
      </c>
      <c r="F9" s="471" t="s">
        <v>610</v>
      </c>
      <c r="G9" s="465" t="s">
        <v>611</v>
      </c>
      <c r="H9" s="152"/>
      <c r="I9" s="472" t="s">
        <v>3827</v>
      </c>
      <c r="J9" s="472"/>
      <c r="K9" s="472"/>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c r="A10" s="132" t="s">
        <v>499</v>
      </c>
      <c r="B10" s="461"/>
      <c r="C10" s="461"/>
      <c r="D10" s="464"/>
      <c r="E10" s="464"/>
      <c r="F10" s="461"/>
      <c r="G10" s="461"/>
      <c r="H10" s="161"/>
      <c r="I10" s="162" t="s">
        <v>3839</v>
      </c>
      <c r="J10" s="162" t="s">
        <v>3840</v>
      </c>
      <c r="K10" s="162" t="s">
        <v>3841</v>
      </c>
    </row>
    <row r="11" spans="1:22" s="133" customFormat="1">
      <c r="A11" s="132"/>
      <c r="B11" s="129">
        <v>1</v>
      </c>
      <c r="C11" s="129">
        <v>2</v>
      </c>
      <c r="D11" s="129">
        <v>3</v>
      </c>
      <c r="E11" s="129">
        <v>4</v>
      </c>
      <c r="F11" s="129">
        <v>5</v>
      </c>
      <c r="G11" s="130">
        <v>6</v>
      </c>
      <c r="H11" s="153"/>
    </row>
    <row r="12" spans="1:22" s="133" customFormat="1">
      <c r="A12" s="132"/>
      <c r="B12" s="110"/>
      <c r="C12" s="111" t="s">
        <v>613</v>
      </c>
      <c r="D12" s="112"/>
      <c r="E12" s="113"/>
      <c r="F12" s="112"/>
      <c r="G12" s="128">
        <f>SUM(G13,G114)</f>
        <v>23342160000</v>
      </c>
      <c r="H12" s="154" t="b">
        <f>_xlfn.ISFORMULA(G12)</f>
        <v>1</v>
      </c>
    </row>
    <row r="13" spans="1:22" ht="14.25">
      <c r="A13" s="7" t="s">
        <v>0</v>
      </c>
      <c r="B13" s="54" t="s">
        <v>0</v>
      </c>
      <c r="C13" s="23" t="s">
        <v>1</v>
      </c>
      <c r="D13" s="54"/>
      <c r="E13" s="54"/>
      <c r="F13" s="24"/>
      <c r="G13" s="24">
        <f>G14</f>
        <v>1000000000</v>
      </c>
      <c r="H13" s="154" t="b">
        <f>_xlfn.ISFORMULA(G13)</f>
        <v>1</v>
      </c>
    </row>
    <row r="14" spans="1:22" ht="14.25">
      <c r="A14" s="21" t="s">
        <v>419</v>
      </c>
      <c r="B14" s="55">
        <v>2376</v>
      </c>
      <c r="C14" s="26" t="s">
        <v>47</v>
      </c>
      <c r="D14" s="68"/>
      <c r="E14" s="55"/>
      <c r="F14" s="27"/>
      <c r="G14" s="27">
        <f>G15</f>
        <v>1000000000</v>
      </c>
      <c r="H14" s="154" t="b">
        <f t="shared" ref="H14:H76" si="0">_xlfn.ISFORMULA(G14)</f>
        <v>1</v>
      </c>
    </row>
    <row r="15" spans="1:22" ht="14.25">
      <c r="A15" s="21" t="s">
        <v>420</v>
      </c>
      <c r="B15" s="116" t="s">
        <v>48</v>
      </c>
      <c r="C15" s="114" t="s">
        <v>615</v>
      </c>
      <c r="D15" s="115">
        <v>4</v>
      </c>
      <c r="E15" s="116" t="s">
        <v>3586</v>
      </c>
      <c r="F15" s="117"/>
      <c r="G15" s="117">
        <f>G16</f>
        <v>1000000000</v>
      </c>
      <c r="H15" s="154" t="b">
        <f t="shared" si="0"/>
        <v>1</v>
      </c>
    </row>
    <row r="16" spans="1:22" ht="25.5">
      <c r="A16" s="21" t="s">
        <v>421</v>
      </c>
      <c r="B16" s="119" t="s">
        <v>3600</v>
      </c>
      <c r="C16" s="118" t="s">
        <v>49</v>
      </c>
      <c r="D16" s="119">
        <v>4</v>
      </c>
      <c r="E16" s="119" t="s">
        <v>3586</v>
      </c>
      <c r="F16" s="120"/>
      <c r="G16" s="120">
        <f>SUM(G17,G38,G49,G98)</f>
        <v>1000000000</v>
      </c>
      <c r="H16" s="154" t="b">
        <f t="shared" si="0"/>
        <v>1</v>
      </c>
    </row>
    <row r="17" spans="1:8" ht="14.25">
      <c r="A17" s="21" t="s">
        <v>422</v>
      </c>
      <c r="B17" s="58" t="s">
        <v>502</v>
      </c>
      <c r="C17" s="35" t="s">
        <v>50</v>
      </c>
      <c r="D17" s="69"/>
      <c r="E17" s="58"/>
      <c r="F17" s="36"/>
      <c r="G17" s="36">
        <f>SUM(G18,G28)</f>
        <v>124100000</v>
      </c>
      <c r="H17" s="154" t="b">
        <f t="shared" si="0"/>
        <v>1</v>
      </c>
    </row>
    <row r="18" spans="1:8" ht="14.25">
      <c r="A18" s="21" t="s">
        <v>423</v>
      </c>
      <c r="B18" s="59" t="s">
        <v>8</v>
      </c>
      <c r="C18" s="38" t="s">
        <v>51</v>
      </c>
      <c r="D18" s="59"/>
      <c r="E18" s="59"/>
      <c r="F18" s="39"/>
      <c r="G18" s="39">
        <f>SUM(G19,G24,G26)</f>
        <v>83135000</v>
      </c>
      <c r="H18" s="154" t="b">
        <f t="shared" si="0"/>
        <v>1</v>
      </c>
    </row>
    <row r="19" spans="1:8" ht="14.25">
      <c r="A19" s="21" t="s">
        <v>424</v>
      </c>
      <c r="B19" s="60">
        <v>521211</v>
      </c>
      <c r="C19" s="41" t="s">
        <v>7</v>
      </c>
      <c r="D19" s="71"/>
      <c r="E19" s="60"/>
      <c r="F19" s="42"/>
      <c r="G19" s="42">
        <f>SUM(G20:G23)</f>
        <v>8375000</v>
      </c>
      <c r="H19" s="154" t="b">
        <f t="shared" si="0"/>
        <v>1</v>
      </c>
    </row>
    <row r="20" spans="1:8" ht="14.25">
      <c r="A20" s="21" t="s">
        <v>425</v>
      </c>
      <c r="B20" s="124"/>
      <c r="C20" s="123" t="s">
        <v>3601</v>
      </c>
      <c r="D20" s="157">
        <v>65</v>
      </c>
      <c r="E20" s="124" t="s">
        <v>10</v>
      </c>
      <c r="F20" s="125">
        <v>75000</v>
      </c>
      <c r="G20" s="125">
        <f>ROUNDDOWN(D20*F20,-3)</f>
        <v>4875000</v>
      </c>
      <c r="H20" s="154" t="b">
        <f t="shared" si="0"/>
        <v>1</v>
      </c>
    </row>
    <row r="21" spans="1:8" ht="14.25">
      <c r="A21" s="21" t="s">
        <v>426</v>
      </c>
      <c r="B21" s="124"/>
      <c r="C21" s="123" t="s">
        <v>3602</v>
      </c>
      <c r="D21" s="124">
        <v>1</v>
      </c>
      <c r="E21" s="124" t="s">
        <v>106</v>
      </c>
      <c r="F21" s="125">
        <v>1000000</v>
      </c>
      <c r="G21" s="125">
        <f>ROUNDDOWN(D21*F21,-3)</f>
        <v>1000000</v>
      </c>
      <c r="H21" s="154" t="b">
        <f t="shared" si="0"/>
        <v>1</v>
      </c>
    </row>
    <row r="22" spans="1:8" ht="14.25">
      <c r="A22" s="21" t="s">
        <v>427</v>
      </c>
      <c r="B22" s="124"/>
      <c r="C22" s="123" t="s">
        <v>3588</v>
      </c>
      <c r="D22" s="157">
        <v>1</v>
      </c>
      <c r="E22" s="124" t="s">
        <v>106</v>
      </c>
      <c r="F22" s="125">
        <v>1000000</v>
      </c>
      <c r="G22" s="125">
        <f>ROUNDDOWN(D22*F22,-3)</f>
        <v>1000000</v>
      </c>
      <c r="H22" s="154" t="b">
        <f t="shared" si="0"/>
        <v>1</v>
      </c>
    </row>
    <row r="23" spans="1:8" ht="14.25">
      <c r="A23" s="21" t="s">
        <v>428</v>
      </c>
      <c r="B23" s="124"/>
      <c r="C23" s="123" t="s">
        <v>3589</v>
      </c>
      <c r="D23" s="124">
        <v>1</v>
      </c>
      <c r="E23" s="124" t="s">
        <v>106</v>
      </c>
      <c r="F23" s="125">
        <v>1500000</v>
      </c>
      <c r="G23" s="125">
        <f>ROUNDDOWN(D23*F23,-3)</f>
        <v>1500000</v>
      </c>
      <c r="H23" s="154" t="b">
        <f t="shared" si="0"/>
        <v>1</v>
      </c>
    </row>
    <row r="24" spans="1:8" ht="14.25">
      <c r="A24" s="21" t="s">
        <v>772</v>
      </c>
      <c r="B24" s="60">
        <v>522151</v>
      </c>
      <c r="C24" s="41" t="s">
        <v>11</v>
      </c>
      <c r="D24" s="71"/>
      <c r="E24" s="60"/>
      <c r="F24" s="42"/>
      <c r="G24" s="42">
        <f>G25</f>
        <v>1000000</v>
      </c>
      <c r="H24" s="154" t="b">
        <f>_xlfn.ISFORMULA(G24)</f>
        <v>1</v>
      </c>
    </row>
    <row r="25" spans="1:8" ht="14.25">
      <c r="A25" s="21" t="s">
        <v>773</v>
      </c>
      <c r="B25" s="124"/>
      <c r="C25" s="123" t="s">
        <v>3603</v>
      </c>
      <c r="D25" s="124">
        <v>1</v>
      </c>
      <c r="E25" s="124" t="s">
        <v>54</v>
      </c>
      <c r="F25" s="125">
        <v>1000000</v>
      </c>
      <c r="G25" s="125">
        <f>ROUNDDOWN(D25*F25,-3)</f>
        <v>1000000</v>
      </c>
      <c r="H25" s="154" t="b">
        <f t="shared" si="0"/>
        <v>1</v>
      </c>
    </row>
    <row r="26" spans="1:8" ht="14.25">
      <c r="A26" s="21" t="s">
        <v>429</v>
      </c>
      <c r="B26" s="60">
        <v>524111</v>
      </c>
      <c r="C26" s="41" t="s">
        <v>19</v>
      </c>
      <c r="D26" s="60"/>
      <c r="E26" s="60"/>
      <c r="F26" s="42"/>
      <c r="G26" s="42">
        <f>G27</f>
        <v>73760000</v>
      </c>
      <c r="H26" s="154" t="b">
        <f t="shared" si="0"/>
        <v>1</v>
      </c>
    </row>
    <row r="27" spans="1:8" ht="25.5">
      <c r="A27" s="21" t="s">
        <v>430</v>
      </c>
      <c r="B27" s="124"/>
      <c r="C27" s="123" t="s">
        <v>3604</v>
      </c>
      <c r="D27" s="157">
        <v>12</v>
      </c>
      <c r="E27" s="124" t="s">
        <v>776</v>
      </c>
      <c r="F27" s="125">
        <v>6146667</v>
      </c>
      <c r="G27" s="125">
        <f>ROUNDDOWN(D27*F27,-3)</f>
        <v>73760000</v>
      </c>
      <c r="H27" s="154" t="b">
        <f t="shared" si="0"/>
        <v>1</v>
      </c>
    </row>
    <row r="28" spans="1:8" ht="14.25">
      <c r="A28" s="21" t="s">
        <v>431</v>
      </c>
      <c r="B28" s="59" t="s">
        <v>511</v>
      </c>
      <c r="C28" s="38" t="s">
        <v>55</v>
      </c>
      <c r="D28" s="70"/>
      <c r="E28" s="59"/>
      <c r="F28" s="39"/>
      <c r="G28" s="39">
        <f>SUM(G29,G34,G36)</f>
        <v>40965000</v>
      </c>
      <c r="H28" s="154" t="b">
        <f t="shared" si="0"/>
        <v>1</v>
      </c>
    </row>
    <row r="29" spans="1:8" ht="14.25">
      <c r="A29" s="21" t="s">
        <v>432</v>
      </c>
      <c r="B29" s="60">
        <v>521211</v>
      </c>
      <c r="C29" s="41" t="s">
        <v>7</v>
      </c>
      <c r="D29" s="71"/>
      <c r="E29" s="60"/>
      <c r="F29" s="42"/>
      <c r="G29" s="42">
        <f>SUM(G30:G33)</f>
        <v>6725000</v>
      </c>
      <c r="H29" s="154" t="b">
        <f t="shared" si="0"/>
        <v>1</v>
      </c>
    </row>
    <row r="30" spans="1:8" ht="14.25">
      <c r="A30" s="21" t="s">
        <v>433</v>
      </c>
      <c r="B30" s="124"/>
      <c r="C30" s="123" t="s">
        <v>3601</v>
      </c>
      <c r="D30" s="124">
        <v>43</v>
      </c>
      <c r="E30" s="124" t="s">
        <v>10</v>
      </c>
      <c r="F30" s="125">
        <v>75000</v>
      </c>
      <c r="G30" s="125">
        <f>ROUNDDOWN(D30*F30,-3)</f>
        <v>3225000</v>
      </c>
      <c r="H30" s="154" t="b">
        <f t="shared" si="0"/>
        <v>1</v>
      </c>
    </row>
    <row r="31" spans="1:8" ht="14.25">
      <c r="A31" s="21" t="s">
        <v>434</v>
      </c>
      <c r="B31" s="124"/>
      <c r="C31" s="123" t="s">
        <v>3602</v>
      </c>
      <c r="D31" s="157">
        <v>1</v>
      </c>
      <c r="E31" s="124" t="s">
        <v>106</v>
      </c>
      <c r="F31" s="125">
        <v>1000000</v>
      </c>
      <c r="G31" s="125">
        <f>ROUNDDOWN(D31*F31,-3)</f>
        <v>1000000</v>
      </c>
      <c r="H31" s="154" t="b">
        <f t="shared" si="0"/>
        <v>1</v>
      </c>
    </row>
    <row r="32" spans="1:8" ht="14.25">
      <c r="A32" s="21" t="s">
        <v>435</v>
      </c>
      <c r="B32" s="124"/>
      <c r="C32" s="123" t="s">
        <v>3588</v>
      </c>
      <c r="D32" s="124">
        <v>1</v>
      </c>
      <c r="E32" s="124" t="s">
        <v>106</v>
      </c>
      <c r="F32" s="125">
        <v>1000000</v>
      </c>
      <c r="G32" s="125">
        <f>ROUNDDOWN(D32*F32,-3)</f>
        <v>1000000</v>
      </c>
      <c r="H32" s="154" t="b">
        <f t="shared" si="0"/>
        <v>1</v>
      </c>
    </row>
    <row r="33" spans="1:8" ht="14.25">
      <c r="A33" s="21" t="s">
        <v>436</v>
      </c>
      <c r="B33" s="124"/>
      <c r="C33" s="123" t="s">
        <v>3589</v>
      </c>
      <c r="D33" s="157">
        <v>1</v>
      </c>
      <c r="E33" s="124" t="s">
        <v>106</v>
      </c>
      <c r="F33" s="125">
        <v>1500000</v>
      </c>
      <c r="G33" s="125">
        <f>ROUNDDOWN(D33*F33,-3)</f>
        <v>1500000</v>
      </c>
      <c r="H33" s="154" t="b">
        <f t="shared" si="0"/>
        <v>1</v>
      </c>
    </row>
    <row r="34" spans="1:8" ht="14.25">
      <c r="A34" s="21" t="s">
        <v>777</v>
      </c>
      <c r="B34" s="60">
        <v>522151</v>
      </c>
      <c r="C34" s="41" t="s">
        <v>11</v>
      </c>
      <c r="D34" s="71"/>
      <c r="E34" s="60"/>
      <c r="F34" s="42"/>
      <c r="G34" s="42">
        <f>G35</f>
        <v>1000000</v>
      </c>
      <c r="H34" s="154" t="b">
        <f t="shared" si="0"/>
        <v>1</v>
      </c>
    </row>
    <row r="35" spans="1:8" ht="14.25">
      <c r="A35" s="21" t="s">
        <v>778</v>
      </c>
      <c r="B35" s="124"/>
      <c r="C35" s="123" t="s">
        <v>3603</v>
      </c>
      <c r="D35" s="124">
        <v>1</v>
      </c>
      <c r="E35" s="124" t="s">
        <v>54</v>
      </c>
      <c r="F35" s="125">
        <v>1000000</v>
      </c>
      <c r="G35" s="125">
        <f>ROUNDDOWN(D35*F35,-3)</f>
        <v>1000000</v>
      </c>
      <c r="H35" s="154" t="b">
        <f t="shared" si="0"/>
        <v>1</v>
      </c>
    </row>
    <row r="36" spans="1:8" ht="14.25">
      <c r="A36" s="21" t="s">
        <v>437</v>
      </c>
      <c r="B36" s="60">
        <v>524111</v>
      </c>
      <c r="C36" s="41" t="s">
        <v>19</v>
      </c>
      <c r="D36" s="71"/>
      <c r="E36" s="60"/>
      <c r="F36" s="42"/>
      <c r="G36" s="42">
        <f>G37</f>
        <v>33240000</v>
      </c>
      <c r="H36" s="154" t="b">
        <f t="shared" si="0"/>
        <v>1</v>
      </c>
    </row>
    <row r="37" spans="1:8" ht="25.5">
      <c r="A37" s="21" t="s">
        <v>438</v>
      </c>
      <c r="B37" s="124"/>
      <c r="C37" s="123" t="s">
        <v>3604</v>
      </c>
      <c r="D37" s="124">
        <v>12</v>
      </c>
      <c r="E37" s="124" t="s">
        <v>776</v>
      </c>
      <c r="F37" s="125">
        <v>2770000</v>
      </c>
      <c r="G37" s="125">
        <f>ROUNDDOWN(D37*F37,-3)</f>
        <v>33240000</v>
      </c>
      <c r="H37" s="154" t="b">
        <f t="shared" si="0"/>
        <v>1</v>
      </c>
    </row>
    <row r="38" spans="1:8" ht="25.5">
      <c r="A38" s="21" t="s">
        <v>439</v>
      </c>
      <c r="B38" s="58" t="s">
        <v>520</v>
      </c>
      <c r="C38" s="35" t="s">
        <v>57</v>
      </c>
      <c r="D38" s="69"/>
      <c r="E38" s="58"/>
      <c r="F38" s="36"/>
      <c r="G38" s="36">
        <f>G39</f>
        <v>54500000</v>
      </c>
      <c r="H38" s="154" t="b">
        <f t="shared" si="0"/>
        <v>1</v>
      </c>
    </row>
    <row r="39" spans="1:8" ht="25.5">
      <c r="A39" s="21" t="s">
        <v>440</v>
      </c>
      <c r="B39" s="59" t="s">
        <v>8</v>
      </c>
      <c r="C39" s="38" t="s">
        <v>59</v>
      </c>
      <c r="D39" s="59"/>
      <c r="E39" s="59"/>
      <c r="F39" s="39"/>
      <c r="G39" s="39">
        <f>SUM(G40,G47)</f>
        <v>54500000</v>
      </c>
      <c r="H39" s="154" t="b">
        <f t="shared" si="0"/>
        <v>1</v>
      </c>
    </row>
    <row r="40" spans="1:8" ht="14.25">
      <c r="A40" s="21" t="s">
        <v>441</v>
      </c>
      <c r="B40" s="60">
        <v>521211</v>
      </c>
      <c r="C40" s="41" t="s">
        <v>7</v>
      </c>
      <c r="D40" s="60"/>
      <c r="E40" s="60"/>
      <c r="F40" s="42"/>
      <c r="G40" s="42">
        <f>SUM(G41:G46)</f>
        <v>19225000</v>
      </c>
      <c r="H40" s="154" t="b">
        <f t="shared" si="0"/>
        <v>1</v>
      </c>
    </row>
    <row r="41" spans="1:8" ht="14.25">
      <c r="A41" s="21" t="s">
        <v>442</v>
      </c>
      <c r="B41" s="124"/>
      <c r="C41" s="123" t="s">
        <v>3601</v>
      </c>
      <c r="D41" s="157">
        <v>23</v>
      </c>
      <c r="E41" s="124" t="s">
        <v>10</v>
      </c>
      <c r="F41" s="125">
        <v>75000</v>
      </c>
      <c r="G41" s="125">
        <f t="shared" ref="G41:G46" si="1">ROUNDDOWN(D41*F41,-3)</f>
        <v>1725000</v>
      </c>
      <c r="H41" s="154" t="b">
        <f t="shared" si="0"/>
        <v>1</v>
      </c>
    </row>
    <row r="42" spans="1:8" ht="14.25">
      <c r="A42" s="7" t="s">
        <v>443</v>
      </c>
      <c r="B42" s="124"/>
      <c r="C42" s="123" t="s">
        <v>3602</v>
      </c>
      <c r="D42" s="157">
        <v>1</v>
      </c>
      <c r="E42" s="124" t="s">
        <v>106</v>
      </c>
      <c r="F42" s="125">
        <v>1000000</v>
      </c>
      <c r="G42" s="125">
        <f t="shared" si="1"/>
        <v>1000000</v>
      </c>
      <c r="H42" s="154" t="b">
        <f t="shared" si="0"/>
        <v>1</v>
      </c>
    </row>
    <row r="43" spans="1:8" ht="14.25">
      <c r="A43" s="7" t="s">
        <v>444</v>
      </c>
      <c r="B43" s="124"/>
      <c r="C43" s="123" t="s">
        <v>3588</v>
      </c>
      <c r="D43" s="124">
        <v>2</v>
      </c>
      <c r="E43" s="124" t="s">
        <v>106</v>
      </c>
      <c r="F43" s="125">
        <v>1000000</v>
      </c>
      <c r="G43" s="125">
        <f t="shared" si="1"/>
        <v>2000000</v>
      </c>
      <c r="H43" s="154" t="b">
        <f t="shared" si="0"/>
        <v>1</v>
      </c>
    </row>
    <row r="44" spans="1:8" ht="14.25">
      <c r="A44" s="21" t="s">
        <v>445</v>
      </c>
      <c r="B44" s="124"/>
      <c r="C44" s="123" t="s">
        <v>3589</v>
      </c>
      <c r="D44" s="124">
        <v>2</v>
      </c>
      <c r="E44" s="124" t="s">
        <v>106</v>
      </c>
      <c r="F44" s="125">
        <v>1500000</v>
      </c>
      <c r="G44" s="125">
        <f t="shared" si="1"/>
        <v>3000000</v>
      </c>
      <c r="H44" s="154" t="b">
        <f t="shared" si="0"/>
        <v>1</v>
      </c>
    </row>
    <row r="45" spans="1:8" ht="14.25">
      <c r="A45" s="21" t="s">
        <v>446</v>
      </c>
      <c r="B45" s="124"/>
      <c r="C45" s="123" t="s">
        <v>3605</v>
      </c>
      <c r="D45" s="124">
        <v>23</v>
      </c>
      <c r="E45" s="124" t="s">
        <v>176</v>
      </c>
      <c r="F45" s="125">
        <v>250000</v>
      </c>
      <c r="G45" s="125">
        <f t="shared" si="1"/>
        <v>5750000</v>
      </c>
      <c r="H45" s="154" t="b">
        <f t="shared" si="0"/>
        <v>1</v>
      </c>
    </row>
    <row r="46" spans="1:8" ht="14.25">
      <c r="A46" s="21" t="s">
        <v>447</v>
      </c>
      <c r="B46" s="124"/>
      <c r="C46" s="123" t="s">
        <v>3606</v>
      </c>
      <c r="D46" s="124">
        <v>23</v>
      </c>
      <c r="E46" s="124" t="s">
        <v>58</v>
      </c>
      <c r="F46" s="125">
        <v>250000</v>
      </c>
      <c r="G46" s="125">
        <f t="shared" si="1"/>
        <v>5750000</v>
      </c>
      <c r="H46" s="154" t="b">
        <f t="shared" si="0"/>
        <v>1</v>
      </c>
    </row>
    <row r="47" spans="1:8" ht="14.25">
      <c r="A47" s="21" t="s">
        <v>448</v>
      </c>
      <c r="B47" s="60">
        <v>524111</v>
      </c>
      <c r="C47" s="41" t="s">
        <v>19</v>
      </c>
      <c r="D47" s="71"/>
      <c r="E47" s="60"/>
      <c r="F47" s="42"/>
      <c r="G47" s="42">
        <f>G48</f>
        <v>35275000</v>
      </c>
      <c r="H47" s="154" t="b">
        <f t="shared" si="0"/>
        <v>1</v>
      </c>
    </row>
    <row r="48" spans="1:8" ht="25.5">
      <c r="A48" s="21" t="s">
        <v>449</v>
      </c>
      <c r="B48" s="124"/>
      <c r="C48" s="123" t="s">
        <v>3607</v>
      </c>
      <c r="D48" s="157">
        <v>10</v>
      </c>
      <c r="E48" s="124" t="s">
        <v>776</v>
      </c>
      <c r="F48" s="125">
        <v>3527550</v>
      </c>
      <c r="G48" s="125">
        <f>ROUNDDOWN(D48*F48,-3)</f>
        <v>35275000</v>
      </c>
      <c r="H48" s="154" t="b">
        <f t="shared" si="0"/>
        <v>1</v>
      </c>
    </row>
    <row r="49" spans="1:8" ht="14.25">
      <c r="A49" s="21" t="s">
        <v>450</v>
      </c>
      <c r="B49" s="58" t="s">
        <v>523</v>
      </c>
      <c r="C49" s="35" t="s">
        <v>61</v>
      </c>
      <c r="D49" s="69"/>
      <c r="E49" s="58"/>
      <c r="F49" s="36"/>
      <c r="G49" s="36">
        <f>SUM(G50,G69,G86)</f>
        <v>686300000</v>
      </c>
      <c r="H49" s="154" t="b">
        <f t="shared" si="0"/>
        <v>1</v>
      </c>
    </row>
    <row r="50" spans="1:8" ht="14.25">
      <c r="A50" s="21" t="s">
        <v>451</v>
      </c>
      <c r="B50" s="59" t="s">
        <v>8</v>
      </c>
      <c r="C50" s="38" t="s">
        <v>62</v>
      </c>
      <c r="D50" s="59"/>
      <c r="E50" s="59"/>
      <c r="F50" s="39"/>
      <c r="G50" s="39">
        <f>SUM(G51,G55,G58,G61,G63,G65,G67)</f>
        <v>386924000</v>
      </c>
      <c r="H50" s="154" t="b">
        <f t="shared" si="0"/>
        <v>1</v>
      </c>
    </row>
    <row r="51" spans="1:8" ht="14.25">
      <c r="A51" s="21" t="s">
        <v>452</v>
      </c>
      <c r="B51" s="60">
        <v>521211</v>
      </c>
      <c r="C51" s="41" t="s">
        <v>7</v>
      </c>
      <c r="D51" s="71"/>
      <c r="E51" s="60"/>
      <c r="F51" s="42"/>
      <c r="G51" s="42">
        <f>SUM(G52:G54)</f>
        <v>64900000</v>
      </c>
      <c r="H51" s="154" t="b">
        <f t="shared" si="0"/>
        <v>1</v>
      </c>
    </row>
    <row r="52" spans="1:8" ht="14.25">
      <c r="A52" s="21" t="s">
        <v>453</v>
      </c>
      <c r="B52" s="124"/>
      <c r="C52" s="123" t="s">
        <v>3587</v>
      </c>
      <c r="D52" s="157">
        <v>12</v>
      </c>
      <c r="E52" s="124" t="s">
        <v>106</v>
      </c>
      <c r="F52" s="125">
        <v>1500000</v>
      </c>
      <c r="G52" s="125">
        <f>ROUNDDOWN(D52*F52,-3)</f>
        <v>18000000</v>
      </c>
      <c r="H52" s="154" t="b">
        <f t="shared" si="0"/>
        <v>1</v>
      </c>
    </row>
    <row r="53" spans="1:8" ht="14.25">
      <c r="A53" s="21" t="s">
        <v>454</v>
      </c>
      <c r="B53" s="124"/>
      <c r="C53" s="123" t="s">
        <v>3608</v>
      </c>
      <c r="D53" s="124">
        <v>100</v>
      </c>
      <c r="E53" s="124" t="s">
        <v>25</v>
      </c>
      <c r="F53" s="125">
        <v>69000</v>
      </c>
      <c r="G53" s="125">
        <f>ROUNDDOWN(D53*F53,-3)</f>
        <v>6900000</v>
      </c>
      <c r="H53" s="154" t="b">
        <f t="shared" si="0"/>
        <v>1</v>
      </c>
    </row>
    <row r="54" spans="1:8" ht="14.25">
      <c r="A54" s="21" t="s">
        <v>783</v>
      </c>
      <c r="B54" s="124"/>
      <c r="C54" s="123" t="s">
        <v>3609</v>
      </c>
      <c r="D54" s="157">
        <v>80</v>
      </c>
      <c r="E54" s="124" t="s">
        <v>58</v>
      </c>
      <c r="F54" s="125">
        <v>500000</v>
      </c>
      <c r="G54" s="125">
        <f>ROUNDDOWN(D54*F54,-3)</f>
        <v>40000000</v>
      </c>
      <c r="H54" s="154" t="b">
        <f t="shared" si="0"/>
        <v>1</v>
      </c>
    </row>
    <row r="55" spans="1:8" ht="14.25">
      <c r="A55" s="21" t="s">
        <v>455</v>
      </c>
      <c r="B55" s="60">
        <v>521219</v>
      </c>
      <c r="C55" s="41" t="s">
        <v>53</v>
      </c>
      <c r="D55" s="60"/>
      <c r="E55" s="60"/>
      <c r="F55" s="42"/>
      <c r="G55" s="42">
        <f>SUM(G56:G57)</f>
        <v>6000000</v>
      </c>
      <c r="H55" s="154" t="b">
        <f t="shared" si="0"/>
        <v>1</v>
      </c>
    </row>
    <row r="56" spans="1:8" ht="14.25">
      <c r="A56" s="21" t="s">
        <v>456</v>
      </c>
      <c r="B56" s="124"/>
      <c r="C56" s="123" t="s">
        <v>3610</v>
      </c>
      <c r="D56" s="124">
        <v>4</v>
      </c>
      <c r="E56" s="124" t="s">
        <v>106</v>
      </c>
      <c r="F56" s="125">
        <v>250000</v>
      </c>
      <c r="G56" s="125">
        <f>ROUNDDOWN(D56*F56,-3)</f>
        <v>1000000</v>
      </c>
      <c r="H56" s="154" t="b">
        <f t="shared" si="0"/>
        <v>1</v>
      </c>
    </row>
    <row r="57" spans="1:8" ht="14.25">
      <c r="A57" s="21" t="s">
        <v>457</v>
      </c>
      <c r="B57" s="124"/>
      <c r="C57" s="123" t="s">
        <v>3611</v>
      </c>
      <c r="D57" s="157">
        <v>10</v>
      </c>
      <c r="E57" s="124" t="s">
        <v>106</v>
      </c>
      <c r="F57" s="125">
        <v>500000</v>
      </c>
      <c r="G57" s="125">
        <f>ROUNDDOWN(D57*F57,-3)</f>
        <v>5000000</v>
      </c>
      <c r="H57" s="154" t="b">
        <f t="shared" si="0"/>
        <v>1</v>
      </c>
    </row>
    <row r="58" spans="1:8" ht="14.25">
      <c r="A58" s="21" t="s">
        <v>458</v>
      </c>
      <c r="B58" s="60">
        <v>521811</v>
      </c>
      <c r="C58" s="41" t="s">
        <v>64</v>
      </c>
      <c r="D58" s="71"/>
      <c r="E58" s="60"/>
      <c r="F58" s="42"/>
      <c r="G58" s="42">
        <f>SUM(G59:G60)</f>
        <v>30000000</v>
      </c>
      <c r="H58" s="154" t="b">
        <f t="shared" si="0"/>
        <v>1</v>
      </c>
    </row>
    <row r="59" spans="1:8" ht="14.25">
      <c r="A59" s="21" t="s">
        <v>459</v>
      </c>
      <c r="B59" s="124"/>
      <c r="C59" s="123" t="s">
        <v>3595</v>
      </c>
      <c r="D59" s="157">
        <v>12</v>
      </c>
      <c r="E59" s="124" t="s">
        <v>106</v>
      </c>
      <c r="F59" s="125">
        <v>1000000</v>
      </c>
      <c r="G59" s="125">
        <f>ROUNDDOWN(D59*F59,-3)</f>
        <v>12000000</v>
      </c>
      <c r="H59" s="154" t="b">
        <f t="shared" si="0"/>
        <v>1</v>
      </c>
    </row>
    <row r="60" spans="1:8" ht="14.25">
      <c r="A60" s="21" t="s">
        <v>460</v>
      </c>
      <c r="B60" s="124"/>
      <c r="C60" s="123" t="s">
        <v>3596</v>
      </c>
      <c r="D60" s="157">
        <v>12</v>
      </c>
      <c r="E60" s="124" t="s">
        <v>106</v>
      </c>
      <c r="F60" s="125">
        <v>1500000</v>
      </c>
      <c r="G60" s="125">
        <f>ROUNDDOWN(D60*F60,-3)</f>
        <v>18000000</v>
      </c>
      <c r="H60" s="154" t="b">
        <f t="shared" si="0"/>
        <v>1</v>
      </c>
    </row>
    <row r="61" spans="1:8" ht="14.25">
      <c r="A61" s="21" t="s">
        <v>461</v>
      </c>
      <c r="B61" s="60">
        <v>522151</v>
      </c>
      <c r="C61" s="41" t="s">
        <v>11</v>
      </c>
      <c r="D61" s="60"/>
      <c r="E61" s="60"/>
      <c r="F61" s="42"/>
      <c r="G61" s="42">
        <f>G62</f>
        <v>25200000</v>
      </c>
      <c r="H61" s="154" t="b">
        <f t="shared" si="0"/>
        <v>1</v>
      </c>
    </row>
    <row r="62" spans="1:8" ht="14.25">
      <c r="A62" s="21" t="s">
        <v>462</v>
      </c>
      <c r="B62" s="124"/>
      <c r="C62" s="123" t="s">
        <v>3603</v>
      </c>
      <c r="D62" s="157">
        <v>28</v>
      </c>
      <c r="E62" s="124" t="s">
        <v>54</v>
      </c>
      <c r="F62" s="125">
        <v>900000</v>
      </c>
      <c r="G62" s="125">
        <f>ROUNDDOWN(D62*F62,-3)</f>
        <v>25200000</v>
      </c>
      <c r="H62" s="154" t="b">
        <f t="shared" si="0"/>
        <v>1</v>
      </c>
    </row>
    <row r="63" spans="1:8" ht="14.25">
      <c r="A63" s="21" t="s">
        <v>463</v>
      </c>
      <c r="B63" s="60">
        <v>522192</v>
      </c>
      <c r="C63" s="41" t="s">
        <v>24</v>
      </c>
      <c r="D63" s="60"/>
      <c r="E63" s="60"/>
      <c r="F63" s="42"/>
      <c r="G63" s="42">
        <f>G64</f>
        <v>6000000</v>
      </c>
      <c r="H63" s="154" t="b">
        <f t="shared" si="0"/>
        <v>1</v>
      </c>
    </row>
    <row r="64" spans="1:8" ht="14.25">
      <c r="A64" s="21" t="s">
        <v>464</v>
      </c>
      <c r="B64" s="124"/>
      <c r="C64" s="123" t="s">
        <v>3612</v>
      </c>
      <c r="D64" s="124">
        <v>1</v>
      </c>
      <c r="E64" s="124" t="s">
        <v>60</v>
      </c>
      <c r="F64" s="125">
        <v>6000000</v>
      </c>
      <c r="G64" s="125">
        <f>ROUNDDOWN(D64*F64,-3)</f>
        <v>6000000</v>
      </c>
      <c r="H64" s="154" t="b">
        <f t="shared" si="0"/>
        <v>1</v>
      </c>
    </row>
    <row r="65" spans="1:8" ht="14.25">
      <c r="A65" s="21" t="s">
        <v>465</v>
      </c>
      <c r="B65" s="60">
        <v>524111</v>
      </c>
      <c r="C65" s="41" t="s">
        <v>19</v>
      </c>
      <c r="D65" s="71"/>
      <c r="E65" s="60"/>
      <c r="F65" s="42"/>
      <c r="G65" s="42">
        <f>G66</f>
        <v>253324000</v>
      </c>
      <c r="H65" s="154" t="b">
        <f t="shared" si="0"/>
        <v>1</v>
      </c>
    </row>
    <row r="66" spans="1:8" ht="25.5">
      <c r="A66" s="21" t="s">
        <v>466</v>
      </c>
      <c r="B66" s="124"/>
      <c r="C66" s="123" t="s">
        <v>3613</v>
      </c>
      <c r="D66" s="157">
        <v>44</v>
      </c>
      <c r="E66" s="124" t="s">
        <v>776</v>
      </c>
      <c r="F66" s="125">
        <v>5757364</v>
      </c>
      <c r="G66" s="125">
        <f>ROUNDDOWN(D66*F66,-3)</f>
        <v>253324000</v>
      </c>
      <c r="H66" s="154" t="b">
        <f t="shared" si="0"/>
        <v>1</v>
      </c>
    </row>
    <row r="67" spans="1:8" ht="14.25">
      <c r="A67" s="21" t="s">
        <v>467</v>
      </c>
      <c r="B67" s="60">
        <v>524113</v>
      </c>
      <c r="C67" s="41" t="s">
        <v>13</v>
      </c>
      <c r="D67" s="60"/>
      <c r="E67" s="60"/>
      <c r="F67" s="42"/>
      <c r="G67" s="42">
        <f>G68</f>
        <v>1500000</v>
      </c>
      <c r="H67" s="154" t="b">
        <f t="shared" si="0"/>
        <v>1</v>
      </c>
    </row>
    <row r="68" spans="1:8" ht="14.25">
      <c r="A68" s="21" t="s">
        <v>468</v>
      </c>
      <c r="B68" s="124"/>
      <c r="C68" s="123" t="s">
        <v>3594</v>
      </c>
      <c r="D68" s="157">
        <v>10</v>
      </c>
      <c r="E68" s="124" t="s">
        <v>10</v>
      </c>
      <c r="F68" s="125">
        <v>150000</v>
      </c>
      <c r="G68" s="125">
        <f>ROUNDDOWN(D68*F68,-3)</f>
        <v>1500000</v>
      </c>
      <c r="H68" s="154" t="b">
        <f t="shared" si="0"/>
        <v>1</v>
      </c>
    </row>
    <row r="69" spans="1:8" ht="14.25">
      <c r="A69" s="21" t="s">
        <v>469</v>
      </c>
      <c r="B69" s="59" t="s">
        <v>511</v>
      </c>
      <c r="C69" s="38" t="s">
        <v>65</v>
      </c>
      <c r="D69" s="70"/>
      <c r="E69" s="59"/>
      <c r="F69" s="39"/>
      <c r="G69" s="39">
        <f>SUM(G70,G74,G77,G80,G82,G84)</f>
        <v>247816000</v>
      </c>
      <c r="H69" s="154" t="b">
        <f t="shared" si="0"/>
        <v>1</v>
      </c>
    </row>
    <row r="70" spans="1:8" ht="14.25">
      <c r="A70" s="21" t="s">
        <v>470</v>
      </c>
      <c r="B70" s="60">
        <v>521211</v>
      </c>
      <c r="C70" s="41" t="s">
        <v>7</v>
      </c>
      <c r="D70" s="60"/>
      <c r="E70" s="60"/>
      <c r="F70" s="42"/>
      <c r="G70" s="42">
        <f>SUM(G71:G73)</f>
        <v>71456000</v>
      </c>
      <c r="H70" s="154" t="b">
        <f t="shared" si="0"/>
        <v>1</v>
      </c>
    </row>
    <row r="71" spans="1:8" ht="14.25">
      <c r="A71" s="21" t="s">
        <v>471</v>
      </c>
      <c r="B71" s="124"/>
      <c r="C71" s="123" t="s">
        <v>3614</v>
      </c>
      <c r="D71" s="157">
        <v>224</v>
      </c>
      <c r="E71" s="124" t="s">
        <v>25</v>
      </c>
      <c r="F71" s="125">
        <v>69000</v>
      </c>
      <c r="G71" s="125">
        <f>ROUNDDOWN(D71*F71,-3)</f>
        <v>15456000</v>
      </c>
      <c r="H71" s="154" t="b">
        <f t="shared" si="0"/>
        <v>1</v>
      </c>
    </row>
    <row r="72" spans="1:8" ht="14.25">
      <c r="A72" s="21" t="s">
        <v>472</v>
      </c>
      <c r="B72" s="124"/>
      <c r="C72" s="123" t="s">
        <v>3602</v>
      </c>
      <c r="D72" s="124">
        <v>4</v>
      </c>
      <c r="E72" s="124" t="s">
        <v>106</v>
      </c>
      <c r="F72" s="125">
        <v>1500000</v>
      </c>
      <c r="G72" s="125">
        <f>ROUNDDOWN(D72*F72,-3)</f>
        <v>6000000</v>
      </c>
      <c r="H72" s="154" t="b">
        <f t="shared" si="0"/>
        <v>1</v>
      </c>
    </row>
    <row r="73" spans="1:8" ht="14.25">
      <c r="A73" s="21" t="s">
        <v>789</v>
      </c>
      <c r="B73" s="124"/>
      <c r="C73" s="123" t="s">
        <v>3615</v>
      </c>
      <c r="D73" s="124">
        <v>100</v>
      </c>
      <c r="E73" s="124" t="s">
        <v>791</v>
      </c>
      <c r="F73" s="125">
        <v>500000</v>
      </c>
      <c r="G73" s="125">
        <f>ROUNDDOWN(D73*F73,-3)</f>
        <v>50000000</v>
      </c>
      <c r="H73" s="154" t="b">
        <f t="shared" si="0"/>
        <v>1</v>
      </c>
    </row>
    <row r="74" spans="1:8" ht="14.25">
      <c r="A74" s="21" t="s">
        <v>473</v>
      </c>
      <c r="B74" s="60">
        <v>521219</v>
      </c>
      <c r="C74" s="41" t="s">
        <v>53</v>
      </c>
      <c r="D74" s="71"/>
      <c r="E74" s="60"/>
      <c r="F74" s="42"/>
      <c r="G74" s="42">
        <f>SUM(G75:G76)</f>
        <v>5000000</v>
      </c>
      <c r="H74" s="154" t="b">
        <f t="shared" si="0"/>
        <v>1</v>
      </c>
    </row>
    <row r="75" spans="1:8" ht="14.25">
      <c r="A75" s="21" t="s">
        <v>474</v>
      </c>
      <c r="B75" s="124"/>
      <c r="C75" s="123" t="s">
        <v>3610</v>
      </c>
      <c r="D75" s="157">
        <v>4</v>
      </c>
      <c r="E75" s="124" t="s">
        <v>106</v>
      </c>
      <c r="F75" s="125">
        <v>250000</v>
      </c>
      <c r="G75" s="125">
        <f>ROUNDDOWN(D75*F75,-3)</f>
        <v>1000000</v>
      </c>
      <c r="H75" s="154" t="b">
        <f t="shared" si="0"/>
        <v>1</v>
      </c>
    </row>
    <row r="76" spans="1:8" ht="14.25">
      <c r="A76" s="21" t="s">
        <v>792</v>
      </c>
      <c r="B76" s="124"/>
      <c r="C76" s="123" t="s">
        <v>3611</v>
      </c>
      <c r="D76" s="124">
        <v>8</v>
      </c>
      <c r="E76" s="124" t="s">
        <v>106</v>
      </c>
      <c r="F76" s="125">
        <v>500000</v>
      </c>
      <c r="G76" s="125">
        <f>ROUNDDOWN(D76*F76,-3)</f>
        <v>4000000</v>
      </c>
      <c r="H76" s="154" t="b">
        <f t="shared" si="0"/>
        <v>1</v>
      </c>
    </row>
    <row r="77" spans="1:8" ht="14.25">
      <c r="A77" s="21" t="s">
        <v>475</v>
      </c>
      <c r="B77" s="60">
        <v>521811</v>
      </c>
      <c r="C77" s="41" t="s">
        <v>64</v>
      </c>
      <c r="D77" s="71"/>
      <c r="E77" s="60"/>
      <c r="F77" s="42"/>
      <c r="G77" s="42">
        <f>SUM(G78:G79)</f>
        <v>15000000</v>
      </c>
      <c r="H77" s="154" t="b">
        <f t="shared" ref="H77:H140" si="2">_xlfn.ISFORMULA(G77)</f>
        <v>1</v>
      </c>
    </row>
    <row r="78" spans="1:8" ht="14.25">
      <c r="A78" s="21" t="s">
        <v>476</v>
      </c>
      <c r="B78" s="124"/>
      <c r="C78" s="123" t="s">
        <v>3595</v>
      </c>
      <c r="D78" s="157">
        <v>6</v>
      </c>
      <c r="E78" s="124" t="s">
        <v>106</v>
      </c>
      <c r="F78" s="125">
        <v>1000000</v>
      </c>
      <c r="G78" s="125">
        <f>ROUNDDOWN(D78*F78,-3)</f>
        <v>6000000</v>
      </c>
      <c r="H78" s="154" t="b">
        <f t="shared" si="2"/>
        <v>1</v>
      </c>
    </row>
    <row r="79" spans="1:8" ht="14.25">
      <c r="A79" s="21" t="s">
        <v>477</v>
      </c>
      <c r="B79" s="124"/>
      <c r="C79" s="123" t="s">
        <v>3596</v>
      </c>
      <c r="D79" s="124">
        <v>6</v>
      </c>
      <c r="E79" s="124" t="s">
        <v>106</v>
      </c>
      <c r="F79" s="125">
        <v>1500000</v>
      </c>
      <c r="G79" s="125">
        <f>ROUNDDOWN(D79*F79,-3)</f>
        <v>9000000</v>
      </c>
      <c r="H79" s="154" t="b">
        <f t="shared" si="2"/>
        <v>1</v>
      </c>
    </row>
    <row r="80" spans="1:8" ht="14.25">
      <c r="A80" s="21" t="s">
        <v>478</v>
      </c>
      <c r="B80" s="60">
        <v>522151</v>
      </c>
      <c r="C80" s="41" t="s">
        <v>11</v>
      </c>
      <c r="D80" s="71"/>
      <c r="E80" s="60"/>
      <c r="F80" s="42"/>
      <c r="G80" s="42">
        <f>G81</f>
        <v>16200000</v>
      </c>
      <c r="H80" s="154" t="b">
        <f t="shared" si="2"/>
        <v>1</v>
      </c>
    </row>
    <row r="81" spans="1:8" ht="14.25">
      <c r="A81" s="21" t="s">
        <v>479</v>
      </c>
      <c r="B81" s="124"/>
      <c r="C81" s="123" t="s">
        <v>3603</v>
      </c>
      <c r="D81" s="124">
        <v>18</v>
      </c>
      <c r="E81" s="124" t="s">
        <v>54</v>
      </c>
      <c r="F81" s="125">
        <v>900000</v>
      </c>
      <c r="G81" s="125">
        <f>ROUNDDOWN(D81*F81,-3)</f>
        <v>16200000</v>
      </c>
      <c r="H81" s="154" t="b">
        <f t="shared" si="2"/>
        <v>1</v>
      </c>
    </row>
    <row r="82" spans="1:8" ht="14.25">
      <c r="A82" s="21" t="s">
        <v>480</v>
      </c>
      <c r="B82" s="60">
        <v>522192</v>
      </c>
      <c r="C82" s="41" t="s">
        <v>24</v>
      </c>
      <c r="D82" s="60"/>
      <c r="E82" s="60"/>
      <c r="F82" s="42"/>
      <c r="G82" s="42">
        <f>G83</f>
        <v>2000000</v>
      </c>
      <c r="H82" s="154" t="b">
        <f t="shared" si="2"/>
        <v>1</v>
      </c>
    </row>
    <row r="83" spans="1:8" ht="14.25">
      <c r="A83" s="21" t="s">
        <v>481</v>
      </c>
      <c r="B83" s="124"/>
      <c r="C83" s="123" t="s">
        <v>3612</v>
      </c>
      <c r="D83" s="157">
        <v>1</v>
      </c>
      <c r="E83" s="124" t="s">
        <v>60</v>
      </c>
      <c r="F83" s="125">
        <v>2000000</v>
      </c>
      <c r="G83" s="125">
        <f>ROUNDDOWN(D83*F83,-3)</f>
        <v>2000000</v>
      </c>
      <c r="H83" s="154" t="b">
        <f t="shared" si="2"/>
        <v>1</v>
      </c>
    </row>
    <row r="84" spans="1:8" ht="14.25">
      <c r="A84" s="21" t="s">
        <v>482</v>
      </c>
      <c r="B84" s="60">
        <v>524111</v>
      </c>
      <c r="C84" s="41" t="s">
        <v>19</v>
      </c>
      <c r="D84" s="71"/>
      <c r="E84" s="60"/>
      <c r="F84" s="42"/>
      <c r="G84" s="42">
        <f>G85</f>
        <v>138160000</v>
      </c>
      <c r="H84" s="154" t="b">
        <f t="shared" si="2"/>
        <v>1</v>
      </c>
    </row>
    <row r="85" spans="1:8" ht="14.25">
      <c r="A85" s="21" t="s">
        <v>483</v>
      </c>
      <c r="B85" s="124"/>
      <c r="C85" s="123" t="s">
        <v>3616</v>
      </c>
      <c r="D85" s="124">
        <v>22</v>
      </c>
      <c r="E85" s="124" t="s">
        <v>776</v>
      </c>
      <c r="F85" s="125">
        <v>6280000</v>
      </c>
      <c r="G85" s="125">
        <f>ROUNDDOWN(D85*F85,-3)</f>
        <v>138160000</v>
      </c>
      <c r="H85" s="154" t="b">
        <f t="shared" si="2"/>
        <v>1</v>
      </c>
    </row>
    <row r="86" spans="1:8" ht="14.25">
      <c r="A86" s="21" t="s">
        <v>794</v>
      </c>
      <c r="B86" s="59" t="s">
        <v>512</v>
      </c>
      <c r="C86" s="38" t="s">
        <v>795</v>
      </c>
      <c r="D86" s="70"/>
      <c r="E86" s="59"/>
      <c r="F86" s="39"/>
      <c r="G86" s="39">
        <f>SUM(G87,G92,G94,G96)</f>
        <v>51560000</v>
      </c>
      <c r="H86" s="154" t="b">
        <f t="shared" si="2"/>
        <v>1</v>
      </c>
    </row>
    <row r="87" spans="1:8" ht="14.25">
      <c r="A87" s="21" t="s">
        <v>796</v>
      </c>
      <c r="B87" s="60">
        <v>521211</v>
      </c>
      <c r="C87" s="41" t="s">
        <v>7</v>
      </c>
      <c r="D87" s="71"/>
      <c r="E87" s="60"/>
      <c r="F87" s="42"/>
      <c r="G87" s="42">
        <f>SUM(G88:G91)</f>
        <v>20830000</v>
      </c>
      <c r="H87" s="154" t="b">
        <f t="shared" si="2"/>
        <v>1</v>
      </c>
    </row>
    <row r="88" spans="1:8" ht="14.25">
      <c r="A88" s="21" t="s">
        <v>797</v>
      </c>
      <c r="B88" s="124"/>
      <c r="C88" s="123" t="s">
        <v>3595</v>
      </c>
      <c r="D88" s="124">
        <v>4</v>
      </c>
      <c r="E88" s="124" t="s">
        <v>106</v>
      </c>
      <c r="F88" s="125">
        <v>1000000</v>
      </c>
      <c r="G88" s="125">
        <f>ROUNDDOWN(D88*F88,-3)</f>
        <v>4000000</v>
      </c>
      <c r="H88" s="154" t="b">
        <f t="shared" si="2"/>
        <v>1</v>
      </c>
    </row>
    <row r="89" spans="1:8" ht="14.25">
      <c r="A89" s="21" t="s">
        <v>798</v>
      </c>
      <c r="B89" s="124"/>
      <c r="C89" s="123" t="s">
        <v>3596</v>
      </c>
      <c r="D89" s="157">
        <v>4</v>
      </c>
      <c r="E89" s="124" t="s">
        <v>106</v>
      </c>
      <c r="F89" s="125">
        <v>1500000</v>
      </c>
      <c r="G89" s="125">
        <f>ROUNDDOWN(D89*F89,-3)</f>
        <v>6000000</v>
      </c>
      <c r="H89" s="154" t="b">
        <f t="shared" si="2"/>
        <v>1</v>
      </c>
    </row>
    <row r="90" spans="1:8" ht="14.25">
      <c r="A90" s="21" t="s">
        <v>799</v>
      </c>
      <c r="B90" s="124"/>
      <c r="C90" s="123" t="s">
        <v>3617</v>
      </c>
      <c r="D90" s="124">
        <v>70</v>
      </c>
      <c r="E90" s="124" t="s">
        <v>25</v>
      </c>
      <c r="F90" s="125">
        <v>69000</v>
      </c>
      <c r="G90" s="125">
        <f>ROUNDDOWN(D90*F90,-3)</f>
        <v>4830000</v>
      </c>
      <c r="H90" s="154" t="b">
        <f t="shared" si="2"/>
        <v>1</v>
      </c>
    </row>
    <row r="91" spans="1:8" ht="14.25">
      <c r="A91" s="21" t="s">
        <v>800</v>
      </c>
      <c r="B91" s="124"/>
      <c r="C91" s="123" t="s">
        <v>3618</v>
      </c>
      <c r="D91" s="124">
        <v>4</v>
      </c>
      <c r="E91" s="124" t="s">
        <v>106</v>
      </c>
      <c r="F91" s="125">
        <v>1500000</v>
      </c>
      <c r="G91" s="125">
        <f>ROUNDDOWN(D91*F91,-3)</f>
        <v>6000000</v>
      </c>
      <c r="H91" s="154" t="b">
        <f t="shared" si="2"/>
        <v>1</v>
      </c>
    </row>
    <row r="92" spans="1:8" ht="14.25">
      <c r="A92" s="21" t="s">
        <v>801</v>
      </c>
      <c r="B92" s="60">
        <v>521219</v>
      </c>
      <c r="C92" s="41" t="s">
        <v>53</v>
      </c>
      <c r="D92" s="71"/>
      <c r="E92" s="60"/>
      <c r="F92" s="42"/>
      <c r="G92" s="42">
        <f>G93</f>
        <v>500000</v>
      </c>
      <c r="H92" s="154" t="b">
        <f t="shared" si="2"/>
        <v>1</v>
      </c>
    </row>
    <row r="93" spans="1:8" ht="14.25">
      <c r="A93" s="21" t="s">
        <v>802</v>
      </c>
      <c r="B93" s="124"/>
      <c r="C93" s="123" t="s">
        <v>3610</v>
      </c>
      <c r="D93" s="157">
        <v>2</v>
      </c>
      <c r="E93" s="124" t="s">
        <v>106</v>
      </c>
      <c r="F93" s="125">
        <v>250000</v>
      </c>
      <c r="G93" s="125">
        <f>ROUNDDOWN(D93*F93,-3)</f>
        <v>500000</v>
      </c>
      <c r="H93" s="154" t="b">
        <f t="shared" si="2"/>
        <v>1</v>
      </c>
    </row>
    <row r="94" spans="1:8" ht="14.25">
      <c r="A94" s="21" t="s">
        <v>803</v>
      </c>
      <c r="B94" s="60">
        <v>522151</v>
      </c>
      <c r="C94" s="41" t="s">
        <v>11</v>
      </c>
      <c r="D94" s="60"/>
      <c r="E94" s="60"/>
      <c r="F94" s="42"/>
      <c r="G94" s="42">
        <f>G95</f>
        <v>7200000</v>
      </c>
      <c r="H94" s="154" t="b">
        <f t="shared" si="2"/>
        <v>1</v>
      </c>
    </row>
    <row r="95" spans="1:8" ht="14.25">
      <c r="A95" s="21" t="s">
        <v>804</v>
      </c>
      <c r="B95" s="124"/>
      <c r="C95" s="123" t="s">
        <v>3603</v>
      </c>
      <c r="D95" s="157">
        <v>8</v>
      </c>
      <c r="E95" s="124" t="s">
        <v>54</v>
      </c>
      <c r="F95" s="125">
        <v>900000</v>
      </c>
      <c r="G95" s="125">
        <f>ROUNDDOWN(D95*F95,-3)</f>
        <v>7200000</v>
      </c>
      <c r="H95" s="154" t="b">
        <f t="shared" si="2"/>
        <v>1</v>
      </c>
    </row>
    <row r="96" spans="1:8" ht="14.25">
      <c r="A96" s="21" t="s">
        <v>805</v>
      </c>
      <c r="B96" s="60">
        <v>524111</v>
      </c>
      <c r="C96" s="41" t="s">
        <v>19</v>
      </c>
      <c r="D96" s="71"/>
      <c r="E96" s="60"/>
      <c r="F96" s="42"/>
      <c r="G96" s="42">
        <f>G97</f>
        <v>23030000</v>
      </c>
      <c r="H96" s="154" t="b">
        <f t="shared" si="2"/>
        <v>1</v>
      </c>
    </row>
    <row r="97" spans="1:8" ht="25.5">
      <c r="A97" s="21" t="s">
        <v>806</v>
      </c>
      <c r="B97" s="124"/>
      <c r="C97" s="123" t="s">
        <v>3619</v>
      </c>
      <c r="D97" s="124">
        <v>6</v>
      </c>
      <c r="E97" s="124" t="s">
        <v>776</v>
      </c>
      <c r="F97" s="125">
        <v>3838335</v>
      </c>
      <c r="G97" s="125">
        <f>ROUNDDOWN(D97*F97,-3)</f>
        <v>23030000</v>
      </c>
      <c r="H97" s="154" t="b">
        <f t="shared" si="2"/>
        <v>1</v>
      </c>
    </row>
    <row r="98" spans="1:8" ht="14.25">
      <c r="A98" s="21" t="s">
        <v>484</v>
      </c>
      <c r="B98" s="58" t="s">
        <v>526</v>
      </c>
      <c r="C98" s="35" t="s">
        <v>67</v>
      </c>
      <c r="D98" s="69"/>
      <c r="E98" s="58"/>
      <c r="F98" s="36"/>
      <c r="G98" s="36">
        <f>G99</f>
        <v>135100000</v>
      </c>
      <c r="H98" s="154" t="b">
        <f t="shared" si="2"/>
        <v>1</v>
      </c>
    </row>
    <row r="99" spans="1:8" ht="14.25">
      <c r="A99" s="21" t="s">
        <v>485</v>
      </c>
      <c r="B99" s="59" t="s">
        <v>8</v>
      </c>
      <c r="C99" s="38" t="s">
        <v>68</v>
      </c>
      <c r="D99" s="59"/>
      <c r="E99" s="59"/>
      <c r="F99" s="39"/>
      <c r="G99" s="39">
        <f>SUM(G100,G106,G108,G110,G112)</f>
        <v>135100000</v>
      </c>
      <c r="H99" s="154" t="b">
        <f t="shared" si="2"/>
        <v>1</v>
      </c>
    </row>
    <row r="100" spans="1:8" ht="14.25">
      <c r="A100" s="21" t="s">
        <v>486</v>
      </c>
      <c r="B100" s="60">
        <v>521211</v>
      </c>
      <c r="C100" s="41" t="s">
        <v>7</v>
      </c>
      <c r="D100" s="71"/>
      <c r="E100" s="60"/>
      <c r="F100" s="42"/>
      <c r="G100" s="42">
        <f>SUM(G101:G105)</f>
        <v>21100000</v>
      </c>
      <c r="H100" s="154" t="b">
        <f t="shared" si="2"/>
        <v>1</v>
      </c>
    </row>
    <row r="101" spans="1:8" ht="14.25">
      <c r="A101" s="21" t="s">
        <v>487</v>
      </c>
      <c r="B101" s="124"/>
      <c r="C101" s="123" t="s">
        <v>3587</v>
      </c>
      <c r="D101" s="124">
        <v>2</v>
      </c>
      <c r="E101" s="124" t="s">
        <v>106</v>
      </c>
      <c r="F101" s="125">
        <v>1500000</v>
      </c>
      <c r="G101" s="125">
        <f>ROUNDDOWN(D101*F101,-3)</f>
        <v>3000000</v>
      </c>
      <c r="H101" s="154" t="b">
        <f t="shared" si="2"/>
        <v>1</v>
      </c>
    </row>
    <row r="102" spans="1:8" ht="14.25">
      <c r="A102" s="21" t="s">
        <v>488</v>
      </c>
      <c r="B102" s="124"/>
      <c r="C102" s="123" t="s">
        <v>3620</v>
      </c>
      <c r="D102" s="124">
        <v>90</v>
      </c>
      <c r="E102" s="124" t="s">
        <v>25</v>
      </c>
      <c r="F102" s="125">
        <v>65556</v>
      </c>
      <c r="G102" s="125">
        <f>ROUNDDOWN(D102*F102,-3)</f>
        <v>5900000</v>
      </c>
      <c r="H102" s="154" t="b">
        <f t="shared" si="2"/>
        <v>1</v>
      </c>
    </row>
    <row r="103" spans="1:8" ht="14.25">
      <c r="A103" s="21" t="s">
        <v>489</v>
      </c>
      <c r="B103" s="124"/>
      <c r="C103" s="123" t="s">
        <v>3588</v>
      </c>
      <c r="D103" s="124">
        <v>2</v>
      </c>
      <c r="E103" s="124" t="s">
        <v>106</v>
      </c>
      <c r="F103" s="125">
        <v>1000000</v>
      </c>
      <c r="G103" s="125">
        <f>ROUNDDOWN(D103*F103,-3)</f>
        <v>2000000</v>
      </c>
      <c r="H103" s="154" t="b">
        <f t="shared" si="2"/>
        <v>1</v>
      </c>
    </row>
    <row r="104" spans="1:8" ht="14.25">
      <c r="A104" s="21" t="s">
        <v>809</v>
      </c>
      <c r="B104" s="124"/>
      <c r="C104" s="123" t="s">
        <v>3589</v>
      </c>
      <c r="D104" s="157">
        <v>2</v>
      </c>
      <c r="E104" s="124" t="s">
        <v>106</v>
      </c>
      <c r="F104" s="125">
        <v>1500000</v>
      </c>
      <c r="G104" s="125">
        <f>ROUNDDOWN(D104*F104,-3)</f>
        <v>3000000</v>
      </c>
      <c r="H104" s="154" t="b">
        <f t="shared" si="2"/>
        <v>1</v>
      </c>
    </row>
    <row r="105" spans="1:8" ht="25.5">
      <c r="A105" s="21" t="s">
        <v>810</v>
      </c>
      <c r="B105" s="124"/>
      <c r="C105" s="123" t="s">
        <v>3621</v>
      </c>
      <c r="D105" s="157">
        <v>36</v>
      </c>
      <c r="E105" s="124" t="s">
        <v>25</v>
      </c>
      <c r="F105" s="125">
        <v>200000</v>
      </c>
      <c r="G105" s="125">
        <f>ROUNDDOWN(D105*F105,-3)</f>
        <v>7200000</v>
      </c>
      <c r="H105" s="154" t="b">
        <f t="shared" si="2"/>
        <v>1</v>
      </c>
    </row>
    <row r="106" spans="1:8" ht="14.25">
      <c r="A106" s="21" t="s">
        <v>490</v>
      </c>
      <c r="B106" s="60">
        <v>521219</v>
      </c>
      <c r="C106" s="41" t="s">
        <v>53</v>
      </c>
      <c r="D106" s="71"/>
      <c r="E106" s="60"/>
      <c r="F106" s="42"/>
      <c r="G106" s="42">
        <f>G107</f>
        <v>1584000</v>
      </c>
      <c r="H106" s="154" t="b">
        <f t="shared" si="2"/>
        <v>1</v>
      </c>
    </row>
    <row r="107" spans="1:8" ht="25.5">
      <c r="A107" s="21" t="s">
        <v>491</v>
      </c>
      <c r="B107" s="124"/>
      <c r="C107" s="123" t="s">
        <v>3622</v>
      </c>
      <c r="D107" s="157">
        <v>36</v>
      </c>
      <c r="E107" s="124" t="s">
        <v>25</v>
      </c>
      <c r="F107" s="125">
        <v>44000</v>
      </c>
      <c r="G107" s="125">
        <f>ROUNDDOWN(D107*F107,-3)</f>
        <v>1584000</v>
      </c>
      <c r="H107" s="154" t="b">
        <f t="shared" si="2"/>
        <v>1</v>
      </c>
    </row>
    <row r="108" spans="1:8" ht="14.25">
      <c r="A108" s="21" t="s">
        <v>492</v>
      </c>
      <c r="B108" s="60">
        <v>522151</v>
      </c>
      <c r="C108" s="41" t="s">
        <v>11</v>
      </c>
      <c r="D108" s="60"/>
      <c r="E108" s="60"/>
      <c r="F108" s="42"/>
      <c r="G108" s="42">
        <f>G109</f>
        <v>10000000</v>
      </c>
      <c r="H108" s="154" t="b">
        <f t="shared" si="2"/>
        <v>1</v>
      </c>
    </row>
    <row r="109" spans="1:8" ht="14.25">
      <c r="A109" s="21" t="s">
        <v>493</v>
      </c>
      <c r="B109" s="124"/>
      <c r="C109" s="123" t="s">
        <v>3603</v>
      </c>
      <c r="D109" s="157">
        <v>10</v>
      </c>
      <c r="E109" s="124" t="s">
        <v>54</v>
      </c>
      <c r="F109" s="125">
        <v>1000000</v>
      </c>
      <c r="G109" s="125">
        <f>ROUNDDOWN(D109*F109,-3)</f>
        <v>10000000</v>
      </c>
      <c r="H109" s="154" t="b">
        <f t="shared" si="2"/>
        <v>1</v>
      </c>
    </row>
    <row r="110" spans="1:8" ht="14.25">
      <c r="A110" s="21" t="s">
        <v>813</v>
      </c>
      <c r="B110" s="60">
        <v>522192</v>
      </c>
      <c r="C110" s="41" t="s">
        <v>24</v>
      </c>
      <c r="D110" s="60"/>
      <c r="E110" s="60"/>
      <c r="F110" s="42"/>
      <c r="G110" s="42">
        <f>G111</f>
        <v>5000000</v>
      </c>
      <c r="H110" s="154" t="b">
        <f t="shared" si="2"/>
        <v>1</v>
      </c>
    </row>
    <row r="111" spans="1:8" ht="14.25">
      <c r="A111" s="21" t="s">
        <v>814</v>
      </c>
      <c r="B111" s="124"/>
      <c r="C111" s="123" t="s">
        <v>3623</v>
      </c>
      <c r="D111" s="157">
        <v>1</v>
      </c>
      <c r="E111" s="124" t="s">
        <v>153</v>
      </c>
      <c r="F111" s="125">
        <v>5000000</v>
      </c>
      <c r="G111" s="125">
        <f>ROUNDDOWN(D111*F111,-3)</f>
        <v>5000000</v>
      </c>
      <c r="H111" s="154" t="b">
        <f t="shared" si="2"/>
        <v>1</v>
      </c>
    </row>
    <row r="112" spans="1:8" ht="14.25">
      <c r="A112" s="21" t="s">
        <v>816</v>
      </c>
      <c r="B112" s="60">
        <v>524111</v>
      </c>
      <c r="C112" s="41" t="s">
        <v>19</v>
      </c>
      <c r="D112" s="60"/>
      <c r="E112" s="60"/>
      <c r="F112" s="42"/>
      <c r="G112" s="42">
        <f>G113</f>
        <v>97416000</v>
      </c>
      <c r="H112" s="154" t="b">
        <f t="shared" si="2"/>
        <v>1</v>
      </c>
    </row>
    <row r="113" spans="1:8" ht="14.25">
      <c r="A113" s="21" t="s">
        <v>817</v>
      </c>
      <c r="B113" s="124"/>
      <c r="C113" s="123" t="s">
        <v>3624</v>
      </c>
      <c r="D113" s="124">
        <v>36</v>
      </c>
      <c r="E113" s="124" t="s">
        <v>776</v>
      </c>
      <c r="F113" s="125">
        <v>2706000</v>
      </c>
      <c r="G113" s="125">
        <f>ROUNDDOWN(D113*F113,-3)</f>
        <v>97416000</v>
      </c>
      <c r="H113" s="154" t="b">
        <f t="shared" si="2"/>
        <v>1</v>
      </c>
    </row>
    <row r="114" spans="1:8" ht="14.25">
      <c r="A114" s="21" t="s">
        <v>69</v>
      </c>
      <c r="B114" s="54" t="s">
        <v>69</v>
      </c>
      <c r="C114" s="23" t="s">
        <v>70</v>
      </c>
      <c r="D114" s="54"/>
      <c r="E114" s="54"/>
      <c r="F114" s="24"/>
      <c r="G114" s="24">
        <f>SUM(G115,G529)</f>
        <v>22342160000</v>
      </c>
      <c r="H114" s="154" t="b">
        <f t="shared" si="2"/>
        <v>1</v>
      </c>
    </row>
    <row r="115" spans="1:8" ht="25.5">
      <c r="A115" s="21" t="s">
        <v>494</v>
      </c>
      <c r="B115" s="55">
        <v>2378</v>
      </c>
      <c r="C115" s="26" t="s">
        <v>71</v>
      </c>
      <c r="D115" s="68"/>
      <c r="E115" s="55"/>
      <c r="F115" s="27"/>
      <c r="G115" s="27">
        <f>SUM(G116,G122,G380,G386)</f>
        <v>13759660000</v>
      </c>
      <c r="H115" s="154" t="b">
        <f t="shared" si="2"/>
        <v>1</v>
      </c>
    </row>
    <row r="116" spans="1:8" ht="14.25">
      <c r="A116" s="21" t="s">
        <v>819</v>
      </c>
      <c r="B116" s="116" t="s">
        <v>820</v>
      </c>
      <c r="C116" s="114" t="s">
        <v>821</v>
      </c>
      <c r="D116" s="115">
        <v>1</v>
      </c>
      <c r="E116" s="116" t="s">
        <v>42</v>
      </c>
      <c r="F116" s="117"/>
      <c r="G116" s="117">
        <f>G117</f>
        <v>115000000</v>
      </c>
      <c r="H116" s="154" t="b">
        <f t="shared" si="2"/>
        <v>1</v>
      </c>
    </row>
    <row r="117" spans="1:8" ht="25.5">
      <c r="A117" s="21" t="s">
        <v>822</v>
      </c>
      <c r="B117" s="119" t="s">
        <v>3625</v>
      </c>
      <c r="C117" s="118" t="s">
        <v>824</v>
      </c>
      <c r="D117" s="121">
        <v>1</v>
      </c>
      <c r="E117" s="119" t="s">
        <v>42</v>
      </c>
      <c r="F117" s="120"/>
      <c r="G117" s="120">
        <f>G118</f>
        <v>115000000</v>
      </c>
      <c r="H117" s="154" t="b">
        <f t="shared" si="2"/>
        <v>1</v>
      </c>
    </row>
    <row r="118" spans="1:8" ht="25.5">
      <c r="A118" s="21" t="s">
        <v>832</v>
      </c>
      <c r="B118" s="58">
        <v>301</v>
      </c>
      <c r="C118" s="35" t="s">
        <v>834</v>
      </c>
      <c r="D118" s="58"/>
      <c r="E118" s="58"/>
      <c r="F118" s="36"/>
      <c r="G118" s="36">
        <f>G119</f>
        <v>115000000</v>
      </c>
      <c r="H118" s="154" t="b">
        <f t="shared" si="2"/>
        <v>1</v>
      </c>
    </row>
    <row r="119" spans="1:8" ht="14.25">
      <c r="A119" s="21" t="s">
        <v>835</v>
      </c>
      <c r="B119" s="59" t="s">
        <v>8</v>
      </c>
      <c r="C119" s="38" t="s">
        <v>836</v>
      </c>
      <c r="D119" s="70"/>
      <c r="E119" s="59"/>
      <c r="F119" s="39"/>
      <c r="G119" s="39">
        <f>G120</f>
        <v>115000000</v>
      </c>
      <c r="H119" s="154" t="b">
        <f t="shared" si="2"/>
        <v>1</v>
      </c>
    </row>
    <row r="120" spans="1:8" ht="14.25">
      <c r="A120" s="21" t="s">
        <v>837</v>
      </c>
      <c r="B120" s="60">
        <v>532111</v>
      </c>
      <c r="C120" s="41" t="s">
        <v>43</v>
      </c>
      <c r="D120" s="60"/>
      <c r="E120" s="60"/>
      <c r="F120" s="42"/>
      <c r="G120" s="42">
        <f>G121</f>
        <v>115000000</v>
      </c>
      <c r="H120" s="154" t="b">
        <f t="shared" si="2"/>
        <v>1</v>
      </c>
    </row>
    <row r="121" spans="1:8" ht="14.25">
      <c r="A121" s="21" t="s">
        <v>838</v>
      </c>
      <c r="B121" s="124"/>
      <c r="C121" s="123" t="s">
        <v>3626</v>
      </c>
      <c r="D121" s="157">
        <v>1</v>
      </c>
      <c r="E121" s="124" t="s">
        <v>23</v>
      </c>
      <c r="F121" s="125">
        <v>115000000</v>
      </c>
      <c r="G121" s="125">
        <f>ROUNDDOWN(D121*F121,-3)</f>
        <v>115000000</v>
      </c>
      <c r="H121" s="154" t="b">
        <f t="shared" si="2"/>
        <v>1</v>
      </c>
    </row>
    <row r="122" spans="1:8" ht="14.25">
      <c r="A122" s="21" t="s">
        <v>840</v>
      </c>
      <c r="B122" s="116" t="s">
        <v>841</v>
      </c>
      <c r="C122" s="114" t="s">
        <v>842</v>
      </c>
      <c r="D122" s="116">
        <v>9</v>
      </c>
      <c r="E122" s="116" t="s">
        <v>3627</v>
      </c>
      <c r="F122" s="117"/>
      <c r="G122" s="117">
        <f>SUM(G123,G138,G263)</f>
        <v>11564936000</v>
      </c>
      <c r="H122" s="154" t="b">
        <f t="shared" si="2"/>
        <v>1</v>
      </c>
    </row>
    <row r="123" spans="1:8" ht="14.25">
      <c r="A123" s="21" t="s">
        <v>1035</v>
      </c>
      <c r="B123" s="119" t="s">
        <v>3628</v>
      </c>
      <c r="C123" s="118" t="s">
        <v>1037</v>
      </c>
      <c r="D123" s="119">
        <v>2</v>
      </c>
      <c r="E123" s="119" t="s">
        <v>3627</v>
      </c>
      <c r="F123" s="120"/>
      <c r="G123" s="120">
        <f>G124</f>
        <v>153780000</v>
      </c>
      <c r="H123" s="154" t="b">
        <f t="shared" si="2"/>
        <v>1</v>
      </c>
    </row>
    <row r="124" spans="1:8" ht="25.5">
      <c r="A124" s="7" t="s">
        <v>1184</v>
      </c>
      <c r="B124" s="58">
        <v>311</v>
      </c>
      <c r="C124" s="35" t="s">
        <v>1186</v>
      </c>
      <c r="D124" s="58"/>
      <c r="E124" s="58"/>
      <c r="F124" s="36"/>
      <c r="G124" s="36">
        <f>G125</f>
        <v>153780000</v>
      </c>
      <c r="H124" s="154" t="b">
        <f t="shared" si="2"/>
        <v>1</v>
      </c>
    </row>
    <row r="125" spans="1:8" ht="14.25">
      <c r="A125" s="7" t="s">
        <v>1187</v>
      </c>
      <c r="B125" s="59" t="s">
        <v>8</v>
      </c>
      <c r="C125" s="38" t="s">
        <v>75</v>
      </c>
      <c r="D125" s="59"/>
      <c r="E125" s="59"/>
      <c r="F125" s="39"/>
      <c r="G125" s="39">
        <f>SUM(G126,G129,G131,G134,G136)</f>
        <v>153780000</v>
      </c>
      <c r="H125" s="154" t="b">
        <f t="shared" si="2"/>
        <v>1</v>
      </c>
    </row>
    <row r="126" spans="1:8" ht="14.25">
      <c r="A126" s="7" t="s">
        <v>1188</v>
      </c>
      <c r="B126" s="60">
        <v>521211</v>
      </c>
      <c r="C126" s="41" t="s">
        <v>7</v>
      </c>
      <c r="D126" s="60"/>
      <c r="E126" s="60"/>
      <c r="F126" s="42"/>
      <c r="G126" s="42">
        <f>SUM(G127:G128)</f>
        <v>14400000</v>
      </c>
      <c r="H126" s="154" t="b">
        <f t="shared" si="2"/>
        <v>1</v>
      </c>
    </row>
    <row r="127" spans="1:8" ht="14.25">
      <c r="A127" s="7" t="s">
        <v>1189</v>
      </c>
      <c r="B127" s="124"/>
      <c r="C127" s="123" t="s">
        <v>3587</v>
      </c>
      <c r="D127" s="124">
        <v>6</v>
      </c>
      <c r="E127" s="124" t="s">
        <v>52</v>
      </c>
      <c r="F127" s="125">
        <v>1000000</v>
      </c>
      <c r="G127" s="125">
        <f>ROUNDDOWN(D127*F127,-3)</f>
        <v>6000000</v>
      </c>
      <c r="H127" s="154" t="b">
        <f t="shared" si="2"/>
        <v>1</v>
      </c>
    </row>
    <row r="128" spans="1:8" ht="14.25">
      <c r="A128" s="7" t="s">
        <v>1190</v>
      </c>
      <c r="B128" s="124"/>
      <c r="C128" s="123" t="s">
        <v>3608</v>
      </c>
      <c r="D128" s="124">
        <v>120</v>
      </c>
      <c r="E128" s="124" t="s">
        <v>25</v>
      </c>
      <c r="F128" s="125">
        <v>70000</v>
      </c>
      <c r="G128" s="125">
        <f>ROUNDDOWN(D128*F128,-3)</f>
        <v>8400000</v>
      </c>
      <c r="H128" s="154" t="b">
        <f t="shared" si="2"/>
        <v>1</v>
      </c>
    </row>
    <row r="129" spans="1:8" ht="14.25">
      <c r="A129" s="7" t="s">
        <v>1191</v>
      </c>
      <c r="B129" s="60">
        <v>521219</v>
      </c>
      <c r="C129" s="41" t="s">
        <v>53</v>
      </c>
      <c r="D129" s="60"/>
      <c r="E129" s="60"/>
      <c r="F129" s="42"/>
      <c r="G129" s="42">
        <f>G130</f>
        <v>8000000</v>
      </c>
      <c r="H129" s="154" t="b">
        <f t="shared" si="2"/>
        <v>1</v>
      </c>
    </row>
    <row r="130" spans="1:8" ht="14.25">
      <c r="A130" s="7" t="s">
        <v>1192</v>
      </c>
      <c r="B130" s="124"/>
      <c r="C130" s="123" t="s">
        <v>3629</v>
      </c>
      <c r="D130" s="124">
        <v>1</v>
      </c>
      <c r="E130" s="124" t="s">
        <v>106</v>
      </c>
      <c r="F130" s="125">
        <v>8000000</v>
      </c>
      <c r="G130" s="125">
        <f>ROUNDDOWN(D130*F130,-3)</f>
        <v>8000000</v>
      </c>
      <c r="H130" s="154" t="b">
        <f t="shared" si="2"/>
        <v>1</v>
      </c>
    </row>
    <row r="131" spans="1:8" ht="14.25">
      <c r="A131" s="7" t="s">
        <v>1194</v>
      </c>
      <c r="B131" s="60">
        <v>521811</v>
      </c>
      <c r="C131" s="41" t="s">
        <v>64</v>
      </c>
      <c r="D131" s="60"/>
      <c r="E131" s="60"/>
      <c r="F131" s="42"/>
      <c r="G131" s="42">
        <f>SUM(G132:G133)</f>
        <v>12000000</v>
      </c>
      <c r="H131" s="154" t="b">
        <f t="shared" si="2"/>
        <v>1</v>
      </c>
    </row>
    <row r="132" spans="1:8" ht="14.25">
      <c r="A132" s="7" t="s">
        <v>1195</v>
      </c>
      <c r="B132" s="124"/>
      <c r="C132" s="123" t="s">
        <v>3595</v>
      </c>
      <c r="D132" s="124">
        <v>6</v>
      </c>
      <c r="E132" s="124" t="s">
        <v>52</v>
      </c>
      <c r="F132" s="125">
        <v>1000000</v>
      </c>
      <c r="G132" s="125">
        <f>ROUNDDOWN(D132*F132,-3)</f>
        <v>6000000</v>
      </c>
      <c r="H132" s="154" t="b">
        <f t="shared" si="2"/>
        <v>1</v>
      </c>
    </row>
    <row r="133" spans="1:8" ht="14.25">
      <c r="A133" s="7" t="s">
        <v>1196</v>
      </c>
      <c r="B133" s="124"/>
      <c r="C133" s="123" t="s">
        <v>3630</v>
      </c>
      <c r="D133" s="124">
        <v>6</v>
      </c>
      <c r="E133" s="124" t="s">
        <v>52</v>
      </c>
      <c r="F133" s="125">
        <v>1000000</v>
      </c>
      <c r="G133" s="125">
        <f>ROUNDDOWN(D133*F133,-3)</f>
        <v>6000000</v>
      </c>
      <c r="H133" s="154" t="b">
        <f t="shared" si="2"/>
        <v>1</v>
      </c>
    </row>
    <row r="134" spans="1:8" ht="14.25">
      <c r="A134" s="7" t="s">
        <v>1198</v>
      </c>
      <c r="B134" s="60">
        <v>522151</v>
      </c>
      <c r="C134" s="41" t="s">
        <v>11</v>
      </c>
      <c r="D134" s="60"/>
      <c r="E134" s="60"/>
      <c r="F134" s="42"/>
      <c r="G134" s="42">
        <f>G135</f>
        <v>4000000</v>
      </c>
      <c r="H134" s="154" t="b">
        <f t="shared" si="2"/>
        <v>1</v>
      </c>
    </row>
    <row r="135" spans="1:8" ht="14.25">
      <c r="A135" s="7" t="s">
        <v>1199</v>
      </c>
      <c r="B135" s="124"/>
      <c r="C135" s="123" t="s">
        <v>3603</v>
      </c>
      <c r="D135" s="124">
        <v>4</v>
      </c>
      <c r="E135" s="124" t="s">
        <v>54</v>
      </c>
      <c r="F135" s="125">
        <v>1000000</v>
      </c>
      <c r="G135" s="125">
        <f>ROUNDDOWN(D135*F135,-3)</f>
        <v>4000000</v>
      </c>
      <c r="H135" s="154" t="b">
        <f t="shared" si="2"/>
        <v>1</v>
      </c>
    </row>
    <row r="136" spans="1:8" ht="14.25">
      <c r="A136" s="7" t="s">
        <v>1200</v>
      </c>
      <c r="B136" s="60">
        <v>524111</v>
      </c>
      <c r="C136" s="41" t="s">
        <v>19</v>
      </c>
      <c r="D136" s="60"/>
      <c r="E136" s="60"/>
      <c r="F136" s="42"/>
      <c r="G136" s="42">
        <f>G137</f>
        <v>115380000</v>
      </c>
      <c r="H136" s="154" t="b">
        <f t="shared" si="2"/>
        <v>1</v>
      </c>
    </row>
    <row r="137" spans="1:8" ht="14.25">
      <c r="A137" s="7" t="s">
        <v>1201</v>
      </c>
      <c r="B137" s="124"/>
      <c r="C137" s="123" t="s">
        <v>3631</v>
      </c>
      <c r="D137" s="124">
        <v>20</v>
      </c>
      <c r="E137" s="124" t="s">
        <v>25</v>
      </c>
      <c r="F137" s="125">
        <v>5769000</v>
      </c>
      <c r="G137" s="125">
        <f>ROUNDDOWN(D137*F137,-3)</f>
        <v>115380000</v>
      </c>
      <c r="H137" s="154" t="b">
        <f t="shared" si="2"/>
        <v>1</v>
      </c>
    </row>
    <row r="138" spans="1:8" ht="14.25">
      <c r="A138" s="7" t="s">
        <v>1268</v>
      </c>
      <c r="B138" s="119" t="s">
        <v>3632</v>
      </c>
      <c r="C138" s="118" t="s">
        <v>1270</v>
      </c>
      <c r="D138" s="119">
        <v>1</v>
      </c>
      <c r="E138" s="119" t="s">
        <v>3627</v>
      </c>
      <c r="F138" s="120"/>
      <c r="G138" s="120">
        <f>G139</f>
        <v>2736502000</v>
      </c>
      <c r="H138" s="154" t="b">
        <f t="shared" si="2"/>
        <v>1</v>
      </c>
    </row>
    <row r="139" spans="1:8" ht="25.5">
      <c r="A139" s="7" t="s">
        <v>1388</v>
      </c>
      <c r="B139" s="58">
        <v>301</v>
      </c>
      <c r="C139" s="35" t="s">
        <v>1389</v>
      </c>
      <c r="D139" s="58"/>
      <c r="E139" s="58"/>
      <c r="F139" s="36"/>
      <c r="G139" s="36">
        <f>SUM(G140,G150,G161,G174,G184,G200,G216,G228,G248)</f>
        <v>2736502000</v>
      </c>
      <c r="H139" s="154" t="b">
        <f t="shared" si="2"/>
        <v>1</v>
      </c>
    </row>
    <row r="140" spans="1:8" ht="14.25">
      <c r="A140" s="7" t="s">
        <v>1390</v>
      </c>
      <c r="B140" s="59" t="s">
        <v>8</v>
      </c>
      <c r="C140" s="38" t="s">
        <v>148</v>
      </c>
      <c r="D140" s="59"/>
      <c r="E140" s="59"/>
      <c r="F140" s="39"/>
      <c r="G140" s="39">
        <f>SUM(G141,G146,G148)</f>
        <v>42100000</v>
      </c>
      <c r="H140" s="154" t="b">
        <f t="shared" si="2"/>
        <v>1</v>
      </c>
    </row>
    <row r="141" spans="1:8" ht="14.25">
      <c r="A141" s="7" t="s">
        <v>1391</v>
      </c>
      <c r="B141" s="60">
        <v>521211</v>
      </c>
      <c r="C141" s="41" t="s">
        <v>7</v>
      </c>
      <c r="D141" s="60"/>
      <c r="E141" s="60"/>
      <c r="F141" s="42"/>
      <c r="G141" s="42">
        <f>SUM(G142:G145)</f>
        <v>22000000</v>
      </c>
      <c r="H141" s="154" t="b">
        <f t="shared" ref="H141:H204" si="3">_xlfn.ISFORMULA(G141)</f>
        <v>1</v>
      </c>
    </row>
    <row r="142" spans="1:8" ht="14.25">
      <c r="A142" s="7" t="s">
        <v>1392</v>
      </c>
      <c r="B142" s="124"/>
      <c r="C142" s="123" t="s">
        <v>3595</v>
      </c>
      <c r="D142" s="124">
        <v>4</v>
      </c>
      <c r="E142" s="124" t="s">
        <v>9</v>
      </c>
      <c r="F142" s="125">
        <v>1500000</v>
      </c>
      <c r="G142" s="125">
        <f>ROUNDDOWN(D142*F142,-3)</f>
        <v>6000000</v>
      </c>
      <c r="H142" s="154" t="b">
        <f t="shared" si="3"/>
        <v>1</v>
      </c>
    </row>
    <row r="143" spans="1:8" ht="14.25">
      <c r="A143" s="7" t="s">
        <v>1393</v>
      </c>
      <c r="B143" s="124"/>
      <c r="C143" s="123" t="s">
        <v>3596</v>
      </c>
      <c r="D143" s="124">
        <v>4</v>
      </c>
      <c r="E143" s="124" t="s">
        <v>9</v>
      </c>
      <c r="F143" s="125">
        <v>1000000</v>
      </c>
      <c r="G143" s="125">
        <f>ROUNDDOWN(D143*F143,-3)</f>
        <v>4000000</v>
      </c>
      <c r="H143" s="154" t="b">
        <f t="shared" si="3"/>
        <v>1</v>
      </c>
    </row>
    <row r="144" spans="1:8" ht="14.25">
      <c r="A144" s="7" t="s">
        <v>1394</v>
      </c>
      <c r="B144" s="124"/>
      <c r="C144" s="123" t="s">
        <v>3597</v>
      </c>
      <c r="D144" s="124">
        <v>4</v>
      </c>
      <c r="E144" s="124" t="s">
        <v>9</v>
      </c>
      <c r="F144" s="125">
        <v>1500000</v>
      </c>
      <c r="G144" s="125">
        <f>ROUNDDOWN(D144*F144,-3)</f>
        <v>6000000</v>
      </c>
      <c r="H144" s="154" t="b">
        <f t="shared" si="3"/>
        <v>1</v>
      </c>
    </row>
    <row r="145" spans="1:8" ht="14.25">
      <c r="A145" s="7" t="s">
        <v>1395</v>
      </c>
      <c r="B145" s="124"/>
      <c r="C145" s="123" t="s">
        <v>3633</v>
      </c>
      <c r="D145" s="124">
        <v>12</v>
      </c>
      <c r="E145" s="124" t="s">
        <v>176</v>
      </c>
      <c r="F145" s="125">
        <v>500000</v>
      </c>
      <c r="G145" s="125">
        <f>ROUNDDOWN(D145*F145,-3)</f>
        <v>6000000</v>
      </c>
      <c r="H145" s="154" t="b">
        <f t="shared" si="3"/>
        <v>1</v>
      </c>
    </row>
    <row r="146" spans="1:8" ht="14.25">
      <c r="A146" s="7" t="s">
        <v>1397</v>
      </c>
      <c r="B146" s="60">
        <v>524111</v>
      </c>
      <c r="C146" s="41" t="s">
        <v>19</v>
      </c>
      <c r="D146" s="60"/>
      <c r="E146" s="60"/>
      <c r="F146" s="42"/>
      <c r="G146" s="42">
        <f>G147</f>
        <v>18000000</v>
      </c>
      <c r="H146" s="154" t="b">
        <f t="shared" si="3"/>
        <v>1</v>
      </c>
    </row>
    <row r="147" spans="1:8" ht="14.25">
      <c r="A147" s="7" t="s">
        <v>1398</v>
      </c>
      <c r="B147" s="124"/>
      <c r="C147" s="123" t="s">
        <v>3634</v>
      </c>
      <c r="D147" s="124">
        <v>6</v>
      </c>
      <c r="E147" s="124" t="s">
        <v>10</v>
      </c>
      <c r="F147" s="125">
        <v>3000000</v>
      </c>
      <c r="G147" s="125">
        <f>ROUNDDOWN(D147*F147,-3)</f>
        <v>18000000</v>
      </c>
      <c r="H147" s="154" t="b">
        <f t="shared" si="3"/>
        <v>1</v>
      </c>
    </row>
    <row r="148" spans="1:8" ht="14.25">
      <c r="A148" s="7" t="s">
        <v>1400</v>
      </c>
      <c r="B148" s="60">
        <v>524113</v>
      </c>
      <c r="C148" s="41" t="s">
        <v>13</v>
      </c>
      <c r="D148" s="60"/>
      <c r="E148" s="60"/>
      <c r="F148" s="42"/>
      <c r="G148" s="42">
        <f>G149</f>
        <v>2100000</v>
      </c>
      <c r="H148" s="154" t="b">
        <f t="shared" si="3"/>
        <v>1</v>
      </c>
    </row>
    <row r="149" spans="1:8" ht="14.25">
      <c r="A149" s="7" t="s">
        <v>1401</v>
      </c>
      <c r="B149" s="124"/>
      <c r="C149" s="123" t="s">
        <v>3635</v>
      </c>
      <c r="D149" s="124">
        <v>14</v>
      </c>
      <c r="E149" s="124" t="s">
        <v>10</v>
      </c>
      <c r="F149" s="125">
        <v>150000</v>
      </c>
      <c r="G149" s="125">
        <f>ROUNDDOWN(D149*F149,-3)</f>
        <v>2100000</v>
      </c>
      <c r="H149" s="154" t="b">
        <f t="shared" si="3"/>
        <v>1</v>
      </c>
    </row>
    <row r="150" spans="1:8" ht="14.25">
      <c r="A150" s="7" t="s">
        <v>1403</v>
      </c>
      <c r="B150" s="59" t="s">
        <v>511</v>
      </c>
      <c r="C150" s="38" t="s">
        <v>150</v>
      </c>
      <c r="D150" s="59"/>
      <c r="E150" s="59"/>
      <c r="F150" s="39"/>
      <c r="G150" s="39">
        <f>SUM(G151,G154,G156,G158)</f>
        <v>571380000</v>
      </c>
      <c r="H150" s="154" t="b">
        <f t="shared" si="3"/>
        <v>1</v>
      </c>
    </row>
    <row r="151" spans="1:8" ht="14.25">
      <c r="A151" s="7" t="s">
        <v>1404</v>
      </c>
      <c r="B151" s="60">
        <v>521211</v>
      </c>
      <c r="C151" s="41" t="s">
        <v>7</v>
      </c>
      <c r="D151" s="60"/>
      <c r="E151" s="60"/>
      <c r="F151" s="42"/>
      <c r="G151" s="42">
        <f>SUM(G152:G153)</f>
        <v>10000000</v>
      </c>
      <c r="H151" s="154" t="b">
        <f t="shared" si="3"/>
        <v>1</v>
      </c>
    </row>
    <row r="152" spans="1:8" ht="14.25">
      <c r="A152" s="7" t="s">
        <v>1405</v>
      </c>
      <c r="B152" s="124"/>
      <c r="C152" s="123" t="s">
        <v>3595</v>
      </c>
      <c r="D152" s="124">
        <v>4</v>
      </c>
      <c r="E152" s="124" t="s">
        <v>9</v>
      </c>
      <c r="F152" s="125">
        <v>1500000</v>
      </c>
      <c r="G152" s="125">
        <f>ROUNDDOWN(D152*F152,-3)</f>
        <v>6000000</v>
      </c>
      <c r="H152" s="154" t="b">
        <f t="shared" si="3"/>
        <v>1</v>
      </c>
    </row>
    <row r="153" spans="1:8" ht="14.25">
      <c r="A153" s="7" t="s">
        <v>1406</v>
      </c>
      <c r="B153" s="124"/>
      <c r="C153" s="123" t="s">
        <v>3596</v>
      </c>
      <c r="D153" s="124">
        <v>4</v>
      </c>
      <c r="E153" s="124" t="s">
        <v>9</v>
      </c>
      <c r="F153" s="125">
        <v>1000000</v>
      </c>
      <c r="G153" s="125">
        <f>ROUNDDOWN(D153*F153,-3)</f>
        <v>4000000</v>
      </c>
      <c r="H153" s="154" t="b">
        <f t="shared" si="3"/>
        <v>1</v>
      </c>
    </row>
    <row r="154" spans="1:8" ht="14.25">
      <c r="A154" s="7" t="s">
        <v>1407</v>
      </c>
      <c r="B154" s="60">
        <v>521219</v>
      </c>
      <c r="C154" s="41" t="s">
        <v>53</v>
      </c>
      <c r="D154" s="60"/>
      <c r="E154" s="60"/>
      <c r="F154" s="42"/>
      <c r="G154" s="42">
        <f>G155</f>
        <v>7800000</v>
      </c>
      <c r="H154" s="154" t="b">
        <f t="shared" si="3"/>
        <v>1</v>
      </c>
    </row>
    <row r="155" spans="1:8" ht="14.25">
      <c r="A155" s="7" t="s">
        <v>1408</v>
      </c>
      <c r="B155" s="124"/>
      <c r="C155" s="123" t="s">
        <v>3610</v>
      </c>
      <c r="D155" s="124">
        <v>12</v>
      </c>
      <c r="E155" s="124" t="s">
        <v>66</v>
      </c>
      <c r="F155" s="125">
        <v>650000</v>
      </c>
      <c r="G155" s="125">
        <f>ROUNDDOWN(D155*F155,-3)</f>
        <v>7800000</v>
      </c>
      <c r="H155" s="154" t="b">
        <f t="shared" si="3"/>
        <v>1</v>
      </c>
    </row>
    <row r="156" spans="1:8" ht="14.25">
      <c r="A156" s="7" t="s">
        <v>1409</v>
      </c>
      <c r="B156" s="60">
        <v>522192</v>
      </c>
      <c r="C156" s="41" t="s">
        <v>24</v>
      </c>
      <c r="D156" s="60"/>
      <c r="E156" s="60"/>
      <c r="F156" s="42"/>
      <c r="G156" s="42">
        <f>G157</f>
        <v>39080000</v>
      </c>
      <c r="H156" s="154" t="b">
        <f t="shared" si="3"/>
        <v>1</v>
      </c>
    </row>
    <row r="157" spans="1:8" ht="14.25">
      <c r="A157" s="7" t="s">
        <v>1410</v>
      </c>
      <c r="B157" s="124"/>
      <c r="C157" s="123" t="s">
        <v>3636</v>
      </c>
      <c r="D157" s="124">
        <v>80</v>
      </c>
      <c r="E157" s="124" t="s">
        <v>25</v>
      </c>
      <c r="F157" s="125">
        <v>488500</v>
      </c>
      <c r="G157" s="125">
        <f>ROUNDDOWN(D157*F157,-3)</f>
        <v>39080000</v>
      </c>
      <c r="H157" s="154" t="b">
        <f t="shared" si="3"/>
        <v>1</v>
      </c>
    </row>
    <row r="158" spans="1:8" ht="14.25">
      <c r="A158" s="7" t="s">
        <v>1412</v>
      </c>
      <c r="B158" s="60">
        <v>524111</v>
      </c>
      <c r="C158" s="41" t="s">
        <v>19</v>
      </c>
      <c r="D158" s="60"/>
      <c r="E158" s="60"/>
      <c r="F158" s="42"/>
      <c r="G158" s="42">
        <f>SUM(G159:G160)</f>
        <v>514500000</v>
      </c>
      <c r="H158" s="154" t="b">
        <f t="shared" si="3"/>
        <v>1</v>
      </c>
    </row>
    <row r="159" spans="1:8" ht="14.25">
      <c r="A159" s="7" t="s">
        <v>1413</v>
      </c>
      <c r="B159" s="124"/>
      <c r="C159" s="123" t="s">
        <v>3637</v>
      </c>
      <c r="D159" s="124">
        <v>55</v>
      </c>
      <c r="E159" s="124" t="s">
        <v>10</v>
      </c>
      <c r="F159" s="125">
        <v>6075000</v>
      </c>
      <c r="G159" s="125">
        <f>ROUNDDOWN(D159*F159,-3)</f>
        <v>334125000</v>
      </c>
      <c r="H159" s="154" t="b">
        <f t="shared" si="3"/>
        <v>1</v>
      </c>
    </row>
    <row r="160" spans="1:8" ht="25.5">
      <c r="A160" s="7" t="s">
        <v>1415</v>
      </c>
      <c r="B160" s="124"/>
      <c r="C160" s="123" t="s">
        <v>3638</v>
      </c>
      <c r="D160" s="124">
        <v>30</v>
      </c>
      <c r="E160" s="124" t="s">
        <v>776</v>
      </c>
      <c r="F160" s="125">
        <v>6012500</v>
      </c>
      <c r="G160" s="125">
        <f>ROUNDDOWN(D160*F160,-3)</f>
        <v>180375000</v>
      </c>
      <c r="H160" s="154" t="b">
        <f t="shared" si="3"/>
        <v>1</v>
      </c>
    </row>
    <row r="161" spans="1:8" ht="25.5">
      <c r="A161" s="7" t="s">
        <v>1417</v>
      </c>
      <c r="B161" s="59" t="s">
        <v>512</v>
      </c>
      <c r="C161" s="38" t="s">
        <v>1418</v>
      </c>
      <c r="D161" s="59"/>
      <c r="E161" s="59"/>
      <c r="F161" s="39"/>
      <c r="G161" s="39">
        <f>SUM(G162,G168,G170,G172)</f>
        <v>83500000</v>
      </c>
      <c r="H161" s="154" t="b">
        <f t="shared" si="3"/>
        <v>1</v>
      </c>
    </row>
    <row r="162" spans="1:8" ht="14.25">
      <c r="A162" s="7" t="s">
        <v>1419</v>
      </c>
      <c r="B162" s="60">
        <v>521211</v>
      </c>
      <c r="C162" s="41" t="s">
        <v>7</v>
      </c>
      <c r="D162" s="60"/>
      <c r="E162" s="60"/>
      <c r="F162" s="42"/>
      <c r="G162" s="42">
        <f>SUM(G163:G167)</f>
        <v>46000000</v>
      </c>
      <c r="H162" s="154" t="b">
        <f t="shared" si="3"/>
        <v>1</v>
      </c>
    </row>
    <row r="163" spans="1:8" ht="14.25">
      <c r="A163" s="7" t="s">
        <v>1420</v>
      </c>
      <c r="B163" s="124"/>
      <c r="C163" s="123" t="s">
        <v>3639</v>
      </c>
      <c r="D163" s="124">
        <v>500</v>
      </c>
      <c r="E163" s="124" t="s">
        <v>1422</v>
      </c>
      <c r="F163" s="125">
        <v>36000</v>
      </c>
      <c r="G163" s="125">
        <f>ROUNDDOWN(D163*F163,-3)</f>
        <v>18000000</v>
      </c>
      <c r="H163" s="154" t="b">
        <f t="shared" si="3"/>
        <v>1</v>
      </c>
    </row>
    <row r="164" spans="1:8" ht="14.25">
      <c r="A164" s="7" t="s">
        <v>1423</v>
      </c>
      <c r="B164" s="124"/>
      <c r="C164" s="123" t="s">
        <v>3602</v>
      </c>
      <c r="D164" s="124">
        <v>4</v>
      </c>
      <c r="E164" s="124" t="s">
        <v>9</v>
      </c>
      <c r="F164" s="125">
        <v>1500000</v>
      </c>
      <c r="G164" s="125">
        <f>ROUNDDOWN(D164*F164,-3)</f>
        <v>6000000</v>
      </c>
      <c r="H164" s="154" t="b">
        <f t="shared" si="3"/>
        <v>1</v>
      </c>
    </row>
    <row r="165" spans="1:8" ht="14.25">
      <c r="A165" s="7" t="s">
        <v>1424</v>
      </c>
      <c r="B165" s="124"/>
      <c r="C165" s="123" t="s">
        <v>3588</v>
      </c>
      <c r="D165" s="124">
        <v>4</v>
      </c>
      <c r="E165" s="124" t="s">
        <v>9</v>
      </c>
      <c r="F165" s="125">
        <v>1000000</v>
      </c>
      <c r="G165" s="125">
        <f>ROUNDDOWN(D165*F165,-3)</f>
        <v>4000000</v>
      </c>
      <c r="H165" s="154" t="b">
        <f t="shared" si="3"/>
        <v>1</v>
      </c>
    </row>
    <row r="166" spans="1:8" ht="14.25">
      <c r="A166" s="7" t="s">
        <v>1425</v>
      </c>
      <c r="B166" s="124"/>
      <c r="C166" s="123" t="s">
        <v>3589</v>
      </c>
      <c r="D166" s="124">
        <v>4</v>
      </c>
      <c r="E166" s="124" t="s">
        <v>9</v>
      </c>
      <c r="F166" s="125">
        <v>1500000</v>
      </c>
      <c r="G166" s="125">
        <f>ROUNDDOWN(D166*F166,-3)</f>
        <v>6000000</v>
      </c>
      <c r="H166" s="154" t="b">
        <f t="shared" si="3"/>
        <v>1</v>
      </c>
    </row>
    <row r="167" spans="1:8" ht="14.25">
      <c r="A167" s="7" t="s">
        <v>1426</v>
      </c>
      <c r="B167" s="124"/>
      <c r="C167" s="123" t="s">
        <v>3640</v>
      </c>
      <c r="D167" s="124">
        <v>24</v>
      </c>
      <c r="E167" s="124" t="s">
        <v>176</v>
      </c>
      <c r="F167" s="125">
        <v>500000</v>
      </c>
      <c r="G167" s="125">
        <f>ROUNDDOWN(D167*F167,-3)</f>
        <v>12000000</v>
      </c>
      <c r="H167" s="154" t="b">
        <f t="shared" si="3"/>
        <v>1</v>
      </c>
    </row>
    <row r="168" spans="1:8" ht="14.25">
      <c r="A168" s="7" t="s">
        <v>1428</v>
      </c>
      <c r="B168" s="60">
        <v>522141</v>
      </c>
      <c r="C168" s="41" t="s">
        <v>95</v>
      </c>
      <c r="D168" s="60"/>
      <c r="E168" s="60"/>
      <c r="F168" s="42"/>
      <c r="G168" s="42">
        <f>G169</f>
        <v>6000000</v>
      </c>
      <c r="H168" s="154" t="b">
        <f t="shared" si="3"/>
        <v>1</v>
      </c>
    </row>
    <row r="169" spans="1:8" ht="14.25">
      <c r="A169" s="7" t="s">
        <v>1429</v>
      </c>
      <c r="B169" s="124"/>
      <c r="C169" s="123" t="s">
        <v>3641</v>
      </c>
      <c r="D169" s="124">
        <v>4</v>
      </c>
      <c r="E169" s="124" t="s">
        <v>149</v>
      </c>
      <c r="F169" s="125">
        <v>1500000</v>
      </c>
      <c r="G169" s="125">
        <f>ROUNDDOWN(D169*F169,-3)</f>
        <v>6000000</v>
      </c>
      <c r="H169" s="154" t="b">
        <f t="shared" si="3"/>
        <v>1</v>
      </c>
    </row>
    <row r="170" spans="1:8" ht="14.25">
      <c r="A170" s="7" t="s">
        <v>1431</v>
      </c>
      <c r="B170" s="60">
        <v>524111</v>
      </c>
      <c r="C170" s="41" t="s">
        <v>19</v>
      </c>
      <c r="D170" s="60"/>
      <c r="E170" s="60"/>
      <c r="F170" s="42"/>
      <c r="G170" s="42">
        <f>G171</f>
        <v>27000000</v>
      </c>
      <c r="H170" s="154" t="b">
        <f t="shared" si="3"/>
        <v>1</v>
      </c>
    </row>
    <row r="171" spans="1:8" ht="25.5">
      <c r="A171" s="7" t="s">
        <v>1432</v>
      </c>
      <c r="B171" s="124"/>
      <c r="C171" s="123" t="s">
        <v>3642</v>
      </c>
      <c r="D171" s="124">
        <v>9</v>
      </c>
      <c r="E171" s="124" t="s">
        <v>10</v>
      </c>
      <c r="F171" s="125">
        <v>3000000</v>
      </c>
      <c r="G171" s="125">
        <f>ROUNDDOWN(D171*F171,-3)</f>
        <v>27000000</v>
      </c>
      <c r="H171" s="154" t="b">
        <f t="shared" si="3"/>
        <v>1</v>
      </c>
    </row>
    <row r="172" spans="1:8" ht="14.25">
      <c r="A172" s="7" t="s">
        <v>1434</v>
      </c>
      <c r="B172" s="60">
        <v>524113</v>
      </c>
      <c r="C172" s="41" t="s">
        <v>13</v>
      </c>
      <c r="D172" s="60"/>
      <c r="E172" s="60"/>
      <c r="F172" s="42"/>
      <c r="G172" s="42">
        <f>G173</f>
        <v>4500000</v>
      </c>
      <c r="H172" s="154" t="b">
        <f t="shared" si="3"/>
        <v>1</v>
      </c>
    </row>
    <row r="173" spans="1:8" ht="14.25">
      <c r="A173" s="7" t="s">
        <v>1435</v>
      </c>
      <c r="B173" s="124"/>
      <c r="C173" s="123" t="s">
        <v>3643</v>
      </c>
      <c r="D173" s="124">
        <v>30</v>
      </c>
      <c r="E173" s="124" t="s">
        <v>10</v>
      </c>
      <c r="F173" s="125">
        <v>150000</v>
      </c>
      <c r="G173" s="125">
        <f>ROUNDDOWN(D173*F173,-3)</f>
        <v>4500000</v>
      </c>
      <c r="H173" s="154" t="b">
        <f t="shared" si="3"/>
        <v>1</v>
      </c>
    </row>
    <row r="174" spans="1:8" ht="25.5">
      <c r="A174" s="7" t="s">
        <v>1437</v>
      </c>
      <c r="B174" s="59" t="s">
        <v>514</v>
      </c>
      <c r="C174" s="38" t="s">
        <v>151</v>
      </c>
      <c r="D174" s="59"/>
      <c r="E174" s="59"/>
      <c r="F174" s="39"/>
      <c r="G174" s="39">
        <f>SUM(G175,G180,G182)</f>
        <v>101050000</v>
      </c>
      <c r="H174" s="154" t="b">
        <f t="shared" si="3"/>
        <v>1</v>
      </c>
    </row>
    <row r="175" spans="1:8" ht="14.25">
      <c r="A175" s="7" t="s">
        <v>1438</v>
      </c>
      <c r="B175" s="60">
        <v>521211</v>
      </c>
      <c r="C175" s="41" t="s">
        <v>7</v>
      </c>
      <c r="D175" s="60"/>
      <c r="E175" s="60"/>
      <c r="F175" s="42"/>
      <c r="G175" s="42">
        <f>SUM(G176:G179)</f>
        <v>28000000</v>
      </c>
      <c r="H175" s="154" t="b">
        <f t="shared" si="3"/>
        <v>1</v>
      </c>
    </row>
    <row r="176" spans="1:8" ht="14.25">
      <c r="A176" s="7" t="s">
        <v>1439</v>
      </c>
      <c r="B176" s="124"/>
      <c r="C176" s="123" t="s">
        <v>3595</v>
      </c>
      <c r="D176" s="124">
        <v>4</v>
      </c>
      <c r="E176" s="124" t="s">
        <v>9</v>
      </c>
      <c r="F176" s="125">
        <v>1000000</v>
      </c>
      <c r="G176" s="125">
        <f>ROUNDDOWN(D176*F176,-3)</f>
        <v>4000000</v>
      </c>
      <c r="H176" s="154" t="b">
        <f t="shared" si="3"/>
        <v>1</v>
      </c>
    </row>
    <row r="177" spans="1:8" ht="14.25">
      <c r="A177" s="7" t="s">
        <v>1440</v>
      </c>
      <c r="B177" s="124"/>
      <c r="C177" s="123" t="s">
        <v>3596</v>
      </c>
      <c r="D177" s="124">
        <v>4</v>
      </c>
      <c r="E177" s="124" t="s">
        <v>9</v>
      </c>
      <c r="F177" s="125">
        <v>1500000</v>
      </c>
      <c r="G177" s="125">
        <f>ROUNDDOWN(D177*F177,-3)</f>
        <v>6000000</v>
      </c>
      <c r="H177" s="154" t="b">
        <f t="shared" si="3"/>
        <v>1</v>
      </c>
    </row>
    <row r="178" spans="1:8" ht="14.25">
      <c r="A178" s="7" t="s">
        <v>1441</v>
      </c>
      <c r="B178" s="124"/>
      <c r="C178" s="123" t="s">
        <v>3597</v>
      </c>
      <c r="D178" s="124">
        <v>4</v>
      </c>
      <c r="E178" s="124" t="s">
        <v>9</v>
      </c>
      <c r="F178" s="125">
        <v>1500000</v>
      </c>
      <c r="G178" s="125">
        <f>ROUNDDOWN(D178*F178,-3)</f>
        <v>6000000</v>
      </c>
      <c r="H178" s="154" t="b">
        <f t="shared" si="3"/>
        <v>1</v>
      </c>
    </row>
    <row r="179" spans="1:8" ht="14.25">
      <c r="A179" s="7" t="s">
        <v>1442</v>
      </c>
      <c r="B179" s="124"/>
      <c r="C179" s="123" t="s">
        <v>3644</v>
      </c>
      <c r="D179" s="124">
        <v>24</v>
      </c>
      <c r="E179" s="124" t="s">
        <v>176</v>
      </c>
      <c r="F179" s="125">
        <v>500000</v>
      </c>
      <c r="G179" s="125">
        <f>ROUNDDOWN(D179*F179,-3)</f>
        <v>12000000</v>
      </c>
      <c r="H179" s="154" t="b">
        <f t="shared" si="3"/>
        <v>1</v>
      </c>
    </row>
    <row r="180" spans="1:8" ht="14.25">
      <c r="A180" s="7" t="s">
        <v>1443</v>
      </c>
      <c r="B180" s="60">
        <v>524111</v>
      </c>
      <c r="C180" s="41" t="s">
        <v>19</v>
      </c>
      <c r="D180" s="60"/>
      <c r="E180" s="60"/>
      <c r="F180" s="42"/>
      <c r="G180" s="42">
        <f>G181</f>
        <v>71250000</v>
      </c>
      <c r="H180" s="154" t="b">
        <f t="shared" si="3"/>
        <v>1</v>
      </c>
    </row>
    <row r="181" spans="1:8" ht="25.5">
      <c r="A181" s="7" t="s">
        <v>1444</v>
      </c>
      <c r="B181" s="124"/>
      <c r="C181" s="123" t="s">
        <v>3645</v>
      </c>
      <c r="D181" s="124">
        <v>15</v>
      </c>
      <c r="E181" s="124" t="s">
        <v>10</v>
      </c>
      <c r="F181" s="125">
        <v>4750000</v>
      </c>
      <c r="G181" s="125">
        <f>ROUNDDOWN(D181*F181,-3)</f>
        <v>71250000</v>
      </c>
      <c r="H181" s="154" t="b">
        <f t="shared" si="3"/>
        <v>1</v>
      </c>
    </row>
    <row r="182" spans="1:8" ht="14.25">
      <c r="A182" s="7" t="s">
        <v>1446</v>
      </c>
      <c r="B182" s="60">
        <v>524113</v>
      </c>
      <c r="C182" s="41" t="s">
        <v>13</v>
      </c>
      <c r="D182" s="60"/>
      <c r="E182" s="60"/>
      <c r="F182" s="42"/>
      <c r="G182" s="42">
        <f>G183</f>
        <v>1800000</v>
      </c>
      <c r="H182" s="154" t="b">
        <f t="shared" si="3"/>
        <v>1</v>
      </c>
    </row>
    <row r="183" spans="1:8" ht="14.25">
      <c r="A183" s="7" t="s">
        <v>1447</v>
      </c>
      <c r="B183" s="124"/>
      <c r="C183" s="123" t="s">
        <v>3643</v>
      </c>
      <c r="D183" s="124">
        <v>12</v>
      </c>
      <c r="E183" s="124" t="s">
        <v>10</v>
      </c>
      <c r="F183" s="125">
        <v>150000</v>
      </c>
      <c r="G183" s="125">
        <f>ROUNDDOWN(D183*F183,-3)</f>
        <v>1800000</v>
      </c>
      <c r="H183" s="154" t="b">
        <f t="shared" si="3"/>
        <v>1</v>
      </c>
    </row>
    <row r="184" spans="1:8" ht="14.25">
      <c r="A184" s="7" t="s">
        <v>1448</v>
      </c>
      <c r="B184" s="59" t="s">
        <v>519</v>
      </c>
      <c r="C184" s="38" t="s">
        <v>152</v>
      </c>
      <c r="D184" s="59"/>
      <c r="E184" s="59"/>
      <c r="F184" s="39"/>
      <c r="G184" s="39">
        <f>SUM(G185,G190,G194,G196,G198)</f>
        <v>388472000</v>
      </c>
      <c r="H184" s="154" t="b">
        <f t="shared" si="3"/>
        <v>1</v>
      </c>
    </row>
    <row r="185" spans="1:8" ht="14.25">
      <c r="A185" s="7" t="s">
        <v>1449</v>
      </c>
      <c r="B185" s="60">
        <v>521211</v>
      </c>
      <c r="C185" s="41" t="s">
        <v>7</v>
      </c>
      <c r="D185" s="60"/>
      <c r="E185" s="60"/>
      <c r="F185" s="42"/>
      <c r="G185" s="42">
        <f>SUM(G186:G189)</f>
        <v>46000000</v>
      </c>
      <c r="H185" s="154" t="b">
        <f t="shared" si="3"/>
        <v>1</v>
      </c>
    </row>
    <row r="186" spans="1:8" ht="14.25">
      <c r="A186" s="7" t="s">
        <v>1450</v>
      </c>
      <c r="B186" s="124"/>
      <c r="C186" s="123" t="s">
        <v>3587</v>
      </c>
      <c r="D186" s="124">
        <v>4</v>
      </c>
      <c r="E186" s="124" t="s">
        <v>9</v>
      </c>
      <c r="F186" s="125">
        <v>1500000</v>
      </c>
      <c r="G186" s="125">
        <f>ROUNDDOWN(D186*F186,-3)</f>
        <v>6000000</v>
      </c>
      <c r="H186" s="154" t="b">
        <f t="shared" si="3"/>
        <v>1</v>
      </c>
    </row>
    <row r="187" spans="1:8" ht="14.25">
      <c r="A187" s="7" t="s">
        <v>1451</v>
      </c>
      <c r="B187" s="124"/>
      <c r="C187" s="123" t="s">
        <v>3598</v>
      </c>
      <c r="D187" s="124">
        <v>4</v>
      </c>
      <c r="E187" s="124" t="s">
        <v>9</v>
      </c>
      <c r="F187" s="125">
        <v>1000000</v>
      </c>
      <c r="G187" s="125">
        <f>ROUNDDOWN(D187*F187,-3)</f>
        <v>4000000</v>
      </c>
      <c r="H187" s="154" t="b">
        <f t="shared" si="3"/>
        <v>1</v>
      </c>
    </row>
    <row r="188" spans="1:8" ht="14.25">
      <c r="A188" s="7" t="s">
        <v>1452</v>
      </c>
      <c r="B188" s="124"/>
      <c r="C188" s="123" t="s">
        <v>3599</v>
      </c>
      <c r="D188" s="124">
        <v>4</v>
      </c>
      <c r="E188" s="124" t="s">
        <v>9</v>
      </c>
      <c r="F188" s="125">
        <v>1500000</v>
      </c>
      <c r="G188" s="125">
        <f>ROUNDDOWN(D188*F188,-3)</f>
        <v>6000000</v>
      </c>
      <c r="H188" s="154" t="b">
        <f t="shared" si="3"/>
        <v>1</v>
      </c>
    </row>
    <row r="189" spans="1:8" ht="25.5">
      <c r="A189" s="7" t="s">
        <v>1453</v>
      </c>
      <c r="B189" s="124"/>
      <c r="C189" s="123" t="s">
        <v>3646</v>
      </c>
      <c r="D189" s="124">
        <v>60</v>
      </c>
      <c r="E189" s="124" t="s">
        <v>176</v>
      </c>
      <c r="F189" s="125">
        <v>500000</v>
      </c>
      <c r="G189" s="125">
        <f>ROUNDDOWN(D189*F189,-3)</f>
        <v>30000000</v>
      </c>
      <c r="H189" s="154" t="b">
        <f t="shared" si="3"/>
        <v>1</v>
      </c>
    </row>
    <row r="190" spans="1:8" ht="25.5">
      <c r="A190" s="7" t="s">
        <v>1455</v>
      </c>
      <c r="B190" s="60">
        <v>521241</v>
      </c>
      <c r="C190" s="41" t="s">
        <v>642</v>
      </c>
      <c r="D190" s="60"/>
      <c r="E190" s="60"/>
      <c r="F190" s="42"/>
      <c r="G190" s="42">
        <f>SUM(G191:G193)</f>
        <v>249600000</v>
      </c>
      <c r="H190" s="154" t="b">
        <f t="shared" si="3"/>
        <v>1</v>
      </c>
    </row>
    <row r="191" spans="1:8" ht="14.25">
      <c r="A191" s="7" t="s">
        <v>1456</v>
      </c>
      <c r="B191" s="124"/>
      <c r="C191" s="123" t="s">
        <v>3647</v>
      </c>
      <c r="D191" s="124">
        <v>720</v>
      </c>
      <c r="E191" s="124" t="s">
        <v>32</v>
      </c>
      <c r="F191" s="125">
        <v>200000</v>
      </c>
      <c r="G191" s="125">
        <f>ROUNDDOWN(D191*F191,-3)</f>
        <v>144000000</v>
      </c>
      <c r="H191" s="154" t="b">
        <f t="shared" si="3"/>
        <v>1</v>
      </c>
    </row>
    <row r="192" spans="1:8" ht="25.5">
      <c r="A192" s="7" t="s">
        <v>1458</v>
      </c>
      <c r="B192" s="124"/>
      <c r="C192" s="123" t="s">
        <v>3648</v>
      </c>
      <c r="D192" s="124">
        <v>360</v>
      </c>
      <c r="E192" s="124" t="s">
        <v>776</v>
      </c>
      <c r="F192" s="125">
        <v>280000</v>
      </c>
      <c r="G192" s="125">
        <f>ROUNDDOWN(D192*F192,-3)</f>
        <v>100800000</v>
      </c>
      <c r="H192" s="154" t="b">
        <f t="shared" si="3"/>
        <v>1</v>
      </c>
    </row>
    <row r="193" spans="1:8" ht="14.25">
      <c r="A193" s="7" t="s">
        <v>1460</v>
      </c>
      <c r="B193" s="124"/>
      <c r="C193" s="123" t="s">
        <v>3649</v>
      </c>
      <c r="D193" s="124">
        <v>12</v>
      </c>
      <c r="E193" s="124" t="s">
        <v>32</v>
      </c>
      <c r="F193" s="125">
        <v>400000</v>
      </c>
      <c r="G193" s="125">
        <f>ROUNDDOWN(D193*F193,-3)</f>
        <v>4800000</v>
      </c>
      <c r="H193" s="154" t="b">
        <f t="shared" si="3"/>
        <v>1</v>
      </c>
    </row>
    <row r="194" spans="1:8" ht="14.25">
      <c r="A194" s="7" t="s">
        <v>1462</v>
      </c>
      <c r="B194" s="60">
        <v>522192</v>
      </c>
      <c r="C194" s="41" t="s">
        <v>24</v>
      </c>
      <c r="D194" s="60"/>
      <c r="E194" s="60"/>
      <c r="F194" s="42"/>
      <c r="G194" s="42">
        <f>G195</f>
        <v>48000000</v>
      </c>
      <c r="H194" s="154" t="b">
        <f t="shared" si="3"/>
        <v>1</v>
      </c>
    </row>
    <row r="195" spans="1:8" ht="14.25">
      <c r="A195" s="7" t="s">
        <v>1463</v>
      </c>
      <c r="B195" s="124"/>
      <c r="C195" s="123" t="s">
        <v>3636</v>
      </c>
      <c r="D195" s="124">
        <v>480</v>
      </c>
      <c r="E195" s="124" t="s">
        <v>25</v>
      </c>
      <c r="F195" s="125">
        <v>100000</v>
      </c>
      <c r="G195" s="125">
        <f>ROUNDDOWN(D195*F195,-3)</f>
        <v>48000000</v>
      </c>
      <c r="H195" s="154" t="b">
        <f t="shared" si="3"/>
        <v>1</v>
      </c>
    </row>
    <row r="196" spans="1:8" ht="14.25">
      <c r="A196" s="7" t="s">
        <v>1464</v>
      </c>
      <c r="B196" s="60">
        <v>524111</v>
      </c>
      <c r="C196" s="41" t="s">
        <v>19</v>
      </c>
      <c r="D196" s="60"/>
      <c r="E196" s="60"/>
      <c r="F196" s="42"/>
      <c r="G196" s="42">
        <f>G197</f>
        <v>42772000</v>
      </c>
      <c r="H196" s="154" t="b">
        <f t="shared" si="3"/>
        <v>1</v>
      </c>
    </row>
    <row r="197" spans="1:8" ht="14.25">
      <c r="A197" s="7" t="s">
        <v>1465</v>
      </c>
      <c r="B197" s="124"/>
      <c r="C197" s="123" t="s">
        <v>3650</v>
      </c>
      <c r="D197" s="124">
        <v>10</v>
      </c>
      <c r="E197" s="124" t="s">
        <v>10</v>
      </c>
      <c r="F197" s="125">
        <v>4277200</v>
      </c>
      <c r="G197" s="125">
        <f>ROUNDDOWN(D197*F197,-3)</f>
        <v>42772000</v>
      </c>
      <c r="H197" s="154" t="b">
        <f t="shared" si="3"/>
        <v>1</v>
      </c>
    </row>
    <row r="198" spans="1:8" ht="14.25">
      <c r="A198" s="7" t="s">
        <v>1467</v>
      </c>
      <c r="B198" s="60">
        <v>524113</v>
      </c>
      <c r="C198" s="41" t="s">
        <v>13</v>
      </c>
      <c r="D198" s="60"/>
      <c r="E198" s="60"/>
      <c r="F198" s="42"/>
      <c r="G198" s="42">
        <f>G199</f>
        <v>2100000</v>
      </c>
      <c r="H198" s="154" t="b">
        <f t="shared" si="3"/>
        <v>1</v>
      </c>
    </row>
    <row r="199" spans="1:8" ht="14.25">
      <c r="A199" s="7" t="s">
        <v>1468</v>
      </c>
      <c r="B199" s="124"/>
      <c r="C199" s="123" t="s">
        <v>3643</v>
      </c>
      <c r="D199" s="124">
        <v>14</v>
      </c>
      <c r="E199" s="124" t="s">
        <v>10</v>
      </c>
      <c r="F199" s="125">
        <v>150000</v>
      </c>
      <c r="G199" s="125">
        <f>ROUNDDOWN(D199*F199,-3)</f>
        <v>2100000</v>
      </c>
      <c r="H199" s="154" t="b">
        <f t="shared" si="3"/>
        <v>1</v>
      </c>
    </row>
    <row r="200" spans="1:8" ht="25.5">
      <c r="A200" s="7" t="s">
        <v>1469</v>
      </c>
      <c r="B200" s="59" t="s">
        <v>578</v>
      </c>
      <c r="C200" s="38" t="s">
        <v>154</v>
      </c>
      <c r="D200" s="59"/>
      <c r="E200" s="59"/>
      <c r="F200" s="39"/>
      <c r="G200" s="39">
        <f>SUM(G201,G205,G210,G212,G214)</f>
        <v>450000000</v>
      </c>
      <c r="H200" s="154" t="b">
        <f t="shared" si="3"/>
        <v>1</v>
      </c>
    </row>
    <row r="201" spans="1:8" ht="14.25">
      <c r="A201" s="7" t="s">
        <v>1470</v>
      </c>
      <c r="B201" s="60">
        <v>521211</v>
      </c>
      <c r="C201" s="41" t="s">
        <v>7</v>
      </c>
      <c r="D201" s="60"/>
      <c r="E201" s="60"/>
      <c r="F201" s="42"/>
      <c r="G201" s="42">
        <f>SUM(G202:G204)</f>
        <v>32000000</v>
      </c>
      <c r="H201" s="154" t="b">
        <f t="shared" si="3"/>
        <v>1</v>
      </c>
    </row>
    <row r="202" spans="1:8" ht="14.25">
      <c r="A202" s="7" t="s">
        <v>1471</v>
      </c>
      <c r="B202" s="124"/>
      <c r="C202" s="123" t="s">
        <v>3587</v>
      </c>
      <c r="D202" s="124">
        <v>8</v>
      </c>
      <c r="E202" s="124" t="s">
        <v>9</v>
      </c>
      <c r="F202" s="125">
        <v>1500000</v>
      </c>
      <c r="G202" s="125">
        <f>ROUNDDOWN(D202*F202,-3)</f>
        <v>12000000</v>
      </c>
      <c r="H202" s="154" t="b">
        <f t="shared" si="3"/>
        <v>1</v>
      </c>
    </row>
    <row r="203" spans="1:8" ht="14.25">
      <c r="A203" s="7" t="s">
        <v>1472</v>
      </c>
      <c r="B203" s="124"/>
      <c r="C203" s="123" t="s">
        <v>3598</v>
      </c>
      <c r="D203" s="124">
        <v>8</v>
      </c>
      <c r="E203" s="124" t="s">
        <v>9</v>
      </c>
      <c r="F203" s="125">
        <v>1000000</v>
      </c>
      <c r="G203" s="125">
        <f>ROUNDDOWN(D203*F203,-3)</f>
        <v>8000000</v>
      </c>
      <c r="H203" s="154" t="b">
        <f t="shared" si="3"/>
        <v>1</v>
      </c>
    </row>
    <row r="204" spans="1:8" ht="14.25">
      <c r="A204" s="7" t="s">
        <v>1473</v>
      </c>
      <c r="B204" s="124"/>
      <c r="C204" s="123" t="s">
        <v>3599</v>
      </c>
      <c r="D204" s="124">
        <v>8</v>
      </c>
      <c r="E204" s="124" t="s">
        <v>9</v>
      </c>
      <c r="F204" s="125">
        <v>1500000</v>
      </c>
      <c r="G204" s="125">
        <f>ROUNDDOWN(D204*F204,-3)</f>
        <v>12000000</v>
      </c>
      <c r="H204" s="154" t="b">
        <f t="shared" si="3"/>
        <v>1</v>
      </c>
    </row>
    <row r="205" spans="1:8" ht="14.25">
      <c r="A205" s="7" t="s">
        <v>1474</v>
      </c>
      <c r="B205" s="60">
        <v>521219</v>
      </c>
      <c r="C205" s="41" t="s">
        <v>53</v>
      </c>
      <c r="D205" s="60"/>
      <c r="E205" s="60"/>
      <c r="F205" s="42"/>
      <c r="G205" s="42">
        <f>SUM(G206:G209)</f>
        <v>298141000</v>
      </c>
      <c r="H205" s="154" t="b">
        <f t="shared" ref="H205:H268" si="4">_xlfn.ISFORMULA(G205)</f>
        <v>1</v>
      </c>
    </row>
    <row r="206" spans="1:8" ht="14.25">
      <c r="A206" s="7" t="s">
        <v>1475</v>
      </c>
      <c r="B206" s="124"/>
      <c r="C206" s="123" t="s">
        <v>3651</v>
      </c>
      <c r="D206" s="124">
        <v>40</v>
      </c>
      <c r="E206" s="124" t="s">
        <v>10</v>
      </c>
      <c r="F206" s="125">
        <v>1000000</v>
      </c>
      <c r="G206" s="125">
        <f>ROUNDDOWN(D206*F206,-3)</f>
        <v>40000000</v>
      </c>
      <c r="H206" s="154" t="b">
        <f t="shared" si="4"/>
        <v>1</v>
      </c>
    </row>
    <row r="207" spans="1:8" ht="14.25">
      <c r="A207" s="7" t="s">
        <v>1477</v>
      </c>
      <c r="B207" s="124"/>
      <c r="C207" s="123" t="s">
        <v>3652</v>
      </c>
      <c r="D207" s="124">
        <v>30</v>
      </c>
      <c r="E207" s="124" t="s">
        <v>776</v>
      </c>
      <c r="F207" s="125">
        <v>8000000</v>
      </c>
      <c r="G207" s="125">
        <f>ROUNDDOWN(D207*F207,-3)</f>
        <v>240000000</v>
      </c>
      <c r="H207" s="154" t="b">
        <f t="shared" si="4"/>
        <v>1</v>
      </c>
    </row>
    <row r="208" spans="1:8" ht="25.5">
      <c r="A208" s="7" t="s">
        <v>1479</v>
      </c>
      <c r="B208" s="124"/>
      <c r="C208" s="123" t="s">
        <v>3653</v>
      </c>
      <c r="D208" s="124">
        <v>400</v>
      </c>
      <c r="E208" s="124" t="s">
        <v>10</v>
      </c>
      <c r="F208" s="125">
        <v>15000</v>
      </c>
      <c r="G208" s="125">
        <f>ROUNDDOWN(D208*F208,-3)</f>
        <v>6000000</v>
      </c>
      <c r="H208" s="154" t="b">
        <f t="shared" si="4"/>
        <v>1</v>
      </c>
    </row>
    <row r="209" spans="1:8" ht="14.25">
      <c r="A209" s="7" t="s">
        <v>1481</v>
      </c>
      <c r="B209" s="124"/>
      <c r="C209" s="123" t="s">
        <v>3654</v>
      </c>
      <c r="D209" s="124">
        <v>1</v>
      </c>
      <c r="E209" s="124" t="s">
        <v>60</v>
      </c>
      <c r="F209" s="125">
        <v>12141000</v>
      </c>
      <c r="G209" s="125">
        <f>ROUNDDOWN(D209*F209,-3)</f>
        <v>12141000</v>
      </c>
      <c r="H209" s="154" t="b">
        <f t="shared" si="4"/>
        <v>1</v>
      </c>
    </row>
    <row r="210" spans="1:8" ht="14.25">
      <c r="A210" s="7" t="s">
        <v>1483</v>
      </c>
      <c r="B210" s="60">
        <v>522151</v>
      </c>
      <c r="C210" s="41" t="s">
        <v>11</v>
      </c>
      <c r="D210" s="60"/>
      <c r="E210" s="60"/>
      <c r="F210" s="42"/>
      <c r="G210" s="42">
        <f>G211</f>
        <v>30000000</v>
      </c>
      <c r="H210" s="154" t="b">
        <f t="shared" si="4"/>
        <v>1</v>
      </c>
    </row>
    <row r="211" spans="1:8" ht="14.25">
      <c r="A211" s="7" t="s">
        <v>1484</v>
      </c>
      <c r="B211" s="124"/>
      <c r="C211" s="123" t="s">
        <v>3603</v>
      </c>
      <c r="D211" s="124">
        <v>30</v>
      </c>
      <c r="E211" s="124" t="s">
        <v>54</v>
      </c>
      <c r="F211" s="125">
        <v>1000000</v>
      </c>
      <c r="G211" s="125">
        <f>ROUNDDOWN(D211*F211,-3)</f>
        <v>30000000</v>
      </c>
      <c r="H211" s="154" t="b">
        <f t="shared" si="4"/>
        <v>1</v>
      </c>
    </row>
    <row r="212" spans="1:8" ht="14.25">
      <c r="A212" s="7" t="s">
        <v>1485</v>
      </c>
      <c r="B212" s="60">
        <v>522192</v>
      </c>
      <c r="C212" s="41" t="s">
        <v>24</v>
      </c>
      <c r="D212" s="60"/>
      <c r="E212" s="60"/>
      <c r="F212" s="42"/>
      <c r="G212" s="42">
        <f>G213</f>
        <v>8000000</v>
      </c>
      <c r="H212" s="154" t="b">
        <f t="shared" si="4"/>
        <v>1</v>
      </c>
    </row>
    <row r="213" spans="1:8" ht="14.25">
      <c r="A213" s="7" t="s">
        <v>1486</v>
      </c>
      <c r="B213" s="124"/>
      <c r="C213" s="123" t="s">
        <v>3623</v>
      </c>
      <c r="D213" s="124">
        <v>1</v>
      </c>
      <c r="E213" s="124" t="s">
        <v>60</v>
      </c>
      <c r="F213" s="125">
        <v>8000000</v>
      </c>
      <c r="G213" s="125">
        <f>ROUNDDOWN(D213*F213,-3)</f>
        <v>8000000</v>
      </c>
      <c r="H213" s="154" t="b">
        <f t="shared" si="4"/>
        <v>1</v>
      </c>
    </row>
    <row r="214" spans="1:8" ht="14.25">
      <c r="A214" s="7" t="s">
        <v>1487</v>
      </c>
      <c r="B214" s="60">
        <v>524111</v>
      </c>
      <c r="C214" s="41" t="s">
        <v>19</v>
      </c>
      <c r="D214" s="60"/>
      <c r="E214" s="60"/>
      <c r="F214" s="42"/>
      <c r="G214" s="42">
        <f>G215</f>
        <v>81859000</v>
      </c>
      <c r="H214" s="154" t="b">
        <f t="shared" si="4"/>
        <v>1</v>
      </c>
    </row>
    <row r="215" spans="1:8" ht="25.5">
      <c r="A215" s="7" t="s">
        <v>1488</v>
      </c>
      <c r="B215" s="124"/>
      <c r="C215" s="123" t="s">
        <v>3655</v>
      </c>
      <c r="D215" s="124">
        <v>32</v>
      </c>
      <c r="E215" s="124" t="s">
        <v>10</v>
      </c>
      <c r="F215" s="125">
        <v>2558095</v>
      </c>
      <c r="G215" s="125">
        <f>ROUNDDOWN(D215*F215,-3)</f>
        <v>81859000</v>
      </c>
      <c r="H215" s="154" t="b">
        <f t="shared" si="4"/>
        <v>1</v>
      </c>
    </row>
    <row r="216" spans="1:8" ht="14.25">
      <c r="A216" s="7" t="s">
        <v>1490</v>
      </c>
      <c r="B216" s="59" t="s">
        <v>579</v>
      </c>
      <c r="C216" s="38" t="s">
        <v>56</v>
      </c>
      <c r="D216" s="59"/>
      <c r="E216" s="59"/>
      <c r="F216" s="39"/>
      <c r="G216" s="39">
        <f>SUM(G217,G222,G224,G226)</f>
        <v>350000000</v>
      </c>
      <c r="H216" s="154" t="b">
        <f t="shared" si="4"/>
        <v>1</v>
      </c>
    </row>
    <row r="217" spans="1:8" ht="14.25">
      <c r="A217" s="7" t="s">
        <v>1491</v>
      </c>
      <c r="B217" s="60">
        <v>521211</v>
      </c>
      <c r="C217" s="41" t="s">
        <v>7</v>
      </c>
      <c r="D217" s="60"/>
      <c r="E217" s="60"/>
      <c r="F217" s="42"/>
      <c r="G217" s="42">
        <f>SUM(G218:G221)</f>
        <v>31000000</v>
      </c>
      <c r="H217" s="154" t="b">
        <f t="shared" si="4"/>
        <v>1</v>
      </c>
    </row>
    <row r="218" spans="1:8" ht="14.25">
      <c r="A218" s="7" t="s">
        <v>1492</v>
      </c>
      <c r="B218" s="124"/>
      <c r="C218" s="123" t="s">
        <v>3601</v>
      </c>
      <c r="D218" s="124">
        <v>300</v>
      </c>
      <c r="E218" s="124" t="s">
        <v>10</v>
      </c>
      <c r="F218" s="125">
        <v>75000</v>
      </c>
      <c r="G218" s="125">
        <f>ROUNDDOWN(D218*F218,-3)</f>
        <v>22500000</v>
      </c>
      <c r="H218" s="154" t="b">
        <f t="shared" si="4"/>
        <v>1</v>
      </c>
    </row>
    <row r="219" spans="1:8" ht="14.25">
      <c r="A219" s="7" t="s">
        <v>1493</v>
      </c>
      <c r="B219" s="124"/>
      <c r="C219" s="123" t="s">
        <v>3602</v>
      </c>
      <c r="D219" s="124">
        <v>1</v>
      </c>
      <c r="E219" s="124" t="s">
        <v>9</v>
      </c>
      <c r="F219" s="125">
        <v>1000000</v>
      </c>
      <c r="G219" s="125">
        <f>ROUNDDOWN(D219*F219,-3)</f>
        <v>1000000</v>
      </c>
      <c r="H219" s="154" t="b">
        <f t="shared" si="4"/>
        <v>1</v>
      </c>
    </row>
    <row r="220" spans="1:8" ht="14.25">
      <c r="A220" s="7" t="s">
        <v>1494</v>
      </c>
      <c r="B220" s="124"/>
      <c r="C220" s="123" t="s">
        <v>3588</v>
      </c>
      <c r="D220" s="124">
        <v>3</v>
      </c>
      <c r="E220" s="124" t="s">
        <v>9</v>
      </c>
      <c r="F220" s="125">
        <v>1000000</v>
      </c>
      <c r="G220" s="125">
        <f>ROUNDDOWN(D220*F220,-3)</f>
        <v>3000000</v>
      </c>
      <c r="H220" s="154" t="b">
        <f t="shared" si="4"/>
        <v>1</v>
      </c>
    </row>
    <row r="221" spans="1:8" ht="14.25">
      <c r="A221" s="7" t="s">
        <v>1495</v>
      </c>
      <c r="B221" s="124"/>
      <c r="C221" s="123" t="s">
        <v>3589</v>
      </c>
      <c r="D221" s="124">
        <v>3</v>
      </c>
      <c r="E221" s="124" t="s">
        <v>9</v>
      </c>
      <c r="F221" s="125">
        <v>1500000</v>
      </c>
      <c r="G221" s="125">
        <f>ROUNDDOWN(D221*F221,-3)</f>
        <v>4500000</v>
      </c>
      <c r="H221" s="154" t="b">
        <f t="shared" si="4"/>
        <v>1</v>
      </c>
    </row>
    <row r="222" spans="1:8" ht="14.25">
      <c r="A222" s="7" t="s">
        <v>1496</v>
      </c>
      <c r="B222" s="60">
        <v>521219</v>
      </c>
      <c r="C222" s="41" t="s">
        <v>53</v>
      </c>
      <c r="D222" s="60"/>
      <c r="E222" s="60"/>
      <c r="F222" s="42"/>
      <c r="G222" s="42">
        <f>G223</f>
        <v>3000000</v>
      </c>
      <c r="H222" s="154" t="b">
        <f t="shared" si="4"/>
        <v>1</v>
      </c>
    </row>
    <row r="223" spans="1:8" ht="14.25">
      <c r="A223" s="7" t="s">
        <v>1497</v>
      </c>
      <c r="B223" s="124"/>
      <c r="C223" s="123" t="s">
        <v>3610</v>
      </c>
      <c r="D223" s="124">
        <v>12</v>
      </c>
      <c r="E223" s="124" t="s">
        <v>78</v>
      </c>
      <c r="F223" s="125">
        <v>250000</v>
      </c>
      <c r="G223" s="125">
        <f>ROUNDDOWN(D223*F223,-3)</f>
        <v>3000000</v>
      </c>
      <c r="H223" s="154" t="b">
        <f t="shared" si="4"/>
        <v>1</v>
      </c>
    </row>
    <row r="224" spans="1:8" ht="14.25">
      <c r="A224" s="7" t="s">
        <v>1498</v>
      </c>
      <c r="B224" s="60">
        <v>522151</v>
      </c>
      <c r="C224" s="41" t="s">
        <v>11</v>
      </c>
      <c r="D224" s="60"/>
      <c r="E224" s="60"/>
      <c r="F224" s="42"/>
      <c r="G224" s="42">
        <f>G225</f>
        <v>70000000</v>
      </c>
      <c r="H224" s="154" t="b">
        <f t="shared" si="4"/>
        <v>1</v>
      </c>
    </row>
    <row r="225" spans="1:8" ht="14.25">
      <c r="A225" s="7" t="s">
        <v>1499</v>
      </c>
      <c r="B225" s="124"/>
      <c r="C225" s="123" t="s">
        <v>3656</v>
      </c>
      <c r="D225" s="124">
        <v>70</v>
      </c>
      <c r="E225" s="124" t="s">
        <v>12</v>
      </c>
      <c r="F225" s="125">
        <v>1000000</v>
      </c>
      <c r="G225" s="125">
        <f>ROUNDDOWN(D225*F225,-3)</f>
        <v>70000000</v>
      </c>
      <c r="H225" s="154" t="b">
        <f t="shared" si="4"/>
        <v>1</v>
      </c>
    </row>
    <row r="226" spans="1:8" ht="14.25">
      <c r="A226" s="7" t="s">
        <v>1501</v>
      </c>
      <c r="B226" s="60">
        <v>524111</v>
      </c>
      <c r="C226" s="41" t="s">
        <v>19</v>
      </c>
      <c r="D226" s="60"/>
      <c r="E226" s="60"/>
      <c r="F226" s="42"/>
      <c r="G226" s="42">
        <f>G227</f>
        <v>246000000</v>
      </c>
      <c r="H226" s="154" t="b">
        <f t="shared" si="4"/>
        <v>1</v>
      </c>
    </row>
    <row r="227" spans="1:8" ht="14.25">
      <c r="A227" s="7" t="s">
        <v>1502</v>
      </c>
      <c r="B227" s="124"/>
      <c r="C227" s="123" t="s">
        <v>3657</v>
      </c>
      <c r="D227" s="124">
        <v>39</v>
      </c>
      <c r="E227" s="124" t="s">
        <v>10</v>
      </c>
      <c r="F227" s="125">
        <v>6307694</v>
      </c>
      <c r="G227" s="125">
        <f>ROUNDDOWN(D227*F227,-3)</f>
        <v>246000000</v>
      </c>
      <c r="H227" s="154" t="b">
        <f t="shared" si="4"/>
        <v>1</v>
      </c>
    </row>
    <row r="228" spans="1:8" ht="25.5">
      <c r="A228" s="7" t="s">
        <v>1504</v>
      </c>
      <c r="B228" s="59" t="s">
        <v>580</v>
      </c>
      <c r="C228" s="38" t="s">
        <v>1505</v>
      </c>
      <c r="D228" s="59"/>
      <c r="E228" s="59"/>
      <c r="F228" s="39"/>
      <c r="G228" s="39">
        <f>SUM(G229,G239,G242,G246)</f>
        <v>668000000</v>
      </c>
      <c r="H228" s="154" t="b">
        <f t="shared" si="4"/>
        <v>1</v>
      </c>
    </row>
    <row r="229" spans="1:8" ht="14.25">
      <c r="A229" s="7" t="s">
        <v>1506</v>
      </c>
      <c r="B229" s="60">
        <v>521211</v>
      </c>
      <c r="C229" s="41" t="s">
        <v>7</v>
      </c>
      <c r="D229" s="60"/>
      <c r="E229" s="60"/>
      <c r="F229" s="42"/>
      <c r="G229" s="42">
        <f>SUM(G230:G238)</f>
        <v>84800000</v>
      </c>
      <c r="H229" s="154" t="b">
        <f t="shared" si="4"/>
        <v>1</v>
      </c>
    </row>
    <row r="230" spans="1:8" ht="14.25">
      <c r="A230" s="7" t="s">
        <v>1507</v>
      </c>
      <c r="B230" s="124"/>
      <c r="C230" s="123" t="s">
        <v>3601</v>
      </c>
      <c r="D230" s="124">
        <v>50</v>
      </c>
      <c r="E230" s="124" t="s">
        <v>10</v>
      </c>
      <c r="F230" s="125">
        <v>75000</v>
      </c>
      <c r="G230" s="125">
        <f t="shared" ref="G230:G238" si="5">ROUNDDOWN(D230*F230,-3)</f>
        <v>3750000</v>
      </c>
      <c r="H230" s="154" t="b">
        <f t="shared" si="4"/>
        <v>1</v>
      </c>
    </row>
    <row r="231" spans="1:8" ht="14.25">
      <c r="A231" s="7" t="s">
        <v>1508</v>
      </c>
      <c r="B231" s="124"/>
      <c r="C231" s="123" t="s">
        <v>3602</v>
      </c>
      <c r="D231" s="124">
        <v>2</v>
      </c>
      <c r="E231" s="124" t="s">
        <v>9</v>
      </c>
      <c r="F231" s="125">
        <v>1000000</v>
      </c>
      <c r="G231" s="125">
        <f t="shared" si="5"/>
        <v>2000000</v>
      </c>
      <c r="H231" s="154" t="b">
        <f t="shared" si="4"/>
        <v>1</v>
      </c>
    </row>
    <row r="232" spans="1:8" ht="14.25">
      <c r="A232" s="7" t="s">
        <v>1509</v>
      </c>
      <c r="B232" s="124"/>
      <c r="C232" s="123" t="s">
        <v>3588</v>
      </c>
      <c r="D232" s="124">
        <v>2</v>
      </c>
      <c r="E232" s="124" t="s">
        <v>9</v>
      </c>
      <c r="F232" s="125">
        <v>1000000</v>
      </c>
      <c r="G232" s="125">
        <f t="shared" si="5"/>
        <v>2000000</v>
      </c>
      <c r="H232" s="154" t="b">
        <f t="shared" si="4"/>
        <v>1</v>
      </c>
    </row>
    <row r="233" spans="1:8" ht="14.25">
      <c r="A233" s="7" t="s">
        <v>1510</v>
      </c>
      <c r="B233" s="124"/>
      <c r="C233" s="123" t="s">
        <v>3589</v>
      </c>
      <c r="D233" s="124">
        <v>2</v>
      </c>
      <c r="E233" s="124" t="s">
        <v>9</v>
      </c>
      <c r="F233" s="125">
        <v>1500000</v>
      </c>
      <c r="G233" s="125">
        <f t="shared" si="5"/>
        <v>3000000</v>
      </c>
      <c r="H233" s="154" t="b">
        <f t="shared" si="4"/>
        <v>1</v>
      </c>
    </row>
    <row r="234" spans="1:8" ht="14.25">
      <c r="A234" s="7" t="s">
        <v>1511</v>
      </c>
      <c r="B234" s="124"/>
      <c r="C234" s="123" t="s">
        <v>3658</v>
      </c>
      <c r="D234" s="124">
        <v>20</v>
      </c>
      <c r="E234" s="124" t="s">
        <v>58</v>
      </c>
      <c r="F234" s="125">
        <v>450000</v>
      </c>
      <c r="G234" s="125">
        <f t="shared" si="5"/>
        <v>9000000</v>
      </c>
      <c r="H234" s="154" t="b">
        <f t="shared" si="4"/>
        <v>1</v>
      </c>
    </row>
    <row r="235" spans="1:8" ht="14.25">
      <c r="A235" s="7" t="s">
        <v>1513</v>
      </c>
      <c r="B235" s="124"/>
      <c r="C235" s="123" t="s">
        <v>3659</v>
      </c>
      <c r="D235" s="124">
        <v>20</v>
      </c>
      <c r="E235" s="124" t="s">
        <v>58</v>
      </c>
      <c r="F235" s="125">
        <v>450000</v>
      </c>
      <c r="G235" s="125">
        <f t="shared" si="5"/>
        <v>9000000</v>
      </c>
      <c r="H235" s="154" t="b">
        <f t="shared" si="4"/>
        <v>1</v>
      </c>
    </row>
    <row r="236" spans="1:8" ht="14.25">
      <c r="A236" s="7" t="s">
        <v>1515</v>
      </c>
      <c r="B236" s="124"/>
      <c r="C236" s="123" t="s">
        <v>3660</v>
      </c>
      <c r="D236" s="124">
        <v>1</v>
      </c>
      <c r="E236" s="124" t="s">
        <v>23</v>
      </c>
      <c r="F236" s="125">
        <v>27575000</v>
      </c>
      <c r="G236" s="125">
        <f t="shared" si="5"/>
        <v>27575000</v>
      </c>
      <c r="H236" s="154" t="b">
        <f t="shared" si="4"/>
        <v>1</v>
      </c>
    </row>
    <row r="237" spans="1:8" ht="14.25">
      <c r="A237" s="7" t="s">
        <v>1517</v>
      </c>
      <c r="B237" s="124"/>
      <c r="C237" s="123" t="s">
        <v>3661</v>
      </c>
      <c r="D237" s="124">
        <v>1</v>
      </c>
      <c r="E237" s="124" t="s">
        <v>23</v>
      </c>
      <c r="F237" s="125">
        <v>27575000</v>
      </c>
      <c r="G237" s="125">
        <f t="shared" si="5"/>
        <v>27575000</v>
      </c>
      <c r="H237" s="154" t="b">
        <f t="shared" si="4"/>
        <v>1</v>
      </c>
    </row>
    <row r="238" spans="1:8" ht="14.25">
      <c r="A238" s="7" t="s">
        <v>1519</v>
      </c>
      <c r="B238" s="124"/>
      <c r="C238" s="123" t="s">
        <v>3662</v>
      </c>
      <c r="D238" s="124">
        <v>3</v>
      </c>
      <c r="E238" s="124" t="s">
        <v>58</v>
      </c>
      <c r="F238" s="125">
        <v>300000</v>
      </c>
      <c r="G238" s="125">
        <f t="shared" si="5"/>
        <v>900000</v>
      </c>
      <c r="H238" s="154" t="b">
        <f t="shared" si="4"/>
        <v>1</v>
      </c>
    </row>
    <row r="239" spans="1:8" ht="14.25">
      <c r="A239" s="7" t="s">
        <v>1521</v>
      </c>
      <c r="B239" s="60">
        <v>521219</v>
      </c>
      <c r="C239" s="41" t="s">
        <v>53</v>
      </c>
      <c r="D239" s="60"/>
      <c r="E239" s="60"/>
      <c r="F239" s="42"/>
      <c r="G239" s="42">
        <f>SUM(G240:G241)</f>
        <v>393200000</v>
      </c>
      <c r="H239" s="154" t="b">
        <f t="shared" si="4"/>
        <v>1</v>
      </c>
    </row>
    <row r="240" spans="1:8" ht="14.25">
      <c r="A240" s="7" t="s">
        <v>1522</v>
      </c>
      <c r="B240" s="124"/>
      <c r="C240" s="123" t="s">
        <v>3663</v>
      </c>
      <c r="D240" s="124">
        <v>1</v>
      </c>
      <c r="E240" s="124" t="s">
        <v>66</v>
      </c>
      <c r="F240" s="125">
        <v>196600000</v>
      </c>
      <c r="G240" s="125">
        <f>ROUNDDOWN(D240*F240,-3)</f>
        <v>196600000</v>
      </c>
      <c r="H240" s="154" t="b">
        <f t="shared" si="4"/>
        <v>1</v>
      </c>
    </row>
    <row r="241" spans="1:8" ht="14.25">
      <c r="A241" s="7" t="s">
        <v>1524</v>
      </c>
      <c r="B241" s="124"/>
      <c r="C241" s="123" t="s">
        <v>3664</v>
      </c>
      <c r="D241" s="124">
        <v>1</v>
      </c>
      <c r="E241" s="124" t="s">
        <v>66</v>
      </c>
      <c r="F241" s="125">
        <v>196600000</v>
      </c>
      <c r="G241" s="125">
        <f>ROUNDDOWN(D241*F241,-3)</f>
        <v>196600000</v>
      </c>
      <c r="H241" s="154" t="b">
        <f t="shared" si="4"/>
        <v>1</v>
      </c>
    </row>
    <row r="242" spans="1:8" ht="14.25">
      <c r="A242" s="7" t="s">
        <v>1526</v>
      </c>
      <c r="B242" s="60">
        <v>522141</v>
      </c>
      <c r="C242" s="41" t="s">
        <v>95</v>
      </c>
      <c r="D242" s="60"/>
      <c r="E242" s="60"/>
      <c r="F242" s="42"/>
      <c r="G242" s="42">
        <f>SUM(G243:G245)</f>
        <v>160000000</v>
      </c>
      <c r="H242" s="154" t="b">
        <f t="shared" si="4"/>
        <v>1</v>
      </c>
    </row>
    <row r="243" spans="1:8" ht="14.25">
      <c r="A243" s="7" t="s">
        <v>1527</v>
      </c>
      <c r="B243" s="124"/>
      <c r="C243" s="123" t="s">
        <v>3665</v>
      </c>
      <c r="D243" s="124">
        <v>2</v>
      </c>
      <c r="E243" s="124" t="s">
        <v>23</v>
      </c>
      <c r="F243" s="125">
        <v>50000000</v>
      </c>
      <c r="G243" s="125">
        <f>ROUNDDOWN(D243*F243,-3)</f>
        <v>100000000</v>
      </c>
      <c r="H243" s="154" t="b">
        <f t="shared" si="4"/>
        <v>1</v>
      </c>
    </row>
    <row r="244" spans="1:8" ht="14.25">
      <c r="A244" s="7" t="s">
        <v>1529</v>
      </c>
      <c r="B244" s="124"/>
      <c r="C244" s="123" t="s">
        <v>3666</v>
      </c>
      <c r="D244" s="124">
        <v>2</v>
      </c>
      <c r="E244" s="124" t="s">
        <v>23</v>
      </c>
      <c r="F244" s="125">
        <v>10000000</v>
      </c>
      <c r="G244" s="125">
        <f>ROUNDDOWN(D244*F244,-3)</f>
        <v>20000000</v>
      </c>
      <c r="H244" s="154" t="b">
        <f t="shared" si="4"/>
        <v>1</v>
      </c>
    </row>
    <row r="245" spans="1:8" ht="14.25">
      <c r="A245" s="7" t="s">
        <v>1531</v>
      </c>
      <c r="B245" s="124"/>
      <c r="C245" s="123" t="s">
        <v>3667</v>
      </c>
      <c r="D245" s="124">
        <v>4</v>
      </c>
      <c r="E245" s="124" t="s">
        <v>23</v>
      </c>
      <c r="F245" s="125">
        <v>10000000</v>
      </c>
      <c r="G245" s="125">
        <f>ROUNDDOWN(D245*F245,-3)</f>
        <v>40000000</v>
      </c>
      <c r="H245" s="154" t="b">
        <f t="shared" si="4"/>
        <v>1</v>
      </c>
    </row>
    <row r="246" spans="1:8" ht="14.25">
      <c r="A246" s="7" t="s">
        <v>1533</v>
      </c>
      <c r="B246" s="60">
        <v>524111</v>
      </c>
      <c r="C246" s="41" t="s">
        <v>19</v>
      </c>
      <c r="D246" s="60"/>
      <c r="E246" s="60"/>
      <c r="F246" s="42"/>
      <c r="G246" s="42">
        <f>G247</f>
        <v>30000000</v>
      </c>
      <c r="H246" s="154" t="b">
        <f t="shared" si="4"/>
        <v>1</v>
      </c>
    </row>
    <row r="247" spans="1:8" ht="25.5">
      <c r="A247" s="7" t="s">
        <v>1534</v>
      </c>
      <c r="B247" s="124"/>
      <c r="C247" s="123" t="s">
        <v>3668</v>
      </c>
      <c r="D247" s="124">
        <v>12</v>
      </c>
      <c r="E247" s="124" t="s">
        <v>10</v>
      </c>
      <c r="F247" s="125">
        <v>2500000</v>
      </c>
      <c r="G247" s="125">
        <f>ROUNDDOWN(D247*F247,-3)</f>
        <v>30000000</v>
      </c>
      <c r="H247" s="154" t="b">
        <f t="shared" si="4"/>
        <v>1</v>
      </c>
    </row>
    <row r="248" spans="1:8" ht="25.5">
      <c r="A248" s="7" t="s">
        <v>1536</v>
      </c>
      <c r="B248" s="59" t="s">
        <v>581</v>
      </c>
      <c r="C248" s="38" t="s">
        <v>1537</v>
      </c>
      <c r="D248" s="59"/>
      <c r="E248" s="59"/>
      <c r="F248" s="39"/>
      <c r="G248" s="39">
        <f>SUM(G249,G257,G259,G261)</f>
        <v>82000000</v>
      </c>
      <c r="H248" s="154" t="b">
        <f t="shared" si="4"/>
        <v>1</v>
      </c>
    </row>
    <row r="249" spans="1:8" ht="14.25">
      <c r="A249" s="7" t="s">
        <v>1538</v>
      </c>
      <c r="B249" s="60">
        <v>521211</v>
      </c>
      <c r="C249" s="41" t="s">
        <v>7</v>
      </c>
      <c r="D249" s="60"/>
      <c r="E249" s="60"/>
      <c r="F249" s="42"/>
      <c r="G249" s="42">
        <f>SUM(G250:G256)</f>
        <v>17550000</v>
      </c>
      <c r="H249" s="154" t="b">
        <f t="shared" si="4"/>
        <v>1</v>
      </c>
    </row>
    <row r="250" spans="1:8" ht="14.25">
      <c r="A250" s="7" t="s">
        <v>1539</v>
      </c>
      <c r="B250" s="124"/>
      <c r="C250" s="123" t="s">
        <v>3601</v>
      </c>
      <c r="D250" s="124">
        <v>20</v>
      </c>
      <c r="E250" s="124" t="s">
        <v>10</v>
      </c>
      <c r="F250" s="125">
        <v>75000</v>
      </c>
      <c r="G250" s="125">
        <f t="shared" ref="G250:G256" si="6">ROUNDDOWN(D250*F250,-3)</f>
        <v>1500000</v>
      </c>
      <c r="H250" s="154" t="b">
        <f t="shared" si="4"/>
        <v>1</v>
      </c>
    </row>
    <row r="251" spans="1:8" ht="14.25">
      <c r="A251" s="7" t="s">
        <v>1540</v>
      </c>
      <c r="B251" s="124"/>
      <c r="C251" s="123" t="s">
        <v>3602</v>
      </c>
      <c r="D251" s="124">
        <v>2</v>
      </c>
      <c r="E251" s="124" t="s">
        <v>9</v>
      </c>
      <c r="F251" s="125">
        <v>1000000</v>
      </c>
      <c r="G251" s="125">
        <f t="shared" si="6"/>
        <v>2000000</v>
      </c>
      <c r="H251" s="154" t="b">
        <f t="shared" si="4"/>
        <v>1</v>
      </c>
    </row>
    <row r="252" spans="1:8" ht="14.25">
      <c r="A252" s="7" t="s">
        <v>1541</v>
      </c>
      <c r="B252" s="124"/>
      <c r="C252" s="123" t="s">
        <v>3588</v>
      </c>
      <c r="D252" s="124">
        <v>2</v>
      </c>
      <c r="E252" s="124" t="s">
        <v>9</v>
      </c>
      <c r="F252" s="125">
        <v>1000000</v>
      </c>
      <c r="G252" s="125">
        <f t="shared" si="6"/>
        <v>2000000</v>
      </c>
      <c r="H252" s="154" t="b">
        <f t="shared" si="4"/>
        <v>1</v>
      </c>
    </row>
    <row r="253" spans="1:8" ht="14.25">
      <c r="A253" s="7" t="s">
        <v>1542</v>
      </c>
      <c r="B253" s="124"/>
      <c r="C253" s="123" t="s">
        <v>3589</v>
      </c>
      <c r="D253" s="124">
        <v>2</v>
      </c>
      <c r="E253" s="124" t="s">
        <v>9</v>
      </c>
      <c r="F253" s="125">
        <v>1500000</v>
      </c>
      <c r="G253" s="125">
        <f t="shared" si="6"/>
        <v>3000000</v>
      </c>
      <c r="H253" s="154" t="b">
        <f t="shared" si="4"/>
        <v>1</v>
      </c>
    </row>
    <row r="254" spans="1:8" ht="14.25">
      <c r="A254" s="7" t="s">
        <v>1543</v>
      </c>
      <c r="B254" s="124"/>
      <c r="C254" s="123" t="s">
        <v>3669</v>
      </c>
      <c r="D254" s="124">
        <v>10</v>
      </c>
      <c r="E254" s="124" t="s">
        <v>58</v>
      </c>
      <c r="F254" s="125">
        <v>250000</v>
      </c>
      <c r="G254" s="125">
        <f t="shared" si="6"/>
        <v>2500000</v>
      </c>
      <c r="H254" s="154" t="b">
        <f t="shared" si="4"/>
        <v>1</v>
      </c>
    </row>
    <row r="255" spans="1:8" ht="14.25">
      <c r="A255" s="7" t="s">
        <v>1545</v>
      </c>
      <c r="B255" s="124"/>
      <c r="C255" s="123" t="s">
        <v>3670</v>
      </c>
      <c r="D255" s="124">
        <v>500</v>
      </c>
      <c r="E255" s="124" t="s">
        <v>58</v>
      </c>
      <c r="F255" s="125">
        <v>6000</v>
      </c>
      <c r="G255" s="125">
        <f t="shared" si="6"/>
        <v>3000000</v>
      </c>
      <c r="H255" s="154" t="b">
        <f t="shared" si="4"/>
        <v>1</v>
      </c>
    </row>
    <row r="256" spans="1:8" ht="14.25">
      <c r="A256" s="7" t="s">
        <v>1547</v>
      </c>
      <c r="B256" s="124"/>
      <c r="C256" s="123" t="s">
        <v>3671</v>
      </c>
      <c r="D256" s="124">
        <v>100</v>
      </c>
      <c r="E256" s="124" t="s">
        <v>58</v>
      </c>
      <c r="F256" s="125">
        <v>35500</v>
      </c>
      <c r="G256" s="125">
        <f t="shared" si="6"/>
        <v>3550000</v>
      </c>
      <c r="H256" s="154" t="b">
        <f t="shared" si="4"/>
        <v>1</v>
      </c>
    </row>
    <row r="257" spans="1:8" ht="14.25">
      <c r="A257" s="7" t="s">
        <v>1549</v>
      </c>
      <c r="B257" s="60">
        <v>521219</v>
      </c>
      <c r="C257" s="41" t="s">
        <v>53</v>
      </c>
      <c r="D257" s="60"/>
      <c r="E257" s="60"/>
      <c r="F257" s="42"/>
      <c r="G257" s="42">
        <f>G258</f>
        <v>3000000</v>
      </c>
      <c r="H257" s="154" t="b">
        <f t="shared" si="4"/>
        <v>1</v>
      </c>
    </row>
    <row r="258" spans="1:8" ht="14.25">
      <c r="A258" s="7" t="s">
        <v>1550</v>
      </c>
      <c r="B258" s="124"/>
      <c r="C258" s="123" t="s">
        <v>3610</v>
      </c>
      <c r="D258" s="124">
        <v>12</v>
      </c>
      <c r="E258" s="124" t="s">
        <v>66</v>
      </c>
      <c r="F258" s="125">
        <v>250000</v>
      </c>
      <c r="G258" s="125">
        <f>ROUNDDOWN(D258*F258,-3)</f>
        <v>3000000</v>
      </c>
      <c r="H258" s="154" t="b">
        <f t="shared" si="4"/>
        <v>1</v>
      </c>
    </row>
    <row r="259" spans="1:8" ht="14.25">
      <c r="A259" s="7" t="s">
        <v>1551</v>
      </c>
      <c r="B259" s="60">
        <v>522151</v>
      </c>
      <c r="C259" s="41" t="s">
        <v>11</v>
      </c>
      <c r="D259" s="60"/>
      <c r="E259" s="60"/>
      <c r="F259" s="42"/>
      <c r="G259" s="42">
        <f>G260</f>
        <v>40000000</v>
      </c>
      <c r="H259" s="154" t="b">
        <f t="shared" si="4"/>
        <v>1</v>
      </c>
    </row>
    <row r="260" spans="1:8" ht="14.25">
      <c r="A260" s="7" t="s">
        <v>1552</v>
      </c>
      <c r="B260" s="124"/>
      <c r="C260" s="123" t="s">
        <v>3656</v>
      </c>
      <c r="D260" s="124">
        <v>40</v>
      </c>
      <c r="E260" s="124" t="s">
        <v>54</v>
      </c>
      <c r="F260" s="125">
        <v>1000000</v>
      </c>
      <c r="G260" s="125">
        <f>ROUNDDOWN(D260*F260,-3)</f>
        <v>40000000</v>
      </c>
      <c r="H260" s="154" t="b">
        <f t="shared" si="4"/>
        <v>1</v>
      </c>
    </row>
    <row r="261" spans="1:8" ht="14.25">
      <c r="A261" s="7" t="s">
        <v>1553</v>
      </c>
      <c r="B261" s="60">
        <v>524111</v>
      </c>
      <c r="C261" s="41" t="s">
        <v>19</v>
      </c>
      <c r="D261" s="60"/>
      <c r="E261" s="60"/>
      <c r="F261" s="42"/>
      <c r="G261" s="42">
        <f>G262</f>
        <v>21450000</v>
      </c>
      <c r="H261" s="154" t="b">
        <f t="shared" si="4"/>
        <v>1</v>
      </c>
    </row>
    <row r="262" spans="1:8" ht="25.5">
      <c r="A262" s="7" t="s">
        <v>1554</v>
      </c>
      <c r="B262" s="124"/>
      <c r="C262" s="123" t="s">
        <v>3672</v>
      </c>
      <c r="D262" s="124">
        <v>10</v>
      </c>
      <c r="E262" s="124" t="s">
        <v>10</v>
      </c>
      <c r="F262" s="125">
        <v>2145000</v>
      </c>
      <c r="G262" s="125">
        <f>ROUNDDOWN(D262*F262,-3)</f>
        <v>21450000</v>
      </c>
      <c r="H262" s="154" t="b">
        <f t="shared" si="4"/>
        <v>1</v>
      </c>
    </row>
    <row r="263" spans="1:8" ht="14.25">
      <c r="A263" s="7" t="s">
        <v>1699</v>
      </c>
      <c r="B263" s="119" t="s">
        <v>3673</v>
      </c>
      <c r="C263" s="118" t="s">
        <v>1701</v>
      </c>
      <c r="D263" s="119">
        <v>1</v>
      </c>
      <c r="E263" s="119" t="s">
        <v>3627</v>
      </c>
      <c r="F263" s="120"/>
      <c r="G263" s="120">
        <f>SUM(G264,G307)</f>
        <v>8674654000</v>
      </c>
      <c r="H263" s="154" t="b">
        <f t="shared" si="4"/>
        <v>1</v>
      </c>
    </row>
    <row r="264" spans="1:8" ht="14.25">
      <c r="A264" s="7" t="s">
        <v>1702</v>
      </c>
      <c r="B264" s="58" t="s">
        <v>501</v>
      </c>
      <c r="C264" s="35" t="s">
        <v>76</v>
      </c>
      <c r="D264" s="58"/>
      <c r="E264" s="58"/>
      <c r="F264" s="36"/>
      <c r="G264" s="36">
        <f>SUM(G265,G304)</f>
        <v>6478996000</v>
      </c>
      <c r="H264" s="154" t="b">
        <f t="shared" si="4"/>
        <v>1</v>
      </c>
    </row>
    <row r="265" spans="1:8" ht="14.25">
      <c r="A265" s="7" t="s">
        <v>1806</v>
      </c>
      <c r="B265" s="59" t="s">
        <v>1807</v>
      </c>
      <c r="C265" s="38" t="s">
        <v>1808</v>
      </c>
      <c r="D265" s="59"/>
      <c r="E265" s="59"/>
      <c r="F265" s="39"/>
      <c r="G265" s="39">
        <f>SUM(G266,G270,G274,G278,G282,G286,G290,G294,G296,G298,G302)</f>
        <v>6155047000</v>
      </c>
      <c r="H265" s="154" t="b">
        <f t="shared" si="4"/>
        <v>1</v>
      </c>
    </row>
    <row r="266" spans="1:8" ht="14.25">
      <c r="A266" s="7" t="s">
        <v>1809</v>
      </c>
      <c r="B266" s="60">
        <v>511111</v>
      </c>
      <c r="C266" s="41" t="s">
        <v>77</v>
      </c>
      <c r="D266" s="60"/>
      <c r="E266" s="60"/>
      <c r="F266" s="42"/>
      <c r="G266" s="42">
        <f>SUM(G267:G269)</f>
        <v>2483477000</v>
      </c>
      <c r="H266" s="154" t="b">
        <f t="shared" si="4"/>
        <v>1</v>
      </c>
    </row>
    <row r="267" spans="1:8" ht="14.25">
      <c r="A267" s="7" t="s">
        <v>1810</v>
      </c>
      <c r="B267" s="124"/>
      <c r="C267" s="123" t="s">
        <v>3674</v>
      </c>
      <c r="D267" s="124">
        <v>1</v>
      </c>
      <c r="E267" s="124" t="s">
        <v>97</v>
      </c>
      <c r="F267" s="125">
        <v>180000000</v>
      </c>
      <c r="G267" s="125">
        <f>ROUNDDOWN(D267*F267,-3)</f>
        <v>180000000</v>
      </c>
      <c r="H267" s="154" t="b">
        <f t="shared" si="4"/>
        <v>1</v>
      </c>
    </row>
    <row r="268" spans="1:8" ht="14.25">
      <c r="A268" s="7" t="s">
        <v>1811</v>
      </c>
      <c r="B268" s="124"/>
      <c r="C268" s="123" t="s">
        <v>3675</v>
      </c>
      <c r="D268" s="124">
        <v>1</v>
      </c>
      <c r="E268" s="124" t="s">
        <v>60</v>
      </c>
      <c r="F268" s="125">
        <v>2123477000</v>
      </c>
      <c r="G268" s="125">
        <f>ROUNDDOWN(D268*F268,-3)</f>
        <v>2123477000</v>
      </c>
      <c r="H268" s="154" t="b">
        <f t="shared" si="4"/>
        <v>1</v>
      </c>
    </row>
    <row r="269" spans="1:8" ht="14.25">
      <c r="A269" s="7" t="s">
        <v>1812</v>
      </c>
      <c r="B269" s="124"/>
      <c r="C269" s="123" t="s">
        <v>3676</v>
      </c>
      <c r="D269" s="124">
        <v>1</v>
      </c>
      <c r="E269" s="124" t="s">
        <v>97</v>
      </c>
      <c r="F269" s="125">
        <v>180000000</v>
      </c>
      <c r="G269" s="125">
        <f>ROUNDDOWN(D269*F269,-3)</f>
        <v>180000000</v>
      </c>
      <c r="H269" s="154" t="b">
        <f t="shared" ref="H269:H332" si="7">_xlfn.ISFORMULA(G269)</f>
        <v>1</v>
      </c>
    </row>
    <row r="270" spans="1:8" ht="14.25">
      <c r="A270" s="7" t="s">
        <v>1813</v>
      </c>
      <c r="B270" s="60">
        <v>511119</v>
      </c>
      <c r="C270" s="41" t="s">
        <v>79</v>
      </c>
      <c r="D270" s="60"/>
      <c r="E270" s="60"/>
      <c r="F270" s="42"/>
      <c r="G270" s="42">
        <f>SUM(G271:G273)</f>
        <v>38000</v>
      </c>
      <c r="H270" s="154" t="b">
        <f t="shared" si="7"/>
        <v>1</v>
      </c>
    </row>
    <row r="271" spans="1:8" ht="14.25">
      <c r="A271" s="7" t="s">
        <v>1814</v>
      </c>
      <c r="B271" s="124"/>
      <c r="C271" s="123" t="s">
        <v>3677</v>
      </c>
      <c r="D271" s="124">
        <v>1</v>
      </c>
      <c r="E271" s="124" t="s">
        <v>97</v>
      </c>
      <c r="F271" s="125">
        <v>3000</v>
      </c>
      <c r="G271" s="125">
        <f>ROUNDDOWN(D271*F271,-3)</f>
        <v>3000</v>
      </c>
      <c r="H271" s="154" t="b">
        <f t="shared" si="7"/>
        <v>1</v>
      </c>
    </row>
    <row r="272" spans="1:8" ht="14.25">
      <c r="A272" s="7" t="s">
        <v>1815</v>
      </c>
      <c r="B272" s="124"/>
      <c r="C272" s="123" t="s">
        <v>3678</v>
      </c>
      <c r="D272" s="124">
        <v>1</v>
      </c>
      <c r="E272" s="124" t="s">
        <v>153</v>
      </c>
      <c r="F272" s="125">
        <v>32000</v>
      </c>
      <c r="G272" s="125">
        <f>ROUNDDOWN(D272*F272,-3)</f>
        <v>32000</v>
      </c>
      <c r="H272" s="154" t="b">
        <f t="shared" si="7"/>
        <v>1</v>
      </c>
    </row>
    <row r="273" spans="1:8" ht="14.25">
      <c r="A273" s="7" t="s">
        <v>1816</v>
      </c>
      <c r="B273" s="124"/>
      <c r="C273" s="123" t="s">
        <v>3679</v>
      </c>
      <c r="D273" s="124">
        <v>1</v>
      </c>
      <c r="E273" s="124" t="s">
        <v>97</v>
      </c>
      <c r="F273" s="125">
        <v>3000</v>
      </c>
      <c r="G273" s="125">
        <f>ROUNDDOWN(D273*F273,-3)</f>
        <v>3000</v>
      </c>
      <c r="H273" s="154" t="b">
        <f t="shared" si="7"/>
        <v>1</v>
      </c>
    </row>
    <row r="274" spans="1:8" ht="14.25">
      <c r="A274" s="7" t="s">
        <v>1817</v>
      </c>
      <c r="B274" s="60">
        <v>511121</v>
      </c>
      <c r="C274" s="41" t="s">
        <v>80</v>
      </c>
      <c r="D274" s="60"/>
      <c r="E274" s="60"/>
      <c r="F274" s="42"/>
      <c r="G274" s="42">
        <f>SUM(G275:G277)</f>
        <v>171959000</v>
      </c>
      <c r="H274" s="154" t="b">
        <f t="shared" si="7"/>
        <v>1</v>
      </c>
    </row>
    <row r="275" spans="1:8" ht="14.25">
      <c r="A275" s="7" t="s">
        <v>1818</v>
      </c>
      <c r="B275" s="124"/>
      <c r="C275" s="123" t="s">
        <v>3680</v>
      </c>
      <c r="D275" s="124">
        <v>1</v>
      </c>
      <c r="E275" s="124" t="s">
        <v>153</v>
      </c>
      <c r="F275" s="125">
        <v>147267000</v>
      </c>
      <c r="G275" s="125">
        <f>ROUNDDOWN(D275*F275,-3)</f>
        <v>147267000</v>
      </c>
      <c r="H275" s="154" t="b">
        <f t="shared" si="7"/>
        <v>1</v>
      </c>
    </row>
    <row r="276" spans="1:8" ht="14.25">
      <c r="A276" s="7" t="s">
        <v>1819</v>
      </c>
      <c r="B276" s="124"/>
      <c r="C276" s="123" t="s">
        <v>3681</v>
      </c>
      <c r="D276" s="124">
        <v>1</v>
      </c>
      <c r="E276" s="124" t="s">
        <v>97</v>
      </c>
      <c r="F276" s="125">
        <v>12494000</v>
      </c>
      <c r="G276" s="125">
        <f>ROUNDDOWN(D276*F276,-3)</f>
        <v>12494000</v>
      </c>
      <c r="H276" s="154" t="b">
        <f t="shared" si="7"/>
        <v>1</v>
      </c>
    </row>
    <row r="277" spans="1:8" ht="14.25">
      <c r="A277" s="7" t="s">
        <v>1820</v>
      </c>
      <c r="B277" s="124"/>
      <c r="C277" s="123" t="s">
        <v>3682</v>
      </c>
      <c r="D277" s="124">
        <v>1</v>
      </c>
      <c r="E277" s="124" t="s">
        <v>97</v>
      </c>
      <c r="F277" s="125">
        <v>12198000</v>
      </c>
      <c r="G277" s="125">
        <f>ROUNDDOWN(D277*F277,-3)</f>
        <v>12198000</v>
      </c>
      <c r="H277" s="154" t="b">
        <f t="shared" si="7"/>
        <v>1</v>
      </c>
    </row>
    <row r="278" spans="1:8" ht="14.25">
      <c r="A278" s="7" t="s">
        <v>1821</v>
      </c>
      <c r="B278" s="60">
        <v>511122</v>
      </c>
      <c r="C278" s="41" t="s">
        <v>81</v>
      </c>
      <c r="D278" s="60"/>
      <c r="E278" s="60"/>
      <c r="F278" s="42"/>
      <c r="G278" s="42">
        <f>SUM(G279:G281)</f>
        <v>46700000</v>
      </c>
      <c r="H278" s="154" t="b">
        <f t="shared" si="7"/>
        <v>1</v>
      </c>
    </row>
    <row r="279" spans="1:8" ht="14.25">
      <c r="A279" s="7" t="s">
        <v>1822</v>
      </c>
      <c r="B279" s="124"/>
      <c r="C279" s="123" t="s">
        <v>3683</v>
      </c>
      <c r="D279" s="124">
        <v>1</v>
      </c>
      <c r="E279" s="124" t="s">
        <v>97</v>
      </c>
      <c r="F279" s="125">
        <v>3282000</v>
      </c>
      <c r="G279" s="125">
        <f>ROUNDDOWN(D279*F279,-3)</f>
        <v>3282000</v>
      </c>
      <c r="H279" s="154" t="b">
        <f t="shared" si="7"/>
        <v>1</v>
      </c>
    </row>
    <row r="280" spans="1:8" ht="14.25">
      <c r="A280" s="7" t="s">
        <v>1823</v>
      </c>
      <c r="B280" s="124"/>
      <c r="C280" s="123" t="s">
        <v>3684</v>
      </c>
      <c r="D280" s="124">
        <v>1</v>
      </c>
      <c r="E280" s="124" t="s">
        <v>153</v>
      </c>
      <c r="F280" s="125">
        <v>40080000</v>
      </c>
      <c r="G280" s="125">
        <f>ROUNDDOWN(D280*F280,-3)</f>
        <v>40080000</v>
      </c>
      <c r="H280" s="154" t="b">
        <f t="shared" si="7"/>
        <v>1</v>
      </c>
    </row>
    <row r="281" spans="1:8" ht="14.25">
      <c r="A281" s="7" t="s">
        <v>1824</v>
      </c>
      <c r="B281" s="124"/>
      <c r="C281" s="123" t="s">
        <v>3685</v>
      </c>
      <c r="D281" s="124">
        <v>1</v>
      </c>
      <c r="E281" s="124" t="s">
        <v>97</v>
      </c>
      <c r="F281" s="125">
        <v>3338000</v>
      </c>
      <c r="G281" s="125">
        <f>ROUNDDOWN(D281*F281,-3)</f>
        <v>3338000</v>
      </c>
      <c r="H281" s="154" t="b">
        <f t="shared" si="7"/>
        <v>1</v>
      </c>
    </row>
    <row r="282" spans="1:8" ht="14.25">
      <c r="A282" s="7" t="s">
        <v>1825</v>
      </c>
      <c r="B282" s="60">
        <v>511123</v>
      </c>
      <c r="C282" s="41" t="s">
        <v>82</v>
      </c>
      <c r="D282" s="60"/>
      <c r="E282" s="60"/>
      <c r="F282" s="42"/>
      <c r="G282" s="42">
        <f>SUM(G283:G285)</f>
        <v>158000000</v>
      </c>
      <c r="H282" s="154" t="b">
        <f t="shared" si="7"/>
        <v>1</v>
      </c>
    </row>
    <row r="283" spans="1:8" ht="14.25">
      <c r="A283" s="7" t="s">
        <v>1826</v>
      </c>
      <c r="B283" s="124"/>
      <c r="C283" s="123" t="s">
        <v>3686</v>
      </c>
      <c r="D283" s="124">
        <v>1</v>
      </c>
      <c r="E283" s="124" t="s">
        <v>97</v>
      </c>
      <c r="F283" s="125">
        <v>12070000</v>
      </c>
      <c r="G283" s="125">
        <f>ROUNDDOWN(D283*F283,-3)</f>
        <v>12070000</v>
      </c>
      <c r="H283" s="154" t="b">
        <f t="shared" si="7"/>
        <v>1</v>
      </c>
    </row>
    <row r="284" spans="1:8" ht="14.25">
      <c r="A284" s="7" t="s">
        <v>1827</v>
      </c>
      <c r="B284" s="124"/>
      <c r="C284" s="123" t="s">
        <v>3687</v>
      </c>
      <c r="D284" s="124">
        <v>1</v>
      </c>
      <c r="E284" s="124" t="s">
        <v>60</v>
      </c>
      <c r="F284" s="125">
        <v>133860000</v>
      </c>
      <c r="G284" s="125">
        <f>ROUNDDOWN(D284*F284,-3)</f>
        <v>133860000</v>
      </c>
      <c r="H284" s="154" t="b">
        <f t="shared" si="7"/>
        <v>1</v>
      </c>
    </row>
    <row r="285" spans="1:8" ht="14.25">
      <c r="A285" s="7" t="s">
        <v>1828</v>
      </c>
      <c r="B285" s="124"/>
      <c r="C285" s="123" t="s">
        <v>3688</v>
      </c>
      <c r="D285" s="124">
        <v>1</v>
      </c>
      <c r="E285" s="124" t="s">
        <v>97</v>
      </c>
      <c r="F285" s="125">
        <v>12070000</v>
      </c>
      <c r="G285" s="125">
        <f>ROUNDDOWN(D285*F285,-3)</f>
        <v>12070000</v>
      </c>
      <c r="H285" s="154" t="b">
        <f t="shared" si="7"/>
        <v>1</v>
      </c>
    </row>
    <row r="286" spans="1:8" ht="14.25">
      <c r="A286" s="7" t="s">
        <v>1829</v>
      </c>
      <c r="B286" s="60">
        <v>511124</v>
      </c>
      <c r="C286" s="41" t="s">
        <v>83</v>
      </c>
      <c r="D286" s="60"/>
      <c r="E286" s="60"/>
      <c r="F286" s="42"/>
      <c r="G286" s="42">
        <f>SUM(G287:G289)</f>
        <v>48180000</v>
      </c>
      <c r="H286" s="154" t="b">
        <f t="shared" si="7"/>
        <v>1</v>
      </c>
    </row>
    <row r="287" spans="1:8" ht="14.25">
      <c r="A287" s="7" t="s">
        <v>1830</v>
      </c>
      <c r="B287" s="124"/>
      <c r="C287" s="123" t="s">
        <v>3689</v>
      </c>
      <c r="D287" s="124">
        <v>1</v>
      </c>
      <c r="E287" s="124" t="s">
        <v>97</v>
      </c>
      <c r="F287" s="125">
        <v>2000000</v>
      </c>
      <c r="G287" s="125">
        <f>ROUNDDOWN(D287*F287,-3)</f>
        <v>2000000</v>
      </c>
      <c r="H287" s="154" t="b">
        <f t="shared" si="7"/>
        <v>1</v>
      </c>
    </row>
    <row r="288" spans="1:8" ht="14.25">
      <c r="A288" s="7" t="s">
        <v>1831</v>
      </c>
      <c r="B288" s="124"/>
      <c r="C288" s="123" t="s">
        <v>3690</v>
      </c>
      <c r="D288" s="124">
        <v>1</v>
      </c>
      <c r="E288" s="124" t="s">
        <v>60</v>
      </c>
      <c r="F288" s="125">
        <v>44180000</v>
      </c>
      <c r="G288" s="125">
        <f>ROUNDDOWN(D288*F288,-3)</f>
        <v>44180000</v>
      </c>
      <c r="H288" s="154" t="b">
        <f t="shared" si="7"/>
        <v>1</v>
      </c>
    </row>
    <row r="289" spans="1:8" ht="14.25">
      <c r="A289" s="7" t="s">
        <v>1832</v>
      </c>
      <c r="B289" s="124"/>
      <c r="C289" s="123" t="s">
        <v>3691</v>
      </c>
      <c r="D289" s="124">
        <v>1</v>
      </c>
      <c r="E289" s="124" t="s">
        <v>97</v>
      </c>
      <c r="F289" s="125">
        <v>2000000</v>
      </c>
      <c r="G289" s="125">
        <f>ROUNDDOWN(D289*F289,-3)</f>
        <v>2000000</v>
      </c>
      <c r="H289" s="154" t="b">
        <f t="shared" si="7"/>
        <v>1</v>
      </c>
    </row>
    <row r="290" spans="1:8" ht="14.25">
      <c r="A290" s="7" t="s">
        <v>1833</v>
      </c>
      <c r="B290" s="60">
        <v>511125</v>
      </c>
      <c r="C290" s="41" t="s">
        <v>84</v>
      </c>
      <c r="D290" s="60"/>
      <c r="E290" s="60"/>
      <c r="F290" s="42"/>
      <c r="G290" s="42">
        <f>SUM(G291:G293)</f>
        <v>13133000</v>
      </c>
      <c r="H290" s="154" t="b">
        <f t="shared" si="7"/>
        <v>1</v>
      </c>
    </row>
    <row r="291" spans="1:8" ht="14.25">
      <c r="A291" s="7" t="s">
        <v>1834</v>
      </c>
      <c r="B291" s="124"/>
      <c r="C291" s="123" t="s">
        <v>3692</v>
      </c>
      <c r="D291" s="124">
        <v>1</v>
      </c>
      <c r="E291" s="124" t="s">
        <v>97</v>
      </c>
      <c r="F291" s="125">
        <v>3360000</v>
      </c>
      <c r="G291" s="125">
        <f>ROUNDDOWN(D291*F291,-3)</f>
        <v>3360000</v>
      </c>
      <c r="H291" s="154" t="b">
        <f t="shared" si="7"/>
        <v>1</v>
      </c>
    </row>
    <row r="292" spans="1:8" ht="14.25">
      <c r="A292" s="7" t="s">
        <v>1835</v>
      </c>
      <c r="B292" s="124"/>
      <c r="C292" s="123" t="s">
        <v>3693</v>
      </c>
      <c r="D292" s="124">
        <v>1</v>
      </c>
      <c r="E292" s="124" t="s">
        <v>153</v>
      </c>
      <c r="F292" s="125">
        <v>6407000</v>
      </c>
      <c r="G292" s="125">
        <f>ROUNDDOWN(D292*F292,-3)</f>
        <v>6407000</v>
      </c>
      <c r="H292" s="154" t="b">
        <f t="shared" si="7"/>
        <v>1</v>
      </c>
    </row>
    <row r="293" spans="1:8" ht="14.25">
      <c r="A293" s="7" t="s">
        <v>1836</v>
      </c>
      <c r="B293" s="124"/>
      <c r="C293" s="123" t="s">
        <v>3694</v>
      </c>
      <c r="D293" s="124">
        <v>1</v>
      </c>
      <c r="E293" s="124" t="s">
        <v>97</v>
      </c>
      <c r="F293" s="125">
        <v>3366000</v>
      </c>
      <c r="G293" s="125">
        <f>ROUNDDOWN(D293*F293,-3)</f>
        <v>3366000</v>
      </c>
      <c r="H293" s="154" t="b">
        <f t="shared" si="7"/>
        <v>1</v>
      </c>
    </row>
    <row r="294" spans="1:8" ht="14.25">
      <c r="A294" s="7" t="s">
        <v>1837</v>
      </c>
      <c r="B294" s="60">
        <v>511126</v>
      </c>
      <c r="C294" s="41" t="s">
        <v>85</v>
      </c>
      <c r="D294" s="60"/>
      <c r="E294" s="60"/>
      <c r="F294" s="42"/>
      <c r="G294" s="42">
        <f>G295</f>
        <v>130333000</v>
      </c>
      <c r="H294" s="154" t="b">
        <f t="shared" si="7"/>
        <v>1</v>
      </c>
    </row>
    <row r="295" spans="1:8" ht="14.25">
      <c r="A295" s="7" t="s">
        <v>1838</v>
      </c>
      <c r="B295" s="124"/>
      <c r="C295" s="123" t="s">
        <v>3695</v>
      </c>
      <c r="D295" s="124">
        <v>1</v>
      </c>
      <c r="E295" s="124" t="s">
        <v>60</v>
      </c>
      <c r="F295" s="125">
        <v>130333000</v>
      </c>
      <c r="G295" s="125">
        <f>ROUNDDOWN(D295*F295,-3)</f>
        <v>130333000</v>
      </c>
      <c r="H295" s="154" t="b">
        <f t="shared" si="7"/>
        <v>1</v>
      </c>
    </row>
    <row r="296" spans="1:8" ht="14.25">
      <c r="A296" s="7" t="s">
        <v>1839</v>
      </c>
      <c r="B296" s="60">
        <v>511129</v>
      </c>
      <c r="C296" s="41" t="s">
        <v>86</v>
      </c>
      <c r="D296" s="60"/>
      <c r="E296" s="60"/>
      <c r="F296" s="42"/>
      <c r="G296" s="42">
        <f>G297</f>
        <v>379379000</v>
      </c>
      <c r="H296" s="154" t="b">
        <f t="shared" si="7"/>
        <v>1</v>
      </c>
    </row>
    <row r="297" spans="1:8" ht="14.25">
      <c r="A297" s="7" t="s">
        <v>1840</v>
      </c>
      <c r="B297" s="124"/>
      <c r="C297" s="123" t="s">
        <v>3696</v>
      </c>
      <c r="D297" s="124">
        <v>1</v>
      </c>
      <c r="E297" s="124" t="s">
        <v>153</v>
      </c>
      <c r="F297" s="125">
        <v>379379000</v>
      </c>
      <c r="G297" s="125">
        <f>ROUNDDOWN(D297*F297,-3)</f>
        <v>379379000</v>
      </c>
      <c r="H297" s="154" t="b">
        <f t="shared" si="7"/>
        <v>1</v>
      </c>
    </row>
    <row r="298" spans="1:8" ht="14.25">
      <c r="A298" s="7" t="s">
        <v>1841</v>
      </c>
      <c r="B298" s="60">
        <v>511151</v>
      </c>
      <c r="C298" s="41" t="s">
        <v>87</v>
      </c>
      <c r="D298" s="60"/>
      <c r="E298" s="60"/>
      <c r="F298" s="42"/>
      <c r="G298" s="42">
        <f>SUM(G299:G301)</f>
        <v>88360000</v>
      </c>
      <c r="H298" s="154" t="b">
        <f t="shared" si="7"/>
        <v>1</v>
      </c>
    </row>
    <row r="299" spans="1:8" ht="14.25">
      <c r="A299" s="7" t="s">
        <v>1842</v>
      </c>
      <c r="B299" s="124"/>
      <c r="C299" s="123" t="s">
        <v>3697</v>
      </c>
      <c r="D299" s="124">
        <v>1</v>
      </c>
      <c r="E299" s="124" t="s">
        <v>97</v>
      </c>
      <c r="F299" s="125">
        <v>6655000</v>
      </c>
      <c r="G299" s="125">
        <f>ROUNDDOWN(D299*F299,-3)</f>
        <v>6655000</v>
      </c>
      <c r="H299" s="154" t="b">
        <f t="shared" si="7"/>
        <v>1</v>
      </c>
    </row>
    <row r="300" spans="1:8" ht="14.25">
      <c r="A300" s="7" t="s">
        <v>1843</v>
      </c>
      <c r="B300" s="124"/>
      <c r="C300" s="123" t="s">
        <v>3698</v>
      </c>
      <c r="D300" s="124">
        <v>1</v>
      </c>
      <c r="E300" s="124" t="s">
        <v>60</v>
      </c>
      <c r="F300" s="125">
        <v>75605000</v>
      </c>
      <c r="G300" s="125">
        <f>ROUNDDOWN(D300*F300,-3)</f>
        <v>75605000</v>
      </c>
      <c r="H300" s="154" t="b">
        <f t="shared" si="7"/>
        <v>1</v>
      </c>
    </row>
    <row r="301" spans="1:8" ht="14.25">
      <c r="A301" s="7" t="s">
        <v>1844</v>
      </c>
      <c r="B301" s="124"/>
      <c r="C301" s="123" t="s">
        <v>3699</v>
      </c>
      <c r="D301" s="124">
        <v>1</v>
      </c>
      <c r="E301" s="124" t="s">
        <v>97</v>
      </c>
      <c r="F301" s="125">
        <v>6100000</v>
      </c>
      <c r="G301" s="125">
        <f>ROUNDDOWN(D301*F301,-3)</f>
        <v>6100000</v>
      </c>
      <c r="H301" s="154" t="b">
        <f t="shared" si="7"/>
        <v>1</v>
      </c>
    </row>
    <row r="302" spans="1:8" ht="14.25">
      <c r="A302" s="7" t="s">
        <v>1845</v>
      </c>
      <c r="B302" s="60">
        <v>512411</v>
      </c>
      <c r="C302" s="41" t="s">
        <v>88</v>
      </c>
      <c r="D302" s="60"/>
      <c r="E302" s="60"/>
      <c r="F302" s="42"/>
      <c r="G302" s="42">
        <f>G303</f>
        <v>2635488000</v>
      </c>
      <c r="H302" s="154" t="b">
        <f t="shared" si="7"/>
        <v>1</v>
      </c>
    </row>
    <row r="303" spans="1:8" ht="14.25">
      <c r="A303" s="7" t="s">
        <v>1846</v>
      </c>
      <c r="B303" s="124"/>
      <c r="C303" s="123" t="s">
        <v>3700</v>
      </c>
      <c r="D303" s="124">
        <v>1</v>
      </c>
      <c r="E303" s="124" t="s">
        <v>153</v>
      </c>
      <c r="F303" s="125">
        <v>2635488000</v>
      </c>
      <c r="G303" s="125">
        <f>ROUNDDOWN(D303*F303,-3)</f>
        <v>2635488000</v>
      </c>
      <c r="H303" s="154" t="b">
        <f t="shared" si="7"/>
        <v>1</v>
      </c>
    </row>
    <row r="304" spans="1:8" ht="14.25">
      <c r="A304" s="7" t="s">
        <v>3701</v>
      </c>
      <c r="B304" s="59" t="s">
        <v>2208</v>
      </c>
      <c r="C304" s="38" t="s">
        <v>3702</v>
      </c>
      <c r="D304" s="59"/>
      <c r="E304" s="59"/>
      <c r="F304" s="39"/>
      <c r="G304" s="39">
        <f>G305</f>
        <v>323949000</v>
      </c>
      <c r="H304" s="154" t="b">
        <f t="shared" si="7"/>
        <v>1</v>
      </c>
    </row>
    <row r="305" spans="1:8" ht="14.25">
      <c r="A305" s="7" t="s">
        <v>3703</v>
      </c>
      <c r="B305" s="60">
        <v>512411</v>
      </c>
      <c r="C305" s="41" t="s">
        <v>88</v>
      </c>
      <c r="D305" s="60"/>
      <c r="E305" s="60"/>
      <c r="F305" s="42"/>
      <c r="G305" s="42">
        <f>G306</f>
        <v>323949000</v>
      </c>
      <c r="H305" s="154" t="b">
        <f t="shared" si="7"/>
        <v>1</v>
      </c>
    </row>
    <row r="306" spans="1:8" ht="14.25">
      <c r="A306" s="7" t="s">
        <v>3704</v>
      </c>
      <c r="B306" s="124"/>
      <c r="C306" s="123" t="s">
        <v>3705</v>
      </c>
      <c r="D306" s="124">
        <v>1</v>
      </c>
      <c r="E306" s="124" t="s">
        <v>3706</v>
      </c>
      <c r="F306" s="125">
        <v>323949000</v>
      </c>
      <c r="G306" s="125">
        <f>ROUNDDOWN(D306*F306,-3)</f>
        <v>323949000</v>
      </c>
      <c r="H306" s="154" t="b">
        <f t="shared" si="7"/>
        <v>1</v>
      </c>
    </row>
    <row r="307" spans="1:8" ht="14.25">
      <c r="A307" s="7" t="s">
        <v>1847</v>
      </c>
      <c r="B307" s="58" t="s">
        <v>557</v>
      </c>
      <c r="C307" s="35" t="s">
        <v>89</v>
      </c>
      <c r="D307" s="58"/>
      <c r="E307" s="58"/>
      <c r="F307" s="36"/>
      <c r="G307" s="36">
        <f>SUM(G308,G329,G335,G348,G363)</f>
        <v>2195658000</v>
      </c>
      <c r="H307" s="154" t="b">
        <f t="shared" si="7"/>
        <v>1</v>
      </c>
    </row>
    <row r="308" spans="1:8" ht="25.5">
      <c r="A308" s="7" t="s">
        <v>2170</v>
      </c>
      <c r="B308" s="59" t="s">
        <v>1807</v>
      </c>
      <c r="C308" s="38" t="s">
        <v>2171</v>
      </c>
      <c r="D308" s="59"/>
      <c r="E308" s="59"/>
      <c r="F308" s="39"/>
      <c r="G308" s="39">
        <f>SUM(G309,G319)</f>
        <v>1254380000</v>
      </c>
      <c r="H308" s="154" t="b">
        <f t="shared" si="7"/>
        <v>1</v>
      </c>
    </row>
    <row r="309" spans="1:8" ht="14.25">
      <c r="A309" s="7" t="s">
        <v>2172</v>
      </c>
      <c r="B309" s="60">
        <v>521111</v>
      </c>
      <c r="C309" s="41" t="s">
        <v>90</v>
      </c>
      <c r="D309" s="60"/>
      <c r="E309" s="60"/>
      <c r="F309" s="42"/>
      <c r="G309" s="42">
        <f>SUM(G310:G318)</f>
        <v>1076220000</v>
      </c>
      <c r="H309" s="154" t="b">
        <f t="shared" si="7"/>
        <v>1</v>
      </c>
    </row>
    <row r="310" spans="1:8" ht="14.25">
      <c r="A310" s="7" t="s">
        <v>2173</v>
      </c>
      <c r="B310" s="124"/>
      <c r="C310" s="123" t="s">
        <v>3707</v>
      </c>
      <c r="D310" s="124">
        <v>60</v>
      </c>
      <c r="E310" s="124" t="s">
        <v>116</v>
      </c>
      <c r="F310" s="125">
        <v>1300000</v>
      </c>
      <c r="G310" s="125">
        <f t="shared" ref="G310:G318" si="8">ROUNDDOWN(D310*F310,-3)</f>
        <v>78000000</v>
      </c>
      <c r="H310" s="154" t="b">
        <f t="shared" si="7"/>
        <v>1</v>
      </c>
    </row>
    <row r="311" spans="1:8" ht="14.25">
      <c r="A311" s="7" t="s">
        <v>2174</v>
      </c>
      <c r="B311" s="124"/>
      <c r="C311" s="123" t="s">
        <v>3708</v>
      </c>
      <c r="D311" s="124">
        <v>1</v>
      </c>
      <c r="E311" s="124" t="s">
        <v>60</v>
      </c>
      <c r="F311" s="125">
        <v>60000000</v>
      </c>
      <c r="G311" s="125">
        <f t="shared" si="8"/>
        <v>60000000</v>
      </c>
      <c r="H311" s="154" t="b">
        <f t="shared" si="7"/>
        <v>1</v>
      </c>
    </row>
    <row r="312" spans="1:8" ht="14.25">
      <c r="A312" s="7" t="s">
        <v>2176</v>
      </c>
      <c r="B312" s="124"/>
      <c r="C312" s="123" t="s">
        <v>3709</v>
      </c>
      <c r="D312" s="124">
        <v>156</v>
      </c>
      <c r="E312" s="124" t="s">
        <v>21</v>
      </c>
      <c r="F312" s="125">
        <v>4858000</v>
      </c>
      <c r="G312" s="125">
        <f t="shared" si="8"/>
        <v>757848000</v>
      </c>
      <c r="H312" s="154" t="b">
        <f t="shared" si="7"/>
        <v>1</v>
      </c>
    </row>
    <row r="313" spans="1:8" ht="14.25">
      <c r="A313" s="7" t="s">
        <v>2178</v>
      </c>
      <c r="B313" s="124"/>
      <c r="C313" s="123" t="s">
        <v>3710</v>
      </c>
      <c r="D313" s="124">
        <v>13</v>
      </c>
      <c r="E313" s="124" t="s">
        <v>32</v>
      </c>
      <c r="F313" s="125">
        <v>5344000</v>
      </c>
      <c r="G313" s="125">
        <f t="shared" si="8"/>
        <v>69472000</v>
      </c>
      <c r="H313" s="154" t="b">
        <f t="shared" si="7"/>
        <v>1</v>
      </c>
    </row>
    <row r="314" spans="1:8" ht="25.5">
      <c r="A314" s="7" t="s">
        <v>2179</v>
      </c>
      <c r="B314" s="124"/>
      <c r="C314" s="123" t="s">
        <v>3711</v>
      </c>
      <c r="D314" s="124">
        <v>12</v>
      </c>
      <c r="E314" s="124" t="s">
        <v>78</v>
      </c>
      <c r="F314" s="125">
        <v>500000</v>
      </c>
      <c r="G314" s="125">
        <f t="shared" si="8"/>
        <v>6000000</v>
      </c>
      <c r="H314" s="154" t="b">
        <f t="shared" si="7"/>
        <v>1</v>
      </c>
    </row>
    <row r="315" spans="1:8" ht="14.25">
      <c r="A315" s="7" t="s">
        <v>2181</v>
      </c>
      <c r="B315" s="124"/>
      <c r="C315" s="123" t="s">
        <v>3712</v>
      </c>
      <c r="D315" s="124">
        <v>100</v>
      </c>
      <c r="E315" s="124" t="s">
        <v>58</v>
      </c>
      <c r="F315" s="125">
        <v>500000</v>
      </c>
      <c r="G315" s="125">
        <f t="shared" si="8"/>
        <v>50000000</v>
      </c>
      <c r="H315" s="154" t="b">
        <f t="shared" si="7"/>
        <v>1</v>
      </c>
    </row>
    <row r="316" spans="1:8" ht="14.25">
      <c r="A316" s="7" t="s">
        <v>2183</v>
      </c>
      <c r="B316" s="124"/>
      <c r="C316" s="123" t="s">
        <v>3713</v>
      </c>
      <c r="D316" s="124">
        <v>12</v>
      </c>
      <c r="E316" s="124" t="s">
        <v>115</v>
      </c>
      <c r="F316" s="125">
        <v>750000</v>
      </c>
      <c r="G316" s="125">
        <f t="shared" si="8"/>
        <v>9000000</v>
      </c>
      <c r="H316" s="154" t="b">
        <f t="shared" si="7"/>
        <v>1</v>
      </c>
    </row>
    <row r="317" spans="1:8" ht="14.25">
      <c r="A317" s="7" t="s">
        <v>2185</v>
      </c>
      <c r="B317" s="124"/>
      <c r="C317" s="123" t="s">
        <v>3714</v>
      </c>
      <c r="D317" s="124">
        <v>12</v>
      </c>
      <c r="E317" s="124" t="s">
        <v>115</v>
      </c>
      <c r="F317" s="125">
        <v>1325000</v>
      </c>
      <c r="G317" s="125">
        <f t="shared" si="8"/>
        <v>15900000</v>
      </c>
      <c r="H317" s="154" t="b">
        <f t="shared" si="7"/>
        <v>1</v>
      </c>
    </row>
    <row r="318" spans="1:8" ht="14.25">
      <c r="A318" s="7" t="s">
        <v>2187</v>
      </c>
      <c r="B318" s="124"/>
      <c r="C318" s="123" t="s">
        <v>3715</v>
      </c>
      <c r="D318" s="124">
        <v>12</v>
      </c>
      <c r="E318" s="124" t="s">
        <v>78</v>
      </c>
      <c r="F318" s="125">
        <v>2500000</v>
      </c>
      <c r="G318" s="125">
        <f t="shared" si="8"/>
        <v>30000000</v>
      </c>
      <c r="H318" s="154" t="b">
        <f t="shared" si="7"/>
        <v>1</v>
      </c>
    </row>
    <row r="319" spans="1:8" ht="14.25">
      <c r="A319" s="7" t="s">
        <v>2189</v>
      </c>
      <c r="B319" s="60">
        <v>521811</v>
      </c>
      <c r="C319" s="41" t="s">
        <v>64</v>
      </c>
      <c r="D319" s="60"/>
      <c r="E319" s="60"/>
      <c r="F319" s="42"/>
      <c r="G319" s="42">
        <f>SUM(G320:G328)</f>
        <v>178160000</v>
      </c>
      <c r="H319" s="154" t="b">
        <f t="shared" si="7"/>
        <v>1</v>
      </c>
    </row>
    <row r="320" spans="1:8" ht="14.25">
      <c r="A320" s="7" t="s">
        <v>2190</v>
      </c>
      <c r="B320" s="124"/>
      <c r="C320" s="123" t="s">
        <v>3595</v>
      </c>
      <c r="D320" s="124">
        <v>40</v>
      </c>
      <c r="E320" s="124" t="s">
        <v>9</v>
      </c>
      <c r="F320" s="125">
        <v>1000000</v>
      </c>
      <c r="G320" s="125">
        <f t="shared" ref="G320:G328" si="9">ROUNDDOWN(D320*F320,-3)</f>
        <v>40000000</v>
      </c>
      <c r="H320" s="154" t="b">
        <f t="shared" si="7"/>
        <v>1</v>
      </c>
    </row>
    <row r="321" spans="1:8" ht="14.25">
      <c r="A321" s="7" t="s">
        <v>2191</v>
      </c>
      <c r="B321" s="124"/>
      <c r="C321" s="123" t="s">
        <v>3596</v>
      </c>
      <c r="D321" s="124">
        <v>40</v>
      </c>
      <c r="E321" s="124" t="s">
        <v>9</v>
      </c>
      <c r="F321" s="125">
        <v>1500000</v>
      </c>
      <c r="G321" s="125">
        <f t="shared" si="9"/>
        <v>60000000</v>
      </c>
      <c r="H321" s="154" t="b">
        <f t="shared" si="7"/>
        <v>1</v>
      </c>
    </row>
    <row r="322" spans="1:8" ht="14.25">
      <c r="A322" s="7" t="s">
        <v>2192</v>
      </c>
      <c r="B322" s="124"/>
      <c r="C322" s="123" t="s">
        <v>3716</v>
      </c>
      <c r="D322" s="124">
        <v>192</v>
      </c>
      <c r="E322" s="124" t="s">
        <v>9</v>
      </c>
      <c r="F322" s="125">
        <v>50000</v>
      </c>
      <c r="G322" s="125">
        <f t="shared" si="9"/>
        <v>9600000</v>
      </c>
      <c r="H322" s="154" t="b">
        <f t="shared" si="7"/>
        <v>1</v>
      </c>
    </row>
    <row r="323" spans="1:8" ht="14.25">
      <c r="A323" s="7" t="s">
        <v>2194</v>
      </c>
      <c r="B323" s="124"/>
      <c r="C323" s="123" t="s">
        <v>3717</v>
      </c>
      <c r="D323" s="124">
        <v>192</v>
      </c>
      <c r="E323" s="124" t="s">
        <v>9</v>
      </c>
      <c r="F323" s="125">
        <v>55000</v>
      </c>
      <c r="G323" s="125">
        <f t="shared" si="9"/>
        <v>10560000</v>
      </c>
      <c r="H323" s="154" t="b">
        <f t="shared" si="7"/>
        <v>1</v>
      </c>
    </row>
    <row r="324" spans="1:8" ht="14.25">
      <c r="A324" s="7" t="s">
        <v>2196</v>
      </c>
      <c r="B324" s="124"/>
      <c r="C324" s="123" t="s">
        <v>3718</v>
      </c>
      <c r="D324" s="124">
        <v>50</v>
      </c>
      <c r="E324" s="124" t="s">
        <v>2198</v>
      </c>
      <c r="F324" s="125">
        <v>220000</v>
      </c>
      <c r="G324" s="125">
        <f t="shared" si="9"/>
        <v>11000000</v>
      </c>
      <c r="H324" s="154" t="b">
        <f t="shared" si="7"/>
        <v>1</v>
      </c>
    </row>
    <row r="325" spans="1:8" ht="14.25">
      <c r="A325" s="7" t="s">
        <v>2199</v>
      </c>
      <c r="B325" s="124"/>
      <c r="C325" s="123" t="s">
        <v>3719</v>
      </c>
      <c r="D325" s="124">
        <v>50</v>
      </c>
      <c r="E325" s="124" t="s">
        <v>2198</v>
      </c>
      <c r="F325" s="125">
        <v>240000</v>
      </c>
      <c r="G325" s="125">
        <f t="shared" si="9"/>
        <v>12000000</v>
      </c>
      <c r="H325" s="154" t="b">
        <f t="shared" si="7"/>
        <v>1</v>
      </c>
    </row>
    <row r="326" spans="1:8" ht="14.25">
      <c r="A326" s="7" t="s">
        <v>2201</v>
      </c>
      <c r="B326" s="124"/>
      <c r="C326" s="123" t="s">
        <v>3720</v>
      </c>
      <c r="D326" s="124">
        <v>800</v>
      </c>
      <c r="E326" s="124" t="s">
        <v>120</v>
      </c>
      <c r="F326" s="125">
        <v>5000</v>
      </c>
      <c r="G326" s="125">
        <f t="shared" si="9"/>
        <v>4000000</v>
      </c>
      <c r="H326" s="154" t="b">
        <f t="shared" si="7"/>
        <v>1</v>
      </c>
    </row>
    <row r="327" spans="1:8" ht="14.25">
      <c r="A327" s="7" t="s">
        <v>2203</v>
      </c>
      <c r="B327" s="124"/>
      <c r="C327" s="123" t="s">
        <v>3721</v>
      </c>
      <c r="D327" s="124">
        <v>50</v>
      </c>
      <c r="E327" s="124" t="s">
        <v>1422</v>
      </c>
      <c r="F327" s="125">
        <v>220000</v>
      </c>
      <c r="G327" s="125">
        <f t="shared" si="9"/>
        <v>11000000</v>
      </c>
      <c r="H327" s="154" t="b">
        <f t="shared" si="7"/>
        <v>1</v>
      </c>
    </row>
    <row r="328" spans="1:8" ht="14.25">
      <c r="A328" s="7" t="s">
        <v>2205</v>
      </c>
      <c r="B328" s="124"/>
      <c r="C328" s="123" t="s">
        <v>3722</v>
      </c>
      <c r="D328" s="124">
        <v>800</v>
      </c>
      <c r="E328" s="124" t="s">
        <v>120</v>
      </c>
      <c r="F328" s="125">
        <v>25000</v>
      </c>
      <c r="G328" s="125">
        <f t="shared" si="9"/>
        <v>20000000</v>
      </c>
      <c r="H328" s="154" t="b">
        <f t="shared" si="7"/>
        <v>1</v>
      </c>
    </row>
    <row r="329" spans="1:8" ht="14.25">
      <c r="A329" s="7" t="s">
        <v>2207</v>
      </c>
      <c r="B329" s="59" t="s">
        <v>2208</v>
      </c>
      <c r="C329" s="38" t="s">
        <v>2209</v>
      </c>
      <c r="D329" s="59"/>
      <c r="E329" s="59"/>
      <c r="F329" s="39"/>
      <c r="G329" s="39">
        <f>SUM(G330,G332)</f>
        <v>148852000</v>
      </c>
      <c r="H329" s="154" t="b">
        <f t="shared" si="7"/>
        <v>1</v>
      </c>
    </row>
    <row r="330" spans="1:8" ht="14.25">
      <c r="A330" s="7" t="s">
        <v>2210</v>
      </c>
      <c r="B330" s="60">
        <v>521114</v>
      </c>
      <c r="C330" s="41" t="s">
        <v>94</v>
      </c>
      <c r="D330" s="60"/>
      <c r="E330" s="60"/>
      <c r="F330" s="42"/>
      <c r="G330" s="42">
        <f>G331</f>
        <v>30000000</v>
      </c>
      <c r="H330" s="154" t="b">
        <f t="shared" si="7"/>
        <v>1</v>
      </c>
    </row>
    <row r="331" spans="1:8" ht="14.25">
      <c r="A331" s="7" t="s">
        <v>2211</v>
      </c>
      <c r="B331" s="124"/>
      <c r="C331" s="123" t="s">
        <v>3723</v>
      </c>
      <c r="D331" s="124">
        <v>12</v>
      </c>
      <c r="E331" s="124" t="s">
        <v>78</v>
      </c>
      <c r="F331" s="125">
        <v>2500000</v>
      </c>
      <c r="G331" s="125">
        <f>ROUNDDOWN(D331*F331,-3)</f>
        <v>30000000</v>
      </c>
      <c r="H331" s="154" t="b">
        <f t="shared" si="7"/>
        <v>1</v>
      </c>
    </row>
    <row r="332" spans="1:8" ht="14.25">
      <c r="A332" s="7" t="s">
        <v>2213</v>
      </c>
      <c r="B332" s="60">
        <v>522141</v>
      </c>
      <c r="C332" s="41" t="s">
        <v>95</v>
      </c>
      <c r="D332" s="60"/>
      <c r="E332" s="60"/>
      <c r="F332" s="42"/>
      <c r="G332" s="42">
        <f>SUM(G333:G334)</f>
        <v>118852000</v>
      </c>
      <c r="H332" s="154" t="b">
        <f t="shared" si="7"/>
        <v>1</v>
      </c>
    </row>
    <row r="333" spans="1:8" ht="14.25">
      <c r="A333" s="7" t="s">
        <v>2214</v>
      </c>
      <c r="B333" s="124"/>
      <c r="C333" s="123" t="s">
        <v>3724</v>
      </c>
      <c r="D333" s="124">
        <v>12</v>
      </c>
      <c r="E333" s="124" t="s">
        <v>78</v>
      </c>
      <c r="F333" s="125">
        <v>5000000</v>
      </c>
      <c r="G333" s="125">
        <f>ROUNDDOWN(D333*F333,-3)</f>
        <v>60000000</v>
      </c>
      <c r="H333" s="154" t="b">
        <f t="shared" ref="H333:H396" si="10">_xlfn.ISFORMULA(G333)</f>
        <v>1</v>
      </c>
    </row>
    <row r="334" spans="1:8" ht="14.25">
      <c r="A334" s="7" t="s">
        <v>2216</v>
      </c>
      <c r="B334" s="124"/>
      <c r="C334" s="123" t="s">
        <v>3725</v>
      </c>
      <c r="D334" s="124">
        <v>1</v>
      </c>
      <c r="E334" s="124" t="s">
        <v>60</v>
      </c>
      <c r="F334" s="125">
        <v>58852000</v>
      </c>
      <c r="G334" s="125">
        <f>ROUNDDOWN(D334*F334,-3)</f>
        <v>58852000</v>
      </c>
      <c r="H334" s="154" t="b">
        <f t="shared" si="10"/>
        <v>1</v>
      </c>
    </row>
    <row r="335" spans="1:8" ht="14.25">
      <c r="A335" s="7" t="s">
        <v>2218</v>
      </c>
      <c r="B335" s="59" t="s">
        <v>2219</v>
      </c>
      <c r="C335" s="38" t="s">
        <v>2220</v>
      </c>
      <c r="D335" s="59"/>
      <c r="E335" s="59"/>
      <c r="F335" s="39"/>
      <c r="G335" s="39">
        <f>SUM(G336,G346)</f>
        <v>533050000</v>
      </c>
      <c r="H335" s="154" t="b">
        <f t="shared" si="10"/>
        <v>1</v>
      </c>
    </row>
    <row r="336" spans="1:8" ht="14.25">
      <c r="A336" s="7" t="s">
        <v>2221</v>
      </c>
      <c r="B336" s="60">
        <v>523121</v>
      </c>
      <c r="C336" s="41" t="s">
        <v>99</v>
      </c>
      <c r="D336" s="60"/>
      <c r="E336" s="60"/>
      <c r="F336" s="42"/>
      <c r="G336" s="42">
        <f>SUM(G337:G345)</f>
        <v>497050000</v>
      </c>
      <c r="H336" s="154" t="b">
        <f t="shared" si="10"/>
        <v>1</v>
      </c>
    </row>
    <row r="337" spans="1:8" ht="25.5">
      <c r="A337" s="7" t="s">
        <v>2222</v>
      </c>
      <c r="B337" s="124"/>
      <c r="C337" s="123" t="s">
        <v>3726</v>
      </c>
      <c r="D337" s="124">
        <v>1</v>
      </c>
      <c r="E337" s="124" t="s">
        <v>44</v>
      </c>
      <c r="F337" s="125">
        <v>38730000</v>
      </c>
      <c r="G337" s="125">
        <f t="shared" ref="G337:G345" si="11">ROUNDDOWN(D337*F337,-3)</f>
        <v>38730000</v>
      </c>
      <c r="H337" s="154" t="b">
        <f t="shared" si="10"/>
        <v>1</v>
      </c>
    </row>
    <row r="338" spans="1:8" ht="14.25">
      <c r="A338" s="7" t="s">
        <v>2224</v>
      </c>
      <c r="B338" s="124"/>
      <c r="C338" s="123" t="s">
        <v>3727</v>
      </c>
      <c r="D338" s="124">
        <v>9</v>
      </c>
      <c r="E338" s="124" t="s">
        <v>3728</v>
      </c>
      <c r="F338" s="125">
        <v>32850000</v>
      </c>
      <c r="G338" s="125">
        <f t="shared" si="11"/>
        <v>295650000</v>
      </c>
      <c r="H338" s="154" t="b">
        <f t="shared" si="10"/>
        <v>1</v>
      </c>
    </row>
    <row r="339" spans="1:8" ht="25.5">
      <c r="A339" s="7" t="s">
        <v>2226</v>
      </c>
      <c r="B339" s="124"/>
      <c r="C339" s="123" t="s">
        <v>3729</v>
      </c>
      <c r="D339" s="124">
        <v>5</v>
      </c>
      <c r="E339" s="124" t="s">
        <v>42</v>
      </c>
      <c r="F339" s="125">
        <v>3640000</v>
      </c>
      <c r="G339" s="125">
        <f t="shared" si="11"/>
        <v>18200000</v>
      </c>
      <c r="H339" s="154" t="b">
        <f t="shared" si="10"/>
        <v>1</v>
      </c>
    </row>
    <row r="340" spans="1:8" ht="14.25">
      <c r="A340" s="7" t="s">
        <v>2228</v>
      </c>
      <c r="B340" s="124"/>
      <c r="C340" s="123" t="s">
        <v>3730</v>
      </c>
      <c r="D340" s="124">
        <v>40</v>
      </c>
      <c r="E340" s="124" t="s">
        <v>42</v>
      </c>
      <c r="F340" s="125">
        <v>730000</v>
      </c>
      <c r="G340" s="125">
        <f t="shared" si="11"/>
        <v>29200000</v>
      </c>
      <c r="H340" s="154" t="b">
        <f t="shared" si="10"/>
        <v>1</v>
      </c>
    </row>
    <row r="341" spans="1:8" ht="14.25">
      <c r="A341" s="7" t="s">
        <v>2229</v>
      </c>
      <c r="B341" s="124"/>
      <c r="C341" s="123" t="s">
        <v>3731</v>
      </c>
      <c r="D341" s="124">
        <v>35</v>
      </c>
      <c r="E341" s="124" t="s">
        <v>44</v>
      </c>
      <c r="F341" s="125">
        <v>730000</v>
      </c>
      <c r="G341" s="125">
        <f t="shared" si="11"/>
        <v>25550000</v>
      </c>
      <c r="H341" s="154" t="b">
        <f t="shared" si="10"/>
        <v>1</v>
      </c>
    </row>
    <row r="342" spans="1:8" ht="14.25">
      <c r="A342" s="7" t="s">
        <v>2230</v>
      </c>
      <c r="B342" s="124"/>
      <c r="C342" s="123" t="s">
        <v>3732</v>
      </c>
      <c r="D342" s="124">
        <v>35</v>
      </c>
      <c r="E342" s="124" t="s">
        <v>44</v>
      </c>
      <c r="F342" s="125">
        <v>690000</v>
      </c>
      <c r="G342" s="125">
        <f t="shared" si="11"/>
        <v>24150000</v>
      </c>
      <c r="H342" s="154" t="b">
        <f t="shared" si="10"/>
        <v>1</v>
      </c>
    </row>
    <row r="343" spans="1:8" ht="14.25">
      <c r="A343" s="7" t="s">
        <v>2231</v>
      </c>
      <c r="B343" s="124"/>
      <c r="C343" s="123" t="s">
        <v>3733</v>
      </c>
      <c r="D343" s="124">
        <v>3</v>
      </c>
      <c r="E343" s="124" t="s">
        <v>44</v>
      </c>
      <c r="F343" s="125">
        <v>3500000</v>
      </c>
      <c r="G343" s="125">
        <f t="shared" si="11"/>
        <v>10500000</v>
      </c>
      <c r="H343" s="154" t="b">
        <f t="shared" si="10"/>
        <v>1</v>
      </c>
    </row>
    <row r="344" spans="1:8" ht="14.25">
      <c r="A344" s="7" t="s">
        <v>2232</v>
      </c>
      <c r="B344" s="124"/>
      <c r="C344" s="123" t="s">
        <v>3734</v>
      </c>
      <c r="D344" s="124">
        <v>6</v>
      </c>
      <c r="E344" s="124" t="s">
        <v>44</v>
      </c>
      <c r="F344" s="125">
        <v>470000</v>
      </c>
      <c r="G344" s="125">
        <f t="shared" si="11"/>
        <v>2820000</v>
      </c>
      <c r="H344" s="154" t="b">
        <f t="shared" si="10"/>
        <v>1</v>
      </c>
    </row>
    <row r="345" spans="1:8" ht="14.25">
      <c r="A345" s="7" t="s">
        <v>2234</v>
      </c>
      <c r="B345" s="124"/>
      <c r="C345" s="123" t="s">
        <v>3735</v>
      </c>
      <c r="D345" s="124">
        <v>1</v>
      </c>
      <c r="E345" s="124" t="s">
        <v>60</v>
      </c>
      <c r="F345" s="125">
        <v>52250000</v>
      </c>
      <c r="G345" s="125">
        <f t="shared" si="11"/>
        <v>52250000</v>
      </c>
      <c r="H345" s="154" t="b">
        <f t="shared" si="10"/>
        <v>1</v>
      </c>
    </row>
    <row r="346" spans="1:8" ht="14.25">
      <c r="A346" s="7" t="s">
        <v>2235</v>
      </c>
      <c r="B346" s="60">
        <v>523199</v>
      </c>
      <c r="C346" s="41" t="s">
        <v>102</v>
      </c>
      <c r="D346" s="60"/>
      <c r="E346" s="60"/>
      <c r="F346" s="42"/>
      <c r="G346" s="42">
        <f>G347</f>
        <v>36000000</v>
      </c>
      <c r="H346" s="154" t="b">
        <f t="shared" si="10"/>
        <v>1</v>
      </c>
    </row>
    <row r="347" spans="1:8" ht="14.25">
      <c r="A347" s="7" t="s">
        <v>2236</v>
      </c>
      <c r="B347" s="124"/>
      <c r="C347" s="123" t="s">
        <v>3736</v>
      </c>
      <c r="D347" s="124">
        <v>24</v>
      </c>
      <c r="E347" s="124" t="s">
        <v>96</v>
      </c>
      <c r="F347" s="125">
        <v>1500000</v>
      </c>
      <c r="G347" s="125">
        <f>ROUNDDOWN(D347*F347,-3)</f>
        <v>36000000</v>
      </c>
      <c r="H347" s="154" t="b">
        <f t="shared" si="10"/>
        <v>1</v>
      </c>
    </row>
    <row r="348" spans="1:8" ht="25.5">
      <c r="A348" s="7" t="s">
        <v>2238</v>
      </c>
      <c r="B348" s="59" t="s">
        <v>2239</v>
      </c>
      <c r="C348" s="38" t="s">
        <v>2240</v>
      </c>
      <c r="D348" s="59"/>
      <c r="E348" s="59"/>
      <c r="F348" s="39"/>
      <c r="G348" s="39">
        <f>SUM(G349,G352)</f>
        <v>159376000</v>
      </c>
      <c r="H348" s="154" t="b">
        <f t="shared" si="10"/>
        <v>1</v>
      </c>
    </row>
    <row r="349" spans="1:8" ht="14.25">
      <c r="A349" s="7" t="s">
        <v>2241</v>
      </c>
      <c r="B349" s="60">
        <v>521111</v>
      </c>
      <c r="C349" s="41" t="s">
        <v>90</v>
      </c>
      <c r="D349" s="60"/>
      <c r="E349" s="60"/>
      <c r="F349" s="42"/>
      <c r="G349" s="42">
        <f>SUM(G350:G351)</f>
        <v>101040000</v>
      </c>
      <c r="H349" s="154" t="b">
        <f t="shared" si="10"/>
        <v>1</v>
      </c>
    </row>
    <row r="350" spans="1:8" s="156" customFormat="1" ht="14.25">
      <c r="A350" s="155" t="s">
        <v>2242</v>
      </c>
      <c r="B350" s="124"/>
      <c r="C350" s="123" t="s">
        <v>3737</v>
      </c>
      <c r="D350" s="124">
        <v>100</v>
      </c>
      <c r="E350" s="124" t="s">
        <v>2244</v>
      </c>
      <c r="F350" s="125">
        <v>857000</v>
      </c>
      <c r="G350" s="125">
        <f>ROUNDDOWN(D350*F350,-3)</f>
        <v>85700000</v>
      </c>
      <c r="H350" s="154" t="b">
        <f t="shared" si="10"/>
        <v>1</v>
      </c>
    </row>
    <row r="351" spans="1:8" ht="14.25">
      <c r="A351" s="7" t="s">
        <v>2245</v>
      </c>
      <c r="B351" s="124"/>
      <c r="C351" s="123" t="s">
        <v>3738</v>
      </c>
      <c r="D351" s="124">
        <v>26</v>
      </c>
      <c r="E351" s="124" t="s">
        <v>121</v>
      </c>
      <c r="F351" s="125">
        <v>590000</v>
      </c>
      <c r="G351" s="125">
        <f>ROUNDDOWN(D351*F351,-3)</f>
        <v>15340000</v>
      </c>
      <c r="H351" s="154" t="b">
        <f t="shared" si="10"/>
        <v>1</v>
      </c>
    </row>
    <row r="352" spans="1:8" ht="14.25">
      <c r="A352" s="7" t="s">
        <v>2247</v>
      </c>
      <c r="B352" s="60">
        <v>521115</v>
      </c>
      <c r="C352" s="41" t="s">
        <v>104</v>
      </c>
      <c r="D352" s="60"/>
      <c r="E352" s="60"/>
      <c r="F352" s="42"/>
      <c r="G352" s="42">
        <f>SUM(G353:G362)</f>
        <v>58336000</v>
      </c>
      <c r="H352" s="154" t="b">
        <f t="shared" si="10"/>
        <v>1</v>
      </c>
    </row>
    <row r="353" spans="1:8" ht="14.25">
      <c r="A353" s="7" t="s">
        <v>2248</v>
      </c>
      <c r="B353" s="124"/>
      <c r="C353" s="123" t="s">
        <v>3739</v>
      </c>
      <c r="D353" s="124">
        <v>12</v>
      </c>
      <c r="E353" s="124" t="s">
        <v>32</v>
      </c>
      <c r="F353" s="125">
        <v>2920000</v>
      </c>
      <c r="G353" s="125">
        <f t="shared" ref="G353:G362" si="12">ROUNDDOWN(D353*F353,-3)</f>
        <v>35040000</v>
      </c>
      <c r="H353" s="154" t="b">
        <f t="shared" si="10"/>
        <v>1</v>
      </c>
    </row>
    <row r="354" spans="1:8" ht="25.5">
      <c r="A354" s="7" t="s">
        <v>2250</v>
      </c>
      <c r="B354" s="124"/>
      <c r="C354" s="123" t="s">
        <v>3740</v>
      </c>
      <c r="D354" s="124">
        <v>12</v>
      </c>
      <c r="E354" s="124" t="s">
        <v>32</v>
      </c>
      <c r="F354" s="125">
        <v>324000</v>
      </c>
      <c r="G354" s="125">
        <f t="shared" si="12"/>
        <v>3888000</v>
      </c>
      <c r="H354" s="154" t="b">
        <f t="shared" si="10"/>
        <v>1</v>
      </c>
    </row>
    <row r="355" spans="1:8" ht="14.25">
      <c r="A355" s="7" t="s">
        <v>2252</v>
      </c>
      <c r="B355" s="124"/>
      <c r="C355" s="123" t="s">
        <v>3741</v>
      </c>
      <c r="D355" s="124">
        <v>12</v>
      </c>
      <c r="E355" s="124" t="s">
        <v>32</v>
      </c>
      <c r="F355" s="125">
        <v>324000</v>
      </c>
      <c r="G355" s="125">
        <f t="shared" si="12"/>
        <v>3888000</v>
      </c>
      <c r="H355" s="154" t="b">
        <f t="shared" si="10"/>
        <v>1</v>
      </c>
    </row>
    <row r="356" spans="1:8" s="156" customFormat="1" ht="25.5">
      <c r="A356" s="155" t="s">
        <v>2254</v>
      </c>
      <c r="B356" s="124"/>
      <c r="C356" s="123" t="s">
        <v>3742</v>
      </c>
      <c r="D356" s="124">
        <v>12</v>
      </c>
      <c r="E356" s="124" t="s">
        <v>32</v>
      </c>
      <c r="F356" s="125">
        <v>680000</v>
      </c>
      <c r="G356" s="125">
        <f t="shared" si="12"/>
        <v>8160000</v>
      </c>
      <c r="H356" s="154" t="b">
        <f t="shared" si="10"/>
        <v>1</v>
      </c>
    </row>
    <row r="357" spans="1:8" ht="14.25">
      <c r="A357" s="7" t="s">
        <v>2256</v>
      </c>
      <c r="B357" s="124"/>
      <c r="C357" s="123" t="s">
        <v>3743</v>
      </c>
      <c r="D357" s="124">
        <v>12</v>
      </c>
      <c r="E357" s="124" t="s">
        <v>32</v>
      </c>
      <c r="F357" s="125">
        <v>200000</v>
      </c>
      <c r="G357" s="125">
        <f t="shared" si="12"/>
        <v>2400000</v>
      </c>
      <c r="H357" s="154" t="b">
        <f t="shared" si="10"/>
        <v>1</v>
      </c>
    </row>
    <row r="358" spans="1:8" ht="14.25">
      <c r="A358" s="7" t="s">
        <v>2258</v>
      </c>
      <c r="B358" s="124"/>
      <c r="C358" s="123" t="s">
        <v>3744</v>
      </c>
      <c r="D358" s="124">
        <v>12</v>
      </c>
      <c r="E358" s="124" t="s">
        <v>32</v>
      </c>
      <c r="F358" s="125">
        <v>80000</v>
      </c>
      <c r="G358" s="125">
        <f t="shared" si="12"/>
        <v>960000</v>
      </c>
      <c r="H358" s="154" t="b">
        <f t="shared" si="10"/>
        <v>1</v>
      </c>
    </row>
    <row r="359" spans="1:8" ht="14.25">
      <c r="A359" s="7" t="s">
        <v>2260</v>
      </c>
      <c r="B359" s="124"/>
      <c r="C359" s="123" t="s">
        <v>3745</v>
      </c>
      <c r="D359" s="124">
        <v>12</v>
      </c>
      <c r="E359" s="124" t="s">
        <v>32</v>
      </c>
      <c r="F359" s="125">
        <v>200000</v>
      </c>
      <c r="G359" s="125">
        <f t="shared" si="12"/>
        <v>2400000</v>
      </c>
      <c r="H359" s="154" t="b">
        <f t="shared" si="10"/>
        <v>1</v>
      </c>
    </row>
    <row r="360" spans="1:8" ht="14.25">
      <c r="A360" s="7" t="s">
        <v>2262</v>
      </c>
      <c r="B360" s="124"/>
      <c r="C360" s="123" t="s">
        <v>3746</v>
      </c>
      <c r="D360" s="124">
        <v>1</v>
      </c>
      <c r="E360" s="124" t="s">
        <v>776</v>
      </c>
      <c r="F360" s="125">
        <v>400000</v>
      </c>
      <c r="G360" s="125">
        <f t="shared" si="12"/>
        <v>400000</v>
      </c>
      <c r="H360" s="154" t="b">
        <f t="shared" si="10"/>
        <v>1</v>
      </c>
    </row>
    <row r="361" spans="1:8" s="156" customFormat="1" ht="14.25">
      <c r="A361" s="155" t="s">
        <v>2264</v>
      </c>
      <c r="B361" s="124"/>
      <c r="C361" s="123" t="s">
        <v>3747</v>
      </c>
      <c r="D361" s="124">
        <v>1</v>
      </c>
      <c r="E361" s="124" t="s">
        <v>25</v>
      </c>
      <c r="F361" s="125">
        <v>300000</v>
      </c>
      <c r="G361" s="125">
        <f t="shared" si="12"/>
        <v>300000</v>
      </c>
      <c r="H361" s="154" t="b">
        <f t="shared" si="10"/>
        <v>1</v>
      </c>
    </row>
    <row r="362" spans="1:8" ht="25.5">
      <c r="A362" s="7" t="s">
        <v>2266</v>
      </c>
      <c r="B362" s="124"/>
      <c r="C362" s="123" t="s">
        <v>3748</v>
      </c>
      <c r="D362" s="124">
        <v>3</v>
      </c>
      <c r="E362" s="124" t="s">
        <v>25</v>
      </c>
      <c r="F362" s="125">
        <v>300000</v>
      </c>
      <c r="G362" s="125">
        <f t="shared" si="12"/>
        <v>900000</v>
      </c>
      <c r="H362" s="154" t="b">
        <f t="shared" si="10"/>
        <v>1</v>
      </c>
    </row>
    <row r="363" spans="1:8" ht="14.25">
      <c r="A363" s="7" t="s">
        <v>3749</v>
      </c>
      <c r="B363" s="59" t="s">
        <v>3750</v>
      </c>
      <c r="C363" s="38" t="s">
        <v>3751</v>
      </c>
      <c r="D363" s="59"/>
      <c r="E363" s="59"/>
      <c r="F363" s="39"/>
      <c r="G363" s="39">
        <f>SUM(G364,G369,G374)</f>
        <v>100000000</v>
      </c>
      <c r="H363" s="154" t="b">
        <f t="shared" si="10"/>
        <v>1</v>
      </c>
    </row>
    <row r="364" spans="1:8" ht="14.25">
      <c r="A364" s="7" t="s">
        <v>3752</v>
      </c>
      <c r="B364" s="60">
        <v>521111</v>
      </c>
      <c r="C364" s="41" t="s">
        <v>90</v>
      </c>
      <c r="D364" s="60"/>
      <c r="E364" s="60"/>
      <c r="F364" s="42"/>
      <c r="G364" s="42">
        <f>SUM(G365:G368)</f>
        <v>45000000</v>
      </c>
      <c r="H364" s="154" t="b">
        <f t="shared" si="10"/>
        <v>1</v>
      </c>
    </row>
    <row r="365" spans="1:8" ht="14.25">
      <c r="A365" s="7" t="s">
        <v>3753</v>
      </c>
      <c r="B365" s="124"/>
      <c r="C365" s="123" t="s">
        <v>3754</v>
      </c>
      <c r="D365" s="124">
        <v>1</v>
      </c>
      <c r="E365" s="124" t="s">
        <v>60</v>
      </c>
      <c r="F365" s="125">
        <v>3000000</v>
      </c>
      <c r="G365" s="125">
        <f>ROUNDDOWN(D365*F365,-3)</f>
        <v>3000000</v>
      </c>
      <c r="H365" s="154" t="b">
        <f t="shared" si="10"/>
        <v>1</v>
      </c>
    </row>
    <row r="366" spans="1:8" s="156" customFormat="1" ht="14.25">
      <c r="A366" s="155" t="s">
        <v>3755</v>
      </c>
      <c r="B366" s="124"/>
      <c r="C366" s="123" t="s">
        <v>3756</v>
      </c>
      <c r="D366" s="124">
        <v>48</v>
      </c>
      <c r="E366" s="124" t="s">
        <v>58</v>
      </c>
      <c r="F366" s="125">
        <v>500000</v>
      </c>
      <c r="G366" s="125">
        <f>ROUNDDOWN(D366*F366,-3)</f>
        <v>24000000</v>
      </c>
      <c r="H366" s="154" t="b">
        <f t="shared" si="10"/>
        <v>1</v>
      </c>
    </row>
    <row r="367" spans="1:8" ht="14.25">
      <c r="A367" s="7" t="s">
        <v>3757</v>
      </c>
      <c r="B367" s="124"/>
      <c r="C367" s="123" t="s">
        <v>3758</v>
      </c>
      <c r="D367" s="124">
        <v>12</v>
      </c>
      <c r="E367" s="124" t="s">
        <v>78</v>
      </c>
      <c r="F367" s="125">
        <v>500000</v>
      </c>
      <c r="G367" s="125">
        <f>ROUNDDOWN(D367*F367,-3)</f>
        <v>6000000</v>
      </c>
      <c r="H367" s="154" t="b">
        <f t="shared" si="10"/>
        <v>1</v>
      </c>
    </row>
    <row r="368" spans="1:8" ht="14.25">
      <c r="A368" s="7" t="s">
        <v>3759</v>
      </c>
      <c r="B368" s="124"/>
      <c r="C368" s="123" t="s">
        <v>3760</v>
      </c>
      <c r="D368" s="124">
        <v>60</v>
      </c>
      <c r="E368" s="124" t="s">
        <v>116</v>
      </c>
      <c r="F368" s="125">
        <v>200000</v>
      </c>
      <c r="G368" s="125">
        <f>ROUNDDOWN(D368*F368,-3)</f>
        <v>12000000</v>
      </c>
      <c r="H368" s="154" t="b">
        <f t="shared" si="10"/>
        <v>1</v>
      </c>
    </row>
    <row r="369" spans="1:8" ht="14.25">
      <c r="A369" s="7" t="s">
        <v>3761</v>
      </c>
      <c r="B369" s="60">
        <v>521811</v>
      </c>
      <c r="C369" s="41" t="s">
        <v>64</v>
      </c>
      <c r="D369" s="60"/>
      <c r="E369" s="60"/>
      <c r="F369" s="42"/>
      <c r="G369" s="42">
        <f>SUM(G370:G373)</f>
        <v>26000000</v>
      </c>
      <c r="H369" s="154" t="b">
        <f t="shared" si="10"/>
        <v>1</v>
      </c>
    </row>
    <row r="370" spans="1:8" ht="14.25">
      <c r="A370" s="7" t="s">
        <v>3762</v>
      </c>
      <c r="B370" s="124"/>
      <c r="C370" s="123" t="s">
        <v>3595</v>
      </c>
      <c r="D370" s="124">
        <v>8</v>
      </c>
      <c r="E370" s="124" t="s">
        <v>9</v>
      </c>
      <c r="F370" s="125">
        <v>1000000</v>
      </c>
      <c r="G370" s="125">
        <f>ROUNDDOWN(D370*F370,-3)</f>
        <v>8000000</v>
      </c>
      <c r="H370" s="154" t="b">
        <f t="shared" si="10"/>
        <v>1</v>
      </c>
    </row>
    <row r="371" spans="1:8" ht="14.25">
      <c r="A371" s="7" t="s">
        <v>3763</v>
      </c>
      <c r="B371" s="124"/>
      <c r="C371" s="123" t="s">
        <v>3596</v>
      </c>
      <c r="D371" s="124">
        <v>8</v>
      </c>
      <c r="E371" s="124" t="s">
        <v>9</v>
      </c>
      <c r="F371" s="125">
        <v>1500000</v>
      </c>
      <c r="G371" s="125">
        <f>ROUNDDOWN(D371*F371,-3)</f>
        <v>12000000</v>
      </c>
      <c r="H371" s="154" t="b">
        <f t="shared" si="10"/>
        <v>1</v>
      </c>
    </row>
    <row r="372" spans="1:8" ht="14.25">
      <c r="A372" s="7" t="s">
        <v>3764</v>
      </c>
      <c r="B372" s="124"/>
      <c r="C372" s="123" t="s">
        <v>3765</v>
      </c>
      <c r="D372" s="124">
        <v>200</v>
      </c>
      <c r="E372" s="124" t="s">
        <v>120</v>
      </c>
      <c r="F372" s="125">
        <v>5000</v>
      </c>
      <c r="G372" s="125">
        <f>ROUNDDOWN(D372*F372,-3)</f>
        <v>1000000</v>
      </c>
      <c r="H372" s="154" t="b">
        <f t="shared" si="10"/>
        <v>1</v>
      </c>
    </row>
    <row r="373" spans="1:8" s="156" customFormat="1" ht="14.25">
      <c r="A373" s="155" t="s">
        <v>3766</v>
      </c>
      <c r="B373" s="124"/>
      <c r="C373" s="123" t="s">
        <v>3767</v>
      </c>
      <c r="D373" s="124">
        <v>200</v>
      </c>
      <c r="E373" s="124" t="s">
        <v>120</v>
      </c>
      <c r="F373" s="125">
        <v>25000</v>
      </c>
      <c r="G373" s="125">
        <f>ROUNDDOWN(D373*F373,-3)</f>
        <v>5000000</v>
      </c>
      <c r="H373" s="154" t="b">
        <f t="shared" si="10"/>
        <v>1</v>
      </c>
    </row>
    <row r="374" spans="1:8" ht="14.25">
      <c r="A374" s="7" t="s">
        <v>3768</v>
      </c>
      <c r="B374" s="60">
        <v>523121</v>
      </c>
      <c r="C374" s="41" t="s">
        <v>99</v>
      </c>
      <c r="D374" s="60"/>
      <c r="E374" s="60"/>
      <c r="F374" s="42"/>
      <c r="G374" s="42">
        <f>SUM(G375:G379)</f>
        <v>29000000</v>
      </c>
      <c r="H374" s="154" t="b">
        <f t="shared" si="10"/>
        <v>1</v>
      </c>
    </row>
    <row r="375" spans="1:8" s="156" customFormat="1" ht="14.25">
      <c r="A375" s="155" t="s">
        <v>3769</v>
      </c>
      <c r="B375" s="124"/>
      <c r="C375" s="123" t="s">
        <v>3770</v>
      </c>
      <c r="D375" s="124">
        <v>1</v>
      </c>
      <c r="E375" s="124" t="s">
        <v>42</v>
      </c>
      <c r="F375" s="125">
        <v>7200000</v>
      </c>
      <c r="G375" s="125">
        <f>ROUNDDOWN(D375*F375,-3)</f>
        <v>7200000</v>
      </c>
      <c r="H375" s="154" t="b">
        <f t="shared" si="10"/>
        <v>1</v>
      </c>
    </row>
    <row r="376" spans="1:8" ht="14.25">
      <c r="A376" s="7" t="s">
        <v>3771</v>
      </c>
      <c r="B376" s="124"/>
      <c r="C376" s="123" t="s">
        <v>3772</v>
      </c>
      <c r="D376" s="124">
        <v>10</v>
      </c>
      <c r="E376" s="124" t="s">
        <v>42</v>
      </c>
      <c r="F376" s="125">
        <v>730000</v>
      </c>
      <c r="G376" s="125">
        <f>ROUNDDOWN(D376*F376,-3)</f>
        <v>7300000</v>
      </c>
      <c r="H376" s="154" t="b">
        <f t="shared" si="10"/>
        <v>1</v>
      </c>
    </row>
    <row r="377" spans="1:8" ht="14.25">
      <c r="A377" s="7" t="s">
        <v>3773</v>
      </c>
      <c r="B377" s="124"/>
      <c r="C377" s="123" t="s">
        <v>3774</v>
      </c>
      <c r="D377" s="124">
        <v>10</v>
      </c>
      <c r="E377" s="124" t="s">
        <v>44</v>
      </c>
      <c r="F377" s="125">
        <v>730000</v>
      </c>
      <c r="G377" s="125">
        <f>ROUNDDOWN(D377*F377,-3)</f>
        <v>7300000</v>
      </c>
      <c r="H377" s="154" t="b">
        <f t="shared" si="10"/>
        <v>1</v>
      </c>
    </row>
    <row r="378" spans="1:8" ht="14.25">
      <c r="A378" s="7" t="s">
        <v>3775</v>
      </c>
      <c r="B378" s="124"/>
      <c r="C378" s="123" t="s">
        <v>3776</v>
      </c>
      <c r="D378" s="124">
        <v>10</v>
      </c>
      <c r="E378" s="124" t="s">
        <v>44</v>
      </c>
      <c r="F378" s="125">
        <v>690000</v>
      </c>
      <c r="G378" s="125">
        <f>ROUNDDOWN(D378*F378,-3)</f>
        <v>6900000</v>
      </c>
      <c r="H378" s="154" t="b">
        <f t="shared" si="10"/>
        <v>1</v>
      </c>
    </row>
    <row r="379" spans="1:8" ht="14.25">
      <c r="A379" s="7" t="s">
        <v>3777</v>
      </c>
      <c r="B379" s="124"/>
      <c r="C379" s="123" t="s">
        <v>3778</v>
      </c>
      <c r="D379" s="124">
        <v>1</v>
      </c>
      <c r="E379" s="124" t="s">
        <v>60</v>
      </c>
      <c r="F379" s="125">
        <v>300000</v>
      </c>
      <c r="G379" s="125">
        <f>ROUNDDOWN(D379*F379,-3)</f>
        <v>300000</v>
      </c>
      <c r="H379" s="154" t="b">
        <f t="shared" si="10"/>
        <v>1</v>
      </c>
    </row>
    <row r="380" spans="1:8" ht="14.25">
      <c r="A380" s="7" t="s">
        <v>2268</v>
      </c>
      <c r="B380" s="116" t="s">
        <v>2269</v>
      </c>
      <c r="C380" s="114" t="s">
        <v>2270</v>
      </c>
      <c r="D380" s="116">
        <v>2</v>
      </c>
      <c r="E380" s="116" t="s">
        <v>42</v>
      </c>
      <c r="F380" s="117"/>
      <c r="G380" s="117">
        <f>G381</f>
        <v>540934000</v>
      </c>
      <c r="H380" s="154" t="b">
        <f t="shared" si="10"/>
        <v>1</v>
      </c>
    </row>
    <row r="381" spans="1:8" ht="14.25">
      <c r="A381" s="7" t="s">
        <v>2271</v>
      </c>
      <c r="B381" s="119" t="s">
        <v>3779</v>
      </c>
      <c r="C381" s="118" t="s">
        <v>2273</v>
      </c>
      <c r="D381" s="119">
        <v>1</v>
      </c>
      <c r="E381" s="119" t="s">
        <v>42</v>
      </c>
      <c r="F381" s="120"/>
      <c r="G381" s="120">
        <f>G382</f>
        <v>540934000</v>
      </c>
      <c r="H381" s="154" t="b">
        <f t="shared" si="10"/>
        <v>1</v>
      </c>
    </row>
    <row r="382" spans="1:8" ht="25.5">
      <c r="A382" s="7" t="s">
        <v>2289</v>
      </c>
      <c r="B382" s="58">
        <v>301</v>
      </c>
      <c r="C382" s="35" t="s">
        <v>2290</v>
      </c>
      <c r="D382" s="58"/>
      <c r="E382" s="58"/>
      <c r="F382" s="36"/>
      <c r="G382" s="36">
        <f>G383</f>
        <v>540934000</v>
      </c>
      <c r="H382" s="154" t="b">
        <f t="shared" si="10"/>
        <v>1</v>
      </c>
    </row>
    <row r="383" spans="1:8" ht="14.25">
      <c r="A383" s="7" t="s">
        <v>2291</v>
      </c>
      <c r="B383" s="59" t="s">
        <v>8</v>
      </c>
      <c r="C383" s="38" t="s">
        <v>2292</v>
      </c>
      <c r="D383" s="59"/>
      <c r="E383" s="59"/>
      <c r="F383" s="39"/>
      <c r="G383" s="39">
        <f>G384</f>
        <v>540934000</v>
      </c>
      <c r="H383" s="154" t="b">
        <f t="shared" si="10"/>
        <v>1</v>
      </c>
    </row>
    <row r="384" spans="1:8" ht="14.25">
      <c r="A384" s="7" t="s">
        <v>2293</v>
      </c>
      <c r="B384" s="60">
        <v>532111</v>
      </c>
      <c r="C384" s="41" t="s">
        <v>43</v>
      </c>
      <c r="D384" s="60"/>
      <c r="E384" s="60"/>
      <c r="F384" s="42"/>
      <c r="G384" s="42">
        <f>G385</f>
        <v>540934000</v>
      </c>
      <c r="H384" s="154" t="b">
        <f t="shared" si="10"/>
        <v>1</v>
      </c>
    </row>
    <row r="385" spans="1:8" ht="14.25">
      <c r="A385" s="7" t="s">
        <v>2294</v>
      </c>
      <c r="B385" s="124"/>
      <c r="C385" s="123" t="s">
        <v>3780</v>
      </c>
      <c r="D385" s="124">
        <v>1</v>
      </c>
      <c r="E385" s="124" t="s">
        <v>42</v>
      </c>
      <c r="F385" s="125">
        <v>540934000</v>
      </c>
      <c r="G385" s="125">
        <f>ROUNDDOWN(D385*F385,-3)</f>
        <v>540934000</v>
      </c>
      <c r="H385" s="154" t="b">
        <f t="shared" si="10"/>
        <v>1</v>
      </c>
    </row>
    <row r="386" spans="1:8" ht="14.25">
      <c r="A386" s="7" t="s">
        <v>2465</v>
      </c>
      <c r="B386" s="116" t="s">
        <v>2466</v>
      </c>
      <c r="C386" s="114" t="s">
        <v>2467</v>
      </c>
      <c r="D386" s="116">
        <v>5</v>
      </c>
      <c r="E386" s="116" t="s">
        <v>3782</v>
      </c>
      <c r="F386" s="117"/>
      <c r="G386" s="117">
        <f>SUM(G387,G427,G469)</f>
        <v>1538790000</v>
      </c>
      <c r="H386" s="154" t="b">
        <f t="shared" si="10"/>
        <v>1</v>
      </c>
    </row>
    <row r="387" spans="1:8" ht="14.25">
      <c r="A387" s="7" t="s">
        <v>2468</v>
      </c>
      <c r="B387" s="119" t="s">
        <v>3783</v>
      </c>
      <c r="C387" s="118" t="s">
        <v>2470</v>
      </c>
      <c r="D387" s="119">
        <v>1</v>
      </c>
      <c r="E387" s="119" t="s">
        <v>3782</v>
      </c>
      <c r="F387" s="120"/>
      <c r="G387" s="120">
        <f>G388</f>
        <v>615138000</v>
      </c>
      <c r="H387" s="154" t="b">
        <f t="shared" si="10"/>
        <v>1</v>
      </c>
    </row>
    <row r="388" spans="1:8" ht="25.5">
      <c r="A388" s="7" t="s">
        <v>2739</v>
      </c>
      <c r="B388" s="58">
        <v>301</v>
      </c>
      <c r="C388" s="35" t="s">
        <v>2740</v>
      </c>
      <c r="D388" s="58"/>
      <c r="E388" s="58"/>
      <c r="F388" s="36"/>
      <c r="G388" s="36">
        <f>SUM(G389,G401,G415)</f>
        <v>615138000</v>
      </c>
      <c r="H388" s="154" t="b">
        <f t="shared" si="10"/>
        <v>1</v>
      </c>
    </row>
    <row r="389" spans="1:8" ht="14.25">
      <c r="A389" s="7" t="s">
        <v>2741</v>
      </c>
      <c r="B389" s="59" t="s">
        <v>8</v>
      </c>
      <c r="C389" s="38" t="s">
        <v>129</v>
      </c>
      <c r="D389" s="59"/>
      <c r="E389" s="59"/>
      <c r="F389" s="39"/>
      <c r="G389" s="39">
        <f>SUM(G390,G394,G396,G399)</f>
        <v>101050000</v>
      </c>
      <c r="H389" s="154" t="b">
        <f t="shared" si="10"/>
        <v>1</v>
      </c>
    </row>
    <row r="390" spans="1:8" ht="14.25">
      <c r="A390" s="7" t="s">
        <v>2742</v>
      </c>
      <c r="B390" s="60">
        <v>521211</v>
      </c>
      <c r="C390" s="41" t="s">
        <v>7</v>
      </c>
      <c r="D390" s="60"/>
      <c r="E390" s="60"/>
      <c r="F390" s="42"/>
      <c r="G390" s="42">
        <f>SUM(G391:G393)</f>
        <v>22650000</v>
      </c>
      <c r="H390" s="154" t="b">
        <f t="shared" si="10"/>
        <v>1</v>
      </c>
    </row>
    <row r="391" spans="1:8" ht="14.25">
      <c r="A391" s="7" t="s">
        <v>2743</v>
      </c>
      <c r="B391" s="124"/>
      <c r="C391" s="123" t="s">
        <v>3587</v>
      </c>
      <c r="D391" s="124">
        <v>6</v>
      </c>
      <c r="E391" s="124" t="s">
        <v>9</v>
      </c>
      <c r="F391" s="125">
        <v>1500000</v>
      </c>
      <c r="G391" s="125">
        <f>ROUNDDOWN(D391*F391,-3)</f>
        <v>9000000</v>
      </c>
      <c r="H391" s="154" t="b">
        <f t="shared" si="10"/>
        <v>1</v>
      </c>
    </row>
    <row r="392" spans="1:8" ht="14.25">
      <c r="A392" s="7" t="s">
        <v>2744</v>
      </c>
      <c r="B392" s="124"/>
      <c r="C392" s="123" t="s">
        <v>3784</v>
      </c>
      <c r="D392" s="124">
        <v>70</v>
      </c>
      <c r="E392" s="124" t="s">
        <v>10</v>
      </c>
      <c r="F392" s="125">
        <v>70000</v>
      </c>
      <c r="G392" s="125">
        <f>ROUNDDOWN(D392*F392,-3)</f>
        <v>4900000</v>
      </c>
      <c r="H392" s="154" t="b">
        <f t="shared" si="10"/>
        <v>1</v>
      </c>
    </row>
    <row r="393" spans="1:8" ht="14.25">
      <c r="A393" s="7" t="s">
        <v>2746</v>
      </c>
      <c r="B393" s="124"/>
      <c r="C393" s="123" t="s">
        <v>3785</v>
      </c>
      <c r="D393" s="124">
        <v>25</v>
      </c>
      <c r="E393" s="124" t="s">
        <v>176</v>
      </c>
      <c r="F393" s="125">
        <v>350000</v>
      </c>
      <c r="G393" s="125">
        <f>ROUNDDOWN(D393*F393,-3)</f>
        <v>8750000</v>
      </c>
      <c r="H393" s="154" t="b">
        <f t="shared" si="10"/>
        <v>1</v>
      </c>
    </row>
    <row r="394" spans="1:8" ht="14.25">
      <c r="A394" s="7" t="s">
        <v>2747</v>
      </c>
      <c r="B394" s="60">
        <v>521219</v>
      </c>
      <c r="C394" s="41" t="s">
        <v>53</v>
      </c>
      <c r="D394" s="60"/>
      <c r="E394" s="60"/>
      <c r="F394" s="42"/>
      <c r="G394" s="42">
        <f>G395</f>
        <v>1000000</v>
      </c>
      <c r="H394" s="154" t="b">
        <f t="shared" si="10"/>
        <v>1</v>
      </c>
    </row>
    <row r="395" spans="1:8" ht="14.25">
      <c r="A395" s="7" t="s">
        <v>2748</v>
      </c>
      <c r="B395" s="124"/>
      <c r="C395" s="123" t="s">
        <v>3610</v>
      </c>
      <c r="D395" s="124">
        <v>4</v>
      </c>
      <c r="E395" s="124" t="s">
        <v>2749</v>
      </c>
      <c r="F395" s="125">
        <v>250000</v>
      </c>
      <c r="G395" s="125">
        <f>ROUNDDOWN(D395*F395,-3)</f>
        <v>1000000</v>
      </c>
      <c r="H395" s="154" t="b">
        <f t="shared" si="10"/>
        <v>1</v>
      </c>
    </row>
    <row r="396" spans="1:8" ht="14.25">
      <c r="A396" s="7" t="s">
        <v>2750</v>
      </c>
      <c r="B396" s="60">
        <v>521811</v>
      </c>
      <c r="C396" s="41" t="s">
        <v>64</v>
      </c>
      <c r="D396" s="60"/>
      <c r="E396" s="60"/>
      <c r="F396" s="42"/>
      <c r="G396" s="42">
        <f>SUM(G397:G398)</f>
        <v>15000000</v>
      </c>
      <c r="H396" s="154" t="b">
        <f t="shared" si="10"/>
        <v>1</v>
      </c>
    </row>
    <row r="397" spans="1:8" ht="14.25">
      <c r="A397" s="7" t="s">
        <v>2751</v>
      </c>
      <c r="B397" s="124"/>
      <c r="C397" s="123" t="s">
        <v>3595</v>
      </c>
      <c r="D397" s="124">
        <v>6</v>
      </c>
      <c r="E397" s="124" t="s">
        <v>106</v>
      </c>
      <c r="F397" s="125">
        <v>1000000</v>
      </c>
      <c r="G397" s="125">
        <f>ROUNDDOWN(D397*F397,-3)</f>
        <v>6000000</v>
      </c>
      <c r="H397" s="154" t="b">
        <f t="shared" ref="H397:H460" si="13">_xlfn.ISFORMULA(G397)</f>
        <v>1</v>
      </c>
    </row>
    <row r="398" spans="1:8" ht="14.25">
      <c r="A398" s="7" t="s">
        <v>2752</v>
      </c>
      <c r="B398" s="124"/>
      <c r="C398" s="123" t="s">
        <v>3596</v>
      </c>
      <c r="D398" s="124">
        <v>6</v>
      </c>
      <c r="E398" s="124" t="s">
        <v>106</v>
      </c>
      <c r="F398" s="125">
        <v>1500000</v>
      </c>
      <c r="G398" s="125">
        <f>ROUNDDOWN(D398*F398,-3)</f>
        <v>9000000</v>
      </c>
      <c r="H398" s="154" t="b">
        <f t="shared" si="13"/>
        <v>1</v>
      </c>
    </row>
    <row r="399" spans="1:8" ht="14.25">
      <c r="A399" s="7" t="s">
        <v>2753</v>
      </c>
      <c r="B399" s="60">
        <v>524111</v>
      </c>
      <c r="C399" s="41" t="s">
        <v>19</v>
      </c>
      <c r="D399" s="60"/>
      <c r="E399" s="60"/>
      <c r="F399" s="42"/>
      <c r="G399" s="42">
        <f>G400</f>
        <v>62400000</v>
      </c>
      <c r="H399" s="154" t="b">
        <f t="shared" si="13"/>
        <v>1</v>
      </c>
    </row>
    <row r="400" spans="1:8" ht="25.5">
      <c r="A400" s="7" t="s">
        <v>2754</v>
      </c>
      <c r="B400" s="124"/>
      <c r="C400" s="123" t="s">
        <v>3786</v>
      </c>
      <c r="D400" s="124">
        <v>12</v>
      </c>
      <c r="E400" s="124" t="s">
        <v>10</v>
      </c>
      <c r="F400" s="125">
        <v>5200000</v>
      </c>
      <c r="G400" s="125">
        <f>ROUNDDOWN(D400*F400,-3)</f>
        <v>62400000</v>
      </c>
      <c r="H400" s="154" t="b">
        <f t="shared" si="13"/>
        <v>1</v>
      </c>
    </row>
    <row r="401" spans="1:8" ht="14.25">
      <c r="A401" s="7" t="s">
        <v>2756</v>
      </c>
      <c r="B401" s="59" t="s">
        <v>511</v>
      </c>
      <c r="C401" s="38" t="s">
        <v>130</v>
      </c>
      <c r="D401" s="59"/>
      <c r="E401" s="59"/>
      <c r="F401" s="39"/>
      <c r="G401" s="39">
        <f>SUM(G402,G406,G408,G411,G413)</f>
        <v>345988000</v>
      </c>
      <c r="H401" s="154" t="b">
        <f t="shared" si="13"/>
        <v>1</v>
      </c>
    </row>
    <row r="402" spans="1:8" ht="14.25">
      <c r="A402" s="7" t="s">
        <v>2757</v>
      </c>
      <c r="B402" s="60">
        <v>521211</v>
      </c>
      <c r="C402" s="41" t="s">
        <v>7</v>
      </c>
      <c r="D402" s="60"/>
      <c r="E402" s="60"/>
      <c r="F402" s="42"/>
      <c r="G402" s="42">
        <f>SUM(G403:G405)</f>
        <v>49300000</v>
      </c>
      <c r="H402" s="154" t="b">
        <f t="shared" si="13"/>
        <v>1</v>
      </c>
    </row>
    <row r="403" spans="1:8" ht="14.25">
      <c r="A403" s="7" t="s">
        <v>2758</v>
      </c>
      <c r="B403" s="124"/>
      <c r="C403" s="123" t="s">
        <v>3587</v>
      </c>
      <c r="D403" s="124">
        <v>10</v>
      </c>
      <c r="E403" s="124" t="s">
        <v>9</v>
      </c>
      <c r="F403" s="125">
        <v>1500000</v>
      </c>
      <c r="G403" s="125">
        <f>ROUNDDOWN(D403*F403,-3)</f>
        <v>15000000</v>
      </c>
      <c r="H403" s="154" t="b">
        <f t="shared" si="13"/>
        <v>1</v>
      </c>
    </row>
    <row r="404" spans="1:8" ht="14.25">
      <c r="A404" s="7" t="s">
        <v>2759</v>
      </c>
      <c r="B404" s="124"/>
      <c r="C404" s="123" t="s">
        <v>3784</v>
      </c>
      <c r="D404" s="124">
        <v>290</v>
      </c>
      <c r="E404" s="124" t="s">
        <v>10</v>
      </c>
      <c r="F404" s="125">
        <v>70000</v>
      </c>
      <c r="G404" s="125">
        <f>ROUNDDOWN(D404*F404,-3)</f>
        <v>20300000</v>
      </c>
      <c r="H404" s="154" t="b">
        <f t="shared" si="13"/>
        <v>1</v>
      </c>
    </row>
    <row r="405" spans="1:8" ht="14.25">
      <c r="A405" s="7" t="s">
        <v>2760</v>
      </c>
      <c r="B405" s="124"/>
      <c r="C405" s="123" t="s">
        <v>3785</v>
      </c>
      <c r="D405" s="124">
        <v>40</v>
      </c>
      <c r="E405" s="124" t="s">
        <v>176</v>
      </c>
      <c r="F405" s="125">
        <v>350000</v>
      </c>
      <c r="G405" s="125">
        <f>ROUNDDOWN(D405*F405,-3)</f>
        <v>14000000</v>
      </c>
      <c r="H405" s="154" t="b">
        <f t="shared" si="13"/>
        <v>1</v>
      </c>
    </row>
    <row r="406" spans="1:8" ht="14.25">
      <c r="A406" s="7" t="s">
        <v>2761</v>
      </c>
      <c r="B406" s="60">
        <v>521219</v>
      </c>
      <c r="C406" s="41" t="s">
        <v>53</v>
      </c>
      <c r="D406" s="60"/>
      <c r="E406" s="60"/>
      <c r="F406" s="42"/>
      <c r="G406" s="42">
        <f>G407</f>
        <v>1000000</v>
      </c>
      <c r="H406" s="154" t="b">
        <f t="shared" si="13"/>
        <v>1</v>
      </c>
    </row>
    <row r="407" spans="1:8" ht="14.25">
      <c r="A407" s="7" t="s">
        <v>2762</v>
      </c>
      <c r="B407" s="124"/>
      <c r="C407" s="123" t="s">
        <v>3610</v>
      </c>
      <c r="D407" s="124">
        <v>4</v>
      </c>
      <c r="E407" s="124" t="s">
        <v>9</v>
      </c>
      <c r="F407" s="125">
        <v>250000</v>
      </c>
      <c r="G407" s="125">
        <f>ROUNDDOWN(D407*F407,-3)</f>
        <v>1000000</v>
      </c>
      <c r="H407" s="154" t="b">
        <f t="shared" si="13"/>
        <v>1</v>
      </c>
    </row>
    <row r="408" spans="1:8" ht="14.25">
      <c r="A408" s="7" t="s">
        <v>2763</v>
      </c>
      <c r="B408" s="60">
        <v>521811</v>
      </c>
      <c r="C408" s="41" t="s">
        <v>64</v>
      </c>
      <c r="D408" s="60"/>
      <c r="E408" s="60"/>
      <c r="F408" s="42"/>
      <c r="G408" s="42">
        <f>SUM(G409:G410)</f>
        <v>25000000</v>
      </c>
      <c r="H408" s="154" t="b">
        <f t="shared" si="13"/>
        <v>1</v>
      </c>
    </row>
    <row r="409" spans="1:8" ht="14.25">
      <c r="A409" s="7" t="s">
        <v>2764</v>
      </c>
      <c r="B409" s="124"/>
      <c r="C409" s="123" t="s">
        <v>3595</v>
      </c>
      <c r="D409" s="124">
        <v>10</v>
      </c>
      <c r="E409" s="124" t="s">
        <v>106</v>
      </c>
      <c r="F409" s="125">
        <v>1000000</v>
      </c>
      <c r="G409" s="125">
        <f>ROUNDDOWN(D409*F409,-3)</f>
        <v>10000000</v>
      </c>
      <c r="H409" s="154" t="b">
        <f t="shared" si="13"/>
        <v>1</v>
      </c>
    </row>
    <row r="410" spans="1:8" ht="14.25">
      <c r="A410" s="7" t="s">
        <v>2765</v>
      </c>
      <c r="B410" s="124"/>
      <c r="C410" s="123" t="s">
        <v>3596</v>
      </c>
      <c r="D410" s="124">
        <v>10</v>
      </c>
      <c r="E410" s="124" t="s">
        <v>106</v>
      </c>
      <c r="F410" s="125">
        <v>1500000</v>
      </c>
      <c r="G410" s="125">
        <f>ROUNDDOWN(D410*F410,-3)</f>
        <v>15000000</v>
      </c>
      <c r="H410" s="154" t="b">
        <f t="shared" si="13"/>
        <v>1</v>
      </c>
    </row>
    <row r="411" spans="1:8" ht="14.25">
      <c r="A411" s="7" t="s">
        <v>2766</v>
      </c>
      <c r="B411" s="60">
        <v>522151</v>
      </c>
      <c r="C411" s="41" t="s">
        <v>11</v>
      </c>
      <c r="D411" s="60"/>
      <c r="E411" s="60"/>
      <c r="F411" s="42"/>
      <c r="G411" s="42">
        <f>G412</f>
        <v>12000000</v>
      </c>
      <c r="H411" s="154" t="b">
        <f t="shared" si="13"/>
        <v>1</v>
      </c>
    </row>
    <row r="412" spans="1:8" ht="14.25">
      <c r="A412" s="7" t="s">
        <v>2767</v>
      </c>
      <c r="B412" s="124"/>
      <c r="C412" s="123" t="s">
        <v>3603</v>
      </c>
      <c r="D412" s="124">
        <v>12</v>
      </c>
      <c r="E412" s="124" t="s">
        <v>54</v>
      </c>
      <c r="F412" s="125">
        <v>1000000</v>
      </c>
      <c r="G412" s="125">
        <f>ROUNDDOWN(D412*F412,-3)</f>
        <v>12000000</v>
      </c>
      <c r="H412" s="154" t="b">
        <f t="shared" si="13"/>
        <v>1</v>
      </c>
    </row>
    <row r="413" spans="1:8" ht="14.25">
      <c r="A413" s="7" t="s">
        <v>2768</v>
      </c>
      <c r="B413" s="60">
        <v>524111</v>
      </c>
      <c r="C413" s="41" t="s">
        <v>19</v>
      </c>
      <c r="D413" s="60"/>
      <c r="E413" s="60"/>
      <c r="F413" s="42"/>
      <c r="G413" s="42">
        <f>G414</f>
        <v>258688000</v>
      </c>
      <c r="H413" s="154" t="b">
        <f t="shared" si="13"/>
        <v>1</v>
      </c>
    </row>
    <row r="414" spans="1:8" ht="14.25">
      <c r="A414" s="7" t="s">
        <v>2769</v>
      </c>
      <c r="B414" s="124"/>
      <c r="C414" s="123" t="s">
        <v>3787</v>
      </c>
      <c r="D414" s="124">
        <v>40</v>
      </c>
      <c r="E414" s="124" t="s">
        <v>10</v>
      </c>
      <c r="F414" s="125">
        <v>6467200</v>
      </c>
      <c r="G414" s="125">
        <f>ROUNDDOWN(D414*F414,-3)</f>
        <v>258688000</v>
      </c>
      <c r="H414" s="154" t="b">
        <f t="shared" si="13"/>
        <v>1</v>
      </c>
    </row>
    <row r="415" spans="1:8" ht="14.25">
      <c r="A415" s="7" t="s">
        <v>2771</v>
      </c>
      <c r="B415" s="59" t="s">
        <v>512</v>
      </c>
      <c r="C415" s="38" t="s">
        <v>131</v>
      </c>
      <c r="D415" s="59"/>
      <c r="E415" s="59"/>
      <c r="F415" s="39"/>
      <c r="G415" s="39">
        <f>SUM(G416,G420,G423,G425)</f>
        <v>168100000</v>
      </c>
      <c r="H415" s="154" t="b">
        <f t="shared" si="13"/>
        <v>1</v>
      </c>
    </row>
    <row r="416" spans="1:8" ht="14.25">
      <c r="A416" s="7" t="s">
        <v>2772</v>
      </c>
      <c r="B416" s="60">
        <v>521211</v>
      </c>
      <c r="C416" s="41" t="s">
        <v>7</v>
      </c>
      <c r="D416" s="60"/>
      <c r="E416" s="60"/>
      <c r="F416" s="42"/>
      <c r="G416" s="42">
        <f>SUM(G417:G419)</f>
        <v>39500000</v>
      </c>
      <c r="H416" s="154" t="b">
        <f t="shared" si="13"/>
        <v>1</v>
      </c>
    </row>
    <row r="417" spans="1:8" ht="14.25">
      <c r="A417" s="7" t="s">
        <v>2773</v>
      </c>
      <c r="B417" s="124"/>
      <c r="C417" s="123" t="s">
        <v>3587</v>
      </c>
      <c r="D417" s="124">
        <v>10</v>
      </c>
      <c r="E417" s="124" t="s">
        <v>9</v>
      </c>
      <c r="F417" s="125">
        <v>1500000</v>
      </c>
      <c r="G417" s="125">
        <f>ROUNDDOWN(D417*F417,-3)</f>
        <v>15000000</v>
      </c>
      <c r="H417" s="154" t="b">
        <f t="shared" si="13"/>
        <v>1</v>
      </c>
    </row>
    <row r="418" spans="1:8" ht="14.25">
      <c r="A418" s="7" t="s">
        <v>2774</v>
      </c>
      <c r="B418" s="124"/>
      <c r="C418" s="123" t="s">
        <v>3784</v>
      </c>
      <c r="D418" s="124">
        <v>150</v>
      </c>
      <c r="E418" s="124" t="s">
        <v>10</v>
      </c>
      <c r="F418" s="125">
        <v>70000</v>
      </c>
      <c r="G418" s="125">
        <f>ROUNDDOWN(D418*F418,-3)</f>
        <v>10500000</v>
      </c>
      <c r="H418" s="154" t="b">
        <f t="shared" si="13"/>
        <v>1</v>
      </c>
    </row>
    <row r="419" spans="1:8" ht="14.25">
      <c r="A419" s="7" t="s">
        <v>2775</v>
      </c>
      <c r="B419" s="124"/>
      <c r="C419" s="123" t="s">
        <v>3785</v>
      </c>
      <c r="D419" s="124">
        <v>40</v>
      </c>
      <c r="E419" s="124" t="s">
        <v>176</v>
      </c>
      <c r="F419" s="125">
        <v>350000</v>
      </c>
      <c r="G419" s="125">
        <f>ROUNDDOWN(D419*F419,-3)</f>
        <v>14000000</v>
      </c>
      <c r="H419" s="154" t="b">
        <f t="shared" si="13"/>
        <v>1</v>
      </c>
    </row>
    <row r="420" spans="1:8" ht="14.25">
      <c r="A420" s="7" t="s">
        <v>2776</v>
      </c>
      <c r="B420" s="60">
        <v>521811</v>
      </c>
      <c r="C420" s="41" t="s">
        <v>64</v>
      </c>
      <c r="D420" s="60"/>
      <c r="E420" s="60"/>
      <c r="F420" s="42"/>
      <c r="G420" s="42">
        <f>SUM(G421:G422)</f>
        <v>25000000</v>
      </c>
      <c r="H420" s="154" t="b">
        <f t="shared" si="13"/>
        <v>1</v>
      </c>
    </row>
    <row r="421" spans="1:8" ht="14.25">
      <c r="A421" s="7" t="s">
        <v>2777</v>
      </c>
      <c r="B421" s="124"/>
      <c r="C421" s="123" t="s">
        <v>3595</v>
      </c>
      <c r="D421" s="124">
        <v>10</v>
      </c>
      <c r="E421" s="124" t="s">
        <v>106</v>
      </c>
      <c r="F421" s="125">
        <v>1000000</v>
      </c>
      <c r="G421" s="125">
        <f>ROUNDDOWN(D421*F421,-3)</f>
        <v>10000000</v>
      </c>
      <c r="H421" s="154" t="b">
        <f t="shared" si="13"/>
        <v>1</v>
      </c>
    </row>
    <row r="422" spans="1:8" ht="14.25">
      <c r="A422" s="7" t="s">
        <v>2778</v>
      </c>
      <c r="B422" s="124"/>
      <c r="C422" s="123" t="s">
        <v>3596</v>
      </c>
      <c r="D422" s="124">
        <v>10</v>
      </c>
      <c r="E422" s="124" t="s">
        <v>106</v>
      </c>
      <c r="F422" s="125">
        <v>1500000</v>
      </c>
      <c r="G422" s="125">
        <f>ROUNDDOWN(D422*F422,-3)</f>
        <v>15000000</v>
      </c>
      <c r="H422" s="154" t="b">
        <f t="shared" si="13"/>
        <v>1</v>
      </c>
    </row>
    <row r="423" spans="1:8" ht="14.25">
      <c r="A423" s="7" t="s">
        <v>2779</v>
      </c>
      <c r="B423" s="60">
        <v>522151</v>
      </c>
      <c r="C423" s="41" t="s">
        <v>11</v>
      </c>
      <c r="D423" s="60"/>
      <c r="E423" s="60"/>
      <c r="F423" s="42"/>
      <c r="G423" s="42">
        <f>G424</f>
        <v>10000000</v>
      </c>
      <c r="H423" s="154" t="b">
        <f t="shared" si="13"/>
        <v>1</v>
      </c>
    </row>
    <row r="424" spans="1:8" ht="14.25">
      <c r="A424" s="7" t="s">
        <v>2780</v>
      </c>
      <c r="B424" s="124"/>
      <c r="C424" s="123" t="s">
        <v>3603</v>
      </c>
      <c r="D424" s="124">
        <v>10</v>
      </c>
      <c r="E424" s="124" t="s">
        <v>54</v>
      </c>
      <c r="F424" s="125">
        <v>1000000</v>
      </c>
      <c r="G424" s="125">
        <f>ROUNDDOWN(D424*F424,-3)</f>
        <v>10000000</v>
      </c>
      <c r="H424" s="154" t="b">
        <f t="shared" si="13"/>
        <v>1</v>
      </c>
    </row>
    <row r="425" spans="1:8" ht="14.25">
      <c r="A425" s="7" t="s">
        <v>2781</v>
      </c>
      <c r="B425" s="60">
        <v>524111</v>
      </c>
      <c r="C425" s="41" t="s">
        <v>19</v>
      </c>
      <c r="D425" s="60"/>
      <c r="E425" s="60"/>
      <c r="F425" s="42"/>
      <c r="G425" s="42">
        <f>G426</f>
        <v>93600000</v>
      </c>
      <c r="H425" s="154" t="b">
        <f t="shared" si="13"/>
        <v>1</v>
      </c>
    </row>
    <row r="426" spans="1:8" ht="25.5">
      <c r="A426" s="7" t="s">
        <v>2782</v>
      </c>
      <c r="B426" s="124"/>
      <c r="C426" s="123" t="s">
        <v>3788</v>
      </c>
      <c r="D426" s="124">
        <v>18</v>
      </c>
      <c r="E426" s="124" t="s">
        <v>10</v>
      </c>
      <c r="F426" s="125">
        <v>5200000</v>
      </c>
      <c r="G426" s="125">
        <f>ROUNDDOWN(D426*F426,-3)</f>
        <v>93600000</v>
      </c>
      <c r="H426" s="154" t="b">
        <f t="shared" si="13"/>
        <v>1</v>
      </c>
    </row>
    <row r="427" spans="1:8" ht="14.25">
      <c r="A427" s="7" t="s">
        <v>2784</v>
      </c>
      <c r="B427" s="119" t="s">
        <v>3789</v>
      </c>
      <c r="C427" s="118" t="s">
        <v>2786</v>
      </c>
      <c r="D427" s="119">
        <v>2</v>
      </c>
      <c r="E427" s="119" t="s">
        <v>3782</v>
      </c>
      <c r="F427" s="120"/>
      <c r="G427" s="120">
        <f>SUM(G428,G457)</f>
        <v>633732000</v>
      </c>
      <c r="H427" s="154" t="b">
        <f t="shared" si="13"/>
        <v>1</v>
      </c>
    </row>
    <row r="428" spans="1:8" ht="25.5">
      <c r="A428" s="7" t="s">
        <v>3052</v>
      </c>
      <c r="B428" s="58">
        <v>301</v>
      </c>
      <c r="C428" s="35" t="s">
        <v>3053</v>
      </c>
      <c r="D428" s="58"/>
      <c r="E428" s="58"/>
      <c r="F428" s="36"/>
      <c r="G428" s="36">
        <f>SUM(G429,G440)</f>
        <v>507200000</v>
      </c>
      <c r="H428" s="154" t="b">
        <f t="shared" si="13"/>
        <v>1</v>
      </c>
    </row>
    <row r="429" spans="1:8" ht="25.5">
      <c r="A429" s="7" t="s">
        <v>3054</v>
      </c>
      <c r="B429" s="59" t="s">
        <v>8</v>
      </c>
      <c r="C429" s="38" t="s">
        <v>174</v>
      </c>
      <c r="D429" s="59"/>
      <c r="E429" s="59"/>
      <c r="F429" s="39"/>
      <c r="G429" s="39">
        <f>SUM(G430,G436,G438)</f>
        <v>295200000</v>
      </c>
      <c r="H429" s="154" t="b">
        <f t="shared" si="13"/>
        <v>1</v>
      </c>
    </row>
    <row r="430" spans="1:8" ht="14.25">
      <c r="A430" s="7" t="s">
        <v>3055</v>
      </c>
      <c r="B430" s="60">
        <v>521211</v>
      </c>
      <c r="C430" s="41" t="s">
        <v>7</v>
      </c>
      <c r="D430" s="60"/>
      <c r="E430" s="60"/>
      <c r="F430" s="42"/>
      <c r="G430" s="42">
        <f>SUM(G431:G435)</f>
        <v>46000000</v>
      </c>
      <c r="H430" s="154" t="b">
        <f t="shared" si="13"/>
        <v>1</v>
      </c>
    </row>
    <row r="431" spans="1:8" ht="14.25">
      <c r="A431" s="7" t="s">
        <v>3056</v>
      </c>
      <c r="B431" s="124"/>
      <c r="C431" s="123" t="s">
        <v>3587</v>
      </c>
      <c r="D431" s="124">
        <v>5</v>
      </c>
      <c r="E431" s="124" t="s">
        <v>9</v>
      </c>
      <c r="F431" s="125">
        <v>1500000</v>
      </c>
      <c r="G431" s="125">
        <f>ROUNDDOWN(D431*F431,-3)</f>
        <v>7500000</v>
      </c>
      <c r="H431" s="154" t="b">
        <f t="shared" si="13"/>
        <v>1</v>
      </c>
    </row>
    <row r="432" spans="1:8" ht="14.25">
      <c r="A432" s="7" t="s">
        <v>3057</v>
      </c>
      <c r="B432" s="124"/>
      <c r="C432" s="123" t="s">
        <v>3784</v>
      </c>
      <c r="D432" s="124">
        <v>280</v>
      </c>
      <c r="E432" s="124" t="s">
        <v>10</v>
      </c>
      <c r="F432" s="125">
        <v>75000</v>
      </c>
      <c r="G432" s="125">
        <f>ROUNDDOWN(D432*F432,-3)</f>
        <v>21000000</v>
      </c>
      <c r="H432" s="154" t="b">
        <f t="shared" si="13"/>
        <v>1</v>
      </c>
    </row>
    <row r="433" spans="1:8" ht="14.25">
      <c r="A433" s="7" t="s">
        <v>3058</v>
      </c>
      <c r="B433" s="124"/>
      <c r="C433" s="123" t="s">
        <v>3785</v>
      </c>
      <c r="D433" s="124">
        <v>30</v>
      </c>
      <c r="E433" s="124" t="s">
        <v>176</v>
      </c>
      <c r="F433" s="125">
        <v>250000</v>
      </c>
      <c r="G433" s="125">
        <f>ROUNDDOWN(D433*F433,-3)</f>
        <v>7500000</v>
      </c>
      <c r="H433" s="154" t="b">
        <f t="shared" si="13"/>
        <v>1</v>
      </c>
    </row>
    <row r="434" spans="1:8" ht="14.25">
      <c r="A434" s="7" t="s">
        <v>3059</v>
      </c>
      <c r="B434" s="124"/>
      <c r="C434" s="123" t="s">
        <v>3591</v>
      </c>
      <c r="D434" s="124">
        <v>4</v>
      </c>
      <c r="E434" s="124" t="s">
        <v>106</v>
      </c>
      <c r="F434" s="125">
        <v>1000000</v>
      </c>
      <c r="G434" s="125">
        <f>ROUNDDOWN(D434*F434,-3)</f>
        <v>4000000</v>
      </c>
      <c r="H434" s="154" t="b">
        <f t="shared" si="13"/>
        <v>1</v>
      </c>
    </row>
    <row r="435" spans="1:8" ht="14.25">
      <c r="A435" s="7" t="s">
        <v>3060</v>
      </c>
      <c r="B435" s="124"/>
      <c r="C435" s="123" t="s">
        <v>3592</v>
      </c>
      <c r="D435" s="124">
        <v>4</v>
      </c>
      <c r="E435" s="124" t="s">
        <v>106</v>
      </c>
      <c r="F435" s="125">
        <v>1500000</v>
      </c>
      <c r="G435" s="125">
        <f>ROUNDDOWN(D435*F435,-3)</f>
        <v>6000000</v>
      </c>
      <c r="H435" s="154" t="b">
        <f t="shared" si="13"/>
        <v>1</v>
      </c>
    </row>
    <row r="436" spans="1:8" ht="14.25">
      <c r="A436" s="7" t="s">
        <v>3061</v>
      </c>
      <c r="B436" s="60">
        <v>521219</v>
      </c>
      <c r="C436" s="41" t="s">
        <v>53</v>
      </c>
      <c r="D436" s="60"/>
      <c r="E436" s="60"/>
      <c r="F436" s="42"/>
      <c r="G436" s="42">
        <f>G437</f>
        <v>2000000</v>
      </c>
      <c r="H436" s="154" t="b">
        <f t="shared" si="13"/>
        <v>1</v>
      </c>
    </row>
    <row r="437" spans="1:8" ht="25.5">
      <c r="A437" s="7" t="s">
        <v>3062</v>
      </c>
      <c r="B437" s="124"/>
      <c r="C437" s="123" t="s">
        <v>3790</v>
      </c>
      <c r="D437" s="124">
        <v>1</v>
      </c>
      <c r="E437" s="124" t="s">
        <v>153</v>
      </c>
      <c r="F437" s="125">
        <v>2000000</v>
      </c>
      <c r="G437" s="125">
        <f>ROUNDDOWN(D437*F437,-3)</f>
        <v>2000000</v>
      </c>
      <c r="H437" s="154" t="b">
        <f t="shared" si="13"/>
        <v>1</v>
      </c>
    </row>
    <row r="438" spans="1:8" ht="14.25">
      <c r="A438" s="7" t="s">
        <v>3064</v>
      </c>
      <c r="B438" s="60">
        <v>524111</v>
      </c>
      <c r="C438" s="41" t="s">
        <v>19</v>
      </c>
      <c r="D438" s="60"/>
      <c r="E438" s="60"/>
      <c r="F438" s="42"/>
      <c r="G438" s="42">
        <f>G439</f>
        <v>247200000</v>
      </c>
      <c r="H438" s="154" t="b">
        <f t="shared" si="13"/>
        <v>1</v>
      </c>
    </row>
    <row r="439" spans="1:8" ht="14.25">
      <c r="A439" s="7" t="s">
        <v>3065</v>
      </c>
      <c r="B439" s="124"/>
      <c r="C439" s="123" t="s">
        <v>3791</v>
      </c>
      <c r="D439" s="124">
        <v>40</v>
      </c>
      <c r="E439" s="124" t="s">
        <v>10</v>
      </c>
      <c r="F439" s="125">
        <v>6180000</v>
      </c>
      <c r="G439" s="125">
        <f>ROUNDDOWN(D439*F439,-3)</f>
        <v>247200000</v>
      </c>
      <c r="H439" s="154" t="b">
        <f t="shared" si="13"/>
        <v>1</v>
      </c>
    </row>
    <row r="440" spans="1:8" ht="14.25">
      <c r="A440" s="7" t="s">
        <v>3067</v>
      </c>
      <c r="B440" s="59" t="s">
        <v>511</v>
      </c>
      <c r="C440" s="38" t="s">
        <v>175</v>
      </c>
      <c r="D440" s="59"/>
      <c r="E440" s="59"/>
      <c r="F440" s="39"/>
      <c r="G440" s="39">
        <f>SUM(G441,G448,G451,G453,G455)</f>
        <v>212000000</v>
      </c>
      <c r="H440" s="154" t="b">
        <f t="shared" si="13"/>
        <v>1</v>
      </c>
    </row>
    <row r="441" spans="1:8" ht="14.25">
      <c r="A441" s="7" t="s">
        <v>3068</v>
      </c>
      <c r="B441" s="60">
        <v>521211</v>
      </c>
      <c r="C441" s="41" t="s">
        <v>7</v>
      </c>
      <c r="D441" s="60"/>
      <c r="E441" s="60"/>
      <c r="F441" s="42"/>
      <c r="G441" s="42">
        <f>SUM(G442:G447)</f>
        <v>41000000</v>
      </c>
      <c r="H441" s="154" t="b">
        <f t="shared" si="13"/>
        <v>1</v>
      </c>
    </row>
    <row r="442" spans="1:8" ht="14.25">
      <c r="A442" s="7" t="s">
        <v>3069</v>
      </c>
      <c r="B442" s="124"/>
      <c r="C442" s="123" t="s">
        <v>3587</v>
      </c>
      <c r="D442" s="124">
        <v>4</v>
      </c>
      <c r="E442" s="124" t="s">
        <v>9</v>
      </c>
      <c r="F442" s="125">
        <v>1500000</v>
      </c>
      <c r="G442" s="125">
        <f t="shared" ref="G442:G447" si="14">ROUNDDOWN(D442*F442,-3)</f>
        <v>6000000</v>
      </c>
      <c r="H442" s="154" t="b">
        <f t="shared" si="13"/>
        <v>1</v>
      </c>
    </row>
    <row r="443" spans="1:8" ht="14.25">
      <c r="A443" s="7" t="s">
        <v>3070</v>
      </c>
      <c r="B443" s="124"/>
      <c r="C443" s="123" t="s">
        <v>3784</v>
      </c>
      <c r="D443" s="124">
        <v>180</v>
      </c>
      <c r="E443" s="124" t="s">
        <v>10</v>
      </c>
      <c r="F443" s="125">
        <v>75000</v>
      </c>
      <c r="G443" s="125">
        <f t="shared" si="14"/>
        <v>13500000</v>
      </c>
      <c r="H443" s="154" t="b">
        <f t="shared" si="13"/>
        <v>1</v>
      </c>
    </row>
    <row r="444" spans="1:8" ht="14.25">
      <c r="A444" s="7" t="s">
        <v>3071</v>
      </c>
      <c r="B444" s="124"/>
      <c r="C444" s="123" t="s">
        <v>3792</v>
      </c>
      <c r="D444" s="124">
        <v>15</v>
      </c>
      <c r="E444" s="124" t="s">
        <v>176</v>
      </c>
      <c r="F444" s="125">
        <v>500000</v>
      </c>
      <c r="G444" s="125">
        <f t="shared" si="14"/>
        <v>7500000</v>
      </c>
      <c r="H444" s="154" t="b">
        <f t="shared" si="13"/>
        <v>1</v>
      </c>
    </row>
    <row r="445" spans="1:8" ht="14.25">
      <c r="A445" s="7" t="s">
        <v>3073</v>
      </c>
      <c r="B445" s="124"/>
      <c r="C445" s="123" t="s">
        <v>3591</v>
      </c>
      <c r="D445" s="124">
        <v>4</v>
      </c>
      <c r="E445" s="124" t="s">
        <v>106</v>
      </c>
      <c r="F445" s="125">
        <v>1000000</v>
      </c>
      <c r="G445" s="125">
        <f t="shared" si="14"/>
        <v>4000000</v>
      </c>
      <c r="H445" s="154" t="b">
        <f t="shared" si="13"/>
        <v>1</v>
      </c>
    </row>
    <row r="446" spans="1:8" ht="14.25">
      <c r="A446" s="7" t="s">
        <v>3074</v>
      </c>
      <c r="B446" s="124"/>
      <c r="C446" s="123" t="s">
        <v>3592</v>
      </c>
      <c r="D446" s="124">
        <v>4</v>
      </c>
      <c r="E446" s="124" t="s">
        <v>106</v>
      </c>
      <c r="F446" s="125">
        <v>1500000</v>
      </c>
      <c r="G446" s="125">
        <f t="shared" si="14"/>
        <v>6000000</v>
      </c>
      <c r="H446" s="154" t="b">
        <f t="shared" si="13"/>
        <v>1</v>
      </c>
    </row>
    <row r="447" spans="1:8" ht="14.25">
      <c r="A447" s="7" t="s">
        <v>3075</v>
      </c>
      <c r="B447" s="124"/>
      <c r="C447" s="123" t="s">
        <v>3793</v>
      </c>
      <c r="D447" s="124">
        <v>8</v>
      </c>
      <c r="E447" s="124" t="s">
        <v>58</v>
      </c>
      <c r="F447" s="125">
        <v>500000</v>
      </c>
      <c r="G447" s="125">
        <f t="shared" si="14"/>
        <v>4000000</v>
      </c>
      <c r="H447" s="154" t="b">
        <f t="shared" si="13"/>
        <v>1</v>
      </c>
    </row>
    <row r="448" spans="1:8" ht="14.25">
      <c r="A448" s="7" t="s">
        <v>3077</v>
      </c>
      <c r="B448" s="60">
        <v>521219</v>
      </c>
      <c r="C448" s="41" t="s">
        <v>53</v>
      </c>
      <c r="D448" s="60"/>
      <c r="E448" s="60"/>
      <c r="F448" s="42"/>
      <c r="G448" s="42">
        <f>SUM(G449:G450)</f>
        <v>32000000</v>
      </c>
      <c r="H448" s="154" t="b">
        <f t="shared" si="13"/>
        <v>1</v>
      </c>
    </row>
    <row r="449" spans="1:8" ht="25.5">
      <c r="A449" s="7" t="s">
        <v>3078</v>
      </c>
      <c r="B449" s="124"/>
      <c r="C449" s="123" t="s">
        <v>3794</v>
      </c>
      <c r="D449" s="124">
        <v>2</v>
      </c>
      <c r="E449" s="124" t="s">
        <v>177</v>
      </c>
      <c r="F449" s="125">
        <v>15000000</v>
      </c>
      <c r="G449" s="125">
        <f>ROUNDDOWN(D449*F449,-3)</f>
        <v>30000000</v>
      </c>
      <c r="H449" s="154" t="b">
        <f t="shared" si="13"/>
        <v>1</v>
      </c>
    </row>
    <row r="450" spans="1:8" ht="25.5">
      <c r="A450" s="7" t="s">
        <v>3080</v>
      </c>
      <c r="B450" s="124"/>
      <c r="C450" s="123" t="s">
        <v>3795</v>
      </c>
      <c r="D450" s="124">
        <v>1</v>
      </c>
      <c r="E450" s="124" t="s">
        <v>60</v>
      </c>
      <c r="F450" s="125">
        <v>2000000</v>
      </c>
      <c r="G450" s="125">
        <f>ROUNDDOWN(D450*F450,-3)</f>
        <v>2000000</v>
      </c>
      <c r="H450" s="154" t="b">
        <f t="shared" si="13"/>
        <v>1</v>
      </c>
    </row>
    <row r="451" spans="1:8" ht="14.25">
      <c r="A451" s="7" t="s">
        <v>3082</v>
      </c>
      <c r="B451" s="60">
        <v>522151</v>
      </c>
      <c r="C451" s="41" t="s">
        <v>11</v>
      </c>
      <c r="D451" s="60"/>
      <c r="E451" s="60"/>
      <c r="F451" s="42"/>
      <c r="G451" s="42">
        <f>G452</f>
        <v>10000000</v>
      </c>
      <c r="H451" s="154" t="b">
        <f t="shared" si="13"/>
        <v>1</v>
      </c>
    </row>
    <row r="452" spans="1:8" ht="14.25">
      <c r="A452" s="7" t="s">
        <v>3083</v>
      </c>
      <c r="B452" s="124"/>
      <c r="C452" s="123" t="s">
        <v>3603</v>
      </c>
      <c r="D452" s="124">
        <v>10</v>
      </c>
      <c r="E452" s="124" t="s">
        <v>54</v>
      </c>
      <c r="F452" s="125">
        <v>1000000</v>
      </c>
      <c r="G452" s="125">
        <f>ROUNDDOWN(D452*F452,-3)</f>
        <v>10000000</v>
      </c>
      <c r="H452" s="154" t="b">
        <f t="shared" si="13"/>
        <v>1</v>
      </c>
    </row>
    <row r="453" spans="1:8" ht="14.25">
      <c r="A453" s="7" t="s">
        <v>3084</v>
      </c>
      <c r="B453" s="60">
        <v>524111</v>
      </c>
      <c r="C453" s="41" t="s">
        <v>19</v>
      </c>
      <c r="D453" s="60"/>
      <c r="E453" s="60"/>
      <c r="F453" s="42"/>
      <c r="G453" s="42">
        <f>G454</f>
        <v>120000000</v>
      </c>
      <c r="H453" s="154" t="b">
        <f t="shared" si="13"/>
        <v>1</v>
      </c>
    </row>
    <row r="454" spans="1:8" ht="14.25">
      <c r="A454" s="7" t="s">
        <v>3085</v>
      </c>
      <c r="B454" s="124"/>
      <c r="C454" s="123" t="s">
        <v>3796</v>
      </c>
      <c r="D454" s="124">
        <v>30</v>
      </c>
      <c r="E454" s="124" t="s">
        <v>10</v>
      </c>
      <c r="F454" s="125">
        <v>4000000</v>
      </c>
      <c r="G454" s="125">
        <f>ROUNDDOWN(D454*F454,-3)</f>
        <v>120000000</v>
      </c>
      <c r="H454" s="154" t="b">
        <f t="shared" si="13"/>
        <v>1</v>
      </c>
    </row>
    <row r="455" spans="1:8" ht="14.25">
      <c r="A455" s="7" t="s">
        <v>3087</v>
      </c>
      <c r="B455" s="60">
        <v>524113</v>
      </c>
      <c r="C455" s="41" t="s">
        <v>13</v>
      </c>
      <c r="D455" s="60"/>
      <c r="E455" s="60"/>
      <c r="F455" s="42"/>
      <c r="G455" s="42">
        <f>G456</f>
        <v>9000000</v>
      </c>
      <c r="H455" s="154" t="b">
        <f t="shared" si="13"/>
        <v>1</v>
      </c>
    </row>
    <row r="456" spans="1:8" ht="14.25">
      <c r="A456" s="7" t="s">
        <v>3088</v>
      </c>
      <c r="B456" s="124"/>
      <c r="C456" s="123" t="s">
        <v>3593</v>
      </c>
      <c r="D456" s="124">
        <v>60</v>
      </c>
      <c r="E456" s="124" t="s">
        <v>25</v>
      </c>
      <c r="F456" s="125">
        <v>150000</v>
      </c>
      <c r="G456" s="125">
        <f>ROUNDDOWN(D456*F456,-3)</f>
        <v>9000000</v>
      </c>
      <c r="H456" s="154" t="b">
        <f t="shared" si="13"/>
        <v>1</v>
      </c>
    </row>
    <row r="457" spans="1:8" ht="25.5">
      <c r="A457" s="7" t="s">
        <v>3089</v>
      </c>
      <c r="B457" s="58">
        <v>302</v>
      </c>
      <c r="C457" s="35" t="s">
        <v>3091</v>
      </c>
      <c r="D457" s="58"/>
      <c r="E457" s="58"/>
      <c r="F457" s="36"/>
      <c r="G457" s="36">
        <f>G458</f>
        <v>126532000</v>
      </c>
      <c r="H457" s="154" t="b">
        <f t="shared" si="13"/>
        <v>1</v>
      </c>
    </row>
    <row r="458" spans="1:8" ht="14.25">
      <c r="A458" s="7" t="s">
        <v>3092</v>
      </c>
      <c r="B458" s="59" t="s">
        <v>8</v>
      </c>
      <c r="C458" s="38" t="s">
        <v>178</v>
      </c>
      <c r="D458" s="59"/>
      <c r="E458" s="59"/>
      <c r="F458" s="39"/>
      <c r="G458" s="39">
        <f>SUM(G459,G465,G467)</f>
        <v>126532000</v>
      </c>
      <c r="H458" s="154" t="b">
        <f t="shared" si="13"/>
        <v>1</v>
      </c>
    </row>
    <row r="459" spans="1:8" ht="14.25">
      <c r="A459" s="7" t="s">
        <v>3093</v>
      </c>
      <c r="B459" s="60">
        <v>521211</v>
      </c>
      <c r="C459" s="41" t="s">
        <v>7</v>
      </c>
      <c r="D459" s="60"/>
      <c r="E459" s="60"/>
      <c r="F459" s="42"/>
      <c r="G459" s="42">
        <f>SUM(G460:G464)</f>
        <v>35500000</v>
      </c>
      <c r="H459" s="154" t="b">
        <f t="shared" si="13"/>
        <v>1</v>
      </c>
    </row>
    <row r="460" spans="1:8" ht="14.25">
      <c r="A460" s="7" t="s">
        <v>3094</v>
      </c>
      <c r="B460" s="124"/>
      <c r="C460" s="123" t="s">
        <v>3587</v>
      </c>
      <c r="D460" s="124">
        <v>4</v>
      </c>
      <c r="E460" s="124" t="s">
        <v>9</v>
      </c>
      <c r="F460" s="125">
        <v>1500000</v>
      </c>
      <c r="G460" s="125">
        <f>ROUNDDOWN(D460*F460,-3)</f>
        <v>6000000</v>
      </c>
      <c r="H460" s="154" t="b">
        <f t="shared" si="13"/>
        <v>1</v>
      </c>
    </row>
    <row r="461" spans="1:8" ht="14.25">
      <c r="A461" s="7" t="s">
        <v>3095</v>
      </c>
      <c r="B461" s="124"/>
      <c r="C461" s="123" t="s">
        <v>3784</v>
      </c>
      <c r="D461" s="124">
        <v>180</v>
      </c>
      <c r="E461" s="124" t="s">
        <v>10</v>
      </c>
      <c r="F461" s="125">
        <v>75000</v>
      </c>
      <c r="G461" s="125">
        <f>ROUNDDOWN(D461*F461,-3)</f>
        <v>13500000</v>
      </c>
      <c r="H461" s="154" t="b">
        <f t="shared" ref="H461:H524" si="15">_xlfn.ISFORMULA(G461)</f>
        <v>1</v>
      </c>
    </row>
    <row r="462" spans="1:8" ht="14.25">
      <c r="A462" s="7" t="s">
        <v>3096</v>
      </c>
      <c r="B462" s="124"/>
      <c r="C462" s="123" t="s">
        <v>3588</v>
      </c>
      <c r="D462" s="124">
        <v>4</v>
      </c>
      <c r="E462" s="124" t="s">
        <v>106</v>
      </c>
      <c r="F462" s="125">
        <v>1000000</v>
      </c>
      <c r="G462" s="125">
        <f>ROUNDDOWN(D462*F462,-3)</f>
        <v>4000000</v>
      </c>
      <c r="H462" s="154" t="b">
        <f t="shared" si="15"/>
        <v>1</v>
      </c>
    </row>
    <row r="463" spans="1:8" ht="14.25">
      <c r="A463" s="7" t="s">
        <v>3097</v>
      </c>
      <c r="B463" s="124"/>
      <c r="C463" s="123" t="s">
        <v>3589</v>
      </c>
      <c r="D463" s="124">
        <v>4</v>
      </c>
      <c r="E463" s="124" t="s">
        <v>106</v>
      </c>
      <c r="F463" s="125">
        <v>1500000</v>
      </c>
      <c r="G463" s="125">
        <f>ROUNDDOWN(D463*F463,-3)</f>
        <v>6000000</v>
      </c>
      <c r="H463" s="154" t="b">
        <f t="shared" si="15"/>
        <v>1</v>
      </c>
    </row>
    <row r="464" spans="1:8" ht="14.25">
      <c r="A464" s="7" t="s">
        <v>3098</v>
      </c>
      <c r="B464" s="124"/>
      <c r="C464" s="123" t="s">
        <v>3797</v>
      </c>
      <c r="D464" s="124">
        <v>12</v>
      </c>
      <c r="E464" s="124" t="s">
        <v>176</v>
      </c>
      <c r="F464" s="125">
        <v>500000</v>
      </c>
      <c r="G464" s="125">
        <f>ROUNDDOWN(D464*F464,-3)</f>
        <v>6000000</v>
      </c>
      <c r="H464" s="154" t="b">
        <f t="shared" si="15"/>
        <v>1</v>
      </c>
    </row>
    <row r="465" spans="1:8" ht="14.25">
      <c r="A465" s="7" t="s">
        <v>3100</v>
      </c>
      <c r="B465" s="60">
        <v>521219</v>
      </c>
      <c r="C465" s="41" t="s">
        <v>53</v>
      </c>
      <c r="D465" s="60"/>
      <c r="E465" s="60"/>
      <c r="F465" s="42"/>
      <c r="G465" s="42">
        <f>G466</f>
        <v>2000000</v>
      </c>
      <c r="H465" s="154" t="b">
        <f t="shared" si="15"/>
        <v>1</v>
      </c>
    </row>
    <row r="466" spans="1:8" ht="25.5">
      <c r="A466" s="7" t="s">
        <v>3101</v>
      </c>
      <c r="B466" s="124"/>
      <c r="C466" s="123" t="s">
        <v>3790</v>
      </c>
      <c r="D466" s="124">
        <v>1</v>
      </c>
      <c r="E466" s="124" t="s">
        <v>153</v>
      </c>
      <c r="F466" s="125">
        <v>2000000</v>
      </c>
      <c r="G466" s="125">
        <f>ROUNDDOWN(D466*F466,-3)</f>
        <v>2000000</v>
      </c>
      <c r="H466" s="154" t="b">
        <f t="shared" si="15"/>
        <v>1</v>
      </c>
    </row>
    <row r="467" spans="1:8" ht="14.25">
      <c r="A467" s="7" t="s">
        <v>3102</v>
      </c>
      <c r="B467" s="60">
        <v>524111</v>
      </c>
      <c r="C467" s="41" t="s">
        <v>19</v>
      </c>
      <c r="D467" s="60"/>
      <c r="E467" s="60"/>
      <c r="F467" s="42"/>
      <c r="G467" s="42">
        <f>G468</f>
        <v>89032000</v>
      </c>
      <c r="H467" s="154" t="b">
        <f t="shared" si="15"/>
        <v>1</v>
      </c>
    </row>
    <row r="468" spans="1:8" ht="14.25">
      <c r="A468" s="7" t="s">
        <v>3103</v>
      </c>
      <c r="B468" s="124"/>
      <c r="C468" s="123" t="s">
        <v>3796</v>
      </c>
      <c r="D468" s="124">
        <v>22</v>
      </c>
      <c r="E468" s="124" t="s">
        <v>10</v>
      </c>
      <c r="F468" s="125">
        <v>4046950</v>
      </c>
      <c r="G468" s="125">
        <f>ROUNDDOWN(D468*F468,-3)</f>
        <v>89032000</v>
      </c>
      <c r="H468" s="154" t="b">
        <f t="shared" si="15"/>
        <v>1</v>
      </c>
    </row>
    <row r="469" spans="1:8" ht="14.25">
      <c r="A469" s="7" t="s">
        <v>3104</v>
      </c>
      <c r="B469" s="119" t="s">
        <v>3798</v>
      </c>
      <c r="C469" s="118" t="s">
        <v>3106</v>
      </c>
      <c r="D469" s="119">
        <v>1</v>
      </c>
      <c r="E469" s="119" t="s">
        <v>3782</v>
      </c>
      <c r="F469" s="120"/>
      <c r="G469" s="120">
        <f>G470</f>
        <v>289920000</v>
      </c>
      <c r="H469" s="154" t="b">
        <f t="shared" si="15"/>
        <v>1</v>
      </c>
    </row>
    <row r="470" spans="1:8" ht="25.5">
      <c r="A470" s="7" t="s">
        <v>3318</v>
      </c>
      <c r="B470" s="58">
        <v>301</v>
      </c>
      <c r="C470" s="35" t="s">
        <v>3319</v>
      </c>
      <c r="D470" s="58"/>
      <c r="E470" s="58"/>
      <c r="F470" s="36"/>
      <c r="G470" s="36">
        <f>SUM(G471,G481,G490,G498,G511,G519)</f>
        <v>289920000</v>
      </c>
      <c r="H470" s="154" t="b">
        <f t="shared" si="15"/>
        <v>1</v>
      </c>
    </row>
    <row r="471" spans="1:8" ht="14.25">
      <c r="A471" s="7" t="s">
        <v>3320</v>
      </c>
      <c r="B471" s="59" t="s">
        <v>8</v>
      </c>
      <c r="C471" s="38" t="s">
        <v>143</v>
      </c>
      <c r="D471" s="59"/>
      <c r="E471" s="59"/>
      <c r="F471" s="39"/>
      <c r="G471" s="39">
        <f>SUM(G472,G477,G479)</f>
        <v>40700000</v>
      </c>
      <c r="H471" s="154" t="b">
        <f t="shared" si="15"/>
        <v>1</v>
      </c>
    </row>
    <row r="472" spans="1:8" ht="14.25">
      <c r="A472" s="7" t="s">
        <v>3321</v>
      </c>
      <c r="B472" s="60">
        <v>521211</v>
      </c>
      <c r="C472" s="41" t="s">
        <v>7</v>
      </c>
      <c r="D472" s="60"/>
      <c r="E472" s="60"/>
      <c r="F472" s="42"/>
      <c r="G472" s="42">
        <f>SUM(G473:G476)</f>
        <v>23900000</v>
      </c>
      <c r="H472" s="154" t="b">
        <f t="shared" si="15"/>
        <v>1</v>
      </c>
    </row>
    <row r="473" spans="1:8" ht="14.25">
      <c r="A473" s="7" t="s">
        <v>3322</v>
      </c>
      <c r="B473" s="124"/>
      <c r="C473" s="123" t="s">
        <v>3587</v>
      </c>
      <c r="D473" s="124">
        <v>5</v>
      </c>
      <c r="E473" s="124" t="s">
        <v>9</v>
      </c>
      <c r="F473" s="125">
        <v>1500000</v>
      </c>
      <c r="G473" s="125">
        <f>ROUNDDOWN(D473*F473,-3)</f>
        <v>7500000</v>
      </c>
      <c r="H473" s="154" t="b">
        <f t="shared" si="15"/>
        <v>1</v>
      </c>
    </row>
    <row r="474" spans="1:8" ht="14.25">
      <c r="A474" s="7" t="s">
        <v>3323</v>
      </c>
      <c r="B474" s="124"/>
      <c r="C474" s="123" t="s">
        <v>3784</v>
      </c>
      <c r="D474" s="124">
        <v>20</v>
      </c>
      <c r="E474" s="124" t="s">
        <v>10</v>
      </c>
      <c r="F474" s="125">
        <v>70000</v>
      </c>
      <c r="G474" s="125">
        <f>ROUNDDOWN(D474*F474,-3)</f>
        <v>1400000</v>
      </c>
      <c r="H474" s="154" t="b">
        <f t="shared" si="15"/>
        <v>1</v>
      </c>
    </row>
    <row r="475" spans="1:8" ht="14.25">
      <c r="A475" s="7" t="s">
        <v>3324</v>
      </c>
      <c r="B475" s="124"/>
      <c r="C475" s="123" t="s">
        <v>3588</v>
      </c>
      <c r="D475" s="124">
        <v>6</v>
      </c>
      <c r="E475" s="124" t="s">
        <v>106</v>
      </c>
      <c r="F475" s="125">
        <v>1000000</v>
      </c>
      <c r="G475" s="125">
        <f>ROUNDDOWN(D475*F475,-3)</f>
        <v>6000000</v>
      </c>
      <c r="H475" s="154" t="b">
        <f t="shared" si="15"/>
        <v>1</v>
      </c>
    </row>
    <row r="476" spans="1:8" ht="14.25">
      <c r="A476" s="7" t="s">
        <v>3325</v>
      </c>
      <c r="B476" s="124"/>
      <c r="C476" s="123" t="s">
        <v>3589</v>
      </c>
      <c r="D476" s="124">
        <v>6</v>
      </c>
      <c r="E476" s="124" t="s">
        <v>106</v>
      </c>
      <c r="F476" s="125">
        <v>1500000</v>
      </c>
      <c r="G476" s="125">
        <f>ROUNDDOWN(D476*F476,-3)</f>
        <v>9000000</v>
      </c>
      <c r="H476" s="154" t="b">
        <f t="shared" si="15"/>
        <v>1</v>
      </c>
    </row>
    <row r="477" spans="1:8" ht="14.25">
      <c r="A477" s="7" t="s">
        <v>3326</v>
      </c>
      <c r="B477" s="60">
        <v>524111</v>
      </c>
      <c r="C477" s="41" t="s">
        <v>19</v>
      </c>
      <c r="D477" s="60"/>
      <c r="E477" s="60"/>
      <c r="F477" s="42"/>
      <c r="G477" s="42">
        <f>G478</f>
        <v>15000000</v>
      </c>
      <c r="H477" s="154" t="b">
        <f t="shared" si="15"/>
        <v>1</v>
      </c>
    </row>
    <row r="478" spans="1:8" ht="14.25">
      <c r="A478" s="7" t="s">
        <v>3327</v>
      </c>
      <c r="B478" s="124"/>
      <c r="C478" s="123" t="s">
        <v>3800</v>
      </c>
      <c r="D478" s="124">
        <v>5</v>
      </c>
      <c r="E478" s="124" t="s">
        <v>10</v>
      </c>
      <c r="F478" s="125">
        <v>3000000</v>
      </c>
      <c r="G478" s="125">
        <f>ROUNDDOWN(D478*F478,-3)</f>
        <v>15000000</v>
      </c>
      <c r="H478" s="154" t="b">
        <f t="shared" si="15"/>
        <v>1</v>
      </c>
    </row>
    <row r="479" spans="1:8" ht="14.25">
      <c r="A479" s="7" t="s">
        <v>3329</v>
      </c>
      <c r="B479" s="60">
        <v>524113</v>
      </c>
      <c r="C479" s="41" t="s">
        <v>13</v>
      </c>
      <c r="D479" s="60"/>
      <c r="E479" s="60"/>
      <c r="F479" s="42"/>
      <c r="G479" s="42">
        <f>G480</f>
        <v>1800000</v>
      </c>
      <c r="H479" s="154" t="b">
        <f t="shared" si="15"/>
        <v>1</v>
      </c>
    </row>
    <row r="480" spans="1:8" ht="14.25">
      <c r="A480" s="7" t="s">
        <v>3330</v>
      </c>
      <c r="B480" s="124"/>
      <c r="C480" s="123" t="s">
        <v>3590</v>
      </c>
      <c r="D480" s="124">
        <v>12</v>
      </c>
      <c r="E480" s="124" t="s">
        <v>10</v>
      </c>
      <c r="F480" s="125">
        <v>150000</v>
      </c>
      <c r="G480" s="125">
        <f>ROUNDDOWN(D480*F480,-3)</f>
        <v>1800000</v>
      </c>
      <c r="H480" s="154" t="b">
        <f t="shared" si="15"/>
        <v>1</v>
      </c>
    </row>
    <row r="481" spans="1:8" ht="14.25">
      <c r="A481" s="7" t="s">
        <v>3331</v>
      </c>
      <c r="B481" s="59" t="s">
        <v>511</v>
      </c>
      <c r="C481" s="38" t="s">
        <v>144</v>
      </c>
      <c r="D481" s="59"/>
      <c r="E481" s="59"/>
      <c r="F481" s="39"/>
      <c r="G481" s="39">
        <f>SUM(G482,G486,G488)</f>
        <v>30900000</v>
      </c>
      <c r="H481" s="154" t="b">
        <f t="shared" si="15"/>
        <v>1</v>
      </c>
    </row>
    <row r="482" spans="1:8" ht="14.25">
      <c r="A482" s="7" t="s">
        <v>3332</v>
      </c>
      <c r="B482" s="60">
        <v>521211</v>
      </c>
      <c r="C482" s="41" t="s">
        <v>7</v>
      </c>
      <c r="D482" s="60"/>
      <c r="E482" s="60"/>
      <c r="F482" s="42"/>
      <c r="G482" s="42">
        <f>SUM(G483:G485)</f>
        <v>11400000</v>
      </c>
      <c r="H482" s="154" t="b">
        <f t="shared" si="15"/>
        <v>1</v>
      </c>
    </row>
    <row r="483" spans="1:8" ht="14.25">
      <c r="A483" s="7" t="s">
        <v>3333</v>
      </c>
      <c r="B483" s="124"/>
      <c r="C483" s="123" t="s">
        <v>3781</v>
      </c>
      <c r="D483" s="124">
        <v>4</v>
      </c>
      <c r="E483" s="124" t="s">
        <v>9</v>
      </c>
      <c r="F483" s="125">
        <v>1500000</v>
      </c>
      <c r="G483" s="125">
        <f>ROUNDDOWN(D483*F483,-3)</f>
        <v>6000000</v>
      </c>
      <c r="H483" s="154" t="b">
        <f t="shared" si="15"/>
        <v>1</v>
      </c>
    </row>
    <row r="484" spans="1:8" ht="14.25">
      <c r="A484" s="7" t="s">
        <v>3334</v>
      </c>
      <c r="B484" s="124"/>
      <c r="C484" s="123" t="s">
        <v>3784</v>
      </c>
      <c r="D484" s="124">
        <v>20</v>
      </c>
      <c r="E484" s="124" t="s">
        <v>10</v>
      </c>
      <c r="F484" s="125">
        <v>70000</v>
      </c>
      <c r="G484" s="125">
        <f>ROUNDDOWN(D484*F484,-3)</f>
        <v>1400000</v>
      </c>
      <c r="H484" s="154" t="b">
        <f t="shared" si="15"/>
        <v>1</v>
      </c>
    </row>
    <row r="485" spans="1:8" ht="14.25">
      <c r="A485" s="7" t="s">
        <v>3335</v>
      </c>
      <c r="B485" s="124"/>
      <c r="C485" s="123" t="s">
        <v>3588</v>
      </c>
      <c r="D485" s="124">
        <v>4</v>
      </c>
      <c r="E485" s="124" t="s">
        <v>106</v>
      </c>
      <c r="F485" s="125">
        <v>1000000</v>
      </c>
      <c r="G485" s="125">
        <f>ROUNDDOWN(D485*F485,-3)</f>
        <v>4000000</v>
      </c>
      <c r="H485" s="154" t="b">
        <f t="shared" si="15"/>
        <v>1</v>
      </c>
    </row>
    <row r="486" spans="1:8" ht="14.25">
      <c r="A486" s="7" t="s">
        <v>3336</v>
      </c>
      <c r="B486" s="60">
        <v>524111</v>
      </c>
      <c r="C486" s="41" t="s">
        <v>19</v>
      </c>
      <c r="D486" s="60"/>
      <c r="E486" s="60"/>
      <c r="F486" s="42"/>
      <c r="G486" s="42">
        <f>G487</f>
        <v>18000000</v>
      </c>
      <c r="H486" s="154" t="b">
        <f t="shared" si="15"/>
        <v>1</v>
      </c>
    </row>
    <row r="487" spans="1:8" ht="14.25">
      <c r="A487" s="7" t="s">
        <v>3337</v>
      </c>
      <c r="B487" s="124"/>
      <c r="C487" s="123" t="s">
        <v>3800</v>
      </c>
      <c r="D487" s="124">
        <v>6</v>
      </c>
      <c r="E487" s="124" t="s">
        <v>10</v>
      </c>
      <c r="F487" s="125">
        <v>3000000</v>
      </c>
      <c r="G487" s="125">
        <f>ROUNDDOWN(D487*F487,-3)</f>
        <v>18000000</v>
      </c>
      <c r="H487" s="154" t="b">
        <f t="shared" si="15"/>
        <v>1</v>
      </c>
    </row>
    <row r="488" spans="1:8" ht="14.25">
      <c r="A488" s="7" t="s">
        <v>3338</v>
      </c>
      <c r="B488" s="60">
        <v>524113</v>
      </c>
      <c r="C488" s="41" t="s">
        <v>13</v>
      </c>
      <c r="D488" s="60"/>
      <c r="E488" s="60"/>
      <c r="F488" s="42"/>
      <c r="G488" s="42">
        <f>G489</f>
        <v>1500000</v>
      </c>
      <c r="H488" s="154" t="b">
        <f t="shared" si="15"/>
        <v>1</v>
      </c>
    </row>
    <row r="489" spans="1:8" ht="14.25">
      <c r="A489" s="7" t="s">
        <v>3339</v>
      </c>
      <c r="B489" s="124"/>
      <c r="C489" s="123" t="s">
        <v>3593</v>
      </c>
      <c r="D489" s="124">
        <v>10</v>
      </c>
      <c r="E489" s="124" t="s">
        <v>10</v>
      </c>
      <c r="F489" s="125">
        <v>150000</v>
      </c>
      <c r="G489" s="125">
        <f>ROUNDDOWN(D489*F489,-3)</f>
        <v>1500000</v>
      </c>
      <c r="H489" s="154" t="b">
        <f t="shared" si="15"/>
        <v>1</v>
      </c>
    </row>
    <row r="490" spans="1:8" ht="14.25">
      <c r="A490" s="7" t="s">
        <v>3340</v>
      </c>
      <c r="B490" s="59" t="s">
        <v>512</v>
      </c>
      <c r="C490" s="38" t="s">
        <v>145</v>
      </c>
      <c r="D490" s="59"/>
      <c r="E490" s="59"/>
      <c r="F490" s="39"/>
      <c r="G490" s="39">
        <f>SUM(G491,G494,G496)</f>
        <v>26500000</v>
      </c>
      <c r="H490" s="154" t="b">
        <f t="shared" si="15"/>
        <v>1</v>
      </c>
    </row>
    <row r="491" spans="1:8" ht="14.25">
      <c r="A491" s="7" t="s">
        <v>3341</v>
      </c>
      <c r="B491" s="60">
        <v>521211</v>
      </c>
      <c r="C491" s="41" t="s">
        <v>7</v>
      </c>
      <c r="D491" s="60"/>
      <c r="E491" s="60"/>
      <c r="F491" s="42"/>
      <c r="G491" s="42">
        <f>SUM(G492:G493)</f>
        <v>10000000</v>
      </c>
      <c r="H491" s="154" t="b">
        <f t="shared" si="15"/>
        <v>1</v>
      </c>
    </row>
    <row r="492" spans="1:8" ht="14.25">
      <c r="A492" s="7" t="s">
        <v>3342</v>
      </c>
      <c r="B492" s="124"/>
      <c r="C492" s="123" t="s">
        <v>3781</v>
      </c>
      <c r="D492" s="124">
        <v>4</v>
      </c>
      <c r="E492" s="124" t="s">
        <v>9</v>
      </c>
      <c r="F492" s="125">
        <v>1500000</v>
      </c>
      <c r="G492" s="125">
        <f>ROUNDDOWN(D492*F492,-3)</f>
        <v>6000000</v>
      </c>
      <c r="H492" s="154" t="b">
        <f t="shared" si="15"/>
        <v>1</v>
      </c>
    </row>
    <row r="493" spans="1:8" ht="14.25">
      <c r="A493" s="7" t="s">
        <v>3343</v>
      </c>
      <c r="B493" s="124"/>
      <c r="C493" s="123" t="s">
        <v>3598</v>
      </c>
      <c r="D493" s="124">
        <v>4</v>
      </c>
      <c r="E493" s="124" t="s">
        <v>106</v>
      </c>
      <c r="F493" s="125">
        <v>1000000</v>
      </c>
      <c r="G493" s="125">
        <f>ROUNDDOWN(D493*F493,-3)</f>
        <v>4000000</v>
      </c>
      <c r="H493" s="154" t="b">
        <f t="shared" si="15"/>
        <v>1</v>
      </c>
    </row>
    <row r="494" spans="1:8" ht="14.25">
      <c r="A494" s="7" t="s">
        <v>3344</v>
      </c>
      <c r="B494" s="60">
        <v>524111</v>
      </c>
      <c r="C494" s="41" t="s">
        <v>19</v>
      </c>
      <c r="D494" s="60"/>
      <c r="E494" s="60"/>
      <c r="F494" s="42"/>
      <c r="G494" s="42">
        <f>G495</f>
        <v>15000000</v>
      </c>
      <c r="H494" s="154" t="b">
        <f t="shared" si="15"/>
        <v>1</v>
      </c>
    </row>
    <row r="495" spans="1:8" ht="14.25">
      <c r="A495" s="7" t="s">
        <v>3345</v>
      </c>
      <c r="B495" s="124"/>
      <c r="C495" s="123" t="s">
        <v>3801</v>
      </c>
      <c r="D495" s="124">
        <v>5</v>
      </c>
      <c r="E495" s="124" t="s">
        <v>10</v>
      </c>
      <c r="F495" s="125">
        <v>3000000</v>
      </c>
      <c r="G495" s="125">
        <f>ROUNDDOWN(D495*F495,-3)</f>
        <v>15000000</v>
      </c>
      <c r="H495" s="154" t="b">
        <f t="shared" si="15"/>
        <v>1</v>
      </c>
    </row>
    <row r="496" spans="1:8" ht="14.25">
      <c r="A496" s="7" t="s">
        <v>3347</v>
      </c>
      <c r="B496" s="60">
        <v>524113</v>
      </c>
      <c r="C496" s="41" t="s">
        <v>13</v>
      </c>
      <c r="D496" s="60"/>
      <c r="E496" s="60"/>
      <c r="F496" s="42"/>
      <c r="G496" s="42">
        <f>G497</f>
        <v>1500000</v>
      </c>
      <c r="H496" s="154" t="b">
        <f t="shared" si="15"/>
        <v>1</v>
      </c>
    </row>
    <row r="497" spans="1:8" ht="14.25">
      <c r="A497" s="7" t="s">
        <v>3348</v>
      </c>
      <c r="B497" s="124"/>
      <c r="C497" s="123" t="s">
        <v>3593</v>
      </c>
      <c r="D497" s="124">
        <v>10</v>
      </c>
      <c r="E497" s="124" t="s">
        <v>10</v>
      </c>
      <c r="F497" s="125">
        <v>150000</v>
      </c>
      <c r="G497" s="125">
        <f>ROUNDDOWN(D497*F497,-3)</f>
        <v>1500000</v>
      </c>
      <c r="H497" s="154" t="b">
        <f t="shared" si="15"/>
        <v>1</v>
      </c>
    </row>
    <row r="498" spans="1:8" ht="14.25">
      <c r="A498" s="7" t="s">
        <v>3349</v>
      </c>
      <c r="B498" s="59" t="s">
        <v>514</v>
      </c>
      <c r="C498" s="38" t="s">
        <v>3350</v>
      </c>
      <c r="D498" s="59"/>
      <c r="E498" s="59"/>
      <c r="F498" s="39"/>
      <c r="G498" s="39">
        <f>SUM(G499,G505,G507,G509)</f>
        <v>86700000</v>
      </c>
      <c r="H498" s="154" t="b">
        <f t="shared" si="15"/>
        <v>1</v>
      </c>
    </row>
    <row r="499" spans="1:8" ht="14.25">
      <c r="A499" s="7" t="s">
        <v>3351</v>
      </c>
      <c r="B499" s="60">
        <v>521211</v>
      </c>
      <c r="C499" s="41" t="s">
        <v>7</v>
      </c>
      <c r="D499" s="60"/>
      <c r="E499" s="60"/>
      <c r="F499" s="42"/>
      <c r="G499" s="42">
        <f>SUM(G500:G504)</f>
        <v>32400000</v>
      </c>
      <c r="H499" s="154" t="b">
        <f t="shared" si="15"/>
        <v>1</v>
      </c>
    </row>
    <row r="500" spans="1:8" ht="14.25">
      <c r="A500" s="7" t="s">
        <v>3352</v>
      </c>
      <c r="B500" s="124"/>
      <c r="C500" s="123" t="s">
        <v>3781</v>
      </c>
      <c r="D500" s="124">
        <v>6</v>
      </c>
      <c r="E500" s="124" t="s">
        <v>9</v>
      </c>
      <c r="F500" s="125">
        <v>1500000</v>
      </c>
      <c r="G500" s="125">
        <f>ROUNDDOWN(D500*F500,-3)</f>
        <v>9000000</v>
      </c>
      <c r="H500" s="154" t="b">
        <f t="shared" si="15"/>
        <v>1</v>
      </c>
    </row>
    <row r="501" spans="1:8" ht="14.25">
      <c r="A501" s="7" t="s">
        <v>3353</v>
      </c>
      <c r="B501" s="124"/>
      <c r="C501" s="123" t="s">
        <v>3784</v>
      </c>
      <c r="D501" s="124">
        <v>20</v>
      </c>
      <c r="E501" s="124" t="s">
        <v>10</v>
      </c>
      <c r="F501" s="125">
        <v>70000</v>
      </c>
      <c r="G501" s="125">
        <f>ROUNDDOWN(D501*F501,-3)</f>
        <v>1400000</v>
      </c>
      <c r="H501" s="154" t="b">
        <f t="shared" si="15"/>
        <v>1</v>
      </c>
    </row>
    <row r="502" spans="1:8" s="156" customFormat="1" ht="14.25">
      <c r="A502" s="155" t="s">
        <v>3354</v>
      </c>
      <c r="B502" s="124"/>
      <c r="C502" s="123" t="s">
        <v>3802</v>
      </c>
      <c r="D502" s="124">
        <v>28</v>
      </c>
      <c r="E502" s="124" t="s">
        <v>176</v>
      </c>
      <c r="F502" s="125">
        <v>500000</v>
      </c>
      <c r="G502" s="125">
        <f>ROUNDDOWN(D502*F502,-3)</f>
        <v>14000000</v>
      </c>
      <c r="H502" s="154" t="b">
        <f t="shared" si="15"/>
        <v>1</v>
      </c>
    </row>
    <row r="503" spans="1:8" ht="14.25">
      <c r="A503" s="7" t="s">
        <v>3356</v>
      </c>
      <c r="B503" s="124"/>
      <c r="C503" s="123" t="s">
        <v>3803</v>
      </c>
      <c r="D503" s="124">
        <v>4</v>
      </c>
      <c r="E503" s="124" t="s">
        <v>58</v>
      </c>
      <c r="F503" s="125">
        <v>500000</v>
      </c>
      <c r="G503" s="125">
        <f>ROUNDDOWN(D503*F503,-3)</f>
        <v>2000000</v>
      </c>
      <c r="H503" s="154" t="b">
        <f t="shared" si="15"/>
        <v>1</v>
      </c>
    </row>
    <row r="504" spans="1:8" ht="14.25">
      <c r="A504" s="7" t="s">
        <v>3358</v>
      </c>
      <c r="B504" s="124"/>
      <c r="C504" s="123" t="s">
        <v>3799</v>
      </c>
      <c r="D504" s="124">
        <v>6</v>
      </c>
      <c r="E504" s="124" t="s">
        <v>106</v>
      </c>
      <c r="F504" s="125">
        <v>1000000</v>
      </c>
      <c r="G504" s="125">
        <f>ROUNDDOWN(D504*F504,-3)</f>
        <v>6000000</v>
      </c>
      <c r="H504" s="154" t="b">
        <f t="shared" si="15"/>
        <v>1</v>
      </c>
    </row>
    <row r="505" spans="1:8" ht="14.25">
      <c r="A505" s="7" t="s">
        <v>3359</v>
      </c>
      <c r="B505" s="60">
        <v>522151</v>
      </c>
      <c r="C505" s="41" t="s">
        <v>11</v>
      </c>
      <c r="D505" s="60"/>
      <c r="E505" s="60"/>
      <c r="F505" s="42"/>
      <c r="G505" s="42">
        <f>G506</f>
        <v>9000000</v>
      </c>
      <c r="H505" s="154" t="b">
        <f t="shared" si="15"/>
        <v>1</v>
      </c>
    </row>
    <row r="506" spans="1:8" ht="14.25">
      <c r="A506" s="7" t="s">
        <v>3360</v>
      </c>
      <c r="B506" s="124"/>
      <c r="C506" s="123" t="s">
        <v>3603</v>
      </c>
      <c r="D506" s="124">
        <v>10</v>
      </c>
      <c r="E506" s="124" t="s">
        <v>12</v>
      </c>
      <c r="F506" s="125">
        <v>900000</v>
      </c>
      <c r="G506" s="125">
        <f>ROUNDDOWN(D506*F506,-3)</f>
        <v>9000000</v>
      </c>
      <c r="H506" s="154" t="b">
        <f t="shared" si="15"/>
        <v>1</v>
      </c>
    </row>
    <row r="507" spans="1:8" ht="14.25">
      <c r="A507" s="7" t="s">
        <v>3361</v>
      </c>
      <c r="B507" s="60">
        <v>524111</v>
      </c>
      <c r="C507" s="41" t="s">
        <v>19</v>
      </c>
      <c r="D507" s="60"/>
      <c r="E507" s="60"/>
      <c r="F507" s="42"/>
      <c r="G507" s="42">
        <f>G508</f>
        <v>42000000</v>
      </c>
      <c r="H507" s="154" t="b">
        <f t="shared" si="15"/>
        <v>1</v>
      </c>
    </row>
    <row r="508" spans="1:8" ht="25.5">
      <c r="A508" s="7" t="s">
        <v>3362</v>
      </c>
      <c r="B508" s="124"/>
      <c r="C508" s="123" t="s">
        <v>3804</v>
      </c>
      <c r="D508" s="124">
        <v>14</v>
      </c>
      <c r="E508" s="124" t="s">
        <v>10</v>
      </c>
      <c r="F508" s="125">
        <v>3000000</v>
      </c>
      <c r="G508" s="125">
        <f>ROUNDDOWN(D508*F508,-3)</f>
        <v>42000000</v>
      </c>
      <c r="H508" s="154" t="b">
        <f t="shared" si="15"/>
        <v>1</v>
      </c>
    </row>
    <row r="509" spans="1:8" ht="14.25">
      <c r="A509" s="7" t="s">
        <v>3364</v>
      </c>
      <c r="B509" s="60">
        <v>524113</v>
      </c>
      <c r="C509" s="41" t="s">
        <v>13</v>
      </c>
      <c r="D509" s="60"/>
      <c r="E509" s="60"/>
      <c r="F509" s="42"/>
      <c r="G509" s="42">
        <f>G510</f>
        <v>3300000</v>
      </c>
      <c r="H509" s="154" t="b">
        <f t="shared" si="15"/>
        <v>1</v>
      </c>
    </row>
    <row r="510" spans="1:8" ht="25.5">
      <c r="A510" s="7" t="s">
        <v>3365</v>
      </c>
      <c r="B510" s="124"/>
      <c r="C510" s="123" t="s">
        <v>3805</v>
      </c>
      <c r="D510" s="124">
        <v>22</v>
      </c>
      <c r="E510" s="124" t="s">
        <v>10</v>
      </c>
      <c r="F510" s="125">
        <v>150000</v>
      </c>
      <c r="G510" s="125">
        <f>ROUNDDOWN(D510*F510,-3)</f>
        <v>3300000</v>
      </c>
      <c r="H510" s="154" t="b">
        <f t="shared" si="15"/>
        <v>1</v>
      </c>
    </row>
    <row r="511" spans="1:8" ht="14.25">
      <c r="A511" s="7" t="s">
        <v>3367</v>
      </c>
      <c r="B511" s="59" t="s">
        <v>519</v>
      </c>
      <c r="C511" s="38" t="s">
        <v>146</v>
      </c>
      <c r="D511" s="59"/>
      <c r="E511" s="59"/>
      <c r="F511" s="39"/>
      <c r="G511" s="39">
        <f>SUM(G512,G515,G517)</f>
        <v>28800000</v>
      </c>
      <c r="H511" s="154" t="b">
        <f>_xlfn.ISFORMULA(G511)</f>
        <v>1</v>
      </c>
    </row>
    <row r="512" spans="1:8" ht="14.25">
      <c r="A512" s="7" t="s">
        <v>3368</v>
      </c>
      <c r="B512" s="60">
        <v>521211</v>
      </c>
      <c r="C512" s="41" t="s">
        <v>7</v>
      </c>
      <c r="D512" s="60"/>
      <c r="E512" s="60"/>
      <c r="F512" s="42"/>
      <c r="G512" s="42">
        <f>SUM(G513:G514)</f>
        <v>15000000</v>
      </c>
      <c r="H512" s="154" t="b">
        <f t="shared" si="15"/>
        <v>1</v>
      </c>
    </row>
    <row r="513" spans="1:8" ht="14.25">
      <c r="A513" s="7" t="s">
        <v>3369</v>
      </c>
      <c r="B513" s="124"/>
      <c r="C513" s="123" t="s">
        <v>3781</v>
      </c>
      <c r="D513" s="124">
        <v>6</v>
      </c>
      <c r="E513" s="124" t="s">
        <v>9</v>
      </c>
      <c r="F513" s="125">
        <v>1500000</v>
      </c>
      <c r="G513" s="125">
        <f>ROUNDDOWN(D513*F513,-3)</f>
        <v>9000000</v>
      </c>
      <c r="H513" s="154" t="b">
        <f t="shared" si="15"/>
        <v>1</v>
      </c>
    </row>
    <row r="514" spans="1:8" ht="14.25">
      <c r="A514" s="7" t="s">
        <v>3370</v>
      </c>
      <c r="B514" s="124"/>
      <c r="C514" s="123" t="s">
        <v>3598</v>
      </c>
      <c r="D514" s="124">
        <v>6</v>
      </c>
      <c r="E514" s="124" t="s">
        <v>106</v>
      </c>
      <c r="F514" s="125">
        <v>1000000</v>
      </c>
      <c r="G514" s="125">
        <f>ROUNDDOWN(D514*F514,-3)</f>
        <v>6000000</v>
      </c>
      <c r="H514" s="154" t="b">
        <f t="shared" si="15"/>
        <v>1</v>
      </c>
    </row>
    <row r="515" spans="1:8" ht="14.25">
      <c r="A515" s="7" t="s">
        <v>3371</v>
      </c>
      <c r="B515" s="60">
        <v>524111</v>
      </c>
      <c r="C515" s="41" t="s">
        <v>19</v>
      </c>
      <c r="D515" s="60"/>
      <c r="E515" s="60"/>
      <c r="F515" s="42"/>
      <c r="G515" s="42">
        <f>G516</f>
        <v>12000000</v>
      </c>
      <c r="H515" s="154" t="b">
        <f t="shared" si="15"/>
        <v>1</v>
      </c>
    </row>
    <row r="516" spans="1:8" ht="14.25">
      <c r="A516" s="7" t="s">
        <v>3372</v>
      </c>
      <c r="B516" s="124"/>
      <c r="C516" s="123" t="s">
        <v>3806</v>
      </c>
      <c r="D516" s="124">
        <v>4</v>
      </c>
      <c r="E516" s="124" t="s">
        <v>10</v>
      </c>
      <c r="F516" s="125">
        <v>3000000</v>
      </c>
      <c r="G516" s="125">
        <f>ROUNDDOWN(D516*F516,-3)</f>
        <v>12000000</v>
      </c>
      <c r="H516" s="154" t="b">
        <f t="shared" si="15"/>
        <v>1</v>
      </c>
    </row>
    <row r="517" spans="1:8" ht="14.25">
      <c r="A517" s="7" t="s">
        <v>3374</v>
      </c>
      <c r="B517" s="60">
        <v>524113</v>
      </c>
      <c r="C517" s="41" t="s">
        <v>13</v>
      </c>
      <c r="D517" s="60"/>
      <c r="E517" s="60"/>
      <c r="F517" s="42"/>
      <c r="G517" s="42">
        <f>G518</f>
        <v>1800000</v>
      </c>
      <c r="H517" s="154" t="b">
        <f t="shared" si="15"/>
        <v>1</v>
      </c>
    </row>
    <row r="518" spans="1:8" ht="14.25">
      <c r="A518" s="7" t="s">
        <v>3375</v>
      </c>
      <c r="B518" s="124"/>
      <c r="C518" s="123" t="s">
        <v>3807</v>
      </c>
      <c r="D518" s="124">
        <v>12</v>
      </c>
      <c r="E518" s="124" t="s">
        <v>10</v>
      </c>
      <c r="F518" s="125">
        <v>150000</v>
      </c>
      <c r="G518" s="125">
        <f>ROUNDDOWN(D518*F518,-3)</f>
        <v>1800000</v>
      </c>
      <c r="H518" s="154" t="b">
        <f t="shared" si="15"/>
        <v>1</v>
      </c>
    </row>
    <row r="519" spans="1:8" ht="14.25">
      <c r="A519" s="7" t="s">
        <v>3377</v>
      </c>
      <c r="B519" s="59" t="s">
        <v>578</v>
      </c>
      <c r="C519" s="38" t="s">
        <v>147</v>
      </c>
      <c r="D519" s="59"/>
      <c r="E519" s="59"/>
      <c r="F519" s="39"/>
      <c r="G519" s="39">
        <f>SUM(G520,G522,G525,G527)</f>
        <v>76320000</v>
      </c>
      <c r="H519" s="154" t="b">
        <f t="shared" si="15"/>
        <v>1</v>
      </c>
    </row>
    <row r="520" spans="1:8" ht="14.25">
      <c r="A520" s="7" t="s">
        <v>3378</v>
      </c>
      <c r="B520" s="60">
        <v>521211</v>
      </c>
      <c r="C520" s="41" t="s">
        <v>7</v>
      </c>
      <c r="D520" s="60"/>
      <c r="E520" s="60"/>
      <c r="F520" s="42"/>
      <c r="G520" s="42">
        <f>G521</f>
        <v>4800000</v>
      </c>
      <c r="H520" s="154" t="b">
        <f t="shared" si="15"/>
        <v>1</v>
      </c>
    </row>
    <row r="521" spans="1:8" ht="14.25">
      <c r="A521" s="7" t="s">
        <v>3379</v>
      </c>
      <c r="B521" s="124"/>
      <c r="C521" s="123" t="s">
        <v>3808</v>
      </c>
      <c r="D521" s="124">
        <v>24</v>
      </c>
      <c r="E521" s="124" t="s">
        <v>176</v>
      </c>
      <c r="F521" s="125">
        <v>200000</v>
      </c>
      <c r="G521" s="125">
        <f>ROUNDDOWN(D521*F521,-3)</f>
        <v>4800000</v>
      </c>
      <c r="H521" s="154" t="b">
        <f t="shared" si="15"/>
        <v>1</v>
      </c>
    </row>
    <row r="522" spans="1:8" ht="14.25">
      <c r="A522" s="7" t="s">
        <v>3381</v>
      </c>
      <c r="B522" s="60">
        <v>521811</v>
      </c>
      <c r="C522" s="41" t="s">
        <v>64</v>
      </c>
      <c r="D522" s="60"/>
      <c r="E522" s="60"/>
      <c r="F522" s="42"/>
      <c r="G522" s="42">
        <f>SUM(G523:G524)</f>
        <v>25000000</v>
      </c>
      <c r="H522" s="154" t="b">
        <f t="shared" si="15"/>
        <v>1</v>
      </c>
    </row>
    <row r="523" spans="1:8" ht="14.25">
      <c r="A523" s="7" t="s">
        <v>3382</v>
      </c>
      <c r="B523" s="124"/>
      <c r="C523" s="123" t="s">
        <v>3781</v>
      </c>
      <c r="D523" s="124">
        <v>10</v>
      </c>
      <c r="E523" s="124" t="s">
        <v>9</v>
      </c>
      <c r="F523" s="125">
        <v>1500000</v>
      </c>
      <c r="G523" s="125">
        <f>ROUNDDOWN(D523*F523,-3)</f>
        <v>15000000</v>
      </c>
      <c r="H523" s="154" t="b">
        <f t="shared" si="15"/>
        <v>1</v>
      </c>
    </row>
    <row r="524" spans="1:8" ht="14.25">
      <c r="A524" s="7" t="s">
        <v>3383</v>
      </c>
      <c r="B524" s="124"/>
      <c r="C524" s="123" t="s">
        <v>3598</v>
      </c>
      <c r="D524" s="124">
        <v>10</v>
      </c>
      <c r="E524" s="124" t="s">
        <v>2749</v>
      </c>
      <c r="F524" s="125">
        <v>1000000</v>
      </c>
      <c r="G524" s="125">
        <f>ROUNDDOWN(D524*F524,-3)</f>
        <v>10000000</v>
      </c>
      <c r="H524" s="154" t="b">
        <f t="shared" si="15"/>
        <v>1</v>
      </c>
    </row>
    <row r="525" spans="1:8" ht="14.25">
      <c r="A525" s="7" t="s">
        <v>3384</v>
      </c>
      <c r="B525" s="60">
        <v>524111</v>
      </c>
      <c r="C525" s="41" t="s">
        <v>19</v>
      </c>
      <c r="D525" s="60"/>
      <c r="E525" s="60"/>
      <c r="F525" s="42"/>
      <c r="G525" s="42">
        <f>G526</f>
        <v>42770000</v>
      </c>
      <c r="H525" s="154" t="b">
        <f t="shared" ref="H525:H588" si="16">_xlfn.ISFORMULA(G525)</f>
        <v>1</v>
      </c>
    </row>
    <row r="526" spans="1:8" ht="14.25">
      <c r="A526" s="7" t="s">
        <v>3385</v>
      </c>
      <c r="B526" s="124"/>
      <c r="C526" s="123" t="s">
        <v>3809</v>
      </c>
      <c r="D526" s="124">
        <v>14</v>
      </c>
      <c r="E526" s="124" t="s">
        <v>10</v>
      </c>
      <c r="F526" s="125">
        <v>3055000</v>
      </c>
      <c r="G526" s="125">
        <f>ROUNDDOWN(D526*F526,-3)</f>
        <v>42770000</v>
      </c>
      <c r="H526" s="154" t="b">
        <f t="shared" si="16"/>
        <v>1</v>
      </c>
    </row>
    <row r="527" spans="1:8" ht="14.25">
      <c r="A527" s="7" t="s">
        <v>3387</v>
      </c>
      <c r="B527" s="60">
        <v>524113</v>
      </c>
      <c r="C527" s="41" t="s">
        <v>13</v>
      </c>
      <c r="D527" s="60"/>
      <c r="E527" s="60"/>
      <c r="F527" s="42"/>
      <c r="G527" s="42">
        <f>G528</f>
        <v>3750000</v>
      </c>
      <c r="H527" s="154" t="b">
        <f t="shared" si="16"/>
        <v>1</v>
      </c>
    </row>
    <row r="528" spans="1:8" ht="14.25">
      <c r="A528" s="7" t="s">
        <v>3388</v>
      </c>
      <c r="B528" s="124"/>
      <c r="C528" s="123" t="s">
        <v>3594</v>
      </c>
      <c r="D528" s="124">
        <v>25</v>
      </c>
      <c r="E528" s="124" t="s">
        <v>10</v>
      </c>
      <c r="F528" s="125">
        <v>150000</v>
      </c>
      <c r="G528" s="125">
        <f>ROUNDDOWN(D528*F528,-3)</f>
        <v>3750000</v>
      </c>
      <c r="H528" s="154" t="b">
        <f t="shared" si="16"/>
        <v>1</v>
      </c>
    </row>
    <row r="529" spans="1:8" ht="14.25">
      <c r="A529" s="7" t="s">
        <v>495</v>
      </c>
      <c r="B529" s="55">
        <v>4345</v>
      </c>
      <c r="C529" s="26" t="s">
        <v>188</v>
      </c>
      <c r="D529" s="55"/>
      <c r="E529" s="55"/>
      <c r="F529" s="27"/>
      <c r="G529" s="27">
        <f>G530</f>
        <v>8582500000</v>
      </c>
      <c r="H529" s="154" t="b">
        <f t="shared" si="16"/>
        <v>1</v>
      </c>
    </row>
    <row r="530" spans="1:8" ht="14.25">
      <c r="A530" s="7" t="s">
        <v>3473</v>
      </c>
      <c r="B530" s="116" t="s">
        <v>3474</v>
      </c>
      <c r="C530" s="114" t="s">
        <v>2312</v>
      </c>
      <c r="D530" s="116">
        <v>4725</v>
      </c>
      <c r="E530" s="116" t="s">
        <v>155</v>
      </c>
      <c r="F530" s="117"/>
      <c r="G530" s="117">
        <f>G531</f>
        <v>8582500000</v>
      </c>
      <c r="H530" s="154" t="b">
        <f t="shared" si="16"/>
        <v>1</v>
      </c>
    </row>
    <row r="531" spans="1:8" ht="14.25">
      <c r="A531" s="7" t="s">
        <v>3475</v>
      </c>
      <c r="B531" s="119" t="s">
        <v>3810</v>
      </c>
      <c r="C531" s="118" t="s">
        <v>3477</v>
      </c>
      <c r="D531" s="119">
        <v>4725</v>
      </c>
      <c r="E531" s="119" t="s">
        <v>155</v>
      </c>
      <c r="F531" s="120"/>
      <c r="G531" s="120">
        <f>SUM(G532,G580)</f>
        <v>8582500000</v>
      </c>
      <c r="H531" s="154" t="b">
        <f t="shared" si="16"/>
        <v>1</v>
      </c>
    </row>
    <row r="532" spans="1:8" ht="14.25">
      <c r="A532" s="7" t="s">
        <v>3478</v>
      </c>
      <c r="B532" s="58">
        <v>301</v>
      </c>
      <c r="C532" s="35" t="s">
        <v>189</v>
      </c>
      <c r="D532" s="58"/>
      <c r="E532" s="58"/>
      <c r="F532" s="36"/>
      <c r="G532" s="36">
        <f>SUM(G533,G552,G568,G577)</f>
        <v>8473300000</v>
      </c>
      <c r="H532" s="154" t="b">
        <f t="shared" si="16"/>
        <v>1</v>
      </c>
    </row>
    <row r="533" spans="1:8" ht="14.25">
      <c r="A533" s="7" t="s">
        <v>3479</v>
      </c>
      <c r="B533" s="59" t="s">
        <v>8</v>
      </c>
      <c r="C533" s="38" t="s">
        <v>190</v>
      </c>
      <c r="D533" s="59"/>
      <c r="E533" s="59"/>
      <c r="F533" s="39"/>
      <c r="G533" s="39">
        <f>SUM(G534,G539,G542,G545,G547,G549)</f>
        <v>1713564000</v>
      </c>
      <c r="H533" s="154" t="b">
        <f t="shared" si="16"/>
        <v>1</v>
      </c>
    </row>
    <row r="534" spans="1:8" ht="14.25">
      <c r="A534" s="7" t="s">
        <v>3480</v>
      </c>
      <c r="B534" s="60">
        <v>521211</v>
      </c>
      <c r="C534" s="41" t="s">
        <v>7</v>
      </c>
      <c r="D534" s="60"/>
      <c r="E534" s="60"/>
      <c r="F534" s="42"/>
      <c r="G534" s="42">
        <f>SUM(G535:G538)</f>
        <v>99100000</v>
      </c>
      <c r="H534" s="154" t="b">
        <f t="shared" si="16"/>
        <v>1</v>
      </c>
    </row>
    <row r="535" spans="1:8" ht="14.25">
      <c r="A535" s="7" t="s">
        <v>3481</v>
      </c>
      <c r="B535" s="124"/>
      <c r="C535" s="123" t="s">
        <v>3811</v>
      </c>
      <c r="D535" s="124">
        <v>400</v>
      </c>
      <c r="E535" s="124" t="s">
        <v>10</v>
      </c>
      <c r="F535" s="125">
        <v>70000</v>
      </c>
      <c r="G535" s="125">
        <f>ROUNDDOWN(D535*F535,-3)</f>
        <v>28000000</v>
      </c>
      <c r="H535" s="154" t="b">
        <f t="shared" si="16"/>
        <v>1</v>
      </c>
    </row>
    <row r="536" spans="1:8" ht="14.25">
      <c r="A536" s="7" t="s">
        <v>3482</v>
      </c>
      <c r="B536" s="124"/>
      <c r="C536" s="123" t="s">
        <v>3812</v>
      </c>
      <c r="D536" s="124">
        <v>10</v>
      </c>
      <c r="E536" s="124" t="s">
        <v>9</v>
      </c>
      <c r="F536" s="125">
        <v>1500000</v>
      </c>
      <c r="G536" s="125">
        <f>ROUNDDOWN(D536*F536,-3)</f>
        <v>15000000</v>
      </c>
      <c r="H536" s="154" t="b">
        <f t="shared" si="16"/>
        <v>1</v>
      </c>
    </row>
    <row r="537" spans="1:8" ht="14.25">
      <c r="A537" s="7" t="s">
        <v>3484</v>
      </c>
      <c r="B537" s="124"/>
      <c r="C537" s="123" t="s">
        <v>3813</v>
      </c>
      <c r="D537" s="124">
        <v>120</v>
      </c>
      <c r="E537" s="124" t="s">
        <v>25</v>
      </c>
      <c r="F537" s="125">
        <v>280000</v>
      </c>
      <c r="G537" s="125">
        <f>ROUNDDOWN(D537*F537,-3)</f>
        <v>33600000</v>
      </c>
      <c r="H537" s="154" t="b">
        <f t="shared" si="16"/>
        <v>1</v>
      </c>
    </row>
    <row r="538" spans="1:8" ht="14.25">
      <c r="A538" s="7" t="s">
        <v>3486</v>
      </c>
      <c r="B538" s="124"/>
      <c r="C538" s="123" t="s">
        <v>3814</v>
      </c>
      <c r="D538" s="124">
        <v>150</v>
      </c>
      <c r="E538" s="124" t="s">
        <v>25</v>
      </c>
      <c r="F538" s="125">
        <v>150000</v>
      </c>
      <c r="G538" s="125">
        <f>ROUNDDOWN(D538*F538,-3)</f>
        <v>22500000</v>
      </c>
      <c r="H538" s="154" t="b">
        <f t="shared" si="16"/>
        <v>1</v>
      </c>
    </row>
    <row r="539" spans="1:8" ht="14.25">
      <c r="A539" s="7" t="s">
        <v>3488</v>
      </c>
      <c r="B539" s="60">
        <v>521219</v>
      </c>
      <c r="C539" s="41" t="s">
        <v>53</v>
      </c>
      <c r="D539" s="60"/>
      <c r="E539" s="60"/>
      <c r="F539" s="42"/>
      <c r="G539" s="42">
        <f>SUM(G540:G541)</f>
        <v>1333864000</v>
      </c>
      <c r="H539" s="154" t="b">
        <f t="shared" si="16"/>
        <v>1</v>
      </c>
    </row>
    <row r="540" spans="1:8" ht="14.25">
      <c r="A540" s="7" t="s">
        <v>3489</v>
      </c>
      <c r="B540" s="124"/>
      <c r="C540" s="123" t="s">
        <v>3815</v>
      </c>
      <c r="D540" s="124">
        <v>33</v>
      </c>
      <c r="E540" s="124" t="s">
        <v>155</v>
      </c>
      <c r="F540" s="125">
        <v>40412550</v>
      </c>
      <c r="G540" s="125">
        <f>ROUNDDOWN(D540*F540,-3)</f>
        <v>1333614000</v>
      </c>
      <c r="H540" s="154" t="b">
        <f t="shared" si="16"/>
        <v>1</v>
      </c>
    </row>
    <row r="541" spans="1:8" ht="14.25">
      <c r="A541" s="7" t="s">
        <v>3491</v>
      </c>
      <c r="B541" s="124"/>
      <c r="C541" s="123" t="s">
        <v>3816</v>
      </c>
      <c r="D541" s="124">
        <v>1</v>
      </c>
      <c r="E541" s="124" t="s">
        <v>9</v>
      </c>
      <c r="F541" s="125">
        <v>250000</v>
      </c>
      <c r="G541" s="125">
        <f>ROUNDDOWN(D541*F541,-3)</f>
        <v>250000</v>
      </c>
      <c r="H541" s="154" t="b">
        <f t="shared" si="16"/>
        <v>1</v>
      </c>
    </row>
    <row r="542" spans="1:8" ht="14.25">
      <c r="A542" s="7" t="s">
        <v>3492</v>
      </c>
      <c r="B542" s="60">
        <v>521811</v>
      </c>
      <c r="C542" s="41" t="s">
        <v>64</v>
      </c>
      <c r="D542" s="60"/>
      <c r="E542" s="60"/>
      <c r="F542" s="42"/>
      <c r="G542" s="42">
        <f>SUM(G543:G544)</f>
        <v>25000000</v>
      </c>
      <c r="H542" s="154" t="b">
        <f t="shared" si="16"/>
        <v>1</v>
      </c>
    </row>
    <row r="543" spans="1:8" ht="14.25">
      <c r="A543" s="7" t="s">
        <v>3493</v>
      </c>
      <c r="B543" s="124"/>
      <c r="C543" s="123" t="s">
        <v>3781</v>
      </c>
      <c r="D543" s="124">
        <v>10</v>
      </c>
      <c r="E543" s="124" t="s">
        <v>9</v>
      </c>
      <c r="F543" s="125">
        <v>1000000</v>
      </c>
      <c r="G543" s="125">
        <f>ROUNDDOWN(D543*F543,-3)</f>
        <v>10000000</v>
      </c>
      <c r="H543" s="154" t="b">
        <f t="shared" si="16"/>
        <v>1</v>
      </c>
    </row>
    <row r="544" spans="1:8" ht="14.25">
      <c r="A544" s="7" t="s">
        <v>3494</v>
      </c>
      <c r="B544" s="124"/>
      <c r="C544" s="123" t="s">
        <v>3598</v>
      </c>
      <c r="D544" s="124">
        <v>10</v>
      </c>
      <c r="E544" s="124" t="s">
        <v>9</v>
      </c>
      <c r="F544" s="125">
        <v>1500000</v>
      </c>
      <c r="G544" s="125">
        <f>ROUNDDOWN(D544*F544,-3)</f>
        <v>15000000</v>
      </c>
      <c r="H544" s="154" t="b">
        <f t="shared" si="16"/>
        <v>1</v>
      </c>
    </row>
    <row r="545" spans="1:8" ht="14.25">
      <c r="A545" s="7" t="s">
        <v>3495</v>
      </c>
      <c r="B545" s="60">
        <v>522151</v>
      </c>
      <c r="C545" s="41" t="s">
        <v>11</v>
      </c>
      <c r="D545" s="60"/>
      <c r="E545" s="60"/>
      <c r="F545" s="42"/>
      <c r="G545" s="42">
        <f>G546</f>
        <v>15000000</v>
      </c>
      <c r="H545" s="154" t="b">
        <f t="shared" si="16"/>
        <v>1</v>
      </c>
    </row>
    <row r="546" spans="1:8" ht="14.25">
      <c r="A546" s="7" t="s">
        <v>3496</v>
      </c>
      <c r="B546" s="124"/>
      <c r="C546" s="123" t="s">
        <v>3603</v>
      </c>
      <c r="D546" s="124">
        <v>15</v>
      </c>
      <c r="E546" s="124" t="s">
        <v>12</v>
      </c>
      <c r="F546" s="125">
        <v>1000000</v>
      </c>
      <c r="G546" s="125">
        <f>ROUNDDOWN(D546*F546,-3)</f>
        <v>15000000</v>
      </c>
      <c r="H546" s="154" t="b">
        <f t="shared" si="16"/>
        <v>1</v>
      </c>
    </row>
    <row r="547" spans="1:8" ht="14.25">
      <c r="A547" s="7" t="s">
        <v>3497</v>
      </c>
      <c r="B547" s="60">
        <v>522191</v>
      </c>
      <c r="C547" s="41" t="s">
        <v>22</v>
      </c>
      <c r="D547" s="60"/>
      <c r="E547" s="60"/>
      <c r="F547" s="42"/>
      <c r="G547" s="42">
        <f>G548</f>
        <v>102600000</v>
      </c>
      <c r="H547" s="154" t="b">
        <f t="shared" si="16"/>
        <v>1</v>
      </c>
    </row>
    <row r="548" spans="1:8" ht="14.25">
      <c r="A548" s="7" t="s">
        <v>3498</v>
      </c>
      <c r="B548" s="124"/>
      <c r="C548" s="123" t="s">
        <v>3817</v>
      </c>
      <c r="D548" s="124">
        <v>120</v>
      </c>
      <c r="E548" s="124" t="s">
        <v>155</v>
      </c>
      <c r="F548" s="125">
        <v>855000</v>
      </c>
      <c r="G548" s="125">
        <f>ROUNDDOWN(D548*F548,-3)</f>
        <v>102600000</v>
      </c>
      <c r="H548" s="154" t="b">
        <f t="shared" si="16"/>
        <v>1</v>
      </c>
    </row>
    <row r="549" spans="1:8" ht="14.25">
      <c r="A549" s="7" t="s">
        <v>3500</v>
      </c>
      <c r="B549" s="60">
        <v>524111</v>
      </c>
      <c r="C549" s="41" t="s">
        <v>19</v>
      </c>
      <c r="D549" s="60"/>
      <c r="E549" s="60"/>
      <c r="F549" s="42"/>
      <c r="G549" s="42">
        <f>SUM(G550:G551)</f>
        <v>138000000</v>
      </c>
      <c r="H549" s="154" t="b">
        <f t="shared" si="16"/>
        <v>1</v>
      </c>
    </row>
    <row r="550" spans="1:8" ht="14.25">
      <c r="A550" s="7" t="s">
        <v>3501</v>
      </c>
      <c r="B550" s="124"/>
      <c r="C550" s="123" t="s">
        <v>3818</v>
      </c>
      <c r="D550" s="124">
        <v>50</v>
      </c>
      <c r="E550" s="124" t="s">
        <v>10</v>
      </c>
      <c r="F550" s="125">
        <v>1200000</v>
      </c>
      <c r="G550" s="125">
        <f>ROUNDDOWN(D550*F550,-3)</f>
        <v>60000000</v>
      </c>
      <c r="H550" s="154" t="b">
        <f t="shared" si="16"/>
        <v>1</v>
      </c>
    </row>
    <row r="551" spans="1:8" ht="25.5">
      <c r="A551" s="7" t="s">
        <v>3503</v>
      </c>
      <c r="B551" s="124"/>
      <c r="C551" s="123" t="s">
        <v>3819</v>
      </c>
      <c r="D551" s="124">
        <v>12</v>
      </c>
      <c r="E551" s="124" t="s">
        <v>10</v>
      </c>
      <c r="F551" s="125">
        <v>6500000</v>
      </c>
      <c r="G551" s="125">
        <f>ROUNDDOWN(D551*F551,-3)</f>
        <v>78000000</v>
      </c>
      <c r="H551" s="154" t="b">
        <f t="shared" si="16"/>
        <v>1</v>
      </c>
    </row>
    <row r="552" spans="1:8" ht="14.25">
      <c r="A552" s="7" t="s">
        <v>3505</v>
      </c>
      <c r="B552" s="59" t="s">
        <v>511</v>
      </c>
      <c r="C552" s="38" t="s">
        <v>191</v>
      </c>
      <c r="D552" s="59"/>
      <c r="E552" s="59"/>
      <c r="F552" s="39"/>
      <c r="G552" s="39">
        <f>SUM(G553,G556,G560,G563,G565)</f>
        <v>6555695000</v>
      </c>
      <c r="H552" s="154" t="b">
        <f t="shared" si="16"/>
        <v>1</v>
      </c>
    </row>
    <row r="553" spans="1:8" ht="14.25">
      <c r="A553" s="7" t="s">
        <v>3506</v>
      </c>
      <c r="B553" s="60">
        <v>521211</v>
      </c>
      <c r="C553" s="41" t="s">
        <v>7</v>
      </c>
      <c r="D553" s="60"/>
      <c r="E553" s="60"/>
      <c r="F553" s="42"/>
      <c r="G553" s="42">
        <f>SUM(G554:G555)</f>
        <v>25000000</v>
      </c>
      <c r="H553" s="154" t="b">
        <f t="shared" si="16"/>
        <v>1</v>
      </c>
    </row>
    <row r="554" spans="1:8" ht="14.25">
      <c r="A554" s="7" t="s">
        <v>3507</v>
      </c>
      <c r="B554" s="124"/>
      <c r="C554" s="123" t="s">
        <v>3811</v>
      </c>
      <c r="D554" s="124">
        <v>100</v>
      </c>
      <c r="E554" s="124" t="s">
        <v>10</v>
      </c>
      <c r="F554" s="125">
        <v>70000</v>
      </c>
      <c r="G554" s="125">
        <f>ROUNDDOWN(D554*F554,-3)</f>
        <v>7000000</v>
      </c>
      <c r="H554" s="154" t="b">
        <f t="shared" si="16"/>
        <v>1</v>
      </c>
    </row>
    <row r="555" spans="1:8" ht="14.25">
      <c r="A555" s="7" t="s">
        <v>3508</v>
      </c>
      <c r="B555" s="124"/>
      <c r="C555" s="123" t="s">
        <v>3812</v>
      </c>
      <c r="D555" s="124">
        <v>12</v>
      </c>
      <c r="E555" s="124" t="s">
        <v>9</v>
      </c>
      <c r="F555" s="125">
        <v>1500000</v>
      </c>
      <c r="G555" s="125">
        <f>ROUNDDOWN(D555*F555,-3)</f>
        <v>18000000</v>
      </c>
      <c r="H555" s="154" t="b">
        <f t="shared" si="16"/>
        <v>1</v>
      </c>
    </row>
    <row r="556" spans="1:8" ht="14.25">
      <c r="A556" s="7" t="s">
        <v>3509</v>
      </c>
      <c r="B556" s="60">
        <v>521219</v>
      </c>
      <c r="C556" s="41" t="s">
        <v>53</v>
      </c>
      <c r="D556" s="60"/>
      <c r="E556" s="60"/>
      <c r="F556" s="42"/>
      <c r="G556" s="42">
        <f>SUM(G557:G559)</f>
        <v>6308695000</v>
      </c>
      <c r="H556" s="154" t="b">
        <f t="shared" si="16"/>
        <v>1</v>
      </c>
    </row>
    <row r="557" spans="1:8" ht="14.25">
      <c r="A557" s="7" t="s">
        <v>3510</v>
      </c>
      <c r="B557" s="124"/>
      <c r="C557" s="123" t="s">
        <v>3815</v>
      </c>
      <c r="D557" s="124">
        <v>157</v>
      </c>
      <c r="E557" s="124" t="s">
        <v>155</v>
      </c>
      <c r="F557" s="125">
        <v>40130229</v>
      </c>
      <c r="G557" s="125">
        <f>ROUNDDOWN(D557*F557,-3)</f>
        <v>6300445000</v>
      </c>
      <c r="H557" s="154" t="b">
        <f t="shared" si="16"/>
        <v>1</v>
      </c>
    </row>
    <row r="558" spans="1:8" ht="14.25">
      <c r="A558" s="7" t="s">
        <v>3511</v>
      </c>
      <c r="B558" s="124"/>
      <c r="C558" s="123" t="s">
        <v>3816</v>
      </c>
      <c r="D558" s="124">
        <v>3</v>
      </c>
      <c r="E558" s="124" t="s">
        <v>9</v>
      </c>
      <c r="F558" s="125">
        <v>250000</v>
      </c>
      <c r="G558" s="125">
        <f>ROUNDDOWN(D558*F558,-3)</f>
        <v>750000</v>
      </c>
      <c r="H558" s="154" t="b">
        <f t="shared" si="16"/>
        <v>1</v>
      </c>
    </row>
    <row r="559" spans="1:8" ht="14.25">
      <c r="A559" s="7" t="s">
        <v>3512</v>
      </c>
      <c r="B559" s="124"/>
      <c r="C559" s="123" t="s">
        <v>3820</v>
      </c>
      <c r="D559" s="124">
        <v>15</v>
      </c>
      <c r="E559" s="124" t="s">
        <v>106</v>
      </c>
      <c r="F559" s="125">
        <v>500000</v>
      </c>
      <c r="G559" s="125">
        <f>ROUNDDOWN(D559*F559,-3)</f>
        <v>7500000</v>
      </c>
      <c r="H559" s="154" t="b">
        <f t="shared" si="16"/>
        <v>1</v>
      </c>
    </row>
    <row r="560" spans="1:8" ht="14.25">
      <c r="A560" s="7" t="s">
        <v>3514</v>
      </c>
      <c r="B560" s="60">
        <v>521811</v>
      </c>
      <c r="C560" s="41" t="s">
        <v>64</v>
      </c>
      <c r="D560" s="60"/>
      <c r="E560" s="60"/>
      <c r="F560" s="42"/>
      <c r="G560" s="42">
        <f>SUM(G561:G562)</f>
        <v>30000000</v>
      </c>
      <c r="H560" s="154" t="b">
        <f t="shared" si="16"/>
        <v>1</v>
      </c>
    </row>
    <row r="561" spans="1:8" ht="14.25">
      <c r="A561" s="7" t="s">
        <v>3515</v>
      </c>
      <c r="B561" s="124"/>
      <c r="C561" s="123" t="s">
        <v>3781</v>
      </c>
      <c r="D561" s="124">
        <v>12</v>
      </c>
      <c r="E561" s="124" t="s">
        <v>9</v>
      </c>
      <c r="F561" s="125">
        <v>1000000</v>
      </c>
      <c r="G561" s="125">
        <f>ROUNDDOWN(D561*F561,-3)</f>
        <v>12000000</v>
      </c>
      <c r="H561" s="154" t="b">
        <f t="shared" si="16"/>
        <v>1</v>
      </c>
    </row>
    <row r="562" spans="1:8" ht="14.25">
      <c r="A562" s="7" t="s">
        <v>3516</v>
      </c>
      <c r="B562" s="124"/>
      <c r="C562" s="123" t="s">
        <v>3598</v>
      </c>
      <c r="D562" s="124">
        <v>12</v>
      </c>
      <c r="E562" s="124" t="s">
        <v>9</v>
      </c>
      <c r="F562" s="125">
        <v>1500000</v>
      </c>
      <c r="G562" s="125">
        <f>ROUNDDOWN(D562*F562,-3)</f>
        <v>18000000</v>
      </c>
      <c r="H562" s="154" t="b">
        <f t="shared" si="16"/>
        <v>1</v>
      </c>
    </row>
    <row r="563" spans="1:8" ht="14.25">
      <c r="A563" s="7" t="s">
        <v>3517</v>
      </c>
      <c r="B563" s="60">
        <v>522151</v>
      </c>
      <c r="C563" s="41" t="s">
        <v>11</v>
      </c>
      <c r="D563" s="60"/>
      <c r="E563" s="60"/>
      <c r="F563" s="42"/>
      <c r="G563" s="42">
        <f>G564</f>
        <v>6000000</v>
      </c>
      <c r="H563" s="154" t="b">
        <f t="shared" si="16"/>
        <v>1</v>
      </c>
    </row>
    <row r="564" spans="1:8" ht="14.25">
      <c r="A564" s="7" t="s">
        <v>3518</v>
      </c>
      <c r="B564" s="124"/>
      <c r="C564" s="123" t="s">
        <v>3603</v>
      </c>
      <c r="D564" s="124">
        <v>6</v>
      </c>
      <c r="E564" s="124" t="s">
        <v>12</v>
      </c>
      <c r="F564" s="125">
        <v>1000000</v>
      </c>
      <c r="G564" s="125">
        <f>ROUNDDOWN(D564*F564,-3)</f>
        <v>6000000</v>
      </c>
      <c r="H564" s="154" t="b">
        <f t="shared" si="16"/>
        <v>1</v>
      </c>
    </row>
    <row r="565" spans="1:8" ht="14.25">
      <c r="A565" s="7" t="s">
        <v>3519</v>
      </c>
      <c r="B565" s="60">
        <v>524111</v>
      </c>
      <c r="C565" s="41" t="s">
        <v>19</v>
      </c>
      <c r="D565" s="60"/>
      <c r="E565" s="60"/>
      <c r="F565" s="42"/>
      <c r="G565" s="42">
        <f>SUM(G566:G567)</f>
        <v>186000000</v>
      </c>
      <c r="H565" s="154" t="b">
        <f t="shared" si="16"/>
        <v>1</v>
      </c>
    </row>
    <row r="566" spans="1:8" ht="14.25">
      <c r="A566" s="7" t="s">
        <v>3520</v>
      </c>
      <c r="B566" s="124"/>
      <c r="C566" s="123" t="s">
        <v>3818</v>
      </c>
      <c r="D566" s="124">
        <v>20</v>
      </c>
      <c r="E566" s="124" t="s">
        <v>10</v>
      </c>
      <c r="F566" s="125">
        <v>1500000</v>
      </c>
      <c r="G566" s="125">
        <f>ROUNDDOWN(D566*F566,-3)</f>
        <v>30000000</v>
      </c>
      <c r="H566" s="154" t="b">
        <f t="shared" si="16"/>
        <v>1</v>
      </c>
    </row>
    <row r="567" spans="1:8" ht="25.5">
      <c r="A567" s="7" t="s">
        <v>3521</v>
      </c>
      <c r="B567" s="124"/>
      <c r="C567" s="123" t="s">
        <v>3819</v>
      </c>
      <c r="D567" s="124">
        <v>24</v>
      </c>
      <c r="E567" s="124" t="s">
        <v>10</v>
      </c>
      <c r="F567" s="125">
        <v>6500000</v>
      </c>
      <c r="G567" s="125">
        <f>ROUNDDOWN(D567*F567,-3)</f>
        <v>156000000</v>
      </c>
      <c r="H567" s="154" t="b">
        <f t="shared" si="16"/>
        <v>1</v>
      </c>
    </row>
    <row r="568" spans="1:8" ht="14.25">
      <c r="A568" s="7" t="s">
        <v>3522</v>
      </c>
      <c r="B568" s="59" t="s">
        <v>512</v>
      </c>
      <c r="C568" s="38" t="s">
        <v>192</v>
      </c>
      <c r="D568" s="59"/>
      <c r="E568" s="59"/>
      <c r="F568" s="39"/>
      <c r="G568" s="39">
        <f>SUM(G569,G573,G575)</f>
        <v>174041000</v>
      </c>
      <c r="H568" s="154" t="b">
        <f t="shared" si="16"/>
        <v>1</v>
      </c>
    </row>
    <row r="569" spans="1:8" ht="14.25">
      <c r="A569" s="7" t="s">
        <v>3523</v>
      </c>
      <c r="B569" s="60">
        <v>521211</v>
      </c>
      <c r="C569" s="41" t="s">
        <v>7</v>
      </c>
      <c r="D569" s="60"/>
      <c r="E569" s="60"/>
      <c r="F569" s="42"/>
      <c r="G569" s="42">
        <f>SUM(G570:G572)</f>
        <v>12000000</v>
      </c>
      <c r="H569" s="154" t="b">
        <f t="shared" si="16"/>
        <v>1</v>
      </c>
    </row>
    <row r="570" spans="1:8" ht="14.25">
      <c r="A570" s="7" t="s">
        <v>3524</v>
      </c>
      <c r="B570" s="124"/>
      <c r="C570" s="123" t="s">
        <v>3821</v>
      </c>
      <c r="D570" s="124">
        <v>3</v>
      </c>
      <c r="E570" s="124" t="s">
        <v>9</v>
      </c>
      <c r="F570" s="125">
        <v>1500000</v>
      </c>
      <c r="G570" s="125">
        <f>ROUNDDOWN(D570*F570,-3)</f>
        <v>4500000</v>
      </c>
      <c r="H570" s="154" t="b">
        <f t="shared" si="16"/>
        <v>1</v>
      </c>
    </row>
    <row r="571" spans="1:8" ht="14.25">
      <c r="A571" s="7" t="s">
        <v>3525</v>
      </c>
      <c r="B571" s="124"/>
      <c r="C571" s="123" t="s">
        <v>3596</v>
      </c>
      <c r="D571" s="124">
        <v>3</v>
      </c>
      <c r="E571" s="124" t="s">
        <v>9</v>
      </c>
      <c r="F571" s="125">
        <v>1000000</v>
      </c>
      <c r="G571" s="125">
        <f>ROUNDDOWN(D571*F571,-3)</f>
        <v>3000000</v>
      </c>
      <c r="H571" s="154" t="b">
        <f t="shared" si="16"/>
        <v>1</v>
      </c>
    </row>
    <row r="572" spans="1:8" ht="14.25">
      <c r="A572" s="7" t="s">
        <v>3526</v>
      </c>
      <c r="B572" s="124"/>
      <c r="C572" s="123" t="s">
        <v>3588</v>
      </c>
      <c r="D572" s="124">
        <v>3</v>
      </c>
      <c r="E572" s="124" t="s">
        <v>9</v>
      </c>
      <c r="F572" s="125">
        <v>1500000</v>
      </c>
      <c r="G572" s="125">
        <f>ROUNDDOWN(D572*F572,-3)</f>
        <v>4500000</v>
      </c>
      <c r="H572" s="154" t="b">
        <f t="shared" si="16"/>
        <v>1</v>
      </c>
    </row>
    <row r="573" spans="1:8" ht="14.25">
      <c r="A573" s="7" t="s">
        <v>3527</v>
      </c>
      <c r="B573" s="60">
        <v>521219</v>
      </c>
      <c r="C573" s="41" t="s">
        <v>53</v>
      </c>
      <c r="D573" s="60"/>
      <c r="E573" s="60"/>
      <c r="F573" s="42"/>
      <c r="G573" s="42">
        <f>G574</f>
        <v>20000000</v>
      </c>
      <c r="H573" s="154" t="b">
        <f t="shared" si="16"/>
        <v>1</v>
      </c>
    </row>
    <row r="574" spans="1:8" ht="25.5">
      <c r="A574" s="7" t="s">
        <v>3528</v>
      </c>
      <c r="B574" s="124"/>
      <c r="C574" s="123" t="s">
        <v>3822</v>
      </c>
      <c r="D574" s="124">
        <v>2</v>
      </c>
      <c r="E574" s="124" t="s">
        <v>155</v>
      </c>
      <c r="F574" s="125">
        <v>10000000</v>
      </c>
      <c r="G574" s="125">
        <f>ROUNDDOWN(D574*F574,-3)</f>
        <v>20000000</v>
      </c>
      <c r="H574" s="154" t="b">
        <f t="shared" si="16"/>
        <v>1</v>
      </c>
    </row>
    <row r="575" spans="1:8" ht="14.25">
      <c r="A575" s="7" t="s">
        <v>3530</v>
      </c>
      <c r="B575" s="60">
        <v>524211</v>
      </c>
      <c r="C575" s="41" t="s">
        <v>1151</v>
      </c>
      <c r="D575" s="60"/>
      <c r="E575" s="60"/>
      <c r="F575" s="42"/>
      <c r="G575" s="42">
        <f>G576</f>
        <v>142041000</v>
      </c>
      <c r="H575" s="154" t="b">
        <f t="shared" si="16"/>
        <v>1</v>
      </c>
    </row>
    <row r="576" spans="1:8" ht="25.5">
      <c r="A576" s="7" t="s">
        <v>3531</v>
      </c>
      <c r="B576" s="124"/>
      <c r="C576" s="123" t="s">
        <v>3823</v>
      </c>
      <c r="D576" s="124">
        <v>3</v>
      </c>
      <c r="E576" s="124" t="s">
        <v>10</v>
      </c>
      <c r="F576" s="125">
        <v>47347000</v>
      </c>
      <c r="G576" s="125">
        <f>ROUNDDOWN(D576*F576,-3)</f>
        <v>142041000</v>
      </c>
      <c r="H576" s="154" t="b">
        <f t="shared" si="16"/>
        <v>1</v>
      </c>
    </row>
    <row r="577" spans="1:8" ht="14.25">
      <c r="A577" s="7" t="s">
        <v>3533</v>
      </c>
      <c r="B577" s="59" t="s">
        <v>514</v>
      </c>
      <c r="C577" s="38" t="s">
        <v>3534</v>
      </c>
      <c r="D577" s="59"/>
      <c r="E577" s="59"/>
      <c r="F577" s="39"/>
      <c r="G577" s="39">
        <f>G578</f>
        <v>30000000</v>
      </c>
      <c r="H577" s="154" t="b">
        <f t="shared" si="16"/>
        <v>1</v>
      </c>
    </row>
    <row r="578" spans="1:8" ht="14.25">
      <c r="A578" s="7" t="s">
        <v>3535</v>
      </c>
      <c r="B578" s="60">
        <v>522192</v>
      </c>
      <c r="C578" s="41" t="s">
        <v>24</v>
      </c>
      <c r="D578" s="60"/>
      <c r="E578" s="60"/>
      <c r="F578" s="42"/>
      <c r="G578" s="42">
        <f>G579</f>
        <v>30000000</v>
      </c>
      <c r="H578" s="154" t="b">
        <f t="shared" si="16"/>
        <v>1</v>
      </c>
    </row>
    <row r="579" spans="1:8" ht="14.25">
      <c r="A579" s="7" t="s">
        <v>3536</v>
      </c>
      <c r="B579" s="124"/>
      <c r="C579" s="123" t="s">
        <v>3824</v>
      </c>
      <c r="D579" s="124">
        <v>120</v>
      </c>
      <c r="E579" s="124" t="s">
        <v>776</v>
      </c>
      <c r="F579" s="125">
        <v>250000</v>
      </c>
      <c r="G579" s="125">
        <f>ROUNDDOWN(D579*F579,-3)</f>
        <v>30000000</v>
      </c>
      <c r="H579" s="154" t="b">
        <f t="shared" si="16"/>
        <v>1</v>
      </c>
    </row>
    <row r="580" spans="1:8" ht="14.25">
      <c r="A580" s="7" t="s">
        <v>3538</v>
      </c>
      <c r="B580" s="58">
        <v>302</v>
      </c>
      <c r="C580" s="35" t="s">
        <v>193</v>
      </c>
      <c r="D580" s="58"/>
      <c r="E580" s="58"/>
      <c r="F580" s="36"/>
      <c r="G580" s="36">
        <f>G581</f>
        <v>109200000</v>
      </c>
      <c r="H580" s="154" t="b">
        <f t="shared" si="16"/>
        <v>1</v>
      </c>
    </row>
    <row r="581" spans="1:8" ht="14.25">
      <c r="A581" s="7" t="s">
        <v>3539</v>
      </c>
      <c r="B581" s="59" t="s">
        <v>8</v>
      </c>
      <c r="C581" s="38" t="s">
        <v>193</v>
      </c>
      <c r="D581" s="59"/>
      <c r="E581" s="59"/>
      <c r="F581" s="39"/>
      <c r="G581" s="39">
        <f>SUM(G582,G585,G588)</f>
        <v>109200000</v>
      </c>
      <c r="H581" s="154" t="b">
        <f t="shared" si="16"/>
        <v>1</v>
      </c>
    </row>
    <row r="582" spans="1:8" ht="14.25">
      <c r="A582" s="7" t="s">
        <v>3540</v>
      </c>
      <c r="B582" s="60">
        <v>521211</v>
      </c>
      <c r="C582" s="41" t="s">
        <v>7</v>
      </c>
      <c r="D582" s="60"/>
      <c r="E582" s="60"/>
      <c r="F582" s="42"/>
      <c r="G582" s="42">
        <f>SUM(G583:G584)</f>
        <v>25000000</v>
      </c>
      <c r="H582" s="154" t="b">
        <f t="shared" si="16"/>
        <v>1</v>
      </c>
    </row>
    <row r="583" spans="1:8" ht="14.25">
      <c r="A583" s="7" t="s">
        <v>3541</v>
      </c>
      <c r="B583" s="124"/>
      <c r="C583" s="123" t="s">
        <v>3811</v>
      </c>
      <c r="D583" s="124">
        <v>100</v>
      </c>
      <c r="E583" s="124" t="s">
        <v>10</v>
      </c>
      <c r="F583" s="125">
        <v>70000</v>
      </c>
      <c r="G583" s="125">
        <f>ROUNDDOWN(D583*F583,-3)</f>
        <v>7000000</v>
      </c>
      <c r="H583" s="154" t="b">
        <f t="shared" si="16"/>
        <v>1</v>
      </c>
    </row>
    <row r="584" spans="1:8" ht="14.25">
      <c r="A584" s="7" t="s">
        <v>3542</v>
      </c>
      <c r="B584" s="124"/>
      <c r="C584" s="123" t="s">
        <v>3812</v>
      </c>
      <c r="D584" s="124">
        <v>12</v>
      </c>
      <c r="E584" s="124" t="s">
        <v>9</v>
      </c>
      <c r="F584" s="125">
        <v>1500000</v>
      </c>
      <c r="G584" s="125">
        <f>ROUNDDOWN(D584*F584,-3)</f>
        <v>18000000</v>
      </c>
      <c r="H584" s="154" t="b">
        <f t="shared" si="16"/>
        <v>1</v>
      </c>
    </row>
    <row r="585" spans="1:8" ht="14.25">
      <c r="A585" s="7" t="s">
        <v>3543</v>
      </c>
      <c r="B585" s="60">
        <v>521811</v>
      </c>
      <c r="C585" s="41" t="s">
        <v>64</v>
      </c>
      <c r="D585" s="60"/>
      <c r="E585" s="60"/>
      <c r="F585" s="42"/>
      <c r="G585" s="42">
        <f>SUM(G586:G587)</f>
        <v>30000000</v>
      </c>
      <c r="H585" s="154" t="b">
        <f t="shared" si="16"/>
        <v>1</v>
      </c>
    </row>
    <row r="586" spans="1:8" ht="14.25">
      <c r="A586" s="7" t="s">
        <v>3544</v>
      </c>
      <c r="B586" s="124"/>
      <c r="C586" s="123" t="s">
        <v>3781</v>
      </c>
      <c r="D586" s="124">
        <v>12</v>
      </c>
      <c r="E586" s="124" t="s">
        <v>9</v>
      </c>
      <c r="F586" s="125">
        <v>1000000</v>
      </c>
      <c r="G586" s="125">
        <f>ROUNDDOWN(D586*F586,-3)</f>
        <v>12000000</v>
      </c>
      <c r="H586" s="154" t="b">
        <f t="shared" si="16"/>
        <v>1</v>
      </c>
    </row>
    <row r="587" spans="1:8" ht="14.25">
      <c r="A587" s="7" t="s">
        <v>3545</v>
      </c>
      <c r="B587" s="124"/>
      <c r="C587" s="123" t="s">
        <v>3598</v>
      </c>
      <c r="D587" s="124">
        <v>12</v>
      </c>
      <c r="E587" s="124" t="s">
        <v>9</v>
      </c>
      <c r="F587" s="125">
        <v>1500000</v>
      </c>
      <c r="G587" s="125">
        <f>ROUNDDOWN(D587*F587,-3)</f>
        <v>18000000</v>
      </c>
      <c r="H587" s="154" t="b">
        <f t="shared" si="16"/>
        <v>1</v>
      </c>
    </row>
    <row r="588" spans="1:8" ht="14.25">
      <c r="A588" s="7" t="s">
        <v>3546</v>
      </c>
      <c r="B588" s="60">
        <v>524111</v>
      </c>
      <c r="C588" s="41" t="s">
        <v>19</v>
      </c>
      <c r="D588" s="60"/>
      <c r="E588" s="60"/>
      <c r="F588" s="42"/>
      <c r="G588" s="42">
        <f>G589</f>
        <v>54200000</v>
      </c>
      <c r="H588" s="154" t="b">
        <f t="shared" si="16"/>
        <v>1</v>
      </c>
    </row>
    <row r="589" spans="1:8" ht="25.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588" priority="15">
      <formula>NOT(_xlfn.ISFORMULA(G12))</formula>
    </cfRule>
  </conditionalFormatting>
  <conditionalFormatting sqref="B11:H12 H13:H589">
    <cfRule type="expression" dxfId="587" priority="17">
      <formula>AND(#REF!="Ya",#REF!=ROW())</formula>
    </cfRule>
  </conditionalFormatting>
  <conditionalFormatting sqref="B561:F561 G586:G587 G583:G584 G579 G576 G574 G570:G572 G566:G567 G564 G561:G562 B13:G560">
    <cfRule type="expression" dxfId="586" priority="14">
      <formula>AND($P$4="Ya",$O$2=ROW())</formula>
    </cfRule>
  </conditionalFormatting>
  <conditionalFormatting sqref="G589">
    <cfRule type="expression" dxfId="585" priority="12">
      <formula>AND($P$4="Ya",$O$2=ROW())</formula>
    </cfRule>
  </conditionalFormatting>
  <conditionalFormatting sqref="G589 G586:G587 G583:G584 G579 G576 G574 G570:G572 G566:G567 G564 G561:G562">
    <cfRule type="expression" dxfId="584" priority="11">
      <formula>NOT(_xlfn.ISFORMULA(G561))</formula>
    </cfRule>
  </conditionalFormatting>
  <conditionalFormatting sqref="G573">
    <cfRule type="expression" dxfId="583" priority="10">
      <formula>NOT(_xlfn.ISFORMULA(G573))</formula>
    </cfRule>
  </conditionalFormatting>
  <conditionalFormatting sqref="G573">
    <cfRule type="expression" dxfId="582" priority="9">
      <formula>AND($P$4="Ya",$O$2=ROW())</formula>
    </cfRule>
  </conditionalFormatting>
  <conditionalFormatting sqref="G563">
    <cfRule type="expression" dxfId="581" priority="8">
      <formula>NOT(_xlfn.ISFORMULA(G563))</formula>
    </cfRule>
  </conditionalFormatting>
  <conditionalFormatting sqref="G563">
    <cfRule type="expression" dxfId="580" priority="7">
      <formula>AND($P$4="Ya",$O$2=ROW())</formula>
    </cfRule>
  </conditionalFormatting>
  <conditionalFormatting sqref="G588">
    <cfRule type="expression" dxfId="579" priority="6">
      <formula>NOT(_xlfn.ISFORMULA(G588))</formula>
    </cfRule>
  </conditionalFormatting>
  <conditionalFormatting sqref="G588">
    <cfRule type="expression" dxfId="578" priority="5">
      <formula>AND($P$4="Ya",$O$2=ROW())</formula>
    </cfRule>
  </conditionalFormatting>
  <conditionalFormatting sqref="G585">
    <cfRule type="expression" dxfId="577" priority="4">
      <formula>NOT(_xlfn.ISFORMULA(G585))</formula>
    </cfRule>
  </conditionalFormatting>
  <conditionalFormatting sqref="G585">
    <cfRule type="expression" dxfId="576" priority="3">
      <formula>AND($P$4="Ya",$O$2=ROW())</formula>
    </cfRule>
  </conditionalFormatting>
  <conditionalFormatting sqref="G582">
    <cfRule type="expression" dxfId="575" priority="2">
      <formula>NOT(_xlfn.ISFORMULA(G582))</formula>
    </cfRule>
  </conditionalFormatting>
  <conditionalFormatting sqref="G582">
    <cfRule type="expression" dxfId="574"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J16" sqref="J16"/>
    </sheetView>
  </sheetViews>
  <sheetFormatPr defaultRowHeight="1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zoomScale="60" zoomScaleNormal="60" workbookViewId="0">
      <pane ySplit="10" topLeftCell="A197" activePane="bottomLeft" state="frozen"/>
      <selection pane="bottomLeft" activeCell="M203" sqref="M203"/>
    </sheetView>
  </sheetViews>
  <sheetFormatPr defaultColWidth="9.140625" defaultRowHeight="69.95" customHeight="1"/>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7" customWidth="1"/>
    <col min="15" max="15" width="19.140625" style="282" bestFit="1" customWidth="1"/>
    <col min="16" max="16" width="13.7109375" style="282" customWidth="1"/>
    <col min="17" max="17" width="14.42578125" style="282" customWidth="1"/>
    <col min="18" max="19" width="9.140625" style="282"/>
    <col min="20" max="20" width="125" style="282" customWidth="1"/>
    <col min="21" max="16384" width="9.140625" style="282"/>
  </cols>
  <sheetData>
    <row r="1" spans="2:20" ht="15">
      <c r="E1" s="283"/>
      <c r="K1" s="285"/>
    </row>
    <row r="2" spans="2:20" ht="15">
      <c r="E2" s="283"/>
      <c r="K2" s="285"/>
      <c r="N2" s="327" t="s">
        <v>4530</v>
      </c>
      <c r="O2" s="326">
        <f>SUMIF(Table1[Status Realisasi],N2,Table1[Nilai SP2D])</f>
        <v>381840000</v>
      </c>
    </row>
    <row r="3" spans="2:20" ht="30" customHeight="1">
      <c r="E3" s="283"/>
      <c r="K3" s="285"/>
      <c r="L3" s="435">
        <f>SUM(O7:O9)</f>
        <v>10683540476</v>
      </c>
      <c r="N3" s="327" t="s">
        <v>4528</v>
      </c>
      <c r="O3" s="326">
        <f>SUMIF(Table1[Status Realisasi],N3,Table1[Nilai SP2D])</f>
        <v>3393066206</v>
      </c>
      <c r="T3" s="282" t="s">
        <v>4595</v>
      </c>
    </row>
    <row r="4" spans="2:20" ht="15">
      <c r="E4" s="283"/>
      <c r="K4" s="285"/>
      <c r="N4" s="327" t="s">
        <v>4529</v>
      </c>
      <c r="O4" s="326">
        <f>SUMIF(Table1[Status Realisasi],N4,Table1[Nilai SP2D])</f>
        <v>2940382304</v>
      </c>
    </row>
    <row r="5" spans="2:20" ht="15">
      <c r="E5" s="283"/>
      <c r="K5" s="285"/>
      <c r="N5" s="327" t="s">
        <v>4531</v>
      </c>
      <c r="O5" s="326">
        <f>SUMIF(Table1[Status Realisasi],N5,Table1[Nilai SP2D])</f>
        <v>654200000</v>
      </c>
    </row>
    <row r="6" spans="2:20" ht="15">
      <c r="E6" s="283"/>
      <c r="K6" s="285"/>
      <c r="N6" s="327" t="s">
        <v>4532</v>
      </c>
    </row>
    <row r="7" spans="2:20" ht="15">
      <c r="E7" s="283"/>
      <c r="K7" s="285"/>
      <c r="N7" s="327">
        <v>51</v>
      </c>
      <c r="O7" s="326">
        <f>SUMIF(Table1[all],N7,Table1[Nilai SP2D])</f>
        <v>3759917826</v>
      </c>
    </row>
    <row r="8" spans="2:20" ht="15">
      <c r="E8" s="283"/>
      <c r="F8" s="282"/>
      <c r="K8" s="285"/>
      <c r="N8" s="327">
        <v>52</v>
      </c>
      <c r="O8" s="326">
        <f>SUMIF(Table1[all],N8,Table1[Nilai SP2D])</f>
        <v>6269422650</v>
      </c>
    </row>
    <row r="9" spans="2:20" ht="15">
      <c r="E9" s="283"/>
      <c r="F9" s="282"/>
      <c r="K9" s="285"/>
      <c r="N9" s="327">
        <v>53</v>
      </c>
      <c r="O9" s="326">
        <f>SUMIF(Table1[all],N9,Table1[Nilai SP2D])</f>
        <v>654200000</v>
      </c>
    </row>
    <row r="10" spans="2:20" s="312" customFormat="1" ht="38.25" customHeight="1">
      <c r="B10" s="443" t="s">
        <v>4025</v>
      </c>
      <c r="C10" s="444" t="s">
        <v>4556</v>
      </c>
      <c r="D10" s="444" t="s">
        <v>4026</v>
      </c>
      <c r="E10" s="444" t="s">
        <v>4027</v>
      </c>
      <c r="F10" s="444" t="s">
        <v>4028</v>
      </c>
      <c r="G10" s="444" t="s">
        <v>4029</v>
      </c>
      <c r="H10" s="444" t="s">
        <v>4030</v>
      </c>
      <c r="I10" s="444" t="s">
        <v>4031</v>
      </c>
      <c r="J10" s="444" t="s">
        <v>4032</v>
      </c>
      <c r="K10" s="444" t="s">
        <v>4033</v>
      </c>
      <c r="L10" s="445" t="s">
        <v>4370</v>
      </c>
      <c r="M10" s="445" t="s">
        <v>4371</v>
      </c>
      <c r="N10" s="445" t="s">
        <v>3883</v>
      </c>
      <c r="O10" s="446"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c r="B11" s="447">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48">
        <v>51</v>
      </c>
    </row>
    <row r="12" spans="2:20" ht="69.95" customHeight="1">
      <c r="B12" s="447">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48">
        <v>52</v>
      </c>
    </row>
    <row r="13" spans="2:20" ht="69.95" customHeight="1">
      <c r="B13" s="447">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48">
        <v>51</v>
      </c>
    </row>
    <row r="14" spans="2:20" ht="69.95" customHeight="1">
      <c r="B14" s="447">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48">
        <v>51</v>
      </c>
    </row>
    <row r="15" spans="2:20" ht="69.95" customHeight="1">
      <c r="B15" s="447">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48">
        <v>51</v>
      </c>
    </row>
    <row r="16" spans="2:20" ht="69.95" customHeight="1">
      <c r="B16" s="447">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48">
        <v>51</v>
      </c>
    </row>
    <row r="17" spans="2:15" ht="69.95" customHeight="1">
      <c r="B17" s="447">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48">
        <v>52</v>
      </c>
    </row>
    <row r="18" spans="2:15" ht="69.95" customHeight="1">
      <c r="B18" s="447">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48">
        <v>52</v>
      </c>
    </row>
    <row r="19" spans="2:15" ht="69.95" customHeight="1">
      <c r="B19" s="447">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48">
        <v>52</v>
      </c>
    </row>
    <row r="20" spans="2:15" ht="69.95" customHeight="1">
      <c r="B20" s="447">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48">
        <v>51</v>
      </c>
    </row>
    <row r="21" spans="2:15" ht="69.95" customHeight="1">
      <c r="B21" s="447">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48">
        <v>51</v>
      </c>
    </row>
    <row r="22" spans="2:15" ht="69.95" customHeight="1">
      <c r="B22" s="447">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48">
        <v>51</v>
      </c>
    </row>
    <row r="23" spans="2:15" ht="69.95" customHeight="1">
      <c r="B23" s="447">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48">
        <v>51</v>
      </c>
    </row>
    <row r="24" spans="2:15" ht="69.95" customHeight="1">
      <c r="B24" s="447">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48">
        <v>51</v>
      </c>
    </row>
    <row r="25" spans="2:15" ht="69.95" customHeight="1">
      <c r="B25" s="447">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48">
        <v>51</v>
      </c>
    </row>
    <row r="26" spans="2:15" ht="69.95" customHeight="1">
      <c r="B26" s="447">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48">
        <v>51</v>
      </c>
    </row>
    <row r="27" spans="2:15" ht="69.95" customHeight="1">
      <c r="B27" s="447">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48">
        <v>51</v>
      </c>
    </row>
    <row r="28" spans="2:15" ht="69.95" customHeight="1">
      <c r="B28" s="447">
        <v>18</v>
      </c>
      <c r="C28" s="260">
        <v>3</v>
      </c>
      <c r="D28" s="260" t="s">
        <v>4055</v>
      </c>
      <c r="E28" s="291" t="s">
        <v>4057</v>
      </c>
      <c r="F28" s="288">
        <v>99961115</v>
      </c>
      <c r="G28" s="302" t="s">
        <v>3839</v>
      </c>
      <c r="H28" s="260" t="s">
        <v>4058</v>
      </c>
      <c r="I28" s="260" t="s">
        <v>4059</v>
      </c>
      <c r="J28" s="260" t="s">
        <v>4039</v>
      </c>
      <c r="K28" s="262" t="s">
        <v>4060</v>
      </c>
      <c r="L28" s="321"/>
      <c r="M28" s="321"/>
      <c r="N28" s="332"/>
      <c r="O28" s="448">
        <v>52</v>
      </c>
    </row>
    <row r="29" spans="2:15" ht="69.95" customHeight="1">
      <c r="B29" s="447">
        <v>19</v>
      </c>
      <c r="C29" s="260">
        <v>3</v>
      </c>
      <c r="D29" s="260" t="s">
        <v>4061</v>
      </c>
      <c r="E29" s="291" t="s">
        <v>4062</v>
      </c>
      <c r="F29" s="288">
        <v>21912994</v>
      </c>
      <c r="G29" s="303" t="s">
        <v>4063</v>
      </c>
      <c r="H29" s="260" t="s">
        <v>4064</v>
      </c>
      <c r="I29" s="260" t="s">
        <v>4065</v>
      </c>
      <c r="J29" s="260" t="s">
        <v>4066</v>
      </c>
      <c r="K29" s="262" t="s">
        <v>4067</v>
      </c>
      <c r="L29" s="321"/>
      <c r="M29" s="321"/>
      <c r="N29" s="332"/>
      <c r="O29" s="448">
        <v>52</v>
      </c>
    </row>
    <row r="30" spans="2:15" ht="69.95" customHeight="1">
      <c r="B30" s="447">
        <v>20</v>
      </c>
      <c r="C30" s="260">
        <v>3</v>
      </c>
      <c r="D30" s="260" t="s">
        <v>4068</v>
      </c>
      <c r="E30" s="291" t="s">
        <v>4069</v>
      </c>
      <c r="F30" s="288">
        <v>31765000</v>
      </c>
      <c r="G30" s="303" t="s">
        <v>4063</v>
      </c>
      <c r="H30" s="260" t="s">
        <v>4070</v>
      </c>
      <c r="I30" s="260" t="s">
        <v>4065</v>
      </c>
      <c r="J30" s="260" t="s">
        <v>4066</v>
      </c>
      <c r="K30" s="262" t="s">
        <v>4067</v>
      </c>
      <c r="L30" s="321"/>
      <c r="M30" s="321"/>
      <c r="N30" s="332"/>
      <c r="O30" s="448">
        <v>52</v>
      </c>
    </row>
    <row r="31" spans="2:15" ht="69.95" customHeight="1">
      <c r="B31" s="447">
        <v>21</v>
      </c>
      <c r="C31" s="260">
        <v>3</v>
      </c>
      <c r="D31" s="260" t="s">
        <v>4071</v>
      </c>
      <c r="E31" s="291" t="s">
        <v>4062</v>
      </c>
      <c r="F31" s="288">
        <v>2949500</v>
      </c>
      <c r="G31" s="303" t="s">
        <v>4063</v>
      </c>
      <c r="H31" s="260" t="s">
        <v>4072</v>
      </c>
      <c r="I31" s="260" t="s">
        <v>4065</v>
      </c>
      <c r="J31" s="260" t="s">
        <v>4066</v>
      </c>
      <c r="K31" s="262" t="s">
        <v>4067</v>
      </c>
      <c r="L31" s="321"/>
      <c r="M31" s="321"/>
      <c r="N31" s="332"/>
      <c r="O31" s="448">
        <v>52</v>
      </c>
    </row>
    <row r="32" spans="2:15" ht="69.95" customHeight="1">
      <c r="B32" s="447">
        <v>22</v>
      </c>
      <c r="C32" s="260">
        <v>3</v>
      </c>
      <c r="D32" s="260" t="s">
        <v>4073</v>
      </c>
      <c r="E32" s="291" t="s">
        <v>4062</v>
      </c>
      <c r="F32" s="288">
        <v>58197700</v>
      </c>
      <c r="G32" s="303" t="s">
        <v>4063</v>
      </c>
      <c r="H32" s="260" t="s">
        <v>4074</v>
      </c>
      <c r="I32" s="260" t="s">
        <v>4065</v>
      </c>
      <c r="J32" s="260" t="s">
        <v>4066</v>
      </c>
      <c r="K32" s="262" t="s">
        <v>4067</v>
      </c>
      <c r="L32" s="321"/>
      <c r="M32" s="321"/>
      <c r="N32" s="332"/>
      <c r="O32" s="448">
        <v>52</v>
      </c>
    </row>
    <row r="33" spans="2:15" ht="69.95" customHeight="1">
      <c r="B33" s="447">
        <v>23</v>
      </c>
      <c r="C33" s="260">
        <v>3</v>
      </c>
      <c r="D33" s="260" t="s">
        <v>4075</v>
      </c>
      <c r="E33" s="291" t="s">
        <v>4062</v>
      </c>
      <c r="F33" s="288">
        <v>42927193</v>
      </c>
      <c r="G33" s="303" t="s">
        <v>4063</v>
      </c>
      <c r="H33" s="260" t="s">
        <v>4076</v>
      </c>
      <c r="I33" s="260" t="s">
        <v>4065</v>
      </c>
      <c r="J33" s="260" t="s">
        <v>4066</v>
      </c>
      <c r="K33" s="262" t="s">
        <v>4067</v>
      </c>
      <c r="L33" s="321"/>
      <c r="M33" s="321"/>
      <c r="N33" s="332"/>
      <c r="O33" s="448">
        <v>52</v>
      </c>
    </row>
    <row r="34" spans="2:15" ht="69.95" customHeight="1">
      <c r="B34" s="447">
        <v>24</v>
      </c>
      <c r="C34" s="260">
        <v>3</v>
      </c>
      <c r="D34" s="260" t="s">
        <v>4077</v>
      </c>
      <c r="E34" s="291" t="s">
        <v>4062</v>
      </c>
      <c r="F34" s="288">
        <v>3436750</v>
      </c>
      <c r="G34" s="303" t="s">
        <v>4063</v>
      </c>
      <c r="H34" s="260" t="s">
        <v>4078</v>
      </c>
      <c r="I34" s="260" t="s">
        <v>4065</v>
      </c>
      <c r="J34" s="260" t="s">
        <v>4066</v>
      </c>
      <c r="K34" s="262" t="s">
        <v>4067</v>
      </c>
      <c r="L34" s="321"/>
      <c r="M34" s="321"/>
      <c r="N34" s="332"/>
      <c r="O34" s="448">
        <v>52</v>
      </c>
    </row>
    <row r="35" spans="2:15" ht="69.95" customHeight="1">
      <c r="B35" s="447">
        <v>25</v>
      </c>
      <c r="C35" s="260">
        <v>3</v>
      </c>
      <c r="D35" s="260" t="s">
        <v>4079</v>
      </c>
      <c r="E35" s="291" t="s">
        <v>4062</v>
      </c>
      <c r="F35" s="288">
        <v>50674500</v>
      </c>
      <c r="G35" s="303" t="s">
        <v>4063</v>
      </c>
      <c r="H35" s="260" t="s">
        <v>4080</v>
      </c>
      <c r="I35" s="260" t="s">
        <v>4065</v>
      </c>
      <c r="J35" s="260" t="s">
        <v>4066</v>
      </c>
      <c r="K35" s="262" t="s">
        <v>4067</v>
      </c>
      <c r="L35" s="321"/>
      <c r="M35" s="321"/>
      <c r="N35" s="332"/>
      <c r="O35" s="448">
        <v>52</v>
      </c>
    </row>
    <row r="36" spans="2:15" ht="69.95" customHeight="1">
      <c r="B36" s="447">
        <v>26</v>
      </c>
      <c r="C36" s="260">
        <v>3</v>
      </c>
      <c r="D36" s="260" t="s">
        <v>4081</v>
      </c>
      <c r="E36" s="291" t="s">
        <v>4062</v>
      </c>
      <c r="F36" s="288">
        <v>198636550</v>
      </c>
      <c r="G36" s="303" t="s">
        <v>4063</v>
      </c>
      <c r="H36" s="260" t="s">
        <v>4082</v>
      </c>
      <c r="I36" s="260" t="s">
        <v>4065</v>
      </c>
      <c r="J36" s="260" t="s">
        <v>4066</v>
      </c>
      <c r="K36" s="262" t="s">
        <v>4067</v>
      </c>
      <c r="L36" s="321"/>
      <c r="M36" s="321"/>
      <c r="N36" s="332"/>
      <c r="O36" s="448">
        <v>52</v>
      </c>
    </row>
    <row r="37" spans="2:15" ht="69.95" customHeight="1">
      <c r="B37" s="447">
        <v>27</v>
      </c>
      <c r="C37" s="260">
        <v>3</v>
      </c>
      <c r="D37" s="260" t="s">
        <v>4087</v>
      </c>
      <c r="E37" s="291" t="s">
        <v>4088</v>
      </c>
      <c r="F37" s="288">
        <v>1743940</v>
      </c>
      <c r="G37" s="302" t="s">
        <v>3839</v>
      </c>
      <c r="H37" s="260" t="s">
        <v>4089</v>
      </c>
      <c r="I37" s="260" t="s">
        <v>4090</v>
      </c>
      <c r="J37" s="260" t="s">
        <v>4039</v>
      </c>
      <c r="K37" s="262" t="s">
        <v>4091</v>
      </c>
      <c r="L37" s="321"/>
      <c r="M37" s="321"/>
      <c r="N37" s="332"/>
      <c r="O37" s="448">
        <v>52</v>
      </c>
    </row>
    <row r="38" spans="2:15" ht="69.95" customHeight="1">
      <c r="B38" s="447">
        <v>28</v>
      </c>
      <c r="C38" s="260">
        <v>3</v>
      </c>
      <c r="D38" s="260" t="s">
        <v>4092</v>
      </c>
      <c r="E38" s="291" t="s">
        <v>4088</v>
      </c>
      <c r="F38" s="288">
        <v>21906300</v>
      </c>
      <c r="G38" s="302" t="s">
        <v>3839</v>
      </c>
      <c r="H38" s="260" t="s">
        <v>4093</v>
      </c>
      <c r="I38" s="260" t="s">
        <v>4090</v>
      </c>
      <c r="J38" s="260" t="s">
        <v>4039</v>
      </c>
      <c r="K38" s="262" t="s">
        <v>4091</v>
      </c>
      <c r="L38" s="321"/>
      <c r="M38" s="321"/>
      <c r="N38" s="332"/>
      <c r="O38" s="448">
        <v>52</v>
      </c>
    </row>
    <row r="39" spans="2:15" ht="69.95" customHeight="1">
      <c r="B39" s="447">
        <v>29</v>
      </c>
      <c r="C39" s="260">
        <v>3</v>
      </c>
      <c r="D39" s="260" t="s">
        <v>4094</v>
      </c>
      <c r="E39" s="291" t="s">
        <v>4088</v>
      </c>
      <c r="F39" s="288">
        <v>12373213</v>
      </c>
      <c r="G39" s="302" t="s">
        <v>3839</v>
      </c>
      <c r="H39" s="260" t="s">
        <v>4095</v>
      </c>
      <c r="I39" s="260" t="s">
        <v>4090</v>
      </c>
      <c r="J39" s="260" t="s">
        <v>4039</v>
      </c>
      <c r="K39" s="262" t="s">
        <v>4091</v>
      </c>
      <c r="L39" s="321"/>
      <c r="M39" s="321"/>
      <c r="N39" s="332"/>
      <c r="O39" s="448">
        <v>52</v>
      </c>
    </row>
    <row r="40" spans="2:15" ht="69.95" customHeight="1">
      <c r="B40" s="447">
        <v>30</v>
      </c>
      <c r="C40" s="260">
        <v>3</v>
      </c>
      <c r="D40" s="260" t="s">
        <v>4096</v>
      </c>
      <c r="E40" s="291" t="s">
        <v>4088</v>
      </c>
      <c r="F40" s="288">
        <v>8896000</v>
      </c>
      <c r="G40" s="302" t="s">
        <v>3839</v>
      </c>
      <c r="H40" s="260" t="s">
        <v>4097</v>
      </c>
      <c r="I40" s="260" t="s">
        <v>4090</v>
      </c>
      <c r="J40" s="260" t="s">
        <v>4039</v>
      </c>
      <c r="K40" s="262" t="s">
        <v>4091</v>
      </c>
      <c r="L40" s="321"/>
      <c r="M40" s="321"/>
      <c r="N40" s="332"/>
      <c r="O40" s="448">
        <v>52</v>
      </c>
    </row>
    <row r="41" spans="2:15" ht="69.95" customHeight="1">
      <c r="B41" s="447">
        <v>31</v>
      </c>
      <c r="C41" s="260">
        <v>3</v>
      </c>
      <c r="D41" s="260" t="s">
        <v>4098</v>
      </c>
      <c r="E41" s="291" t="s">
        <v>4088</v>
      </c>
      <c r="F41" s="288">
        <v>12075000</v>
      </c>
      <c r="G41" s="302" t="s">
        <v>3839</v>
      </c>
      <c r="H41" s="260" t="s">
        <v>4099</v>
      </c>
      <c r="I41" s="260" t="s">
        <v>4090</v>
      </c>
      <c r="J41" s="260" t="s">
        <v>4039</v>
      </c>
      <c r="K41" s="262" t="s">
        <v>4091</v>
      </c>
      <c r="L41" s="321"/>
      <c r="M41" s="321"/>
      <c r="N41" s="332"/>
      <c r="O41" s="448">
        <v>52</v>
      </c>
    </row>
    <row r="42" spans="2:15" ht="69.95" customHeight="1">
      <c r="B42" s="447">
        <v>32</v>
      </c>
      <c r="C42" s="260">
        <v>3</v>
      </c>
      <c r="D42" s="260" t="s">
        <v>4100</v>
      </c>
      <c r="E42" s="291" t="s">
        <v>4088</v>
      </c>
      <c r="F42" s="288">
        <v>1890000</v>
      </c>
      <c r="G42" s="302" t="s">
        <v>3839</v>
      </c>
      <c r="H42" s="260" t="s">
        <v>4101</v>
      </c>
      <c r="I42" s="260" t="s">
        <v>4090</v>
      </c>
      <c r="J42" s="260" t="s">
        <v>4039</v>
      </c>
      <c r="K42" s="262" t="s">
        <v>4091</v>
      </c>
      <c r="L42" s="321"/>
      <c r="M42" s="321"/>
      <c r="N42" s="332"/>
      <c r="O42" s="448">
        <v>52</v>
      </c>
    </row>
    <row r="43" spans="2:15" ht="69.95" customHeight="1">
      <c r="B43" s="447">
        <v>33</v>
      </c>
      <c r="C43" s="260">
        <v>3</v>
      </c>
      <c r="D43" s="260" t="s">
        <v>4102</v>
      </c>
      <c r="E43" s="291" t="s">
        <v>4088</v>
      </c>
      <c r="F43" s="288">
        <v>18269500</v>
      </c>
      <c r="G43" s="302" t="s">
        <v>3839</v>
      </c>
      <c r="H43" s="260" t="s">
        <v>4103</v>
      </c>
      <c r="I43" s="260" t="s">
        <v>4090</v>
      </c>
      <c r="J43" s="260" t="s">
        <v>4039</v>
      </c>
      <c r="K43" s="262" t="s">
        <v>4091</v>
      </c>
      <c r="L43" s="321"/>
      <c r="M43" s="321"/>
      <c r="N43" s="332"/>
      <c r="O43" s="448">
        <v>52</v>
      </c>
    </row>
    <row r="44" spans="2:15" ht="69.95" customHeight="1">
      <c r="B44" s="447">
        <v>34</v>
      </c>
      <c r="C44" s="260">
        <v>3</v>
      </c>
      <c r="D44" s="260" t="s">
        <v>4104</v>
      </c>
      <c r="E44" s="291" t="s">
        <v>4088</v>
      </c>
      <c r="F44" s="288">
        <v>21022422</v>
      </c>
      <c r="G44" s="302" t="s">
        <v>3839</v>
      </c>
      <c r="H44" s="260" t="s">
        <v>4105</v>
      </c>
      <c r="I44" s="260" t="s">
        <v>4090</v>
      </c>
      <c r="J44" s="260" t="s">
        <v>4039</v>
      </c>
      <c r="K44" s="262" t="s">
        <v>4091</v>
      </c>
      <c r="L44" s="321"/>
      <c r="M44" s="321"/>
      <c r="N44" s="332"/>
      <c r="O44" s="448">
        <v>52</v>
      </c>
    </row>
    <row r="45" spans="2:15" ht="69.95" customHeight="1">
      <c r="B45" s="447">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48">
        <v>52</v>
      </c>
    </row>
    <row r="46" spans="2:15" ht="69.95" customHeight="1">
      <c r="B46" s="447">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48">
        <v>52</v>
      </c>
    </row>
    <row r="47" spans="2:15" ht="69.95" customHeight="1">
      <c r="B47" s="447">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48">
        <v>52</v>
      </c>
    </row>
    <row r="48" spans="2:15" ht="69.95" customHeight="1">
      <c r="B48" s="447">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48">
        <v>52</v>
      </c>
    </row>
    <row r="49" spans="2:15" ht="69.95" customHeight="1">
      <c r="B49" s="447">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48">
        <v>52</v>
      </c>
    </row>
    <row r="50" spans="2:15" ht="69.95" customHeight="1">
      <c r="B50" s="447">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48">
        <v>52</v>
      </c>
    </row>
    <row r="51" spans="2:15" ht="69.95" customHeight="1">
      <c r="B51" s="447">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48">
        <v>52</v>
      </c>
    </row>
    <row r="52" spans="2:15" ht="69.95" customHeight="1">
      <c r="B52" s="447">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48">
        <v>52</v>
      </c>
    </row>
    <row r="53" spans="2:15" ht="69.95" customHeight="1">
      <c r="B53" s="447">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48">
        <v>52</v>
      </c>
    </row>
    <row r="54" spans="2:15" ht="69.95" customHeight="1">
      <c r="B54" s="447">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48">
        <v>52</v>
      </c>
    </row>
    <row r="55" spans="2:15" ht="69.95" customHeight="1">
      <c r="B55" s="447">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48">
        <v>52</v>
      </c>
    </row>
    <row r="56" spans="2:15" ht="69.95" customHeight="1">
      <c r="B56" s="447">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48">
        <v>52</v>
      </c>
    </row>
    <row r="57" spans="2:15" ht="69.95" customHeight="1">
      <c r="B57" s="447">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48">
        <v>52</v>
      </c>
    </row>
    <row r="58" spans="2:15" ht="69.95" customHeight="1">
      <c r="B58" s="447">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48">
        <v>51</v>
      </c>
    </row>
    <row r="59" spans="2:15" ht="69.95" customHeight="1">
      <c r="B59" s="447">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48">
        <v>51</v>
      </c>
    </row>
    <row r="60" spans="2:15" ht="69.95" customHeight="1">
      <c r="B60" s="447">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48">
        <v>51</v>
      </c>
    </row>
    <row r="61" spans="2:15" ht="69.95" customHeight="1">
      <c r="B61" s="447">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48">
        <v>51</v>
      </c>
    </row>
    <row r="62" spans="2:15" ht="69.95" customHeight="1">
      <c r="B62" s="447">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48">
        <v>51</v>
      </c>
    </row>
    <row r="63" spans="2:15" ht="69.95" customHeight="1">
      <c r="B63" s="447">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48">
        <v>51</v>
      </c>
    </row>
    <row r="64" spans="2:15" ht="69.95" customHeight="1">
      <c r="B64" s="447">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48">
        <v>51</v>
      </c>
    </row>
    <row r="65" spans="2:15" ht="69.95" customHeight="1">
      <c r="B65" s="447">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48">
        <v>51</v>
      </c>
    </row>
    <row r="66" spans="2:15" ht="69.95" customHeight="1">
      <c r="B66" s="447">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48">
        <v>51</v>
      </c>
    </row>
    <row r="67" spans="2:15" ht="69.95" customHeight="1">
      <c r="B67" s="447">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48">
        <v>52</v>
      </c>
    </row>
    <row r="68" spans="2:15" ht="69.95" customHeight="1">
      <c r="B68" s="447">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48">
        <v>52</v>
      </c>
    </row>
    <row r="69" spans="2:15" ht="69.95" customHeight="1">
      <c r="B69" s="447">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48">
        <v>52</v>
      </c>
    </row>
    <row r="70" spans="2:15" ht="69.95" customHeight="1">
      <c r="B70" s="447">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48">
        <v>52</v>
      </c>
    </row>
    <row r="71" spans="2:15" ht="69.95" customHeight="1">
      <c r="B71" s="447">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48">
        <v>52</v>
      </c>
    </row>
    <row r="72" spans="2:15" ht="69.95" customHeight="1">
      <c r="B72" s="447">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48">
        <v>52</v>
      </c>
    </row>
    <row r="73" spans="2:15" ht="69.95" customHeight="1">
      <c r="B73" s="447">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48">
        <v>52</v>
      </c>
    </row>
    <row r="74" spans="2:15" ht="69.95" customHeight="1">
      <c r="B74" s="447">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48">
        <v>52</v>
      </c>
    </row>
    <row r="75" spans="2:15" ht="69.95" customHeight="1">
      <c r="B75" s="447">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48">
        <v>52</v>
      </c>
    </row>
    <row r="76" spans="2:15" ht="69.95" customHeight="1">
      <c r="B76" s="447">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48">
        <v>52</v>
      </c>
    </row>
    <row r="77" spans="2:15" ht="69.95" customHeight="1">
      <c r="B77" s="447">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48">
        <v>52</v>
      </c>
    </row>
    <row r="78" spans="2:15" ht="69.95" customHeight="1">
      <c r="B78" s="447">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48">
        <v>52</v>
      </c>
    </row>
    <row r="79" spans="2:15" ht="69.95" customHeight="1">
      <c r="B79" s="447">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48">
        <v>52</v>
      </c>
    </row>
    <row r="80" spans="2:15" ht="69.95" customHeight="1">
      <c r="B80" s="447">
        <v>70</v>
      </c>
      <c r="C80" s="260">
        <v>4</v>
      </c>
      <c r="D80" s="256" t="s">
        <v>4145</v>
      </c>
      <c r="E80" s="292" t="s">
        <v>4138</v>
      </c>
      <c r="F80" s="257">
        <v>75325796</v>
      </c>
      <c r="G80" s="302" t="s">
        <v>3839</v>
      </c>
      <c r="H80" s="256" t="s">
        <v>4160</v>
      </c>
      <c r="I80" s="256" t="s">
        <v>4137</v>
      </c>
      <c r="J80" s="256" t="s">
        <v>4039</v>
      </c>
      <c r="K80" s="259" t="s">
        <v>4161</v>
      </c>
      <c r="L80" s="321"/>
      <c r="M80" s="321"/>
      <c r="N80" s="332"/>
      <c r="O80" s="448">
        <v>52</v>
      </c>
    </row>
    <row r="81" spans="2:15" ht="69.95" customHeight="1">
      <c r="B81" s="447">
        <v>71</v>
      </c>
      <c r="C81" s="260">
        <v>4</v>
      </c>
      <c r="D81" s="256" t="s">
        <v>4163</v>
      </c>
      <c r="E81" s="292" t="s">
        <v>4138</v>
      </c>
      <c r="F81" s="257">
        <v>19929200</v>
      </c>
      <c r="G81" s="302" t="s">
        <v>3839</v>
      </c>
      <c r="H81" s="256" t="s">
        <v>4166</v>
      </c>
      <c r="I81" s="256" t="s">
        <v>4137</v>
      </c>
      <c r="J81" s="256" t="s">
        <v>4039</v>
      </c>
      <c r="K81" s="259" t="s">
        <v>4167</v>
      </c>
      <c r="L81" s="321"/>
      <c r="M81" s="321"/>
      <c r="N81" s="332"/>
      <c r="O81" s="448">
        <v>52</v>
      </c>
    </row>
    <row r="82" spans="2:15" ht="69.95" customHeight="1">
      <c r="B82" s="447">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48">
        <v>52</v>
      </c>
    </row>
    <row r="83" spans="2:15" ht="69.95" customHeight="1">
      <c r="B83" s="447">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48">
        <v>52</v>
      </c>
    </row>
    <row r="84" spans="2:15" ht="69.95" customHeight="1">
      <c r="B84" s="447">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48">
        <v>52</v>
      </c>
    </row>
    <row r="85" spans="2:15" ht="69.95" customHeight="1">
      <c r="B85" s="447">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48">
        <v>52</v>
      </c>
    </row>
    <row r="86" spans="2:15" ht="69.95" customHeight="1">
      <c r="B86" s="447">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48">
        <v>52</v>
      </c>
    </row>
    <row r="87" spans="2:15" ht="69.95" customHeight="1">
      <c r="B87" s="447">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48">
        <v>52</v>
      </c>
    </row>
    <row r="88" spans="2:15" ht="69.95" customHeight="1">
      <c r="B88" s="447">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48">
        <v>52</v>
      </c>
    </row>
    <row r="89" spans="2:15" ht="69.95" customHeight="1">
      <c r="B89" s="447">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48">
        <v>51</v>
      </c>
    </row>
    <row r="90" spans="2:15" ht="69.95" customHeight="1">
      <c r="B90" s="447">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48">
        <v>51</v>
      </c>
    </row>
    <row r="91" spans="2:15" ht="69.95" customHeight="1">
      <c r="B91" s="447">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48">
        <v>51</v>
      </c>
    </row>
    <row r="92" spans="2:15" ht="69.95" customHeight="1">
      <c r="B92" s="447">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48">
        <v>51</v>
      </c>
    </row>
    <row r="93" spans="2:15" ht="69.95" customHeight="1">
      <c r="B93" s="447">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48">
        <v>51</v>
      </c>
    </row>
    <row r="94" spans="2:15" ht="69.95" customHeight="1">
      <c r="B94" s="447">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48">
        <v>51</v>
      </c>
    </row>
    <row r="95" spans="2:15" ht="69.95" customHeight="1">
      <c r="B95" s="447">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48">
        <v>53</v>
      </c>
    </row>
    <row r="96" spans="2:15" ht="69.95" customHeight="1">
      <c r="B96" s="447">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48">
        <v>52</v>
      </c>
    </row>
    <row r="97" spans="2:15" ht="69.95" customHeight="1">
      <c r="B97" s="447">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48">
        <v>52</v>
      </c>
    </row>
    <row r="98" spans="2:15" ht="69.95" customHeight="1">
      <c r="B98" s="447">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48">
        <v>52</v>
      </c>
    </row>
    <row r="99" spans="2:15" ht="69.95" customHeight="1">
      <c r="B99" s="447">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48">
        <v>52</v>
      </c>
    </row>
    <row r="100" spans="2:15" ht="69.95" customHeight="1">
      <c r="B100" s="447">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48">
        <v>52</v>
      </c>
    </row>
    <row r="101" spans="2:15" ht="69.95" customHeight="1">
      <c r="B101" s="447">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48">
        <v>53</v>
      </c>
    </row>
    <row r="102" spans="2:15" ht="69.95" customHeight="1">
      <c r="B102" s="447">
        <v>92</v>
      </c>
      <c r="C102" s="260">
        <v>5</v>
      </c>
      <c r="D102" s="258" t="s">
        <v>4348</v>
      </c>
      <c r="E102" s="330" t="s">
        <v>4349</v>
      </c>
      <c r="F102" s="299">
        <v>93939616</v>
      </c>
      <c r="G102" s="302" t="s">
        <v>3839</v>
      </c>
      <c r="H102" s="258" t="s">
        <v>4350</v>
      </c>
      <c r="I102" s="258" t="s">
        <v>4351</v>
      </c>
      <c r="J102" s="258" t="s">
        <v>4039</v>
      </c>
      <c r="K102" s="259" t="s">
        <v>4352</v>
      </c>
      <c r="L102" s="321"/>
      <c r="M102" s="321"/>
      <c r="N102" s="332"/>
      <c r="O102" s="448">
        <v>52</v>
      </c>
    </row>
    <row r="103" spans="2:15" ht="69.95" customHeight="1">
      <c r="B103" s="447">
        <v>93</v>
      </c>
      <c r="C103" s="260">
        <v>5</v>
      </c>
      <c r="D103" s="258" t="s">
        <v>4353</v>
      </c>
      <c r="E103" s="330" t="s">
        <v>4349</v>
      </c>
      <c r="F103" s="299">
        <v>1500000</v>
      </c>
      <c r="G103" s="302" t="s">
        <v>3839</v>
      </c>
      <c r="H103" s="258" t="s">
        <v>4354</v>
      </c>
      <c r="I103" s="258" t="s">
        <v>4351</v>
      </c>
      <c r="J103" s="258" t="s">
        <v>4039</v>
      </c>
      <c r="K103" s="259" t="s">
        <v>4352</v>
      </c>
      <c r="L103" s="321"/>
      <c r="M103" s="321"/>
      <c r="N103" s="332"/>
      <c r="O103" s="448">
        <v>52</v>
      </c>
    </row>
    <row r="104" spans="2:15" ht="69.95" customHeight="1">
      <c r="B104" s="447">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48">
        <v>52</v>
      </c>
    </row>
    <row r="105" spans="2:15" ht="69.95" customHeight="1">
      <c r="B105" s="447">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48">
        <v>52</v>
      </c>
    </row>
    <row r="106" spans="2:15" ht="69.95" customHeight="1">
      <c r="B106" s="447">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48">
        <v>52</v>
      </c>
    </row>
    <row r="107" spans="2:15" ht="69.95" customHeight="1">
      <c r="B107" s="447">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48">
        <v>52</v>
      </c>
    </row>
    <row r="108" spans="2:15" ht="69.95" customHeight="1">
      <c r="B108" s="447">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48">
        <v>52</v>
      </c>
    </row>
    <row r="109" spans="2:15" ht="69.95" customHeight="1">
      <c r="B109" s="447">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48">
        <v>52</v>
      </c>
    </row>
    <row r="110" spans="2:15" ht="69.95" customHeight="1">
      <c r="B110" s="447">
        <v>100</v>
      </c>
      <c r="C110" s="260">
        <v>5</v>
      </c>
      <c r="D110" s="256" t="s">
        <v>4406</v>
      </c>
      <c r="E110" s="292" t="s">
        <v>4380</v>
      </c>
      <c r="F110" s="257">
        <v>74895594</v>
      </c>
      <c r="G110" s="302" t="s">
        <v>3839</v>
      </c>
      <c r="H110" s="256" t="s">
        <v>4407</v>
      </c>
      <c r="I110" s="256" t="s">
        <v>4382</v>
      </c>
      <c r="J110" s="256" t="s">
        <v>4039</v>
      </c>
      <c r="K110" s="259" t="s">
        <v>4386</v>
      </c>
      <c r="L110" s="313"/>
      <c r="M110" s="313"/>
      <c r="N110" s="332"/>
      <c r="O110" s="448">
        <v>52</v>
      </c>
    </row>
    <row r="111" spans="2:15" ht="69.95" customHeight="1">
      <c r="B111" s="447">
        <v>101</v>
      </c>
      <c r="C111" s="260">
        <v>5</v>
      </c>
      <c r="D111" s="256" t="s">
        <v>4384</v>
      </c>
      <c r="E111" s="292" t="s">
        <v>4380</v>
      </c>
      <c r="F111" s="257">
        <v>10182883</v>
      </c>
      <c r="G111" s="302" t="s">
        <v>3839</v>
      </c>
      <c r="H111" s="256" t="s">
        <v>4385</v>
      </c>
      <c r="I111" s="256" t="s">
        <v>4382</v>
      </c>
      <c r="J111" s="256" t="s">
        <v>4039</v>
      </c>
      <c r="K111" s="259" t="s">
        <v>4386</v>
      </c>
      <c r="L111" s="313"/>
      <c r="M111" s="313"/>
      <c r="N111" s="332"/>
      <c r="O111" s="448">
        <v>52</v>
      </c>
    </row>
    <row r="112" spans="2:15" ht="69.95" customHeight="1">
      <c r="B112" s="447">
        <v>102</v>
      </c>
      <c r="C112" s="260">
        <v>5</v>
      </c>
      <c r="D112" s="256" t="s">
        <v>4387</v>
      </c>
      <c r="E112" s="292" t="s">
        <v>4380</v>
      </c>
      <c r="F112" s="257">
        <v>8760100</v>
      </c>
      <c r="G112" s="302" t="s">
        <v>3839</v>
      </c>
      <c r="H112" s="256" t="s">
        <v>4388</v>
      </c>
      <c r="I112" s="256" t="s">
        <v>4382</v>
      </c>
      <c r="J112" s="256" t="s">
        <v>4039</v>
      </c>
      <c r="K112" s="259" t="s">
        <v>4386</v>
      </c>
      <c r="L112" s="313"/>
      <c r="M112" s="313"/>
      <c r="N112" s="332"/>
      <c r="O112" s="448">
        <v>52</v>
      </c>
    </row>
    <row r="113" spans="2:15" ht="69.95" customHeight="1">
      <c r="B113" s="447">
        <v>103</v>
      </c>
      <c r="C113" s="260">
        <v>5</v>
      </c>
      <c r="D113" s="256" t="s">
        <v>4379</v>
      </c>
      <c r="E113" s="292" t="s">
        <v>4380</v>
      </c>
      <c r="F113" s="257">
        <v>312088731</v>
      </c>
      <c r="G113" s="303" t="s">
        <v>4063</v>
      </c>
      <c r="H113" s="256" t="s">
        <v>4381</v>
      </c>
      <c r="I113" s="256" t="s">
        <v>4382</v>
      </c>
      <c r="J113" s="256" t="s">
        <v>4066</v>
      </c>
      <c r="K113" s="259" t="s">
        <v>4383</v>
      </c>
      <c r="L113" s="313"/>
      <c r="M113" s="313"/>
      <c r="N113" s="332"/>
      <c r="O113" s="448">
        <v>52</v>
      </c>
    </row>
    <row r="114" spans="2:15" ht="69.95" customHeight="1">
      <c r="B114" s="447">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48">
        <v>52</v>
      </c>
    </row>
    <row r="115" spans="2:15" ht="69.95" customHeight="1">
      <c r="B115" s="447">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48">
        <v>52</v>
      </c>
    </row>
    <row r="116" spans="2:15" ht="69.95" customHeight="1">
      <c r="B116" s="447">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48">
        <v>52</v>
      </c>
    </row>
    <row r="117" spans="2:15" ht="69.95" customHeight="1">
      <c r="B117" s="447">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48">
        <v>52</v>
      </c>
    </row>
    <row r="118" spans="2:15" ht="69.95" customHeight="1">
      <c r="B118" s="447">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48">
        <v>52</v>
      </c>
    </row>
    <row r="119" spans="2:15" ht="69.95" customHeight="1">
      <c r="B119" s="447">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48">
        <v>52</v>
      </c>
    </row>
    <row r="120" spans="2:15" ht="69.95" customHeight="1">
      <c r="B120" s="447">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48">
        <v>52</v>
      </c>
    </row>
    <row r="121" spans="2:15" ht="69.95" customHeight="1">
      <c r="B121" s="447">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48">
        <v>52</v>
      </c>
    </row>
    <row r="122" spans="2:15" ht="69.95" customHeight="1">
      <c r="B122" s="447">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48">
        <v>52</v>
      </c>
    </row>
    <row r="123" spans="2:15" ht="69.95" customHeight="1">
      <c r="B123" s="447">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48">
        <v>52</v>
      </c>
    </row>
    <row r="124" spans="2:15" ht="69.95" customHeight="1">
      <c r="B124" s="447">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48">
        <v>52</v>
      </c>
    </row>
    <row r="125" spans="2:15" ht="69.95" customHeight="1">
      <c r="B125" s="447">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48">
        <v>52</v>
      </c>
    </row>
    <row r="126" spans="2:15" ht="69.95" customHeight="1">
      <c r="B126" s="447">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48">
        <v>52</v>
      </c>
    </row>
    <row r="127" spans="2:15" ht="69.95" customHeight="1">
      <c r="B127" s="447">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48">
        <v>52</v>
      </c>
    </row>
    <row r="128" spans="2:15" ht="69.95" customHeight="1">
      <c r="B128" s="447">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48">
        <v>52</v>
      </c>
    </row>
    <row r="129" spans="2:15" ht="69.95" customHeight="1">
      <c r="B129" s="447">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48">
        <v>52</v>
      </c>
    </row>
    <row r="130" spans="2:15" ht="69.95" customHeight="1">
      <c r="B130" s="447">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48">
        <v>52</v>
      </c>
    </row>
    <row r="131" spans="2:15" ht="69.95" customHeight="1">
      <c r="B131" s="447">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48">
        <v>52</v>
      </c>
    </row>
    <row r="132" spans="2:15" ht="69.95" customHeight="1">
      <c r="B132" s="447">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48">
        <v>52</v>
      </c>
    </row>
    <row r="133" spans="2:15" ht="69.95" customHeight="1">
      <c r="B133" s="447">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48">
        <v>52</v>
      </c>
    </row>
    <row r="134" spans="2:15" ht="69.95" customHeight="1">
      <c r="B134" s="447">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48">
        <v>52</v>
      </c>
    </row>
    <row r="135" spans="2:15" ht="69.95" customHeight="1">
      <c r="B135" s="447">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48">
        <v>52</v>
      </c>
    </row>
    <row r="136" spans="2:15" ht="69.95" customHeight="1">
      <c r="B136" s="447">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48">
        <v>52</v>
      </c>
    </row>
    <row r="137" spans="2:15" ht="69.95" customHeight="1">
      <c r="B137" s="447">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48">
        <v>51</v>
      </c>
    </row>
    <row r="138" spans="2:15" ht="69.95" customHeight="1">
      <c r="B138" s="447">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48">
        <v>51</v>
      </c>
    </row>
    <row r="139" spans="2:15" ht="69.95" customHeight="1">
      <c r="B139" s="447">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48">
        <v>51</v>
      </c>
    </row>
    <row r="140" spans="2:15" ht="69.95" customHeight="1">
      <c r="B140" s="447">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48">
        <v>52</v>
      </c>
    </row>
    <row r="141" spans="2:15" ht="69.95" customHeight="1">
      <c r="B141" s="447">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48">
        <v>52</v>
      </c>
    </row>
    <row r="142" spans="2:15" ht="69.95" customHeight="1">
      <c r="B142" s="447">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48">
        <v>52</v>
      </c>
    </row>
    <row r="143" spans="2:15" ht="69.95" customHeight="1">
      <c r="B143" s="447">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48">
        <v>52</v>
      </c>
    </row>
    <row r="144" spans="2:15" ht="69.95" customHeight="1">
      <c r="B144" s="447">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48">
        <v>52</v>
      </c>
    </row>
    <row r="145" spans="2:15" ht="69.95" customHeight="1">
      <c r="B145" s="447">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48">
        <v>52</v>
      </c>
    </row>
    <row r="146" spans="2:15" ht="69.95" customHeight="1">
      <c r="B146" s="447">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48">
        <v>52</v>
      </c>
    </row>
    <row r="147" spans="2:15" ht="69.95" customHeight="1">
      <c r="B147" s="447">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48">
        <v>52</v>
      </c>
    </row>
    <row r="148" spans="2:15" ht="69.95" customHeight="1">
      <c r="B148" s="447">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48">
        <v>52</v>
      </c>
    </row>
    <row r="149" spans="2:15" ht="69.95" customHeight="1">
      <c r="B149" s="447">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48">
        <v>52</v>
      </c>
    </row>
    <row r="150" spans="2:15" ht="69.95" customHeight="1">
      <c r="B150" s="447">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48">
        <v>52</v>
      </c>
    </row>
    <row r="151" spans="2:15" ht="69.95" customHeight="1">
      <c r="B151" s="447">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48">
        <v>52</v>
      </c>
    </row>
    <row r="152" spans="2:15" ht="69.95" customHeight="1">
      <c r="B152" s="447">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48">
        <v>52</v>
      </c>
    </row>
    <row r="153" spans="2:15" ht="69.95" customHeight="1">
      <c r="B153" s="447">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48">
        <v>52</v>
      </c>
    </row>
    <row r="154" spans="2:15" ht="69.95" customHeight="1">
      <c r="B154" s="447">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48">
        <v>52</v>
      </c>
    </row>
    <row r="155" spans="2:15" ht="69.95" customHeight="1">
      <c r="B155" s="447">
        <v>145</v>
      </c>
      <c r="C155" s="260">
        <v>6</v>
      </c>
      <c r="D155" s="256" t="s">
        <v>4541</v>
      </c>
      <c r="E155" s="292" t="s">
        <v>4535</v>
      </c>
      <c r="F155" s="257">
        <v>7559500</v>
      </c>
      <c r="G155" s="303" t="s">
        <v>4063</v>
      </c>
      <c r="H155" s="256" t="s">
        <v>4542</v>
      </c>
      <c r="I155" s="256" t="s">
        <v>4495</v>
      </c>
      <c r="J155" s="256" t="s">
        <v>4066</v>
      </c>
      <c r="K155" s="259" t="s">
        <v>4383</v>
      </c>
      <c r="L155" s="313"/>
      <c r="M155" s="313"/>
      <c r="N155" s="331"/>
      <c r="O155" s="448">
        <v>52</v>
      </c>
    </row>
    <row r="156" spans="2:15" ht="69.95" customHeight="1">
      <c r="B156" s="447">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48">
        <v>52</v>
      </c>
    </row>
    <row r="157" spans="2:15" ht="69.95" customHeight="1">
      <c r="B157" s="447">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48">
        <v>52</v>
      </c>
    </row>
    <row r="158" spans="2:15" ht="69.95" customHeight="1">
      <c r="B158" s="447">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48">
        <v>52</v>
      </c>
    </row>
    <row r="159" spans="2:15" ht="69.95" customHeight="1">
      <c r="B159" s="447">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48">
        <v>52</v>
      </c>
    </row>
    <row r="160" spans="2:15" ht="69.95" customHeight="1">
      <c r="B160" s="447">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48">
        <v>52</v>
      </c>
    </row>
    <row r="161" spans="2:15" ht="69.95" customHeight="1">
      <c r="B161" s="447">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48">
        <v>52</v>
      </c>
    </row>
    <row r="162" spans="2:15" ht="69.95" customHeight="1">
      <c r="B162" s="447">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48">
        <v>52</v>
      </c>
    </row>
    <row r="163" spans="2:15" ht="69.95" customHeight="1">
      <c r="B163" s="447">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48">
        <v>52</v>
      </c>
    </row>
    <row r="164" spans="2:15" ht="69.95" customHeight="1">
      <c r="B164" s="447">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48">
        <v>52</v>
      </c>
    </row>
    <row r="165" spans="2:15" ht="69.95" customHeight="1">
      <c r="B165" s="447">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48">
        <v>52</v>
      </c>
    </row>
    <row r="166" spans="2:15" ht="69.95" customHeight="1">
      <c r="B166" s="447">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49">
        <v>51</v>
      </c>
    </row>
    <row r="167" spans="2:15" ht="69.95" customHeight="1">
      <c r="B167" s="447">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49">
        <v>51</v>
      </c>
    </row>
    <row r="168" spans="2:15" ht="69.95" customHeight="1">
      <c r="B168" s="447">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49">
        <v>52</v>
      </c>
    </row>
    <row r="169" spans="2:15" ht="69.95" customHeight="1">
      <c r="B169" s="447">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49">
        <v>52</v>
      </c>
    </row>
    <row r="170" spans="2:15" ht="69.95" customHeight="1">
      <c r="B170" s="447">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49">
        <v>52</v>
      </c>
    </row>
    <row r="171" spans="2:15" ht="69.95" customHeight="1">
      <c r="B171" s="447">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49">
        <v>51</v>
      </c>
    </row>
    <row r="172" spans="2:15" ht="69.95" customHeight="1">
      <c r="B172" s="447">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49">
        <v>52</v>
      </c>
    </row>
    <row r="173" spans="2:15" ht="69.95" customHeight="1">
      <c r="B173" s="447">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49">
        <v>52</v>
      </c>
    </row>
    <row r="174" spans="2:15" ht="69.95" customHeight="1">
      <c r="B174" s="447">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49">
        <v>52</v>
      </c>
    </row>
    <row r="175" spans="2:15" ht="69.95" customHeight="1">
      <c r="B175" s="447">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49">
        <v>52</v>
      </c>
    </row>
    <row r="176" spans="2:15" ht="69.95" customHeight="1">
      <c r="B176" s="447">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49">
        <v>52</v>
      </c>
    </row>
    <row r="177" spans="2:15" ht="69.95" customHeight="1">
      <c r="B177" s="447">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49">
        <v>52</v>
      </c>
    </row>
    <row r="178" spans="2:15" ht="69.95" customHeight="1">
      <c r="B178" s="447">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49">
        <v>52</v>
      </c>
    </row>
    <row r="179" spans="2:15" ht="69.95" customHeight="1">
      <c r="B179" s="447">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49">
        <v>52</v>
      </c>
    </row>
    <row r="180" spans="2:15" ht="69.95" customHeight="1">
      <c r="B180" s="447">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49">
        <v>52</v>
      </c>
    </row>
    <row r="181" spans="2:15" ht="69.95" customHeight="1">
      <c r="B181" s="447">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49">
        <v>52</v>
      </c>
    </row>
    <row r="182" spans="2:15" ht="69.95" customHeight="1">
      <c r="B182" s="447">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49">
        <v>51</v>
      </c>
    </row>
    <row r="183" spans="2:15" ht="69.95" customHeight="1">
      <c r="B183" s="447">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49">
        <v>51</v>
      </c>
    </row>
    <row r="184" spans="2:15" ht="69.95" customHeight="1">
      <c r="B184" s="447">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49">
        <v>51</v>
      </c>
    </row>
    <row r="185" spans="2:15" ht="69.95" customHeight="1">
      <c r="B185" s="447">
        <v>175</v>
      </c>
      <c r="C185" s="331">
        <v>7</v>
      </c>
      <c r="D185" s="256" t="s">
        <v>5644</v>
      </c>
      <c r="E185" s="292" t="s">
        <v>5640</v>
      </c>
      <c r="F185" s="257">
        <v>93423902</v>
      </c>
      <c r="G185" s="302" t="s">
        <v>3839</v>
      </c>
      <c r="H185" s="256" t="s">
        <v>5645</v>
      </c>
      <c r="I185" s="256" t="s">
        <v>5630</v>
      </c>
      <c r="J185" s="256" t="s">
        <v>4039</v>
      </c>
      <c r="K185" s="259" t="s">
        <v>5646</v>
      </c>
      <c r="L185" s="313"/>
      <c r="M185" s="313"/>
      <c r="N185" s="331"/>
      <c r="O185" s="449">
        <v>52</v>
      </c>
    </row>
    <row r="186" spans="2:15" ht="69.95" customHeight="1">
      <c r="B186" s="447">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49">
        <v>52</v>
      </c>
    </row>
    <row r="187" spans="2:15" ht="69.95" customHeight="1">
      <c r="B187" s="447">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49">
        <v>52</v>
      </c>
    </row>
    <row r="188" spans="2:15" ht="69.95" customHeight="1">
      <c r="B188" s="447">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49">
        <v>52</v>
      </c>
    </row>
    <row r="189" spans="2:15" ht="69.95" customHeight="1">
      <c r="B189" s="447">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49">
        <v>52</v>
      </c>
    </row>
    <row r="190" spans="2:15" ht="69.95" customHeight="1">
      <c r="B190" s="447">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49">
        <v>52</v>
      </c>
    </row>
    <row r="191" spans="2:15" ht="69.95" customHeight="1">
      <c r="B191" s="447">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49">
        <v>51</v>
      </c>
    </row>
    <row r="192" spans="2:15" ht="69.95" customHeight="1">
      <c r="B192" s="447">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49">
        <v>52</v>
      </c>
    </row>
    <row r="193" spans="2:18" ht="69.95" customHeight="1">
      <c r="B193" s="447">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49">
        <v>52</v>
      </c>
    </row>
    <row r="194" spans="2:18" ht="69.95" customHeight="1">
      <c r="B194" s="447">
        <v>184</v>
      </c>
      <c r="C194" s="260">
        <v>7</v>
      </c>
      <c r="D194" s="256" t="s">
        <v>5678</v>
      </c>
      <c r="E194" s="256" t="s">
        <v>5679</v>
      </c>
      <c r="F194" s="257">
        <v>5863000</v>
      </c>
      <c r="G194" s="320" t="s">
        <v>4039</v>
      </c>
      <c r="H194" s="256" t="s">
        <v>5680</v>
      </c>
      <c r="I194" s="256" t="s">
        <v>5681</v>
      </c>
      <c r="J194" s="256" t="s">
        <v>4039</v>
      </c>
      <c r="K194" s="259" t="s">
        <v>5682</v>
      </c>
      <c r="L194" s="313" t="s">
        <v>542</v>
      </c>
      <c r="M194" s="313" t="s">
        <v>4339</v>
      </c>
      <c r="N194" s="260"/>
      <c r="O194" s="448">
        <v>52</v>
      </c>
      <c r="P194" s="505"/>
      <c r="Q194" s="505"/>
    </row>
    <row r="195" spans="2:18" ht="69.95" customHeight="1">
      <c r="B195" s="447">
        <v>185</v>
      </c>
      <c r="C195" s="260">
        <v>7</v>
      </c>
      <c r="D195" s="256" t="s">
        <v>5683</v>
      </c>
      <c r="E195" s="256" t="s">
        <v>5679</v>
      </c>
      <c r="F195" s="257">
        <v>1530000</v>
      </c>
      <c r="G195" s="320" t="s">
        <v>4039</v>
      </c>
      <c r="H195" s="256" t="s">
        <v>5684</v>
      </c>
      <c r="I195" s="256" t="s">
        <v>5681</v>
      </c>
      <c r="J195" s="256" t="s">
        <v>4039</v>
      </c>
      <c r="K195" s="259" t="s">
        <v>5685</v>
      </c>
      <c r="L195" s="313" t="s">
        <v>531</v>
      </c>
      <c r="M195" s="313" t="s">
        <v>4373</v>
      </c>
      <c r="N195" s="260"/>
      <c r="O195" s="448">
        <v>52</v>
      </c>
      <c r="P195" s="505"/>
      <c r="Q195" s="505"/>
    </row>
    <row r="196" spans="2:18" ht="69.95" customHeight="1">
      <c r="B196" s="447">
        <v>186</v>
      </c>
      <c r="C196" s="260">
        <v>7</v>
      </c>
      <c r="D196" s="256" t="s">
        <v>5686</v>
      </c>
      <c r="E196" s="256" t="s">
        <v>5679</v>
      </c>
      <c r="F196" s="257">
        <v>9690500</v>
      </c>
      <c r="G196" s="320" t="s">
        <v>4039</v>
      </c>
      <c r="H196" s="256" t="s">
        <v>5687</v>
      </c>
      <c r="I196" s="256" t="s">
        <v>5681</v>
      </c>
      <c r="J196" s="256" t="s">
        <v>4039</v>
      </c>
      <c r="K196" s="259" t="s">
        <v>5688</v>
      </c>
      <c r="L196" s="313" t="s">
        <v>535</v>
      </c>
      <c r="M196" s="313" t="s">
        <v>4372</v>
      </c>
      <c r="N196" s="260"/>
      <c r="O196" s="448">
        <v>52</v>
      </c>
      <c r="P196" s="505"/>
      <c r="Q196" s="505"/>
    </row>
    <row r="197" spans="2:18" ht="69.95" customHeight="1">
      <c r="B197" s="447">
        <v>187</v>
      </c>
      <c r="C197" s="260">
        <v>7</v>
      </c>
      <c r="D197" s="256" t="s">
        <v>5689</v>
      </c>
      <c r="E197" s="256" t="s">
        <v>5679</v>
      </c>
      <c r="F197" s="257">
        <v>53204130</v>
      </c>
      <c r="G197" s="320" t="s">
        <v>4039</v>
      </c>
      <c r="H197" s="256" t="s">
        <v>5690</v>
      </c>
      <c r="I197" s="256" t="s">
        <v>5681</v>
      </c>
      <c r="J197" s="256" t="s">
        <v>4039</v>
      </c>
      <c r="K197" s="259" t="s">
        <v>5691</v>
      </c>
      <c r="L197" s="313" t="s">
        <v>576</v>
      </c>
      <c r="M197" s="313" t="s">
        <v>4338</v>
      </c>
      <c r="N197" s="260"/>
      <c r="O197" s="448">
        <v>52</v>
      </c>
      <c r="P197" s="505"/>
      <c r="Q197" s="505"/>
    </row>
    <row r="198" spans="2:18" ht="69.95" customHeight="1">
      <c r="B198" s="447">
        <v>188</v>
      </c>
      <c r="C198" s="260">
        <v>7</v>
      </c>
      <c r="D198" s="256" t="s">
        <v>5692</v>
      </c>
      <c r="E198" s="256" t="s">
        <v>5679</v>
      </c>
      <c r="F198" s="257">
        <v>99715771</v>
      </c>
      <c r="G198" s="302" t="s">
        <v>3839</v>
      </c>
      <c r="H198" s="256" t="s">
        <v>5693</v>
      </c>
      <c r="I198" s="256" t="s">
        <v>5681</v>
      </c>
      <c r="J198" s="256" t="s">
        <v>4039</v>
      </c>
      <c r="K198" s="259" t="s">
        <v>5694</v>
      </c>
      <c r="L198" s="313"/>
      <c r="M198" s="313"/>
      <c r="N198" s="260"/>
      <c r="O198" s="448">
        <v>52</v>
      </c>
      <c r="P198" s="505"/>
      <c r="Q198" s="505"/>
    </row>
    <row r="199" spans="2:18" ht="69.95" customHeight="1">
      <c r="B199" s="447">
        <v>189</v>
      </c>
      <c r="C199" s="260">
        <v>7</v>
      </c>
      <c r="D199" s="256" t="s">
        <v>5695</v>
      </c>
      <c r="E199" s="256" t="s">
        <v>5679</v>
      </c>
      <c r="F199" s="257">
        <v>2778750</v>
      </c>
      <c r="G199" s="320" t="s">
        <v>4039</v>
      </c>
      <c r="H199" s="256" t="s">
        <v>5696</v>
      </c>
      <c r="I199" s="256" t="s">
        <v>5681</v>
      </c>
      <c r="J199" s="256" t="s">
        <v>4039</v>
      </c>
      <c r="K199" s="259" t="s">
        <v>5697</v>
      </c>
      <c r="L199" s="313" t="s">
        <v>542</v>
      </c>
      <c r="M199" s="313" t="s">
        <v>4339</v>
      </c>
      <c r="N199" s="260"/>
      <c r="O199" s="448">
        <v>52</v>
      </c>
      <c r="P199" s="505"/>
      <c r="Q199" s="505"/>
    </row>
    <row r="200" spans="2:18" ht="69.95" customHeight="1">
      <c r="B200" s="447">
        <v>190</v>
      </c>
      <c r="C200" s="260">
        <v>7</v>
      </c>
      <c r="D200" s="256" t="s">
        <v>5698</v>
      </c>
      <c r="E200" s="256" t="s">
        <v>5679</v>
      </c>
      <c r="F200" s="257">
        <v>3441085</v>
      </c>
      <c r="G200" s="320" t="s">
        <v>4039</v>
      </c>
      <c r="H200" s="256" t="s">
        <v>5699</v>
      </c>
      <c r="I200" s="256" t="s">
        <v>5681</v>
      </c>
      <c r="J200" s="256" t="s">
        <v>4039</v>
      </c>
      <c r="K200" s="259" t="s">
        <v>5700</v>
      </c>
      <c r="L200" s="313" t="s">
        <v>531</v>
      </c>
      <c r="M200" s="313" t="s">
        <v>4374</v>
      </c>
      <c r="N200" s="260"/>
      <c r="O200" s="448">
        <v>52</v>
      </c>
      <c r="P200" s="505"/>
      <c r="Q200" s="505"/>
    </row>
    <row r="201" spans="2:18" ht="69.95" customHeight="1">
      <c r="B201" s="447">
        <v>191</v>
      </c>
      <c r="C201" s="260">
        <v>7</v>
      </c>
      <c r="D201" s="502" t="s">
        <v>5701</v>
      </c>
      <c r="E201" s="502" t="s">
        <v>5702</v>
      </c>
      <c r="F201" s="503">
        <v>28309000</v>
      </c>
      <c r="G201" s="305" t="s">
        <v>4207</v>
      </c>
      <c r="H201" s="502" t="s">
        <v>5703</v>
      </c>
      <c r="I201" s="502" t="s">
        <v>5679</v>
      </c>
      <c r="J201" s="502" t="s">
        <v>4039</v>
      </c>
      <c r="K201" s="504" t="s">
        <v>5704</v>
      </c>
      <c r="L201" s="313" t="s">
        <v>576</v>
      </c>
      <c r="M201" s="313" t="s">
        <v>4340</v>
      </c>
      <c r="N201" s="260"/>
      <c r="O201" s="448">
        <v>51</v>
      </c>
      <c r="P201" s="505"/>
      <c r="Q201" s="505"/>
    </row>
    <row r="202" spans="2:18" ht="69.95" customHeight="1">
      <c r="B202" s="447">
        <v>192</v>
      </c>
      <c r="C202" s="260">
        <v>7</v>
      </c>
      <c r="D202" s="256" t="s">
        <v>5705</v>
      </c>
      <c r="E202" s="256" t="s">
        <v>5706</v>
      </c>
      <c r="F202" s="257">
        <v>1360000</v>
      </c>
      <c r="G202" s="256" t="s">
        <v>4039</v>
      </c>
      <c r="H202" s="256" t="s">
        <v>5707</v>
      </c>
      <c r="I202" s="256" t="s">
        <v>5702</v>
      </c>
      <c r="J202" s="256" t="s">
        <v>4039</v>
      </c>
      <c r="K202" s="259" t="s">
        <v>5708</v>
      </c>
      <c r="L202" s="313"/>
      <c r="M202" s="313"/>
      <c r="N202" s="331"/>
      <c r="O202" s="449">
        <v>52</v>
      </c>
      <c r="P202" s="506"/>
      <c r="Q202" s="506"/>
    </row>
    <row r="203" spans="2:18" ht="69.95" customHeight="1">
      <c r="B203" s="447">
        <v>193</v>
      </c>
      <c r="C203" s="260">
        <v>7</v>
      </c>
      <c r="D203" s="256" t="s">
        <v>5709</v>
      </c>
      <c r="E203" s="256" t="s">
        <v>5706</v>
      </c>
      <c r="F203" s="257">
        <v>1120000</v>
      </c>
      <c r="G203" s="256" t="s">
        <v>4039</v>
      </c>
      <c r="H203" s="256" t="s">
        <v>5710</v>
      </c>
      <c r="I203" s="256" t="s">
        <v>5702</v>
      </c>
      <c r="J203" s="256" t="s">
        <v>4039</v>
      </c>
      <c r="K203" s="259" t="s">
        <v>5711</v>
      </c>
      <c r="L203" s="313"/>
      <c r="M203" s="313"/>
      <c r="N203" s="331"/>
      <c r="O203" s="449">
        <v>52</v>
      </c>
      <c r="P203" s="506"/>
      <c r="Q203" s="506"/>
    </row>
    <row r="204" spans="2:18" ht="69.95" customHeight="1">
      <c r="B204" s="447">
        <v>194</v>
      </c>
      <c r="C204" s="260">
        <v>7</v>
      </c>
      <c r="D204" s="256" t="s">
        <v>5712</v>
      </c>
      <c r="E204" s="256" t="s">
        <v>5706</v>
      </c>
      <c r="F204" s="257">
        <v>1530000</v>
      </c>
      <c r="G204" s="256" t="s">
        <v>4039</v>
      </c>
      <c r="H204" s="256" t="s">
        <v>5713</v>
      </c>
      <c r="I204" s="256" t="s">
        <v>5702</v>
      </c>
      <c r="J204" s="256" t="s">
        <v>4039</v>
      </c>
      <c r="K204" s="259" t="s">
        <v>5714</v>
      </c>
      <c r="L204" s="313"/>
      <c r="M204" s="313"/>
      <c r="N204" s="331"/>
      <c r="O204" s="449">
        <v>52</v>
      </c>
      <c r="P204" s="506"/>
      <c r="Q204" s="506"/>
      <c r="R204" s="282" t="s">
        <v>3842</v>
      </c>
    </row>
    <row r="205" spans="2:18" ht="69.95" customHeight="1">
      <c r="B205" s="447">
        <v>195</v>
      </c>
      <c r="C205" s="260">
        <v>7</v>
      </c>
      <c r="D205" s="256" t="s">
        <v>5715</v>
      </c>
      <c r="E205" s="256" t="s">
        <v>5706</v>
      </c>
      <c r="F205" s="257">
        <v>1800000</v>
      </c>
      <c r="G205" s="256" t="s">
        <v>4039</v>
      </c>
      <c r="H205" s="256" t="s">
        <v>5716</v>
      </c>
      <c r="I205" s="256" t="s">
        <v>5702</v>
      </c>
      <c r="J205" s="256" t="s">
        <v>4039</v>
      </c>
      <c r="K205" s="259" t="s">
        <v>5717</v>
      </c>
      <c r="L205" s="313"/>
      <c r="M205" s="313"/>
      <c r="N205" s="331"/>
      <c r="O205" s="449">
        <v>52</v>
      </c>
      <c r="P205" s="506"/>
      <c r="Q205" s="506"/>
    </row>
    <row r="206" spans="2:18" ht="69.95" customHeight="1">
      <c r="B206" s="450"/>
      <c r="C206" s="436"/>
      <c r="D206" s="436"/>
      <c r="E206" s="437"/>
      <c r="F206" s="438">
        <f>SUBTOTAL(109,Table1[Nilai SP2D])</f>
        <v>10683540476</v>
      </c>
      <c r="G206" s="439"/>
      <c r="H206" s="440"/>
      <c r="I206" s="436"/>
      <c r="J206" s="436"/>
      <c r="K206" s="441"/>
      <c r="L206" s="442"/>
      <c r="M206" s="442"/>
      <c r="N206" s="436"/>
      <c r="O206" s="451"/>
    </row>
  </sheetData>
  <sortState xmlns:xlrd2="http://schemas.microsoft.com/office/spreadsheetml/2017/richdata2" ref="B11:K51">
    <sortCondition ref="H11:H51"/>
  </sortState>
  <phoneticPr fontId="26" type="noConversion"/>
  <conditionalFormatting sqref="D113:D116">
    <cfRule type="duplicateValues" dxfId="573" priority="3"/>
  </conditionalFormatting>
  <conditionalFormatting sqref="D11:D171">
    <cfRule type="duplicateValues" dxfId="572" priority="28"/>
    <cfRule type="duplicateValues" dxfId="571" priority="29"/>
  </conditionalFormatting>
  <pageMargins left="0.4" right="0.16" top="0.31" bottom="0.25" header="0.22" footer="0.17"/>
  <pageSetup scale="52"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L11:L205</xm:sqref>
        </x14:dataValidation>
        <x14:dataValidation type="list" allowBlank="1" showInputMessage="1" showErrorMessage="1" xr:uid="{1D7AA939-12B2-4A2A-99CA-5C400ED59A4C}">
          <x14:formula1>
            <xm:f>Eselon2!$R$2:$R$9</xm:f>
          </x14:formula1>
          <xm:sqref>M11:M205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topLeftCell="A10" zoomScale="70" zoomScaleNormal="70" zoomScaleSheetLayoutView="70" workbookViewId="0">
      <selection activeCell="C14" sqref="C14"/>
    </sheetView>
  </sheetViews>
  <sheetFormatPr defaultRowHeight="1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c r="C1" s="473" t="str">
        <f>'PERSUBBID - Gaji'!A1</f>
        <v>REALISASI TANPA GAJI (BERDASARKAN PAGU SETELAH BLOKIR)</v>
      </c>
      <c r="D1" s="473"/>
      <c r="E1" s="473"/>
      <c r="F1" s="473"/>
      <c r="G1" s="473"/>
      <c r="H1" s="473"/>
    </row>
    <row r="2" spans="3:18" ht="19.5">
      <c r="C2" s="473" t="str">
        <f>'PER BULAN'!B5</f>
        <v>Berdasarkan DIPA Revisi 2 TA. 2022 (Tanggal 9 Juni 2022)</v>
      </c>
      <c r="D2" s="473"/>
      <c r="E2" s="473"/>
      <c r="F2" s="473"/>
      <c r="G2" s="473"/>
      <c r="H2" s="473"/>
    </row>
    <row r="3" spans="3:18" ht="19.5">
      <c r="C3" s="473" t="str">
        <f>'PER BULAN'!B6</f>
        <v>SAMPAI DENGAN 13 JULI 2022</v>
      </c>
      <c r="D3" s="473"/>
      <c r="E3" s="473"/>
      <c r="F3" s="473"/>
      <c r="G3" s="473"/>
      <c r="H3" s="473"/>
    </row>
    <row r="4" spans="3:18">
      <c r="C4" s="306"/>
      <c r="D4" s="306"/>
      <c r="E4" s="306"/>
      <c r="F4" s="306"/>
      <c r="G4" s="306"/>
      <c r="H4" s="306"/>
    </row>
    <row r="5" spans="3:18" ht="15.75">
      <c r="C5" s="307" t="s">
        <v>4011</v>
      </c>
      <c r="D5" s="308" t="s">
        <v>4006</v>
      </c>
      <c r="E5" s="308" t="s">
        <v>4007</v>
      </c>
      <c r="F5" s="308" t="s">
        <v>4008</v>
      </c>
      <c r="G5" s="308" t="s">
        <v>4009</v>
      </c>
      <c r="H5" s="308" t="s">
        <v>4010</v>
      </c>
    </row>
    <row r="6" spans="3:18" ht="17.100000000000001" customHeight="1">
      <c r="C6" s="247" t="s">
        <v>530</v>
      </c>
      <c r="D6" s="340">
        <v>11375804000</v>
      </c>
      <c r="E6" s="340">
        <v>6841305185</v>
      </c>
      <c r="F6" s="341">
        <v>60.139091575417439</v>
      </c>
      <c r="G6" s="340">
        <v>4534498815</v>
      </c>
      <c r="H6" s="341">
        <v>39.860908424582561</v>
      </c>
      <c r="R6" s="215"/>
    </row>
    <row r="7" spans="3:18">
      <c r="C7" s="309" t="s">
        <v>3888</v>
      </c>
      <c r="D7" s="342">
        <v>1000000000</v>
      </c>
      <c r="E7" s="342">
        <v>408446000</v>
      </c>
      <c r="F7" s="343">
        <v>40.8446</v>
      </c>
      <c r="G7" s="342">
        <v>591554000</v>
      </c>
      <c r="H7" s="343">
        <v>59.1554</v>
      </c>
      <c r="R7" s="215"/>
    </row>
    <row r="8" spans="3:18">
      <c r="C8" s="309" t="s">
        <v>3898</v>
      </c>
      <c r="D8" s="342">
        <v>1000000000</v>
      </c>
      <c r="E8" s="342">
        <v>408446000</v>
      </c>
      <c r="F8" s="343">
        <v>40.8446</v>
      </c>
      <c r="G8" s="342">
        <v>591554000</v>
      </c>
      <c r="H8" s="343">
        <v>59.1554</v>
      </c>
    </row>
    <row r="9" spans="3:18">
      <c r="C9" s="310" t="s">
        <v>535</v>
      </c>
      <c r="D9" s="344">
        <v>821400000</v>
      </c>
      <c r="E9" s="344">
        <v>325268500</v>
      </c>
      <c r="F9" s="345">
        <v>39.599281714146578</v>
      </c>
      <c r="G9" s="344">
        <v>496131500</v>
      </c>
      <c r="H9" s="345">
        <v>60.400718285853415</v>
      </c>
    </row>
    <row r="10" spans="3:18">
      <c r="C10" s="170" t="s">
        <v>536</v>
      </c>
      <c r="D10" s="346">
        <v>686300000</v>
      </c>
      <c r="E10" s="346">
        <v>247665140</v>
      </c>
      <c r="F10" s="347">
        <v>36.087008596823544</v>
      </c>
      <c r="G10" s="346">
        <v>438634860</v>
      </c>
      <c r="H10" s="347">
        <v>63.912991403176456</v>
      </c>
    </row>
    <row r="11" spans="3:18">
      <c r="C11" s="309" t="s">
        <v>3900</v>
      </c>
      <c r="D11" s="342">
        <v>686300000</v>
      </c>
      <c r="E11" s="342">
        <v>247665140</v>
      </c>
      <c r="F11" s="343">
        <v>36.087008596823544</v>
      </c>
      <c r="G11" s="342">
        <v>438634860</v>
      </c>
      <c r="H11" s="343">
        <v>63.912991403176456</v>
      </c>
    </row>
    <row r="12" spans="3:18">
      <c r="C12" s="325" t="s">
        <v>3906</v>
      </c>
      <c r="D12" s="348">
        <v>686300000</v>
      </c>
      <c r="E12" s="348">
        <v>247665140</v>
      </c>
      <c r="F12" s="349">
        <v>36.087008596823544</v>
      </c>
      <c r="G12" s="348">
        <v>438634860</v>
      </c>
      <c r="H12" s="349">
        <v>63.912991403176456</v>
      </c>
    </row>
    <row r="13" spans="3:18">
      <c r="C13" s="311" t="s">
        <v>3907</v>
      </c>
      <c r="D13" s="350">
        <v>386924000</v>
      </c>
      <c r="E13" s="350">
        <v>92408550</v>
      </c>
      <c r="F13" s="351">
        <v>23.882868470293907</v>
      </c>
      <c r="G13" s="350">
        <v>294515450</v>
      </c>
      <c r="H13" s="351">
        <v>76.1171315297061</v>
      </c>
    </row>
    <row r="14" spans="3:18">
      <c r="C14" s="315" t="s">
        <v>3890</v>
      </c>
      <c r="D14" s="342">
        <v>64900000</v>
      </c>
      <c r="E14" s="342">
        <v>6195000</v>
      </c>
      <c r="F14" s="343">
        <v>9.5454545454545467</v>
      </c>
      <c r="G14" s="342">
        <v>58705000</v>
      </c>
      <c r="H14" s="343">
        <v>90.454545454545453</v>
      </c>
    </row>
    <row r="15" spans="3:18">
      <c r="C15" s="315" t="s">
        <v>3903</v>
      </c>
      <c r="D15" s="342">
        <v>6000000</v>
      </c>
      <c r="E15" s="342">
        <v>963000</v>
      </c>
      <c r="F15" s="343">
        <v>16.05</v>
      </c>
      <c r="G15" s="342">
        <v>5037000</v>
      </c>
      <c r="H15" s="343">
        <v>83.95</v>
      </c>
    </row>
    <row r="16" spans="3:18">
      <c r="C16" s="315" t="s">
        <v>3908</v>
      </c>
      <c r="D16" s="342">
        <v>30000000</v>
      </c>
      <c r="E16" s="342">
        <v>9537000</v>
      </c>
      <c r="F16" s="343">
        <v>31.790000000000003</v>
      </c>
      <c r="G16" s="342">
        <v>20463000</v>
      </c>
      <c r="H16" s="343">
        <v>68.210000000000008</v>
      </c>
    </row>
    <row r="17" spans="3:21">
      <c r="C17" s="315" t="s">
        <v>3893</v>
      </c>
      <c r="D17" s="342">
        <v>25200000</v>
      </c>
      <c r="E17" s="342">
        <v>9000000</v>
      </c>
      <c r="F17" s="343">
        <v>35.714285714285715</v>
      </c>
      <c r="G17" s="342">
        <v>16200000</v>
      </c>
      <c r="H17" s="343">
        <v>64.285714285714292</v>
      </c>
    </row>
    <row r="18" spans="3:21">
      <c r="C18" s="315" t="s">
        <v>3895</v>
      </c>
      <c r="D18" s="342">
        <v>6000000</v>
      </c>
      <c r="E18" s="342">
        <v>0</v>
      </c>
      <c r="F18" s="343">
        <v>0</v>
      </c>
      <c r="G18" s="342">
        <v>6000000</v>
      </c>
      <c r="H18" s="343">
        <v>100</v>
      </c>
    </row>
    <row r="19" spans="3:21">
      <c r="C19" s="315" t="s">
        <v>3894</v>
      </c>
      <c r="D19" s="342">
        <v>253324000</v>
      </c>
      <c r="E19" s="342">
        <v>66713550</v>
      </c>
      <c r="F19" s="343">
        <v>26.335266299284712</v>
      </c>
      <c r="G19" s="342">
        <v>186610450</v>
      </c>
      <c r="H19" s="343">
        <v>73.664733700715288</v>
      </c>
    </row>
    <row r="20" spans="3:21">
      <c r="C20" s="315" t="s">
        <v>508</v>
      </c>
      <c r="D20" s="342">
        <v>1500000</v>
      </c>
      <c r="E20" s="342">
        <v>0</v>
      </c>
      <c r="F20" s="343">
        <v>0</v>
      </c>
      <c r="G20" s="342">
        <v>1500000</v>
      </c>
      <c r="H20" s="343">
        <v>100</v>
      </c>
    </row>
    <row r="21" spans="3:21">
      <c r="C21" s="311" t="s">
        <v>3909</v>
      </c>
      <c r="D21" s="350">
        <v>247816000</v>
      </c>
      <c r="E21" s="350">
        <v>155256590</v>
      </c>
      <c r="F21" s="351">
        <v>62.649945927623719</v>
      </c>
      <c r="G21" s="350">
        <v>92559410</v>
      </c>
      <c r="H21" s="351">
        <v>37.350054072376281</v>
      </c>
    </row>
    <row r="22" spans="3:21">
      <c r="C22" s="315" t="s">
        <v>3890</v>
      </c>
      <c r="D22" s="342">
        <v>71456000</v>
      </c>
      <c r="E22" s="342">
        <v>10438550</v>
      </c>
      <c r="F22" s="343">
        <v>14.60836038961039</v>
      </c>
      <c r="G22" s="342">
        <v>61017450</v>
      </c>
      <c r="H22" s="343">
        <v>85.391639610389618</v>
      </c>
      <c r="U22" s="217"/>
    </row>
    <row r="23" spans="3:21">
      <c r="C23" s="315" t="s">
        <v>3903</v>
      </c>
      <c r="D23" s="342">
        <v>5000000</v>
      </c>
      <c r="E23" s="342">
        <v>4262850</v>
      </c>
      <c r="F23" s="343">
        <v>85.257000000000005</v>
      </c>
      <c r="G23" s="342">
        <v>737150</v>
      </c>
      <c r="H23" s="343">
        <v>14.743</v>
      </c>
      <c r="U23" s="217"/>
    </row>
    <row r="24" spans="3:21">
      <c r="C24" s="315" t="s">
        <v>3908</v>
      </c>
      <c r="D24" s="342">
        <v>15000000</v>
      </c>
      <c r="E24" s="342">
        <v>2453500</v>
      </c>
      <c r="F24" s="343">
        <v>16.356666666666666</v>
      </c>
      <c r="G24" s="342">
        <v>12546500</v>
      </c>
      <c r="H24" s="343">
        <v>83.643333333333331</v>
      </c>
    </row>
    <row r="25" spans="3:21">
      <c r="C25" s="315" t="s">
        <v>3893</v>
      </c>
      <c r="D25" s="342">
        <v>16200000</v>
      </c>
      <c r="E25" s="342">
        <v>6300000</v>
      </c>
      <c r="F25" s="343">
        <v>38.888888888888893</v>
      </c>
      <c r="G25" s="342">
        <v>9900000</v>
      </c>
      <c r="H25" s="343">
        <v>61.111111111111114</v>
      </c>
    </row>
    <row r="26" spans="3:21">
      <c r="C26" s="315" t="s">
        <v>3895</v>
      </c>
      <c r="D26" s="342">
        <v>2000000</v>
      </c>
      <c r="E26" s="342">
        <v>365000</v>
      </c>
      <c r="F26" s="343">
        <v>18.25</v>
      </c>
      <c r="G26" s="342">
        <v>1635000</v>
      </c>
      <c r="H26" s="343">
        <v>81.75</v>
      </c>
    </row>
    <row r="27" spans="3:21">
      <c r="C27" s="315" t="s">
        <v>3894</v>
      </c>
      <c r="D27" s="342">
        <v>138160000</v>
      </c>
      <c r="E27" s="342">
        <v>131436690</v>
      </c>
      <c r="F27" s="343">
        <v>95.133678343949043</v>
      </c>
      <c r="G27" s="342">
        <v>6723310</v>
      </c>
      <c r="H27" s="343">
        <v>4.866321656050955</v>
      </c>
    </row>
    <row r="28" spans="3:21">
      <c r="C28" s="311" t="s">
        <v>3923</v>
      </c>
      <c r="D28" s="350">
        <v>51560000</v>
      </c>
      <c r="E28" s="350">
        <v>0</v>
      </c>
      <c r="F28" s="351">
        <v>0</v>
      </c>
      <c r="G28" s="350">
        <v>51560000</v>
      </c>
      <c r="H28" s="351">
        <v>100</v>
      </c>
    </row>
    <row r="29" spans="3:21">
      <c r="C29" s="315" t="s">
        <v>3890</v>
      </c>
      <c r="D29" s="342">
        <v>20830000</v>
      </c>
      <c r="E29" s="342">
        <v>0</v>
      </c>
      <c r="F29" s="343">
        <v>0</v>
      </c>
      <c r="G29" s="342">
        <v>20830000</v>
      </c>
      <c r="H29" s="343">
        <v>100</v>
      </c>
    </row>
    <row r="30" spans="3:21">
      <c r="C30" s="315" t="s">
        <v>3903</v>
      </c>
      <c r="D30" s="342">
        <v>500000</v>
      </c>
      <c r="E30" s="342">
        <v>0</v>
      </c>
      <c r="F30" s="343">
        <v>0</v>
      </c>
      <c r="G30" s="342">
        <v>500000</v>
      </c>
      <c r="H30" s="343">
        <v>100</v>
      </c>
    </row>
    <row r="31" spans="3:21">
      <c r="C31" s="315" t="s">
        <v>3893</v>
      </c>
      <c r="D31" s="342">
        <v>7200000</v>
      </c>
      <c r="E31" s="342">
        <v>0</v>
      </c>
      <c r="F31" s="343">
        <v>0</v>
      </c>
      <c r="G31" s="342">
        <v>7200000</v>
      </c>
      <c r="H31" s="343">
        <v>100</v>
      </c>
    </row>
    <row r="32" spans="3:21">
      <c r="C32" s="315" t="s">
        <v>3894</v>
      </c>
      <c r="D32" s="342">
        <v>23030000</v>
      </c>
      <c r="E32" s="342">
        <v>0</v>
      </c>
      <c r="F32" s="343">
        <v>0</v>
      </c>
      <c r="G32" s="342">
        <v>23030000</v>
      </c>
      <c r="H32" s="343">
        <v>100</v>
      </c>
    </row>
    <row r="33" spans="3:15">
      <c r="C33" s="170" t="s">
        <v>538</v>
      </c>
      <c r="D33" s="346">
        <v>135100000</v>
      </c>
      <c r="E33" s="346">
        <v>77603360</v>
      </c>
      <c r="F33" s="347">
        <v>57.441421169504068</v>
      </c>
      <c r="G33" s="346">
        <v>57496640</v>
      </c>
      <c r="H33" s="347">
        <v>42.558578830495932</v>
      </c>
    </row>
    <row r="34" spans="3:15">
      <c r="C34" s="309" t="s">
        <v>3900</v>
      </c>
      <c r="D34" s="342">
        <v>135100000</v>
      </c>
      <c r="E34" s="342">
        <v>77603360</v>
      </c>
      <c r="F34" s="343">
        <v>57.441421169504068</v>
      </c>
      <c r="G34" s="342">
        <v>57496640</v>
      </c>
      <c r="H34" s="343">
        <v>42.558578830495932</v>
      </c>
      <c r="O34" s="217"/>
    </row>
    <row r="35" spans="3:15">
      <c r="C35" s="325" t="s">
        <v>3910</v>
      </c>
      <c r="D35" s="348">
        <v>135100000</v>
      </c>
      <c r="E35" s="348">
        <v>77603360</v>
      </c>
      <c r="F35" s="349">
        <v>57.441421169504068</v>
      </c>
      <c r="G35" s="348">
        <v>57496640</v>
      </c>
      <c r="H35" s="349">
        <v>42.558578830495932</v>
      </c>
    </row>
    <row r="36" spans="3:15">
      <c r="C36" s="311" t="s">
        <v>3911</v>
      </c>
      <c r="D36" s="350">
        <v>135100000</v>
      </c>
      <c r="E36" s="350">
        <v>77603360</v>
      </c>
      <c r="F36" s="351">
        <v>57.441421169504068</v>
      </c>
      <c r="G36" s="350">
        <v>57496640</v>
      </c>
      <c r="H36" s="351">
        <v>42.558578830495932</v>
      </c>
    </row>
    <row r="37" spans="3:15">
      <c r="C37" s="315" t="s">
        <v>3890</v>
      </c>
      <c r="D37" s="342">
        <v>13900000</v>
      </c>
      <c r="E37" s="342">
        <v>9490750</v>
      </c>
      <c r="F37" s="343">
        <v>68.27877697841727</v>
      </c>
      <c r="G37" s="342">
        <v>4409250</v>
      </c>
      <c r="H37" s="343">
        <v>31.721223021582734</v>
      </c>
    </row>
    <row r="38" spans="3:15">
      <c r="C38" s="315" t="s">
        <v>3903</v>
      </c>
      <c r="D38" s="342">
        <v>8784000</v>
      </c>
      <c r="E38" s="342">
        <v>0</v>
      </c>
      <c r="F38" s="343">
        <v>0</v>
      </c>
      <c r="G38" s="342">
        <v>8784000</v>
      </c>
      <c r="H38" s="343">
        <v>100</v>
      </c>
    </row>
    <row r="39" spans="3:15">
      <c r="C39" s="315" t="s">
        <v>3893</v>
      </c>
      <c r="D39" s="342">
        <v>10000000</v>
      </c>
      <c r="E39" s="342">
        <v>7200000</v>
      </c>
      <c r="F39" s="343">
        <v>72</v>
      </c>
      <c r="G39" s="342">
        <v>2800000</v>
      </c>
      <c r="H39" s="343">
        <v>28.000000000000004</v>
      </c>
    </row>
    <row r="40" spans="3:15">
      <c r="C40" s="315" t="s">
        <v>3895</v>
      </c>
      <c r="D40" s="342">
        <v>5000000</v>
      </c>
      <c r="E40" s="342">
        <v>0</v>
      </c>
      <c r="F40" s="343">
        <v>0</v>
      </c>
      <c r="G40" s="342">
        <v>5000000</v>
      </c>
      <c r="H40" s="343">
        <v>100</v>
      </c>
    </row>
    <row r="41" spans="3:15">
      <c r="C41" s="315" t="s">
        <v>3894</v>
      </c>
      <c r="D41" s="342">
        <v>97416000</v>
      </c>
      <c r="E41" s="342">
        <v>60912610</v>
      </c>
      <c r="F41" s="343">
        <v>62.528342366757009</v>
      </c>
      <c r="G41" s="342">
        <v>36503390</v>
      </c>
      <c r="H41" s="343">
        <v>37.471657633242998</v>
      </c>
    </row>
    <row r="42" spans="3:15">
      <c r="C42" s="310" t="s">
        <v>531</v>
      </c>
      <c r="D42" s="344">
        <v>178600000</v>
      </c>
      <c r="E42" s="344">
        <v>83177500</v>
      </c>
      <c r="F42" s="345">
        <v>46.57194848824188</v>
      </c>
      <c r="G42" s="344">
        <v>95422500</v>
      </c>
      <c r="H42" s="345">
        <v>53.42805151175812</v>
      </c>
    </row>
    <row r="43" spans="3:15">
      <c r="C43" s="170" t="s">
        <v>532</v>
      </c>
      <c r="D43" s="346">
        <v>124100000</v>
      </c>
      <c r="E43" s="346">
        <v>57463000</v>
      </c>
      <c r="F43" s="347">
        <v>46.303787268331995</v>
      </c>
      <c r="G43" s="346">
        <v>66637000</v>
      </c>
      <c r="H43" s="347">
        <v>53.696212731668012</v>
      </c>
    </row>
    <row r="44" spans="3:15">
      <c r="C44" s="309" t="s">
        <v>3900</v>
      </c>
      <c r="D44" s="342">
        <v>124100000</v>
      </c>
      <c r="E44" s="342">
        <v>57463000</v>
      </c>
      <c r="F44" s="343">
        <v>46.303787268331995</v>
      </c>
      <c r="G44" s="342">
        <v>66637000</v>
      </c>
      <c r="H44" s="343">
        <v>53.696212731668012</v>
      </c>
    </row>
    <row r="45" spans="3:15">
      <c r="C45" s="325" t="s">
        <v>3901</v>
      </c>
      <c r="D45" s="348">
        <v>124100000</v>
      </c>
      <c r="E45" s="348">
        <v>57463000</v>
      </c>
      <c r="F45" s="349">
        <v>46.303787268331995</v>
      </c>
      <c r="G45" s="348">
        <v>66637000</v>
      </c>
      <c r="H45" s="349">
        <v>53.696212731668012</v>
      </c>
    </row>
    <row r="46" spans="3:15">
      <c r="C46" s="311" t="s">
        <v>3902</v>
      </c>
      <c r="D46" s="350">
        <v>83135000</v>
      </c>
      <c r="E46" s="350">
        <v>35902000</v>
      </c>
      <c r="F46" s="351">
        <v>43.185180730137731</v>
      </c>
      <c r="G46" s="350">
        <v>47233000</v>
      </c>
      <c r="H46" s="351">
        <v>56.814819269862269</v>
      </c>
    </row>
    <row r="47" spans="3:15">
      <c r="C47" s="315" t="s">
        <v>3890</v>
      </c>
      <c r="D47" s="342">
        <v>19875000</v>
      </c>
      <c r="E47" s="342">
        <v>6406000</v>
      </c>
      <c r="F47" s="343">
        <v>32.231446540880505</v>
      </c>
      <c r="G47" s="342">
        <v>13469000</v>
      </c>
      <c r="H47" s="343">
        <v>67.768553459119502</v>
      </c>
    </row>
    <row r="48" spans="3:15">
      <c r="C48" s="315" t="s">
        <v>3893</v>
      </c>
      <c r="D48" s="342">
        <v>20000000</v>
      </c>
      <c r="E48" s="342">
        <v>2100000</v>
      </c>
      <c r="F48" s="343">
        <v>10.5</v>
      </c>
      <c r="G48" s="342">
        <v>17900000</v>
      </c>
      <c r="H48" s="343">
        <v>89.5</v>
      </c>
    </row>
    <row r="49" spans="3:8">
      <c r="C49" s="315" t="s">
        <v>3894</v>
      </c>
      <c r="D49" s="342">
        <v>43260000</v>
      </c>
      <c r="E49" s="342">
        <v>27396000</v>
      </c>
      <c r="F49" s="343">
        <v>63.328710124826628</v>
      </c>
      <c r="G49" s="342">
        <v>15864000</v>
      </c>
      <c r="H49" s="343">
        <v>36.671289875173372</v>
      </c>
    </row>
    <row r="50" spans="3:8">
      <c r="C50" s="311" t="s">
        <v>3904</v>
      </c>
      <c r="D50" s="350">
        <v>40965000</v>
      </c>
      <c r="E50" s="350">
        <v>21561000</v>
      </c>
      <c r="F50" s="351">
        <v>52.632735261808861</v>
      </c>
      <c r="G50" s="350">
        <v>19404000</v>
      </c>
      <c r="H50" s="351">
        <v>47.367264738191139</v>
      </c>
    </row>
    <row r="51" spans="3:8">
      <c r="C51" s="315" t="s">
        <v>3890</v>
      </c>
      <c r="D51" s="342">
        <v>19500000</v>
      </c>
      <c r="E51" s="342">
        <v>4041000</v>
      </c>
      <c r="F51" s="343">
        <v>20.723076923076921</v>
      </c>
      <c r="G51" s="342">
        <v>15459000</v>
      </c>
      <c r="H51" s="343">
        <v>79.276923076923083</v>
      </c>
    </row>
    <row r="52" spans="3:8">
      <c r="C52" s="315" t="s">
        <v>3893</v>
      </c>
      <c r="D52" s="342">
        <v>4000000</v>
      </c>
      <c r="E52" s="342">
        <v>900000</v>
      </c>
      <c r="F52" s="343">
        <v>22.5</v>
      </c>
      <c r="G52" s="342">
        <v>3100000</v>
      </c>
      <c r="H52" s="343">
        <v>77.5</v>
      </c>
    </row>
    <row r="53" spans="3:8">
      <c r="C53" s="315" t="s">
        <v>3894</v>
      </c>
      <c r="D53" s="342">
        <v>17465000</v>
      </c>
      <c r="E53" s="342">
        <v>16620000</v>
      </c>
      <c r="F53" s="343">
        <v>95.161752075579727</v>
      </c>
      <c r="G53" s="342">
        <v>845000</v>
      </c>
      <c r="H53" s="343">
        <v>4.8382479244202692</v>
      </c>
    </row>
    <row r="54" spans="3:8">
      <c r="C54" s="170" t="s">
        <v>534</v>
      </c>
      <c r="D54" s="346">
        <v>54500000</v>
      </c>
      <c r="E54" s="346">
        <v>25714500</v>
      </c>
      <c r="F54" s="347">
        <v>47.18256880733945</v>
      </c>
      <c r="G54" s="346">
        <v>28785500</v>
      </c>
      <c r="H54" s="347">
        <v>52.81743119266055</v>
      </c>
    </row>
    <row r="55" spans="3:8">
      <c r="C55" s="309" t="s">
        <v>3900</v>
      </c>
      <c r="D55" s="342">
        <v>54500000</v>
      </c>
      <c r="E55" s="342">
        <v>25714500</v>
      </c>
      <c r="F55" s="343">
        <v>47.18256880733945</v>
      </c>
      <c r="G55" s="342">
        <v>28785500</v>
      </c>
      <c r="H55" s="343">
        <v>52.81743119266055</v>
      </c>
    </row>
    <row r="56" spans="3:8">
      <c r="C56" s="325" t="s">
        <v>3905</v>
      </c>
      <c r="D56" s="348">
        <v>54500000</v>
      </c>
      <c r="E56" s="348">
        <v>25714500</v>
      </c>
      <c r="F56" s="349">
        <v>47.18256880733945</v>
      </c>
      <c r="G56" s="348">
        <v>28785500</v>
      </c>
      <c r="H56" s="349">
        <v>52.81743119266055</v>
      </c>
    </row>
    <row r="57" spans="3:8">
      <c r="C57" s="311" t="s">
        <v>3922</v>
      </c>
      <c r="D57" s="350">
        <v>54500000</v>
      </c>
      <c r="E57" s="350">
        <v>25714500</v>
      </c>
      <c r="F57" s="351">
        <v>47.18256880733945</v>
      </c>
      <c r="G57" s="350">
        <v>28785500</v>
      </c>
      <c r="H57" s="351">
        <v>52.81743119266055</v>
      </c>
    </row>
    <row r="58" spans="3:8">
      <c r="C58" s="315" t="s">
        <v>3890</v>
      </c>
      <c r="D58" s="342">
        <v>21250000</v>
      </c>
      <c r="E58" s="342">
        <v>4620000</v>
      </c>
      <c r="F58" s="343">
        <v>21.741176470588236</v>
      </c>
      <c r="G58" s="342">
        <v>16630000</v>
      </c>
      <c r="H58" s="343">
        <v>78.258823529411771</v>
      </c>
    </row>
    <row r="59" spans="3:8">
      <c r="C59" s="315" t="s">
        <v>3894</v>
      </c>
      <c r="D59" s="342">
        <v>33250000</v>
      </c>
      <c r="E59" s="342">
        <v>21094500</v>
      </c>
      <c r="F59" s="343">
        <v>63.442105263157899</v>
      </c>
      <c r="G59" s="342">
        <v>12155500</v>
      </c>
      <c r="H59" s="343">
        <v>36.557894736842108</v>
      </c>
    </row>
    <row r="60" spans="3:8">
      <c r="C60" s="309" t="s">
        <v>3913</v>
      </c>
      <c r="D60" s="342">
        <v>10375804000</v>
      </c>
      <c r="E60" s="342">
        <v>6432859185</v>
      </c>
      <c r="F60" s="343">
        <v>61.9986575016259</v>
      </c>
      <c r="G60" s="342">
        <v>3942944815</v>
      </c>
      <c r="H60" s="343">
        <v>38.0013424983741</v>
      </c>
    </row>
    <row r="61" spans="3:8">
      <c r="C61" s="309" t="s">
        <v>3914</v>
      </c>
      <c r="D61" s="342">
        <v>4293304000</v>
      </c>
      <c r="E61" s="342">
        <v>2544174973</v>
      </c>
      <c r="F61" s="343">
        <v>59.259138719270751</v>
      </c>
      <c r="G61" s="342">
        <v>1749129027</v>
      </c>
      <c r="H61" s="343">
        <v>40.740861280729249</v>
      </c>
    </row>
    <row r="62" spans="3:8">
      <c r="C62" s="310" t="s">
        <v>535</v>
      </c>
      <c r="D62" s="344">
        <v>17357000</v>
      </c>
      <c r="E62" s="344">
        <v>13647358</v>
      </c>
      <c r="F62" s="345">
        <v>78.627401048568302</v>
      </c>
      <c r="G62" s="344">
        <v>3709642</v>
      </c>
      <c r="H62" s="345">
        <v>21.372598951431698</v>
      </c>
    </row>
    <row r="63" spans="3:8">
      <c r="C63" s="170" t="s">
        <v>538</v>
      </c>
      <c r="D63" s="346">
        <v>17357000</v>
      </c>
      <c r="E63" s="346">
        <v>13647358</v>
      </c>
      <c r="F63" s="347">
        <v>78.627401048568302</v>
      </c>
      <c r="G63" s="346">
        <v>3709642</v>
      </c>
      <c r="H63" s="347">
        <v>21.372598951431698</v>
      </c>
    </row>
    <row r="64" spans="3:8">
      <c r="C64" s="309" t="s">
        <v>3935</v>
      </c>
      <c r="D64" s="342">
        <v>17357000</v>
      </c>
      <c r="E64" s="342">
        <v>13647358</v>
      </c>
      <c r="F64" s="343">
        <v>78.627401048568302</v>
      </c>
      <c r="G64" s="342">
        <v>3709642</v>
      </c>
      <c r="H64" s="343">
        <v>21.372598951431698</v>
      </c>
    </row>
    <row r="65" spans="3:8">
      <c r="C65" s="325" t="s">
        <v>3934</v>
      </c>
      <c r="D65" s="348">
        <v>17357000</v>
      </c>
      <c r="E65" s="348">
        <v>13647358</v>
      </c>
      <c r="F65" s="349">
        <v>78.627401048568302</v>
      </c>
      <c r="G65" s="348">
        <v>3709642</v>
      </c>
      <c r="H65" s="349">
        <v>21.372598951431698</v>
      </c>
    </row>
    <row r="66" spans="3:8">
      <c r="C66" s="311" t="s">
        <v>3939</v>
      </c>
      <c r="D66" s="350">
        <v>17357000</v>
      </c>
      <c r="E66" s="350">
        <v>13647358</v>
      </c>
      <c r="F66" s="351">
        <v>78.627401048568302</v>
      </c>
      <c r="G66" s="350">
        <v>3709642</v>
      </c>
      <c r="H66" s="351">
        <v>21.372598951431698</v>
      </c>
    </row>
    <row r="67" spans="3:8">
      <c r="C67" s="315" t="s">
        <v>3890</v>
      </c>
      <c r="D67" s="342">
        <v>4000000</v>
      </c>
      <c r="E67" s="342">
        <v>3999200</v>
      </c>
      <c r="F67" s="343">
        <v>99.98</v>
      </c>
      <c r="G67" s="342">
        <v>800</v>
      </c>
      <c r="H67" s="343">
        <v>0.02</v>
      </c>
    </row>
    <row r="68" spans="3:8">
      <c r="C68" s="315" t="s">
        <v>3903</v>
      </c>
      <c r="D68" s="342">
        <v>4298000</v>
      </c>
      <c r="E68" s="342">
        <v>4297458</v>
      </c>
      <c r="F68" s="343">
        <v>99.987389483480698</v>
      </c>
      <c r="G68" s="342">
        <v>542</v>
      </c>
      <c r="H68" s="343">
        <v>1.2610516519311306E-2</v>
      </c>
    </row>
    <row r="69" spans="3:8">
      <c r="C69" s="315" t="s">
        <v>3894</v>
      </c>
      <c r="D69" s="342">
        <v>9059000</v>
      </c>
      <c r="E69" s="342">
        <v>5350700</v>
      </c>
      <c r="F69" s="343">
        <v>59.065018213930898</v>
      </c>
      <c r="G69" s="342">
        <v>3708300</v>
      </c>
      <c r="H69" s="343">
        <v>40.934981786069102</v>
      </c>
    </row>
    <row r="70" spans="3:8">
      <c r="C70" s="310" t="s">
        <v>531</v>
      </c>
      <c r="D70" s="344">
        <v>193769000</v>
      </c>
      <c r="E70" s="344">
        <v>139623590</v>
      </c>
      <c r="F70" s="345">
        <v>72.056722179502401</v>
      </c>
      <c r="G70" s="344">
        <v>54145410</v>
      </c>
      <c r="H70" s="345">
        <v>27.943277820497602</v>
      </c>
    </row>
    <row r="71" spans="3:8">
      <c r="C71" s="170" t="s">
        <v>532</v>
      </c>
      <c r="D71" s="346">
        <v>83506000</v>
      </c>
      <c r="E71" s="346">
        <v>80472590</v>
      </c>
      <c r="F71" s="347">
        <v>96.367434675352669</v>
      </c>
      <c r="G71" s="346">
        <v>3033410</v>
      </c>
      <c r="H71" s="347">
        <v>3.6325653246473308</v>
      </c>
    </row>
    <row r="72" spans="3:8">
      <c r="C72" s="309" t="s">
        <v>3935</v>
      </c>
      <c r="D72" s="342">
        <v>83506000</v>
      </c>
      <c r="E72" s="342">
        <v>80472590</v>
      </c>
      <c r="F72" s="343">
        <v>96.367434675352669</v>
      </c>
      <c r="G72" s="342">
        <v>3033410</v>
      </c>
      <c r="H72" s="343">
        <v>3.6325653246473308</v>
      </c>
    </row>
    <row r="73" spans="3:8">
      <c r="C73" s="325" t="s">
        <v>3934</v>
      </c>
      <c r="D73" s="348">
        <v>83506000</v>
      </c>
      <c r="E73" s="348">
        <v>80472590</v>
      </c>
      <c r="F73" s="349">
        <v>96.367434675352669</v>
      </c>
      <c r="G73" s="348">
        <v>3033410</v>
      </c>
      <c r="H73" s="349">
        <v>3.6325653246473308</v>
      </c>
    </row>
    <row r="74" spans="3:8">
      <c r="C74" s="311" t="s">
        <v>3940</v>
      </c>
      <c r="D74" s="350">
        <v>83506000</v>
      </c>
      <c r="E74" s="350">
        <v>80472590</v>
      </c>
      <c r="F74" s="351">
        <v>96.367434675352669</v>
      </c>
      <c r="G74" s="350">
        <v>3033410</v>
      </c>
      <c r="H74" s="351">
        <v>3.6325653246473308</v>
      </c>
    </row>
    <row r="75" spans="3:8">
      <c r="C75" s="315" t="s">
        <v>3890</v>
      </c>
      <c r="D75" s="342">
        <v>12550000</v>
      </c>
      <c r="E75" s="342">
        <v>12517500</v>
      </c>
      <c r="F75" s="343">
        <v>99.741035856573703</v>
      </c>
      <c r="G75" s="342">
        <v>32500</v>
      </c>
      <c r="H75" s="343">
        <v>0.25896414342629481</v>
      </c>
    </row>
    <row r="76" spans="3:8">
      <c r="C76" s="315" t="s">
        <v>3903</v>
      </c>
      <c r="D76" s="342">
        <v>1192000</v>
      </c>
      <c r="E76" s="342">
        <v>1191418</v>
      </c>
      <c r="F76" s="343">
        <v>99.951174496644285</v>
      </c>
      <c r="G76" s="342">
        <v>582</v>
      </c>
      <c r="H76" s="343">
        <v>4.8825503355704701E-2</v>
      </c>
    </row>
    <row r="77" spans="3:8">
      <c r="C77" s="315" t="s">
        <v>3893</v>
      </c>
      <c r="D77" s="342">
        <v>9000000</v>
      </c>
      <c r="E77" s="342">
        <v>6000000</v>
      </c>
      <c r="F77" s="343">
        <v>66.666666666666657</v>
      </c>
      <c r="G77" s="342">
        <v>3000000</v>
      </c>
      <c r="H77" s="343">
        <v>33.333333333333329</v>
      </c>
    </row>
    <row r="78" spans="3:8">
      <c r="C78" s="315" t="s">
        <v>3894</v>
      </c>
      <c r="D78" s="342">
        <v>60764000</v>
      </c>
      <c r="E78" s="342">
        <v>60763672</v>
      </c>
      <c r="F78" s="343">
        <v>99.999460206701343</v>
      </c>
      <c r="G78" s="342">
        <v>328</v>
      </c>
      <c r="H78" s="343">
        <v>5.3979329866368244E-4</v>
      </c>
    </row>
    <row r="79" spans="3:8">
      <c r="C79" s="170" t="s">
        <v>534</v>
      </c>
      <c r="D79" s="346">
        <v>110263000</v>
      </c>
      <c r="E79" s="346">
        <v>59151000</v>
      </c>
      <c r="F79" s="347">
        <v>53.64537514850857</v>
      </c>
      <c r="G79" s="346">
        <v>51112000</v>
      </c>
      <c r="H79" s="347">
        <v>46.35462485149143</v>
      </c>
    </row>
    <row r="80" spans="3:8">
      <c r="C80" s="309" t="s">
        <v>3935</v>
      </c>
      <c r="D80" s="342">
        <v>110263000</v>
      </c>
      <c r="E80" s="342">
        <v>59151000</v>
      </c>
      <c r="F80" s="343">
        <v>53.64537514850857</v>
      </c>
      <c r="G80" s="342">
        <v>51112000</v>
      </c>
      <c r="H80" s="343">
        <v>46.35462485149143</v>
      </c>
    </row>
    <row r="81" spans="3:8">
      <c r="C81" s="325" t="s">
        <v>3934</v>
      </c>
      <c r="D81" s="348">
        <v>110263000</v>
      </c>
      <c r="E81" s="348">
        <v>59151000</v>
      </c>
      <c r="F81" s="349">
        <v>53.64537514850857</v>
      </c>
      <c r="G81" s="348">
        <v>51112000</v>
      </c>
      <c r="H81" s="349">
        <v>46.35462485149143</v>
      </c>
    </row>
    <row r="82" spans="3:8">
      <c r="C82" s="311" t="s">
        <v>3942</v>
      </c>
      <c r="D82" s="350">
        <v>110263000</v>
      </c>
      <c r="E82" s="350">
        <v>59151000</v>
      </c>
      <c r="F82" s="351">
        <v>53.64537514850857</v>
      </c>
      <c r="G82" s="350">
        <v>51112000</v>
      </c>
      <c r="H82" s="351">
        <v>46.35462485149143</v>
      </c>
    </row>
    <row r="83" spans="3:8">
      <c r="C83" s="315" t="s">
        <v>3890</v>
      </c>
      <c r="D83" s="342">
        <v>17550000</v>
      </c>
      <c r="E83" s="342">
        <v>9469000</v>
      </c>
      <c r="F83" s="343">
        <v>53.954415954415957</v>
      </c>
      <c r="G83" s="342">
        <v>8081000</v>
      </c>
      <c r="H83" s="343">
        <v>46.04558404558405</v>
      </c>
    </row>
    <row r="84" spans="3:8">
      <c r="C84" s="315" t="s">
        <v>3903</v>
      </c>
      <c r="D84" s="342">
        <v>27651000</v>
      </c>
      <c r="E84" s="342">
        <v>620000</v>
      </c>
      <c r="F84" s="343">
        <v>2.2422335539401832</v>
      </c>
      <c r="G84" s="342">
        <v>27031000</v>
      </c>
      <c r="H84" s="343">
        <v>97.757766446059819</v>
      </c>
    </row>
    <row r="85" spans="3:8">
      <c r="C85" s="315" t="s">
        <v>3893</v>
      </c>
      <c r="D85" s="342">
        <v>40000000</v>
      </c>
      <c r="E85" s="342">
        <v>24000000</v>
      </c>
      <c r="F85" s="343">
        <v>60</v>
      </c>
      <c r="G85" s="342">
        <v>16000000</v>
      </c>
      <c r="H85" s="343">
        <v>40</v>
      </c>
    </row>
    <row r="86" spans="3:8">
      <c r="C86" s="315" t="s">
        <v>3894</v>
      </c>
      <c r="D86" s="342">
        <v>25062000</v>
      </c>
      <c r="E86" s="342">
        <v>25062000</v>
      </c>
      <c r="F86" s="343">
        <v>100</v>
      </c>
      <c r="G86" s="342">
        <v>0</v>
      </c>
      <c r="H86" s="343">
        <v>0</v>
      </c>
    </row>
    <row r="87" spans="3:8">
      <c r="C87" s="310" t="s">
        <v>542</v>
      </c>
      <c r="D87" s="344">
        <v>463716000</v>
      </c>
      <c r="E87" s="344">
        <v>247567692</v>
      </c>
      <c r="F87" s="345">
        <v>53.387783039619073</v>
      </c>
      <c r="G87" s="344">
        <v>216148308</v>
      </c>
      <c r="H87" s="345">
        <v>46.612216960380927</v>
      </c>
    </row>
    <row r="88" spans="3:8">
      <c r="C88" s="170" t="s">
        <v>591</v>
      </c>
      <c r="D88" s="346">
        <v>169798000</v>
      </c>
      <c r="E88" s="346">
        <v>105796297</v>
      </c>
      <c r="F88" s="347">
        <v>62.307151438768415</v>
      </c>
      <c r="G88" s="346">
        <v>64001703</v>
      </c>
      <c r="H88" s="347">
        <v>37.692848561231578</v>
      </c>
    </row>
    <row r="89" spans="3:8">
      <c r="C89" s="309" t="s">
        <v>3967</v>
      </c>
      <c r="D89" s="342">
        <v>169798000</v>
      </c>
      <c r="E89" s="342">
        <v>105796297</v>
      </c>
      <c r="F89" s="343">
        <v>62.307151438768415</v>
      </c>
      <c r="G89" s="342">
        <v>64001703</v>
      </c>
      <c r="H89" s="343">
        <v>37.692848561231578</v>
      </c>
    </row>
    <row r="90" spans="3:8">
      <c r="C90" s="325" t="s">
        <v>3966</v>
      </c>
      <c r="D90" s="348">
        <v>119729000</v>
      </c>
      <c r="E90" s="348">
        <v>77314297</v>
      </c>
      <c r="F90" s="349">
        <v>64.574411379030977</v>
      </c>
      <c r="G90" s="348">
        <v>42414703</v>
      </c>
      <c r="H90" s="349">
        <v>35.425588620969023</v>
      </c>
    </row>
    <row r="91" spans="3:8">
      <c r="C91" s="311" t="s">
        <v>3918</v>
      </c>
      <c r="D91" s="350">
        <v>43789000</v>
      </c>
      <c r="E91" s="350">
        <v>6778028</v>
      </c>
      <c r="F91" s="351">
        <v>15.47883715088264</v>
      </c>
      <c r="G91" s="350">
        <v>37010972</v>
      </c>
      <c r="H91" s="351">
        <v>84.52116284911736</v>
      </c>
    </row>
    <row r="92" spans="3:8">
      <c r="C92" s="315" t="s">
        <v>3890</v>
      </c>
      <c r="D92" s="342">
        <v>23250000</v>
      </c>
      <c r="E92" s="342">
        <v>6278500</v>
      </c>
      <c r="F92" s="343">
        <v>27.004301075268817</v>
      </c>
      <c r="G92" s="342">
        <v>16971500</v>
      </c>
      <c r="H92" s="343">
        <v>72.995698924731172</v>
      </c>
    </row>
    <row r="93" spans="3:8">
      <c r="C93" s="315" t="s">
        <v>3903</v>
      </c>
      <c r="D93" s="342">
        <v>2000000</v>
      </c>
      <c r="E93" s="342">
        <v>499528</v>
      </c>
      <c r="F93" s="343">
        <v>24.976400000000002</v>
      </c>
      <c r="G93" s="342">
        <v>1500472</v>
      </c>
      <c r="H93" s="343">
        <v>75.023600000000002</v>
      </c>
    </row>
    <row r="94" spans="3:8">
      <c r="C94" s="315" t="s">
        <v>3894</v>
      </c>
      <c r="D94" s="342">
        <v>18539000</v>
      </c>
      <c r="E94" s="342">
        <v>0</v>
      </c>
      <c r="F94" s="343">
        <v>0</v>
      </c>
      <c r="G94" s="342">
        <v>18539000</v>
      </c>
      <c r="H94" s="343">
        <v>100</v>
      </c>
    </row>
    <row r="95" spans="3:8">
      <c r="C95" s="311" t="s">
        <v>3919</v>
      </c>
      <c r="D95" s="350">
        <v>75940000</v>
      </c>
      <c r="E95" s="350">
        <v>70536269</v>
      </c>
      <c r="F95" s="351">
        <v>92.884209902554645</v>
      </c>
      <c r="G95" s="350">
        <v>5403731</v>
      </c>
      <c r="H95" s="351">
        <v>7.1157900974453518</v>
      </c>
    </row>
    <row r="96" spans="3:8">
      <c r="C96" s="315" t="s">
        <v>3890</v>
      </c>
      <c r="D96" s="342">
        <v>13525000</v>
      </c>
      <c r="E96" s="342">
        <v>9519000</v>
      </c>
      <c r="F96" s="343">
        <v>70.380776340110913</v>
      </c>
      <c r="G96" s="342">
        <v>4006000</v>
      </c>
      <c r="H96" s="343">
        <v>29.619223659889094</v>
      </c>
    </row>
    <row r="97" spans="3:8">
      <c r="C97" s="315" t="s">
        <v>3903</v>
      </c>
      <c r="D97" s="342">
        <v>2000000</v>
      </c>
      <c r="E97" s="342">
        <v>603014</v>
      </c>
      <c r="F97" s="343">
        <v>30.150700000000004</v>
      </c>
      <c r="G97" s="342">
        <v>1396986</v>
      </c>
      <c r="H97" s="343">
        <v>69.849299999999999</v>
      </c>
    </row>
    <row r="98" spans="3:8">
      <c r="C98" s="315" t="s">
        <v>3894</v>
      </c>
      <c r="D98" s="342">
        <v>60415000</v>
      </c>
      <c r="E98" s="342">
        <v>60414255</v>
      </c>
      <c r="F98" s="343">
        <v>99.99876686253414</v>
      </c>
      <c r="G98" s="342">
        <v>745</v>
      </c>
      <c r="H98" s="343">
        <v>1.2331374658611273E-3</v>
      </c>
    </row>
    <row r="99" spans="3:8">
      <c r="C99" s="325" t="s">
        <v>3968</v>
      </c>
      <c r="D99" s="348">
        <v>50069000</v>
      </c>
      <c r="E99" s="348">
        <v>28482000</v>
      </c>
      <c r="F99" s="349">
        <v>56.885498012742417</v>
      </c>
      <c r="G99" s="348">
        <v>21587000</v>
      </c>
      <c r="H99" s="349">
        <v>43.114501987257583</v>
      </c>
    </row>
    <row r="100" spans="3:8">
      <c r="C100" s="311" t="s">
        <v>3969</v>
      </c>
      <c r="D100" s="350">
        <v>50069000</v>
      </c>
      <c r="E100" s="350">
        <v>28482000</v>
      </c>
      <c r="F100" s="351">
        <v>56.885498012742417</v>
      </c>
      <c r="G100" s="350">
        <v>21587000</v>
      </c>
      <c r="H100" s="351">
        <v>43.114501987257583</v>
      </c>
    </row>
    <row r="101" spans="3:8">
      <c r="C101" s="315" t="s">
        <v>3890</v>
      </c>
      <c r="D101" s="342">
        <v>17900000</v>
      </c>
      <c r="E101" s="342">
        <v>8344000</v>
      </c>
      <c r="F101" s="343">
        <v>46.614525139664806</v>
      </c>
      <c r="G101" s="342">
        <v>9556000</v>
      </c>
      <c r="H101" s="343">
        <v>53.385474860335194</v>
      </c>
    </row>
    <row r="102" spans="3:8">
      <c r="C102" s="315" t="s">
        <v>3903</v>
      </c>
      <c r="D102" s="342">
        <v>2000000</v>
      </c>
      <c r="E102" s="342">
        <v>0</v>
      </c>
      <c r="F102" s="343">
        <v>0</v>
      </c>
      <c r="G102" s="342">
        <v>2000000</v>
      </c>
      <c r="H102" s="343">
        <v>100</v>
      </c>
    </row>
    <row r="103" spans="3:8">
      <c r="C103" s="315" t="s">
        <v>3894</v>
      </c>
      <c r="D103" s="342">
        <v>30169000</v>
      </c>
      <c r="E103" s="342">
        <v>20138000</v>
      </c>
      <c r="F103" s="343">
        <v>66.750638072193311</v>
      </c>
      <c r="G103" s="342">
        <v>10031000</v>
      </c>
      <c r="H103" s="343">
        <v>33.249361927806689</v>
      </c>
    </row>
    <row r="104" spans="3:8">
      <c r="C104" s="170" t="s">
        <v>543</v>
      </c>
      <c r="D104" s="346">
        <v>293918000</v>
      </c>
      <c r="E104" s="346">
        <v>141771395</v>
      </c>
      <c r="F104" s="347">
        <v>48.23501622901626</v>
      </c>
      <c r="G104" s="346">
        <v>152146605</v>
      </c>
      <c r="H104" s="347">
        <v>51.76498377098374</v>
      </c>
    </row>
    <row r="105" spans="3:8">
      <c r="C105" s="309" t="s">
        <v>3933</v>
      </c>
      <c r="D105" s="342">
        <v>113346000</v>
      </c>
      <c r="E105" s="342">
        <v>29834850</v>
      </c>
      <c r="F105" s="343">
        <v>26.321925784765231</v>
      </c>
      <c r="G105" s="342">
        <v>83511150</v>
      </c>
      <c r="H105" s="343">
        <v>73.678074215234773</v>
      </c>
    </row>
    <row r="106" spans="3:8">
      <c r="C106" s="325" t="s">
        <v>3932</v>
      </c>
      <c r="D106" s="348">
        <v>113346000</v>
      </c>
      <c r="E106" s="348">
        <v>29834850</v>
      </c>
      <c r="F106" s="349">
        <v>26.321925784765231</v>
      </c>
      <c r="G106" s="348">
        <v>83511150</v>
      </c>
      <c r="H106" s="349">
        <v>73.678074215234773</v>
      </c>
    </row>
    <row r="107" spans="3:8">
      <c r="C107" s="311" t="s">
        <v>3931</v>
      </c>
      <c r="D107" s="350">
        <v>113346000</v>
      </c>
      <c r="E107" s="350">
        <v>29834850</v>
      </c>
      <c r="F107" s="351">
        <v>26.321925784765231</v>
      </c>
      <c r="G107" s="350">
        <v>83511150</v>
      </c>
      <c r="H107" s="351">
        <v>73.678074215234773</v>
      </c>
    </row>
    <row r="108" spans="3:8">
      <c r="C108" s="315" t="s">
        <v>3890</v>
      </c>
      <c r="D108" s="342">
        <v>12400000</v>
      </c>
      <c r="E108" s="342">
        <v>5947500</v>
      </c>
      <c r="F108" s="343">
        <v>47.963709677419352</v>
      </c>
      <c r="G108" s="342">
        <v>6452500</v>
      </c>
      <c r="H108" s="343">
        <v>52.036290322580648</v>
      </c>
    </row>
    <row r="109" spans="3:8">
      <c r="C109" s="315" t="s">
        <v>3908</v>
      </c>
      <c r="D109" s="342">
        <v>10000000</v>
      </c>
      <c r="E109" s="342">
        <v>4379750</v>
      </c>
      <c r="F109" s="343">
        <v>43.797499999999999</v>
      </c>
      <c r="G109" s="342">
        <v>5620250</v>
      </c>
      <c r="H109" s="343">
        <v>56.202500000000001</v>
      </c>
    </row>
    <row r="110" spans="3:8">
      <c r="C110" s="315" t="s">
        <v>3894</v>
      </c>
      <c r="D110" s="342">
        <v>90946000</v>
      </c>
      <c r="E110" s="342">
        <v>19507600</v>
      </c>
      <c r="F110" s="343">
        <v>21.449651441514746</v>
      </c>
      <c r="G110" s="342">
        <v>71438400</v>
      </c>
      <c r="H110" s="343">
        <v>78.550348558485254</v>
      </c>
    </row>
    <row r="111" spans="3:8">
      <c r="C111" s="309" t="s">
        <v>3961</v>
      </c>
      <c r="D111" s="342">
        <v>180572000</v>
      </c>
      <c r="E111" s="342">
        <v>111936545</v>
      </c>
      <c r="F111" s="343">
        <v>61.98997906652194</v>
      </c>
      <c r="G111" s="342">
        <v>68635455</v>
      </c>
      <c r="H111" s="343">
        <v>38.010020933478053</v>
      </c>
    </row>
    <row r="112" spans="3:8">
      <c r="C112" s="325" t="s">
        <v>3962</v>
      </c>
      <c r="D112" s="348">
        <v>180572000</v>
      </c>
      <c r="E112" s="348">
        <v>111936545</v>
      </c>
      <c r="F112" s="349">
        <v>61.98997906652194</v>
      </c>
      <c r="G112" s="348">
        <v>68635455</v>
      </c>
      <c r="H112" s="349">
        <v>38.010020933478053</v>
      </c>
    </row>
    <row r="113" spans="3:8">
      <c r="C113" s="311" t="s">
        <v>3963</v>
      </c>
      <c r="D113" s="350">
        <v>22164000</v>
      </c>
      <c r="E113" s="350">
        <v>13706395</v>
      </c>
      <c r="F113" s="351">
        <v>61.84080039704024</v>
      </c>
      <c r="G113" s="350">
        <v>8457605</v>
      </c>
      <c r="H113" s="351">
        <v>38.159199602959752</v>
      </c>
    </row>
    <row r="114" spans="3:8">
      <c r="C114" s="315" t="s">
        <v>3890</v>
      </c>
      <c r="D114" s="342">
        <v>6000000</v>
      </c>
      <c r="E114" s="342">
        <v>2991000</v>
      </c>
      <c r="F114" s="343">
        <v>49.85</v>
      </c>
      <c r="G114" s="342">
        <v>3009000</v>
      </c>
      <c r="H114" s="343">
        <v>50.149999999999991</v>
      </c>
    </row>
    <row r="115" spans="3:8">
      <c r="C115" s="315" t="s">
        <v>3903</v>
      </c>
      <c r="D115" s="342">
        <v>1000000</v>
      </c>
      <c r="E115" s="342">
        <v>702895</v>
      </c>
      <c r="F115" s="343">
        <v>70.289500000000004</v>
      </c>
      <c r="G115" s="342">
        <v>297105</v>
      </c>
      <c r="H115" s="343">
        <v>29.7105</v>
      </c>
    </row>
    <row r="116" spans="3:8">
      <c r="C116" s="315" t="s">
        <v>3908</v>
      </c>
      <c r="D116" s="342">
        <v>10000000</v>
      </c>
      <c r="E116" s="342">
        <v>4849000</v>
      </c>
      <c r="F116" s="343">
        <v>48.49</v>
      </c>
      <c r="G116" s="342">
        <v>5151000</v>
      </c>
      <c r="H116" s="343">
        <v>51.51</v>
      </c>
    </row>
    <row r="117" spans="3:8">
      <c r="C117" s="315" t="s">
        <v>3894</v>
      </c>
      <c r="D117" s="342">
        <v>5164000</v>
      </c>
      <c r="E117" s="342">
        <v>5163500</v>
      </c>
      <c r="F117" s="343">
        <v>99.990317583268791</v>
      </c>
      <c r="G117" s="342">
        <v>500</v>
      </c>
      <c r="H117" s="343">
        <v>9.6824167312161129E-3</v>
      </c>
    </row>
    <row r="118" spans="3:8">
      <c r="C118" s="311" t="s">
        <v>3964</v>
      </c>
      <c r="D118" s="350">
        <v>78000000</v>
      </c>
      <c r="E118" s="350">
        <v>30108100</v>
      </c>
      <c r="F118" s="351">
        <v>38.6001282051282</v>
      </c>
      <c r="G118" s="350">
        <v>47891900</v>
      </c>
      <c r="H118" s="351">
        <v>61.3998717948718</v>
      </c>
    </row>
    <row r="119" spans="3:8">
      <c r="C119" s="315" t="s">
        <v>3890</v>
      </c>
      <c r="D119" s="342">
        <v>12000000</v>
      </c>
      <c r="E119" s="342">
        <v>5939000</v>
      </c>
      <c r="F119" s="343">
        <v>49.491666666666667</v>
      </c>
      <c r="G119" s="342">
        <v>6061000</v>
      </c>
      <c r="H119" s="343">
        <v>50.508333333333333</v>
      </c>
    </row>
    <row r="120" spans="3:8">
      <c r="C120" s="315" t="s">
        <v>3903</v>
      </c>
      <c r="D120" s="342">
        <v>1000000</v>
      </c>
      <c r="E120" s="342">
        <v>0</v>
      </c>
      <c r="F120" s="343">
        <v>0</v>
      </c>
      <c r="G120" s="342">
        <v>1000000</v>
      </c>
      <c r="H120" s="343">
        <v>100</v>
      </c>
    </row>
    <row r="121" spans="3:8" ht="17.100000000000001" customHeight="1">
      <c r="C121" s="315" t="s">
        <v>3908</v>
      </c>
      <c r="D121" s="342">
        <v>20000000</v>
      </c>
      <c r="E121" s="342">
        <v>9783000</v>
      </c>
      <c r="F121" s="343">
        <v>48.914999999999999</v>
      </c>
      <c r="G121" s="342">
        <v>10217000</v>
      </c>
      <c r="H121" s="343">
        <v>51.085000000000001</v>
      </c>
    </row>
    <row r="122" spans="3:8">
      <c r="C122" s="315" t="s">
        <v>3894</v>
      </c>
      <c r="D122" s="342">
        <v>45000000</v>
      </c>
      <c r="E122" s="342">
        <v>14386100</v>
      </c>
      <c r="F122" s="343">
        <v>31.969111111111108</v>
      </c>
      <c r="G122" s="342">
        <v>30613900</v>
      </c>
      <c r="H122" s="343">
        <v>68.030888888888882</v>
      </c>
    </row>
    <row r="123" spans="3:8">
      <c r="C123" s="311" t="s">
        <v>3965</v>
      </c>
      <c r="D123" s="350">
        <v>80408000</v>
      </c>
      <c r="E123" s="350">
        <v>68122050</v>
      </c>
      <c r="F123" s="351">
        <v>84.720488011143175</v>
      </c>
      <c r="G123" s="350">
        <v>12285950</v>
      </c>
      <c r="H123" s="351">
        <v>15.27951198885683</v>
      </c>
    </row>
    <row r="124" spans="3:8">
      <c r="C124" s="315" t="s">
        <v>3890</v>
      </c>
      <c r="D124" s="342">
        <v>21000000</v>
      </c>
      <c r="E124" s="342">
        <v>16388500</v>
      </c>
      <c r="F124" s="343">
        <v>78.040476190476198</v>
      </c>
      <c r="G124" s="342">
        <v>4611500</v>
      </c>
      <c r="H124" s="343">
        <v>21.959523809523809</v>
      </c>
    </row>
    <row r="125" spans="3:8" ht="17.100000000000001" customHeight="1">
      <c r="C125" s="315" t="s">
        <v>3908</v>
      </c>
      <c r="D125" s="342">
        <v>17500000</v>
      </c>
      <c r="E125" s="342">
        <v>9825750</v>
      </c>
      <c r="F125" s="343">
        <v>56.14714285714286</v>
      </c>
      <c r="G125" s="342">
        <v>7674250</v>
      </c>
      <c r="H125" s="343">
        <v>43.852857142857147</v>
      </c>
    </row>
    <row r="126" spans="3:8">
      <c r="C126" s="315" t="s">
        <v>3894</v>
      </c>
      <c r="D126" s="342">
        <v>41908000</v>
      </c>
      <c r="E126" s="342">
        <v>41907800</v>
      </c>
      <c r="F126" s="343">
        <v>99.999522764150043</v>
      </c>
      <c r="G126" s="342">
        <v>200</v>
      </c>
      <c r="H126" s="343">
        <v>4.7723584995704876E-4</v>
      </c>
    </row>
    <row r="127" spans="3:8" ht="17.100000000000001" customHeight="1">
      <c r="C127" s="310" t="s">
        <v>576</v>
      </c>
      <c r="D127" s="344">
        <v>3618462000</v>
      </c>
      <c r="E127" s="344">
        <v>2143336333</v>
      </c>
      <c r="F127" s="345">
        <v>59.233351987667696</v>
      </c>
      <c r="G127" s="344">
        <v>1475125667</v>
      </c>
      <c r="H127" s="345">
        <v>40.766648012332311</v>
      </c>
    </row>
    <row r="128" spans="3:8">
      <c r="C128" s="170" t="s">
        <v>546</v>
      </c>
      <c r="D128" s="346">
        <v>197920000</v>
      </c>
      <c r="E128" s="346">
        <v>149767520</v>
      </c>
      <c r="F128" s="347">
        <v>75.67073565076798</v>
      </c>
      <c r="G128" s="346">
        <v>48152480</v>
      </c>
      <c r="H128" s="347">
        <v>24.329264349232012</v>
      </c>
    </row>
    <row r="129" spans="3:8">
      <c r="C129" s="309" t="s">
        <v>3970</v>
      </c>
      <c r="D129" s="342">
        <v>197920000</v>
      </c>
      <c r="E129" s="342">
        <v>149767520</v>
      </c>
      <c r="F129" s="343">
        <v>75.67073565076798</v>
      </c>
      <c r="G129" s="342">
        <v>48152480</v>
      </c>
      <c r="H129" s="343">
        <v>24.329264349232012</v>
      </c>
    </row>
    <row r="130" spans="3:8">
      <c r="C130" s="325" t="s">
        <v>3971</v>
      </c>
      <c r="D130" s="348">
        <v>197920000</v>
      </c>
      <c r="E130" s="348">
        <v>149767520</v>
      </c>
      <c r="F130" s="349">
        <v>75.67073565076798</v>
      </c>
      <c r="G130" s="348">
        <v>48152480</v>
      </c>
      <c r="H130" s="349">
        <v>24.329264349232012</v>
      </c>
    </row>
    <row r="131" spans="3:8">
      <c r="C131" s="311" t="s">
        <v>3972</v>
      </c>
      <c r="D131" s="350">
        <v>27102000</v>
      </c>
      <c r="E131" s="350">
        <v>24822552</v>
      </c>
      <c r="F131" s="351">
        <v>91.589373477972103</v>
      </c>
      <c r="G131" s="350">
        <v>2279448</v>
      </c>
      <c r="H131" s="351">
        <v>8.4106265220278953</v>
      </c>
    </row>
    <row r="132" spans="3:8">
      <c r="C132" s="315" t="s">
        <v>3890</v>
      </c>
      <c r="D132" s="342">
        <v>18400000</v>
      </c>
      <c r="E132" s="342">
        <v>16121000</v>
      </c>
      <c r="F132" s="343">
        <v>87.614130434782609</v>
      </c>
      <c r="G132" s="342">
        <v>2279000</v>
      </c>
      <c r="H132" s="343">
        <v>12.385869565217392</v>
      </c>
    </row>
    <row r="133" spans="3:8" ht="17.100000000000001" customHeight="1">
      <c r="C133" s="315" t="s">
        <v>3894</v>
      </c>
      <c r="D133" s="342">
        <v>8702000</v>
      </c>
      <c r="E133" s="342">
        <v>8701552</v>
      </c>
      <c r="F133" s="343">
        <v>99.994851758216498</v>
      </c>
      <c r="G133" s="342">
        <v>448</v>
      </c>
      <c r="H133" s="343">
        <v>5.1482417834980464E-3</v>
      </c>
    </row>
    <row r="134" spans="3:8">
      <c r="C134" s="311" t="s">
        <v>3973</v>
      </c>
      <c r="D134" s="350">
        <v>12850000</v>
      </c>
      <c r="E134" s="350">
        <v>7794000</v>
      </c>
      <c r="F134" s="351">
        <v>60.653696498054479</v>
      </c>
      <c r="G134" s="350">
        <v>5056000</v>
      </c>
      <c r="H134" s="351">
        <v>39.346303501945521</v>
      </c>
    </row>
    <row r="135" spans="3:8">
      <c r="C135" s="315" t="s">
        <v>3890</v>
      </c>
      <c r="D135" s="342">
        <v>7500000</v>
      </c>
      <c r="E135" s="342">
        <v>4944000</v>
      </c>
      <c r="F135" s="343">
        <v>65.92</v>
      </c>
      <c r="G135" s="342">
        <v>2556000</v>
      </c>
      <c r="H135" s="343">
        <v>34.08</v>
      </c>
    </row>
    <row r="136" spans="3:8" ht="17.100000000000001" customHeight="1">
      <c r="C136" s="315" t="s">
        <v>3894</v>
      </c>
      <c r="D136" s="342">
        <v>5350000</v>
      </c>
      <c r="E136" s="342">
        <v>2850000</v>
      </c>
      <c r="F136" s="343">
        <v>53.271028037383175</v>
      </c>
      <c r="G136" s="342">
        <v>2500000</v>
      </c>
      <c r="H136" s="343">
        <v>46.728971962616825</v>
      </c>
    </row>
    <row r="137" spans="3:8">
      <c r="C137" s="311" t="s">
        <v>3974</v>
      </c>
      <c r="D137" s="350">
        <v>7500000</v>
      </c>
      <c r="E137" s="350">
        <v>7467500</v>
      </c>
      <c r="F137" s="351">
        <v>99.566666666666663</v>
      </c>
      <c r="G137" s="350">
        <v>32500</v>
      </c>
      <c r="H137" s="351">
        <v>0.43333333333333329</v>
      </c>
    </row>
    <row r="138" spans="3:8" ht="17.100000000000001" customHeight="1">
      <c r="C138" s="315" t="s">
        <v>3890</v>
      </c>
      <c r="D138" s="342">
        <v>7500000</v>
      </c>
      <c r="E138" s="342">
        <v>7467500</v>
      </c>
      <c r="F138" s="343">
        <v>99.566666666666663</v>
      </c>
      <c r="G138" s="342">
        <v>32500</v>
      </c>
      <c r="H138" s="343">
        <v>0.43333333333333329</v>
      </c>
    </row>
    <row r="139" spans="3:8">
      <c r="C139" s="311" t="s">
        <v>3975</v>
      </c>
      <c r="D139" s="350">
        <v>34635000</v>
      </c>
      <c r="E139" s="350">
        <v>33099468</v>
      </c>
      <c r="F139" s="351">
        <v>95.566530965786058</v>
      </c>
      <c r="G139" s="350">
        <v>1535532</v>
      </c>
      <c r="H139" s="351">
        <v>4.4334690342139451</v>
      </c>
    </row>
    <row r="140" spans="3:8" ht="17.100000000000001" customHeight="1">
      <c r="C140" s="315" t="s">
        <v>3890</v>
      </c>
      <c r="D140" s="342">
        <v>14000000</v>
      </c>
      <c r="E140" s="342">
        <v>12465000</v>
      </c>
      <c r="F140" s="343">
        <v>89.035714285714278</v>
      </c>
      <c r="G140" s="342">
        <v>1535000</v>
      </c>
      <c r="H140" s="343">
        <v>10.964285714285714</v>
      </c>
    </row>
    <row r="141" spans="3:8">
      <c r="C141" s="315" t="s">
        <v>3894</v>
      </c>
      <c r="D141" s="342">
        <v>20635000</v>
      </c>
      <c r="E141" s="342">
        <v>20634468</v>
      </c>
      <c r="F141" s="343">
        <v>99.997421856069778</v>
      </c>
      <c r="G141" s="342">
        <v>532</v>
      </c>
      <c r="H141" s="343">
        <v>2.578143930215653E-3</v>
      </c>
    </row>
    <row r="142" spans="3:8">
      <c r="C142" s="311" t="s">
        <v>3976</v>
      </c>
      <c r="D142" s="350">
        <v>7500000</v>
      </c>
      <c r="E142" s="350">
        <v>4944000</v>
      </c>
      <c r="F142" s="351">
        <v>65.92</v>
      </c>
      <c r="G142" s="350">
        <v>2556000</v>
      </c>
      <c r="H142" s="351">
        <v>34.08</v>
      </c>
    </row>
    <row r="143" spans="3:8">
      <c r="C143" s="315" t="s">
        <v>3890</v>
      </c>
      <c r="D143" s="342">
        <v>7500000</v>
      </c>
      <c r="E143" s="342">
        <v>4944000</v>
      </c>
      <c r="F143" s="343">
        <v>65.92</v>
      </c>
      <c r="G143" s="342">
        <v>2556000</v>
      </c>
      <c r="H143" s="343">
        <v>34.08</v>
      </c>
    </row>
    <row r="144" spans="3:8">
      <c r="C144" s="311" t="s">
        <v>3977</v>
      </c>
      <c r="D144" s="350">
        <v>108333000</v>
      </c>
      <c r="E144" s="350">
        <v>71640000</v>
      </c>
      <c r="F144" s="351">
        <v>66.129434244413048</v>
      </c>
      <c r="G144" s="350">
        <v>36693000</v>
      </c>
      <c r="H144" s="351">
        <v>33.870565755586938</v>
      </c>
    </row>
    <row r="145" spans="3:8" ht="17.100000000000001" customHeight="1">
      <c r="C145" s="315" t="s">
        <v>3890</v>
      </c>
      <c r="D145" s="342">
        <v>4800000</v>
      </c>
      <c r="E145" s="342">
        <v>0</v>
      </c>
      <c r="F145" s="343">
        <v>0</v>
      </c>
      <c r="G145" s="342">
        <v>4800000</v>
      </c>
      <c r="H145" s="343">
        <v>100</v>
      </c>
    </row>
    <row r="146" spans="3:8">
      <c r="C146" s="315" t="s">
        <v>3908</v>
      </c>
      <c r="D146" s="342">
        <v>27500000</v>
      </c>
      <c r="E146" s="342">
        <v>14900000</v>
      </c>
      <c r="F146" s="343">
        <v>54.181818181818187</v>
      </c>
      <c r="G146" s="342">
        <v>12600000</v>
      </c>
      <c r="H146" s="343">
        <v>45.81818181818182</v>
      </c>
    </row>
    <row r="147" spans="3:8">
      <c r="C147" s="315" t="s">
        <v>3894</v>
      </c>
      <c r="D147" s="342">
        <v>76033000</v>
      </c>
      <c r="E147" s="342">
        <v>56740000</v>
      </c>
      <c r="F147" s="343">
        <v>74.625491562874018</v>
      </c>
      <c r="G147" s="342">
        <v>19293000</v>
      </c>
      <c r="H147" s="343">
        <v>25.374508437125986</v>
      </c>
    </row>
    <row r="148" spans="3:8">
      <c r="C148" s="170" t="s">
        <v>560</v>
      </c>
      <c r="D148" s="346">
        <v>3420542000</v>
      </c>
      <c r="E148" s="346">
        <v>1993568813</v>
      </c>
      <c r="F148" s="347">
        <v>58.282249216644608</v>
      </c>
      <c r="G148" s="346">
        <v>1426973187</v>
      </c>
      <c r="H148" s="347">
        <v>41.717750783355385</v>
      </c>
    </row>
    <row r="149" spans="3:8" ht="30">
      <c r="C149" s="309" t="s">
        <v>3926</v>
      </c>
      <c r="D149" s="342">
        <v>114200000</v>
      </c>
      <c r="E149" s="342">
        <v>114200000</v>
      </c>
      <c r="F149" s="343">
        <v>100</v>
      </c>
      <c r="G149" s="342">
        <v>0</v>
      </c>
      <c r="H149" s="343">
        <v>0</v>
      </c>
    </row>
    <row r="150" spans="3:8">
      <c r="C150" s="325" t="s">
        <v>3928</v>
      </c>
      <c r="D150" s="348">
        <v>114200000</v>
      </c>
      <c r="E150" s="348">
        <v>114200000</v>
      </c>
      <c r="F150" s="349">
        <v>100</v>
      </c>
      <c r="G150" s="348">
        <v>0</v>
      </c>
      <c r="H150" s="349">
        <v>0</v>
      </c>
    </row>
    <row r="151" spans="3:8">
      <c r="C151" s="311" t="s">
        <v>3927</v>
      </c>
      <c r="D151" s="350">
        <v>114200000</v>
      </c>
      <c r="E151" s="350">
        <v>114200000</v>
      </c>
      <c r="F151" s="351">
        <v>100</v>
      </c>
      <c r="G151" s="350">
        <v>0</v>
      </c>
      <c r="H151" s="351">
        <v>0</v>
      </c>
    </row>
    <row r="152" spans="3:8" ht="17.100000000000001" customHeight="1">
      <c r="C152" s="315" t="s">
        <v>3897</v>
      </c>
      <c r="D152" s="342">
        <v>114200000</v>
      </c>
      <c r="E152" s="342">
        <v>114200000</v>
      </c>
      <c r="F152" s="343">
        <v>100</v>
      </c>
      <c r="G152" s="342">
        <v>0</v>
      </c>
      <c r="H152" s="343">
        <v>0</v>
      </c>
    </row>
    <row r="153" spans="3:8">
      <c r="C153" s="309" t="s">
        <v>3935</v>
      </c>
      <c r="D153" s="342">
        <v>670684000</v>
      </c>
      <c r="E153" s="342">
        <v>455306499</v>
      </c>
      <c r="F153" s="343">
        <v>67.886888460139204</v>
      </c>
      <c r="G153" s="342">
        <v>215377501</v>
      </c>
      <c r="H153" s="343">
        <v>32.113111539860803</v>
      </c>
    </row>
    <row r="154" spans="3:8">
      <c r="C154" s="325" t="s">
        <v>3934</v>
      </c>
      <c r="D154" s="348">
        <v>670684000</v>
      </c>
      <c r="E154" s="348">
        <v>455306499</v>
      </c>
      <c r="F154" s="349">
        <v>67.886888460139204</v>
      </c>
      <c r="G154" s="348">
        <v>215377501</v>
      </c>
      <c r="H154" s="349">
        <v>32.113111539860803</v>
      </c>
    </row>
    <row r="155" spans="3:8">
      <c r="C155" s="311" t="s">
        <v>3915</v>
      </c>
      <c r="D155" s="350">
        <v>18739000</v>
      </c>
      <c r="E155" s="350">
        <v>17437300</v>
      </c>
      <c r="F155" s="351">
        <v>93.053524734510916</v>
      </c>
      <c r="G155" s="350">
        <v>1301700</v>
      </c>
      <c r="H155" s="351">
        <v>6.9464752654890871</v>
      </c>
    </row>
    <row r="156" spans="3:8" ht="17.100000000000001" customHeight="1">
      <c r="C156" s="315" t="s">
        <v>3890</v>
      </c>
      <c r="D156" s="342">
        <v>5000000</v>
      </c>
      <c r="E156" s="342">
        <v>3998800</v>
      </c>
      <c r="F156" s="343">
        <v>79.975999999999999</v>
      </c>
      <c r="G156" s="342">
        <v>1001200</v>
      </c>
      <c r="H156" s="343">
        <v>20.024000000000001</v>
      </c>
    </row>
    <row r="157" spans="3:8">
      <c r="C157" s="315" t="s">
        <v>3894</v>
      </c>
      <c r="D157" s="342">
        <v>12989000</v>
      </c>
      <c r="E157" s="342">
        <v>12688500</v>
      </c>
      <c r="F157" s="343">
        <v>97.686503964893362</v>
      </c>
      <c r="G157" s="342">
        <v>300500</v>
      </c>
      <c r="H157" s="343">
        <v>2.3134960351066285</v>
      </c>
    </row>
    <row r="158" spans="3:8" ht="17.100000000000001" customHeight="1">
      <c r="C158" s="315" t="s">
        <v>508</v>
      </c>
      <c r="D158" s="342">
        <v>750000</v>
      </c>
      <c r="E158" s="342">
        <v>750000</v>
      </c>
      <c r="F158" s="343">
        <v>100</v>
      </c>
      <c r="G158" s="342">
        <v>0</v>
      </c>
      <c r="H158" s="343">
        <v>0</v>
      </c>
    </row>
    <row r="159" spans="3:8">
      <c r="C159" s="311" t="s">
        <v>3916</v>
      </c>
      <c r="D159" s="350">
        <v>385665000</v>
      </c>
      <c r="E159" s="350">
        <v>214120741</v>
      </c>
      <c r="F159" s="351">
        <v>55.519878910453372</v>
      </c>
      <c r="G159" s="350">
        <v>171544259</v>
      </c>
      <c r="H159" s="351">
        <v>44.480121089546628</v>
      </c>
    </row>
    <row r="160" spans="3:8">
      <c r="C160" s="315" t="s">
        <v>3890</v>
      </c>
      <c r="D160" s="342">
        <v>10000000</v>
      </c>
      <c r="E160" s="342">
        <v>4970000</v>
      </c>
      <c r="F160" s="343">
        <v>49.7</v>
      </c>
      <c r="G160" s="342">
        <v>5030000</v>
      </c>
      <c r="H160" s="343">
        <v>50.3</v>
      </c>
    </row>
    <row r="161" spans="3:8" ht="17.100000000000001" customHeight="1">
      <c r="C161" s="315" t="s">
        <v>3895</v>
      </c>
      <c r="D161" s="342">
        <v>2031000</v>
      </c>
      <c r="E161" s="342">
        <v>2031000</v>
      </c>
      <c r="F161" s="343">
        <v>100</v>
      </c>
      <c r="G161" s="342">
        <v>0</v>
      </c>
      <c r="H161" s="343">
        <v>0</v>
      </c>
    </row>
    <row r="162" spans="3:8" ht="17.100000000000001" customHeight="1">
      <c r="C162" s="315" t="s">
        <v>3894</v>
      </c>
      <c r="D162" s="342">
        <v>373634000</v>
      </c>
      <c r="E162" s="342">
        <v>207119741</v>
      </c>
      <c r="F162" s="343">
        <v>55.433858000074942</v>
      </c>
      <c r="G162" s="342">
        <v>166514259</v>
      </c>
      <c r="H162" s="343">
        <v>44.566141999925065</v>
      </c>
    </row>
    <row r="163" spans="3:8">
      <c r="C163" s="311" t="s">
        <v>3936</v>
      </c>
      <c r="D163" s="350">
        <v>56750000</v>
      </c>
      <c r="E163" s="350">
        <v>42281740</v>
      </c>
      <c r="F163" s="351">
        <v>74.505268722466951</v>
      </c>
      <c r="G163" s="350">
        <v>14468260</v>
      </c>
      <c r="H163" s="351">
        <v>25.494731277533038</v>
      </c>
    </row>
    <row r="164" spans="3:8">
      <c r="C164" s="315" t="s">
        <v>3890</v>
      </c>
      <c r="D164" s="342">
        <v>33500000</v>
      </c>
      <c r="E164" s="342">
        <v>33371740</v>
      </c>
      <c r="F164" s="343">
        <v>99.617134328358219</v>
      </c>
      <c r="G164" s="342">
        <v>128260</v>
      </c>
      <c r="H164" s="343">
        <v>0.38286567164179103</v>
      </c>
    </row>
    <row r="165" spans="3:8">
      <c r="C165" s="315" t="s">
        <v>3896</v>
      </c>
      <c r="D165" s="342">
        <v>3000000</v>
      </c>
      <c r="E165" s="342">
        <v>0</v>
      </c>
      <c r="F165" s="343">
        <v>0</v>
      </c>
      <c r="G165" s="342">
        <v>3000000</v>
      </c>
      <c r="H165" s="343">
        <v>100</v>
      </c>
    </row>
    <row r="166" spans="3:8">
      <c r="C166" s="315" t="s">
        <v>3894</v>
      </c>
      <c r="D166" s="342">
        <v>18000000</v>
      </c>
      <c r="E166" s="342">
        <v>8310000</v>
      </c>
      <c r="F166" s="343">
        <v>46.166666666666664</v>
      </c>
      <c r="G166" s="342">
        <v>9690000</v>
      </c>
      <c r="H166" s="343">
        <v>53.833333333333336</v>
      </c>
    </row>
    <row r="167" spans="3:8">
      <c r="C167" s="315" t="s">
        <v>508</v>
      </c>
      <c r="D167" s="342">
        <v>2250000</v>
      </c>
      <c r="E167" s="342">
        <v>600000</v>
      </c>
      <c r="F167" s="343">
        <v>26.666666666666668</v>
      </c>
      <c r="G167" s="342">
        <v>1650000</v>
      </c>
      <c r="H167" s="343">
        <v>73.333333333333329</v>
      </c>
    </row>
    <row r="168" spans="3:8">
      <c r="C168" s="311" t="s">
        <v>3917</v>
      </c>
      <c r="D168" s="350">
        <v>61193000</v>
      </c>
      <c r="E168" s="350">
        <v>33140738</v>
      </c>
      <c r="F168" s="351">
        <v>54.15772719101858</v>
      </c>
      <c r="G168" s="350">
        <v>28052262</v>
      </c>
      <c r="H168" s="351">
        <v>45.84227280898142</v>
      </c>
    </row>
    <row r="169" spans="3:8">
      <c r="C169" s="315" t="s">
        <v>3890</v>
      </c>
      <c r="D169" s="342">
        <v>13500000</v>
      </c>
      <c r="E169" s="342">
        <v>5459000</v>
      </c>
      <c r="F169" s="343">
        <v>40.437037037037037</v>
      </c>
      <c r="G169" s="342">
        <v>8041000</v>
      </c>
      <c r="H169" s="343">
        <v>59.562962962962963</v>
      </c>
    </row>
    <row r="170" spans="3:8">
      <c r="C170" s="315" t="s">
        <v>3894</v>
      </c>
      <c r="D170" s="342">
        <v>47693000</v>
      </c>
      <c r="E170" s="342">
        <v>27681738</v>
      </c>
      <c r="F170" s="343">
        <v>58.041511332900008</v>
      </c>
      <c r="G170" s="342">
        <v>20011262</v>
      </c>
      <c r="H170" s="343">
        <v>41.958488667099992</v>
      </c>
    </row>
    <row r="171" spans="3:8">
      <c r="C171" s="311" t="s">
        <v>3937</v>
      </c>
      <c r="D171" s="350">
        <v>148337000</v>
      </c>
      <c r="E171" s="350">
        <v>148325980</v>
      </c>
      <c r="F171" s="351">
        <v>99.992570970155796</v>
      </c>
      <c r="G171" s="350">
        <v>11020</v>
      </c>
      <c r="H171" s="351">
        <v>7.4290298442060976E-3</v>
      </c>
    </row>
    <row r="172" spans="3:8" ht="17.100000000000001" customHeight="1">
      <c r="C172" s="315" t="s">
        <v>3890</v>
      </c>
      <c r="D172" s="342">
        <v>38100000</v>
      </c>
      <c r="E172" s="342">
        <v>38095000</v>
      </c>
      <c r="F172" s="343">
        <v>99.98687664041995</v>
      </c>
      <c r="G172" s="342">
        <v>5000</v>
      </c>
      <c r="H172" s="343">
        <v>1.3123359580052493E-2</v>
      </c>
    </row>
    <row r="173" spans="3:8" ht="17.100000000000001" customHeight="1">
      <c r="C173" s="315" t="s">
        <v>3938</v>
      </c>
      <c r="D173" s="342">
        <v>82535000</v>
      </c>
      <c r="E173" s="342">
        <v>82534280</v>
      </c>
      <c r="F173" s="343">
        <v>99.999127642818195</v>
      </c>
      <c r="G173" s="342">
        <v>720</v>
      </c>
      <c r="H173" s="343">
        <v>8.7235718180165981E-4</v>
      </c>
    </row>
    <row r="174" spans="3:8" ht="17.100000000000001" customHeight="1">
      <c r="C174" s="315" t="s">
        <v>3983</v>
      </c>
      <c r="D174" s="342">
        <v>1605000</v>
      </c>
      <c r="E174" s="342">
        <v>1600000</v>
      </c>
      <c r="F174" s="343">
        <v>99.688473520249218</v>
      </c>
      <c r="G174" s="342">
        <v>5000</v>
      </c>
      <c r="H174" s="343">
        <v>0.3115264797507788</v>
      </c>
    </row>
    <row r="175" spans="3:8">
      <c r="C175" s="315" t="s">
        <v>3895</v>
      </c>
      <c r="D175" s="342">
        <v>4246000</v>
      </c>
      <c r="E175" s="342">
        <v>4246000</v>
      </c>
      <c r="F175" s="343">
        <v>100</v>
      </c>
      <c r="G175" s="342">
        <v>0</v>
      </c>
      <c r="H175" s="343">
        <v>0</v>
      </c>
    </row>
    <row r="176" spans="3:8">
      <c r="C176" s="315" t="s">
        <v>3894</v>
      </c>
      <c r="D176" s="342">
        <v>21851000</v>
      </c>
      <c r="E176" s="342">
        <v>21850700</v>
      </c>
      <c r="F176" s="343">
        <v>99.998627065122875</v>
      </c>
      <c r="G176" s="342">
        <v>300</v>
      </c>
      <c r="H176" s="343">
        <v>1.3729348771223285E-3</v>
      </c>
    </row>
    <row r="177" spans="3:8">
      <c r="C177" s="309" t="s">
        <v>3956</v>
      </c>
      <c r="D177" s="342">
        <v>540000000</v>
      </c>
      <c r="E177" s="342">
        <v>540000000</v>
      </c>
      <c r="F177" s="343">
        <v>100</v>
      </c>
      <c r="G177" s="342">
        <v>0</v>
      </c>
      <c r="H177" s="343">
        <v>0</v>
      </c>
    </row>
    <row r="178" spans="3:8">
      <c r="C178" s="325" t="s">
        <v>3957</v>
      </c>
      <c r="D178" s="348">
        <v>540000000</v>
      </c>
      <c r="E178" s="348">
        <v>540000000</v>
      </c>
      <c r="F178" s="349">
        <v>100</v>
      </c>
      <c r="G178" s="348">
        <v>0</v>
      </c>
      <c r="H178" s="349">
        <v>0</v>
      </c>
    </row>
    <row r="179" spans="3:8">
      <c r="C179" s="311" t="s">
        <v>3958</v>
      </c>
      <c r="D179" s="350">
        <v>540000000</v>
      </c>
      <c r="E179" s="350">
        <v>540000000</v>
      </c>
      <c r="F179" s="351">
        <v>100</v>
      </c>
      <c r="G179" s="350">
        <v>0</v>
      </c>
      <c r="H179" s="351">
        <v>0</v>
      </c>
    </row>
    <row r="180" spans="3:8" ht="17.100000000000001" customHeight="1">
      <c r="C180" s="315" t="s">
        <v>3897</v>
      </c>
      <c r="D180" s="342">
        <v>540000000</v>
      </c>
      <c r="E180" s="342">
        <v>540000000</v>
      </c>
      <c r="F180" s="343">
        <v>100</v>
      </c>
      <c r="G180" s="342">
        <v>0</v>
      </c>
      <c r="H180" s="343">
        <v>0</v>
      </c>
    </row>
    <row r="181" spans="3:8" ht="17.100000000000001" customHeight="1">
      <c r="C181" s="428" t="s">
        <v>5429</v>
      </c>
      <c r="D181" s="342">
        <v>2095658000</v>
      </c>
      <c r="E181" s="342">
        <v>884062314</v>
      </c>
      <c r="F181" s="343">
        <v>42.185428824741436</v>
      </c>
      <c r="G181" s="342">
        <v>1211595686</v>
      </c>
      <c r="H181" s="343">
        <v>57.814571175258557</v>
      </c>
    </row>
    <row r="182" spans="3:8" ht="17.100000000000001" customHeight="1">
      <c r="C182" s="430" t="s">
        <v>3851</v>
      </c>
      <c r="D182" s="431">
        <v>2095658000</v>
      </c>
      <c r="E182" s="431">
        <v>884062314</v>
      </c>
      <c r="F182" s="432">
        <v>42.185428824741436</v>
      </c>
      <c r="G182" s="431">
        <v>1211595686</v>
      </c>
      <c r="H182" s="432">
        <v>57.814571175258557</v>
      </c>
    </row>
    <row r="183" spans="3:8" ht="17.100000000000001" customHeight="1">
      <c r="C183" s="429" t="s">
        <v>3944</v>
      </c>
      <c r="D183" s="350">
        <v>1254380000</v>
      </c>
      <c r="E183" s="350">
        <v>581152004</v>
      </c>
      <c r="F183" s="351">
        <v>46.329820628517673</v>
      </c>
      <c r="G183" s="350">
        <v>673227996</v>
      </c>
      <c r="H183" s="351">
        <v>53.670179371482327</v>
      </c>
    </row>
    <row r="184" spans="3:8">
      <c r="C184" s="315" t="s">
        <v>3945</v>
      </c>
      <c r="D184" s="342">
        <v>1076220000</v>
      </c>
      <c r="E184" s="342">
        <v>511969004</v>
      </c>
      <c r="F184" s="343">
        <v>47.571036033524742</v>
      </c>
      <c r="G184" s="342">
        <v>564250996</v>
      </c>
      <c r="H184" s="343">
        <v>52.428963966475251</v>
      </c>
    </row>
    <row r="185" spans="3:8" ht="17.100000000000001" customHeight="1">
      <c r="C185" s="315" t="s">
        <v>3908</v>
      </c>
      <c r="D185" s="342">
        <v>178160000</v>
      </c>
      <c r="E185" s="342">
        <v>69183000</v>
      </c>
      <c r="F185" s="343">
        <v>38.831948810058378</v>
      </c>
      <c r="G185" s="342">
        <v>108977000</v>
      </c>
      <c r="H185" s="343">
        <v>61.168051189941629</v>
      </c>
    </row>
    <row r="186" spans="3:8" ht="17.100000000000001" customHeight="1">
      <c r="C186" s="429" t="s">
        <v>3946</v>
      </c>
      <c r="D186" s="350">
        <v>148852000</v>
      </c>
      <c r="E186" s="350">
        <v>82227050</v>
      </c>
      <c r="F186" s="351">
        <v>55.240809663289717</v>
      </c>
      <c r="G186" s="350">
        <v>66624950</v>
      </c>
      <c r="H186" s="351">
        <v>44.75919033671029</v>
      </c>
    </row>
    <row r="187" spans="3:8" ht="17.100000000000001" customHeight="1">
      <c r="C187" s="315" t="s">
        <v>3947</v>
      </c>
      <c r="D187" s="342">
        <v>30000000</v>
      </c>
      <c r="E187" s="342">
        <v>2527050</v>
      </c>
      <c r="F187" s="343">
        <v>8.4235000000000007</v>
      </c>
      <c r="G187" s="342">
        <v>27472950</v>
      </c>
      <c r="H187" s="343">
        <v>91.57650000000001</v>
      </c>
    </row>
    <row r="188" spans="3:8">
      <c r="C188" s="315" t="s">
        <v>3896</v>
      </c>
      <c r="D188" s="342">
        <v>118852000</v>
      </c>
      <c r="E188" s="342">
        <v>79700000</v>
      </c>
      <c r="F188" s="343">
        <v>67.058190017837319</v>
      </c>
      <c r="G188" s="342">
        <v>39152000</v>
      </c>
      <c r="H188" s="343">
        <v>32.941809982162688</v>
      </c>
    </row>
    <row r="189" spans="3:8" ht="17.100000000000001" customHeight="1">
      <c r="C189" s="429" t="s">
        <v>3948</v>
      </c>
      <c r="D189" s="350">
        <v>533050000</v>
      </c>
      <c r="E189" s="350">
        <v>147905260</v>
      </c>
      <c r="F189" s="351">
        <v>27.746976831441707</v>
      </c>
      <c r="G189" s="350">
        <v>385144740</v>
      </c>
      <c r="H189" s="351">
        <v>72.2530231685583</v>
      </c>
    </row>
    <row r="190" spans="3:8" ht="17.100000000000001" customHeight="1">
      <c r="C190" s="315" t="s">
        <v>3949</v>
      </c>
      <c r="D190" s="342">
        <v>497050000</v>
      </c>
      <c r="E190" s="342">
        <v>135905260</v>
      </c>
      <c r="F190" s="343">
        <v>27.342371994769138</v>
      </c>
      <c r="G190" s="342">
        <v>361144740</v>
      </c>
      <c r="H190" s="343">
        <v>72.657628005230862</v>
      </c>
    </row>
    <row r="191" spans="3:8">
      <c r="C191" s="315" t="s">
        <v>3950</v>
      </c>
      <c r="D191" s="342">
        <v>36000000</v>
      </c>
      <c r="E191" s="342">
        <v>12000000</v>
      </c>
      <c r="F191" s="343">
        <v>33.333333333333329</v>
      </c>
      <c r="G191" s="342">
        <v>24000000</v>
      </c>
      <c r="H191" s="343">
        <v>66.666666666666657</v>
      </c>
    </row>
    <row r="192" spans="3:8">
      <c r="C192" s="429" t="s">
        <v>3951</v>
      </c>
      <c r="D192" s="350">
        <v>159376000</v>
      </c>
      <c r="E192" s="350">
        <v>72778000</v>
      </c>
      <c r="F192" s="351">
        <v>45.664340929625538</v>
      </c>
      <c r="G192" s="350">
        <v>86598000</v>
      </c>
      <c r="H192" s="351">
        <v>54.335659070374462</v>
      </c>
    </row>
    <row r="193" spans="3:8">
      <c r="C193" s="315" t="s">
        <v>3945</v>
      </c>
      <c r="D193" s="342">
        <v>101040000</v>
      </c>
      <c r="E193" s="342">
        <v>44410000</v>
      </c>
      <c r="F193" s="343">
        <v>43.952889944576405</v>
      </c>
      <c r="G193" s="342">
        <v>56630000</v>
      </c>
      <c r="H193" s="343">
        <v>56.047110055423602</v>
      </c>
    </row>
    <row r="194" spans="3:8">
      <c r="C194" s="315" t="s">
        <v>3952</v>
      </c>
      <c r="D194" s="342">
        <v>58336000</v>
      </c>
      <c r="E194" s="342">
        <v>28368000</v>
      </c>
      <c r="F194" s="343">
        <v>48.628634119583104</v>
      </c>
      <c r="G194" s="342">
        <v>29968000</v>
      </c>
      <c r="H194" s="343">
        <v>51.371365880416896</v>
      </c>
    </row>
    <row r="195" spans="3:8">
      <c r="C195" s="309" t="s">
        <v>3920</v>
      </c>
      <c r="D195" s="342">
        <v>6082500000</v>
      </c>
      <c r="E195" s="342">
        <v>3888684212</v>
      </c>
      <c r="F195" s="343">
        <v>63.932333941635846</v>
      </c>
      <c r="G195" s="342">
        <v>2193815788</v>
      </c>
      <c r="H195" s="343">
        <v>36.067666058364161</v>
      </c>
    </row>
    <row r="196" spans="3:8">
      <c r="C196" s="310" t="s">
        <v>542</v>
      </c>
      <c r="D196" s="344">
        <v>6082500000</v>
      </c>
      <c r="E196" s="344">
        <v>3888684212</v>
      </c>
      <c r="F196" s="345">
        <v>63.932333941635846</v>
      </c>
      <c r="G196" s="344">
        <v>2193815788</v>
      </c>
      <c r="H196" s="345">
        <v>36.067666058364161</v>
      </c>
    </row>
    <row r="197" spans="3:8">
      <c r="C197" s="170" t="s">
        <v>543</v>
      </c>
      <c r="D197" s="346">
        <v>6082500000</v>
      </c>
      <c r="E197" s="346">
        <v>3888684212</v>
      </c>
      <c r="F197" s="347">
        <v>63.932333941635846</v>
      </c>
      <c r="G197" s="346">
        <v>2193815788</v>
      </c>
      <c r="H197" s="347">
        <v>36.067666058364161</v>
      </c>
    </row>
    <row r="198" spans="3:8">
      <c r="C198" s="309" t="s">
        <v>3980</v>
      </c>
      <c r="D198" s="342">
        <v>6082500000</v>
      </c>
      <c r="E198" s="342">
        <v>3888684212</v>
      </c>
      <c r="F198" s="343">
        <v>63.932333941635846</v>
      </c>
      <c r="G198" s="342">
        <v>2193815788</v>
      </c>
      <c r="H198" s="343">
        <v>36.067666058364161</v>
      </c>
    </row>
    <row r="199" spans="3:8">
      <c r="C199" s="325" t="s">
        <v>3981</v>
      </c>
      <c r="D199" s="348">
        <v>5973300000</v>
      </c>
      <c r="E199" s="348">
        <v>3880878212</v>
      </c>
      <c r="F199" s="349">
        <v>64.970421910836549</v>
      </c>
      <c r="G199" s="348">
        <v>2092421788</v>
      </c>
      <c r="H199" s="349">
        <v>35.029578089163444</v>
      </c>
    </row>
    <row r="200" spans="3:8">
      <c r="C200" s="311" t="s">
        <v>3982</v>
      </c>
      <c r="D200" s="350">
        <v>1713564000</v>
      </c>
      <c r="E200" s="350">
        <v>25390000</v>
      </c>
      <c r="F200" s="351">
        <v>1.4817071320359203</v>
      </c>
      <c r="G200" s="350">
        <v>1688174000</v>
      </c>
      <c r="H200" s="351">
        <v>98.518292867964078</v>
      </c>
    </row>
    <row r="201" spans="3:8" ht="17.100000000000001" customHeight="1">
      <c r="C201" s="315" t="s">
        <v>3890</v>
      </c>
      <c r="D201" s="342">
        <v>99100000</v>
      </c>
      <c r="E201" s="342">
        <v>0</v>
      </c>
      <c r="F201" s="343">
        <v>0</v>
      </c>
      <c r="G201" s="342">
        <v>99100000</v>
      </c>
      <c r="H201" s="343">
        <v>100</v>
      </c>
    </row>
    <row r="202" spans="3:8" ht="17.100000000000001" customHeight="1">
      <c r="C202" s="315" t="s">
        <v>3903</v>
      </c>
      <c r="D202" s="342">
        <v>1333864000</v>
      </c>
      <c r="E202" s="342">
        <v>0</v>
      </c>
      <c r="F202" s="343">
        <v>0</v>
      </c>
      <c r="G202" s="342">
        <v>1333864000</v>
      </c>
      <c r="H202" s="343">
        <v>100</v>
      </c>
    </row>
    <row r="203" spans="3:8">
      <c r="C203" s="315" t="s">
        <v>3908</v>
      </c>
      <c r="D203" s="342">
        <v>25000000</v>
      </c>
      <c r="E203" s="342">
        <v>4855000</v>
      </c>
      <c r="F203" s="343">
        <v>19.420000000000002</v>
      </c>
      <c r="G203" s="342">
        <v>20145000</v>
      </c>
      <c r="H203" s="343">
        <v>80.58</v>
      </c>
    </row>
    <row r="204" spans="3:8" ht="17.100000000000001" customHeight="1">
      <c r="C204" s="315" t="s">
        <v>3893</v>
      </c>
      <c r="D204" s="342">
        <v>15000000</v>
      </c>
      <c r="E204" s="342">
        <v>0</v>
      </c>
      <c r="F204" s="343">
        <v>0</v>
      </c>
      <c r="G204" s="342">
        <v>15000000</v>
      </c>
      <c r="H204" s="343">
        <v>100</v>
      </c>
    </row>
    <row r="205" spans="3:8">
      <c r="C205" s="315" t="s">
        <v>3983</v>
      </c>
      <c r="D205" s="342">
        <v>102600000</v>
      </c>
      <c r="E205" s="342">
        <v>0</v>
      </c>
      <c r="F205" s="343">
        <v>0</v>
      </c>
      <c r="G205" s="342">
        <v>102600000</v>
      </c>
      <c r="H205" s="343">
        <v>100</v>
      </c>
    </row>
    <row r="206" spans="3:8">
      <c r="C206" s="315" t="s">
        <v>3894</v>
      </c>
      <c r="D206" s="342">
        <v>138000000</v>
      </c>
      <c r="E206" s="342">
        <v>20535000</v>
      </c>
      <c r="F206" s="343">
        <v>14.880434782608695</v>
      </c>
      <c r="G206" s="342">
        <v>117465000</v>
      </c>
      <c r="H206" s="343">
        <v>85.119565217391298</v>
      </c>
    </row>
    <row r="207" spans="3:8">
      <c r="C207" s="311" t="s">
        <v>3984</v>
      </c>
      <c r="D207" s="350">
        <v>4085695000</v>
      </c>
      <c r="E207" s="350">
        <v>3855488212</v>
      </c>
      <c r="F207" s="351">
        <v>94.365541529654067</v>
      </c>
      <c r="G207" s="350">
        <v>230206788</v>
      </c>
      <c r="H207" s="351">
        <v>5.6344584703459262</v>
      </c>
    </row>
    <row r="208" spans="3:8" ht="17.100000000000001" customHeight="1">
      <c r="C208" s="315" t="s">
        <v>3890</v>
      </c>
      <c r="D208" s="342">
        <v>25000000</v>
      </c>
      <c r="E208" s="342">
        <v>2917500</v>
      </c>
      <c r="F208" s="343">
        <v>11.67</v>
      </c>
      <c r="G208" s="342">
        <v>22082500</v>
      </c>
      <c r="H208" s="343">
        <v>88.33</v>
      </c>
    </row>
    <row r="209" spans="3:8">
      <c r="C209" s="315" t="s">
        <v>3903</v>
      </c>
      <c r="D209" s="342">
        <v>3808695000</v>
      </c>
      <c r="E209" s="342">
        <v>3797621206</v>
      </c>
      <c r="F209" s="343">
        <v>99.709249651127223</v>
      </c>
      <c r="G209" s="342">
        <v>11073794</v>
      </c>
      <c r="H209" s="343">
        <v>0.29075034887277662</v>
      </c>
    </row>
    <row r="210" spans="3:8">
      <c r="C210" s="315" t="s">
        <v>3908</v>
      </c>
      <c r="D210" s="342">
        <v>30000000</v>
      </c>
      <c r="E210" s="342">
        <v>4811000</v>
      </c>
      <c r="F210" s="343">
        <v>16.036666666666665</v>
      </c>
      <c r="G210" s="342">
        <v>25189000</v>
      </c>
      <c r="H210" s="343">
        <v>83.963333333333338</v>
      </c>
    </row>
    <row r="211" spans="3:8">
      <c r="C211" s="315" t="s">
        <v>3893</v>
      </c>
      <c r="D211" s="342">
        <v>6000000</v>
      </c>
      <c r="E211" s="342">
        <v>0</v>
      </c>
      <c r="F211" s="343">
        <v>0</v>
      </c>
      <c r="G211" s="342">
        <v>6000000</v>
      </c>
      <c r="H211" s="343">
        <v>100</v>
      </c>
    </row>
    <row r="212" spans="3:8" ht="17.100000000000001" customHeight="1">
      <c r="C212" s="315" t="s">
        <v>3894</v>
      </c>
      <c r="D212" s="342">
        <v>216000000</v>
      </c>
      <c r="E212" s="342">
        <v>50138506</v>
      </c>
      <c r="F212" s="343">
        <v>23.212271296296297</v>
      </c>
      <c r="G212" s="342">
        <v>165861494</v>
      </c>
      <c r="H212" s="343">
        <v>76.787728703703706</v>
      </c>
    </row>
    <row r="213" spans="3:8">
      <c r="C213" s="311" t="s">
        <v>3985</v>
      </c>
      <c r="D213" s="350">
        <v>174041000</v>
      </c>
      <c r="E213" s="350">
        <v>0</v>
      </c>
      <c r="F213" s="351">
        <v>0</v>
      </c>
      <c r="G213" s="350">
        <v>174041000</v>
      </c>
      <c r="H213" s="351">
        <v>100</v>
      </c>
    </row>
    <row r="214" spans="3:8">
      <c r="C214" s="315" t="s">
        <v>3890</v>
      </c>
      <c r="D214" s="342">
        <v>12000000</v>
      </c>
      <c r="E214" s="342">
        <v>0</v>
      </c>
      <c r="F214" s="343">
        <v>0</v>
      </c>
      <c r="G214" s="342">
        <v>12000000</v>
      </c>
      <c r="H214" s="343">
        <v>100</v>
      </c>
    </row>
    <row r="215" spans="3:8">
      <c r="C215" s="315" t="s">
        <v>3903</v>
      </c>
      <c r="D215" s="342">
        <v>20000000</v>
      </c>
      <c r="E215" s="342">
        <v>0</v>
      </c>
      <c r="F215" s="343">
        <v>0</v>
      </c>
      <c r="G215" s="342">
        <v>20000000</v>
      </c>
      <c r="H215" s="343">
        <v>100</v>
      </c>
    </row>
    <row r="216" spans="3:8">
      <c r="C216" s="315" t="s">
        <v>3987</v>
      </c>
      <c r="D216" s="342">
        <v>142041000</v>
      </c>
      <c r="E216" s="342">
        <v>0</v>
      </c>
      <c r="F216" s="343">
        <v>0</v>
      </c>
      <c r="G216" s="342">
        <v>142041000</v>
      </c>
      <c r="H216" s="343">
        <v>100</v>
      </c>
    </row>
    <row r="217" spans="3:8">
      <c r="C217" s="325" t="s">
        <v>3996</v>
      </c>
      <c r="D217" s="348">
        <v>109200000</v>
      </c>
      <c r="E217" s="348">
        <v>7806000</v>
      </c>
      <c r="F217" s="349">
        <v>7.1483516483516487</v>
      </c>
      <c r="G217" s="348">
        <v>101394000</v>
      </c>
      <c r="H217" s="349">
        <v>92.85164835164835</v>
      </c>
    </row>
    <row r="218" spans="3:8">
      <c r="C218" s="311" t="s">
        <v>3997</v>
      </c>
      <c r="D218" s="350">
        <v>109200000</v>
      </c>
      <c r="E218" s="350">
        <v>7806000</v>
      </c>
      <c r="F218" s="351">
        <v>7.1483516483516487</v>
      </c>
      <c r="G218" s="350">
        <v>101394000</v>
      </c>
      <c r="H218" s="351">
        <v>92.85164835164835</v>
      </c>
    </row>
    <row r="219" spans="3:8">
      <c r="C219" s="315" t="s">
        <v>3890</v>
      </c>
      <c r="D219" s="342">
        <v>25000000</v>
      </c>
      <c r="E219" s="342">
        <v>2961000</v>
      </c>
      <c r="F219" s="343">
        <v>11.844000000000001</v>
      </c>
      <c r="G219" s="342">
        <v>22039000</v>
      </c>
      <c r="H219" s="343">
        <v>88.156000000000006</v>
      </c>
    </row>
    <row r="220" spans="3:8">
      <c r="C220" s="315" t="s">
        <v>3908</v>
      </c>
      <c r="D220" s="342">
        <v>30000000</v>
      </c>
      <c r="E220" s="342">
        <v>4845000</v>
      </c>
      <c r="F220" s="343">
        <v>16.150000000000002</v>
      </c>
      <c r="G220" s="342">
        <v>25155000</v>
      </c>
      <c r="H220" s="343">
        <v>83.850000000000009</v>
      </c>
    </row>
    <row r="221" spans="3:8">
      <c r="C221" s="315" t="s">
        <v>3894</v>
      </c>
      <c r="D221" s="342">
        <v>54200000</v>
      </c>
      <c r="E221" s="342">
        <v>0</v>
      </c>
      <c r="F221" s="343">
        <v>0</v>
      </c>
      <c r="G221" s="342">
        <v>54200000</v>
      </c>
      <c r="H221" s="343">
        <v>100</v>
      </c>
    </row>
    <row r="222" spans="3:8">
      <c r="C222" s="434" t="s">
        <v>4004</v>
      </c>
      <c r="D222" s="342">
        <v>11375804000</v>
      </c>
      <c r="E222" s="342">
        <v>6841305185</v>
      </c>
      <c r="F222" s="343">
        <v>60.139091575417439</v>
      </c>
      <c r="G222" s="342">
        <v>4534498815</v>
      </c>
      <c r="H222" s="343">
        <v>39.860908424582561</v>
      </c>
    </row>
    <row r="223" spans="3:8" ht="17.100000000000001" customHeight="1">
      <c r="C223"/>
    </row>
    <row r="224" spans="3:8" ht="17.100000000000001" customHeight="1">
      <c r="C224"/>
    </row>
    <row r="225" spans="3:3" ht="17.100000000000001" customHeight="1">
      <c r="C225"/>
    </row>
    <row r="226" spans="3:3" ht="17.100000000000001" customHeight="1">
      <c r="C226"/>
    </row>
    <row r="227" spans="3:3" ht="17.100000000000001" customHeight="1">
      <c r="C227"/>
    </row>
    <row r="228" spans="3:3" ht="17.100000000000001" customHeight="1">
      <c r="C228"/>
    </row>
    <row r="229" spans="3:3">
      <c r="C229"/>
    </row>
    <row r="230" spans="3:3" ht="17.100000000000001" customHeight="1">
      <c r="C230"/>
    </row>
    <row r="231" spans="3:3" ht="17.100000000000001" customHeight="1">
      <c r="C231"/>
    </row>
    <row r="232" spans="3:3" ht="17.100000000000001" customHeight="1">
      <c r="C232"/>
    </row>
    <row r="233" spans="3:3" ht="17.100000000000001" customHeight="1">
      <c r="C233"/>
    </row>
    <row r="234" spans="3:3" ht="17.100000000000001" customHeight="1">
      <c r="C234"/>
    </row>
    <row r="235" spans="3:3">
      <c r="C235"/>
    </row>
    <row r="236" spans="3:3" ht="17.100000000000001" customHeight="1">
      <c r="C236"/>
    </row>
    <row r="237" spans="3:3" ht="17.100000000000001" customHeight="1">
      <c r="C237"/>
    </row>
    <row r="238" spans="3:3" ht="17.100000000000001" customHeight="1">
      <c r="C238"/>
    </row>
    <row r="239" spans="3:3">
      <c r="C239"/>
    </row>
    <row r="240" spans="3:3" ht="17.100000000000001" customHeight="1">
      <c r="C240"/>
    </row>
    <row r="241" spans="3:10">
      <c r="C241"/>
    </row>
    <row r="242" spans="3:10">
      <c r="C242"/>
    </row>
    <row r="243" spans="3:10" ht="17.100000000000001" customHeight="1">
      <c r="C243"/>
    </row>
    <row r="244" spans="3:10" ht="17.100000000000001" customHeight="1">
      <c r="C244"/>
    </row>
    <row r="245" spans="3:10" ht="17.100000000000001" customHeight="1">
      <c r="C245"/>
    </row>
    <row r="246" spans="3:10">
      <c r="C246"/>
      <c r="J246" s="217">
        <f>SUM('SP2D ON'!F129:F138)</f>
        <v>566310912</v>
      </c>
    </row>
    <row r="247" spans="3:10">
      <c r="C247"/>
      <c r="J247" s="217">
        <f>GETPIVOTDATA("Realisasi ",$C$5)-J246</f>
        <v>6274994273</v>
      </c>
    </row>
    <row r="248" spans="3:10">
      <c r="C248"/>
    </row>
    <row r="249" spans="3:10">
      <c r="C249"/>
    </row>
    <row r="250" spans="3:10">
      <c r="C250"/>
    </row>
    <row r="251" spans="3:10">
      <c r="C251"/>
    </row>
    <row r="252" spans="3:10">
      <c r="C252"/>
    </row>
    <row r="253" spans="3:10">
      <c r="C253"/>
    </row>
    <row r="254" spans="3:10">
      <c r="C254"/>
    </row>
    <row r="255" spans="3:10">
      <c r="C255"/>
    </row>
    <row r="256" spans="3:10">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conditionalFormatting sqref="G1:G5 G247:G1048576">
    <cfRule type="cellIs" dxfId="570" priority="1" operator="lessThan">
      <formula>0</formula>
    </cfRule>
  </conditionalFormatting>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topLeftCell="D2" workbookViewId="0">
      <selection activeCell="K18" sqref="K18"/>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1">
      <c r="B5" s="295" t="s">
        <v>4029</v>
      </c>
      <c r="C5" s="296" t="s">
        <v>4013</v>
      </c>
      <c r="D5" s="296" t="s">
        <v>4014</v>
      </c>
      <c r="E5" s="296" t="s">
        <v>4015</v>
      </c>
      <c r="F5" s="296" t="s">
        <v>4023</v>
      </c>
      <c r="G5" s="296" t="s">
        <v>4341</v>
      </c>
      <c r="H5" s="296" t="s">
        <v>4377</v>
      </c>
      <c r="I5" s="296" t="s">
        <v>4414</v>
      </c>
      <c r="J5" s="296" t="s">
        <v>4553</v>
      </c>
      <c r="K5" s="296" t="s">
        <v>5637</v>
      </c>
    </row>
    <row r="6" spans="2:11">
      <c r="B6" s="295" t="s">
        <v>4027</v>
      </c>
      <c r="C6" s="297" t="s">
        <v>4346</v>
      </c>
      <c r="D6" s="297" t="s">
        <v>4347</v>
      </c>
      <c r="E6" s="297" t="s">
        <v>4345</v>
      </c>
      <c r="F6" s="297" t="s">
        <v>4344</v>
      </c>
      <c r="G6" s="298" t="s">
        <v>4343</v>
      </c>
      <c r="H6" s="298" t="s">
        <v>4413</v>
      </c>
      <c r="I6" s="298" t="s">
        <v>4413</v>
      </c>
      <c r="J6" s="298" t="s">
        <v>4554</v>
      </c>
      <c r="K6" s="298">
        <v>44746</v>
      </c>
    </row>
    <row r="7" spans="2:11" hidden="1">
      <c r="B7" s="254" t="s">
        <v>4021</v>
      </c>
      <c r="C7" s="164" t="s">
        <v>4018</v>
      </c>
      <c r="D7" s="164" t="s">
        <v>4019</v>
      </c>
      <c r="E7" s="164" t="s">
        <v>4020</v>
      </c>
      <c r="F7" s="164" t="s">
        <v>4024</v>
      </c>
      <c r="G7" s="164" t="s">
        <v>4342</v>
      </c>
      <c r="H7" s="164" t="s">
        <v>4411</v>
      </c>
      <c r="I7" s="164" t="s">
        <v>4412</v>
      </c>
      <c r="J7" s="164" t="s">
        <v>4552</v>
      </c>
      <c r="K7" s="164" t="s">
        <v>5638</v>
      </c>
    </row>
    <row r="8" spans="2:11">
      <c r="B8" s="316" t="s">
        <v>576</v>
      </c>
      <c r="C8" s="314">
        <v>99961115</v>
      </c>
      <c r="D8" s="314">
        <v>249311050</v>
      </c>
      <c r="E8" s="314">
        <v>39291922</v>
      </c>
      <c r="F8" s="314">
        <v>95254996</v>
      </c>
      <c r="G8" s="314">
        <v>90588412</v>
      </c>
      <c r="H8" s="314">
        <v>75905247</v>
      </c>
      <c r="I8" s="314">
        <v>103091640</v>
      </c>
      <c r="J8" s="314">
        <v>2030000</v>
      </c>
      <c r="K8" s="314">
        <v>88923902</v>
      </c>
    </row>
    <row r="9" spans="2:11">
      <c r="B9" s="268" t="s">
        <v>546</v>
      </c>
      <c r="C9" s="169">
        <v>0</v>
      </c>
      <c r="D9" s="169">
        <v>50674500</v>
      </c>
      <c r="E9" s="169">
        <v>18269500</v>
      </c>
      <c r="F9" s="169">
        <v>19929200</v>
      </c>
      <c r="G9" s="169">
        <v>10000000</v>
      </c>
      <c r="H9" s="169">
        <v>9882500</v>
      </c>
      <c r="I9" s="169">
        <v>25762820</v>
      </c>
      <c r="J9" s="169">
        <v>2030000</v>
      </c>
      <c r="K9" s="169">
        <v>11209000</v>
      </c>
    </row>
    <row r="10" spans="2:11">
      <c r="B10" s="268" t="s">
        <v>560</v>
      </c>
      <c r="C10" s="169">
        <v>99961115</v>
      </c>
      <c r="D10" s="169">
        <v>198636550</v>
      </c>
      <c r="E10" s="169">
        <v>21022422</v>
      </c>
      <c r="F10" s="169">
        <v>75325796</v>
      </c>
      <c r="G10" s="169">
        <v>80588412</v>
      </c>
      <c r="H10" s="169">
        <v>66022747</v>
      </c>
      <c r="I10" s="169">
        <v>77328820</v>
      </c>
      <c r="J10" s="169">
        <v>0</v>
      </c>
      <c r="K10" s="169">
        <v>77714902</v>
      </c>
    </row>
    <row r="11" spans="2:11">
      <c r="B11" s="316" t="s">
        <v>542</v>
      </c>
      <c r="C11" s="314">
        <v>0</v>
      </c>
      <c r="D11" s="314">
        <v>46363943</v>
      </c>
      <c r="E11" s="314">
        <v>13965000</v>
      </c>
      <c r="F11" s="314">
        <v>0</v>
      </c>
      <c r="G11" s="314">
        <v>0</v>
      </c>
      <c r="H11" s="314">
        <v>300383</v>
      </c>
      <c r="I11" s="314">
        <v>99280968</v>
      </c>
      <c r="J11" s="314">
        <v>5529500</v>
      </c>
      <c r="K11" s="314">
        <v>0</v>
      </c>
    </row>
    <row r="12" spans="2:11">
      <c r="B12" s="268" t="s">
        <v>591</v>
      </c>
      <c r="C12" s="169">
        <v>0</v>
      </c>
      <c r="D12" s="169">
        <v>5496528</v>
      </c>
      <c r="E12" s="169">
        <v>4230000</v>
      </c>
      <c r="F12" s="169">
        <v>0</v>
      </c>
      <c r="G12" s="169">
        <v>0</v>
      </c>
      <c r="H12" s="169">
        <v>300383</v>
      </c>
      <c r="I12" s="169">
        <v>36489355</v>
      </c>
      <c r="J12" s="169">
        <v>2640000</v>
      </c>
      <c r="K12" s="169">
        <v>0</v>
      </c>
    </row>
    <row r="13" spans="2:11">
      <c r="B13" s="268" t="s">
        <v>543</v>
      </c>
      <c r="C13" s="169">
        <v>0</v>
      </c>
      <c r="D13" s="169">
        <v>40867415</v>
      </c>
      <c r="E13" s="169">
        <v>9735000</v>
      </c>
      <c r="F13" s="169">
        <v>0</v>
      </c>
      <c r="G13" s="169">
        <v>0</v>
      </c>
      <c r="H13" s="169">
        <v>0</v>
      </c>
      <c r="I13" s="169">
        <v>62791613</v>
      </c>
      <c r="J13" s="169">
        <v>2889500</v>
      </c>
      <c r="K13" s="169">
        <v>0</v>
      </c>
    </row>
    <row r="14" spans="2:11">
      <c r="B14" s="316" t="s">
        <v>531</v>
      </c>
      <c r="C14" s="314">
        <v>0</v>
      </c>
      <c r="D14" s="314">
        <v>53677994</v>
      </c>
      <c r="E14" s="314">
        <v>21269213</v>
      </c>
      <c r="F14" s="314">
        <v>0</v>
      </c>
      <c r="G14" s="314">
        <v>0</v>
      </c>
      <c r="H14" s="314">
        <v>16306833</v>
      </c>
      <c r="I14" s="314">
        <v>45801723</v>
      </c>
      <c r="J14" s="314">
        <v>0</v>
      </c>
      <c r="K14" s="314">
        <v>4500000</v>
      </c>
    </row>
    <row r="15" spans="2:11">
      <c r="B15" s="268" t="s">
        <v>532</v>
      </c>
      <c r="C15" s="169">
        <v>0</v>
      </c>
      <c r="D15" s="169">
        <v>31461994</v>
      </c>
      <c r="E15" s="169">
        <v>9369213</v>
      </c>
      <c r="F15" s="169">
        <v>0</v>
      </c>
      <c r="G15" s="169">
        <v>0</v>
      </c>
      <c r="H15" s="169">
        <v>11498833</v>
      </c>
      <c r="I15" s="169">
        <v>15810223</v>
      </c>
      <c r="J15" s="169">
        <v>0</v>
      </c>
      <c r="K15" s="169">
        <v>3000000</v>
      </c>
    </row>
    <row r="16" spans="2:11">
      <c r="B16" s="268" t="s">
        <v>534</v>
      </c>
      <c r="C16" s="169">
        <v>0</v>
      </c>
      <c r="D16" s="169">
        <v>22216000</v>
      </c>
      <c r="E16" s="169">
        <v>11900000</v>
      </c>
      <c r="F16" s="169">
        <v>0</v>
      </c>
      <c r="G16" s="169">
        <v>0</v>
      </c>
      <c r="H16" s="169">
        <v>4808000</v>
      </c>
      <c r="I16" s="169">
        <v>29991500</v>
      </c>
      <c r="J16" s="169">
        <v>0</v>
      </c>
      <c r="K16" s="169">
        <v>1500000</v>
      </c>
    </row>
    <row r="17" spans="2:11">
      <c r="B17" s="316" t="s">
        <v>535</v>
      </c>
      <c r="C17" s="314">
        <v>0</v>
      </c>
      <c r="D17" s="314">
        <v>61147200</v>
      </c>
      <c r="E17" s="314">
        <v>23650240</v>
      </c>
      <c r="F17" s="314">
        <v>0</v>
      </c>
      <c r="G17" s="314">
        <v>4851204</v>
      </c>
      <c r="H17" s="314">
        <v>1326114</v>
      </c>
      <c r="I17" s="314">
        <v>63914400</v>
      </c>
      <c r="J17" s="314">
        <v>0</v>
      </c>
      <c r="K17" s="314">
        <v>0</v>
      </c>
    </row>
    <row r="18" spans="2:11">
      <c r="B18" s="268" t="s">
        <v>536</v>
      </c>
      <c r="C18" s="169">
        <v>0</v>
      </c>
      <c r="D18" s="169">
        <v>35690450</v>
      </c>
      <c r="E18" s="169">
        <v>7572800</v>
      </c>
      <c r="F18" s="169">
        <v>0</v>
      </c>
      <c r="G18" s="169">
        <v>0</v>
      </c>
      <c r="H18" s="169">
        <v>1074100</v>
      </c>
      <c r="I18" s="169">
        <v>63914400</v>
      </c>
      <c r="J18" s="169">
        <v>0</v>
      </c>
      <c r="K18" s="169">
        <v>0</v>
      </c>
    </row>
    <row r="19" spans="2:11">
      <c r="B19" s="268" t="s">
        <v>538</v>
      </c>
      <c r="C19" s="169">
        <v>0</v>
      </c>
      <c r="D19" s="169">
        <v>25456750</v>
      </c>
      <c r="E19" s="169">
        <v>16077440</v>
      </c>
      <c r="F19" s="169">
        <v>0</v>
      </c>
      <c r="G19" s="169">
        <v>4851204</v>
      </c>
      <c r="H19" s="169">
        <v>252014</v>
      </c>
      <c r="I19" s="169">
        <v>0</v>
      </c>
      <c r="J19" s="169">
        <v>0</v>
      </c>
      <c r="K19" s="169">
        <v>0</v>
      </c>
    </row>
    <row r="20" spans="2:11">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8B11-1D2B-4AD8-B371-523CB8DB71C2}">
  <sheetPr>
    <pageSetUpPr fitToPage="1"/>
  </sheetPr>
  <dimension ref="C3:N58"/>
  <sheetViews>
    <sheetView topLeftCell="C1" workbookViewId="0">
      <selection activeCell="G24" sqref="G24"/>
    </sheetView>
  </sheetViews>
  <sheetFormatPr defaultRowHeight="15"/>
  <cols>
    <col min="3" max="3" width="71.140625" customWidth="1"/>
    <col min="4" max="4" width="14.28515625" bestFit="1" customWidth="1"/>
    <col min="5" max="5" width="13.140625" bestFit="1" customWidth="1"/>
    <col min="6" max="6" width="12.5703125" bestFit="1" customWidth="1"/>
    <col min="7" max="10" width="13.140625" bestFit="1" customWidth="1"/>
    <col min="11" max="12" width="15.5703125" bestFit="1" customWidth="1"/>
    <col min="13" max="14" width="13.140625" bestFit="1" customWidth="1"/>
  </cols>
  <sheetData>
    <row r="3" spans="3:14">
      <c r="C3" t="str">
        <f>'PER BULAN'!B5</f>
        <v>Berdasarkan DIPA Revisi 2 TA. 2022 (Tanggal 9 Juni 2022)</v>
      </c>
    </row>
    <row r="4" spans="3:14">
      <c r="C4" t="str">
        <f>'PER BULAN'!B6</f>
        <v>SAMPAI DENGAN 13 JULI 2022</v>
      </c>
    </row>
    <row r="7" spans="3:14">
      <c r="C7" s="254" t="s">
        <v>4021</v>
      </c>
      <c r="D7" s="164" t="s">
        <v>5676</v>
      </c>
      <c r="E7" s="164" t="s">
        <v>4018</v>
      </c>
      <c r="F7" s="164" t="s">
        <v>4019</v>
      </c>
      <c r="G7" s="164" t="s">
        <v>4020</v>
      </c>
      <c r="H7" s="164" t="s">
        <v>4024</v>
      </c>
      <c r="I7" s="164" t="s">
        <v>4342</v>
      </c>
      <c r="J7" s="164" t="s">
        <v>4411</v>
      </c>
      <c r="K7" s="164" t="s">
        <v>4412</v>
      </c>
      <c r="L7" s="164" t="s">
        <v>4552</v>
      </c>
      <c r="M7" s="164" t="s">
        <v>5638</v>
      </c>
      <c r="N7" s="164" t="s">
        <v>5675</v>
      </c>
    </row>
    <row r="8" spans="3:14">
      <c r="C8" s="255" t="s">
        <v>3913</v>
      </c>
      <c r="D8" s="169">
        <v>3420542000</v>
      </c>
      <c r="E8" s="169">
        <v>99961115</v>
      </c>
      <c r="F8" s="169">
        <v>198636550</v>
      </c>
      <c r="G8" s="169">
        <v>21022422</v>
      </c>
      <c r="H8" s="169">
        <v>75325796</v>
      </c>
      <c r="I8" s="169">
        <v>80588412</v>
      </c>
      <c r="J8" s="169">
        <v>66022747</v>
      </c>
      <c r="K8" s="169">
        <v>77328820</v>
      </c>
      <c r="L8" s="169">
        <v>0</v>
      </c>
      <c r="M8" s="169">
        <v>77714902</v>
      </c>
      <c r="N8" s="169">
        <v>96105771</v>
      </c>
    </row>
    <row r="9" spans="3:14">
      <c r="C9" s="268" t="s">
        <v>3914</v>
      </c>
      <c r="D9" s="169">
        <v>3420542000</v>
      </c>
      <c r="E9" s="169">
        <v>99961115</v>
      </c>
      <c r="F9" s="169">
        <v>198636550</v>
      </c>
      <c r="G9" s="169">
        <v>21022422</v>
      </c>
      <c r="H9" s="169">
        <v>75325796</v>
      </c>
      <c r="I9" s="169">
        <v>80588412</v>
      </c>
      <c r="J9" s="169">
        <v>66022747</v>
      </c>
      <c r="K9" s="169">
        <v>77328820</v>
      </c>
      <c r="L9" s="169">
        <v>0</v>
      </c>
      <c r="M9" s="169">
        <v>77714902</v>
      </c>
      <c r="N9" s="169">
        <v>96105771</v>
      </c>
    </row>
    <row r="10" spans="3:14">
      <c r="C10" s="453" t="s">
        <v>3926</v>
      </c>
      <c r="D10" s="169">
        <v>114200000</v>
      </c>
      <c r="E10" s="169">
        <v>0</v>
      </c>
      <c r="F10" s="169">
        <v>0</v>
      </c>
      <c r="G10" s="169">
        <v>0</v>
      </c>
      <c r="H10" s="169">
        <v>0</v>
      </c>
      <c r="I10" s="169">
        <v>0</v>
      </c>
      <c r="J10" s="169">
        <v>0</v>
      </c>
      <c r="K10" s="169">
        <v>0</v>
      </c>
      <c r="L10" s="169">
        <v>0</v>
      </c>
      <c r="M10" s="169">
        <v>0</v>
      </c>
      <c r="N10" s="169">
        <v>0</v>
      </c>
    </row>
    <row r="11" spans="3:14">
      <c r="C11" s="195" t="s">
        <v>3927</v>
      </c>
      <c r="D11" s="169">
        <v>114200000</v>
      </c>
      <c r="E11" s="169">
        <v>0</v>
      </c>
      <c r="F11" s="169">
        <v>0</v>
      </c>
      <c r="G11" s="169">
        <v>0</v>
      </c>
      <c r="H11" s="169">
        <v>0</v>
      </c>
      <c r="I11" s="169">
        <v>0</v>
      </c>
      <c r="J11" s="169">
        <v>0</v>
      </c>
      <c r="K11" s="169">
        <v>0</v>
      </c>
      <c r="L11" s="169">
        <v>0</v>
      </c>
      <c r="M11" s="169">
        <v>0</v>
      </c>
      <c r="N11" s="169">
        <v>0</v>
      </c>
    </row>
    <row r="12" spans="3:14">
      <c r="C12" s="228" t="s">
        <v>3897</v>
      </c>
      <c r="D12" s="169">
        <v>114200000</v>
      </c>
      <c r="E12" s="169">
        <v>0</v>
      </c>
      <c r="F12" s="169">
        <v>0</v>
      </c>
      <c r="G12" s="169">
        <v>0</v>
      </c>
      <c r="H12" s="169">
        <v>0</v>
      </c>
      <c r="I12" s="169">
        <v>0</v>
      </c>
      <c r="J12" s="169">
        <v>0</v>
      </c>
      <c r="K12" s="169">
        <v>0</v>
      </c>
      <c r="L12" s="169">
        <v>0</v>
      </c>
      <c r="M12" s="169">
        <v>0</v>
      </c>
      <c r="N12" s="169">
        <v>0</v>
      </c>
    </row>
    <row r="13" spans="3:14">
      <c r="C13" s="453" t="s">
        <v>3935</v>
      </c>
      <c r="D13" s="169">
        <v>670684000</v>
      </c>
      <c r="E13" s="169">
        <v>59308000</v>
      </c>
      <c r="F13" s="169">
        <v>118096150</v>
      </c>
      <c r="G13" s="169">
        <v>12254000</v>
      </c>
      <c r="H13" s="169">
        <v>40187000</v>
      </c>
      <c r="I13" s="169">
        <v>15637701</v>
      </c>
      <c r="J13" s="169">
        <v>14592550</v>
      </c>
      <c r="K13" s="169">
        <v>77328820</v>
      </c>
      <c r="L13" s="169">
        <v>0</v>
      </c>
      <c r="M13" s="169">
        <v>0</v>
      </c>
      <c r="N13" s="169">
        <v>16720000</v>
      </c>
    </row>
    <row r="14" spans="3:14">
      <c r="C14" s="195" t="s">
        <v>3915</v>
      </c>
      <c r="D14" s="169">
        <v>18739000</v>
      </c>
      <c r="E14" s="169">
        <v>3135000</v>
      </c>
      <c r="F14" s="169">
        <v>5948800</v>
      </c>
      <c r="G14" s="169">
        <v>0</v>
      </c>
      <c r="H14" s="169">
        <v>3960000</v>
      </c>
      <c r="I14" s="169">
        <v>0</v>
      </c>
      <c r="J14" s="169">
        <v>3043500</v>
      </c>
      <c r="K14" s="169">
        <v>0</v>
      </c>
      <c r="L14" s="169">
        <v>0</v>
      </c>
      <c r="M14" s="169">
        <v>0</v>
      </c>
      <c r="N14" s="169">
        <v>1350000</v>
      </c>
    </row>
    <row r="15" spans="3:14">
      <c r="C15" s="228" t="s">
        <v>3890</v>
      </c>
      <c r="D15" s="169">
        <v>5000000</v>
      </c>
      <c r="E15" s="169">
        <v>0</v>
      </c>
      <c r="F15" s="169">
        <v>3998800</v>
      </c>
      <c r="G15" s="169">
        <v>0</v>
      </c>
      <c r="H15" s="169">
        <v>0</v>
      </c>
      <c r="I15" s="169">
        <v>0</v>
      </c>
      <c r="J15" s="169">
        <v>0</v>
      </c>
      <c r="K15" s="169">
        <v>0</v>
      </c>
      <c r="L15" s="169">
        <v>0</v>
      </c>
      <c r="M15" s="169">
        <v>0</v>
      </c>
      <c r="N15" s="169">
        <v>0</v>
      </c>
    </row>
    <row r="16" spans="3:14">
      <c r="C16" s="228" t="s">
        <v>3894</v>
      </c>
      <c r="D16" s="169">
        <v>12989000</v>
      </c>
      <c r="E16" s="169">
        <v>2685000</v>
      </c>
      <c r="F16" s="169">
        <v>1650000</v>
      </c>
      <c r="G16" s="169">
        <v>0</v>
      </c>
      <c r="H16" s="169">
        <v>3960000</v>
      </c>
      <c r="I16" s="169">
        <v>0</v>
      </c>
      <c r="J16" s="169">
        <v>3043500</v>
      </c>
      <c r="K16" s="169">
        <v>0</v>
      </c>
      <c r="L16" s="169">
        <v>0</v>
      </c>
      <c r="M16" s="169">
        <v>0</v>
      </c>
      <c r="N16" s="169">
        <v>1350000</v>
      </c>
    </row>
    <row r="17" spans="3:14">
      <c r="C17" s="228" t="s">
        <v>508</v>
      </c>
      <c r="D17" s="169">
        <v>750000</v>
      </c>
      <c r="E17" s="169">
        <v>450000</v>
      </c>
      <c r="F17" s="169">
        <v>300000</v>
      </c>
      <c r="G17" s="169">
        <v>0</v>
      </c>
      <c r="H17" s="169">
        <v>0</v>
      </c>
      <c r="I17" s="169">
        <v>0</v>
      </c>
      <c r="J17" s="169">
        <v>0</v>
      </c>
      <c r="K17" s="169">
        <v>0</v>
      </c>
      <c r="L17" s="169">
        <v>0</v>
      </c>
      <c r="M17" s="169">
        <v>0</v>
      </c>
      <c r="N17" s="169">
        <v>0</v>
      </c>
    </row>
    <row r="18" spans="3:14">
      <c r="C18" s="195" t="s">
        <v>3916</v>
      </c>
      <c r="D18" s="169">
        <v>385665000</v>
      </c>
      <c r="E18" s="169">
        <v>49105600</v>
      </c>
      <c r="F18" s="169">
        <v>23771900</v>
      </c>
      <c r="G18" s="169">
        <v>454000</v>
      </c>
      <c r="H18" s="169">
        <v>31588000</v>
      </c>
      <c r="I18" s="169">
        <v>10477701</v>
      </c>
      <c r="J18" s="169">
        <v>4081050</v>
      </c>
      <c r="K18" s="169">
        <v>13125750</v>
      </c>
      <c r="L18" s="169">
        <v>0</v>
      </c>
      <c r="M18" s="169">
        <v>0</v>
      </c>
      <c r="N18" s="169">
        <v>0</v>
      </c>
    </row>
    <row r="19" spans="3:14">
      <c r="C19" s="228" t="s">
        <v>3890</v>
      </c>
      <c r="D19" s="169">
        <v>10000000</v>
      </c>
      <c r="E19" s="169">
        <v>2485000</v>
      </c>
      <c r="F19" s="169">
        <v>0</v>
      </c>
      <c r="G19" s="169">
        <v>0</v>
      </c>
      <c r="H19" s="169">
        <v>0</v>
      </c>
      <c r="I19" s="169">
        <v>0</v>
      </c>
      <c r="J19" s="169">
        <v>0</v>
      </c>
      <c r="K19" s="169">
        <v>2485000</v>
      </c>
      <c r="L19" s="169">
        <v>0</v>
      </c>
      <c r="M19" s="169">
        <v>0</v>
      </c>
      <c r="N19" s="169">
        <v>0</v>
      </c>
    </row>
    <row r="20" spans="3:14">
      <c r="C20" s="228" t="s">
        <v>3895</v>
      </c>
      <c r="D20" s="169">
        <v>2031000</v>
      </c>
      <c r="E20" s="169">
        <v>1235000</v>
      </c>
      <c r="F20" s="169">
        <v>342000</v>
      </c>
      <c r="G20" s="169">
        <v>454000</v>
      </c>
      <c r="H20" s="169">
        <v>0</v>
      </c>
      <c r="I20" s="169">
        <v>0</v>
      </c>
      <c r="J20" s="169">
        <v>0</v>
      </c>
      <c r="K20" s="169">
        <v>0</v>
      </c>
      <c r="L20" s="169">
        <v>0</v>
      </c>
      <c r="M20" s="169">
        <v>0</v>
      </c>
      <c r="N20" s="169">
        <v>0</v>
      </c>
    </row>
    <row r="21" spans="3:14">
      <c r="C21" s="228" t="s">
        <v>3894</v>
      </c>
      <c r="D21" s="169">
        <v>373634000</v>
      </c>
      <c r="E21" s="169">
        <v>45385600</v>
      </c>
      <c r="F21" s="169">
        <v>23429900</v>
      </c>
      <c r="G21" s="169">
        <v>0</v>
      </c>
      <c r="H21" s="169">
        <v>31588000</v>
      </c>
      <c r="I21" s="169">
        <v>10477701</v>
      </c>
      <c r="J21" s="169">
        <v>4081050</v>
      </c>
      <c r="K21" s="169">
        <v>10640750</v>
      </c>
      <c r="L21" s="169">
        <v>0</v>
      </c>
      <c r="M21" s="169">
        <v>0</v>
      </c>
      <c r="N21" s="169">
        <v>0</v>
      </c>
    </row>
    <row r="22" spans="3:14">
      <c r="C22" s="195" t="s">
        <v>3936</v>
      </c>
      <c r="D22" s="169">
        <v>56750000</v>
      </c>
      <c r="E22" s="169">
        <v>600000</v>
      </c>
      <c r="F22" s="169">
        <v>5277000</v>
      </c>
      <c r="G22" s="169">
        <v>0</v>
      </c>
      <c r="H22" s="169">
        <v>0</v>
      </c>
      <c r="I22" s="169">
        <v>3300000</v>
      </c>
      <c r="J22" s="169">
        <v>3720000</v>
      </c>
      <c r="K22" s="169">
        <v>29384740</v>
      </c>
      <c r="L22" s="169">
        <v>0</v>
      </c>
      <c r="M22" s="169">
        <v>0</v>
      </c>
      <c r="N22" s="169">
        <v>0</v>
      </c>
    </row>
    <row r="23" spans="3:14">
      <c r="C23" s="228" t="s">
        <v>3890</v>
      </c>
      <c r="D23" s="169">
        <v>33500000</v>
      </c>
      <c r="E23" s="169">
        <v>0</v>
      </c>
      <c r="F23" s="169">
        <v>3987000</v>
      </c>
      <c r="G23" s="169">
        <v>0</v>
      </c>
      <c r="H23" s="169">
        <v>0</v>
      </c>
      <c r="I23" s="169">
        <v>0</v>
      </c>
      <c r="J23" s="169">
        <v>0</v>
      </c>
      <c r="K23" s="169">
        <v>29384740</v>
      </c>
      <c r="L23" s="169">
        <v>0</v>
      </c>
      <c r="M23" s="169">
        <v>0</v>
      </c>
      <c r="N23" s="169">
        <v>0</v>
      </c>
    </row>
    <row r="24" spans="3:14">
      <c r="C24" s="228" t="s">
        <v>3896</v>
      </c>
      <c r="D24" s="169">
        <v>3000000</v>
      </c>
      <c r="E24" s="169">
        <v>0</v>
      </c>
      <c r="F24" s="169">
        <v>0</v>
      </c>
      <c r="G24" s="169">
        <v>0</v>
      </c>
      <c r="H24" s="169">
        <v>0</v>
      </c>
      <c r="I24" s="169">
        <v>0</v>
      </c>
      <c r="J24" s="169">
        <v>0</v>
      </c>
      <c r="K24" s="169">
        <v>0</v>
      </c>
      <c r="L24" s="169">
        <v>0</v>
      </c>
      <c r="M24" s="169">
        <v>0</v>
      </c>
      <c r="N24" s="169">
        <v>0</v>
      </c>
    </row>
    <row r="25" spans="3:14">
      <c r="C25" s="228" t="s">
        <v>3894</v>
      </c>
      <c r="D25" s="169">
        <v>18000000</v>
      </c>
      <c r="E25" s="169">
        <v>0</v>
      </c>
      <c r="F25" s="169">
        <v>1290000</v>
      </c>
      <c r="G25" s="169">
        <v>0</v>
      </c>
      <c r="H25" s="169">
        <v>0</v>
      </c>
      <c r="I25" s="169">
        <v>3300000</v>
      </c>
      <c r="J25" s="169">
        <v>3720000</v>
      </c>
      <c r="K25" s="169">
        <v>0</v>
      </c>
      <c r="L25" s="169">
        <v>0</v>
      </c>
      <c r="M25" s="169">
        <v>0</v>
      </c>
      <c r="N25" s="169">
        <v>0</v>
      </c>
    </row>
    <row r="26" spans="3:14">
      <c r="C26" s="228" t="s">
        <v>508</v>
      </c>
      <c r="D26" s="169">
        <v>2250000</v>
      </c>
      <c r="E26" s="169">
        <v>600000</v>
      </c>
      <c r="F26" s="169">
        <v>0</v>
      </c>
      <c r="G26" s="169">
        <v>0</v>
      </c>
      <c r="H26" s="169">
        <v>0</v>
      </c>
      <c r="I26" s="169">
        <v>0</v>
      </c>
      <c r="J26" s="169">
        <v>0</v>
      </c>
      <c r="K26" s="169">
        <v>0</v>
      </c>
      <c r="L26" s="169">
        <v>0</v>
      </c>
      <c r="M26" s="169">
        <v>0</v>
      </c>
      <c r="N26" s="169">
        <v>0</v>
      </c>
    </row>
    <row r="27" spans="3:14">
      <c r="C27" s="195" t="s">
        <v>3917</v>
      </c>
      <c r="D27" s="169">
        <v>61193000</v>
      </c>
      <c r="E27" s="169">
        <v>4907400</v>
      </c>
      <c r="F27" s="169">
        <v>8779000</v>
      </c>
      <c r="G27" s="169">
        <v>0</v>
      </c>
      <c r="H27" s="169">
        <v>1410000</v>
      </c>
      <c r="I27" s="169">
        <v>0</v>
      </c>
      <c r="J27" s="169">
        <v>0</v>
      </c>
      <c r="K27" s="169">
        <v>3691500</v>
      </c>
      <c r="L27" s="169">
        <v>0</v>
      </c>
      <c r="M27" s="169">
        <v>0</v>
      </c>
      <c r="N27" s="169">
        <v>0</v>
      </c>
    </row>
    <row r="28" spans="3:14">
      <c r="C28" s="228" t="s">
        <v>3890</v>
      </c>
      <c r="D28" s="169">
        <v>13500000</v>
      </c>
      <c r="E28" s="169">
        <v>0</v>
      </c>
      <c r="F28" s="169">
        <v>5459000</v>
      </c>
      <c r="G28" s="169">
        <v>0</v>
      </c>
      <c r="H28" s="169">
        <v>0</v>
      </c>
      <c r="I28" s="169">
        <v>0</v>
      </c>
      <c r="J28" s="169">
        <v>0</v>
      </c>
      <c r="K28" s="169">
        <v>0</v>
      </c>
      <c r="L28" s="169">
        <v>0</v>
      </c>
      <c r="M28" s="169">
        <v>0</v>
      </c>
      <c r="N28" s="169">
        <v>0</v>
      </c>
    </row>
    <row r="29" spans="3:14">
      <c r="C29" s="228" t="s">
        <v>3894</v>
      </c>
      <c r="D29" s="169">
        <v>47693000</v>
      </c>
      <c r="E29" s="169">
        <v>4907400</v>
      </c>
      <c r="F29" s="169">
        <v>3320000</v>
      </c>
      <c r="G29" s="169">
        <v>0</v>
      </c>
      <c r="H29" s="169">
        <v>1410000</v>
      </c>
      <c r="I29" s="169">
        <v>0</v>
      </c>
      <c r="J29" s="169">
        <v>0</v>
      </c>
      <c r="K29" s="169">
        <v>3691500</v>
      </c>
      <c r="L29" s="169">
        <v>0</v>
      </c>
      <c r="M29" s="169">
        <v>0</v>
      </c>
      <c r="N29" s="169">
        <v>0</v>
      </c>
    </row>
    <row r="30" spans="3:14">
      <c r="C30" s="228" t="s">
        <v>508</v>
      </c>
      <c r="D30" s="169">
        <v>0</v>
      </c>
      <c r="E30" s="169">
        <v>0</v>
      </c>
      <c r="F30" s="169">
        <v>0</v>
      </c>
      <c r="G30" s="169">
        <v>0</v>
      </c>
      <c r="H30" s="169">
        <v>0</v>
      </c>
      <c r="I30" s="169">
        <v>0</v>
      </c>
      <c r="J30" s="169">
        <v>0</v>
      </c>
      <c r="K30" s="169">
        <v>0</v>
      </c>
      <c r="L30" s="169">
        <v>0</v>
      </c>
      <c r="M30" s="169">
        <v>0</v>
      </c>
      <c r="N30" s="169">
        <v>0</v>
      </c>
    </row>
    <row r="31" spans="3:14">
      <c r="C31" s="195" t="s">
        <v>3937</v>
      </c>
      <c r="D31" s="169">
        <v>148337000</v>
      </c>
      <c r="E31" s="169">
        <v>1560000</v>
      </c>
      <c r="F31" s="169">
        <v>74319450</v>
      </c>
      <c r="G31" s="169">
        <v>11800000</v>
      </c>
      <c r="H31" s="169">
        <v>3229000</v>
      </c>
      <c r="I31" s="169">
        <v>1860000</v>
      </c>
      <c r="J31" s="169">
        <v>3748000</v>
      </c>
      <c r="K31" s="169">
        <v>31126830</v>
      </c>
      <c r="L31" s="169">
        <v>0</v>
      </c>
      <c r="M31" s="169">
        <v>0</v>
      </c>
      <c r="N31" s="169">
        <v>15370000</v>
      </c>
    </row>
    <row r="32" spans="3:14">
      <c r="C32" s="228" t="s">
        <v>3890</v>
      </c>
      <c r="D32" s="169">
        <v>38100000</v>
      </c>
      <c r="E32" s="169">
        <v>0</v>
      </c>
      <c r="F32" s="169">
        <v>31495000</v>
      </c>
      <c r="G32" s="169">
        <v>0</v>
      </c>
      <c r="H32" s="169">
        <v>0</v>
      </c>
      <c r="I32" s="169">
        <v>0</v>
      </c>
      <c r="J32" s="169">
        <v>0</v>
      </c>
      <c r="K32" s="169">
        <v>6600000</v>
      </c>
      <c r="L32" s="169">
        <v>0</v>
      </c>
      <c r="M32" s="169">
        <v>0</v>
      </c>
      <c r="N32" s="169">
        <v>0</v>
      </c>
    </row>
    <row r="33" spans="3:14">
      <c r="C33" s="228" t="s">
        <v>3938</v>
      </c>
      <c r="D33" s="169">
        <v>82534000</v>
      </c>
      <c r="E33" s="169">
        <v>0</v>
      </c>
      <c r="F33" s="169">
        <v>35332450</v>
      </c>
      <c r="G33" s="169">
        <v>11800000</v>
      </c>
      <c r="H33" s="169">
        <v>0</v>
      </c>
      <c r="I33" s="169">
        <v>0</v>
      </c>
      <c r="J33" s="169">
        <v>0</v>
      </c>
      <c r="K33" s="169">
        <v>20031830</v>
      </c>
      <c r="L33" s="169">
        <v>0</v>
      </c>
      <c r="M33" s="169">
        <v>0</v>
      </c>
      <c r="N33" s="169">
        <v>15370000</v>
      </c>
    </row>
    <row r="34" spans="3:14">
      <c r="C34" s="228" t="s">
        <v>3983</v>
      </c>
      <c r="D34" s="169">
        <v>1606000</v>
      </c>
      <c r="E34" s="169"/>
      <c r="F34" s="169"/>
      <c r="G34" s="169"/>
      <c r="H34" s="169"/>
      <c r="I34" s="169"/>
      <c r="J34" s="169"/>
      <c r="K34" s="169"/>
      <c r="L34" s="169"/>
      <c r="M34" s="169"/>
      <c r="N34" s="169"/>
    </row>
    <row r="35" spans="3:14">
      <c r="C35" s="228" t="s">
        <v>3895</v>
      </c>
      <c r="D35" s="169">
        <v>4246000</v>
      </c>
      <c r="E35" s="169">
        <v>0</v>
      </c>
      <c r="F35" s="169">
        <v>802000</v>
      </c>
      <c r="G35" s="169">
        <v>0</v>
      </c>
      <c r="H35" s="169">
        <v>3229000</v>
      </c>
      <c r="I35" s="169">
        <v>0</v>
      </c>
      <c r="J35" s="169">
        <v>0</v>
      </c>
      <c r="K35" s="169">
        <v>215000</v>
      </c>
      <c r="L35" s="169">
        <v>0</v>
      </c>
      <c r="M35" s="169">
        <v>0</v>
      </c>
      <c r="N35" s="169">
        <v>0</v>
      </c>
    </row>
    <row r="36" spans="3:14">
      <c r="C36" s="228" t="s">
        <v>3894</v>
      </c>
      <c r="D36" s="169">
        <v>21851000</v>
      </c>
      <c r="E36" s="169">
        <v>1560000</v>
      </c>
      <c r="F36" s="169">
        <v>6690000</v>
      </c>
      <c r="G36" s="169">
        <v>0</v>
      </c>
      <c r="H36" s="169">
        <v>0</v>
      </c>
      <c r="I36" s="169">
        <v>1860000</v>
      </c>
      <c r="J36" s="169">
        <v>3748000</v>
      </c>
      <c r="K36" s="169">
        <v>4280000</v>
      </c>
      <c r="L36" s="169">
        <v>0</v>
      </c>
      <c r="M36" s="169">
        <v>0</v>
      </c>
      <c r="N36" s="169">
        <v>0</v>
      </c>
    </row>
    <row r="37" spans="3:14">
      <c r="C37" s="228" t="s">
        <v>508</v>
      </c>
      <c r="D37" s="169">
        <v>0</v>
      </c>
      <c r="E37" s="169">
        <v>0</v>
      </c>
      <c r="F37" s="169">
        <v>0</v>
      </c>
      <c r="G37" s="169">
        <v>0</v>
      </c>
      <c r="H37" s="169">
        <v>0</v>
      </c>
      <c r="I37" s="169">
        <v>0</v>
      </c>
      <c r="J37" s="169">
        <v>0</v>
      </c>
      <c r="K37" s="169">
        <v>0</v>
      </c>
      <c r="L37" s="169">
        <v>0</v>
      </c>
      <c r="M37" s="169">
        <v>0</v>
      </c>
      <c r="N37" s="169">
        <v>0</v>
      </c>
    </row>
    <row r="38" spans="3:14">
      <c r="C38" s="453" t="s">
        <v>5429</v>
      </c>
      <c r="D38" s="169">
        <v>2095658000</v>
      </c>
      <c r="E38" s="169">
        <v>40653115</v>
      </c>
      <c r="F38" s="169">
        <v>80540400</v>
      </c>
      <c r="G38" s="169">
        <v>8768422</v>
      </c>
      <c r="H38" s="169">
        <v>35138796</v>
      </c>
      <c r="I38" s="169">
        <v>64950711</v>
      </c>
      <c r="J38" s="169">
        <v>51430197</v>
      </c>
      <c r="K38" s="169">
        <v>0</v>
      </c>
      <c r="L38" s="169">
        <v>0</v>
      </c>
      <c r="M38" s="169">
        <v>77714902</v>
      </c>
      <c r="N38" s="169">
        <v>79385771</v>
      </c>
    </row>
    <row r="39" spans="3:14">
      <c r="C39" s="195" t="s">
        <v>3944</v>
      </c>
      <c r="D39" s="169">
        <v>1254380000</v>
      </c>
      <c r="E39" s="169">
        <v>15353865</v>
      </c>
      <c r="F39" s="169">
        <v>27406900</v>
      </c>
      <c r="G39" s="169">
        <v>6849722</v>
      </c>
      <c r="H39" s="169">
        <v>17187096</v>
      </c>
      <c r="I39" s="169">
        <v>10296711</v>
      </c>
      <c r="J39" s="169">
        <v>28831857</v>
      </c>
      <c r="K39" s="169">
        <v>0</v>
      </c>
      <c r="L39" s="169">
        <v>0</v>
      </c>
      <c r="M39" s="169">
        <v>11688602</v>
      </c>
      <c r="N39" s="169">
        <v>18057251</v>
      </c>
    </row>
    <row r="40" spans="3:14">
      <c r="C40" s="228" t="s">
        <v>3945</v>
      </c>
      <c r="D40" s="169">
        <v>1076220000</v>
      </c>
      <c r="E40" s="169">
        <v>2178865</v>
      </c>
      <c r="F40" s="169">
        <v>8107900</v>
      </c>
      <c r="G40" s="169">
        <v>6849722</v>
      </c>
      <c r="H40" s="169">
        <v>8235096</v>
      </c>
      <c r="I40" s="169">
        <v>8616711</v>
      </c>
      <c r="J40" s="169">
        <v>7229857</v>
      </c>
      <c r="K40" s="169">
        <v>0</v>
      </c>
      <c r="L40" s="169">
        <v>0</v>
      </c>
      <c r="M40" s="169">
        <v>11688602</v>
      </c>
      <c r="N40" s="169">
        <v>13582251</v>
      </c>
    </row>
    <row r="41" spans="3:14">
      <c r="C41" s="228" t="s">
        <v>3908</v>
      </c>
      <c r="D41" s="169">
        <v>178160000</v>
      </c>
      <c r="E41" s="169">
        <v>13175000</v>
      </c>
      <c r="F41" s="169">
        <v>19299000</v>
      </c>
      <c r="G41" s="169">
        <v>0</v>
      </c>
      <c r="H41" s="169">
        <v>8952000</v>
      </c>
      <c r="I41" s="169">
        <v>1680000</v>
      </c>
      <c r="J41" s="169">
        <v>21602000</v>
      </c>
      <c r="K41" s="169">
        <v>0</v>
      </c>
      <c r="L41" s="169">
        <v>0</v>
      </c>
      <c r="M41" s="169">
        <v>0</v>
      </c>
      <c r="N41" s="169">
        <v>4475000</v>
      </c>
    </row>
    <row r="42" spans="3:14">
      <c r="C42" s="195" t="s">
        <v>3946</v>
      </c>
      <c r="D42" s="169">
        <v>148852000</v>
      </c>
      <c r="E42" s="169">
        <v>295050</v>
      </c>
      <c r="F42" s="169">
        <v>4950000</v>
      </c>
      <c r="G42" s="169">
        <v>59000</v>
      </c>
      <c r="H42" s="169">
        <v>10503000</v>
      </c>
      <c r="I42" s="169">
        <v>276000</v>
      </c>
      <c r="J42" s="169">
        <v>6003000</v>
      </c>
      <c r="K42" s="169">
        <v>0</v>
      </c>
      <c r="L42" s="169">
        <v>0</v>
      </c>
      <c r="M42" s="169">
        <v>50155000</v>
      </c>
      <c r="N42" s="169">
        <v>9986000</v>
      </c>
    </row>
    <row r="43" spans="3:14">
      <c r="C43" s="228" t="s">
        <v>3947</v>
      </c>
      <c r="D43" s="169">
        <v>30000000</v>
      </c>
      <c r="E43" s="169">
        <v>295050</v>
      </c>
      <c r="F43" s="169">
        <v>0</v>
      </c>
      <c r="G43" s="169">
        <v>59000</v>
      </c>
      <c r="H43" s="169">
        <v>603000</v>
      </c>
      <c r="I43" s="169">
        <v>276000</v>
      </c>
      <c r="J43" s="169">
        <v>1053000</v>
      </c>
      <c r="K43" s="169">
        <v>0</v>
      </c>
      <c r="L43" s="169">
        <v>0</v>
      </c>
      <c r="M43" s="169">
        <v>155000</v>
      </c>
      <c r="N43" s="169">
        <v>86000</v>
      </c>
    </row>
    <row r="44" spans="3:14">
      <c r="C44" s="228" t="s">
        <v>3896</v>
      </c>
      <c r="D44" s="169">
        <v>118852000</v>
      </c>
      <c r="E44" s="169">
        <v>0</v>
      </c>
      <c r="F44" s="169">
        <v>4950000</v>
      </c>
      <c r="G44" s="169">
        <v>0</v>
      </c>
      <c r="H44" s="169">
        <v>9900000</v>
      </c>
      <c r="I44" s="169">
        <v>0</v>
      </c>
      <c r="J44" s="169">
        <v>4950000</v>
      </c>
      <c r="K44" s="169">
        <v>0</v>
      </c>
      <c r="L44" s="169">
        <v>0</v>
      </c>
      <c r="M44" s="169">
        <v>50000000</v>
      </c>
      <c r="N44" s="169">
        <v>9900000</v>
      </c>
    </row>
    <row r="45" spans="3:14">
      <c r="C45" s="195" t="s">
        <v>3948</v>
      </c>
      <c r="D45" s="169">
        <v>533050000</v>
      </c>
      <c r="E45" s="169">
        <v>25004200</v>
      </c>
      <c r="F45" s="169">
        <v>38727500</v>
      </c>
      <c r="G45" s="169">
        <v>1859700</v>
      </c>
      <c r="H45" s="169">
        <v>7448700</v>
      </c>
      <c r="I45" s="169">
        <v>9968000</v>
      </c>
      <c r="J45" s="169">
        <v>11867340</v>
      </c>
      <c r="K45" s="169">
        <v>0</v>
      </c>
      <c r="L45" s="169">
        <v>0</v>
      </c>
      <c r="M45" s="169">
        <v>11143300</v>
      </c>
      <c r="N45" s="169">
        <v>41886520</v>
      </c>
    </row>
    <row r="46" spans="3:14">
      <c r="C46" s="228" t="s">
        <v>3949</v>
      </c>
      <c r="D46" s="169">
        <v>497050000</v>
      </c>
      <c r="E46" s="169">
        <v>25004200</v>
      </c>
      <c r="F46" s="169">
        <v>32727500</v>
      </c>
      <c r="G46" s="169">
        <v>1859700</v>
      </c>
      <c r="H46" s="169">
        <v>7448700</v>
      </c>
      <c r="I46" s="169">
        <v>6968000</v>
      </c>
      <c r="J46" s="169">
        <v>11867340</v>
      </c>
      <c r="K46" s="169">
        <v>0</v>
      </c>
      <c r="L46" s="169">
        <v>0</v>
      </c>
      <c r="M46" s="169">
        <v>11143300</v>
      </c>
      <c r="N46" s="169">
        <v>38886520</v>
      </c>
    </row>
    <row r="47" spans="3:14">
      <c r="C47" s="228" t="s">
        <v>3950</v>
      </c>
      <c r="D47" s="169">
        <v>36000000</v>
      </c>
      <c r="E47" s="169">
        <v>0</v>
      </c>
      <c r="F47" s="169">
        <v>6000000</v>
      </c>
      <c r="G47" s="169">
        <v>0</v>
      </c>
      <c r="H47" s="169">
        <v>0</v>
      </c>
      <c r="I47" s="169">
        <v>3000000</v>
      </c>
      <c r="J47" s="169">
        <v>0</v>
      </c>
      <c r="K47" s="169">
        <v>0</v>
      </c>
      <c r="L47" s="169">
        <v>0</v>
      </c>
      <c r="M47" s="169">
        <v>0</v>
      </c>
      <c r="N47" s="169">
        <v>3000000</v>
      </c>
    </row>
    <row r="48" spans="3:14">
      <c r="C48" s="195" t="s">
        <v>3951</v>
      </c>
      <c r="D48" s="169">
        <v>159376000</v>
      </c>
      <c r="E48" s="169">
        <v>0</v>
      </c>
      <c r="F48" s="169">
        <v>9456000</v>
      </c>
      <c r="G48" s="169">
        <v>0</v>
      </c>
      <c r="H48" s="169">
        <v>0</v>
      </c>
      <c r="I48" s="169">
        <v>44410000</v>
      </c>
      <c r="J48" s="169">
        <v>4728000</v>
      </c>
      <c r="K48" s="169">
        <v>0</v>
      </c>
      <c r="L48" s="169">
        <v>0</v>
      </c>
      <c r="M48" s="169">
        <v>4728000</v>
      </c>
      <c r="N48" s="169">
        <v>9456000</v>
      </c>
    </row>
    <row r="49" spans="3:14">
      <c r="C49" s="228" t="s">
        <v>3945</v>
      </c>
      <c r="D49" s="169">
        <v>101040000</v>
      </c>
      <c r="E49" s="169">
        <v>0</v>
      </c>
      <c r="F49" s="169">
        <v>0</v>
      </c>
      <c r="G49" s="169">
        <v>0</v>
      </c>
      <c r="H49" s="169">
        <v>0</v>
      </c>
      <c r="I49" s="169">
        <v>44410000</v>
      </c>
      <c r="J49" s="169">
        <v>0</v>
      </c>
      <c r="K49" s="169">
        <v>0</v>
      </c>
      <c r="L49" s="169">
        <v>0</v>
      </c>
      <c r="M49" s="169">
        <v>0</v>
      </c>
      <c r="N49" s="169">
        <v>0</v>
      </c>
    </row>
    <row r="50" spans="3:14">
      <c r="C50" s="228" t="s">
        <v>3952</v>
      </c>
      <c r="D50" s="169">
        <v>58336000</v>
      </c>
      <c r="E50" s="169">
        <v>0</v>
      </c>
      <c r="F50" s="169">
        <v>9456000</v>
      </c>
      <c r="G50" s="169">
        <v>0</v>
      </c>
      <c r="H50" s="169">
        <v>0</v>
      </c>
      <c r="I50" s="169">
        <v>0</v>
      </c>
      <c r="J50" s="169">
        <v>4728000</v>
      </c>
      <c r="K50" s="169">
        <v>0</v>
      </c>
      <c r="L50" s="169">
        <v>0</v>
      </c>
      <c r="M50" s="169">
        <v>4728000</v>
      </c>
      <c r="N50" s="169">
        <v>9456000</v>
      </c>
    </row>
    <row r="51" spans="3:14">
      <c r="C51" s="195" t="s">
        <v>3953</v>
      </c>
      <c r="D51" s="169">
        <v>0</v>
      </c>
      <c r="E51" s="169">
        <v>0</v>
      </c>
      <c r="F51" s="169">
        <v>0</v>
      </c>
      <c r="G51" s="169">
        <v>0</v>
      </c>
      <c r="H51" s="169">
        <v>0</v>
      </c>
      <c r="I51" s="169">
        <v>0</v>
      </c>
      <c r="J51" s="169">
        <v>0</v>
      </c>
      <c r="K51" s="169">
        <v>0</v>
      </c>
      <c r="L51" s="169">
        <v>0</v>
      </c>
      <c r="M51" s="169">
        <v>0</v>
      </c>
      <c r="N51" s="169">
        <v>0</v>
      </c>
    </row>
    <row r="52" spans="3:14">
      <c r="C52" s="228" t="s">
        <v>3945</v>
      </c>
      <c r="D52" s="169">
        <v>0</v>
      </c>
      <c r="E52" s="169">
        <v>0</v>
      </c>
      <c r="F52" s="169">
        <v>0</v>
      </c>
      <c r="G52" s="169">
        <v>0</v>
      </c>
      <c r="H52" s="169">
        <v>0</v>
      </c>
      <c r="I52" s="169">
        <v>0</v>
      </c>
      <c r="J52" s="169">
        <v>0</v>
      </c>
      <c r="K52" s="169">
        <v>0</v>
      </c>
      <c r="L52" s="169">
        <v>0</v>
      </c>
      <c r="M52" s="169">
        <v>0</v>
      </c>
      <c r="N52" s="169">
        <v>0</v>
      </c>
    </row>
    <row r="53" spans="3:14">
      <c r="C53" s="228" t="s">
        <v>3908</v>
      </c>
      <c r="D53" s="169">
        <v>0</v>
      </c>
      <c r="E53" s="169">
        <v>0</v>
      </c>
      <c r="F53" s="169">
        <v>0</v>
      </c>
      <c r="G53" s="169">
        <v>0</v>
      </c>
      <c r="H53" s="169">
        <v>0</v>
      </c>
      <c r="I53" s="169">
        <v>0</v>
      </c>
      <c r="J53" s="169">
        <v>0</v>
      </c>
      <c r="K53" s="169">
        <v>0</v>
      </c>
      <c r="L53" s="169">
        <v>0</v>
      </c>
      <c r="M53" s="169">
        <v>0</v>
      </c>
      <c r="N53" s="169">
        <v>0</v>
      </c>
    </row>
    <row r="54" spans="3:14">
      <c r="C54" s="228" t="s">
        <v>3949</v>
      </c>
      <c r="D54" s="169">
        <v>0</v>
      </c>
      <c r="E54" s="169">
        <v>0</v>
      </c>
      <c r="F54" s="169">
        <v>0</v>
      </c>
      <c r="G54" s="169">
        <v>0</v>
      </c>
      <c r="H54" s="169">
        <v>0</v>
      </c>
      <c r="I54" s="169">
        <v>0</v>
      </c>
      <c r="J54" s="169">
        <v>0</v>
      </c>
      <c r="K54" s="169">
        <v>0</v>
      </c>
      <c r="L54" s="169">
        <v>0</v>
      </c>
      <c r="M54" s="169">
        <v>0</v>
      </c>
      <c r="N54" s="169">
        <v>0</v>
      </c>
    </row>
    <row r="55" spans="3:14">
      <c r="C55" s="453" t="s">
        <v>3956</v>
      </c>
      <c r="D55" s="169">
        <v>540000000</v>
      </c>
      <c r="E55" s="169">
        <v>0</v>
      </c>
      <c r="F55" s="169">
        <v>0</v>
      </c>
      <c r="G55" s="169">
        <v>0</v>
      </c>
      <c r="H55" s="169">
        <v>0</v>
      </c>
      <c r="I55" s="169">
        <v>0</v>
      </c>
      <c r="J55" s="169">
        <v>0</v>
      </c>
      <c r="K55" s="169">
        <v>0</v>
      </c>
      <c r="L55" s="169">
        <v>0</v>
      </c>
      <c r="M55" s="169">
        <v>0</v>
      </c>
      <c r="N55" s="169">
        <v>0</v>
      </c>
    </row>
    <row r="56" spans="3:14">
      <c r="C56" s="195" t="s">
        <v>3958</v>
      </c>
      <c r="D56" s="169">
        <v>540000000</v>
      </c>
      <c r="E56" s="169">
        <v>0</v>
      </c>
      <c r="F56" s="169">
        <v>0</v>
      </c>
      <c r="G56" s="169">
        <v>0</v>
      </c>
      <c r="H56" s="169">
        <v>0</v>
      </c>
      <c r="I56" s="169">
        <v>0</v>
      </c>
      <c r="J56" s="169">
        <v>0</v>
      </c>
      <c r="K56" s="169">
        <v>0</v>
      </c>
      <c r="L56" s="169">
        <v>0</v>
      </c>
      <c r="M56" s="169">
        <v>0</v>
      </c>
      <c r="N56" s="169">
        <v>0</v>
      </c>
    </row>
    <row r="57" spans="3:14">
      <c r="C57" s="228" t="s">
        <v>3897</v>
      </c>
      <c r="D57" s="169">
        <v>540000000</v>
      </c>
      <c r="E57" s="169">
        <v>0</v>
      </c>
      <c r="F57" s="169">
        <v>0</v>
      </c>
      <c r="G57" s="169">
        <v>0</v>
      </c>
      <c r="H57" s="169">
        <v>0</v>
      </c>
      <c r="I57" s="169">
        <v>0</v>
      </c>
      <c r="J57" s="169">
        <v>0</v>
      </c>
      <c r="K57" s="169">
        <v>0</v>
      </c>
      <c r="L57" s="169">
        <v>0</v>
      </c>
      <c r="M57" s="169">
        <v>0</v>
      </c>
      <c r="N57" s="169">
        <v>0</v>
      </c>
    </row>
    <row r="58" spans="3:14">
      <c r="C58" s="255" t="s">
        <v>4004</v>
      </c>
      <c r="D58" s="169">
        <v>3420542000</v>
      </c>
      <c r="E58" s="169">
        <v>99961115</v>
      </c>
      <c r="F58" s="169">
        <v>198636550</v>
      </c>
      <c r="G58" s="169">
        <v>21022422</v>
      </c>
      <c r="H58" s="169">
        <v>75325796</v>
      </c>
      <c r="I58" s="169">
        <v>80588412</v>
      </c>
      <c r="J58" s="169">
        <v>66022747</v>
      </c>
      <c r="K58" s="169">
        <v>77328820</v>
      </c>
      <c r="L58" s="169">
        <v>0</v>
      </c>
      <c r="M58" s="169">
        <v>77714902</v>
      </c>
      <c r="N58" s="169">
        <v>96105771</v>
      </c>
    </row>
  </sheetData>
  <pageMargins left="0.28999999999999998" right="0.12" top="0.23" bottom="0.52" header="0.12" footer="0.3"/>
  <pageSetup paperSize="9" scale="6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X1" zoomScale="85" zoomScaleNormal="85" workbookViewId="0">
      <pane ySplit="3" topLeftCell="A121" activePane="bottomLeft" state="frozen"/>
      <selection activeCell="N1" sqref="N1"/>
      <selection pane="bottomLeft" activeCell="BE60" sqref="BE60"/>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 min="55" max="55" width="11.7109375" customWidth="1"/>
  </cols>
  <sheetData>
    <row r="1" spans="1:55">
      <c r="Y1" t="s">
        <v>3842</v>
      </c>
    </row>
    <row r="2" spans="1:55">
      <c r="AD2" t="s">
        <v>3842</v>
      </c>
    </row>
    <row r="3" spans="1:55"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c r="BC3" s="454" t="s">
        <v>5718</v>
      </c>
    </row>
    <row r="4" spans="1:55" s="219" customFormat="1">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2100000</v>
      </c>
      <c r="AM5" s="231">
        <f t="shared" ref="AM5:AM68" si="1">IFERROR(AL5/Q5*100,0)</f>
        <v>10.5</v>
      </c>
      <c r="AN5" s="371">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1120000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27396000</v>
      </c>
      <c r="AM6" s="231">
        <f t="shared" si="1"/>
        <v>63.328710124826628</v>
      </c>
      <c r="AN6" s="371">
        <f t="shared" si="2"/>
        <v>15864000</v>
      </c>
      <c r="AO6" s="231">
        <f t="shared" si="3"/>
        <v>36.671289875173372</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21094500</v>
      </c>
      <c r="AM11" s="231">
        <f t="shared" si="1"/>
        <v>63.442105263157899</v>
      </c>
      <c r="AN11" s="371">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33484900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66713550</v>
      </c>
      <c r="AM17" s="231">
        <f t="shared" si="1"/>
        <v>26.335266299284712</v>
      </c>
      <c r="AN17" s="371">
        <f t="shared" si="2"/>
        <v>186610450</v>
      </c>
      <c r="AO17" s="231">
        <f t="shared" si="3"/>
        <v>73.664733700715288</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1350000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12688500</v>
      </c>
      <c r="AM41" s="231">
        <f t="shared" si="1"/>
        <v>97.686503964893362</v>
      </c>
      <c r="AN41" s="371">
        <f t="shared" si="2"/>
        <v>300500</v>
      </c>
      <c r="AO41" s="231">
        <f t="shared" si="3"/>
        <v>2.3134960351066285</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1350000</v>
      </c>
    </row>
    <row r="42" spans="1:55" s="219" customFormat="1">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750000</v>
      </c>
      <c r="AM42" s="231">
        <f t="shared" si="1"/>
        <v>100</v>
      </c>
      <c r="AN42" s="371">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0</v>
      </c>
    </row>
    <row r="43" spans="1:55" s="219" customFormat="1">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46539280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207119741</v>
      </c>
      <c r="AM45" s="231">
        <f t="shared" si="1"/>
        <v>55.433858000074942</v>
      </c>
      <c r="AN45" s="371">
        <f t="shared" si="2"/>
        <v>166514259</v>
      </c>
      <c r="AO45" s="231">
        <f t="shared" si="3"/>
        <v>44.566141999925065</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82535000</v>
      </c>
      <c r="R54" s="339">
        <v>226200000</v>
      </c>
      <c r="S54" s="339"/>
      <c r="T54" s="339">
        <f>SP2D[[#This Row],[Pagu Semula]]-SP2D[[#This Row],[Pagu]]</f>
        <v>143665000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82534280</v>
      </c>
      <c r="AM54" s="231">
        <f t="shared" si="1"/>
        <v>99.999127642818195</v>
      </c>
      <c r="AN54" s="371">
        <f t="shared" si="2"/>
        <v>720</v>
      </c>
      <c r="AO54" s="231">
        <f t="shared" si="3"/>
        <v>8.7235718180165981E-4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1605000</v>
      </c>
      <c r="R55" s="339">
        <v>35000000</v>
      </c>
      <c r="S55" s="339"/>
      <c r="T55" s="339">
        <f>SP2D[[#This Row],[Pagu Semula]]-SP2D[[#This Row],[Pagu]]</f>
        <v>33395000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1600000</v>
      </c>
      <c r="AM55" s="231">
        <f t="shared" si="1"/>
        <v>99.688473520249218</v>
      </c>
      <c r="AN55" s="371">
        <f t="shared" ref="AN55" si="6">Q55-AL55</f>
        <v>5000</v>
      </c>
      <c r="AO55" s="231">
        <f t="shared" si="3"/>
        <v>0.3115264797507788</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f>SUM('PER BULAN'!BA98)</f>
        <v>0</v>
      </c>
      <c r="AU55" s="232">
        <f>SUM('PER BULAN'!BB98)</f>
        <v>0</v>
      </c>
      <c r="AV55" s="232">
        <f>SUM('PER BULAN'!BC98)</f>
        <v>0</v>
      </c>
      <c r="AW55" s="232">
        <f>SUM('PER BULAN'!BD98)</f>
        <v>0</v>
      </c>
      <c r="AX55" s="232">
        <f>SUM('PER BULAN'!BE98)</f>
        <v>0</v>
      </c>
      <c r="AY55" s="232">
        <f>SUM('PER BULAN'!BF98)</f>
        <v>0</v>
      </c>
      <c r="AZ55" s="232">
        <f>SUM('PER BULAN'!BG98)</f>
        <v>0</v>
      </c>
      <c r="BA55" s="232">
        <f>SUM('PER BULAN'!BH98)</f>
        <v>0</v>
      </c>
      <c r="BB55" s="232">
        <f>SUM('PER BULAN'!BI98)</f>
        <v>0</v>
      </c>
      <c r="BC55" s="232">
        <f>SUM('PER BULAN'!BJ98)</f>
        <v>1600000</v>
      </c>
    </row>
    <row r="56" spans="1:55" s="219" customFormat="1">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511969004</v>
      </c>
      <c r="AM76" s="231">
        <f t="shared" si="8"/>
        <v>47.571036033524742</v>
      </c>
      <c r="AN76" s="371">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69183000</v>
      </c>
      <c r="AM77" s="231">
        <f t="shared" si="8"/>
        <v>38.831948810058378</v>
      </c>
      <c r="AN77" s="371">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2527050</v>
      </c>
      <c r="AM78" s="231">
        <f t="shared" si="8"/>
        <v>8.4235000000000007</v>
      </c>
      <c r="AN78" s="371">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79700000</v>
      </c>
      <c r="AM79" s="231">
        <f t="shared" si="8"/>
        <v>67.058190017837319</v>
      </c>
      <c r="AN79" s="371">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135905260</v>
      </c>
      <c r="AM80" s="231">
        <f t="shared" si="8"/>
        <v>27.342371994769138</v>
      </c>
      <c r="AN80" s="371">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12000000</v>
      </c>
      <c r="AM81" s="231">
        <f t="shared" si="8"/>
        <v>33.333333333333329</v>
      </c>
      <c r="AN81" s="371">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28368000</v>
      </c>
      <c r="AM83" s="231">
        <f t="shared" si="8"/>
        <v>48.628634119583104</v>
      </c>
      <c r="AN83" s="371">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14386100</v>
      </c>
      <c r="AM96" s="231">
        <f t="shared" si="8"/>
        <v>31.969111111111108</v>
      </c>
      <c r="AN96" s="371">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56740000</v>
      </c>
      <c r="AM125" s="231">
        <f t="shared" si="8"/>
        <v>74.625491562874018</v>
      </c>
      <c r="AN125" s="371">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20535000</v>
      </c>
      <c r="AM131" s="231">
        <f t="shared" si="8"/>
        <v>14.880434782608695</v>
      </c>
      <c r="AN131" s="371">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358333153</v>
      </c>
      <c r="AB144" s="237">
        <f t="shared" si="17"/>
        <v>0</v>
      </c>
      <c r="AC144" s="237">
        <f t="shared" si="17"/>
        <v>0</v>
      </c>
      <c r="AD144" s="237">
        <f t="shared" si="17"/>
        <v>0</v>
      </c>
      <c r="AE144" s="237">
        <f t="shared" si="17"/>
        <v>0</v>
      </c>
      <c r="AF144" s="237">
        <f t="shared" si="17"/>
        <v>0</v>
      </c>
      <c r="AL144" s="237">
        <f>SUM(AL4:AL143)</f>
        <v>6841305185</v>
      </c>
      <c r="AM144" s="238">
        <f>AL144/Q144*100</f>
        <v>60.139091575417439</v>
      </c>
      <c r="AN144" s="237">
        <f>SUM(AN4:AN143)</f>
        <v>4534498815</v>
      </c>
      <c r="AO144" s="238">
        <f>AN144/Q144*100</f>
        <v>39.860908424582561</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SUM(BC4:BC143)</f>
        <v>99715771</v>
      </c>
    </row>
    <row r="145" spans="23:23">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c r="Y1" t="s">
        <v>3842</v>
      </c>
    </row>
    <row r="2" spans="1:53">
      <c r="W2" s="217"/>
    </row>
    <row r="3" spans="1:53"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K267"/>
  <sheetViews>
    <sheetView showGridLines="0" zoomScale="70" zoomScaleNormal="70" workbookViewId="0">
      <pane xSplit="3" ySplit="14" topLeftCell="D69" activePane="bottomRight" state="frozen"/>
      <selection pane="topRight" activeCell="D1" sqref="D1"/>
      <selection pane="bottomLeft" activeCell="A15" sqref="A15"/>
      <selection pane="bottomRight" activeCell="AC98" sqref="AC98"/>
    </sheetView>
  </sheetViews>
  <sheetFormatPr defaultRowHeight="15"/>
  <cols>
    <col min="1" max="1" width="8.7109375" customWidth="1"/>
    <col min="2" max="2" width="16.28515625" customWidth="1"/>
    <col min="3" max="3" width="62.42578125" customWidth="1"/>
    <col min="4" max="4" width="9.140625" customWidth="1"/>
    <col min="5" max="5" width="10.140625" customWidth="1"/>
    <col min="6" max="6" width="17.42578125" customWidth="1"/>
    <col min="7"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29" width="16" bestFit="1" customWidth="1"/>
    <col min="30" max="30" width="11.85546875" hidden="1"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hidden="1" customWidth="1"/>
    <col min="47" max="47" width="7.7109375" hidden="1" customWidth="1"/>
    <col min="48" max="48" width="18.42578125" hidden="1" customWidth="1"/>
    <col min="49" max="49" width="8.5703125" hidden="1" customWidth="1"/>
    <col min="50" max="50" width="28.140625" hidden="1" customWidth="1"/>
    <col min="51" max="51" width="33" hidden="1" customWidth="1"/>
    <col min="52" max="52" width="34.140625" hidden="1" customWidth="1"/>
    <col min="53" max="53" width="11.5703125" hidden="1" customWidth="1"/>
    <col min="54" max="54" width="12.5703125" style="215" hidden="1" customWidth="1"/>
    <col min="55" max="55" width="11.85546875" hidden="1" customWidth="1"/>
    <col min="56" max="56" width="11.85546875" style="215" hidden="1" customWidth="1"/>
    <col min="57" max="57" width="12.7109375" hidden="1" customWidth="1"/>
    <col min="58" max="58" width="15.85546875" hidden="1" customWidth="1"/>
    <col min="59" max="59" width="13.5703125" hidden="1" customWidth="1"/>
    <col min="60" max="60" width="17.85546875" hidden="1" customWidth="1"/>
    <col min="61" max="61" width="12" customWidth="1"/>
    <col min="62" max="62" width="12" bestFit="1" customWidth="1"/>
  </cols>
  <sheetData>
    <row r="4" spans="2:62">
      <c r="B4" s="189" t="s">
        <v>598</v>
      </c>
      <c r="C4" s="189"/>
    </row>
    <row r="5" spans="2:62">
      <c r="B5" s="189" t="s">
        <v>5595</v>
      </c>
      <c r="C5" s="189"/>
    </row>
    <row r="6" spans="2:62">
      <c r="B6" s="189" t="s">
        <v>5677</v>
      </c>
      <c r="C6" s="189"/>
    </row>
    <row r="7" spans="2:62">
      <c r="B7" s="189" t="s">
        <v>599</v>
      </c>
      <c r="C7" s="189" t="s">
        <v>600</v>
      </c>
    </row>
    <row r="8" spans="2:62">
      <c r="B8" s="189" t="s">
        <v>601</v>
      </c>
      <c r="C8" s="189" t="s">
        <v>602</v>
      </c>
    </row>
    <row r="9" spans="2:62">
      <c r="B9" s="189" t="s">
        <v>603</v>
      </c>
      <c r="C9" s="189" t="s">
        <v>604</v>
      </c>
      <c r="AT9" s="217" t="e">
        <f>SUM('SP2D ON'!#REF!)</f>
        <v>#REF!</v>
      </c>
    </row>
    <row r="10" spans="2:62">
      <c r="B10" s="189" t="s">
        <v>605</v>
      </c>
      <c r="C10" s="189" t="s">
        <v>4003</v>
      </c>
      <c r="AT10" s="217" t="e">
        <f>AT14-AT9</f>
        <v>#REF!</v>
      </c>
      <c r="AV10" s="215">
        <v>6741589414</v>
      </c>
    </row>
    <row r="11" spans="2:62">
      <c r="AV11" s="217" t="e">
        <f>AV10-AT10</f>
        <v>#REF!</v>
      </c>
    </row>
    <row r="12" spans="2:62" s="163" customFormat="1">
      <c r="B12" s="245" t="s">
        <v>606</v>
      </c>
      <c r="C12" s="245" t="s">
        <v>607</v>
      </c>
      <c r="D12" s="245" t="s">
        <v>608</v>
      </c>
      <c r="E12" s="245" t="s">
        <v>609</v>
      </c>
      <c r="F12" s="245" t="s">
        <v>5413</v>
      </c>
      <c r="G12" s="333" t="s">
        <v>5414</v>
      </c>
      <c r="H12" s="354" t="s">
        <v>5543</v>
      </c>
      <c r="I12" s="354" t="s">
        <v>5544</v>
      </c>
      <c r="J12" s="474" t="s">
        <v>3827</v>
      </c>
      <c r="K12" s="474"/>
      <c r="L12" s="474"/>
      <c r="M12" s="474" t="s">
        <v>3828</v>
      </c>
      <c r="N12" s="474"/>
      <c r="O12" s="474"/>
      <c r="P12" s="474" t="s">
        <v>3829</v>
      </c>
      <c r="Q12" s="474"/>
      <c r="R12" s="474"/>
      <c r="S12" s="474" t="s">
        <v>3830</v>
      </c>
      <c r="T12" s="474"/>
      <c r="U12" s="474"/>
      <c r="V12" s="474" t="s">
        <v>3831</v>
      </c>
      <c r="W12" s="474"/>
      <c r="X12" s="474"/>
      <c r="Y12" s="474" t="s">
        <v>3832</v>
      </c>
      <c r="Z12" s="474"/>
      <c r="AA12" s="474"/>
      <c r="AB12" s="474" t="s">
        <v>3833</v>
      </c>
      <c r="AC12" s="474"/>
      <c r="AD12" s="474"/>
      <c r="AE12" s="474" t="s">
        <v>3834</v>
      </c>
      <c r="AF12" s="474"/>
      <c r="AG12" s="474"/>
      <c r="AH12" s="474" t="s">
        <v>3835</v>
      </c>
      <c r="AI12" s="474"/>
      <c r="AJ12" s="474"/>
      <c r="AK12" s="474" t="s">
        <v>3836</v>
      </c>
      <c r="AL12" s="474"/>
      <c r="AM12" s="474"/>
      <c r="AN12" s="474" t="s">
        <v>3837</v>
      </c>
      <c r="AO12" s="474"/>
      <c r="AP12" s="474"/>
      <c r="AQ12" s="474" t="s">
        <v>3838</v>
      </c>
      <c r="AR12" s="474"/>
      <c r="AS12" s="474"/>
      <c r="AT12" s="476" t="s">
        <v>3845</v>
      </c>
      <c r="AU12" s="477" t="s">
        <v>3846</v>
      </c>
      <c r="AV12" s="475" t="s">
        <v>3847</v>
      </c>
      <c r="AW12" s="475" t="s">
        <v>3846</v>
      </c>
      <c r="AX12" s="244" t="s">
        <v>4017</v>
      </c>
      <c r="AY12" s="244" t="s">
        <v>500</v>
      </c>
      <c r="AZ12" s="244" t="s">
        <v>4001</v>
      </c>
      <c r="BA12" s="243" t="s">
        <v>4016</v>
      </c>
      <c r="BB12" s="243"/>
      <c r="BC12" s="243"/>
      <c r="BD12" s="243"/>
      <c r="BE12" s="243"/>
      <c r="BF12" s="243"/>
      <c r="BG12" s="243"/>
      <c r="BH12" s="243"/>
      <c r="BI12" s="243"/>
      <c r="BJ12" s="243"/>
    </row>
    <row r="13" spans="2:62">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6"/>
      <c r="AU13" s="477"/>
      <c r="AV13" s="475"/>
      <c r="AW13" s="475"/>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5718</v>
      </c>
    </row>
    <row r="14" spans="2:62">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165193480</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6841305185</v>
      </c>
      <c r="AU14" s="250">
        <f>IFERROR(AT14/F14*100,0)</f>
        <v>59.615040349242634</v>
      </c>
      <c r="AV14" s="251">
        <f>F14-AT14</f>
        <v>4634498815</v>
      </c>
      <c r="AW14" s="250">
        <f>AV14/F14*100</f>
        <v>40.384959650757366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37598900</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408446000</v>
      </c>
      <c r="AU15" s="193">
        <f t="shared" ref="AU15:AU78" si="7">IFERROR(AT15/F15*100,0)</f>
        <v>40.8446</v>
      </c>
      <c r="AV15" s="194">
        <f t="shared" ref="AV15:AV78" si="8">F15-AT15</f>
        <v>591554000</v>
      </c>
      <c r="AW15" s="193">
        <f>AV15/F15*100</f>
        <v>59.1554</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37598900</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408446000</v>
      </c>
      <c r="AU16" s="187">
        <f t="shared" si="7"/>
        <v>40.8446</v>
      </c>
      <c r="AV16" s="188">
        <f t="shared" si="8"/>
        <v>591554000</v>
      </c>
      <c r="AW16" s="187">
        <f t="shared" ref="AW16:AW78" si="11">AV16/F16*100</f>
        <v>59.1554</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37598900</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408446000</v>
      </c>
      <c r="AU17" s="182">
        <f t="shared" si="7"/>
        <v>40.8446</v>
      </c>
      <c r="AV17" s="183">
        <f t="shared" si="8"/>
        <v>591554000</v>
      </c>
      <c r="AW17" s="182">
        <f>AV17/F17*100</f>
        <v>59.1554</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37598900</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408446000</v>
      </c>
      <c r="AU18" s="173">
        <f t="shared" si="7"/>
        <v>40.8446</v>
      </c>
      <c r="AV18" s="174">
        <f t="shared" si="8"/>
        <v>591554000</v>
      </c>
      <c r="AW18" s="173">
        <f t="shared" si="11"/>
        <v>59.1554</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1120000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57463000</v>
      </c>
      <c r="AU19" s="199">
        <f t="shared" si="7"/>
        <v>46.303787268331995</v>
      </c>
      <c r="AV19" s="200">
        <f t="shared" si="8"/>
        <v>66637000</v>
      </c>
      <c r="AW19" s="199">
        <f t="shared" si="11"/>
        <v>53.696212731668012</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1120000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35902000</v>
      </c>
      <c r="AU20" s="175">
        <f t="shared" si="7"/>
        <v>43.185180730137731</v>
      </c>
      <c r="AV20" s="176">
        <f t="shared" si="8"/>
        <v>47233000</v>
      </c>
      <c r="AW20" s="175">
        <f t="shared" si="11"/>
        <v>56.814819269862269</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8"/>
        <v>2100000</v>
      </c>
      <c r="AU22" s="168">
        <f t="shared" si="7"/>
        <v>10.5</v>
      </c>
      <c r="AV22" s="169">
        <f t="shared" si="8"/>
        <v>17900000</v>
      </c>
      <c r="AW22" s="168">
        <f t="shared" si="11"/>
        <v>89.5</v>
      </c>
      <c r="AX22" s="164" t="s">
        <v>531</v>
      </c>
      <c r="AY22" s="164" t="s">
        <v>532</v>
      </c>
      <c r="AZ22" s="164" t="s">
        <v>3921</v>
      </c>
      <c r="BA22" s="165"/>
      <c r="BB22" s="240">
        <v>900000</v>
      </c>
      <c r="BC22" s="240"/>
      <c r="BD22" s="165"/>
      <c r="BE22" s="165"/>
      <c r="BF22" s="165"/>
      <c r="BG22" s="165"/>
      <c r="BH22" s="165"/>
      <c r="BI22" s="165"/>
      <c r="BJ22" s="165"/>
    </row>
    <row r="23" spans="2:62">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f>
        <v>1120000</v>
      </c>
      <c r="AC23" s="165"/>
      <c r="AD23" s="165"/>
      <c r="AE23" s="165"/>
      <c r="AF23" s="165"/>
      <c r="AG23" s="165"/>
      <c r="AH23" s="165"/>
      <c r="AI23" s="165"/>
      <c r="AJ23" s="165"/>
      <c r="AK23" s="165"/>
      <c r="AL23" s="165"/>
      <c r="AM23" s="165"/>
      <c r="AN23" s="165"/>
      <c r="AO23" s="165"/>
      <c r="AP23" s="165"/>
      <c r="AQ23" s="165"/>
      <c r="AR23" s="165"/>
      <c r="AS23" s="165"/>
      <c r="AT23" s="165">
        <f t="shared" si="18"/>
        <v>27396000</v>
      </c>
      <c r="AU23" s="168">
        <f t="shared" si="7"/>
        <v>63.328710124826628</v>
      </c>
      <c r="AV23" s="169">
        <f t="shared" si="8"/>
        <v>15864000</v>
      </c>
      <c r="AW23" s="168">
        <f t="shared" si="11"/>
        <v>36.671289875173372</v>
      </c>
      <c r="AX23" s="164" t="s">
        <v>531</v>
      </c>
      <c r="AY23" s="164" t="s">
        <v>532</v>
      </c>
      <c r="AZ23" s="164" t="s">
        <v>3921</v>
      </c>
      <c r="BA23" s="165"/>
      <c r="BB23" s="240">
        <v>10950000</v>
      </c>
      <c r="BC23" s="240"/>
      <c r="BD23" s="165"/>
      <c r="BE23" s="165"/>
      <c r="BF23" s="165">
        <v>1800000</v>
      </c>
      <c r="BG23" s="165"/>
      <c r="BH23" s="165"/>
      <c r="BI23" s="165"/>
      <c r="BJ23" s="165"/>
    </row>
    <row r="24" spans="2:62">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0</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25714500</v>
      </c>
      <c r="AU28" s="199">
        <f t="shared" si="7"/>
        <v>47.18256880733945</v>
      </c>
      <c r="AV28" s="200">
        <f>F28-AT28</f>
        <v>28785500</v>
      </c>
      <c r="AW28" s="199">
        <f t="shared" si="11"/>
        <v>52.81743119266055</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0</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25714500</v>
      </c>
      <c r="AU29" s="175">
        <f t="shared" si="7"/>
        <v>47.18256880733945</v>
      </c>
      <c r="AV29" s="176">
        <f t="shared" si="8"/>
        <v>28785500</v>
      </c>
      <c r="AW29" s="175">
        <f t="shared" si="11"/>
        <v>52.81743119266055</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8"/>
        <v>21094500</v>
      </c>
      <c r="AU31" s="168">
        <f t="shared" si="7"/>
        <v>63.442105263157899</v>
      </c>
      <c r="AV31" s="169">
        <f t="shared" si="8"/>
        <v>12155500</v>
      </c>
      <c r="AW31" s="168">
        <f t="shared" si="11"/>
        <v>36.557894736842108</v>
      </c>
      <c r="AX31" s="164" t="s">
        <v>531</v>
      </c>
      <c r="AY31" s="164" t="s">
        <v>534</v>
      </c>
      <c r="AZ31" s="164" t="s">
        <v>3921</v>
      </c>
      <c r="BA31" s="165"/>
      <c r="BB31" s="240">
        <v>1080000</v>
      </c>
      <c r="BC31" s="240">
        <v>2700000</v>
      </c>
      <c r="BD31" s="165"/>
      <c r="BE31" s="165"/>
      <c r="BF31" s="165">
        <v>3620000</v>
      </c>
      <c r="BG31" s="165">
        <v>9244500</v>
      </c>
      <c r="BH31" s="165"/>
      <c r="BI31" s="165"/>
      <c r="BJ31" s="165"/>
    </row>
    <row r="32" spans="2:62">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33484900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247665140</v>
      </c>
      <c r="AU32" s="199">
        <f t="shared" si="7"/>
        <v>36.087008596823544</v>
      </c>
      <c r="AV32" s="200">
        <f t="shared" si="8"/>
        <v>438634860</v>
      </c>
      <c r="AW32" s="199">
        <f t="shared" si="11"/>
        <v>63.912991403176456</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33484900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92408550</v>
      </c>
      <c r="AU33" s="175">
        <f t="shared" si="7"/>
        <v>23.882868470293907</v>
      </c>
      <c r="AV33" s="176">
        <f t="shared" si="8"/>
        <v>294515450</v>
      </c>
      <c r="AW33" s="175">
        <f t="shared" si="11"/>
        <v>76.1171315297061</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f>
        <v>33484900</v>
      </c>
      <c r="AC39" s="165"/>
      <c r="AD39" s="165"/>
      <c r="AE39" s="165"/>
      <c r="AF39" s="165"/>
      <c r="AG39" s="165"/>
      <c r="AH39" s="165"/>
      <c r="AI39" s="165"/>
      <c r="AJ39" s="165"/>
      <c r="AK39" s="165"/>
      <c r="AL39" s="165"/>
      <c r="AM39" s="165"/>
      <c r="AN39" s="165"/>
      <c r="AO39" s="165"/>
      <c r="AP39" s="165"/>
      <c r="AQ39" s="165"/>
      <c r="AR39" s="165"/>
      <c r="AS39" s="165"/>
      <c r="AT39" s="165">
        <f t="shared" si="38"/>
        <v>66713550</v>
      </c>
      <c r="AU39" s="168">
        <f t="shared" si="7"/>
        <v>26.335266299284712</v>
      </c>
      <c r="AV39" s="169">
        <f>F39-AT39</f>
        <v>186610450</v>
      </c>
      <c r="AW39" s="168">
        <f t="shared" si="11"/>
        <v>73.664733700715288</v>
      </c>
      <c r="AX39" s="164" t="s">
        <v>535</v>
      </c>
      <c r="AY39" s="164" t="s">
        <v>536</v>
      </c>
      <c r="AZ39" s="164" t="s">
        <v>3921</v>
      </c>
      <c r="BA39" s="165"/>
      <c r="BB39" s="240">
        <v>7130000</v>
      </c>
      <c r="BC39" s="240">
        <v>3480000</v>
      </c>
      <c r="BD39" s="165"/>
      <c r="BE39" s="165"/>
      <c r="BF39" s="165"/>
      <c r="BG39" s="165"/>
      <c r="BH39" s="165"/>
      <c r="BI39" s="165"/>
      <c r="BJ39" s="165"/>
    </row>
    <row r="40" spans="2:62">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127594580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6432859185</v>
      </c>
      <c r="AU60" s="193">
        <f t="shared" si="7"/>
        <v>61.406830301521488</v>
      </c>
      <c r="AV60" s="194">
        <f t="shared" ref="AV60:AV64" si="97">F60-AT60</f>
        <v>4042944815</v>
      </c>
      <c r="AW60" s="193">
        <f t="shared" ref="AW60:AW65" si="98">AV60/F60*100</f>
        <v>38.593169698478512</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120179280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2544174973</v>
      </c>
      <c r="AU61" s="187">
        <f t="shared" si="7"/>
        <v>57.910287405560823</v>
      </c>
      <c r="AV61" s="188">
        <f t="shared" si="97"/>
        <v>1849129027</v>
      </c>
      <c r="AW61" s="187">
        <f t="shared" si="98"/>
        <v>42.08971259443917</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120179280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1522474611</v>
      </c>
      <c r="AU67" s="182">
        <f t="shared" si="7"/>
        <v>47.714301460379701</v>
      </c>
      <c r="AV67" s="183">
        <f>F67-AT67</f>
        <v>1668339389</v>
      </c>
      <c r="AW67" s="182">
        <f>AV67/F67*100</f>
        <v>52.285698539620299</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56539280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608577447</v>
      </c>
      <c r="AU76" s="173">
        <f t="shared" si="7"/>
        <v>69.014577630101726</v>
      </c>
      <c r="AV76" s="174">
        <f t="shared" si="8"/>
        <v>273232553</v>
      </c>
      <c r="AW76" s="173">
        <f t="shared" si="11"/>
        <v>30.985422369898281</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56539280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608577447</v>
      </c>
      <c r="AU77" s="173">
        <f t="shared" si="7"/>
        <v>69.014577630101726</v>
      </c>
      <c r="AV77" s="174">
        <f t="shared" si="8"/>
        <v>273232553</v>
      </c>
      <c r="AW77" s="173">
        <f t="shared" si="11"/>
        <v>30.985422369898281</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v>1350000</v>
      </c>
      <c r="AD80" s="165"/>
      <c r="AE80" s="165"/>
      <c r="AF80" s="165"/>
      <c r="AG80" s="165"/>
      <c r="AH80" s="165"/>
      <c r="AI80" s="165"/>
      <c r="AJ80" s="165"/>
      <c r="AK80" s="165"/>
      <c r="AL80" s="165"/>
      <c r="AM80" s="165"/>
      <c r="AN80" s="165"/>
      <c r="AO80" s="165"/>
      <c r="AP80" s="165"/>
      <c r="AQ80" s="165"/>
      <c r="AR80" s="165"/>
      <c r="AS80" s="165"/>
      <c r="AT80" s="165">
        <f t="shared" si="156"/>
        <v>12688500</v>
      </c>
      <c r="AU80" s="168">
        <f t="shared" si="157"/>
        <v>97.686503964893362</v>
      </c>
      <c r="AV80" s="169">
        <f t="shared" si="158"/>
        <v>300500</v>
      </c>
      <c r="AW80" s="168">
        <f t="shared" si="159"/>
        <v>2.3134960351066285</v>
      </c>
      <c r="AX80" s="164" t="s">
        <v>576</v>
      </c>
      <c r="AY80" s="164" t="s">
        <v>560</v>
      </c>
      <c r="AZ80" s="164" t="s">
        <v>3921</v>
      </c>
      <c r="BA80" s="165">
        <v>2685000</v>
      </c>
      <c r="BB80" s="165">
        <v>1650000</v>
      </c>
      <c r="BC80" s="240"/>
      <c r="BD80" s="165">
        <v>3960000</v>
      </c>
      <c r="BE80" s="165"/>
      <c r="BF80" s="165">
        <v>3043500</v>
      </c>
      <c r="BG80" s="165"/>
      <c r="BH80" s="165"/>
      <c r="BI80" s="165"/>
      <c r="BJ80" s="165">
        <v>1350000</v>
      </c>
    </row>
    <row r="81" spans="2:62">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56"/>
        <v>750000</v>
      </c>
      <c r="AU81" s="168">
        <f t="shared" si="157"/>
        <v>100</v>
      </c>
      <c r="AV81" s="169">
        <f t="shared" si="158"/>
        <v>0</v>
      </c>
      <c r="AW81" s="168">
        <f t="shared" si="159"/>
        <v>0</v>
      </c>
      <c r="AX81" s="164" t="s">
        <v>576</v>
      </c>
      <c r="AY81" s="164" t="s">
        <v>560</v>
      </c>
      <c r="AZ81" s="164" t="s">
        <v>3921</v>
      </c>
      <c r="BA81" s="165">
        <v>450000</v>
      </c>
      <c r="BB81" s="165">
        <v>300000</v>
      </c>
      <c r="BC81" s="240"/>
      <c r="BD81" s="165"/>
      <c r="BE81" s="165"/>
      <c r="BF81" s="165"/>
      <c r="BG81" s="165"/>
      <c r="BH81" s="165"/>
      <c r="BI81" s="165"/>
      <c r="BJ81" s="165"/>
    </row>
    <row r="82" spans="2:62">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46539280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214120741</v>
      </c>
      <c r="AU82" s="175">
        <f t="shared" si="157"/>
        <v>55.519878910453372</v>
      </c>
      <c r="AV82" s="176">
        <f t="shared" si="158"/>
        <v>171544259</v>
      </c>
      <c r="AW82" s="175">
        <f t="shared" si="159"/>
        <v>44.480121089546628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f>
        <v>46539280</v>
      </c>
      <c r="AC85" s="165"/>
      <c r="AD85" s="165"/>
      <c r="AE85" s="165"/>
      <c r="AF85" s="165"/>
      <c r="AG85" s="165"/>
      <c r="AH85" s="165"/>
      <c r="AI85" s="165"/>
      <c r="AJ85" s="165"/>
      <c r="AK85" s="165"/>
      <c r="AL85" s="165"/>
      <c r="AM85" s="165"/>
      <c r="AN85" s="165"/>
      <c r="AO85" s="165"/>
      <c r="AP85" s="165"/>
      <c r="AQ85" s="165"/>
      <c r="AR85" s="165"/>
      <c r="AS85" s="165"/>
      <c r="AT85" s="165">
        <f t="shared" si="156"/>
        <v>207119741</v>
      </c>
      <c r="AU85" s="168">
        <f t="shared" si="157"/>
        <v>55.433858000074942</v>
      </c>
      <c r="AV85" s="169">
        <f t="shared" si="158"/>
        <v>166514259</v>
      </c>
      <c r="AW85" s="168">
        <f t="shared" si="159"/>
        <v>44.566141999925065</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367500362</v>
      </c>
      <c r="AU146" s="182">
        <f t="shared" si="292"/>
        <v>67.026639552061866</v>
      </c>
      <c r="AV146" s="183">
        <f>F146-AT146</f>
        <v>180789638</v>
      </c>
      <c r="AW146" s="182">
        <f>AV146/F146*100</f>
        <v>32.973360447938134</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111936545</v>
      </c>
      <c r="AU147" s="173">
        <f t="shared" si="292"/>
        <v>61.98997906652194</v>
      </c>
      <c r="AV147" s="174">
        <f t="shared" ref="AV147:AV148" si="307">F147-AT147</f>
        <v>68635455</v>
      </c>
      <c r="AW147" s="173">
        <f t="shared" ref="AW147:AW148" si="308">AV147/F147*100</f>
        <v>38.010020933478053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111936545</v>
      </c>
      <c r="AU148" s="173">
        <f t="shared" si="292"/>
        <v>61.98997906652194</v>
      </c>
      <c r="AV148" s="174">
        <f t="shared" si="307"/>
        <v>68635455</v>
      </c>
      <c r="AW148" s="173">
        <f t="shared" si="308"/>
        <v>38.010020933478053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30108100</v>
      </c>
      <c r="AU154" s="175">
        <f t="shared" si="292"/>
        <v>38.6001282051282</v>
      </c>
      <c r="AV154" s="176">
        <f t="shared" si="327"/>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39"/>
        <v>14386100</v>
      </c>
      <c r="AU159" s="168">
        <f t="shared" si="292"/>
        <v>31.969111111111108</v>
      </c>
      <c r="AV159" s="169">
        <f t="shared" si="338"/>
        <v>30613900</v>
      </c>
      <c r="AW159" s="168">
        <f t="shared" si="273"/>
        <v>68.030888888888882</v>
      </c>
      <c r="AX159" s="164" t="s">
        <v>542</v>
      </c>
      <c r="AY159" s="164" t="s">
        <v>543</v>
      </c>
      <c r="AZ159" s="164" t="s">
        <v>3921</v>
      </c>
      <c r="BA159" s="165"/>
      <c r="BB159" s="165"/>
      <c r="BC159" s="240"/>
      <c r="BD159" s="165"/>
      <c r="BE159" s="165"/>
      <c r="BF159" s="165"/>
      <c r="BG159" s="165"/>
      <c r="BH159" s="165"/>
      <c r="BI159" s="165"/>
      <c r="BJ159" s="165"/>
    </row>
    <row r="160" spans="2:62">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3">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3">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3">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3">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3">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3">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3">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3">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3">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3">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3">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3">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7415300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3888684212</v>
      </c>
      <c r="AU204" s="173">
        <f t="shared" si="292"/>
        <v>63.932333941635846</v>
      </c>
      <c r="AV204" s="174">
        <f t="shared" si="426"/>
        <v>2193815788</v>
      </c>
      <c r="AW204" s="173">
        <f t="shared" si="427"/>
        <v>36.067666058364161</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K204" t="s">
        <v>3842</v>
      </c>
    </row>
    <row r="205" spans="2:63">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7415300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3888684212</v>
      </c>
      <c r="AU205" s="173">
        <f t="shared" si="292"/>
        <v>63.932333941635846</v>
      </c>
      <c r="AV205" s="174">
        <f t="shared" si="426"/>
        <v>2193815788</v>
      </c>
      <c r="AW205" s="173">
        <f t="shared" si="427"/>
        <v>36.067666058364161</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3">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7415300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3888684212</v>
      </c>
      <c r="AU206" s="173">
        <f t="shared" si="292"/>
        <v>63.932333941635846</v>
      </c>
      <c r="AV206" s="174">
        <f t="shared" si="426"/>
        <v>2193815788</v>
      </c>
      <c r="AW206" s="173">
        <f t="shared" si="427"/>
        <v>36.067666058364161</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3">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7415300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3880878212</v>
      </c>
      <c r="AU207" s="173">
        <f t="shared" ref="AU207:AU231" si="472">IFERROR(AT207/F207*100,0)</f>
        <v>64.970421910836549</v>
      </c>
      <c r="AV207" s="174">
        <f t="shared" si="426"/>
        <v>2092421788</v>
      </c>
      <c r="AW207" s="173">
        <f t="shared" si="427"/>
        <v>35.029578089163444</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3">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25390000</v>
      </c>
      <c r="AU208" s="175">
        <f t="shared" si="472"/>
        <v>1.4817071320359203</v>
      </c>
      <c r="AV208" s="176">
        <f t="shared" si="426"/>
        <v>1688174000</v>
      </c>
      <c r="AW208" s="175">
        <f t="shared" si="427"/>
        <v>98.518292867964078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425"/>
        <v>20535000</v>
      </c>
      <c r="AU214" s="168">
        <f t="shared" si="472"/>
        <v>14.880434782608695</v>
      </c>
      <c r="AV214" s="169">
        <f t="shared" si="426"/>
        <v>117465000</v>
      </c>
      <c r="AW214" s="168">
        <f t="shared" si="427"/>
        <v>85.119565217391298</v>
      </c>
      <c r="AX214" s="164" t="s">
        <v>542</v>
      </c>
      <c r="AY214" s="164" t="s">
        <v>543</v>
      </c>
      <c r="AZ214" s="164" t="s">
        <v>3921</v>
      </c>
      <c r="BA214" s="165"/>
      <c r="BB214" s="165"/>
      <c r="BC214" s="165"/>
      <c r="BD214" s="165"/>
      <c r="BE214" s="165"/>
      <c r="BF214" s="165"/>
      <c r="BG214" s="165"/>
      <c r="BH214" s="165"/>
      <c r="BI214" s="165"/>
      <c r="BJ214" s="165"/>
    </row>
    <row r="215" spans="2:62">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c r="F232" s="227"/>
      <c r="G232" s="227"/>
      <c r="H232" s="227"/>
      <c r="I232" s="227"/>
      <c r="AT232" s="220"/>
    </row>
    <row r="233" spans="2:62">
      <c r="AU233" t="s">
        <v>3842</v>
      </c>
    </row>
    <row r="234" spans="2:62" s="278" customFormat="1">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2">
      <c r="B235" s="376"/>
      <c r="C235" s="354"/>
      <c r="D235" s="354"/>
      <c r="E235" s="354"/>
      <c r="F235" s="354"/>
      <c r="G235" s="354"/>
      <c r="H235" s="354"/>
      <c r="I235" s="397">
        <f t="shared" ref="I235:I250" si="518">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c r="B236" s="377"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73">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57"/>
      <c r="BC236" s="357"/>
    </row>
    <row r="237" spans="2:62">
      <c r="B237" s="378" t="s">
        <v>1807</v>
      </c>
      <c r="C237" s="358" t="s">
        <v>1808</v>
      </c>
      <c r="D237" s="359"/>
      <c r="E237" s="359"/>
      <c r="F237" s="360">
        <f>SUM(F238:F248)</f>
        <v>6155047000</v>
      </c>
      <c r="G237" s="360">
        <f>SUM(G238:G248)</f>
        <v>6155047000</v>
      </c>
      <c r="H237" s="360">
        <f>SUM(H238:H248)</f>
        <v>0</v>
      </c>
      <c r="I237" s="360">
        <f t="shared" si="518"/>
        <v>0</v>
      </c>
      <c r="J237" s="360">
        <f t="shared" ref="J237:K237" si="525">SUM(J238:J248)</f>
        <v>208949299</v>
      </c>
      <c r="K237" s="360">
        <f t="shared" si="525"/>
        <v>0</v>
      </c>
      <c r="L237" s="360">
        <f>SUM(L238:L248)</f>
        <v>0</v>
      </c>
      <c r="M237" s="360">
        <f t="shared" ref="M237:N237" si="526">SUM(M238:M248)</f>
        <v>471416928</v>
      </c>
      <c r="N237" s="360">
        <f t="shared" si="526"/>
        <v>0</v>
      </c>
      <c r="O237" s="360">
        <f>SUM(O238:O248)</f>
        <v>0</v>
      </c>
      <c r="P237" s="360">
        <f t="shared" ref="P237:Q237" si="527">SUM(P238:P248)</f>
        <v>493246114</v>
      </c>
      <c r="Q237" s="360">
        <f t="shared" si="527"/>
        <v>0</v>
      </c>
      <c r="R237" s="360">
        <f>SUM(R238:R248)</f>
        <v>0</v>
      </c>
      <c r="S237" s="360">
        <f t="shared" ref="S237:AR237" si="528">SUM(S238:S248)</f>
        <v>811194029</v>
      </c>
      <c r="T237" s="360">
        <f t="shared" si="528"/>
        <v>0</v>
      </c>
      <c r="U237" s="360">
        <f t="shared" si="528"/>
        <v>0</v>
      </c>
      <c r="V237" s="360">
        <f t="shared" si="528"/>
        <v>480605233</v>
      </c>
      <c r="W237" s="360">
        <f t="shared" si="528"/>
        <v>0</v>
      </c>
      <c r="X237" s="360">
        <f t="shared" si="528"/>
        <v>0</v>
      </c>
      <c r="Y237" s="360">
        <f t="shared" si="528"/>
        <v>474970701</v>
      </c>
      <c r="Z237" s="360">
        <f t="shared" si="528"/>
        <v>0</v>
      </c>
      <c r="AA237" s="360">
        <f t="shared" si="528"/>
        <v>0</v>
      </c>
      <c r="AB237" s="360">
        <f t="shared" si="528"/>
        <v>819535522</v>
      </c>
      <c r="AC237" s="360">
        <f t="shared" si="528"/>
        <v>0</v>
      </c>
      <c r="AD237" s="360">
        <f t="shared" si="528"/>
        <v>0</v>
      </c>
      <c r="AE237" s="360">
        <f t="shared" si="528"/>
        <v>0</v>
      </c>
      <c r="AF237" s="360">
        <f t="shared" si="528"/>
        <v>0</v>
      </c>
      <c r="AG237" s="360">
        <f t="shared" si="528"/>
        <v>0</v>
      </c>
      <c r="AH237" s="360">
        <f t="shared" si="528"/>
        <v>0</v>
      </c>
      <c r="AI237" s="360">
        <f t="shared" si="528"/>
        <v>0</v>
      </c>
      <c r="AJ237" s="360">
        <f t="shared" si="528"/>
        <v>0</v>
      </c>
      <c r="AK237" s="360">
        <f t="shared" si="528"/>
        <v>0</v>
      </c>
      <c r="AL237" s="360">
        <f t="shared" si="528"/>
        <v>0</v>
      </c>
      <c r="AM237" s="360">
        <f t="shared" si="528"/>
        <v>0</v>
      </c>
      <c r="AN237" s="360">
        <f t="shared" si="528"/>
        <v>0</v>
      </c>
      <c r="AO237" s="360">
        <f t="shared" si="528"/>
        <v>0</v>
      </c>
      <c r="AP237" s="360">
        <f t="shared" si="528"/>
        <v>0</v>
      </c>
      <c r="AQ237" s="360">
        <f t="shared" si="528"/>
        <v>0</v>
      </c>
      <c r="AR237" s="360">
        <f t="shared" si="528"/>
        <v>0</v>
      </c>
      <c r="AS237" s="167"/>
      <c r="AT237" s="167">
        <f t="shared" si="521"/>
        <v>3759917826</v>
      </c>
      <c r="AU237" s="226">
        <f t="shared" si="522"/>
        <v>61.086744357922854</v>
      </c>
      <c r="AV237" s="175">
        <f t="shared" si="523"/>
        <v>2395129174</v>
      </c>
      <c r="AW237" s="372">
        <f t="shared" si="524"/>
        <v>38.913255642077146</v>
      </c>
      <c r="AX237" s="359" t="s">
        <v>576</v>
      </c>
      <c r="AY237" t="s">
        <v>546</v>
      </c>
      <c r="BA237" s="361"/>
      <c r="BB237"/>
      <c r="BC237" s="361"/>
      <c r="BD237"/>
    </row>
    <row r="238" spans="2:62">
      <c r="B238" s="379">
        <v>511111</v>
      </c>
      <c r="C238" s="362" t="s">
        <v>77</v>
      </c>
      <c r="D238" s="362"/>
      <c r="E238" s="362"/>
      <c r="F238" s="363">
        <v>2483477000</v>
      </c>
      <c r="G238" s="364">
        <v>2483477000</v>
      </c>
      <c r="H238" s="364"/>
      <c r="I238" s="364">
        <f t="shared" si="518"/>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521"/>
        <v>1519430900</v>
      </c>
      <c r="AU238" s="374">
        <f t="shared" si="522"/>
        <v>61.181597413626143</v>
      </c>
      <c r="AV238" s="369">
        <f t="shared" si="523"/>
        <v>964046100</v>
      </c>
      <c r="AW238" s="368">
        <f t="shared" si="524"/>
        <v>38.818402586373864</v>
      </c>
      <c r="AX238" s="362" t="s">
        <v>576</v>
      </c>
      <c r="AY238" t="s">
        <v>546</v>
      </c>
      <c r="BA238" s="215"/>
      <c r="BB238"/>
      <c r="BC238" s="215"/>
      <c r="BD238"/>
    </row>
    <row r="239" spans="2:62">
      <c r="B239" s="379">
        <v>511119</v>
      </c>
      <c r="C239" s="362" t="s">
        <v>79</v>
      </c>
      <c r="D239" s="362"/>
      <c r="E239" s="362"/>
      <c r="F239" s="363">
        <v>38000</v>
      </c>
      <c r="G239" s="364">
        <v>38000</v>
      </c>
      <c r="H239" s="364"/>
      <c r="I239" s="364">
        <f t="shared" si="518"/>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521"/>
        <v>23486</v>
      </c>
      <c r="AU239" s="374">
        <f t="shared" si="522"/>
        <v>61.805263157894743</v>
      </c>
      <c r="AV239" s="369">
        <f t="shared" si="523"/>
        <v>14514</v>
      </c>
      <c r="AW239" s="368">
        <f t="shared" si="524"/>
        <v>38.194736842105264</v>
      </c>
      <c r="AX239" s="362" t="s">
        <v>576</v>
      </c>
      <c r="AY239" t="s">
        <v>546</v>
      </c>
      <c r="BA239" s="215"/>
      <c r="BB239"/>
      <c r="BC239" s="215"/>
      <c r="BD239"/>
    </row>
    <row r="240" spans="2:62">
      <c r="B240" s="379">
        <v>511121</v>
      </c>
      <c r="C240" s="362" t="s">
        <v>80</v>
      </c>
      <c r="D240" s="362"/>
      <c r="E240" s="362"/>
      <c r="F240" s="363">
        <v>171959000</v>
      </c>
      <c r="G240" s="364">
        <v>171959000</v>
      </c>
      <c r="H240" s="364"/>
      <c r="I240" s="364">
        <f t="shared" si="518"/>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521"/>
        <v>98865380</v>
      </c>
      <c r="AU240" s="374">
        <f t="shared" si="522"/>
        <v>57.493576957297968</v>
      </c>
      <c r="AV240" s="369">
        <f t="shared" si="523"/>
        <v>73093620</v>
      </c>
      <c r="AW240" s="368">
        <f t="shared" si="524"/>
        <v>42.506423042702039</v>
      </c>
      <c r="AX240" s="362" t="s">
        <v>576</v>
      </c>
      <c r="AY240" t="s">
        <v>546</v>
      </c>
      <c r="BA240" s="215"/>
      <c r="BB240"/>
      <c r="BC240" s="215"/>
      <c r="BD240"/>
    </row>
    <row r="241" spans="2:60">
      <c r="B241" s="379">
        <v>511122</v>
      </c>
      <c r="C241" s="362" t="s">
        <v>81</v>
      </c>
      <c r="D241" s="362"/>
      <c r="E241" s="362"/>
      <c r="F241" s="363">
        <v>46700000</v>
      </c>
      <c r="G241" s="364">
        <v>46700000</v>
      </c>
      <c r="H241" s="364"/>
      <c r="I241" s="364">
        <f t="shared" si="518"/>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521"/>
        <v>29665932</v>
      </c>
      <c r="AU241" s="374">
        <f t="shared" si="522"/>
        <v>63.52447965738758</v>
      </c>
      <c r="AV241" s="369">
        <f t="shared" si="523"/>
        <v>17034068</v>
      </c>
      <c r="AW241" s="368">
        <f t="shared" si="524"/>
        <v>36.47552034261242</v>
      </c>
      <c r="AX241" s="362" t="s">
        <v>576</v>
      </c>
      <c r="AY241" t="s">
        <v>546</v>
      </c>
      <c r="BA241" s="215"/>
      <c r="BB241"/>
      <c r="BC241" s="215"/>
      <c r="BD241"/>
    </row>
    <row r="242" spans="2:60">
      <c r="B242" s="379">
        <v>511123</v>
      </c>
      <c r="C242" s="362" t="s">
        <v>82</v>
      </c>
      <c r="D242" s="362"/>
      <c r="E242" s="362"/>
      <c r="F242" s="363">
        <v>158000000</v>
      </c>
      <c r="G242" s="364">
        <v>158000000</v>
      </c>
      <c r="H242" s="364"/>
      <c r="I242" s="364">
        <f t="shared" si="518"/>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521"/>
        <v>87570000</v>
      </c>
      <c r="AU242" s="374">
        <f t="shared" si="522"/>
        <v>55.424050632911396</v>
      </c>
      <c r="AV242" s="369">
        <f t="shared" si="523"/>
        <v>70430000</v>
      </c>
      <c r="AW242" s="368">
        <f t="shared" si="524"/>
        <v>44.575949367088604</v>
      </c>
      <c r="AX242" s="362" t="s">
        <v>576</v>
      </c>
      <c r="AY242" t="s">
        <v>546</v>
      </c>
      <c r="BA242" s="215"/>
      <c r="BB242"/>
      <c r="BC242" s="215"/>
      <c r="BD242"/>
    </row>
    <row r="243" spans="2:60">
      <c r="B243" s="379">
        <v>511124</v>
      </c>
      <c r="C243" s="362" t="s">
        <v>83</v>
      </c>
      <c r="D243" s="362"/>
      <c r="E243" s="362"/>
      <c r="F243" s="363">
        <v>48180000</v>
      </c>
      <c r="G243" s="364">
        <v>48180000</v>
      </c>
      <c r="H243" s="364"/>
      <c r="I243" s="364">
        <f t="shared" si="518"/>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521"/>
        <v>44376000</v>
      </c>
      <c r="AU243" s="374">
        <f t="shared" si="522"/>
        <v>92.104607721046079</v>
      </c>
      <c r="AV243" s="369">
        <f t="shared" si="523"/>
        <v>3804000</v>
      </c>
      <c r="AW243" s="368">
        <f t="shared" si="524"/>
        <v>7.8953922789539224</v>
      </c>
      <c r="AX243" s="362" t="s">
        <v>576</v>
      </c>
      <c r="AY243" t="s">
        <v>546</v>
      </c>
      <c r="BA243" s="215"/>
      <c r="BB243"/>
      <c r="BC243" s="215"/>
      <c r="BD243"/>
    </row>
    <row r="244" spans="2:60">
      <c r="B244" s="379">
        <v>511125</v>
      </c>
      <c r="C244" s="362" t="s">
        <v>84</v>
      </c>
      <c r="D244" s="362"/>
      <c r="E244" s="362"/>
      <c r="F244" s="363">
        <v>13133000</v>
      </c>
      <c r="G244" s="364">
        <v>13133000</v>
      </c>
      <c r="H244" s="364"/>
      <c r="I244" s="364">
        <f t="shared" si="518"/>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521"/>
        <v>7240337</v>
      </c>
      <c r="AU244" s="374">
        <f t="shared" si="522"/>
        <v>55.130868803776742</v>
      </c>
      <c r="AV244" s="369">
        <f t="shared" si="523"/>
        <v>5892663</v>
      </c>
      <c r="AW244" s="368">
        <f t="shared" si="524"/>
        <v>44.869131196223258</v>
      </c>
      <c r="AX244" s="362" t="s">
        <v>576</v>
      </c>
      <c r="AY244" t="s">
        <v>546</v>
      </c>
      <c r="BA244" s="215"/>
      <c r="BB244"/>
      <c r="BC244" s="215"/>
      <c r="BD244"/>
    </row>
    <row r="245" spans="2:60">
      <c r="B245" s="379">
        <v>511126</v>
      </c>
      <c r="C245" s="362" t="s">
        <v>85</v>
      </c>
      <c r="D245" s="362"/>
      <c r="E245" s="362"/>
      <c r="F245" s="363">
        <v>130333000</v>
      </c>
      <c r="G245" s="364">
        <v>130333000</v>
      </c>
      <c r="H245" s="364"/>
      <c r="I245" s="364">
        <f t="shared" si="518"/>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521"/>
        <v>80241360</v>
      </c>
      <c r="AU245" s="374">
        <f t="shared" si="522"/>
        <v>61.566418328435624</v>
      </c>
      <c r="AV245" s="369">
        <f t="shared" si="523"/>
        <v>50091640</v>
      </c>
      <c r="AW245" s="368">
        <f t="shared" si="524"/>
        <v>38.433581671564376</v>
      </c>
      <c r="AX245" s="362" t="s">
        <v>576</v>
      </c>
      <c r="AY245" t="s">
        <v>546</v>
      </c>
      <c r="BA245" s="215"/>
      <c r="BB245"/>
      <c r="BC245" s="215"/>
      <c r="BD245"/>
    </row>
    <row r="246" spans="2:60">
      <c r="B246" s="379">
        <v>511129</v>
      </c>
      <c r="C246" s="362" t="s">
        <v>86</v>
      </c>
      <c r="D246" s="362"/>
      <c r="E246" s="362"/>
      <c r="F246" s="363">
        <v>379379000</v>
      </c>
      <c r="G246" s="365">
        <v>379379000</v>
      </c>
      <c r="H246" s="365"/>
      <c r="I246" s="365">
        <f t="shared" si="518"/>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521"/>
        <v>154736000</v>
      </c>
      <c r="AU246" s="374">
        <f t="shared" si="522"/>
        <v>40.78665397926612</v>
      </c>
      <c r="AV246" s="369">
        <f t="shared" si="523"/>
        <v>224643000</v>
      </c>
      <c r="AW246" s="368">
        <f t="shared" si="524"/>
        <v>59.21334602073388</v>
      </c>
      <c r="AX246" s="362" t="s">
        <v>576</v>
      </c>
      <c r="AY246" t="s">
        <v>546</v>
      </c>
      <c r="BA246" s="215"/>
      <c r="BB246"/>
      <c r="BC246" s="215"/>
      <c r="BD246"/>
    </row>
    <row r="247" spans="2:60">
      <c r="B247" s="379">
        <v>511151</v>
      </c>
      <c r="C247" s="362" t="s">
        <v>87</v>
      </c>
      <c r="D247" s="362"/>
      <c r="E247" s="362"/>
      <c r="F247" s="363">
        <v>88360000</v>
      </c>
      <c r="G247" s="365">
        <v>88360000</v>
      </c>
      <c r="H247" s="365"/>
      <c r="I247" s="365">
        <f t="shared" si="518"/>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521"/>
        <v>49855000</v>
      </c>
      <c r="AU247" s="374">
        <f t="shared" si="522"/>
        <v>56.422589406971483</v>
      </c>
      <c r="AV247" s="369">
        <f t="shared" si="523"/>
        <v>38505000</v>
      </c>
      <c r="AW247" s="368">
        <f t="shared" si="524"/>
        <v>43.577410593028517</v>
      </c>
      <c r="AX247" s="362" t="s">
        <v>576</v>
      </c>
      <c r="AY247" t="s">
        <v>546</v>
      </c>
      <c r="BA247" s="215"/>
      <c r="BB247"/>
      <c r="BC247" s="215"/>
      <c r="BD247"/>
    </row>
    <row r="248" spans="2:60">
      <c r="B248" s="379">
        <v>512411</v>
      </c>
      <c r="C248" s="362" t="s">
        <v>88</v>
      </c>
      <c r="D248" s="362"/>
      <c r="E248" s="362"/>
      <c r="F248" s="363">
        <v>2635488000</v>
      </c>
      <c r="G248" s="365">
        <v>2635488000</v>
      </c>
      <c r="H248" s="365"/>
      <c r="I248" s="365">
        <f t="shared" si="518"/>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521"/>
        <v>1687913431</v>
      </c>
      <c r="AU248" s="374">
        <f t="shared" si="522"/>
        <v>64.045574519785333</v>
      </c>
      <c r="AV248" s="369">
        <f t="shared" si="523"/>
        <v>947574569</v>
      </c>
      <c r="AW248" s="368">
        <f t="shared" si="524"/>
        <v>35.954425480214667</v>
      </c>
      <c r="AX248" s="362" t="s">
        <v>576</v>
      </c>
      <c r="AY248" t="s">
        <v>546</v>
      </c>
      <c r="BA248" s="215"/>
      <c r="BB248"/>
      <c r="BC248" s="215"/>
      <c r="BD248"/>
    </row>
    <row r="249" spans="2:60">
      <c r="B249" s="378" t="s">
        <v>2208</v>
      </c>
      <c r="C249" s="358" t="s">
        <v>3702</v>
      </c>
      <c r="D249" s="359"/>
      <c r="E249" s="359"/>
      <c r="F249" s="360">
        <f t="shared" ref="F249:G249" si="529">F250</f>
        <v>323949000</v>
      </c>
      <c r="G249" s="360">
        <f t="shared" si="529"/>
        <v>323949000</v>
      </c>
      <c r="H249" s="360">
        <f>H250</f>
        <v>323949000</v>
      </c>
      <c r="I249" s="360">
        <f t="shared" si="518"/>
        <v>0</v>
      </c>
      <c r="J249" s="360">
        <f t="shared" ref="J249:K249" si="530">SUM(J250:J260)</f>
        <v>0</v>
      </c>
      <c r="K249" s="360">
        <f t="shared" si="530"/>
        <v>0</v>
      </c>
      <c r="L249" s="360">
        <f>SUM(L250:L260)</f>
        <v>0</v>
      </c>
      <c r="M249" s="360">
        <f t="shared" ref="M249:N249" si="531">SUM(M250:M260)</f>
        <v>0</v>
      </c>
      <c r="N249" s="360">
        <f t="shared" si="531"/>
        <v>0</v>
      </c>
      <c r="O249" s="360">
        <f>SUM(O250:O260)</f>
        <v>0</v>
      </c>
      <c r="P249" s="360">
        <f t="shared" ref="P249:Q249" si="532">SUM(P250:P260)</f>
        <v>0</v>
      </c>
      <c r="Q249" s="360">
        <f t="shared" si="532"/>
        <v>0</v>
      </c>
      <c r="R249" s="360">
        <f>SUM(R250:R260)</f>
        <v>0</v>
      </c>
      <c r="S249" s="360">
        <f t="shared" ref="S249:AR249" si="533">SUM(S250:S260)</f>
        <v>0</v>
      </c>
      <c r="T249" s="360">
        <f t="shared" si="533"/>
        <v>0</v>
      </c>
      <c r="U249" s="360">
        <f t="shared" si="533"/>
        <v>0</v>
      </c>
      <c r="V249" s="360">
        <f t="shared" si="533"/>
        <v>0</v>
      </c>
      <c r="W249" s="360">
        <f t="shared" si="533"/>
        <v>0</v>
      </c>
      <c r="X249" s="360">
        <f t="shared" si="533"/>
        <v>0</v>
      </c>
      <c r="Y249" s="360">
        <f t="shared" si="533"/>
        <v>0</v>
      </c>
      <c r="Z249" s="360">
        <f t="shared" si="533"/>
        <v>0</v>
      </c>
      <c r="AA249" s="360">
        <f t="shared" si="533"/>
        <v>0</v>
      </c>
      <c r="AB249" s="360">
        <f t="shared" si="533"/>
        <v>0</v>
      </c>
      <c r="AC249" s="360">
        <f t="shared" si="533"/>
        <v>0</v>
      </c>
      <c r="AD249" s="360">
        <f t="shared" si="533"/>
        <v>0</v>
      </c>
      <c r="AE249" s="360">
        <f t="shared" si="533"/>
        <v>0</v>
      </c>
      <c r="AF249" s="360">
        <f t="shared" si="533"/>
        <v>0</v>
      </c>
      <c r="AG249" s="360">
        <f t="shared" si="533"/>
        <v>0</v>
      </c>
      <c r="AH249" s="360">
        <f t="shared" si="533"/>
        <v>0</v>
      </c>
      <c r="AI249" s="360">
        <f t="shared" si="533"/>
        <v>0</v>
      </c>
      <c r="AJ249" s="360">
        <f t="shared" si="533"/>
        <v>0</v>
      </c>
      <c r="AK249" s="360">
        <f t="shared" si="533"/>
        <v>0</v>
      </c>
      <c r="AL249" s="360">
        <f t="shared" si="533"/>
        <v>0</v>
      </c>
      <c r="AM249" s="360">
        <f t="shared" si="533"/>
        <v>0</v>
      </c>
      <c r="AN249" s="360">
        <f t="shared" si="533"/>
        <v>0</v>
      </c>
      <c r="AO249" s="360">
        <f t="shared" si="533"/>
        <v>0</v>
      </c>
      <c r="AP249" s="360">
        <f t="shared" si="533"/>
        <v>0</v>
      </c>
      <c r="AQ249" s="360">
        <f t="shared" si="533"/>
        <v>0</v>
      </c>
      <c r="AR249" s="360">
        <f t="shared" si="533"/>
        <v>0</v>
      </c>
      <c r="AS249" s="167"/>
      <c r="AT249" s="167">
        <f t="shared" ref="AT249" si="534">SUM(J249:AS249)</f>
        <v>0</v>
      </c>
      <c r="AU249" s="226">
        <f t="shared" ref="AU249" si="535">IFERROR(AT249/F249*100,0)</f>
        <v>0</v>
      </c>
      <c r="AV249" s="167">
        <f t="shared" ref="AV249" si="536">F249-AT249</f>
        <v>323949000</v>
      </c>
      <c r="AW249" s="372">
        <f t="shared" ref="AW249" si="537">AV249/F249*100</f>
        <v>100</v>
      </c>
      <c r="AX249" s="359" t="s">
        <v>576</v>
      </c>
      <c r="AY249" t="s">
        <v>546</v>
      </c>
      <c r="BA249" s="361"/>
      <c r="BB249"/>
      <c r="BC249" s="361"/>
      <c r="BD249"/>
    </row>
    <row r="250" spans="2:60">
      <c r="B250" s="379">
        <v>512411</v>
      </c>
      <c r="C250" s="387" t="s">
        <v>88</v>
      </c>
      <c r="D250" s="387"/>
      <c r="E250" s="387"/>
      <c r="F250" s="388">
        <v>323949000</v>
      </c>
      <c r="G250" s="388">
        <v>323949000</v>
      </c>
      <c r="H250" s="388">
        <v>323949000</v>
      </c>
      <c r="I250" s="388">
        <f t="shared" si="518"/>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c r="AT253" s="217">
        <f>AT238+AT239+AT240+AT241+AT242+AT243+AT244+AT245+AT247</f>
        <v>1917268395</v>
      </c>
    </row>
    <row r="254" spans="2:60">
      <c r="AT254" s="217">
        <f>AT246</f>
        <v>154736000</v>
      </c>
    </row>
    <row r="255" spans="2:60">
      <c r="AB255" s="217"/>
      <c r="AT255" s="217">
        <f>AT248</f>
        <v>1687913431</v>
      </c>
    </row>
    <row r="257" spans="4:6">
      <c r="D257" s="215"/>
      <c r="E257" s="215"/>
      <c r="F257" s="215"/>
    </row>
    <row r="258" spans="4:6">
      <c r="D258" s="215"/>
      <c r="E258" s="215"/>
      <c r="F258" s="215"/>
    </row>
    <row r="259" spans="4:6">
      <c r="D259" s="215"/>
      <c r="E259" s="215"/>
      <c r="F259" s="215"/>
    </row>
    <row r="260" spans="4:6">
      <c r="D260" s="215"/>
      <c r="E260" s="215"/>
      <c r="F260" s="215"/>
    </row>
    <row r="261" spans="4:6">
      <c r="D261" s="215"/>
      <c r="E261" s="215"/>
      <c r="F261" s="215"/>
    </row>
    <row r="262" spans="4:6">
      <c r="D262" s="215"/>
      <c r="E262" s="215"/>
      <c r="F262" s="215"/>
    </row>
    <row r="263" spans="4:6">
      <c r="D263" s="215"/>
      <c r="E263" s="215"/>
      <c r="F263" s="215"/>
    </row>
    <row r="264" spans="4:6">
      <c r="D264" s="215"/>
      <c r="E264" s="215"/>
      <c r="F264" s="215"/>
    </row>
    <row r="265" spans="4:6">
      <c r="D265" s="215"/>
      <c r="E265" s="215"/>
      <c r="F265" s="215"/>
    </row>
    <row r="266" spans="4:6">
      <c r="D266" s="215"/>
      <c r="E266" s="215"/>
      <c r="F266" s="215"/>
    </row>
    <row r="267" spans="4:6">
      <c r="D267" s="215"/>
      <c r="E267" s="215"/>
      <c r="F267" s="215"/>
    </row>
  </sheetData>
  <autoFilter ref="B4:BK231" xr:uid="{B070A0AF-EFE7-4050-AFDE-970D0A0520C8}"/>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569" priority="7">
      <formula>ROW()=CELL("ROW")</formula>
    </cfRule>
  </conditionalFormatting>
  <conditionalFormatting sqref="AS236:AS237">
    <cfRule type="expression" dxfId="568" priority="5">
      <formula>ROW()=CELL("ROW")</formula>
    </cfRule>
  </conditionalFormatting>
  <conditionalFormatting sqref="B237:C237">
    <cfRule type="expression" dxfId="567" priority="4">
      <formula>AND($R$4="Ya",$Q$2=ROW())</formula>
    </cfRule>
  </conditionalFormatting>
  <conditionalFormatting sqref="AT238:AT248">
    <cfRule type="expression" dxfId="566" priority="3">
      <formula>ROW()=CELL("ROW")</formula>
    </cfRule>
  </conditionalFormatting>
  <conditionalFormatting sqref="AS249">
    <cfRule type="expression" dxfId="565" priority="2">
      <formula>ROW()=CELL("ROW")</formula>
    </cfRule>
  </conditionalFormatting>
  <conditionalFormatting sqref="B249:C249">
    <cfRule type="expression" dxfId="56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c r="A3" s="334" t="s">
        <v>4021</v>
      </c>
      <c r="B3" s="215" t="s">
        <v>5412</v>
      </c>
      <c r="D3" t="s">
        <v>5417</v>
      </c>
      <c r="E3" s="215" t="s">
        <v>5418</v>
      </c>
    </row>
    <row r="4" spans="1:9">
      <c r="A4" s="216" t="s">
        <v>424</v>
      </c>
      <c r="B4" s="215">
        <v>19875000</v>
      </c>
      <c r="D4" t="s">
        <v>424</v>
      </c>
      <c r="E4" s="215">
        <f>_xlfn.XLOOKUP(Table6[[#This Row],[Column1]],$A$4:$A$122,$B$4:$B$122,0,0,1)</f>
        <v>19875000</v>
      </c>
      <c r="G4" t="b">
        <f>A4=Table6[[#This Row],[Column1]]</f>
        <v>1</v>
      </c>
      <c r="H4" s="215">
        <v>19875000</v>
      </c>
      <c r="I4" s="217">
        <f>B4-H4</f>
        <v>0</v>
      </c>
    </row>
    <row r="5" spans="1:9">
      <c r="A5" s="216" t="s">
        <v>772</v>
      </c>
      <c r="B5" s="215">
        <v>20000000</v>
      </c>
      <c r="D5" t="s">
        <v>772</v>
      </c>
      <c r="E5" s="215">
        <f>_xlfn.XLOOKUP(Table6[[#This Row],[Column1]],$A$4:$A$122,$B$4:$B$122,0,0,1)</f>
        <v>20000000</v>
      </c>
      <c r="G5" t="b">
        <f>A5=Table6[[#This Row],[Column1]]</f>
        <v>1</v>
      </c>
      <c r="H5" s="215">
        <v>20000000</v>
      </c>
      <c r="I5" s="217">
        <f t="shared" ref="I5:I65" si="0">B5-H5</f>
        <v>0</v>
      </c>
    </row>
    <row r="6" spans="1:9">
      <c r="A6" s="216" t="s">
        <v>429</v>
      </c>
      <c r="B6" s="215">
        <v>43260000</v>
      </c>
      <c r="D6" t="s">
        <v>429</v>
      </c>
      <c r="E6" s="215">
        <f>_xlfn.XLOOKUP(Table6[[#This Row],[Column1]],$A$4:$A$122,$B$4:$B$122,0,0,1)</f>
        <v>43260000</v>
      </c>
      <c r="G6" t="b">
        <f>A6=Table6[[#This Row],[Column1]]</f>
        <v>1</v>
      </c>
      <c r="H6" s="215">
        <v>43260000</v>
      </c>
      <c r="I6" s="217">
        <f t="shared" si="0"/>
        <v>0</v>
      </c>
    </row>
    <row r="7" spans="1:9">
      <c r="A7" s="216" t="s">
        <v>432</v>
      </c>
      <c r="B7" s="215">
        <v>19500000</v>
      </c>
      <c r="D7" t="s">
        <v>432</v>
      </c>
      <c r="E7" s="215">
        <f>_xlfn.XLOOKUP(Table6[[#This Row],[Column1]],$A$4:$A$122,$B$4:$B$122,0,0,1)</f>
        <v>19500000</v>
      </c>
      <c r="G7" t="b">
        <f>A7=Table6[[#This Row],[Column1]]</f>
        <v>1</v>
      </c>
      <c r="H7" s="215">
        <v>19500000</v>
      </c>
      <c r="I7" s="217">
        <f t="shared" si="0"/>
        <v>0</v>
      </c>
    </row>
    <row r="8" spans="1:9">
      <c r="A8" s="216" t="s">
        <v>777</v>
      </c>
      <c r="B8" s="215">
        <v>4000000</v>
      </c>
      <c r="D8" t="s">
        <v>777</v>
      </c>
      <c r="E8" s="215">
        <f>_xlfn.XLOOKUP(Table6[[#This Row],[Column1]],$A$4:$A$122,$B$4:$B$122,0,0,1)</f>
        <v>4000000</v>
      </c>
      <c r="G8" t="b">
        <f>A8=Table6[[#This Row],[Column1]]</f>
        <v>1</v>
      </c>
      <c r="H8" s="215">
        <v>4000000</v>
      </c>
      <c r="I8" s="217">
        <f t="shared" si="0"/>
        <v>0</v>
      </c>
    </row>
    <row r="9" spans="1:9">
      <c r="A9" s="216" t="s">
        <v>437</v>
      </c>
      <c r="B9" s="215">
        <v>17465000</v>
      </c>
      <c r="D9" t="s">
        <v>437</v>
      </c>
      <c r="E9" s="215">
        <f>_xlfn.XLOOKUP(Table6[[#This Row],[Column1]],$A$4:$A$122,$B$4:$B$122,0,0,1)</f>
        <v>17465000</v>
      </c>
      <c r="G9" t="b">
        <f>A9=Table6[[#This Row],[Column1]]</f>
        <v>1</v>
      </c>
      <c r="H9" s="215">
        <v>17465000</v>
      </c>
      <c r="I9" s="217">
        <f t="shared" si="0"/>
        <v>0</v>
      </c>
    </row>
    <row r="10" spans="1:9">
      <c r="A10" s="216" t="s">
        <v>441</v>
      </c>
      <c r="B10" s="215">
        <v>21250000</v>
      </c>
      <c r="D10" t="s">
        <v>441</v>
      </c>
      <c r="E10" s="215">
        <f>_xlfn.XLOOKUP(Table6[[#This Row],[Column1]],$A$4:$A$122,$B$4:$B$122,0,0,1)</f>
        <v>21250000</v>
      </c>
      <c r="G10" t="b">
        <f>A10=Table6[[#This Row],[Column1]]</f>
        <v>1</v>
      </c>
      <c r="H10" s="215">
        <v>21250000</v>
      </c>
      <c r="I10" s="217">
        <f t="shared" si="0"/>
        <v>0</v>
      </c>
    </row>
    <row r="11" spans="1:9">
      <c r="A11" s="216" t="s">
        <v>448</v>
      </c>
      <c r="B11" s="215">
        <v>33250000</v>
      </c>
      <c r="D11" t="s">
        <v>448</v>
      </c>
      <c r="E11" s="215">
        <f>_xlfn.XLOOKUP(Table6[[#This Row],[Column1]],$A$4:$A$122,$B$4:$B$122,0,0,1)</f>
        <v>33250000</v>
      </c>
      <c r="G11" t="b">
        <f>A11=Table6[[#This Row],[Column1]]</f>
        <v>1</v>
      </c>
      <c r="H11" s="215">
        <v>33250000</v>
      </c>
      <c r="I11" s="217">
        <f t="shared" si="0"/>
        <v>0</v>
      </c>
    </row>
    <row r="12" spans="1:9">
      <c r="A12" s="216" t="s">
        <v>452</v>
      </c>
      <c r="B12" s="215">
        <v>64900000</v>
      </c>
      <c r="D12" t="s">
        <v>452</v>
      </c>
      <c r="E12" s="215">
        <f>_xlfn.XLOOKUP(Table6[[#This Row],[Column1]],$A$4:$A$122,$B$4:$B$122,0,0,1)</f>
        <v>64900000</v>
      </c>
      <c r="G12" t="b">
        <f>A12=Table6[[#This Row],[Column1]]</f>
        <v>1</v>
      </c>
      <c r="H12" s="215">
        <v>64900000</v>
      </c>
      <c r="I12" s="217">
        <f t="shared" si="0"/>
        <v>0</v>
      </c>
    </row>
    <row r="13" spans="1:9">
      <c r="A13" s="216" t="s">
        <v>455</v>
      </c>
      <c r="B13" s="215">
        <v>6000000</v>
      </c>
      <c r="D13" t="s">
        <v>455</v>
      </c>
      <c r="E13" s="215">
        <f>_xlfn.XLOOKUP(Table6[[#This Row],[Column1]],$A$4:$A$122,$B$4:$B$122,0,0,1)</f>
        <v>6000000</v>
      </c>
      <c r="G13" t="b">
        <f>A13=Table6[[#This Row],[Column1]]</f>
        <v>1</v>
      </c>
      <c r="H13" s="215">
        <v>6000000</v>
      </c>
      <c r="I13" s="217">
        <f t="shared" si="0"/>
        <v>0</v>
      </c>
    </row>
    <row r="14" spans="1:9">
      <c r="A14" s="216" t="s">
        <v>458</v>
      </c>
      <c r="B14" s="215">
        <v>30000000</v>
      </c>
      <c r="D14" t="s">
        <v>458</v>
      </c>
      <c r="E14" s="215">
        <f>_xlfn.XLOOKUP(Table6[[#This Row],[Column1]],$A$4:$A$122,$B$4:$B$122,0,0,1)</f>
        <v>30000000</v>
      </c>
      <c r="G14" t="b">
        <f>A14=Table6[[#This Row],[Column1]]</f>
        <v>1</v>
      </c>
      <c r="H14" s="215">
        <v>30000000</v>
      </c>
      <c r="I14" s="217">
        <f t="shared" si="0"/>
        <v>0</v>
      </c>
    </row>
    <row r="15" spans="1:9">
      <c r="A15" s="216" t="s">
        <v>461</v>
      </c>
      <c r="B15" s="215">
        <v>25200000</v>
      </c>
      <c r="D15" t="s">
        <v>461</v>
      </c>
      <c r="E15" s="215">
        <f>_xlfn.XLOOKUP(Table6[[#This Row],[Column1]],$A$4:$A$122,$B$4:$B$122,0,0,1)</f>
        <v>25200000</v>
      </c>
      <c r="G15" t="b">
        <f>A15=Table6[[#This Row],[Column1]]</f>
        <v>1</v>
      </c>
      <c r="H15" s="215">
        <v>25200000</v>
      </c>
      <c r="I15" s="217">
        <f t="shared" si="0"/>
        <v>0</v>
      </c>
    </row>
    <row r="16" spans="1:9">
      <c r="A16" s="216" t="s">
        <v>463</v>
      </c>
      <c r="B16" s="215">
        <v>6000000</v>
      </c>
      <c r="D16" t="s">
        <v>463</v>
      </c>
      <c r="E16" s="215">
        <f>_xlfn.XLOOKUP(Table6[[#This Row],[Column1]],$A$4:$A$122,$B$4:$B$122,0,0,1)</f>
        <v>6000000</v>
      </c>
      <c r="G16" t="b">
        <f>A16=Table6[[#This Row],[Column1]]</f>
        <v>1</v>
      </c>
      <c r="H16" s="215">
        <v>6000000</v>
      </c>
      <c r="I16" s="217">
        <f t="shared" si="0"/>
        <v>0</v>
      </c>
    </row>
    <row r="17" spans="1:9">
      <c r="A17" s="216" t="s">
        <v>465</v>
      </c>
      <c r="B17" s="215">
        <v>253324000</v>
      </c>
      <c r="D17" t="s">
        <v>465</v>
      </c>
      <c r="E17" s="215">
        <f>_xlfn.XLOOKUP(Table6[[#This Row],[Column1]],$A$4:$A$122,$B$4:$B$122,0,0,1)</f>
        <v>253324000</v>
      </c>
      <c r="G17" t="b">
        <f>A17=Table6[[#This Row],[Column1]]</f>
        <v>1</v>
      </c>
      <c r="H17" s="215">
        <v>253324000</v>
      </c>
      <c r="I17" s="217">
        <f t="shared" si="0"/>
        <v>0</v>
      </c>
    </row>
    <row r="18" spans="1:9">
      <c r="A18" s="216" t="s">
        <v>467</v>
      </c>
      <c r="B18" s="215">
        <v>1500000</v>
      </c>
      <c r="D18" t="s">
        <v>467</v>
      </c>
      <c r="E18" s="215">
        <f>_xlfn.XLOOKUP(Table6[[#This Row],[Column1]],$A$4:$A$122,$B$4:$B$122,0,0,1)</f>
        <v>1500000</v>
      </c>
      <c r="G18" t="b">
        <f>A18=Table6[[#This Row],[Column1]]</f>
        <v>1</v>
      </c>
      <c r="H18" s="215">
        <v>1500000</v>
      </c>
      <c r="I18" s="217">
        <f t="shared" si="0"/>
        <v>0</v>
      </c>
    </row>
    <row r="19" spans="1:9">
      <c r="A19" s="216" t="s">
        <v>470</v>
      </c>
      <c r="B19" s="215">
        <v>71456000</v>
      </c>
      <c r="D19" t="s">
        <v>470</v>
      </c>
      <c r="E19" s="215">
        <f>_xlfn.XLOOKUP(Table6[[#This Row],[Column1]],$A$4:$A$122,$B$4:$B$122,0,0,1)</f>
        <v>71456000</v>
      </c>
      <c r="G19" t="b">
        <f>A19=Table6[[#This Row],[Column1]]</f>
        <v>1</v>
      </c>
      <c r="H19" s="215">
        <v>71456000</v>
      </c>
      <c r="I19" s="217">
        <f t="shared" si="0"/>
        <v>0</v>
      </c>
    </row>
    <row r="20" spans="1:9">
      <c r="A20" s="216" t="s">
        <v>473</v>
      </c>
      <c r="B20" s="215">
        <v>5000000</v>
      </c>
      <c r="D20" t="s">
        <v>473</v>
      </c>
      <c r="E20" s="215">
        <f>_xlfn.XLOOKUP(Table6[[#This Row],[Column1]],$A$4:$A$122,$B$4:$B$122,0,0,1)</f>
        <v>5000000</v>
      </c>
      <c r="G20" t="b">
        <f>A20=Table6[[#This Row],[Column1]]</f>
        <v>1</v>
      </c>
      <c r="H20" s="215">
        <v>5000000</v>
      </c>
      <c r="I20" s="217">
        <f t="shared" si="0"/>
        <v>0</v>
      </c>
    </row>
    <row r="21" spans="1:9">
      <c r="A21" s="216" t="s">
        <v>475</v>
      </c>
      <c r="B21" s="215">
        <v>15000000</v>
      </c>
      <c r="D21" t="s">
        <v>475</v>
      </c>
      <c r="E21" s="215">
        <f>_xlfn.XLOOKUP(Table6[[#This Row],[Column1]],$A$4:$A$122,$B$4:$B$122,0,0,1)</f>
        <v>15000000</v>
      </c>
      <c r="G21" t="b">
        <f>A21=Table6[[#This Row],[Column1]]</f>
        <v>1</v>
      </c>
      <c r="H21" s="215">
        <v>15000000</v>
      </c>
      <c r="I21" s="217">
        <f t="shared" si="0"/>
        <v>0</v>
      </c>
    </row>
    <row r="22" spans="1:9">
      <c r="A22" s="216" t="s">
        <v>478</v>
      </c>
      <c r="B22" s="215">
        <v>16200000</v>
      </c>
      <c r="D22" t="s">
        <v>478</v>
      </c>
      <c r="E22" s="215">
        <f>_xlfn.XLOOKUP(Table6[[#This Row],[Column1]],$A$4:$A$122,$B$4:$B$122,0,0,1)</f>
        <v>16200000</v>
      </c>
      <c r="G22" t="b">
        <f>A22=Table6[[#This Row],[Column1]]</f>
        <v>1</v>
      </c>
      <c r="H22" s="215">
        <v>16200000</v>
      </c>
      <c r="I22" s="217">
        <f t="shared" si="0"/>
        <v>0</v>
      </c>
    </row>
    <row r="23" spans="1:9">
      <c r="A23" s="216" t="s">
        <v>480</v>
      </c>
      <c r="B23" s="215">
        <v>2000000</v>
      </c>
      <c r="D23" t="s">
        <v>480</v>
      </c>
      <c r="E23" s="215">
        <f>_xlfn.XLOOKUP(Table6[[#This Row],[Column1]],$A$4:$A$122,$B$4:$B$122,0,0,1)</f>
        <v>2000000</v>
      </c>
      <c r="G23" t="b">
        <f>A23=Table6[[#This Row],[Column1]]</f>
        <v>1</v>
      </c>
      <c r="H23" s="215">
        <v>2000000</v>
      </c>
      <c r="I23" s="217">
        <f t="shared" si="0"/>
        <v>0</v>
      </c>
    </row>
    <row r="24" spans="1:9">
      <c r="A24" s="216" t="s">
        <v>482</v>
      </c>
      <c r="B24" s="215">
        <v>138160000</v>
      </c>
      <c r="D24" t="s">
        <v>482</v>
      </c>
      <c r="E24" s="215">
        <f>_xlfn.XLOOKUP(Table6[[#This Row],[Column1]],$A$4:$A$122,$B$4:$B$122,0,0,1)</f>
        <v>138160000</v>
      </c>
      <c r="G24" t="b">
        <f>A24=Table6[[#This Row],[Column1]]</f>
        <v>1</v>
      </c>
      <c r="H24" s="215">
        <v>138160000</v>
      </c>
      <c r="I24" s="217">
        <f t="shared" si="0"/>
        <v>0</v>
      </c>
    </row>
    <row r="25" spans="1:9">
      <c r="A25" s="216" t="s">
        <v>796</v>
      </c>
      <c r="B25" s="215">
        <v>20830000</v>
      </c>
      <c r="D25" t="s">
        <v>796</v>
      </c>
      <c r="E25" s="215">
        <f>_xlfn.XLOOKUP(Table6[[#This Row],[Column1]],$A$4:$A$122,$B$4:$B$122,0,0,1)</f>
        <v>20830000</v>
      </c>
      <c r="G25" t="b">
        <f>A25=Table6[[#This Row],[Column1]]</f>
        <v>1</v>
      </c>
      <c r="H25" s="215">
        <v>20830000</v>
      </c>
      <c r="I25" s="217">
        <f t="shared" si="0"/>
        <v>0</v>
      </c>
    </row>
    <row r="26" spans="1:9">
      <c r="A26" s="216" t="s">
        <v>801</v>
      </c>
      <c r="B26" s="215">
        <v>500000</v>
      </c>
      <c r="D26" t="s">
        <v>801</v>
      </c>
      <c r="E26" s="215">
        <f>_xlfn.XLOOKUP(Table6[[#This Row],[Column1]],$A$4:$A$122,$B$4:$B$122,0,0,1)</f>
        <v>500000</v>
      </c>
      <c r="G26" t="b">
        <f>A26=Table6[[#This Row],[Column1]]</f>
        <v>1</v>
      </c>
      <c r="H26" s="215">
        <v>500000</v>
      </c>
      <c r="I26" s="217">
        <f t="shared" si="0"/>
        <v>0</v>
      </c>
    </row>
    <row r="27" spans="1:9">
      <c r="A27" s="216" t="s">
        <v>803</v>
      </c>
      <c r="B27" s="215">
        <v>7200000</v>
      </c>
      <c r="D27" t="s">
        <v>803</v>
      </c>
      <c r="E27" s="215">
        <f>_xlfn.XLOOKUP(Table6[[#This Row],[Column1]],$A$4:$A$122,$B$4:$B$122,0,0,1)</f>
        <v>7200000</v>
      </c>
      <c r="G27" t="b">
        <f>A27=Table6[[#This Row],[Column1]]</f>
        <v>1</v>
      </c>
      <c r="H27" s="215">
        <v>7200000</v>
      </c>
      <c r="I27" s="217">
        <f t="shared" si="0"/>
        <v>0</v>
      </c>
    </row>
    <row r="28" spans="1:9">
      <c r="A28" s="216" t="s">
        <v>805</v>
      </c>
      <c r="B28" s="215">
        <v>23030000</v>
      </c>
      <c r="D28" t="s">
        <v>805</v>
      </c>
      <c r="E28" s="215">
        <f>_xlfn.XLOOKUP(Table6[[#This Row],[Column1]],$A$4:$A$122,$B$4:$B$122,0,0,1)</f>
        <v>23030000</v>
      </c>
      <c r="G28" t="b">
        <f>A28=Table6[[#This Row],[Column1]]</f>
        <v>1</v>
      </c>
      <c r="H28" s="215">
        <v>23030000</v>
      </c>
      <c r="I28" s="217">
        <f t="shared" si="0"/>
        <v>0</v>
      </c>
    </row>
    <row r="29" spans="1:9">
      <c r="A29" s="216" t="s">
        <v>486</v>
      </c>
      <c r="B29" s="215">
        <v>13900000</v>
      </c>
      <c r="D29" t="s">
        <v>486</v>
      </c>
      <c r="E29" s="215">
        <f>_xlfn.XLOOKUP(Table6[[#This Row],[Column1]],$A$4:$A$122,$B$4:$B$122,0,0,1)</f>
        <v>13900000</v>
      </c>
      <c r="G29" t="b">
        <f>A29=Table6[[#This Row],[Column1]]</f>
        <v>1</v>
      </c>
      <c r="H29" s="215">
        <v>13900000</v>
      </c>
      <c r="I29" s="217">
        <f t="shared" si="0"/>
        <v>0</v>
      </c>
    </row>
    <row r="30" spans="1:9">
      <c r="A30" s="216" t="s">
        <v>490</v>
      </c>
      <c r="B30" s="215">
        <v>8784000</v>
      </c>
      <c r="D30" t="s">
        <v>490</v>
      </c>
      <c r="E30" s="215">
        <f>_xlfn.XLOOKUP(Table6[[#This Row],[Column1]],$A$4:$A$122,$B$4:$B$122,0,0,1)</f>
        <v>8784000</v>
      </c>
      <c r="G30" t="b">
        <f>A30=Table6[[#This Row],[Column1]]</f>
        <v>1</v>
      </c>
      <c r="H30" s="215">
        <v>8784000</v>
      </c>
      <c r="I30" s="217">
        <f t="shared" si="0"/>
        <v>0</v>
      </c>
    </row>
    <row r="31" spans="1:9">
      <c r="A31" s="216" t="s">
        <v>492</v>
      </c>
      <c r="B31" s="215">
        <v>10000000</v>
      </c>
      <c r="D31" t="s">
        <v>492</v>
      </c>
      <c r="E31" s="215">
        <f>_xlfn.XLOOKUP(Table6[[#This Row],[Column1]],$A$4:$A$122,$B$4:$B$122,0,0,1)</f>
        <v>10000000</v>
      </c>
      <c r="G31" t="b">
        <f>A31=Table6[[#This Row],[Column1]]</f>
        <v>1</v>
      </c>
      <c r="H31" s="215">
        <v>10000000</v>
      </c>
      <c r="I31" s="217">
        <f t="shared" si="0"/>
        <v>0</v>
      </c>
    </row>
    <row r="32" spans="1:9">
      <c r="A32" s="216" t="s">
        <v>813</v>
      </c>
      <c r="B32" s="215">
        <v>5000000</v>
      </c>
      <c r="D32" t="s">
        <v>813</v>
      </c>
      <c r="E32" s="215">
        <f>_xlfn.XLOOKUP(Table6[[#This Row],[Column1]],$A$4:$A$122,$B$4:$B$122,0,0,1)</f>
        <v>5000000</v>
      </c>
      <c r="G32" t="b">
        <f>A32=Table6[[#This Row],[Column1]]</f>
        <v>1</v>
      </c>
      <c r="H32" s="215">
        <v>5000000</v>
      </c>
      <c r="I32" s="217">
        <f t="shared" si="0"/>
        <v>0</v>
      </c>
    </row>
    <row r="33" spans="1:9">
      <c r="A33" s="216" t="s">
        <v>816</v>
      </c>
      <c r="B33" s="215">
        <v>97416000</v>
      </c>
      <c r="D33" t="s">
        <v>816</v>
      </c>
      <c r="E33" s="215">
        <f>_xlfn.XLOOKUP(Table6[[#This Row],[Column1]],$A$4:$A$122,$B$4:$B$122,0,0,1)</f>
        <v>97416000</v>
      </c>
      <c r="G33" t="b">
        <f>A33=Table6[[#This Row],[Column1]]</f>
        <v>1</v>
      </c>
      <c r="H33" s="215">
        <v>97416000</v>
      </c>
      <c r="I33" s="217">
        <f t="shared" si="0"/>
        <v>0</v>
      </c>
    </row>
    <row r="34" spans="1:9">
      <c r="A34" s="216" t="s">
        <v>837</v>
      </c>
      <c r="B34" s="215">
        <v>114200000</v>
      </c>
      <c r="D34" t="s">
        <v>837</v>
      </c>
      <c r="E34" s="215">
        <f>_xlfn.XLOOKUP(Table6[[#This Row],[Column1]],$A$4:$A$122,$B$4:$B$122,0,0,1)</f>
        <v>114200000</v>
      </c>
      <c r="G34" t="b">
        <f>A34=Table6[[#This Row],[Column1]]</f>
        <v>1</v>
      </c>
      <c r="H34" s="215">
        <v>114200000</v>
      </c>
      <c r="I34" s="217">
        <f t="shared" si="0"/>
        <v>0</v>
      </c>
    </row>
    <row r="35" spans="1:9">
      <c r="A35" s="216" t="s">
        <v>1188</v>
      </c>
      <c r="B35" s="215">
        <v>12400000</v>
      </c>
      <c r="D35" t="s">
        <v>1188</v>
      </c>
      <c r="E35" s="215">
        <f>_xlfn.XLOOKUP(Table6[[#This Row],[Column1]],$A$4:$A$122,$B$4:$B$122,0,0,1)</f>
        <v>12400000</v>
      </c>
      <c r="G35" t="b">
        <f>A35=Table6[[#This Row],[Column1]]</f>
        <v>1</v>
      </c>
      <c r="H35" s="215">
        <v>12400000</v>
      </c>
      <c r="I35" s="217">
        <f t="shared" si="0"/>
        <v>0</v>
      </c>
    </row>
    <row r="36" spans="1:9">
      <c r="A36" s="216" t="s">
        <v>1194</v>
      </c>
      <c r="B36" s="215">
        <v>10000000</v>
      </c>
      <c r="D36" t="s">
        <v>1191</v>
      </c>
      <c r="E36" s="215">
        <f>_xlfn.XLOOKUP(Table6[[#This Row],[Column1]],$A$4:$A$122,$B$4:$B$122,0,0,1)</f>
        <v>0</v>
      </c>
      <c r="G36" t="b">
        <f>A36=Table6[[#This Row],[Column1]]</f>
        <v>0</v>
      </c>
      <c r="H36" s="215">
        <v>10000000</v>
      </c>
      <c r="I36" s="217">
        <f t="shared" si="0"/>
        <v>0</v>
      </c>
    </row>
    <row r="37" spans="1:9">
      <c r="A37" s="216" t="s">
        <v>1200</v>
      </c>
      <c r="B37" s="215">
        <v>90946000</v>
      </c>
      <c r="D37" t="s">
        <v>1194</v>
      </c>
      <c r="E37" s="215">
        <f>_xlfn.XLOOKUP(Table6[[#This Row],[Column1]],$A$4:$A$122,$B$4:$B$122,0,0,1)</f>
        <v>10000000</v>
      </c>
      <c r="G37" t="b">
        <f>A37=Table6[[#This Row],[Column1]]</f>
        <v>0</v>
      </c>
      <c r="H37" s="215">
        <v>90946000</v>
      </c>
      <c r="I37" s="217">
        <f t="shared" si="0"/>
        <v>0</v>
      </c>
    </row>
    <row r="38" spans="1:9">
      <c r="A38" s="216" t="s">
        <v>1391</v>
      </c>
      <c r="B38" s="215">
        <v>5000000</v>
      </c>
      <c r="D38" t="s">
        <v>1198</v>
      </c>
      <c r="E38" s="215">
        <f>_xlfn.XLOOKUP(Table6[[#This Row],[Column1]],$A$4:$A$122,$B$4:$B$122,0,0,1)</f>
        <v>0</v>
      </c>
      <c r="G38" t="b">
        <f>A38=Table6[[#This Row],[Column1]]</f>
        <v>0</v>
      </c>
      <c r="H38" s="215">
        <v>5000000</v>
      </c>
      <c r="I38" s="217">
        <f t="shared" si="0"/>
        <v>0</v>
      </c>
    </row>
    <row r="39" spans="1:9">
      <c r="A39" s="216" t="s">
        <v>1397</v>
      </c>
      <c r="B39" s="215">
        <v>12989000</v>
      </c>
      <c r="D39" t="s">
        <v>1200</v>
      </c>
      <c r="E39" s="215">
        <f>_xlfn.XLOOKUP(Table6[[#This Row],[Column1]],$A$4:$A$122,$B$4:$B$122,0,0,1)</f>
        <v>90946000</v>
      </c>
      <c r="G39" t="b">
        <f>A39=Table6[[#This Row],[Column1]]</f>
        <v>0</v>
      </c>
      <c r="H39" s="215">
        <v>12989000</v>
      </c>
      <c r="I39" s="217">
        <f t="shared" si="0"/>
        <v>0</v>
      </c>
    </row>
    <row r="40" spans="1:9">
      <c r="A40" s="216" t="s">
        <v>1400</v>
      </c>
      <c r="B40" s="215">
        <v>750000</v>
      </c>
      <c r="D40" t="s">
        <v>1391</v>
      </c>
      <c r="E40" s="215">
        <f>_xlfn.XLOOKUP(Table6[[#This Row],[Column1]],$A$4:$A$122,$B$4:$B$122,0,0,1)</f>
        <v>5000000</v>
      </c>
      <c r="G40" t="b">
        <f>A40=Table6[[#This Row],[Column1]]</f>
        <v>0</v>
      </c>
      <c r="H40" s="215">
        <v>750000</v>
      </c>
      <c r="I40" s="217">
        <f t="shared" si="0"/>
        <v>0</v>
      </c>
    </row>
    <row r="41" spans="1:9">
      <c r="A41" s="216" t="s">
        <v>1404</v>
      </c>
      <c r="B41" s="215">
        <v>10000000</v>
      </c>
      <c r="D41" t="s">
        <v>1397</v>
      </c>
      <c r="E41" s="215">
        <f>_xlfn.XLOOKUP(Table6[[#This Row],[Column1]],$A$4:$A$122,$B$4:$B$122,0,0,1)</f>
        <v>12989000</v>
      </c>
      <c r="G41" t="b">
        <f>A41=Table6[[#This Row],[Column1]]</f>
        <v>0</v>
      </c>
      <c r="H41" s="215">
        <v>10000000</v>
      </c>
      <c r="I41" s="217">
        <f t="shared" si="0"/>
        <v>0</v>
      </c>
    </row>
    <row r="42" spans="1:9">
      <c r="A42" s="216" t="s">
        <v>1409</v>
      </c>
      <c r="B42" s="215">
        <v>2031000</v>
      </c>
      <c r="D42" t="s">
        <v>1400</v>
      </c>
      <c r="E42" s="215">
        <f>_xlfn.XLOOKUP(Table6[[#This Row],[Column1]],$A$4:$A$122,$B$4:$B$122,0,0,1)</f>
        <v>750000</v>
      </c>
      <c r="G42" t="b">
        <f>A42=Table6[[#This Row],[Column1]]</f>
        <v>0</v>
      </c>
      <c r="H42" s="215">
        <v>2031000</v>
      </c>
      <c r="I42" s="217">
        <f t="shared" si="0"/>
        <v>0</v>
      </c>
    </row>
    <row r="43" spans="1:9">
      <c r="A43" s="216" t="s">
        <v>1412</v>
      </c>
      <c r="B43" s="215">
        <v>373634000</v>
      </c>
      <c r="D43" t="s">
        <v>1404</v>
      </c>
      <c r="E43" s="215">
        <f>_xlfn.XLOOKUP(Table6[[#This Row],[Column1]],$A$4:$A$122,$B$4:$B$122,0,0,1)</f>
        <v>10000000</v>
      </c>
      <c r="G43" t="b">
        <f>A43=Table6[[#This Row],[Column1]]</f>
        <v>0</v>
      </c>
      <c r="H43" s="215">
        <v>373634000</v>
      </c>
      <c r="I43" s="217">
        <f t="shared" si="0"/>
        <v>0</v>
      </c>
    </row>
    <row r="44" spans="1:9">
      <c r="A44" s="216" t="s">
        <v>1419</v>
      </c>
      <c r="B44" s="215">
        <v>33500000</v>
      </c>
      <c r="D44" t="s">
        <v>1409</v>
      </c>
      <c r="E44" s="215">
        <f>_xlfn.XLOOKUP(Table6[[#This Row],[Column1]],$A$4:$A$122,$B$4:$B$122,0,0,1)</f>
        <v>2031000</v>
      </c>
      <c r="G44" t="b">
        <f>A44=Table6[[#This Row],[Column1]]</f>
        <v>0</v>
      </c>
      <c r="H44" s="215">
        <v>33500000</v>
      </c>
      <c r="I44" s="217">
        <f t="shared" si="0"/>
        <v>0</v>
      </c>
    </row>
    <row r="45" spans="1:9">
      <c r="A45" s="216" t="s">
        <v>1428</v>
      </c>
      <c r="B45" s="215">
        <v>3000000</v>
      </c>
      <c r="D45" t="s">
        <v>1412</v>
      </c>
      <c r="E45" s="215">
        <f>_xlfn.XLOOKUP(Table6[[#This Row],[Column1]],$A$4:$A$122,$B$4:$B$122,0,0,1)</f>
        <v>373634000</v>
      </c>
      <c r="G45" t="b">
        <f>A45=Table6[[#This Row],[Column1]]</f>
        <v>0</v>
      </c>
      <c r="H45" s="215">
        <v>3000000</v>
      </c>
      <c r="I45" s="217">
        <f t="shared" si="0"/>
        <v>0</v>
      </c>
    </row>
    <row r="46" spans="1:9">
      <c r="A46" s="216" t="s">
        <v>1431</v>
      </c>
      <c r="B46" s="215">
        <v>18000000</v>
      </c>
      <c r="D46" t="s">
        <v>1419</v>
      </c>
      <c r="E46" s="215">
        <f>_xlfn.XLOOKUP(Table6[[#This Row],[Column1]],$A$4:$A$122,$B$4:$B$122,0,0,1)</f>
        <v>33500000</v>
      </c>
      <c r="G46" t="b">
        <f>A46=Table6[[#This Row],[Column1]]</f>
        <v>0</v>
      </c>
      <c r="H46" s="215">
        <v>18000000</v>
      </c>
      <c r="I46" s="217">
        <f t="shared" si="0"/>
        <v>0</v>
      </c>
    </row>
    <row r="47" spans="1:9">
      <c r="A47" s="216" t="s">
        <v>1434</v>
      </c>
      <c r="B47" s="215">
        <v>2250000</v>
      </c>
      <c r="D47" t="s">
        <v>1428</v>
      </c>
      <c r="E47" s="215">
        <f>_xlfn.XLOOKUP(Table6[[#This Row],[Column1]],$A$4:$A$122,$B$4:$B$122,0,0,1)</f>
        <v>3000000</v>
      </c>
      <c r="G47" t="b">
        <f>A47=Table6[[#This Row],[Column1]]</f>
        <v>0</v>
      </c>
      <c r="H47" s="215">
        <v>2250000</v>
      </c>
      <c r="I47" s="217">
        <f t="shared" si="0"/>
        <v>0</v>
      </c>
    </row>
    <row r="48" spans="1:9">
      <c r="A48" s="216" t="s">
        <v>1438</v>
      </c>
      <c r="B48" s="215">
        <v>13500000</v>
      </c>
      <c r="D48" t="s">
        <v>1431</v>
      </c>
      <c r="E48" s="215">
        <f>_xlfn.XLOOKUP(Table6[[#This Row],[Column1]],$A$4:$A$122,$B$4:$B$122,0,0,1)</f>
        <v>18000000</v>
      </c>
      <c r="G48" t="b">
        <f>A48=Table6[[#This Row],[Column1]]</f>
        <v>0</v>
      </c>
      <c r="H48" s="215">
        <v>13500000</v>
      </c>
      <c r="I48" s="217">
        <f t="shared" si="0"/>
        <v>0</v>
      </c>
    </row>
    <row r="49" spans="1:9">
      <c r="A49" s="216" t="s">
        <v>1443</v>
      </c>
      <c r="B49" s="215">
        <v>47693000</v>
      </c>
      <c r="D49" t="s">
        <v>1434</v>
      </c>
      <c r="E49" s="215">
        <f>_xlfn.XLOOKUP(Table6[[#This Row],[Column1]],$A$4:$A$122,$B$4:$B$122,0,0,1)</f>
        <v>2250000</v>
      </c>
      <c r="G49" t="b">
        <f>A49=Table6[[#This Row],[Column1]]</f>
        <v>0</v>
      </c>
      <c r="H49" s="215">
        <v>47693000</v>
      </c>
      <c r="I49" s="217">
        <f t="shared" si="0"/>
        <v>0</v>
      </c>
    </row>
    <row r="50" spans="1:9">
      <c r="A50" s="216" t="s">
        <v>1449</v>
      </c>
      <c r="B50" s="215">
        <v>38100000</v>
      </c>
      <c r="D50" t="s">
        <v>1438</v>
      </c>
      <c r="E50" s="215">
        <f>_xlfn.XLOOKUP(Table6[[#This Row],[Column1]],$A$4:$A$122,$B$4:$B$122,0,0,1)</f>
        <v>13500000</v>
      </c>
      <c r="G50" t="b">
        <f>A50=Table6[[#This Row],[Column1]]</f>
        <v>0</v>
      </c>
      <c r="H50" s="215">
        <v>38100000</v>
      </c>
      <c r="I50" s="217">
        <f t="shared" si="0"/>
        <v>0</v>
      </c>
    </row>
    <row r="51" spans="1:9">
      <c r="A51" s="216" t="s">
        <v>1455</v>
      </c>
      <c r="B51" s="215">
        <v>82534000</v>
      </c>
      <c r="D51" t="s">
        <v>1443</v>
      </c>
      <c r="E51" s="215">
        <f>_xlfn.XLOOKUP(Table6[[#This Row],[Column1]],$A$4:$A$122,$B$4:$B$122,0,0,1)</f>
        <v>47693000</v>
      </c>
      <c r="G51" t="b">
        <f>A51=Table6[[#This Row],[Column1]]</f>
        <v>0</v>
      </c>
      <c r="H51" s="215">
        <v>82534000</v>
      </c>
      <c r="I51" s="217">
        <f t="shared" si="0"/>
        <v>0</v>
      </c>
    </row>
    <row r="52" spans="1:9">
      <c r="A52" s="216" t="s">
        <v>4022</v>
      </c>
      <c r="B52" s="215">
        <v>1606000</v>
      </c>
      <c r="D52" t="s">
        <v>1446</v>
      </c>
      <c r="E52" s="215">
        <f>_xlfn.XLOOKUP(Table6[[#This Row],[Column1]],$A$4:$A$122,$B$4:$B$122,0,0,1)</f>
        <v>0</v>
      </c>
      <c r="G52" t="b">
        <f>A52=Table6[[#This Row],[Column1]]</f>
        <v>0</v>
      </c>
      <c r="H52" s="215">
        <v>1606000</v>
      </c>
      <c r="I52" s="217">
        <f t="shared" si="0"/>
        <v>0</v>
      </c>
    </row>
    <row r="53" spans="1:9">
      <c r="A53" s="216" t="s">
        <v>1462</v>
      </c>
      <c r="B53" s="215">
        <v>4246000</v>
      </c>
      <c r="D53" t="s">
        <v>1449</v>
      </c>
      <c r="E53" s="215">
        <f>_xlfn.XLOOKUP(Table6[[#This Row],[Column1]],$A$4:$A$122,$B$4:$B$122,0,0,1)</f>
        <v>38100000</v>
      </c>
      <c r="G53" t="b">
        <f>A53=Table6[[#This Row],[Column1]]</f>
        <v>0</v>
      </c>
      <c r="H53" s="215">
        <v>4246000</v>
      </c>
      <c r="I53" s="217">
        <f t="shared" si="0"/>
        <v>0</v>
      </c>
    </row>
    <row r="54" spans="1:9">
      <c r="A54" s="216" t="s">
        <v>1464</v>
      </c>
      <c r="B54" s="215">
        <v>21851000</v>
      </c>
      <c r="D54" t="s">
        <v>1455</v>
      </c>
      <c r="E54" s="215">
        <f>_xlfn.XLOOKUP(Table6[[#This Row],[Column1]],$A$4:$A$122,$B$4:$B$122,0,0,1)</f>
        <v>82534000</v>
      </c>
      <c r="G54" t="b">
        <f>A54=Table6[[#This Row],[Column1]]</f>
        <v>0</v>
      </c>
      <c r="H54" s="215">
        <v>21851000</v>
      </c>
      <c r="I54" s="217">
        <f t="shared" si="0"/>
        <v>0</v>
      </c>
    </row>
    <row r="55" spans="1:9">
      <c r="A55" s="216" t="s">
        <v>1470</v>
      </c>
      <c r="B55" s="215">
        <v>4000000</v>
      </c>
      <c r="D55" t="s">
        <v>4022</v>
      </c>
      <c r="E55" s="215">
        <f>_xlfn.XLOOKUP(Table6[[#This Row],[Column1]],$A$4:$A$122,$B$4:$B$122,0,0,1)</f>
        <v>1606000</v>
      </c>
      <c r="G55" t="b">
        <f>A55=Table6[[#This Row],[Column1]]</f>
        <v>0</v>
      </c>
      <c r="H55" s="215">
        <v>4000000</v>
      </c>
      <c r="I55" s="217">
        <f t="shared" si="0"/>
        <v>0</v>
      </c>
    </row>
    <row r="56" spans="1:9">
      <c r="A56" s="216" t="s">
        <v>1474</v>
      </c>
      <c r="B56" s="215">
        <v>4298000</v>
      </c>
      <c r="D56" t="s">
        <v>1462</v>
      </c>
      <c r="E56" s="215">
        <f>_xlfn.XLOOKUP(Table6[[#This Row],[Column1]],$A$4:$A$122,$B$4:$B$122,0,0,1)</f>
        <v>4246000</v>
      </c>
      <c r="G56" t="b">
        <f>A56=Table6[[#This Row],[Column1]]</f>
        <v>0</v>
      </c>
      <c r="H56" s="215">
        <v>4298000</v>
      </c>
      <c r="I56" s="217">
        <f t="shared" si="0"/>
        <v>0</v>
      </c>
    </row>
    <row r="57" spans="1:9">
      <c r="A57" s="216" t="s">
        <v>1487</v>
      </c>
      <c r="B57" s="215">
        <v>9059000</v>
      </c>
      <c r="D57" t="s">
        <v>1464</v>
      </c>
      <c r="E57" s="215">
        <f>_xlfn.XLOOKUP(Table6[[#This Row],[Column1]],$A$4:$A$122,$B$4:$B$122,0,0,1)</f>
        <v>21851000</v>
      </c>
      <c r="G57" t="b">
        <f>A57=Table6[[#This Row],[Column1]]</f>
        <v>0</v>
      </c>
      <c r="H57" s="215">
        <v>9059000</v>
      </c>
      <c r="I57" s="217">
        <f t="shared" si="0"/>
        <v>0</v>
      </c>
    </row>
    <row r="58" spans="1:9">
      <c r="A58" s="216" t="s">
        <v>1491</v>
      </c>
      <c r="B58" s="215">
        <v>12550000</v>
      </c>
      <c r="D58" t="s">
        <v>1467</v>
      </c>
      <c r="E58" s="215">
        <f>_xlfn.XLOOKUP(Table6[[#This Row],[Column1]],$A$4:$A$122,$B$4:$B$122,0,0,1)</f>
        <v>0</v>
      </c>
      <c r="G58" t="b">
        <f>A58=Table6[[#This Row],[Column1]]</f>
        <v>0</v>
      </c>
      <c r="H58" s="215">
        <v>12550000</v>
      </c>
      <c r="I58" s="217">
        <f t="shared" si="0"/>
        <v>0</v>
      </c>
    </row>
    <row r="59" spans="1:9">
      <c r="A59" s="216" t="s">
        <v>1496</v>
      </c>
      <c r="B59" s="215">
        <v>1192000</v>
      </c>
      <c r="D59" t="s">
        <v>1470</v>
      </c>
      <c r="E59" s="215">
        <f>_xlfn.XLOOKUP(Table6[[#This Row],[Column1]],$A$4:$A$122,$B$4:$B$122,0,0,1)</f>
        <v>4000000</v>
      </c>
      <c r="G59" t="b">
        <f>A59=Table6[[#This Row],[Column1]]</f>
        <v>0</v>
      </c>
      <c r="H59" s="215">
        <v>1192000</v>
      </c>
      <c r="I59" s="217">
        <f t="shared" si="0"/>
        <v>0</v>
      </c>
    </row>
    <row r="60" spans="1:9">
      <c r="A60" s="216" t="s">
        <v>1498</v>
      </c>
      <c r="B60" s="215">
        <v>9000000</v>
      </c>
      <c r="D60" t="s">
        <v>1474</v>
      </c>
      <c r="E60" s="215">
        <f>_xlfn.XLOOKUP(Table6[[#This Row],[Column1]],$A$4:$A$122,$B$4:$B$122,0,0,1)</f>
        <v>4298000</v>
      </c>
      <c r="G60" t="b">
        <f>A60=Table6[[#This Row],[Column1]]</f>
        <v>0</v>
      </c>
      <c r="H60" s="215">
        <v>9000000</v>
      </c>
      <c r="I60" s="217">
        <f t="shared" si="0"/>
        <v>0</v>
      </c>
    </row>
    <row r="61" spans="1:9">
      <c r="A61" s="216" t="s">
        <v>1501</v>
      </c>
      <c r="B61" s="215">
        <v>60764000</v>
      </c>
      <c r="D61" t="s">
        <v>1483</v>
      </c>
      <c r="E61" s="215">
        <f>_xlfn.XLOOKUP(Table6[[#This Row],[Column1]],$A$4:$A$122,$B$4:$B$122,0,0,1)</f>
        <v>0</v>
      </c>
      <c r="G61" t="b">
        <f>A61=Table6[[#This Row],[Column1]]</f>
        <v>0</v>
      </c>
      <c r="H61" s="215">
        <v>60764000</v>
      </c>
      <c r="I61" s="217">
        <f t="shared" si="0"/>
        <v>0</v>
      </c>
    </row>
    <row r="62" spans="1:9">
      <c r="A62" s="216" t="s">
        <v>1538</v>
      </c>
      <c r="B62" s="215">
        <v>17550000</v>
      </c>
      <c r="D62" t="s">
        <v>1485</v>
      </c>
      <c r="E62" s="215">
        <f>_xlfn.XLOOKUP(Table6[[#This Row],[Column1]],$A$4:$A$122,$B$4:$B$122,0,0,1)</f>
        <v>0</v>
      </c>
      <c r="G62" t="b">
        <f>A62=Table6[[#This Row],[Column1]]</f>
        <v>0</v>
      </c>
      <c r="H62" s="215">
        <v>17550000</v>
      </c>
      <c r="I62" s="217">
        <f t="shared" si="0"/>
        <v>0</v>
      </c>
    </row>
    <row r="63" spans="1:9">
      <c r="A63" s="216" t="s">
        <v>1549</v>
      </c>
      <c r="B63" s="215">
        <v>27651000</v>
      </c>
      <c r="D63" t="s">
        <v>1487</v>
      </c>
      <c r="E63" s="215">
        <f>_xlfn.XLOOKUP(Table6[[#This Row],[Column1]],$A$4:$A$122,$B$4:$B$122,0,0,1)</f>
        <v>9059000</v>
      </c>
      <c r="G63" t="b">
        <f>A63=Table6[[#This Row],[Column1]]</f>
        <v>0</v>
      </c>
      <c r="H63" s="215">
        <v>27651000</v>
      </c>
      <c r="I63" s="217">
        <f t="shared" si="0"/>
        <v>0</v>
      </c>
    </row>
    <row r="64" spans="1:9">
      <c r="A64" s="216" t="s">
        <v>1551</v>
      </c>
      <c r="B64" s="215">
        <v>40000000</v>
      </c>
      <c r="D64" t="s">
        <v>1491</v>
      </c>
      <c r="E64" s="215">
        <f>_xlfn.XLOOKUP(Table6[[#This Row],[Column1]],$A$4:$A$122,$B$4:$B$122,0,0,1)</f>
        <v>12550000</v>
      </c>
      <c r="G64" t="b">
        <f>A64=Table6[[#This Row],[Column1]]</f>
        <v>0</v>
      </c>
      <c r="H64" s="215">
        <v>40000000</v>
      </c>
      <c r="I64" s="217">
        <f t="shared" si="0"/>
        <v>0</v>
      </c>
    </row>
    <row r="65" spans="1:9">
      <c r="A65" s="216" t="s">
        <v>1553</v>
      </c>
      <c r="B65" s="215">
        <v>25062000</v>
      </c>
      <c r="D65" t="s">
        <v>1496</v>
      </c>
      <c r="E65" s="215">
        <f>_xlfn.XLOOKUP(Table6[[#This Row],[Column1]],$A$4:$A$122,$B$4:$B$122,0,0,1)</f>
        <v>1192000</v>
      </c>
      <c r="G65" t="b">
        <f>A65=Table6[[#This Row],[Column1]]</f>
        <v>0</v>
      </c>
      <c r="H65" s="215">
        <v>25062000</v>
      </c>
      <c r="I65" s="217">
        <f t="shared" si="0"/>
        <v>0</v>
      </c>
    </row>
    <row r="66" spans="1:9">
      <c r="A66" s="216" t="s">
        <v>2172</v>
      </c>
      <c r="B66" s="215">
        <v>1076220000</v>
      </c>
      <c r="D66" t="s">
        <v>1498</v>
      </c>
      <c r="E66" s="215">
        <f>_xlfn.XLOOKUP(Table6[[#This Row],[Column1]],$A$4:$A$122,$B$4:$B$122,0,0,1)</f>
        <v>9000000</v>
      </c>
      <c r="G66" t="b">
        <f>A66=Table6[[#This Row],[Column1]]</f>
        <v>0</v>
      </c>
      <c r="H66" s="336">
        <v>1076220000</v>
      </c>
      <c r="I66" s="217"/>
    </row>
    <row r="67" spans="1:9">
      <c r="A67" s="216" t="s">
        <v>2189</v>
      </c>
      <c r="B67" s="215">
        <v>178160000</v>
      </c>
      <c r="D67" t="s">
        <v>1501</v>
      </c>
      <c r="E67" s="215">
        <f>_xlfn.XLOOKUP(Table6[[#This Row],[Column1]],$A$4:$A$122,$B$4:$B$122,0,0,1)</f>
        <v>60764000</v>
      </c>
      <c r="G67" t="b">
        <f>A67=Table6[[#This Row],[Column1]]</f>
        <v>0</v>
      </c>
      <c r="H67" s="336">
        <v>178160000</v>
      </c>
      <c r="I67" s="217"/>
    </row>
    <row r="68" spans="1:9">
      <c r="A68" s="216" t="s">
        <v>2210</v>
      </c>
      <c r="B68" s="215">
        <v>30000000</v>
      </c>
      <c r="D68" t="s">
        <v>1506</v>
      </c>
      <c r="E68" s="215">
        <f>_xlfn.XLOOKUP(Table6[[#This Row],[Column1]],$A$4:$A$122,$B$4:$B$122,0,0,1)</f>
        <v>0</v>
      </c>
      <c r="G68" t="b">
        <f>A68=Table6[[#This Row],[Column1]]</f>
        <v>0</v>
      </c>
      <c r="H68" s="336">
        <v>30000000</v>
      </c>
      <c r="I68" s="217"/>
    </row>
    <row r="69" spans="1:9">
      <c r="A69" s="216" t="s">
        <v>2213</v>
      </c>
      <c r="B69" s="215">
        <v>118852000</v>
      </c>
      <c r="D69" t="s">
        <v>1521</v>
      </c>
      <c r="E69" s="215">
        <f>_xlfn.XLOOKUP(Table6[[#This Row],[Column1]],$A$4:$A$122,$B$4:$B$122,0,0,1)</f>
        <v>0</v>
      </c>
      <c r="G69" t="b">
        <f>A69=Table6[[#This Row],[Column1]]</f>
        <v>0</v>
      </c>
      <c r="H69" s="336">
        <v>118852000</v>
      </c>
      <c r="I69" s="217"/>
    </row>
    <row r="70" spans="1:9">
      <c r="A70" s="216" t="s">
        <v>2221</v>
      </c>
      <c r="B70" s="215">
        <v>497050000</v>
      </c>
      <c r="D70" t="s">
        <v>1526</v>
      </c>
      <c r="E70" s="215">
        <f>_xlfn.XLOOKUP(Table6[[#This Row],[Column1]],$A$4:$A$122,$B$4:$B$122,0,0,1)</f>
        <v>0</v>
      </c>
      <c r="G70" t="b">
        <f>A70=Table6[[#This Row],[Column1]]</f>
        <v>0</v>
      </c>
      <c r="H70" s="336">
        <v>497050000</v>
      </c>
      <c r="I70" s="217"/>
    </row>
    <row r="71" spans="1:9">
      <c r="A71" s="216" t="s">
        <v>2235</v>
      </c>
      <c r="B71" s="215">
        <v>36000000</v>
      </c>
      <c r="D71" t="s">
        <v>1533</v>
      </c>
      <c r="E71" s="215">
        <f>_xlfn.XLOOKUP(Table6[[#This Row],[Column1]],$A$4:$A$122,$B$4:$B$122,0,0,1)</f>
        <v>0</v>
      </c>
      <c r="G71" t="b">
        <f>A71=Table6[[#This Row],[Column1]]</f>
        <v>0</v>
      </c>
      <c r="H71" s="336">
        <v>36000000</v>
      </c>
      <c r="I71" s="217"/>
    </row>
    <row r="72" spans="1:9">
      <c r="A72" s="216" t="s">
        <v>2241</v>
      </c>
      <c r="B72" s="215">
        <v>101040000</v>
      </c>
      <c r="D72" t="s">
        <v>1538</v>
      </c>
      <c r="E72" s="215">
        <f>_xlfn.XLOOKUP(Table6[[#This Row],[Column1]],$A$4:$A$122,$B$4:$B$122,0,0,1)</f>
        <v>17550000</v>
      </c>
      <c r="G72" t="b">
        <f>A72=Table6[[#This Row],[Column1]]</f>
        <v>0</v>
      </c>
      <c r="H72" s="336">
        <v>101040000</v>
      </c>
      <c r="I72" s="217"/>
    </row>
    <row r="73" spans="1:9">
      <c r="A73" s="216" t="s">
        <v>2247</v>
      </c>
      <c r="B73" s="215">
        <v>58336000</v>
      </c>
      <c r="D73" t="s">
        <v>1549</v>
      </c>
      <c r="E73" s="215">
        <f>_xlfn.XLOOKUP(Table6[[#This Row],[Column1]],$A$4:$A$122,$B$4:$B$122,0,0,1)</f>
        <v>27651000</v>
      </c>
      <c r="G73" t="b">
        <f>A73=Table6[[#This Row],[Column1]]</f>
        <v>0</v>
      </c>
      <c r="H73" s="336">
        <v>58336000</v>
      </c>
      <c r="I73" s="217"/>
    </row>
    <row r="74" spans="1:9">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c r="A75" s="216" t="s">
        <v>2742</v>
      </c>
      <c r="B75" s="215">
        <v>6000000</v>
      </c>
      <c r="D75" t="s">
        <v>1553</v>
      </c>
      <c r="E75" s="215">
        <f>_xlfn.XLOOKUP(Table6[[#This Row],[Column1]],$A$4:$A$122,$B$4:$B$122,0,0,1)</f>
        <v>25062000</v>
      </c>
      <c r="G75" t="b">
        <f>A75=Table6[[#This Row],[Column1]]</f>
        <v>0</v>
      </c>
      <c r="H75" s="215">
        <v>6000000</v>
      </c>
      <c r="I75" s="217">
        <f t="shared" si="1"/>
        <v>0</v>
      </c>
    </row>
    <row r="76" spans="1:9">
      <c r="A76" s="216" t="s">
        <v>2747</v>
      </c>
      <c r="B76" s="215">
        <v>1000000</v>
      </c>
      <c r="D76" t="s">
        <v>5415</v>
      </c>
      <c r="E76" s="215">
        <f>_xlfn.XLOOKUP(Table6[[#This Row],[Column1]],$A$4:$A$122,$B$4:$B$122,0,0,1)</f>
        <v>0</v>
      </c>
      <c r="G76" t="b">
        <f>A76=Table6[[#This Row],[Column1]]</f>
        <v>0</v>
      </c>
      <c r="H76" s="215">
        <v>1000000</v>
      </c>
      <c r="I76" s="217">
        <f t="shared" si="1"/>
        <v>0</v>
      </c>
    </row>
    <row r="77" spans="1:9">
      <c r="A77" s="216" t="s">
        <v>2750</v>
      </c>
      <c r="B77" s="215">
        <v>10000000</v>
      </c>
      <c r="D77" t="s">
        <v>5416</v>
      </c>
      <c r="E77" s="215">
        <f>_xlfn.XLOOKUP(Table6[[#This Row],[Column1]],$A$4:$A$122,$B$4:$B$122,0,0,1)</f>
        <v>0</v>
      </c>
      <c r="G77" t="b">
        <f>A77=Table6[[#This Row],[Column1]]</f>
        <v>0</v>
      </c>
      <c r="H77" s="215">
        <v>10000000</v>
      </c>
      <c r="I77" s="217">
        <f t="shared" si="1"/>
        <v>0</v>
      </c>
    </row>
    <row r="78" spans="1:9">
      <c r="A78" s="216" t="s">
        <v>2753</v>
      </c>
      <c r="B78" s="215">
        <v>5164000</v>
      </c>
      <c r="D78" t="s">
        <v>5419</v>
      </c>
      <c r="E78" s="215">
        <f>_xlfn.XLOOKUP(Table6[[#This Row],[Column1]],$A$4:$A$122,$B$4:$B$122,0,0,1)</f>
        <v>0</v>
      </c>
      <c r="G78" t="b">
        <f>A78=Table6[[#This Row],[Column1]]</f>
        <v>0</v>
      </c>
      <c r="H78" s="215">
        <v>5164000</v>
      </c>
      <c r="I78" s="217">
        <f t="shared" si="1"/>
        <v>0</v>
      </c>
    </row>
    <row r="79" spans="1:9">
      <c r="A79" s="216" t="s">
        <v>2757</v>
      </c>
      <c r="B79" s="215">
        <v>12000000</v>
      </c>
      <c r="D79" t="s">
        <v>5420</v>
      </c>
      <c r="E79" s="215">
        <f>_xlfn.XLOOKUP(Table6[[#This Row],[Column1]],$A$4:$A$122,$B$4:$B$122,0,0,1)</f>
        <v>0</v>
      </c>
      <c r="G79" t="b">
        <f>A79=Table6[[#This Row],[Column1]]</f>
        <v>0</v>
      </c>
      <c r="H79" s="215">
        <v>12000000</v>
      </c>
      <c r="I79" s="217">
        <f t="shared" si="1"/>
        <v>0</v>
      </c>
    </row>
    <row r="80" spans="1:9">
      <c r="A80" s="216" t="s">
        <v>2761</v>
      </c>
      <c r="B80" s="215">
        <v>1000000</v>
      </c>
      <c r="D80" t="s">
        <v>5421</v>
      </c>
      <c r="E80" s="215">
        <f>_xlfn.XLOOKUP(Table6[[#This Row],[Column1]],$A$4:$A$122,$B$4:$B$122,0,0,1)</f>
        <v>0</v>
      </c>
      <c r="G80" t="b">
        <f>A80=Table6[[#This Row],[Column1]]</f>
        <v>0</v>
      </c>
      <c r="H80" s="215">
        <v>1000000</v>
      </c>
      <c r="I80" s="217">
        <f t="shared" si="1"/>
        <v>0</v>
      </c>
    </row>
    <row r="81" spans="1:9">
      <c r="A81" s="216" t="s">
        <v>2763</v>
      </c>
      <c r="B81" s="215">
        <v>20000000</v>
      </c>
      <c r="D81" t="s">
        <v>5422</v>
      </c>
      <c r="E81" s="215">
        <f>_xlfn.XLOOKUP(Table6[[#This Row],[Column1]],$A$4:$A$122,$B$4:$B$122,0,0,1)</f>
        <v>0</v>
      </c>
      <c r="G81" t="b">
        <f>A81=Table6[[#This Row],[Column1]]</f>
        <v>0</v>
      </c>
      <c r="H81" s="215">
        <v>20000000</v>
      </c>
      <c r="I81" s="217">
        <f t="shared" si="1"/>
        <v>0</v>
      </c>
    </row>
    <row r="82" spans="1:9">
      <c r="A82" s="216" t="s">
        <v>2768</v>
      </c>
      <c r="B82" s="215">
        <v>45000000</v>
      </c>
      <c r="D82" t="s">
        <v>5423</v>
      </c>
      <c r="E82" s="215">
        <f>_xlfn.XLOOKUP(Table6[[#This Row],[Column1]],$A$4:$A$122,$B$4:$B$122,0,0,1)</f>
        <v>0</v>
      </c>
      <c r="G82" t="b">
        <f>A82=Table6[[#This Row],[Column1]]</f>
        <v>0</v>
      </c>
      <c r="H82" s="215">
        <v>45000000</v>
      </c>
      <c r="I82" s="217">
        <f t="shared" si="1"/>
        <v>0</v>
      </c>
    </row>
    <row r="83" spans="1:9">
      <c r="A83" s="216" t="s">
        <v>2772</v>
      </c>
      <c r="B83" s="215">
        <v>21000000</v>
      </c>
      <c r="D83" t="s">
        <v>5424</v>
      </c>
      <c r="E83" s="215">
        <f>_xlfn.XLOOKUP(Table6[[#This Row],[Column1]],$A$4:$A$122,$B$4:$B$122,0,0,1)</f>
        <v>0</v>
      </c>
      <c r="G83" t="b">
        <f>A83=Table6[[#This Row],[Column1]]</f>
        <v>0</v>
      </c>
      <c r="H83" s="215">
        <v>21000000</v>
      </c>
      <c r="I83" s="217">
        <f t="shared" si="1"/>
        <v>0</v>
      </c>
    </row>
    <row r="84" spans="1:9">
      <c r="A84" s="216" t="s">
        <v>2776</v>
      </c>
      <c r="B84" s="215">
        <v>17500000</v>
      </c>
      <c r="D84" t="s">
        <v>5425</v>
      </c>
      <c r="E84" s="215">
        <f>_xlfn.XLOOKUP(Table6[[#This Row],[Column1]],$A$4:$A$122,$B$4:$B$122,0,0,1)</f>
        <v>0</v>
      </c>
      <c r="G84" t="b">
        <f>A84=Table6[[#This Row],[Column1]]</f>
        <v>0</v>
      </c>
      <c r="H84" s="215">
        <v>17500000</v>
      </c>
      <c r="I84" s="217">
        <f t="shared" si="1"/>
        <v>0</v>
      </c>
    </row>
    <row r="85" spans="1:9">
      <c r="A85" s="216" t="s">
        <v>2781</v>
      </c>
      <c r="B85" s="215">
        <v>41908000</v>
      </c>
      <c r="D85" t="s">
        <v>5426</v>
      </c>
      <c r="E85" s="215">
        <f>_xlfn.XLOOKUP(Table6[[#This Row],[Column1]],$A$4:$A$122,$B$4:$B$122,0,0,1)</f>
        <v>0</v>
      </c>
      <c r="G85" t="b">
        <f>A85=Table6[[#This Row],[Column1]]</f>
        <v>0</v>
      </c>
      <c r="H85" s="215">
        <v>41908000</v>
      </c>
      <c r="I85" s="217">
        <f t="shared" si="1"/>
        <v>0</v>
      </c>
    </row>
    <row r="86" spans="1:9">
      <c r="A86" s="216" t="s">
        <v>3055</v>
      </c>
      <c r="B86" s="215">
        <v>23250000</v>
      </c>
      <c r="D86" t="s">
        <v>5427</v>
      </c>
      <c r="E86" s="215">
        <f>_xlfn.XLOOKUP(Table6[[#This Row],[Column1]],$A$4:$A$122,$B$4:$B$122,0,0,1)</f>
        <v>0</v>
      </c>
      <c r="G86" t="b">
        <f>A86=Table6[[#This Row],[Column1]]</f>
        <v>0</v>
      </c>
      <c r="H86" s="215">
        <v>23250000</v>
      </c>
      <c r="I86" s="217">
        <f t="shared" si="1"/>
        <v>0</v>
      </c>
    </row>
    <row r="87" spans="1:9">
      <c r="A87" s="216" t="s">
        <v>3061</v>
      </c>
      <c r="B87" s="215">
        <v>2000000</v>
      </c>
      <c r="D87" t="s">
        <v>2293</v>
      </c>
      <c r="E87" s="215">
        <f>_xlfn.XLOOKUP(Table6[[#This Row],[Column1]],$A$4:$A$122,$B$4:$B$122,0,0,1)</f>
        <v>540000000</v>
      </c>
      <c r="G87" t="b">
        <f>A87=Table6[[#This Row],[Column1]]</f>
        <v>0</v>
      </c>
      <c r="H87" s="215">
        <v>2000000</v>
      </c>
      <c r="I87" s="217">
        <f t="shared" si="1"/>
        <v>0</v>
      </c>
    </row>
    <row r="88" spans="1:9">
      <c r="A88" s="216" t="s">
        <v>3064</v>
      </c>
      <c r="B88" s="215">
        <v>18539000</v>
      </c>
      <c r="D88" t="s">
        <v>2742</v>
      </c>
      <c r="E88" s="215">
        <f>_xlfn.XLOOKUP(Table6[[#This Row],[Column1]],$A$4:$A$122,$B$4:$B$122,0,0,1)</f>
        <v>6000000</v>
      </c>
      <c r="G88" t="b">
        <f>A88=Table6[[#This Row],[Column1]]</f>
        <v>0</v>
      </c>
      <c r="H88" s="215">
        <v>18539000</v>
      </c>
      <c r="I88" s="217">
        <f t="shared" si="1"/>
        <v>0</v>
      </c>
    </row>
    <row r="89" spans="1:9">
      <c r="A89" s="216" t="s">
        <v>3068</v>
      </c>
      <c r="B89" s="215">
        <v>13525000</v>
      </c>
      <c r="D89" t="s">
        <v>2747</v>
      </c>
      <c r="E89" s="215">
        <f>_xlfn.XLOOKUP(Table6[[#This Row],[Column1]],$A$4:$A$122,$B$4:$B$122,0,0,1)</f>
        <v>1000000</v>
      </c>
      <c r="G89" t="b">
        <f>A89=Table6[[#This Row],[Column1]]</f>
        <v>0</v>
      </c>
      <c r="H89" s="215">
        <v>13525000</v>
      </c>
      <c r="I89" s="217">
        <f t="shared" si="1"/>
        <v>0</v>
      </c>
    </row>
    <row r="90" spans="1:9">
      <c r="A90" s="216" t="s">
        <v>3077</v>
      </c>
      <c r="B90" s="215">
        <v>2000000</v>
      </c>
      <c r="D90" t="s">
        <v>2750</v>
      </c>
      <c r="E90" s="215">
        <f>_xlfn.XLOOKUP(Table6[[#This Row],[Column1]],$A$4:$A$122,$B$4:$B$122,0,0,1)</f>
        <v>10000000</v>
      </c>
      <c r="G90" t="b">
        <f>A90=Table6[[#This Row],[Column1]]</f>
        <v>0</v>
      </c>
      <c r="H90" s="215">
        <v>2000000</v>
      </c>
      <c r="I90" s="217">
        <f t="shared" si="1"/>
        <v>0</v>
      </c>
    </row>
    <row r="91" spans="1:9">
      <c r="A91" s="216" t="s">
        <v>3084</v>
      </c>
      <c r="B91" s="215">
        <v>60415000</v>
      </c>
      <c r="D91" t="s">
        <v>2753</v>
      </c>
      <c r="E91" s="215">
        <f>_xlfn.XLOOKUP(Table6[[#This Row],[Column1]],$A$4:$A$122,$B$4:$B$122,0,0,1)</f>
        <v>5164000</v>
      </c>
      <c r="G91" t="b">
        <f>A91=Table6[[#This Row],[Column1]]</f>
        <v>0</v>
      </c>
      <c r="H91" s="215">
        <v>60415000</v>
      </c>
      <c r="I91" s="217">
        <f t="shared" si="1"/>
        <v>0</v>
      </c>
    </row>
    <row r="92" spans="1:9">
      <c r="A92" s="216" t="s">
        <v>3093</v>
      </c>
      <c r="B92" s="215">
        <v>17900000</v>
      </c>
      <c r="D92" t="s">
        <v>2757</v>
      </c>
      <c r="E92" s="215">
        <f>_xlfn.XLOOKUP(Table6[[#This Row],[Column1]],$A$4:$A$122,$B$4:$B$122,0,0,1)</f>
        <v>12000000</v>
      </c>
      <c r="G92" t="b">
        <f>A92=Table6[[#This Row],[Column1]]</f>
        <v>0</v>
      </c>
      <c r="H92" s="215">
        <v>17900000</v>
      </c>
      <c r="I92" s="217">
        <f t="shared" si="1"/>
        <v>0</v>
      </c>
    </row>
    <row r="93" spans="1:9">
      <c r="A93" s="216" t="s">
        <v>3100</v>
      </c>
      <c r="B93" s="215">
        <v>2000000</v>
      </c>
      <c r="D93" t="s">
        <v>2761</v>
      </c>
      <c r="E93" s="215">
        <f>_xlfn.XLOOKUP(Table6[[#This Row],[Column1]],$A$4:$A$122,$B$4:$B$122,0,0,1)</f>
        <v>1000000</v>
      </c>
      <c r="G93" t="b">
        <f>A93=Table6[[#This Row],[Column1]]</f>
        <v>0</v>
      </c>
      <c r="H93" s="215">
        <v>2000000</v>
      </c>
      <c r="I93" s="217">
        <f t="shared" si="1"/>
        <v>0</v>
      </c>
    </row>
    <row r="94" spans="1:9">
      <c r="A94" s="216" t="s">
        <v>3102</v>
      </c>
      <c r="B94" s="215">
        <v>30169000</v>
      </c>
      <c r="D94" t="s">
        <v>2763</v>
      </c>
      <c r="E94" s="215">
        <f>_xlfn.XLOOKUP(Table6[[#This Row],[Column1]],$A$4:$A$122,$B$4:$B$122,0,0,1)</f>
        <v>20000000</v>
      </c>
      <c r="G94" t="b">
        <f>A94=Table6[[#This Row],[Column1]]</f>
        <v>0</v>
      </c>
      <c r="H94" s="215">
        <v>30169000</v>
      </c>
      <c r="I94" s="217">
        <f t="shared" si="1"/>
        <v>0</v>
      </c>
    </row>
    <row r="95" spans="1:9">
      <c r="A95" s="216" t="s">
        <v>3321</v>
      </c>
      <c r="B95" s="215">
        <v>18400000</v>
      </c>
      <c r="D95" t="s">
        <v>2766</v>
      </c>
      <c r="E95" s="215">
        <f>_xlfn.XLOOKUP(Table6[[#This Row],[Column1]],$A$4:$A$122,$B$4:$B$122,0,0,1)</f>
        <v>0</v>
      </c>
      <c r="G95" t="b">
        <f>A95=Table6[[#This Row],[Column1]]</f>
        <v>0</v>
      </c>
      <c r="H95" s="215">
        <v>18400000</v>
      </c>
      <c r="I95" s="217">
        <f t="shared" si="1"/>
        <v>0</v>
      </c>
    </row>
    <row r="96" spans="1:9">
      <c r="A96" s="216" t="s">
        <v>3326</v>
      </c>
      <c r="B96" s="215">
        <v>8702000</v>
      </c>
      <c r="D96" t="s">
        <v>2768</v>
      </c>
      <c r="E96" s="215">
        <f>_xlfn.XLOOKUP(Table6[[#This Row],[Column1]],$A$4:$A$122,$B$4:$B$122,0,0,1)</f>
        <v>45000000</v>
      </c>
      <c r="G96" t="b">
        <f>A96=Table6[[#This Row],[Column1]]</f>
        <v>0</v>
      </c>
      <c r="H96" s="215">
        <v>8702000</v>
      </c>
      <c r="I96" s="217">
        <f t="shared" si="1"/>
        <v>0</v>
      </c>
    </row>
    <row r="97" spans="1:9">
      <c r="A97" s="216" t="s">
        <v>3332</v>
      </c>
      <c r="B97" s="215">
        <v>7500000</v>
      </c>
      <c r="D97" t="s">
        <v>2772</v>
      </c>
      <c r="E97" s="215">
        <f>_xlfn.XLOOKUP(Table6[[#This Row],[Column1]],$A$4:$A$122,$B$4:$B$122,0,0,1)</f>
        <v>21000000</v>
      </c>
      <c r="G97" t="b">
        <f>A97=Table6[[#This Row],[Column1]]</f>
        <v>0</v>
      </c>
      <c r="H97" s="215">
        <v>7500000</v>
      </c>
      <c r="I97" s="217">
        <f t="shared" si="1"/>
        <v>0</v>
      </c>
    </row>
    <row r="98" spans="1:9">
      <c r="A98" s="216" t="s">
        <v>3336</v>
      </c>
      <c r="B98" s="215">
        <v>5350000</v>
      </c>
      <c r="D98" t="s">
        <v>2776</v>
      </c>
      <c r="E98" s="215">
        <f>_xlfn.XLOOKUP(Table6[[#This Row],[Column1]],$A$4:$A$122,$B$4:$B$122,0,0,1)</f>
        <v>17500000</v>
      </c>
      <c r="G98" t="b">
        <f>A98=Table6[[#This Row],[Column1]]</f>
        <v>0</v>
      </c>
      <c r="H98" s="215">
        <v>5350000</v>
      </c>
      <c r="I98" s="217">
        <f t="shared" si="1"/>
        <v>0</v>
      </c>
    </row>
    <row r="99" spans="1:9">
      <c r="A99" s="216" t="s">
        <v>3341</v>
      </c>
      <c r="B99" s="215">
        <v>7500000</v>
      </c>
      <c r="D99" t="s">
        <v>2779</v>
      </c>
      <c r="E99" s="215">
        <f>_xlfn.XLOOKUP(Table6[[#This Row],[Column1]],$A$4:$A$122,$B$4:$B$122,0,0,1)</f>
        <v>0</v>
      </c>
      <c r="G99" t="b">
        <f>A99=Table6[[#This Row],[Column1]]</f>
        <v>0</v>
      </c>
      <c r="H99" s="215">
        <v>7500000</v>
      </c>
      <c r="I99" s="217">
        <f t="shared" si="1"/>
        <v>0</v>
      </c>
    </row>
    <row r="100" spans="1:9">
      <c r="A100" s="216" t="s">
        <v>3351</v>
      </c>
      <c r="B100" s="215">
        <v>14000000</v>
      </c>
      <c r="D100" t="s">
        <v>2781</v>
      </c>
      <c r="E100" s="215">
        <f>_xlfn.XLOOKUP(Table6[[#This Row],[Column1]],$A$4:$A$122,$B$4:$B$122,0,0,1)</f>
        <v>41908000</v>
      </c>
      <c r="G100" t="b">
        <f>A100=Table6[[#This Row],[Column1]]</f>
        <v>0</v>
      </c>
      <c r="H100" s="215">
        <v>14000000</v>
      </c>
      <c r="I100" s="217">
        <f t="shared" si="1"/>
        <v>0</v>
      </c>
    </row>
    <row r="101" spans="1:9">
      <c r="A101" s="216" t="s">
        <v>3361</v>
      </c>
      <c r="B101" s="215">
        <v>20635000</v>
      </c>
      <c r="D101" t="s">
        <v>3055</v>
      </c>
      <c r="E101" s="215">
        <f>_xlfn.XLOOKUP(Table6[[#This Row],[Column1]],$A$4:$A$122,$B$4:$B$122,0,0,1)</f>
        <v>23250000</v>
      </c>
      <c r="G101" t="b">
        <f>A101=Table6[[#This Row],[Column1]]</f>
        <v>0</v>
      </c>
      <c r="H101" s="215">
        <v>20635000</v>
      </c>
      <c r="I101" s="217">
        <f t="shared" si="1"/>
        <v>0</v>
      </c>
    </row>
    <row r="102" spans="1:9">
      <c r="A102" s="216" t="s">
        <v>3368</v>
      </c>
      <c r="B102" s="215">
        <v>7500000</v>
      </c>
      <c r="D102" t="s">
        <v>3061</v>
      </c>
      <c r="E102" s="215">
        <f>_xlfn.XLOOKUP(Table6[[#This Row],[Column1]],$A$4:$A$122,$B$4:$B$122,0,0,1)</f>
        <v>2000000</v>
      </c>
      <c r="G102" t="b">
        <f>A102=Table6[[#This Row],[Column1]]</f>
        <v>0</v>
      </c>
      <c r="H102" s="215">
        <v>7500000</v>
      </c>
      <c r="I102" s="217">
        <f t="shared" si="1"/>
        <v>0</v>
      </c>
    </row>
    <row r="103" spans="1:9">
      <c r="A103" s="216" t="s">
        <v>3378</v>
      </c>
      <c r="B103" s="215">
        <v>4800000</v>
      </c>
      <c r="D103" t="s">
        <v>3064</v>
      </c>
      <c r="E103" s="215">
        <f>_xlfn.XLOOKUP(Table6[[#This Row],[Column1]],$A$4:$A$122,$B$4:$B$122,0,0,1)</f>
        <v>18539000</v>
      </c>
      <c r="G103" t="b">
        <f>A103=Table6[[#This Row],[Column1]]</f>
        <v>0</v>
      </c>
      <c r="H103" s="215">
        <v>4800000</v>
      </c>
      <c r="I103" s="217">
        <f t="shared" si="1"/>
        <v>0</v>
      </c>
    </row>
    <row r="104" spans="1:9">
      <c r="A104" s="216" t="s">
        <v>3381</v>
      </c>
      <c r="B104" s="215">
        <v>27500000</v>
      </c>
      <c r="D104" t="s">
        <v>3068</v>
      </c>
      <c r="E104" s="215">
        <f>_xlfn.XLOOKUP(Table6[[#This Row],[Column1]],$A$4:$A$122,$B$4:$B$122,0,0,1)</f>
        <v>13525000</v>
      </c>
      <c r="G104" t="b">
        <f>A104=Table6[[#This Row],[Column1]]</f>
        <v>0</v>
      </c>
      <c r="H104" s="215">
        <v>27500000</v>
      </c>
      <c r="I104" s="217">
        <f t="shared" si="1"/>
        <v>0</v>
      </c>
    </row>
    <row r="105" spans="1:9">
      <c r="A105" s="216" t="s">
        <v>3384</v>
      </c>
      <c r="B105" s="215">
        <v>76033000</v>
      </c>
      <c r="D105" t="s">
        <v>3077</v>
      </c>
      <c r="E105" s="215">
        <f>_xlfn.XLOOKUP(Table6[[#This Row],[Column1]],$A$4:$A$122,$B$4:$B$122,0,0,1)</f>
        <v>2000000</v>
      </c>
      <c r="G105" t="b">
        <f>A105=Table6[[#This Row],[Column1]]</f>
        <v>0</v>
      </c>
      <c r="H105" s="215">
        <v>76033000</v>
      </c>
      <c r="I105" s="217">
        <f t="shared" si="1"/>
        <v>0</v>
      </c>
    </row>
    <row r="106" spans="1:9">
      <c r="A106" s="216" t="s">
        <v>3480</v>
      </c>
      <c r="B106" s="215">
        <v>99100000</v>
      </c>
      <c r="D106" t="s">
        <v>3082</v>
      </c>
      <c r="E106" s="215">
        <f>_xlfn.XLOOKUP(Table6[[#This Row],[Column1]],$A$4:$A$122,$B$4:$B$122,0,0,1)</f>
        <v>0</v>
      </c>
      <c r="G106" t="b">
        <f>A106=Table6[[#This Row],[Column1]]</f>
        <v>0</v>
      </c>
      <c r="H106" s="215">
        <v>99100000</v>
      </c>
      <c r="I106" s="217">
        <f t="shared" si="1"/>
        <v>0</v>
      </c>
    </row>
    <row r="107" spans="1:9">
      <c r="A107" s="216" t="s">
        <v>3488</v>
      </c>
      <c r="B107" s="215">
        <v>1333864000</v>
      </c>
      <c r="D107" t="s">
        <v>3084</v>
      </c>
      <c r="E107" s="215">
        <f>_xlfn.XLOOKUP(Table6[[#This Row],[Column1]],$A$4:$A$122,$B$4:$B$122,0,0,1)</f>
        <v>60415000</v>
      </c>
      <c r="G107" t="b">
        <f>A107=Table6[[#This Row],[Column1]]</f>
        <v>0</v>
      </c>
      <c r="H107" s="215">
        <v>1333864000</v>
      </c>
      <c r="I107" s="217">
        <f t="shared" si="1"/>
        <v>0</v>
      </c>
    </row>
    <row r="108" spans="1:9">
      <c r="A108" s="216" t="s">
        <v>3492</v>
      </c>
      <c r="B108" s="215">
        <v>25000000</v>
      </c>
      <c r="D108" t="s">
        <v>3087</v>
      </c>
      <c r="E108" s="215">
        <f>_xlfn.XLOOKUP(Table6[[#This Row],[Column1]],$A$4:$A$122,$B$4:$B$122,0,0,1)</f>
        <v>0</v>
      </c>
      <c r="G108" t="b">
        <f>A108=Table6[[#This Row],[Column1]]</f>
        <v>0</v>
      </c>
      <c r="H108" s="215">
        <v>25000000</v>
      </c>
      <c r="I108" s="217">
        <f t="shared" si="1"/>
        <v>0</v>
      </c>
    </row>
    <row r="109" spans="1:9">
      <c r="A109" s="216" t="s">
        <v>3495</v>
      </c>
      <c r="B109" s="215">
        <v>15000000</v>
      </c>
      <c r="D109" t="s">
        <v>3093</v>
      </c>
      <c r="E109" s="215">
        <f>_xlfn.XLOOKUP(Table6[[#This Row],[Column1]],$A$4:$A$122,$B$4:$B$122,0,0,1)</f>
        <v>17900000</v>
      </c>
      <c r="G109" t="b">
        <f>A109=Table6[[#This Row],[Column1]]</f>
        <v>0</v>
      </c>
      <c r="H109" s="215">
        <v>15000000</v>
      </c>
      <c r="I109" s="217">
        <f t="shared" si="1"/>
        <v>0</v>
      </c>
    </row>
    <row r="110" spans="1:9">
      <c r="A110" s="216" t="s">
        <v>3497</v>
      </c>
      <c r="B110" s="215">
        <v>102600000</v>
      </c>
      <c r="D110" t="s">
        <v>3100</v>
      </c>
      <c r="E110" s="215">
        <f>_xlfn.XLOOKUP(Table6[[#This Row],[Column1]],$A$4:$A$122,$B$4:$B$122,0,0,1)</f>
        <v>2000000</v>
      </c>
      <c r="G110" t="b">
        <f>A110=Table6[[#This Row],[Column1]]</f>
        <v>0</v>
      </c>
      <c r="H110" s="215">
        <v>102600000</v>
      </c>
      <c r="I110" s="217">
        <f t="shared" si="1"/>
        <v>0</v>
      </c>
    </row>
    <row r="111" spans="1:9">
      <c r="A111" s="216" t="s">
        <v>3500</v>
      </c>
      <c r="B111" s="215">
        <v>138000000</v>
      </c>
      <c r="D111" t="s">
        <v>3102</v>
      </c>
      <c r="E111" s="215">
        <f>_xlfn.XLOOKUP(Table6[[#This Row],[Column1]],$A$4:$A$122,$B$4:$B$122,0,0,1)</f>
        <v>30169000</v>
      </c>
      <c r="G111" t="b">
        <f>A111=Table6[[#This Row],[Column1]]</f>
        <v>0</v>
      </c>
      <c r="H111" s="215">
        <v>138000000</v>
      </c>
      <c r="I111" s="217">
        <f t="shared" si="1"/>
        <v>0</v>
      </c>
    </row>
    <row r="112" spans="1:9">
      <c r="A112" s="216" t="s">
        <v>3506</v>
      </c>
      <c r="B112" s="215">
        <v>25000000</v>
      </c>
      <c r="D112" t="s">
        <v>3321</v>
      </c>
      <c r="E112" s="215">
        <f>_xlfn.XLOOKUP(Table6[[#This Row],[Column1]],$A$4:$A$122,$B$4:$B$122,0,0,1)</f>
        <v>18400000</v>
      </c>
      <c r="G112" t="b">
        <f>A112=Table6[[#This Row],[Column1]]</f>
        <v>0</v>
      </c>
      <c r="H112" s="215">
        <v>25000000</v>
      </c>
      <c r="I112" s="217">
        <f t="shared" si="1"/>
        <v>0</v>
      </c>
    </row>
    <row r="113" spans="1:9">
      <c r="A113" s="216" t="s">
        <v>3509</v>
      </c>
      <c r="B113" s="215">
        <v>3808695000</v>
      </c>
      <c r="D113" t="s">
        <v>3326</v>
      </c>
      <c r="E113" s="215">
        <f>_xlfn.XLOOKUP(Table6[[#This Row],[Column1]],$A$4:$A$122,$B$4:$B$122,0,0,1)</f>
        <v>8702000</v>
      </c>
      <c r="G113" t="b">
        <f>A113=Table6[[#This Row],[Column1]]</f>
        <v>0</v>
      </c>
      <c r="H113" s="215">
        <v>3808695000</v>
      </c>
      <c r="I113" s="217">
        <f t="shared" si="1"/>
        <v>0</v>
      </c>
    </row>
    <row r="114" spans="1:9">
      <c r="A114" s="216" t="s">
        <v>3514</v>
      </c>
      <c r="B114" s="215">
        <v>30000000</v>
      </c>
      <c r="D114" t="s">
        <v>3332</v>
      </c>
      <c r="E114" s="215">
        <f>_xlfn.XLOOKUP(Table6[[#This Row],[Column1]],$A$4:$A$122,$B$4:$B$122,0,0,1)</f>
        <v>7500000</v>
      </c>
      <c r="G114" t="b">
        <f>A114=Table6[[#This Row],[Column1]]</f>
        <v>0</v>
      </c>
      <c r="H114" s="215">
        <v>30000000</v>
      </c>
      <c r="I114" s="217">
        <f t="shared" si="1"/>
        <v>0</v>
      </c>
    </row>
    <row r="115" spans="1:9">
      <c r="A115" s="216" t="s">
        <v>3517</v>
      </c>
      <c r="B115" s="215">
        <v>6000000</v>
      </c>
      <c r="D115" t="s">
        <v>3336</v>
      </c>
      <c r="E115" s="215">
        <f>_xlfn.XLOOKUP(Table6[[#This Row],[Column1]],$A$4:$A$122,$B$4:$B$122,0,0,1)</f>
        <v>5350000</v>
      </c>
      <c r="G115" t="b">
        <f>A115=Table6[[#This Row],[Column1]]</f>
        <v>0</v>
      </c>
      <c r="H115" s="215">
        <v>6000000</v>
      </c>
      <c r="I115" s="217">
        <f t="shared" si="1"/>
        <v>0</v>
      </c>
    </row>
    <row r="116" spans="1:9">
      <c r="A116" s="216" t="s">
        <v>3519</v>
      </c>
      <c r="B116" s="215">
        <v>216000000</v>
      </c>
      <c r="D116" t="s">
        <v>3341</v>
      </c>
      <c r="E116" s="215">
        <f>_xlfn.XLOOKUP(Table6[[#This Row],[Column1]],$A$4:$A$122,$B$4:$B$122,0,0,1)</f>
        <v>7500000</v>
      </c>
      <c r="G116" t="b">
        <f>A116=Table6[[#This Row],[Column1]]</f>
        <v>0</v>
      </c>
      <c r="H116" s="215">
        <v>216000000</v>
      </c>
      <c r="I116" s="217">
        <f t="shared" si="1"/>
        <v>0</v>
      </c>
    </row>
    <row r="117" spans="1:9">
      <c r="A117" s="216" t="s">
        <v>3523</v>
      </c>
      <c r="B117" s="215">
        <v>12000000</v>
      </c>
      <c r="D117" t="s">
        <v>3344</v>
      </c>
      <c r="E117" s="215">
        <f>_xlfn.XLOOKUP(Table6[[#This Row],[Column1]],$A$4:$A$122,$B$4:$B$122,0,0,1)</f>
        <v>0</v>
      </c>
      <c r="G117" t="b">
        <f>A117=Table6[[#This Row],[Column1]]</f>
        <v>0</v>
      </c>
      <c r="H117" s="215">
        <v>12000000</v>
      </c>
      <c r="I117" s="217">
        <f t="shared" si="1"/>
        <v>0</v>
      </c>
    </row>
    <row r="118" spans="1:9">
      <c r="A118" s="216" t="s">
        <v>3527</v>
      </c>
      <c r="B118" s="215">
        <v>20000000</v>
      </c>
      <c r="D118" t="s">
        <v>3351</v>
      </c>
      <c r="E118" s="215">
        <f>_xlfn.XLOOKUP(Table6[[#This Row],[Column1]],$A$4:$A$122,$B$4:$B$122,0,0,1)</f>
        <v>14000000</v>
      </c>
      <c r="G118" t="b">
        <f>A118=Table6[[#This Row],[Column1]]</f>
        <v>0</v>
      </c>
      <c r="H118" s="215">
        <v>20000000</v>
      </c>
      <c r="I118" s="217">
        <f t="shared" si="1"/>
        <v>0</v>
      </c>
    </row>
    <row r="119" spans="1:9">
      <c r="A119" s="216" t="s">
        <v>3530</v>
      </c>
      <c r="B119" s="215">
        <v>142041000</v>
      </c>
      <c r="D119" t="s">
        <v>3359</v>
      </c>
      <c r="E119" s="215">
        <f>_xlfn.XLOOKUP(Table6[[#This Row],[Column1]],$A$4:$A$122,$B$4:$B$122,0,0,1)</f>
        <v>0</v>
      </c>
      <c r="G119" t="b">
        <f>A119=Table6[[#This Row],[Column1]]</f>
        <v>0</v>
      </c>
      <c r="H119" s="215">
        <v>142041000</v>
      </c>
      <c r="I119" s="217">
        <f t="shared" si="1"/>
        <v>0</v>
      </c>
    </row>
    <row r="120" spans="1:9">
      <c r="A120" s="216" t="s">
        <v>3540</v>
      </c>
      <c r="B120" s="215">
        <v>25000000</v>
      </c>
      <c r="D120" t="s">
        <v>3361</v>
      </c>
      <c r="E120" s="215">
        <f>_xlfn.XLOOKUP(Table6[[#This Row],[Column1]],$A$4:$A$122,$B$4:$B$122,0,0,1)</f>
        <v>20635000</v>
      </c>
      <c r="G120" t="b">
        <f>A120=Table6[[#This Row],[Column1]]</f>
        <v>0</v>
      </c>
      <c r="H120" s="215">
        <v>25000000</v>
      </c>
      <c r="I120" s="217">
        <f t="shared" si="1"/>
        <v>0</v>
      </c>
    </row>
    <row r="121" spans="1:9">
      <c r="A121" s="216" t="s">
        <v>3543</v>
      </c>
      <c r="B121" s="215">
        <v>30000000</v>
      </c>
      <c r="D121" t="s">
        <v>3368</v>
      </c>
      <c r="E121" s="215">
        <f>_xlfn.XLOOKUP(Table6[[#This Row],[Column1]],$A$4:$A$122,$B$4:$B$122,0,0,1)</f>
        <v>7500000</v>
      </c>
      <c r="G121" t="b">
        <f>A121=Table6[[#This Row],[Column1]]</f>
        <v>0</v>
      </c>
      <c r="H121" s="215">
        <v>30000000</v>
      </c>
      <c r="I121" s="217">
        <f t="shared" si="1"/>
        <v>0</v>
      </c>
    </row>
    <row r="122" spans="1:9">
      <c r="A122" s="216" t="s">
        <v>3546</v>
      </c>
      <c r="B122" s="215">
        <v>54200000</v>
      </c>
      <c r="D122" t="s">
        <v>3371</v>
      </c>
      <c r="E122" s="215">
        <f>_xlfn.XLOOKUP(Table6[[#This Row],[Column1]],$A$4:$A$122,$B$4:$B$122,0,0,1)</f>
        <v>0</v>
      </c>
      <c r="G122" t="b">
        <f>A122=Table6[[#This Row],[Column1]]</f>
        <v>0</v>
      </c>
      <c r="H122" s="215">
        <v>54200000</v>
      </c>
      <c r="I122" s="217">
        <f t="shared" si="1"/>
        <v>0</v>
      </c>
    </row>
    <row r="123" spans="1:9">
      <c r="D123" t="s">
        <v>3378</v>
      </c>
      <c r="E123" s="215">
        <f>_xlfn.XLOOKUP(Table6[[#This Row],[Column1]],$A$4:$A$122,$B$4:$B$122,0,0,1)</f>
        <v>4800000</v>
      </c>
      <c r="G123" t="b">
        <f>A123=Table6[[#This Row],[Column1]]</f>
        <v>0</v>
      </c>
      <c r="I123" s="217">
        <f t="shared" si="1"/>
        <v>0</v>
      </c>
    </row>
    <row r="124" spans="1:9">
      <c r="D124" t="s">
        <v>3381</v>
      </c>
      <c r="E124" s="215">
        <f>_xlfn.XLOOKUP(Table6[[#This Row],[Column1]],$A$4:$A$122,$B$4:$B$122,0,0,1)</f>
        <v>27500000</v>
      </c>
      <c r="G124" t="b">
        <f>A124=Table6[[#This Row],[Column1]]</f>
        <v>0</v>
      </c>
      <c r="I124" s="217">
        <f t="shared" si="1"/>
        <v>0</v>
      </c>
    </row>
    <row r="125" spans="1:9">
      <c r="D125" t="s">
        <v>3384</v>
      </c>
      <c r="E125" s="215">
        <f>_xlfn.XLOOKUP(Table6[[#This Row],[Column1]],$A$4:$A$122,$B$4:$B$122,0,0,1)</f>
        <v>76033000</v>
      </c>
      <c r="G125" t="b">
        <f>A125=Table6[[#This Row],[Column1]]</f>
        <v>0</v>
      </c>
      <c r="I125" s="217">
        <f t="shared" si="1"/>
        <v>0</v>
      </c>
    </row>
    <row r="126" spans="1:9">
      <c r="D126" t="s">
        <v>3480</v>
      </c>
      <c r="E126" s="215">
        <f>_xlfn.XLOOKUP(Table6[[#This Row],[Column1]],$A$4:$A$122,$B$4:$B$122,0,0,1)</f>
        <v>99100000</v>
      </c>
      <c r="G126" t="b">
        <f>A126=Table6[[#This Row],[Column1]]</f>
        <v>0</v>
      </c>
      <c r="I126" s="217">
        <f t="shared" si="1"/>
        <v>0</v>
      </c>
    </row>
    <row r="127" spans="1:9">
      <c r="D127" t="s">
        <v>3488</v>
      </c>
      <c r="E127" s="215">
        <f>_xlfn.XLOOKUP(Table6[[#This Row],[Column1]],$A$4:$A$122,$B$4:$B$122,0,0,1)</f>
        <v>1333864000</v>
      </c>
      <c r="G127" t="b">
        <f>A127=Table6[[#This Row],[Column1]]</f>
        <v>0</v>
      </c>
      <c r="I127" s="217">
        <f t="shared" si="1"/>
        <v>0</v>
      </c>
    </row>
    <row r="128" spans="1:9">
      <c r="D128" t="s">
        <v>3492</v>
      </c>
      <c r="E128" s="215">
        <f>_xlfn.XLOOKUP(Table6[[#This Row],[Column1]],$A$4:$A$122,$B$4:$B$122,0,0,1)</f>
        <v>25000000</v>
      </c>
      <c r="G128" t="b">
        <f>A128=Table6[[#This Row],[Column1]]</f>
        <v>0</v>
      </c>
      <c r="I128" s="217">
        <f t="shared" si="1"/>
        <v>0</v>
      </c>
    </row>
    <row r="129" spans="4:9">
      <c r="D129" t="s">
        <v>3495</v>
      </c>
      <c r="E129" s="215">
        <f>_xlfn.XLOOKUP(Table6[[#This Row],[Column1]],$A$4:$A$122,$B$4:$B$122,0,0,1)</f>
        <v>15000000</v>
      </c>
      <c r="G129" t="b">
        <f>A129=Table6[[#This Row],[Column1]]</f>
        <v>0</v>
      </c>
      <c r="I129" s="217">
        <f t="shared" si="1"/>
        <v>0</v>
      </c>
    </row>
    <row r="130" spans="4:9">
      <c r="D130" t="s">
        <v>3497</v>
      </c>
      <c r="E130" s="215">
        <f>_xlfn.XLOOKUP(Table6[[#This Row],[Column1]],$A$4:$A$122,$B$4:$B$122,0,0,1)</f>
        <v>102600000</v>
      </c>
      <c r="G130" t="b">
        <f>A130=Table6[[#This Row],[Column1]]</f>
        <v>0</v>
      </c>
      <c r="I130" s="217">
        <f t="shared" si="1"/>
        <v>0</v>
      </c>
    </row>
    <row r="131" spans="4:9">
      <c r="D131" t="s">
        <v>3500</v>
      </c>
      <c r="E131" s="215">
        <f>_xlfn.XLOOKUP(Table6[[#This Row],[Column1]],$A$4:$A$122,$B$4:$B$122,0,0,1)</f>
        <v>138000000</v>
      </c>
      <c r="G131" t="b">
        <f>A131=Table6[[#This Row],[Column1]]</f>
        <v>0</v>
      </c>
      <c r="I131" s="217">
        <f t="shared" si="1"/>
        <v>0</v>
      </c>
    </row>
    <row r="132" spans="4:9">
      <c r="D132" t="s">
        <v>3506</v>
      </c>
      <c r="E132" s="215">
        <f>_xlfn.XLOOKUP(Table6[[#This Row],[Column1]],$A$4:$A$122,$B$4:$B$122,0,0,1)</f>
        <v>25000000</v>
      </c>
      <c r="G132" t="b">
        <f>A132=Table6[[#This Row],[Column1]]</f>
        <v>0</v>
      </c>
      <c r="I132" s="217">
        <f t="shared" si="1"/>
        <v>0</v>
      </c>
    </row>
    <row r="133" spans="4:9">
      <c r="D133" t="s">
        <v>3509</v>
      </c>
      <c r="E133" s="215">
        <f>_xlfn.XLOOKUP(Table6[[#This Row],[Column1]],$A$4:$A$122,$B$4:$B$122,0,0,1)</f>
        <v>3808695000</v>
      </c>
      <c r="G133" t="b">
        <f>A133=Table6[[#This Row],[Column1]]</f>
        <v>0</v>
      </c>
      <c r="I133" s="217">
        <f t="shared" si="1"/>
        <v>0</v>
      </c>
    </row>
    <row r="134" spans="4:9">
      <c r="D134" t="s">
        <v>3514</v>
      </c>
      <c r="E134" s="215">
        <f>_xlfn.XLOOKUP(Table6[[#This Row],[Column1]],$A$4:$A$122,$B$4:$B$122,0,0,1)</f>
        <v>30000000</v>
      </c>
      <c r="G134" t="b">
        <f>A134=Table6[[#This Row],[Column1]]</f>
        <v>0</v>
      </c>
      <c r="I134" s="217">
        <f t="shared" si="1"/>
        <v>0</v>
      </c>
    </row>
    <row r="135" spans="4:9">
      <c r="D135" t="s">
        <v>3517</v>
      </c>
      <c r="E135" s="215">
        <f>_xlfn.XLOOKUP(Table6[[#This Row],[Column1]],$A$4:$A$122,$B$4:$B$122,0,0,1)</f>
        <v>6000000</v>
      </c>
      <c r="G135" t="b">
        <f>A135=Table6[[#This Row],[Column1]]</f>
        <v>0</v>
      </c>
      <c r="I135" s="217">
        <f t="shared" si="1"/>
        <v>0</v>
      </c>
    </row>
    <row r="136" spans="4:9">
      <c r="D136" t="s">
        <v>3519</v>
      </c>
      <c r="E136" s="215">
        <f>_xlfn.XLOOKUP(Table6[[#This Row],[Column1]],$A$4:$A$122,$B$4:$B$122,0,0,1)</f>
        <v>216000000</v>
      </c>
      <c r="G136" t="b">
        <f>A136=Table6[[#This Row],[Column1]]</f>
        <v>0</v>
      </c>
      <c r="I136" s="217">
        <f t="shared" si="1"/>
        <v>0</v>
      </c>
    </row>
    <row r="137" spans="4:9">
      <c r="D137" t="s">
        <v>3523</v>
      </c>
      <c r="E137" s="215">
        <f>_xlfn.XLOOKUP(Table6[[#This Row],[Column1]],$A$4:$A$122,$B$4:$B$122,0,0,1)</f>
        <v>12000000</v>
      </c>
      <c r="G137" t="b">
        <f>A137=Table6[[#This Row],[Column1]]</f>
        <v>0</v>
      </c>
      <c r="I137" s="217">
        <f t="shared" si="1"/>
        <v>0</v>
      </c>
    </row>
    <row r="138" spans="4:9">
      <c r="D138" t="s">
        <v>3527</v>
      </c>
      <c r="E138" s="215">
        <f>_xlfn.XLOOKUP(Table6[[#This Row],[Column1]],$A$4:$A$122,$B$4:$B$122,0,0,1)</f>
        <v>20000000</v>
      </c>
      <c r="G138" t="b">
        <f>A138=Table6[[#This Row],[Column1]]</f>
        <v>0</v>
      </c>
      <c r="I138" s="217">
        <f t="shared" ref="I138:I201" si="2">B138-H138</f>
        <v>0</v>
      </c>
    </row>
    <row r="139" spans="4:9">
      <c r="D139" t="s">
        <v>3530</v>
      </c>
      <c r="E139" s="215">
        <f>_xlfn.XLOOKUP(Table6[[#This Row],[Column1]],$A$4:$A$122,$B$4:$B$122,0,0,1)</f>
        <v>142041000</v>
      </c>
      <c r="G139" t="b">
        <f>A139=Table6[[#This Row],[Column1]]</f>
        <v>0</v>
      </c>
      <c r="I139" s="217">
        <f t="shared" si="2"/>
        <v>0</v>
      </c>
    </row>
    <row r="140" spans="4:9">
      <c r="D140" t="s">
        <v>3535</v>
      </c>
      <c r="E140" s="215">
        <f>_xlfn.XLOOKUP(Table6[[#This Row],[Column1]],$A$4:$A$122,$B$4:$B$122,0,0,1)</f>
        <v>0</v>
      </c>
      <c r="G140" t="b">
        <f>A140=Table6[[#This Row],[Column1]]</f>
        <v>0</v>
      </c>
      <c r="I140" s="217">
        <f t="shared" si="2"/>
        <v>0</v>
      </c>
    </row>
    <row r="141" spans="4:9">
      <c r="D141" t="s">
        <v>3540</v>
      </c>
      <c r="E141" s="215">
        <f>_xlfn.XLOOKUP(Table6[[#This Row],[Column1]],$A$4:$A$122,$B$4:$B$122,0,0,1)</f>
        <v>25000000</v>
      </c>
      <c r="G141" t="b">
        <f>A141=Table6[[#This Row],[Column1]]</f>
        <v>0</v>
      </c>
      <c r="I141" s="217">
        <f t="shared" si="2"/>
        <v>0</v>
      </c>
    </row>
    <row r="142" spans="4:9">
      <c r="D142" t="s">
        <v>3543</v>
      </c>
      <c r="E142" s="215">
        <f>_xlfn.XLOOKUP(Table6[[#This Row],[Column1]],$A$4:$A$122,$B$4:$B$122,0,0,1)</f>
        <v>30000000</v>
      </c>
      <c r="G142" t="b">
        <f>A142=Table6[[#This Row],[Column1]]</f>
        <v>0</v>
      </c>
      <c r="I142" s="217">
        <f t="shared" si="2"/>
        <v>0</v>
      </c>
    </row>
    <row r="143" spans="4:9">
      <c r="D143" t="s">
        <v>3546</v>
      </c>
      <c r="E143" s="215">
        <f>_xlfn.XLOOKUP(Table6[[#This Row],[Column1]],$A$4:$A$122,$B$4:$B$122,0,0,1)</f>
        <v>54200000</v>
      </c>
      <c r="G143" t="b">
        <f>A143=Table6[[#This Row],[Column1]]</f>
        <v>0</v>
      </c>
      <c r="I143" s="217">
        <f t="shared" si="2"/>
        <v>0</v>
      </c>
    </row>
    <row r="144" spans="4:9">
      <c r="E144" s="215">
        <f>_xlfn.XLOOKUP(Table6[[#This Row],[Column1]],$A$4:$A$122,$B$4:$B$122,0,0,1)</f>
        <v>0</v>
      </c>
      <c r="G144" t="b">
        <f>A144=Table6[[#This Row],[Column1]]</f>
        <v>1</v>
      </c>
      <c r="I144" s="217">
        <f t="shared" si="2"/>
        <v>0</v>
      </c>
    </row>
    <row r="145" spans="5:9">
      <c r="E145" s="335">
        <f>SUBTOTAL(109,Table6[Column2])</f>
        <v>9280146000</v>
      </c>
      <c r="G145" t="e">
        <f>A145=Table6[[#This Row],[Column1]]</f>
        <v>#VALUE!</v>
      </c>
      <c r="I145" s="217">
        <f t="shared" si="2"/>
        <v>0</v>
      </c>
    </row>
    <row r="146" spans="5:9">
      <c r="G146" t="e">
        <f>A146=Table6[[#This Row],[Column1]]</f>
        <v>#VALUE!</v>
      </c>
      <c r="I146" s="217">
        <f t="shared" si="2"/>
        <v>0</v>
      </c>
    </row>
    <row r="147" spans="5:9">
      <c r="G147" t="e">
        <f>A147=Table6[[#This Row],[Column1]]</f>
        <v>#VALUE!</v>
      </c>
      <c r="I147" s="217">
        <f t="shared" si="2"/>
        <v>0</v>
      </c>
    </row>
    <row r="148" spans="5:9">
      <c r="G148" t="e">
        <f>A148=Table6[[#This Row],[Column1]]</f>
        <v>#VALUE!</v>
      </c>
      <c r="I148" s="217">
        <f t="shared" si="2"/>
        <v>0</v>
      </c>
    </row>
    <row r="149" spans="5:9">
      <c r="G149" t="e">
        <f>A149=Table6[[#This Row],[Column1]]</f>
        <v>#VALUE!</v>
      </c>
      <c r="I149" s="217">
        <f t="shared" si="2"/>
        <v>0</v>
      </c>
    </row>
    <row r="150" spans="5:9">
      <c r="G150" t="e">
        <f>A150=Table6[[#This Row],[Column1]]</f>
        <v>#VALUE!</v>
      </c>
      <c r="I150" s="217">
        <f t="shared" si="2"/>
        <v>0</v>
      </c>
    </row>
    <row r="151" spans="5:9">
      <c r="G151" t="e">
        <f>A151=Table6[[#This Row],[Column1]]</f>
        <v>#VALUE!</v>
      </c>
      <c r="I151" s="217">
        <f t="shared" si="2"/>
        <v>0</v>
      </c>
    </row>
    <row r="152" spans="5:9">
      <c r="G152" t="e">
        <f>A152=Table6[[#This Row],[Column1]]</f>
        <v>#VALUE!</v>
      </c>
      <c r="I152" s="217">
        <f t="shared" si="2"/>
        <v>0</v>
      </c>
    </row>
    <row r="153" spans="5:9">
      <c r="G153" t="e">
        <f>A153=Table6[[#This Row],[Column1]]</f>
        <v>#VALUE!</v>
      </c>
      <c r="I153" s="217">
        <f t="shared" si="2"/>
        <v>0</v>
      </c>
    </row>
    <row r="154" spans="5:9">
      <c r="G154" t="e">
        <f>A154=Table6[[#This Row],[Column1]]</f>
        <v>#VALUE!</v>
      </c>
      <c r="I154" s="217">
        <f t="shared" si="2"/>
        <v>0</v>
      </c>
    </row>
    <row r="155" spans="5:9">
      <c r="G155" t="e">
        <f>A155=Table6[[#This Row],[Column1]]</f>
        <v>#VALUE!</v>
      </c>
      <c r="I155" s="217">
        <f t="shared" si="2"/>
        <v>0</v>
      </c>
    </row>
    <row r="156" spans="5:9">
      <c r="G156" t="e">
        <f>A156=Table6[[#This Row],[Column1]]</f>
        <v>#VALUE!</v>
      </c>
      <c r="I156" s="217">
        <f t="shared" si="2"/>
        <v>0</v>
      </c>
    </row>
    <row r="157" spans="5:9">
      <c r="G157" t="e">
        <f>A157=Table6[[#This Row],[Column1]]</f>
        <v>#VALUE!</v>
      </c>
      <c r="I157" s="217">
        <f t="shared" si="2"/>
        <v>0</v>
      </c>
    </row>
    <row r="158" spans="5:9">
      <c r="G158" t="e">
        <f>A158=Table6[[#This Row],[Column1]]</f>
        <v>#VALUE!</v>
      </c>
      <c r="I158" s="217">
        <f t="shared" si="2"/>
        <v>0</v>
      </c>
    </row>
    <row r="159" spans="5:9">
      <c r="G159" t="e">
        <f>A159=Table6[[#This Row],[Column1]]</f>
        <v>#VALUE!</v>
      </c>
      <c r="I159" s="217">
        <f t="shared" si="2"/>
        <v>0</v>
      </c>
    </row>
    <row r="160" spans="5:9">
      <c r="G160" t="e">
        <f>A160=Table6[[#This Row],[Column1]]</f>
        <v>#VALUE!</v>
      </c>
      <c r="I160" s="217">
        <f t="shared" si="2"/>
        <v>0</v>
      </c>
    </row>
    <row r="161" spans="7:9">
      <c r="G161" t="e">
        <f>A161=Table6[[#This Row],[Column1]]</f>
        <v>#VALUE!</v>
      </c>
      <c r="I161" s="217">
        <f t="shared" si="2"/>
        <v>0</v>
      </c>
    </row>
    <row r="162" spans="7:9">
      <c r="G162" t="e">
        <f>A162=Table6[[#This Row],[Column1]]</f>
        <v>#VALUE!</v>
      </c>
      <c r="I162" s="217">
        <f t="shared" si="2"/>
        <v>0</v>
      </c>
    </row>
    <row r="163" spans="7:9">
      <c r="G163" t="e">
        <f>A163=Table6[[#This Row],[Column1]]</f>
        <v>#VALUE!</v>
      </c>
      <c r="I163" s="217">
        <f t="shared" si="2"/>
        <v>0</v>
      </c>
    </row>
    <row r="164" spans="7:9">
      <c r="G164" t="e">
        <f>A164=Table6[[#This Row],[Column1]]</f>
        <v>#VALUE!</v>
      </c>
      <c r="I164" s="217">
        <f t="shared" si="2"/>
        <v>0</v>
      </c>
    </row>
    <row r="165" spans="7:9">
      <c r="G165" t="e">
        <f>A165=Table6[[#This Row],[Column1]]</f>
        <v>#VALUE!</v>
      </c>
      <c r="I165" s="217">
        <f t="shared" si="2"/>
        <v>0</v>
      </c>
    </row>
    <row r="166" spans="7:9">
      <c r="G166" t="e">
        <f>A166=Table6[[#This Row],[Column1]]</f>
        <v>#VALUE!</v>
      </c>
      <c r="I166" s="217">
        <f t="shared" si="2"/>
        <v>0</v>
      </c>
    </row>
    <row r="167" spans="7:9">
      <c r="G167" t="e">
        <f>A167=Table6[[#This Row],[Column1]]</f>
        <v>#VALUE!</v>
      </c>
      <c r="I167" s="217">
        <f t="shared" si="2"/>
        <v>0</v>
      </c>
    </row>
    <row r="168" spans="7:9">
      <c r="G168" t="e">
        <f>A168=Table6[[#This Row],[Column1]]</f>
        <v>#VALUE!</v>
      </c>
      <c r="I168" s="217">
        <f t="shared" si="2"/>
        <v>0</v>
      </c>
    </row>
    <row r="169" spans="7:9">
      <c r="G169" t="e">
        <f>A169=Table6[[#This Row],[Column1]]</f>
        <v>#VALUE!</v>
      </c>
      <c r="I169" s="217">
        <f t="shared" si="2"/>
        <v>0</v>
      </c>
    </row>
    <row r="170" spans="7:9">
      <c r="G170" t="e">
        <f>A170=Table6[[#This Row],[Column1]]</f>
        <v>#VALUE!</v>
      </c>
      <c r="I170" s="217">
        <f t="shared" si="2"/>
        <v>0</v>
      </c>
    </row>
    <row r="171" spans="7:9">
      <c r="G171" t="e">
        <f>A171=Table6[[#This Row],[Column1]]</f>
        <v>#VALUE!</v>
      </c>
      <c r="I171" s="217">
        <f t="shared" si="2"/>
        <v>0</v>
      </c>
    </row>
    <row r="172" spans="7:9">
      <c r="G172" t="e">
        <f>A172=Table6[[#This Row],[Column1]]</f>
        <v>#VALUE!</v>
      </c>
      <c r="I172" s="217">
        <f t="shared" si="2"/>
        <v>0</v>
      </c>
    </row>
    <row r="173" spans="7:9">
      <c r="G173" t="e">
        <f>A173=Table6[[#This Row],[Column1]]</f>
        <v>#VALUE!</v>
      </c>
      <c r="I173" s="217">
        <f t="shared" si="2"/>
        <v>0</v>
      </c>
    </row>
    <row r="174" spans="7:9">
      <c r="G174" t="e">
        <f>A174=Table6[[#This Row],[Column1]]</f>
        <v>#VALUE!</v>
      </c>
      <c r="I174" s="217">
        <f t="shared" si="2"/>
        <v>0</v>
      </c>
    </row>
    <row r="175" spans="7:9">
      <c r="G175" t="e">
        <f>A175=Table6[[#This Row],[Column1]]</f>
        <v>#VALUE!</v>
      </c>
      <c r="I175" s="217">
        <f t="shared" si="2"/>
        <v>0</v>
      </c>
    </row>
    <row r="176" spans="7:9">
      <c r="G176" t="e">
        <f>A176=Table6[[#This Row],[Column1]]</f>
        <v>#VALUE!</v>
      </c>
      <c r="I176" s="217">
        <f t="shared" si="2"/>
        <v>0</v>
      </c>
    </row>
    <row r="177" spans="7:9">
      <c r="G177" t="e">
        <f>A177=Table6[[#This Row],[Column1]]</f>
        <v>#VALUE!</v>
      </c>
      <c r="I177" s="217">
        <f t="shared" si="2"/>
        <v>0</v>
      </c>
    </row>
    <row r="178" spans="7:9">
      <c r="G178" t="e">
        <f>A178=Table6[[#This Row],[Column1]]</f>
        <v>#VALUE!</v>
      </c>
      <c r="I178" s="217">
        <f t="shared" si="2"/>
        <v>0</v>
      </c>
    </row>
    <row r="179" spans="7:9">
      <c r="G179" t="e">
        <f>A179=Table6[[#This Row],[Column1]]</f>
        <v>#VALUE!</v>
      </c>
      <c r="I179" s="217">
        <f t="shared" si="2"/>
        <v>0</v>
      </c>
    </row>
    <row r="180" spans="7:9">
      <c r="G180" t="e">
        <f>A180=Table6[[#This Row],[Column1]]</f>
        <v>#VALUE!</v>
      </c>
      <c r="I180" s="217">
        <f t="shared" si="2"/>
        <v>0</v>
      </c>
    </row>
    <row r="181" spans="7:9">
      <c r="G181" t="e">
        <f>A181=Table6[[#This Row],[Column1]]</f>
        <v>#VALUE!</v>
      </c>
      <c r="I181" s="217">
        <f t="shared" si="2"/>
        <v>0</v>
      </c>
    </row>
    <row r="182" spans="7:9">
      <c r="G182" t="e">
        <f>A182=Table6[[#This Row],[Column1]]</f>
        <v>#VALUE!</v>
      </c>
      <c r="I182" s="217">
        <f t="shared" si="2"/>
        <v>0</v>
      </c>
    </row>
    <row r="183" spans="7:9">
      <c r="G183" t="e">
        <f>A183=Table6[[#This Row],[Column1]]</f>
        <v>#VALUE!</v>
      </c>
      <c r="I183" s="217">
        <f t="shared" si="2"/>
        <v>0</v>
      </c>
    </row>
    <row r="184" spans="7:9">
      <c r="G184" t="e">
        <f>A184=Table6[[#This Row],[Column1]]</f>
        <v>#VALUE!</v>
      </c>
      <c r="I184" s="217">
        <f t="shared" si="2"/>
        <v>0</v>
      </c>
    </row>
    <row r="185" spans="7:9">
      <c r="G185" t="e">
        <f>A185=Table6[[#This Row],[Column1]]</f>
        <v>#VALUE!</v>
      </c>
      <c r="I185" s="217">
        <f t="shared" si="2"/>
        <v>0</v>
      </c>
    </row>
    <row r="186" spans="7:9">
      <c r="G186" t="e">
        <f>A186=Table6[[#This Row],[Column1]]</f>
        <v>#VALUE!</v>
      </c>
      <c r="I186" s="217">
        <f t="shared" si="2"/>
        <v>0</v>
      </c>
    </row>
    <row r="187" spans="7:9">
      <c r="G187" t="e">
        <f>A187=Table6[[#This Row],[Column1]]</f>
        <v>#VALUE!</v>
      </c>
      <c r="I187" s="217">
        <f t="shared" si="2"/>
        <v>0</v>
      </c>
    </row>
    <row r="188" spans="7:9">
      <c r="G188" t="e">
        <f>A188=Table6[[#This Row],[Column1]]</f>
        <v>#VALUE!</v>
      </c>
      <c r="I188" s="217">
        <f t="shared" si="2"/>
        <v>0</v>
      </c>
    </row>
    <row r="189" spans="7:9">
      <c r="G189" t="e">
        <f>A189=Table6[[#This Row],[Column1]]</f>
        <v>#VALUE!</v>
      </c>
      <c r="I189" s="217">
        <f t="shared" si="2"/>
        <v>0</v>
      </c>
    </row>
    <row r="190" spans="7:9">
      <c r="G190" t="e">
        <f>A190=Table6[[#This Row],[Column1]]</f>
        <v>#VALUE!</v>
      </c>
      <c r="I190" s="217">
        <f t="shared" si="2"/>
        <v>0</v>
      </c>
    </row>
    <row r="191" spans="7:9">
      <c r="G191" t="e">
        <f>A191=Table6[[#This Row],[Column1]]</f>
        <v>#VALUE!</v>
      </c>
      <c r="I191" s="217">
        <f t="shared" si="2"/>
        <v>0</v>
      </c>
    </row>
    <row r="192" spans="7:9">
      <c r="G192" t="e">
        <f>A192=Table6[[#This Row],[Column1]]</f>
        <v>#VALUE!</v>
      </c>
      <c r="I192" s="217">
        <f t="shared" si="2"/>
        <v>0</v>
      </c>
    </row>
    <row r="193" spans="7:9">
      <c r="G193" t="e">
        <f>A193=Table6[[#This Row],[Column1]]</f>
        <v>#VALUE!</v>
      </c>
      <c r="I193" s="217">
        <f t="shared" si="2"/>
        <v>0</v>
      </c>
    </row>
    <row r="194" spans="7:9">
      <c r="G194" t="e">
        <f>A194=Table6[[#This Row],[Column1]]</f>
        <v>#VALUE!</v>
      </c>
      <c r="I194" s="217">
        <f t="shared" si="2"/>
        <v>0</v>
      </c>
    </row>
    <row r="195" spans="7:9">
      <c r="G195" t="e">
        <f>A195=Table6[[#This Row],[Column1]]</f>
        <v>#VALUE!</v>
      </c>
      <c r="I195" s="217">
        <f t="shared" si="2"/>
        <v>0</v>
      </c>
    </row>
    <row r="196" spans="7:9">
      <c r="G196" t="e">
        <f>A196=Table6[[#This Row],[Column1]]</f>
        <v>#VALUE!</v>
      </c>
      <c r="I196" s="217">
        <f t="shared" si="2"/>
        <v>0</v>
      </c>
    </row>
    <row r="197" spans="7:9">
      <c r="G197" t="e">
        <f>A197=Table6[[#This Row],[Column1]]</f>
        <v>#VALUE!</v>
      </c>
      <c r="I197" s="217">
        <f t="shared" si="2"/>
        <v>0</v>
      </c>
    </row>
    <row r="198" spans="7:9">
      <c r="G198" t="e">
        <f>A198=Table6[[#This Row],[Column1]]</f>
        <v>#VALUE!</v>
      </c>
      <c r="I198" s="217">
        <f t="shared" si="2"/>
        <v>0</v>
      </c>
    </row>
    <row r="199" spans="7:9">
      <c r="G199" t="e">
        <f>A199=Table6[[#This Row],[Column1]]</f>
        <v>#VALUE!</v>
      </c>
      <c r="I199" s="217">
        <f t="shared" si="2"/>
        <v>0</v>
      </c>
    </row>
    <row r="200" spans="7:9">
      <c r="G200" t="e">
        <f>A200=Table6[[#This Row],[Column1]]</f>
        <v>#VALUE!</v>
      </c>
      <c r="I200" s="217">
        <f t="shared" si="2"/>
        <v>0</v>
      </c>
    </row>
    <row r="201" spans="7:9">
      <c r="G201" t="e">
        <f>A201=Table6[[#This Row],[Column1]]</f>
        <v>#VALUE!</v>
      </c>
      <c r="I201" s="217">
        <f t="shared" si="2"/>
        <v>0</v>
      </c>
    </row>
    <row r="202" spans="7:9">
      <c r="G202" t="e">
        <f>A202=Table6[[#This Row],[Column1]]</f>
        <v>#VALUE!</v>
      </c>
      <c r="I202" s="217">
        <f t="shared" ref="I202:I232" si="3">B202-H202</f>
        <v>0</v>
      </c>
    </row>
    <row r="203" spans="7:9">
      <c r="G203" t="e">
        <f>A203=Table6[[#This Row],[Column1]]</f>
        <v>#VALUE!</v>
      </c>
      <c r="I203" s="217">
        <f t="shared" si="3"/>
        <v>0</v>
      </c>
    </row>
    <row r="204" spans="7:9">
      <c r="G204" t="e">
        <f>A204=Table6[[#This Row],[Column1]]</f>
        <v>#VALUE!</v>
      </c>
      <c r="I204" s="217">
        <f t="shared" si="3"/>
        <v>0</v>
      </c>
    </row>
    <row r="205" spans="7:9">
      <c r="G205" t="e">
        <f>A205=Table6[[#This Row],[Column1]]</f>
        <v>#VALUE!</v>
      </c>
      <c r="I205" s="217">
        <f t="shared" si="3"/>
        <v>0</v>
      </c>
    </row>
    <row r="206" spans="7:9">
      <c r="G206" t="e">
        <f>A206=Table6[[#This Row],[Column1]]</f>
        <v>#VALUE!</v>
      </c>
      <c r="I206" s="217">
        <f t="shared" si="3"/>
        <v>0</v>
      </c>
    </row>
    <row r="207" spans="7:9">
      <c r="G207" t="e">
        <f>A207=Table6[[#This Row],[Column1]]</f>
        <v>#VALUE!</v>
      </c>
      <c r="I207" s="217">
        <f t="shared" si="3"/>
        <v>0</v>
      </c>
    </row>
    <row r="208" spans="7:9">
      <c r="G208" t="e">
        <f>A208=Table6[[#This Row],[Column1]]</f>
        <v>#VALUE!</v>
      </c>
      <c r="I208" s="217">
        <f t="shared" si="3"/>
        <v>0</v>
      </c>
    </row>
    <row r="209" spans="7:9">
      <c r="G209" t="e">
        <f>A209=Table6[[#This Row],[Column1]]</f>
        <v>#VALUE!</v>
      </c>
      <c r="I209" s="217">
        <f t="shared" si="3"/>
        <v>0</v>
      </c>
    </row>
    <row r="210" spans="7:9">
      <c r="G210" t="e">
        <f>A210=Table6[[#This Row],[Column1]]</f>
        <v>#VALUE!</v>
      </c>
      <c r="I210" s="217">
        <f t="shared" si="3"/>
        <v>0</v>
      </c>
    </row>
    <row r="211" spans="7:9">
      <c r="G211" t="e">
        <f>A211=Table6[[#This Row],[Column1]]</f>
        <v>#VALUE!</v>
      </c>
      <c r="I211" s="217">
        <f t="shared" si="3"/>
        <v>0</v>
      </c>
    </row>
    <row r="212" spans="7:9">
      <c r="G212" t="e">
        <f>A212=Table6[[#This Row],[Column1]]</f>
        <v>#VALUE!</v>
      </c>
      <c r="I212" s="217">
        <f t="shared" si="3"/>
        <v>0</v>
      </c>
    </row>
    <row r="213" spans="7:9">
      <c r="G213" t="e">
        <f>A213=Table6[[#This Row],[Column1]]</f>
        <v>#VALUE!</v>
      </c>
      <c r="I213" s="217">
        <f t="shared" si="3"/>
        <v>0</v>
      </c>
    </row>
    <row r="214" spans="7:9">
      <c r="G214" t="e">
        <f>A214=Table6[[#This Row],[Column1]]</f>
        <v>#VALUE!</v>
      </c>
      <c r="I214" s="217">
        <f t="shared" si="3"/>
        <v>0</v>
      </c>
    </row>
    <row r="215" spans="7:9">
      <c r="G215" t="e">
        <f>A215=Table6[[#This Row],[Column1]]</f>
        <v>#VALUE!</v>
      </c>
      <c r="I215" s="217">
        <f t="shared" si="3"/>
        <v>0</v>
      </c>
    </row>
    <row r="216" spans="7:9">
      <c r="G216" t="e">
        <f>A216=Table6[[#This Row],[Column1]]</f>
        <v>#VALUE!</v>
      </c>
      <c r="I216" s="217">
        <f t="shared" si="3"/>
        <v>0</v>
      </c>
    </row>
    <row r="217" spans="7:9">
      <c r="G217" t="e">
        <f>A217=Table6[[#This Row],[Column1]]</f>
        <v>#VALUE!</v>
      </c>
      <c r="I217" s="217">
        <f t="shared" si="3"/>
        <v>0</v>
      </c>
    </row>
    <row r="218" spans="7:9">
      <c r="G218" t="e">
        <f>A218=Table6[[#This Row],[Column1]]</f>
        <v>#VALUE!</v>
      </c>
      <c r="I218" s="217">
        <f t="shared" si="3"/>
        <v>0</v>
      </c>
    </row>
    <row r="219" spans="7:9">
      <c r="G219" t="e">
        <f>A219=Table6[[#This Row],[Column1]]</f>
        <v>#VALUE!</v>
      </c>
      <c r="I219" s="217">
        <f t="shared" si="3"/>
        <v>0</v>
      </c>
    </row>
    <row r="220" spans="7:9">
      <c r="G220" t="e">
        <f>A220=Table6[[#This Row],[Column1]]</f>
        <v>#VALUE!</v>
      </c>
      <c r="I220" s="217">
        <f t="shared" si="3"/>
        <v>0</v>
      </c>
    </row>
    <row r="221" spans="7:9">
      <c r="G221" t="e">
        <f>A221=Table6[[#This Row],[Column1]]</f>
        <v>#VALUE!</v>
      </c>
      <c r="I221" s="217">
        <f t="shared" si="3"/>
        <v>0</v>
      </c>
    </row>
    <row r="222" spans="7:9">
      <c r="G222" t="e">
        <f>A222=Table6[[#This Row],[Column1]]</f>
        <v>#VALUE!</v>
      </c>
      <c r="I222" s="217">
        <f t="shared" si="3"/>
        <v>0</v>
      </c>
    </row>
    <row r="223" spans="7:9">
      <c r="G223" t="e">
        <f>A223=Table6[[#This Row],[Column1]]</f>
        <v>#VALUE!</v>
      </c>
      <c r="I223" s="217">
        <f t="shared" si="3"/>
        <v>0</v>
      </c>
    </row>
    <row r="224" spans="7:9">
      <c r="G224" t="e">
        <f>A224=Table6[[#This Row],[Column1]]</f>
        <v>#VALUE!</v>
      </c>
      <c r="I224" s="217">
        <f t="shared" si="3"/>
        <v>0</v>
      </c>
    </row>
    <row r="225" spans="9:9">
      <c r="I225" s="217">
        <f t="shared" si="3"/>
        <v>0</v>
      </c>
    </row>
    <row r="226" spans="9:9">
      <c r="I226" s="217">
        <f t="shared" si="3"/>
        <v>0</v>
      </c>
    </row>
    <row r="227" spans="9:9">
      <c r="I227" s="217">
        <f t="shared" si="3"/>
        <v>0</v>
      </c>
    </row>
    <row r="228" spans="9:9">
      <c r="I228" s="217">
        <f t="shared" si="3"/>
        <v>0</v>
      </c>
    </row>
    <row r="229" spans="9:9">
      <c r="I229" s="217">
        <f t="shared" si="3"/>
        <v>0</v>
      </c>
    </row>
    <row r="230" spans="9:9">
      <c r="I230" s="217">
        <f t="shared" si="3"/>
        <v>0</v>
      </c>
    </row>
    <row r="231" spans="9:9">
      <c r="I231" s="217">
        <f t="shared" si="3"/>
        <v>0</v>
      </c>
    </row>
    <row r="232" spans="9:9">
      <c r="I232" s="217">
        <f t="shared" si="3"/>
        <v>0</v>
      </c>
    </row>
  </sheetData>
  <conditionalFormatting sqref="D4:D1048576 D1:D2">
    <cfRule type="duplicateValues" dxfId="563" priority="3"/>
    <cfRule type="duplicateValues" dxfId="562" priority="4"/>
  </conditionalFormatting>
  <conditionalFormatting sqref="D3">
    <cfRule type="duplicateValues" dxfId="561" priority="1"/>
    <cfRule type="duplicateValues" dxfId="560" priority="2"/>
  </conditionalFormatting>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c r="A1" s="490" t="str">
        <f>IF(L8=TRUE,"REALISASI TANPA GAJI (BERDASARKAN PAGU SEBELUM BLOKIR)","REALISASI TANPA GAJI (BERDASARKAN PAGU SETELAH BLOKIR)")</f>
        <v>REALISASI TANPA GAJI (BERDASARKAN PAGU SETELAH BLOKIR)</v>
      </c>
      <c r="B1" s="490"/>
      <c r="C1" s="490"/>
      <c r="D1" s="490"/>
      <c r="E1" s="490"/>
      <c r="F1" s="490"/>
      <c r="G1" s="490"/>
      <c r="H1" s="490"/>
      <c r="I1" s="490"/>
      <c r="J1" s="490"/>
      <c r="L1" s="422" t="s">
        <v>5584</v>
      </c>
    </row>
    <row r="2" spans="1:13" ht="15.75">
      <c r="A2" s="491" t="str">
        <f>'PER BULAN'!B5</f>
        <v>Berdasarkan DIPA Revisi 2 TA. 2022 (Tanggal 9 Juni 2022)</v>
      </c>
      <c r="B2" s="491"/>
      <c r="C2" s="491"/>
      <c r="D2" s="491"/>
      <c r="E2" s="491"/>
      <c r="F2" s="491"/>
      <c r="G2" s="491"/>
      <c r="H2" s="491"/>
      <c r="I2" s="491"/>
      <c r="J2" s="491"/>
    </row>
    <row r="3" spans="1:13" ht="15.75">
      <c r="A3" s="491" t="str">
        <f>'PER BULAN'!B6</f>
        <v>SAMPAI DENGAN 13 JULI 2022</v>
      </c>
      <c r="B3" s="491"/>
      <c r="C3" s="491"/>
      <c r="D3" s="491"/>
      <c r="E3" s="491"/>
      <c r="F3" s="491"/>
      <c r="G3" s="491"/>
      <c r="H3" s="491"/>
      <c r="I3" s="491"/>
      <c r="J3" s="491"/>
    </row>
    <row r="4" spans="1:13">
      <c r="A4" s="201"/>
      <c r="B4" s="201"/>
      <c r="C4" s="201"/>
      <c r="D4" s="356"/>
      <c r="E4" s="396"/>
      <c r="F4" s="396"/>
      <c r="G4" s="201"/>
      <c r="H4" s="201"/>
      <c r="I4" s="201"/>
      <c r="J4" s="253"/>
    </row>
    <row r="5" spans="1:13" ht="15.75">
      <c r="A5" s="424" t="s">
        <v>3995</v>
      </c>
    </row>
    <row r="6" spans="1:13">
      <c r="A6" s="480" t="s">
        <v>592</v>
      </c>
      <c r="B6" s="480" t="s">
        <v>500</v>
      </c>
      <c r="C6" s="480" t="s">
        <v>5580</v>
      </c>
      <c r="D6" s="480" t="s">
        <v>5577</v>
      </c>
      <c r="E6" s="480" t="s">
        <v>5579</v>
      </c>
      <c r="F6" s="480" t="s">
        <v>5581</v>
      </c>
      <c r="G6" s="482" t="str">
        <f>IF($L$8=TRUE,"Realisasi vs Pagu+Blokir","Realisasi vs Pagu-Blokir")</f>
        <v>Realisasi vs Pagu-Blokir</v>
      </c>
      <c r="H6" s="482"/>
      <c r="I6" s="482" t="str">
        <f>IF($L$8=TRUE,"Sisa vs Pagu+Blokir","Sisa vs Pagu-Blokir")</f>
        <v>Sisa vs Pagu-Blokir</v>
      </c>
      <c r="J6" s="482"/>
    </row>
    <row r="7" spans="1:13">
      <c r="A7" s="480"/>
      <c r="B7" s="480"/>
      <c r="C7" s="480"/>
      <c r="D7" s="480"/>
      <c r="E7" s="480"/>
      <c r="F7" s="480"/>
      <c r="G7" s="408" t="s">
        <v>5589</v>
      </c>
      <c r="H7" s="408" t="s">
        <v>3846</v>
      </c>
      <c r="I7" s="408" t="s">
        <v>5589</v>
      </c>
      <c r="J7" s="408" t="s">
        <v>3846</v>
      </c>
    </row>
    <row r="8" spans="1:13">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455306499</v>
      </c>
      <c r="H8" s="414">
        <f>IFERROR(IF($L$8=TRUE,G8/C8*100,G8/F8*100),0)</f>
        <v>67.886888460139204</v>
      </c>
      <c r="I8" s="169">
        <f>IF($L$8=TRUE,C8-G8,F8-G8)</f>
        <v>215377501</v>
      </c>
      <c r="J8" s="263">
        <f>IFERROR(IF($L$8=TRUE,I8/C8*100,I8/F8*100),0)</f>
        <v>32.113111539860803</v>
      </c>
      <c r="L8" s="407" t="b">
        <v>0</v>
      </c>
    </row>
    <row r="9" spans="1:13">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87"/>
      <c r="B12" s="296" t="s">
        <v>5585</v>
      </c>
      <c r="C12" s="194">
        <f>SUM(C8:C11)</f>
        <v>4328014000</v>
      </c>
      <c r="D12" s="194">
        <f>SUM(D8:D11)</f>
        <v>100000000</v>
      </c>
      <c r="E12" s="194">
        <f>SUM(E8:E11)</f>
        <v>609552000</v>
      </c>
      <c r="F12" s="194">
        <f>SUM(F8:F11)</f>
        <v>3618462000</v>
      </c>
      <c r="G12" s="194">
        <f>SUM(G8:G11)</f>
        <v>2143336333</v>
      </c>
      <c r="H12" s="415">
        <f t="shared" si="0"/>
        <v>59.233351987667696</v>
      </c>
      <c r="I12" s="194">
        <f t="shared" si="1"/>
        <v>1475125667</v>
      </c>
      <c r="J12" s="264">
        <f t="shared" si="2"/>
        <v>40.766648012332311</v>
      </c>
      <c r="K12" s="189"/>
    </row>
    <row r="13" spans="1:13" ht="15" customHeight="1">
      <c r="A13" s="485"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14">
        <f t="shared" si="0"/>
        <v>48.23501622901626</v>
      </c>
      <c r="I13" s="169">
        <f t="shared" si="1"/>
        <v>152146605</v>
      </c>
      <c r="J13" s="263">
        <f t="shared" si="2"/>
        <v>51.76498377098374</v>
      </c>
    </row>
    <row r="14" spans="1:13">
      <c r="A14" s="486"/>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14">
        <f t="shared" si="0"/>
        <v>63.932333941635846</v>
      </c>
      <c r="I14" s="169">
        <f t="shared" si="1"/>
        <v>2193815788</v>
      </c>
      <c r="J14" s="263">
        <f t="shared" si="2"/>
        <v>36.067666058364161</v>
      </c>
      <c r="M14" s="217"/>
    </row>
    <row r="15" spans="1:13">
      <c r="A15" s="486"/>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87"/>
      <c r="B16" s="296" t="s">
        <v>5586</v>
      </c>
      <c r="C16" s="194">
        <f>SUM(C13:C15)</f>
        <v>9985150000</v>
      </c>
      <c r="D16" s="194">
        <f t="shared" ref="D16:E16" si="3">SUM(D13:D15)</f>
        <v>0</v>
      </c>
      <c r="E16" s="194">
        <f t="shared" si="3"/>
        <v>3438934000</v>
      </c>
      <c r="F16" s="194">
        <f>SUM(F13:F15)</f>
        <v>6546216000</v>
      </c>
      <c r="G16" s="194">
        <f>SUM(G13:G15)</f>
        <v>4136251904</v>
      </c>
      <c r="H16" s="415">
        <f t="shared" si="0"/>
        <v>63.185386855551364</v>
      </c>
      <c r="I16" s="194">
        <f t="shared" si="1"/>
        <v>2409964096</v>
      </c>
      <c r="J16" s="264">
        <f t="shared" si="2"/>
        <v>36.814613144448636</v>
      </c>
    </row>
    <row r="17" spans="1:13" ht="15" customHeight="1">
      <c r="A17" s="485"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14">
        <f t="shared" si="0"/>
        <v>66.441042166411378</v>
      </c>
      <c r="I17" s="169">
        <f t="shared" si="1"/>
        <v>69670410</v>
      </c>
      <c r="J17" s="263">
        <f t="shared" si="2"/>
        <v>33.558957833588629</v>
      </c>
    </row>
    <row r="18" spans="1:13">
      <c r="A18" s="486"/>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14">
        <f t="shared" si="0"/>
        <v>51.507620036051783</v>
      </c>
      <c r="I18" s="169">
        <f t="shared" si="1"/>
        <v>79897500</v>
      </c>
      <c r="J18" s="263">
        <f t="shared" si="2"/>
        <v>48.492379963948217</v>
      </c>
      <c r="M18" s="217"/>
    </row>
    <row r="19" spans="1:13">
      <c r="A19" s="487"/>
      <c r="B19" s="296" t="s">
        <v>5587</v>
      </c>
      <c r="C19" s="194">
        <f>SUM(C17:C18)</f>
        <v>1278600000</v>
      </c>
      <c r="D19" s="194">
        <f t="shared" ref="D19:E19" si="4">SUM(D17:D18)</f>
        <v>0</v>
      </c>
      <c r="E19" s="194">
        <f t="shared" si="4"/>
        <v>906231000</v>
      </c>
      <c r="F19" s="194">
        <f>SUM(F17:F18)</f>
        <v>372369000</v>
      </c>
      <c r="G19" s="194">
        <f>SUM(G17:G18)</f>
        <v>222801090</v>
      </c>
      <c r="H19" s="415">
        <f t="shared" si="0"/>
        <v>59.833415241333199</v>
      </c>
      <c r="I19" s="194">
        <f t="shared" si="1"/>
        <v>149567910</v>
      </c>
      <c r="J19" s="264">
        <f t="shared" si="2"/>
        <v>40.166584758666808</v>
      </c>
    </row>
    <row r="20" spans="1:13" ht="15" customHeight="1">
      <c r="A20" s="485"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14">
        <f t="shared" si="0"/>
        <v>36.087008596823544</v>
      </c>
      <c r="I20" s="169">
        <f t="shared" si="1"/>
        <v>438634860</v>
      </c>
      <c r="J20" s="263">
        <f t="shared" si="2"/>
        <v>63.912991403176456</v>
      </c>
    </row>
    <row r="21" spans="1:13">
      <c r="A21" s="486"/>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87"/>
      <c r="B22" s="296" t="s">
        <v>5588</v>
      </c>
      <c r="C22" s="194">
        <f>SUM(C20:C21)</f>
        <v>1271400000</v>
      </c>
      <c r="D22" s="194">
        <f t="shared" ref="D22:E22" si="5">SUM(D20:D21)</f>
        <v>0</v>
      </c>
      <c r="E22" s="194">
        <f t="shared" si="5"/>
        <v>432643000</v>
      </c>
      <c r="F22" s="194">
        <f>SUM(F20:F21)</f>
        <v>838757000</v>
      </c>
      <c r="G22" s="194">
        <f>SUM(G20:G21)</f>
        <v>338915858</v>
      </c>
      <c r="H22" s="415">
        <f t="shared" si="0"/>
        <v>40.406918571171389</v>
      </c>
      <c r="I22" s="194">
        <f t="shared" si="1"/>
        <v>499841142</v>
      </c>
      <c r="J22" s="264">
        <f t="shared" si="2"/>
        <v>59.593081428828611</v>
      </c>
    </row>
    <row r="23" spans="1:13">
      <c r="A23" s="478" t="s">
        <v>3852</v>
      </c>
      <c r="B23" s="478"/>
      <c r="C23" s="176">
        <f>C12++C16+C19+C22</f>
        <v>16863164000</v>
      </c>
      <c r="D23" s="176">
        <f t="shared" ref="D23:E23" si="6">D12++D16+D19+D22</f>
        <v>100000000</v>
      </c>
      <c r="E23" s="176">
        <f t="shared" si="6"/>
        <v>5387360000</v>
      </c>
      <c r="F23" s="176">
        <f>F12++F16+F19+F22</f>
        <v>11375804000</v>
      </c>
      <c r="G23" s="176">
        <f>G12++G16+G19+G22</f>
        <v>6841305185</v>
      </c>
      <c r="H23" s="416">
        <f t="shared" si="0"/>
        <v>60.139091575417439</v>
      </c>
      <c r="I23" s="176">
        <f t="shared" si="1"/>
        <v>4534498815</v>
      </c>
      <c r="J23" s="265">
        <f t="shared" si="2"/>
        <v>39.860908424582561</v>
      </c>
      <c r="M23" s="215"/>
    </row>
    <row r="24" spans="1:13">
      <c r="A24" s="492" t="s">
        <v>5583</v>
      </c>
      <c r="B24" s="493"/>
      <c r="C24" s="406">
        <f>C23</f>
        <v>16863164000</v>
      </c>
      <c r="D24" s="494">
        <f>SUM(D23,E23)</f>
        <v>5487360000</v>
      </c>
      <c r="E24" s="495"/>
      <c r="F24" s="406">
        <f>F23</f>
        <v>11375804000</v>
      </c>
      <c r="G24" s="176">
        <f>G23</f>
        <v>6841305185</v>
      </c>
      <c r="H24" s="416">
        <f t="shared" si="0"/>
        <v>60.139091575417439</v>
      </c>
      <c r="I24" s="176">
        <f t="shared" si="1"/>
        <v>4534498815</v>
      </c>
      <c r="J24" s="265">
        <f t="shared" si="2"/>
        <v>39.860908424582561</v>
      </c>
      <c r="M24" s="217"/>
    </row>
    <row r="26" spans="1:13">
      <c r="J26" s="278"/>
    </row>
    <row r="27" spans="1:13" ht="15.75">
      <c r="A27" s="424" t="s">
        <v>4002</v>
      </c>
    </row>
    <row r="28" spans="1:13" ht="14.45" customHeight="1">
      <c r="A28" s="488" t="s">
        <v>3988</v>
      </c>
      <c r="B28" s="488" t="s">
        <v>3989</v>
      </c>
      <c r="C28" s="488" t="s">
        <v>5580</v>
      </c>
      <c r="D28" s="496" t="s">
        <v>5577</v>
      </c>
      <c r="E28" s="496" t="s">
        <v>5579</v>
      </c>
      <c r="F28" s="488" t="s">
        <v>5581</v>
      </c>
      <c r="G28" s="482" t="str">
        <f>IF($L$8=TRUE,"Realisasi vs Pagu+Blokir","Realisasi vs Pagu-Blokir")</f>
        <v>Realisasi vs Pagu-Blokir</v>
      </c>
      <c r="H28" s="482"/>
      <c r="I28" s="482" t="str">
        <f>IF($L$8=TRUE,"Sisa vs Pagu+Blokir","Sisa vs Pagu-Blokir")</f>
        <v>Sisa vs Pagu-Blokir</v>
      </c>
      <c r="J28" s="482"/>
    </row>
    <row r="29" spans="1:13">
      <c r="A29" s="489"/>
      <c r="B29" s="489"/>
      <c r="C29" s="489"/>
      <c r="D29" s="497"/>
      <c r="E29" s="497"/>
      <c r="F29" s="489"/>
      <c r="G29" s="212" t="s">
        <v>5589</v>
      </c>
      <c r="H29" s="221"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6187105185</v>
      </c>
      <c r="H30" s="205">
        <f t="shared" ref="H30:H37" si="8">IFERROR(IF($L$8=TRUE,G30/C30*100,G30/F30*100),0)</f>
        <v>57.7068989397482</v>
      </c>
      <c r="I30" s="206">
        <f t="shared" ref="I30:I37" si="9">IF($L$8=TRUE,C30-G30,F30-G30)</f>
        <v>4534498815</v>
      </c>
      <c r="J30" s="205">
        <f t="shared" ref="J30:J37" si="10">IFERROR(IF($L$8=TRUE,I30/C30*100,I30/F30*100),0)</f>
        <v>42.2931010602518</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5303042871</v>
      </c>
      <c r="H32" s="209">
        <f t="shared" si="8"/>
        <v>61.477812068380679</v>
      </c>
      <c r="I32" s="210">
        <f t="shared" si="9"/>
        <v>3322903129</v>
      </c>
      <c r="J32" s="209">
        <f t="shared" si="10"/>
        <v>38.522187931619328</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3" t="s">
        <v>611</v>
      </c>
      <c r="B35" s="484"/>
      <c r="C35" s="213">
        <f>SUM(C30,C33)</f>
        <v>16863164000</v>
      </c>
      <c r="D35" s="213">
        <f t="shared" ref="D35:E35" si="11">SUM(D30,D33)</f>
        <v>100000000</v>
      </c>
      <c r="E35" s="213">
        <f t="shared" si="11"/>
        <v>5387360000</v>
      </c>
      <c r="F35" s="213">
        <f>SUM(F30,F33)</f>
        <v>11375804000</v>
      </c>
      <c r="G35" s="213">
        <f>SUM(G30,G33)</f>
        <v>6841305185</v>
      </c>
      <c r="H35" s="214">
        <f t="shared" si="8"/>
        <v>60.139091575417439</v>
      </c>
      <c r="I35" s="213">
        <f t="shared" si="9"/>
        <v>4534498815</v>
      </c>
      <c r="J35" s="214">
        <f t="shared" si="10"/>
        <v>39.860908424582561</v>
      </c>
    </row>
    <row r="36" spans="1:12">
      <c r="A36" s="483" t="s">
        <v>3993</v>
      </c>
      <c r="B36" s="484"/>
      <c r="C36" s="213"/>
      <c r="D36" s="213"/>
      <c r="E36" s="213"/>
      <c r="F36" s="213"/>
      <c r="G36" s="213"/>
      <c r="H36" s="214"/>
      <c r="I36" s="213"/>
      <c r="J36" s="214"/>
    </row>
    <row r="37" spans="1:12">
      <c r="A37" s="483" t="s">
        <v>3994</v>
      </c>
      <c r="B37" s="484"/>
      <c r="C37" s="213">
        <f>C35</f>
        <v>16863164000</v>
      </c>
      <c r="D37" s="498">
        <f>SUM(D35:E35)</f>
        <v>5487360000</v>
      </c>
      <c r="E37" s="499"/>
      <c r="F37" s="213">
        <f>F35</f>
        <v>11375804000</v>
      </c>
      <c r="G37" s="213">
        <f>G35-G36</f>
        <v>6841305185</v>
      </c>
      <c r="H37" s="214">
        <f t="shared" si="8"/>
        <v>60.139091575417439</v>
      </c>
      <c r="I37" s="213">
        <f t="shared" si="9"/>
        <v>4534498815</v>
      </c>
      <c r="J37" s="214">
        <f t="shared" si="10"/>
        <v>39.860908424582561</v>
      </c>
    </row>
    <row r="38" spans="1:12" s="375" customFormat="1">
      <c r="A38" s="410"/>
      <c r="B38" s="410"/>
      <c r="C38" s="411"/>
      <c r="D38" s="412"/>
      <c r="E38" s="412"/>
      <c r="F38" s="411"/>
      <c r="G38" s="411"/>
      <c r="H38" s="413"/>
      <c r="I38" s="411"/>
      <c r="J38" s="413"/>
      <c r="L38" s="361"/>
    </row>
    <row r="40" spans="1:12" ht="15.75">
      <c r="A40" s="423" t="s">
        <v>4000</v>
      </c>
    </row>
    <row r="41" spans="1:12">
      <c r="A41" s="480" t="s">
        <v>592</v>
      </c>
      <c r="B41" s="480" t="s">
        <v>500</v>
      </c>
      <c r="C41" s="480" t="s">
        <v>5580</v>
      </c>
      <c r="D41" s="480" t="s">
        <v>5577</v>
      </c>
      <c r="E41" s="480" t="s">
        <v>5579</v>
      </c>
      <c r="F41" s="480" t="s">
        <v>5581</v>
      </c>
      <c r="G41" s="482" t="str">
        <f>IF($L$8=TRUE,"Realisasi vs Pagu+Blokir","Realisasi vs Pagu-Blokir")</f>
        <v>Realisasi vs Pagu-Blokir</v>
      </c>
      <c r="H41" s="482"/>
      <c r="I41" s="482" t="str">
        <f>IF($L$8=TRUE,"Sisa vs Pagu+Blokir","Sisa vs Pagu-Blokir")</f>
        <v>Sisa vs Pagu-Blokir</v>
      </c>
      <c r="J41" s="482"/>
    </row>
    <row r="42" spans="1:12">
      <c r="A42" s="480"/>
      <c r="B42" s="480"/>
      <c r="C42" s="480"/>
      <c r="D42" s="480"/>
      <c r="E42" s="480"/>
      <c r="F42" s="480"/>
      <c r="G42" s="408" t="s">
        <v>5589</v>
      </c>
      <c r="H42" s="408" t="s">
        <v>3846</v>
      </c>
      <c r="I42" s="408" t="s">
        <v>5589</v>
      </c>
      <c r="J42" s="408" t="s">
        <v>3846</v>
      </c>
    </row>
    <row r="43" spans="1:12">
      <c r="A43" s="481"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1"/>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1"/>
      <c r="B45" s="296" t="s">
        <v>5585</v>
      </c>
      <c r="C45" s="194">
        <f>SUM(C43:C44)</f>
        <v>297880000</v>
      </c>
      <c r="D45" s="194">
        <f t="shared" ref="D45:E45" si="15">SUM(D43:D44)</f>
        <v>0</v>
      </c>
      <c r="E45" s="194">
        <f t="shared" si="15"/>
        <v>209068000</v>
      </c>
      <c r="F45" s="194">
        <f t="shared" ref="F45" si="16">SUM(F43:F44)</f>
        <v>88812000</v>
      </c>
      <c r="G45" s="194">
        <f t="shared" ref="G45" si="17">SUM(G43:G44)</f>
        <v>88811280</v>
      </c>
      <c r="H45" s="418">
        <f t="shared" si="12"/>
        <v>99.999189298743417</v>
      </c>
      <c r="I45" s="194">
        <f t="shared" si="13"/>
        <v>720</v>
      </c>
      <c r="J45" s="415">
        <f t="shared" si="14"/>
        <v>8.107012565869478E-4</v>
      </c>
    </row>
    <row r="46" spans="1:12">
      <c r="A46" s="481"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1"/>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1"/>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c r="A49" s="481"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1"/>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1"/>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c r="A52" s="481"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1"/>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1"/>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c r="A55" s="478" t="s">
        <v>3852</v>
      </c>
      <c r="B55" s="478"/>
      <c r="C55" s="176">
        <f>C45+C48+C51+C54</f>
        <v>348880000</v>
      </c>
      <c r="D55" s="176">
        <f t="shared" ref="D55:E55" si="29">D45+D48+D51+D54</f>
        <v>0</v>
      </c>
      <c r="E55" s="176">
        <f t="shared" si="29"/>
        <v>247068000</v>
      </c>
      <c r="F55" s="176">
        <f>F45+F48+F51+F54</f>
        <v>101812000</v>
      </c>
      <c r="G55" s="176">
        <f>G45+G48+G51+G54</f>
        <v>89176280</v>
      </c>
      <c r="H55" s="420">
        <f t="shared" si="12"/>
        <v>87.589164342120768</v>
      </c>
      <c r="I55" s="176">
        <f t="shared" si="13"/>
        <v>12635720</v>
      </c>
      <c r="J55" s="416">
        <f t="shared" si="14"/>
        <v>12.410835657879229</v>
      </c>
    </row>
    <row r="56" spans="1:10">
      <c r="A56" s="478" t="s">
        <v>5583</v>
      </c>
      <c r="B56" s="478"/>
      <c r="C56" s="406">
        <f>C55</f>
        <v>348880000</v>
      </c>
      <c r="D56" s="479">
        <f>SUM(D55:E55)</f>
        <v>247068000</v>
      </c>
      <c r="E56" s="479"/>
      <c r="F56" s="406">
        <f>F55</f>
        <v>101812000</v>
      </c>
      <c r="G56" s="176">
        <f>G55</f>
        <v>89176280</v>
      </c>
      <c r="H56" s="420">
        <f t="shared" si="12"/>
        <v>87.589164342120768</v>
      </c>
      <c r="I56" s="176">
        <f t="shared" si="13"/>
        <v>12635720</v>
      </c>
      <c r="J56" s="416">
        <f t="shared" si="14"/>
        <v>12.410835657879229</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5" sqref="L25"/>
    </sheetView>
  </sheetViews>
  <sheetFormatPr defaultRowHeight="1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90" t="str">
        <f>IF(L8=TRUE,"REALISASI TANPA GAJI (BERDASARKAN PAGU SEBELUM BLOKIR)","REALISASI TANPA GAJI (BERDASARKAN PAGU SETELAH BLOKIR)")</f>
        <v>REALISASI TANPA GAJI (BERDASARKAN PAGU SETELAH BLOKIR)</v>
      </c>
      <c r="B1" s="490"/>
      <c r="C1" s="490"/>
      <c r="D1" s="490"/>
      <c r="E1" s="490"/>
      <c r="F1" s="490"/>
      <c r="G1" s="490"/>
      <c r="H1" s="490"/>
      <c r="I1" s="490"/>
      <c r="J1" s="490"/>
      <c r="L1" s="422" t="s">
        <v>5584</v>
      </c>
    </row>
    <row r="2" spans="1:13" ht="15.75">
      <c r="A2" s="491" t="str">
        <f>'PER BULAN'!B5</f>
        <v>Berdasarkan DIPA Revisi 2 TA. 2022 (Tanggal 9 Juni 2022)</v>
      </c>
      <c r="B2" s="491"/>
      <c r="C2" s="491"/>
      <c r="D2" s="491"/>
      <c r="E2" s="491"/>
      <c r="F2" s="491"/>
      <c r="G2" s="491"/>
      <c r="H2" s="491"/>
      <c r="I2" s="491"/>
      <c r="J2" s="491"/>
    </row>
    <row r="3" spans="1:13" ht="15.75">
      <c r="A3" s="491" t="str">
        <f>'PER BULAN'!B6</f>
        <v>SAMPAI DENGAN 13 JULI 2022</v>
      </c>
      <c r="B3" s="491"/>
      <c r="C3" s="491"/>
      <c r="D3" s="491"/>
      <c r="E3" s="491"/>
      <c r="F3" s="491"/>
      <c r="G3" s="491"/>
      <c r="H3" s="491"/>
      <c r="I3" s="491"/>
      <c r="J3" s="491"/>
    </row>
    <row r="4" spans="1:13">
      <c r="A4" s="427"/>
      <c r="B4" s="427"/>
      <c r="C4" s="427"/>
      <c r="D4" s="427"/>
      <c r="E4" s="427"/>
      <c r="F4" s="427"/>
      <c r="G4" s="427"/>
      <c r="H4" s="427"/>
      <c r="I4" s="427"/>
      <c r="J4" s="427"/>
    </row>
    <row r="5" spans="1:13" ht="15.75">
      <c r="A5" s="424" t="s">
        <v>3995</v>
      </c>
    </row>
    <row r="6" spans="1:13">
      <c r="A6" s="480" t="s">
        <v>592</v>
      </c>
      <c r="B6" s="480" t="s">
        <v>500</v>
      </c>
      <c r="C6" s="480" t="s">
        <v>5580</v>
      </c>
      <c r="D6" s="480" t="s">
        <v>5577</v>
      </c>
      <c r="E6" s="480" t="s">
        <v>5579</v>
      </c>
      <c r="F6" s="480" t="s">
        <v>3848</v>
      </c>
      <c r="G6" s="482" t="s">
        <v>3849</v>
      </c>
      <c r="H6" s="482"/>
      <c r="I6" s="482" t="s">
        <v>3850</v>
      </c>
      <c r="J6" s="482"/>
    </row>
    <row r="7" spans="1:13">
      <c r="A7" s="480"/>
      <c r="B7" s="480"/>
      <c r="C7" s="480"/>
      <c r="D7" s="480"/>
      <c r="E7" s="480"/>
      <c r="F7" s="480"/>
      <c r="G7" s="408" t="s">
        <v>5589</v>
      </c>
      <c r="H7" s="408" t="s">
        <v>3846</v>
      </c>
      <c r="I7" s="408" t="s">
        <v>5589</v>
      </c>
      <c r="J7" s="408" t="s">
        <v>3846</v>
      </c>
    </row>
    <row r="8" spans="1:13">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455306499</v>
      </c>
      <c r="H8" s="414">
        <f>IFERROR(IF($L$8=TRUE,G8/C8*100,G8/F8*100),0)</f>
        <v>67.886888460139204</v>
      </c>
      <c r="I8" s="169">
        <f>IF($L$8=TRUE,C8-G8,F8-G8)</f>
        <v>215377501</v>
      </c>
      <c r="J8" s="263">
        <f>IFERROR(IF($L$8=TRUE,I8/C8*100,I8/F8*100),0)</f>
        <v>32.113111539860803</v>
      </c>
      <c r="L8" s="407" t="b">
        <v>0</v>
      </c>
    </row>
    <row r="9" spans="1:13">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87"/>
      <c r="B12" s="296" t="s">
        <v>5585</v>
      </c>
      <c r="C12" s="194">
        <f>SUM(C8:C11)</f>
        <v>4328014000</v>
      </c>
      <c r="D12" s="194">
        <f>SUM(D8:D11)</f>
        <v>100000000</v>
      </c>
      <c r="E12" s="194">
        <f>SUM(E8:E11)</f>
        <v>609552000</v>
      </c>
      <c r="F12" s="194">
        <f>SUM(F8:F11)</f>
        <v>3618462000</v>
      </c>
      <c r="G12" s="194">
        <f>SUM(G8:G11)</f>
        <v>2143336333</v>
      </c>
      <c r="H12" s="415">
        <f t="shared" si="0"/>
        <v>59.233351987667696</v>
      </c>
      <c r="I12" s="194">
        <f t="shared" si="1"/>
        <v>1475125667</v>
      </c>
      <c r="J12" s="264">
        <f t="shared" si="2"/>
        <v>40.766648012332311</v>
      </c>
      <c r="K12" s="189"/>
    </row>
    <row r="13" spans="1:13" ht="15" customHeight="1">
      <c r="A13" s="485"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14">
        <f t="shared" si="0"/>
        <v>48.23501622901626</v>
      </c>
      <c r="I13" s="169">
        <f t="shared" si="1"/>
        <v>152146605</v>
      </c>
      <c r="J13" s="263">
        <f t="shared" si="2"/>
        <v>51.76498377098374</v>
      </c>
    </row>
    <row r="14" spans="1:13">
      <c r="A14" s="486"/>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14">
        <f t="shared" si="0"/>
        <v>63.932333941635846</v>
      </c>
      <c r="I14" s="169">
        <f t="shared" si="1"/>
        <v>2193815788</v>
      </c>
      <c r="J14" s="263">
        <f t="shared" si="2"/>
        <v>36.067666058364161</v>
      </c>
      <c r="M14" s="217"/>
    </row>
    <row r="15" spans="1:13">
      <c r="A15" s="486"/>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87"/>
      <c r="B16" s="296" t="s">
        <v>5586</v>
      </c>
      <c r="C16" s="194">
        <f>SUM(C13:C15)</f>
        <v>9985150000</v>
      </c>
      <c r="D16" s="194">
        <f t="shared" ref="D16:E16" si="3">SUM(D13:D15)</f>
        <v>0</v>
      </c>
      <c r="E16" s="194">
        <f t="shared" si="3"/>
        <v>3438934000</v>
      </c>
      <c r="F16" s="194">
        <f>SUM(F13:F15)</f>
        <v>6546216000</v>
      </c>
      <c r="G16" s="194">
        <f>SUM(G13:G15)</f>
        <v>4136251904</v>
      </c>
      <c r="H16" s="415">
        <f t="shared" si="0"/>
        <v>63.185386855551364</v>
      </c>
      <c r="I16" s="194">
        <f t="shared" si="1"/>
        <v>2409964096</v>
      </c>
      <c r="J16" s="264">
        <f t="shared" si="2"/>
        <v>36.814613144448636</v>
      </c>
    </row>
    <row r="17" spans="1:13" ht="15" customHeight="1">
      <c r="A17" s="485"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14">
        <f t="shared" si="0"/>
        <v>66.441042166411378</v>
      </c>
      <c r="I17" s="169">
        <f t="shared" si="1"/>
        <v>69670410</v>
      </c>
      <c r="J17" s="263">
        <f t="shared" si="2"/>
        <v>33.558957833588629</v>
      </c>
    </row>
    <row r="18" spans="1:13">
      <c r="A18" s="486"/>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14">
        <f t="shared" si="0"/>
        <v>51.507620036051783</v>
      </c>
      <c r="I18" s="169">
        <f t="shared" si="1"/>
        <v>79897500</v>
      </c>
      <c r="J18" s="263">
        <f t="shared" si="2"/>
        <v>48.492379963948217</v>
      </c>
      <c r="M18" s="217"/>
    </row>
    <row r="19" spans="1:13">
      <c r="A19" s="487"/>
      <c r="B19" s="296" t="s">
        <v>5587</v>
      </c>
      <c r="C19" s="194">
        <f>SUM(C17:C18)</f>
        <v>1278600000</v>
      </c>
      <c r="D19" s="194">
        <f t="shared" ref="D19:E19" si="4">SUM(D17:D18)</f>
        <v>0</v>
      </c>
      <c r="E19" s="194">
        <f t="shared" si="4"/>
        <v>906231000</v>
      </c>
      <c r="F19" s="194">
        <f>SUM(F17:F18)</f>
        <v>372369000</v>
      </c>
      <c r="G19" s="194">
        <f>SUM(G17:G18)</f>
        <v>222801090</v>
      </c>
      <c r="H19" s="415">
        <f t="shared" si="0"/>
        <v>59.833415241333199</v>
      </c>
      <c r="I19" s="194">
        <f t="shared" si="1"/>
        <v>149567910</v>
      </c>
      <c r="J19" s="264">
        <f t="shared" si="2"/>
        <v>40.166584758666808</v>
      </c>
    </row>
    <row r="20" spans="1:13" ht="15" customHeight="1">
      <c r="A20" s="485"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14">
        <f t="shared" si="0"/>
        <v>36.087008596823544</v>
      </c>
      <c r="I20" s="169">
        <f t="shared" si="1"/>
        <v>438634860</v>
      </c>
      <c r="J20" s="263">
        <f t="shared" si="2"/>
        <v>63.912991403176456</v>
      </c>
    </row>
    <row r="21" spans="1:13">
      <c r="A21" s="486"/>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87"/>
      <c r="B22" s="296" t="s">
        <v>5588</v>
      </c>
      <c r="C22" s="194">
        <f>SUM(C20:C21)</f>
        <v>1271400000</v>
      </c>
      <c r="D22" s="194">
        <f t="shared" ref="D22:E22" si="5">SUM(D20:D21)</f>
        <v>0</v>
      </c>
      <c r="E22" s="194">
        <f t="shared" si="5"/>
        <v>432643000</v>
      </c>
      <c r="F22" s="194">
        <f>SUM(F20:F21)</f>
        <v>838757000</v>
      </c>
      <c r="G22" s="194">
        <f>SUM(G20:G21)</f>
        <v>338915858</v>
      </c>
      <c r="H22" s="415">
        <f t="shared" si="0"/>
        <v>40.406918571171389</v>
      </c>
      <c r="I22" s="194">
        <f t="shared" si="1"/>
        <v>499841142</v>
      </c>
      <c r="J22" s="264">
        <f t="shared" si="2"/>
        <v>59.593081428828611</v>
      </c>
    </row>
    <row r="23" spans="1:13">
      <c r="A23" s="478" t="s">
        <v>3852</v>
      </c>
      <c r="B23" s="478"/>
      <c r="C23" s="176">
        <f>C12++C16+C19+C22</f>
        <v>16863164000</v>
      </c>
      <c r="D23" s="176">
        <f t="shared" ref="D23:E23" si="6">D12++D16+D19+D22</f>
        <v>100000000</v>
      </c>
      <c r="E23" s="176">
        <f t="shared" si="6"/>
        <v>5387360000</v>
      </c>
      <c r="F23" s="176">
        <f>F12++F16+F19+F22</f>
        <v>11375804000</v>
      </c>
      <c r="G23" s="176">
        <f>G12++G16+G19+G22</f>
        <v>6841305185</v>
      </c>
      <c r="H23" s="416">
        <f t="shared" si="0"/>
        <v>60.139091575417439</v>
      </c>
      <c r="I23" s="176">
        <f t="shared" si="1"/>
        <v>4534498815</v>
      </c>
      <c r="J23" s="265">
        <f t="shared" si="2"/>
        <v>39.860908424582561</v>
      </c>
      <c r="M23" s="215"/>
    </row>
    <row r="24" spans="1:13">
      <c r="A24" s="492" t="s">
        <v>5583</v>
      </c>
      <c r="B24" s="493"/>
      <c r="C24" s="406">
        <f>C23</f>
        <v>16863164000</v>
      </c>
      <c r="D24" s="494">
        <f>SUM(D23,E23)</f>
        <v>5487360000</v>
      </c>
      <c r="E24" s="495"/>
      <c r="F24" s="406">
        <f>F23</f>
        <v>11375804000</v>
      </c>
      <c r="G24" s="176">
        <f>G23</f>
        <v>6841305185</v>
      </c>
      <c r="H24" s="416">
        <f t="shared" si="0"/>
        <v>60.139091575417439</v>
      </c>
      <c r="I24" s="176">
        <f t="shared" si="1"/>
        <v>4534498815</v>
      </c>
      <c r="J24" s="265">
        <f t="shared" si="2"/>
        <v>39.860908424582561</v>
      </c>
      <c r="M24" s="217"/>
    </row>
    <row r="27" spans="1:13" ht="15.75">
      <c r="A27" s="424" t="s">
        <v>4002</v>
      </c>
    </row>
    <row r="28" spans="1:13" ht="14.45" customHeight="1">
      <c r="A28" s="488" t="s">
        <v>3988</v>
      </c>
      <c r="B28" s="488" t="s">
        <v>3989</v>
      </c>
      <c r="C28" s="488" t="s">
        <v>5580</v>
      </c>
      <c r="D28" s="496" t="s">
        <v>5577</v>
      </c>
      <c r="E28" s="496" t="s">
        <v>5579</v>
      </c>
      <c r="F28" s="480" t="s">
        <v>3848</v>
      </c>
      <c r="G28" s="482" t="s">
        <v>3849</v>
      </c>
      <c r="H28" s="482"/>
      <c r="I28" s="482" t="s">
        <v>3850</v>
      </c>
      <c r="J28" s="482"/>
    </row>
    <row r="29" spans="1:13">
      <c r="A29" s="489"/>
      <c r="B29" s="489"/>
      <c r="C29" s="489"/>
      <c r="D29" s="497"/>
      <c r="E29" s="497"/>
      <c r="F29" s="480"/>
      <c r="G29" s="212" t="s">
        <v>5589</v>
      </c>
      <c r="H29" s="426"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6187105185</v>
      </c>
      <c r="H30" s="205">
        <f t="shared" ref="H30:H37" si="8">IFERROR(IF($L$8=TRUE,G30/C30*100,G30/F30*100),0)</f>
        <v>57.7068989397482</v>
      </c>
      <c r="I30" s="206">
        <f t="shared" ref="I30:I37" si="9">IF($L$8=TRUE,C30-G30,F30-G30)</f>
        <v>4534498815</v>
      </c>
      <c r="J30" s="205">
        <f t="shared" ref="J30:J37" si="10">IFERROR(IF($L$8=TRUE,I30/C30*100,I30/F30*100),0)</f>
        <v>42.2931010602518</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5303042871</v>
      </c>
      <c r="H32" s="209">
        <f t="shared" si="8"/>
        <v>61.477812068380679</v>
      </c>
      <c r="I32" s="210">
        <f t="shared" si="9"/>
        <v>3322903129</v>
      </c>
      <c r="J32" s="209">
        <f t="shared" si="10"/>
        <v>38.522187931619328</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3" t="s">
        <v>611</v>
      </c>
      <c r="B35" s="484"/>
      <c r="C35" s="213">
        <f>SUM(C30,C33)</f>
        <v>16863164000</v>
      </c>
      <c r="D35" s="213">
        <f t="shared" ref="D35:E35" si="11">SUM(D30,D33)</f>
        <v>100000000</v>
      </c>
      <c r="E35" s="213">
        <f t="shared" si="11"/>
        <v>5387360000</v>
      </c>
      <c r="F35" s="213">
        <f>SUM(F30,F33)</f>
        <v>11375804000</v>
      </c>
      <c r="G35" s="213">
        <f>SUM(G30,G33)</f>
        <v>6841305185</v>
      </c>
      <c r="H35" s="214">
        <f t="shared" si="8"/>
        <v>60.139091575417439</v>
      </c>
      <c r="I35" s="213">
        <f t="shared" si="9"/>
        <v>4534498815</v>
      </c>
      <c r="J35" s="214">
        <f t="shared" si="10"/>
        <v>39.860908424582561</v>
      </c>
    </row>
    <row r="36" spans="1:12">
      <c r="A36" s="483" t="s">
        <v>3993</v>
      </c>
      <c r="B36" s="484"/>
      <c r="C36" s="213"/>
      <c r="D36" s="213"/>
      <c r="E36" s="213"/>
      <c r="F36" s="213"/>
      <c r="G36" s="213"/>
      <c r="H36" s="214"/>
      <c r="I36" s="213"/>
      <c r="J36" s="214"/>
    </row>
    <row r="37" spans="1:12">
      <c r="A37" s="483" t="s">
        <v>3994</v>
      </c>
      <c r="B37" s="484"/>
      <c r="C37" s="213">
        <f>C35</f>
        <v>16863164000</v>
      </c>
      <c r="D37" s="498">
        <f>SUM(D35:E35)</f>
        <v>5487360000</v>
      </c>
      <c r="E37" s="499"/>
      <c r="F37" s="213">
        <f>F35</f>
        <v>11375804000</v>
      </c>
      <c r="G37" s="213">
        <f>G35-G36</f>
        <v>6841305185</v>
      </c>
      <c r="H37" s="214">
        <f t="shared" si="8"/>
        <v>60.139091575417439</v>
      </c>
      <c r="I37" s="213">
        <f t="shared" si="9"/>
        <v>4534498815</v>
      </c>
      <c r="J37" s="214">
        <f t="shared" si="10"/>
        <v>39.860908424582561</v>
      </c>
    </row>
    <row r="38" spans="1:12" s="375" customFormat="1">
      <c r="A38" s="410"/>
      <c r="B38" s="410"/>
      <c r="C38" s="411"/>
      <c r="D38" s="412"/>
      <c r="E38" s="412"/>
      <c r="F38" s="411"/>
      <c r="G38" s="411"/>
      <c r="H38" s="413"/>
      <c r="I38" s="411"/>
      <c r="J38" s="413"/>
      <c r="L38" s="361"/>
    </row>
    <row r="40" spans="1:12" ht="15.75">
      <c r="A40" s="423" t="s">
        <v>4000</v>
      </c>
    </row>
    <row r="41" spans="1:12">
      <c r="A41" s="480" t="s">
        <v>592</v>
      </c>
      <c r="B41" s="480" t="s">
        <v>500</v>
      </c>
      <c r="C41" s="480" t="s">
        <v>5580</v>
      </c>
      <c r="D41" s="480" t="s">
        <v>5577</v>
      </c>
      <c r="E41" s="480" t="s">
        <v>5579</v>
      </c>
      <c r="F41" s="480" t="s">
        <v>3848</v>
      </c>
      <c r="G41" s="482" t="s">
        <v>3849</v>
      </c>
      <c r="H41" s="482"/>
      <c r="I41" s="482" t="s">
        <v>3850</v>
      </c>
      <c r="J41" s="482"/>
    </row>
    <row r="42" spans="1:12">
      <c r="A42" s="480"/>
      <c r="B42" s="480"/>
      <c r="C42" s="480"/>
      <c r="D42" s="480"/>
      <c r="E42" s="480"/>
      <c r="F42" s="480"/>
      <c r="G42" s="408" t="s">
        <v>5589</v>
      </c>
      <c r="H42" s="408" t="s">
        <v>3846</v>
      </c>
      <c r="I42" s="408" t="s">
        <v>5589</v>
      </c>
      <c r="J42" s="408" t="s">
        <v>3846</v>
      </c>
    </row>
    <row r="43" spans="1:12">
      <c r="A43" s="481"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1"/>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1"/>
      <c r="B45" s="296" t="s">
        <v>5585</v>
      </c>
      <c r="C45" s="194">
        <f>SUM(C43:C44)</f>
        <v>297880000</v>
      </c>
      <c r="D45" s="194">
        <f t="shared" ref="D45:G45" si="15">SUM(D43:D44)</f>
        <v>0</v>
      </c>
      <c r="E45" s="194">
        <f t="shared" si="15"/>
        <v>209068000</v>
      </c>
      <c r="F45" s="194">
        <f t="shared" si="15"/>
        <v>88812000</v>
      </c>
      <c r="G45" s="194">
        <f t="shared" si="15"/>
        <v>88811280</v>
      </c>
      <c r="H45" s="418">
        <f t="shared" si="12"/>
        <v>99.999189298743417</v>
      </c>
      <c r="I45" s="194">
        <f t="shared" si="13"/>
        <v>720</v>
      </c>
      <c r="J45" s="415">
        <f t="shared" si="14"/>
        <v>8.107012565869478E-4</v>
      </c>
    </row>
    <row r="46" spans="1:12">
      <c r="A46" s="481"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1"/>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1"/>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c r="A49" s="481"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1"/>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1"/>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c r="A52" s="481"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1"/>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1"/>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c r="A55" s="478" t="s">
        <v>3852</v>
      </c>
      <c r="B55" s="478"/>
      <c r="C55" s="176">
        <f>C45+C48+C51+C54</f>
        <v>348880000</v>
      </c>
      <c r="D55" s="176">
        <f t="shared" ref="D55:E55" si="21">D45+D48+D51+D54</f>
        <v>0</v>
      </c>
      <c r="E55" s="176">
        <f t="shared" si="21"/>
        <v>247068000</v>
      </c>
      <c r="F55" s="176">
        <f>F45+F48+F51+F54</f>
        <v>101812000</v>
      </c>
      <c r="G55" s="176">
        <f>G45+G48+G51+G54</f>
        <v>89176280</v>
      </c>
      <c r="H55" s="420">
        <f t="shared" si="12"/>
        <v>87.589164342120768</v>
      </c>
      <c r="I55" s="176">
        <f t="shared" si="13"/>
        <v>12635720</v>
      </c>
      <c r="J55" s="416">
        <f t="shared" si="14"/>
        <v>12.410835657879229</v>
      </c>
    </row>
    <row r="56" spans="1:10">
      <c r="A56" s="478" t="s">
        <v>5583</v>
      </c>
      <c r="B56" s="478"/>
      <c r="C56" s="406">
        <f>C55</f>
        <v>348880000</v>
      </c>
      <c r="D56" s="479">
        <f>SUM(D55:E55)</f>
        <v>247068000</v>
      </c>
      <c r="E56" s="479"/>
      <c r="F56" s="406">
        <f>F55</f>
        <v>101812000</v>
      </c>
      <c r="G56" s="176">
        <f>G55</f>
        <v>89176280</v>
      </c>
      <c r="H56" s="420">
        <f t="shared" si="12"/>
        <v>87.589164342120768</v>
      </c>
      <c r="I56" s="176">
        <f t="shared" si="13"/>
        <v>12635720</v>
      </c>
      <c r="J56" s="416">
        <f t="shared" si="14"/>
        <v>12.410835657879229</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sheetData>
    <row r="1" spans="2:16">
      <c r="B1" s="500" t="str">
        <f>'PERSUBBID - Gaji'!A1</f>
        <v>REALISASI TANPA GAJI (BERDASARKAN PAGU SETELAH BLOKIR)</v>
      </c>
      <c r="C1" s="500"/>
      <c r="D1" s="500"/>
      <c r="E1" s="500"/>
      <c r="F1" s="500"/>
      <c r="G1" s="500"/>
      <c r="H1" s="500"/>
      <c r="I1" s="500"/>
      <c r="J1" s="500"/>
      <c r="K1" s="500"/>
      <c r="L1" s="500"/>
      <c r="M1" s="500"/>
      <c r="N1" s="500"/>
      <c r="O1" s="500"/>
      <c r="P1" s="500"/>
    </row>
    <row r="2" spans="2:16" ht="15.75">
      <c r="B2" s="491" t="str">
        <f>'PERSUBBID - Gaji'!A2</f>
        <v>Berdasarkan DIPA Revisi 2 TA. 2022 (Tanggal 9 Juni 2022)</v>
      </c>
      <c r="C2" s="491"/>
      <c r="D2" s="491"/>
      <c r="E2" s="491"/>
      <c r="F2" s="491"/>
      <c r="G2" s="491"/>
      <c r="H2" s="491"/>
      <c r="I2" s="491"/>
      <c r="J2" s="491"/>
      <c r="K2" s="491"/>
      <c r="L2" s="491"/>
      <c r="M2" s="491"/>
      <c r="N2" s="491"/>
      <c r="O2" s="491"/>
      <c r="P2" s="491"/>
    </row>
    <row r="3" spans="2:16" ht="15.75">
      <c r="B3" s="491" t="str">
        <f>'PERSUBBID - Gaji'!A3</f>
        <v>SAMPAI DENGAN 13 JULI 2022</v>
      </c>
      <c r="C3" s="491"/>
      <c r="D3" s="491"/>
      <c r="E3" s="491"/>
      <c r="F3" s="491"/>
      <c r="G3" s="491"/>
      <c r="H3" s="491"/>
      <c r="I3" s="491"/>
      <c r="J3" s="491"/>
      <c r="K3" s="491"/>
      <c r="L3" s="491"/>
      <c r="M3" s="491"/>
      <c r="N3" s="491"/>
      <c r="O3" s="491"/>
      <c r="P3" s="491"/>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90" t="str">
        <f>IF(L8=TRUE,"REALISASI DENGAN GAJI (BERDASARKAN PAGU SEBELUM BLOKIR)","REALISASI DENGAN GAJI (BERDASARKAN PAGU SETELAH BLOKIR)")</f>
        <v>REALISASI DENGAN GAJI (BERDASARKAN PAGU SETELAH BLOKIR)</v>
      </c>
      <c r="B1" s="490"/>
      <c r="C1" s="490"/>
      <c r="D1" s="490"/>
      <c r="E1" s="490"/>
      <c r="F1" s="490"/>
      <c r="G1" s="490"/>
      <c r="H1" s="490"/>
      <c r="I1" s="490"/>
      <c r="J1" s="490"/>
      <c r="L1" s="422"/>
    </row>
    <row r="2" spans="1:13" ht="15.75">
      <c r="A2" s="491" t="str">
        <f>'PER BULAN'!B5</f>
        <v>Berdasarkan DIPA Revisi 2 TA. 2022 (Tanggal 9 Juni 2022)</v>
      </c>
      <c r="B2" s="491"/>
      <c r="C2" s="491"/>
      <c r="D2" s="491"/>
      <c r="E2" s="491"/>
      <c r="F2" s="491"/>
      <c r="G2" s="491"/>
      <c r="H2" s="491"/>
      <c r="I2" s="491"/>
      <c r="J2" s="491"/>
    </row>
    <row r="3" spans="1:13" ht="15.75">
      <c r="A3" s="491" t="str">
        <f>'PER BULAN'!B6</f>
        <v>SAMPAI DENGAN 13 JULI 2022</v>
      </c>
      <c r="B3" s="491"/>
      <c r="C3" s="491"/>
      <c r="D3" s="491"/>
      <c r="E3" s="491"/>
      <c r="F3" s="491"/>
      <c r="G3" s="491"/>
      <c r="H3" s="491"/>
      <c r="I3" s="491"/>
      <c r="J3" s="491"/>
    </row>
    <row r="4" spans="1:13">
      <c r="A4" s="396"/>
      <c r="B4" s="396"/>
      <c r="C4" s="396"/>
      <c r="D4" s="396"/>
      <c r="E4" s="396"/>
      <c r="F4" s="396"/>
      <c r="G4" s="396"/>
      <c r="H4" s="396"/>
      <c r="I4" s="396"/>
      <c r="J4" s="396"/>
    </row>
    <row r="5" spans="1:13" ht="15.75">
      <c r="A5" s="424" t="s">
        <v>3995</v>
      </c>
    </row>
    <row r="6" spans="1:13">
      <c r="A6" s="480" t="s">
        <v>592</v>
      </c>
      <c r="B6" s="480" t="s">
        <v>500</v>
      </c>
      <c r="C6" s="480" t="s">
        <v>5580</v>
      </c>
      <c r="D6" s="480" t="s">
        <v>5577</v>
      </c>
      <c r="E6" s="480" t="s">
        <v>5579</v>
      </c>
      <c r="F6" s="480" t="s">
        <v>5581</v>
      </c>
      <c r="G6" s="482" t="str">
        <f>IF($L$8=TRUE,"Realisasi vs Pagu+Blokir","Realisasi vs Pagu-Blokir")</f>
        <v>Realisasi vs Pagu-Blokir</v>
      </c>
      <c r="H6" s="482"/>
      <c r="I6" s="482" t="str">
        <f>IF($L$8=TRUE,"Sisa vs Pagu+Blokir","Sisa vs Pagu-Blokir")</f>
        <v>Sisa vs Pagu-Blokir</v>
      </c>
      <c r="J6" s="482"/>
    </row>
    <row r="7" spans="1:13">
      <c r="A7" s="480"/>
      <c r="B7" s="480"/>
      <c r="C7" s="480"/>
      <c r="D7" s="480"/>
      <c r="E7" s="480"/>
      <c r="F7" s="480"/>
      <c r="G7" s="408" t="s">
        <v>5589</v>
      </c>
      <c r="H7" s="408" t="s">
        <v>3846</v>
      </c>
      <c r="I7" s="408" t="s">
        <v>5589</v>
      </c>
      <c r="J7" s="408" t="s">
        <v>3846</v>
      </c>
    </row>
    <row r="8" spans="1:13">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455306499</v>
      </c>
      <c r="H8" s="414">
        <f>IFERROR(IF($L$8=TRUE,G8/C8*100,G8/F8*100),0)</f>
        <v>67.886888460139204</v>
      </c>
      <c r="I8" s="169">
        <f>IF($L$8=TRUE,C8-G8,F8-G8)</f>
        <v>215377501</v>
      </c>
      <c r="J8" s="263">
        <f>IFERROR(IF($L$8=TRUE,I8/C8*100,I8/F8*100),0)</f>
        <v>32.113111539860803</v>
      </c>
      <c r="K8" s="425"/>
      <c r="L8" s="407" t="b">
        <v>0</v>
      </c>
    </row>
    <row r="9" spans="1:13">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5" si="0">IFERROR(IF($L$8=TRUE,G9/C9*100,G9/F9*100),0)</f>
        <v>42.185428824741436</v>
      </c>
      <c r="I9" s="169">
        <f t="shared" ref="I9:I25" si="1">IF($L$8=TRUE,C9-G9,F9-G9)</f>
        <v>1211595686</v>
      </c>
      <c r="J9" s="263">
        <f t="shared" ref="J9:J25" si="2">IFERROR(IF($L$8=TRUE,I9/C9*100,I9/F9*100),0)</f>
        <v>57.814571175258557</v>
      </c>
      <c r="K9" s="425"/>
    </row>
    <row r="10" spans="1:13">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6"/>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c r="A13" s="487"/>
      <c r="B13" s="296" t="s">
        <v>5585</v>
      </c>
      <c r="C13" s="194">
        <f>SUM(C8:C12)</f>
        <v>10807010000</v>
      </c>
      <c r="D13" s="194">
        <f t="shared" ref="D13:G13" si="6">SUM(D8:D12)</f>
        <v>423949000</v>
      </c>
      <c r="E13" s="194">
        <f t="shared" si="6"/>
        <v>609552000</v>
      </c>
      <c r="F13" s="194">
        <f t="shared" si="6"/>
        <v>9773509000</v>
      </c>
      <c r="G13" s="194">
        <f t="shared" si="6"/>
        <v>5903254159</v>
      </c>
      <c r="H13" s="415">
        <f t="shared" si="0"/>
        <v>60.400559911491357</v>
      </c>
      <c r="I13" s="194">
        <f t="shared" si="1"/>
        <v>3870254841</v>
      </c>
      <c r="J13" s="264">
        <f t="shared" si="2"/>
        <v>39.599440088508643</v>
      </c>
      <c r="K13" s="425"/>
    </row>
    <row r="14" spans="1:13" ht="15" customHeight="1">
      <c r="A14" s="485"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14">
        <f t="shared" si="0"/>
        <v>48.23501622901626</v>
      </c>
      <c r="I14" s="169">
        <f t="shared" si="1"/>
        <v>152146605</v>
      </c>
      <c r="J14" s="263">
        <f t="shared" si="2"/>
        <v>51.76498377098374</v>
      </c>
      <c r="K14" s="425"/>
    </row>
    <row r="15" spans="1:13">
      <c r="A15" s="486"/>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14">
        <f t="shared" si="0"/>
        <v>63.932333941635846</v>
      </c>
      <c r="I15" s="169">
        <f t="shared" si="1"/>
        <v>2193815788</v>
      </c>
      <c r="J15" s="263">
        <f t="shared" si="2"/>
        <v>36.067666058364161</v>
      </c>
      <c r="K15" s="425"/>
      <c r="M15" s="217"/>
    </row>
    <row r="16" spans="1:13">
      <c r="A16" s="486"/>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87"/>
      <c r="B17" s="296" t="s">
        <v>5586</v>
      </c>
      <c r="C17" s="194">
        <f>SUM(C14:C16)</f>
        <v>9985150000</v>
      </c>
      <c r="D17" s="194">
        <f t="shared" ref="D17:E17" si="7">SUM(D14:D16)</f>
        <v>0</v>
      </c>
      <c r="E17" s="194">
        <f t="shared" si="7"/>
        <v>3438934000</v>
      </c>
      <c r="F17" s="194">
        <f>SUM(F14:F16)</f>
        <v>6546216000</v>
      </c>
      <c r="G17" s="194">
        <f>SUM(G14:G16)</f>
        <v>4136251904</v>
      </c>
      <c r="H17" s="415">
        <f t="shared" si="0"/>
        <v>63.185386855551364</v>
      </c>
      <c r="I17" s="194">
        <f t="shared" si="1"/>
        <v>2409964096</v>
      </c>
      <c r="J17" s="264">
        <f t="shared" si="2"/>
        <v>36.814613144448636</v>
      </c>
      <c r="K17" s="425"/>
    </row>
    <row r="18" spans="1:13" ht="15" customHeight="1">
      <c r="A18" s="485"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14">
        <f t="shared" si="0"/>
        <v>66.441042166411378</v>
      </c>
      <c r="I18" s="169">
        <f t="shared" si="1"/>
        <v>69670410</v>
      </c>
      <c r="J18" s="263">
        <f t="shared" si="2"/>
        <v>33.558957833588629</v>
      </c>
      <c r="K18" s="425"/>
    </row>
    <row r="19" spans="1:13">
      <c r="A19" s="486"/>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14">
        <f t="shared" si="0"/>
        <v>51.507620036051783</v>
      </c>
      <c r="I19" s="169">
        <f t="shared" si="1"/>
        <v>79897500</v>
      </c>
      <c r="J19" s="263">
        <f t="shared" si="2"/>
        <v>48.492379963948217</v>
      </c>
      <c r="K19" s="425"/>
      <c r="M19" s="217"/>
    </row>
    <row r="20" spans="1:13">
      <c r="A20" s="487"/>
      <c r="B20" s="296" t="s">
        <v>5587</v>
      </c>
      <c r="C20" s="194">
        <f>SUM(C18:C19)</f>
        <v>1278600000</v>
      </c>
      <c r="D20" s="194">
        <f t="shared" ref="D20:E20" si="8">SUM(D18:D19)</f>
        <v>0</v>
      </c>
      <c r="E20" s="194">
        <f t="shared" si="8"/>
        <v>906231000</v>
      </c>
      <c r="F20" s="194">
        <f>SUM(F18:F19)</f>
        <v>372369000</v>
      </c>
      <c r="G20" s="194">
        <f>SUM(G18:G19)</f>
        <v>222801090</v>
      </c>
      <c r="H20" s="415">
        <f t="shared" si="0"/>
        <v>59.833415241333199</v>
      </c>
      <c r="I20" s="194">
        <f t="shared" si="1"/>
        <v>149567910</v>
      </c>
      <c r="J20" s="264">
        <f t="shared" si="2"/>
        <v>40.166584758666808</v>
      </c>
      <c r="K20" s="425"/>
    </row>
    <row r="21" spans="1:13" ht="15" customHeight="1">
      <c r="A21" s="485"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14">
        <f t="shared" si="0"/>
        <v>36.087008596823544</v>
      </c>
      <c r="I21" s="169">
        <f t="shared" si="1"/>
        <v>438634860</v>
      </c>
      <c r="J21" s="263">
        <f t="shared" si="2"/>
        <v>63.912991403176456</v>
      </c>
      <c r="K21" s="425"/>
    </row>
    <row r="22" spans="1:13">
      <c r="A22" s="486"/>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87"/>
      <c r="B23" s="296" t="s">
        <v>5588</v>
      </c>
      <c r="C23" s="194">
        <f>SUM(C21:C22)</f>
        <v>1271400000</v>
      </c>
      <c r="D23" s="194">
        <f t="shared" ref="D23:E23" si="9">SUM(D21:D22)</f>
        <v>0</v>
      </c>
      <c r="E23" s="194">
        <f t="shared" si="9"/>
        <v>432643000</v>
      </c>
      <c r="F23" s="194">
        <f>SUM(F21:F22)</f>
        <v>838757000</v>
      </c>
      <c r="G23" s="194">
        <f>SUM(G21:G22)</f>
        <v>338915858</v>
      </c>
      <c r="H23" s="415">
        <f t="shared" si="0"/>
        <v>40.406918571171389</v>
      </c>
      <c r="I23" s="194">
        <f t="shared" si="1"/>
        <v>499841142</v>
      </c>
      <c r="J23" s="264">
        <f t="shared" si="2"/>
        <v>59.593081428828611</v>
      </c>
      <c r="K23" s="425"/>
    </row>
    <row r="24" spans="1:13">
      <c r="A24" s="478" t="s">
        <v>3852</v>
      </c>
      <c r="B24" s="478"/>
      <c r="C24" s="176">
        <f>C13++C17+C20+C23</f>
        <v>23342160000</v>
      </c>
      <c r="D24" s="176">
        <f t="shared" ref="D24:E24" si="10">D13++D17+D20+D23</f>
        <v>423949000</v>
      </c>
      <c r="E24" s="176">
        <f t="shared" si="10"/>
        <v>5387360000</v>
      </c>
      <c r="F24" s="176">
        <f>F13++F17+F20+F23</f>
        <v>17530851000</v>
      </c>
      <c r="G24" s="176">
        <f>G13++G17+G20+G23</f>
        <v>10601223011</v>
      </c>
      <c r="H24" s="416">
        <f t="shared" si="0"/>
        <v>60.471810586947548</v>
      </c>
      <c r="I24" s="176">
        <f t="shared" si="1"/>
        <v>6929627989</v>
      </c>
      <c r="J24" s="265">
        <f t="shared" si="2"/>
        <v>39.528189413052452</v>
      </c>
      <c r="K24" s="425"/>
      <c r="M24" s="215"/>
    </row>
    <row r="25" spans="1:13">
      <c r="A25" s="492" t="s">
        <v>5583</v>
      </c>
      <c r="B25" s="493"/>
      <c r="C25" s="406">
        <f>C24</f>
        <v>23342160000</v>
      </c>
      <c r="D25" s="494">
        <f>SUM(D24,E24)</f>
        <v>5811309000</v>
      </c>
      <c r="E25" s="495"/>
      <c r="F25" s="406">
        <f>F24</f>
        <v>17530851000</v>
      </c>
      <c r="G25" s="176">
        <f>G24</f>
        <v>10601223011</v>
      </c>
      <c r="H25" s="416">
        <f t="shared" si="0"/>
        <v>60.471810586947548</v>
      </c>
      <c r="I25" s="176">
        <f t="shared" si="1"/>
        <v>6929627989</v>
      </c>
      <c r="J25" s="265">
        <f t="shared" si="2"/>
        <v>39.528189413052452</v>
      </c>
      <c r="K25" s="425"/>
      <c r="M25" s="217"/>
    </row>
    <row r="29" spans="1:13" ht="15.75">
      <c r="A29" s="424" t="s">
        <v>4002</v>
      </c>
    </row>
    <row r="30" spans="1:13" ht="14.45" customHeight="1">
      <c r="A30" s="488" t="s">
        <v>3988</v>
      </c>
      <c r="B30" s="488" t="s">
        <v>3989</v>
      </c>
      <c r="C30" s="488" t="s">
        <v>5580</v>
      </c>
      <c r="D30" s="496" t="s">
        <v>5577</v>
      </c>
      <c r="E30" s="496" t="s">
        <v>5579</v>
      </c>
      <c r="F30" s="488" t="s">
        <v>5581</v>
      </c>
      <c r="G30" s="482" t="str">
        <f>IF($L$8=TRUE,"Realisasi vs Pagu+Blokir","Realisasi vs Pagu-Blokir")</f>
        <v>Realisasi vs Pagu-Blokir</v>
      </c>
      <c r="H30" s="482"/>
      <c r="I30" s="482" t="str">
        <f>IF($L$8=TRUE,"Sisa vs Pagu+Blokir","Sisa vs Pagu-Blokir")</f>
        <v>Sisa vs Pagu-Blokir</v>
      </c>
      <c r="J30" s="482"/>
    </row>
    <row r="31" spans="1:13">
      <c r="A31" s="489"/>
      <c r="B31" s="489"/>
      <c r="C31" s="489"/>
      <c r="D31" s="497"/>
      <c r="E31" s="497"/>
      <c r="F31" s="489"/>
      <c r="G31" s="212" t="s">
        <v>5589</v>
      </c>
      <c r="H31" s="395" t="s">
        <v>3846</v>
      </c>
      <c r="I31" s="212" t="s">
        <v>5589</v>
      </c>
      <c r="J31" s="212" t="s">
        <v>3846</v>
      </c>
    </row>
    <row r="32" spans="1:13">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c r="A33" s="202">
        <v>2</v>
      </c>
      <c r="B33" s="203" t="s">
        <v>3990</v>
      </c>
      <c r="C33" s="204">
        <f>SUM(C34:C35)</f>
        <v>16207230000</v>
      </c>
      <c r="D33" s="204">
        <f t="shared" ref="D33:E33" si="15">SUM(D34:D35)</f>
        <v>100000000</v>
      </c>
      <c r="E33" s="204">
        <f t="shared" si="15"/>
        <v>5385626000</v>
      </c>
      <c r="F33" s="204">
        <f>SUM(F34:F35)</f>
        <v>10721604000</v>
      </c>
      <c r="G33" s="204">
        <f>SUM(G34:G35)</f>
        <v>6187105185</v>
      </c>
      <c r="H33" s="205">
        <f t="shared" ref="H33:H40" si="16">IFERROR(IF($L$8=TRUE,G33/C33*100,G33/F33*100),0)</f>
        <v>57.7068989397482</v>
      </c>
      <c r="I33" s="206">
        <f t="shared" ref="I33:I40" si="17">IF($L$8=TRUE,C33-G33,F33-G33)</f>
        <v>4534498815</v>
      </c>
      <c r="J33" s="205">
        <f t="shared" ref="J33:J40" si="18">IFERROR(IF($L$8=TRUE,I33/C33*100,I33/F33*100),0)</f>
        <v>42.2931010602518</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5303042871</v>
      </c>
      <c r="H35" s="209">
        <f t="shared" si="16"/>
        <v>61.477812068380679</v>
      </c>
      <c r="I35" s="210">
        <f t="shared" si="17"/>
        <v>3322903129</v>
      </c>
      <c r="J35" s="209">
        <f t="shared" si="18"/>
        <v>38.522187931619328</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c r="A37" s="202"/>
      <c r="B37" s="203"/>
      <c r="C37" s="204"/>
      <c r="D37" s="204"/>
      <c r="E37" s="204"/>
      <c r="F37" s="204"/>
      <c r="G37" s="204"/>
      <c r="H37" s="205"/>
      <c r="I37" s="206"/>
      <c r="J37" s="205"/>
      <c r="K37" s="425"/>
    </row>
    <row r="38" spans="1:12">
      <c r="A38" s="483" t="s">
        <v>611</v>
      </c>
      <c r="B38" s="484"/>
      <c r="C38" s="213">
        <f>SUM(C32,C33,C36)</f>
        <v>23342160000</v>
      </c>
      <c r="D38" s="213">
        <f t="shared" ref="D38:G38" si="19">SUM(D32,D33,D36)</f>
        <v>423949000</v>
      </c>
      <c r="E38" s="213">
        <f t="shared" si="19"/>
        <v>5387360000</v>
      </c>
      <c r="F38" s="213">
        <f t="shared" si="19"/>
        <v>17530851000</v>
      </c>
      <c r="G38" s="213">
        <f t="shared" si="19"/>
        <v>10601223011</v>
      </c>
      <c r="H38" s="214">
        <f t="shared" si="16"/>
        <v>60.471810586947548</v>
      </c>
      <c r="I38" s="213">
        <f t="shared" si="17"/>
        <v>6929627989</v>
      </c>
      <c r="J38" s="214">
        <f t="shared" si="18"/>
        <v>39.528189413052452</v>
      </c>
      <c r="K38" s="425"/>
    </row>
    <row r="39" spans="1:12">
      <c r="A39" s="483" t="s">
        <v>3993</v>
      </c>
      <c r="B39" s="484"/>
      <c r="C39" s="213"/>
      <c r="D39" s="213"/>
      <c r="E39" s="213"/>
      <c r="F39" s="213"/>
      <c r="G39" s="213"/>
      <c r="H39" s="214"/>
      <c r="I39" s="213"/>
      <c r="J39" s="214"/>
      <c r="K39" s="425"/>
    </row>
    <row r="40" spans="1:12">
      <c r="A40" s="483" t="s">
        <v>3994</v>
      </c>
      <c r="B40" s="484"/>
      <c r="C40" s="213">
        <f>C38</f>
        <v>23342160000</v>
      </c>
      <c r="D40" s="498">
        <f>SUM(D38:E38)</f>
        <v>5811309000</v>
      </c>
      <c r="E40" s="499"/>
      <c r="F40" s="213">
        <f>F38</f>
        <v>17530851000</v>
      </c>
      <c r="G40" s="213">
        <f>G38-G39</f>
        <v>10601223011</v>
      </c>
      <c r="H40" s="214">
        <f t="shared" si="16"/>
        <v>60.471810586947548</v>
      </c>
      <c r="I40" s="213">
        <f t="shared" si="17"/>
        <v>6929627989</v>
      </c>
      <c r="J40" s="214">
        <f t="shared" si="18"/>
        <v>39.528189413052452</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0" t="s">
        <v>592</v>
      </c>
      <c r="B45" s="480" t="s">
        <v>500</v>
      </c>
      <c r="C45" s="480" t="s">
        <v>5580</v>
      </c>
      <c r="D45" s="480" t="s">
        <v>5577</v>
      </c>
      <c r="E45" s="480" t="s">
        <v>5579</v>
      </c>
      <c r="F45" s="480" t="s">
        <v>5581</v>
      </c>
      <c r="G45" s="482" t="str">
        <f>IF($L$8=TRUE,"Realisasi vs Pagu+Blokir","Realisasi vs Pagu-Blokir")</f>
        <v>Realisasi vs Pagu-Blokir</v>
      </c>
      <c r="H45" s="482"/>
      <c r="I45" s="482" t="str">
        <f>IF($L$8=TRUE,"Sisa vs Pagu+Blokir","Sisa vs Pagu-Blokir")</f>
        <v>Sisa vs Pagu-Blokir</v>
      </c>
      <c r="J45" s="482"/>
    </row>
    <row r="46" spans="1:12">
      <c r="A46" s="480"/>
      <c r="B46" s="480"/>
      <c r="C46" s="480"/>
      <c r="D46" s="480"/>
      <c r="E46" s="480"/>
      <c r="F46" s="480"/>
      <c r="G46" s="408" t="s">
        <v>5589</v>
      </c>
      <c r="H46" s="408" t="s">
        <v>3846</v>
      </c>
      <c r="I46" s="408" t="s">
        <v>5589</v>
      </c>
      <c r="J46" s="408" t="s">
        <v>3846</v>
      </c>
    </row>
    <row r="47" spans="1:12">
      <c r="A47" s="481"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20">IFERROR(IF($L$8=TRUE,G47/C47*100,G47/F47*100),0)</f>
        <v>99.999189298743417</v>
      </c>
      <c r="I47" s="169">
        <f t="shared" ref="I47:I60" si="21">IF($L$8=TRUE,C47-G47,F47-G47)</f>
        <v>720</v>
      </c>
      <c r="J47" s="414">
        <f t="shared" ref="J47:J60" si="22">IFERROR(IF($L$8=TRUE,I47/C47*100,I47/F47*100),0)</f>
        <v>8.107012565869478E-4</v>
      </c>
    </row>
    <row r="48" spans="1:12">
      <c r="A48" s="481"/>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c r="A49" s="481"/>
      <c r="B49" s="296" t="s">
        <v>5585</v>
      </c>
      <c r="C49" s="194">
        <f>SUM(C47:C48)</f>
        <v>297880000</v>
      </c>
      <c r="D49" s="194">
        <f t="shared" ref="D49:G49" si="23">SUM(D47:D48)</f>
        <v>0</v>
      </c>
      <c r="E49" s="194">
        <f t="shared" si="23"/>
        <v>209068000</v>
      </c>
      <c r="F49" s="194">
        <f t="shared" si="23"/>
        <v>88812000</v>
      </c>
      <c r="G49" s="194">
        <f t="shared" si="23"/>
        <v>88811280</v>
      </c>
      <c r="H49" s="418">
        <f t="shared" si="20"/>
        <v>99.999189298743417</v>
      </c>
      <c r="I49" s="194">
        <f t="shared" si="21"/>
        <v>720</v>
      </c>
      <c r="J49" s="415">
        <f t="shared" si="22"/>
        <v>8.107012565869478E-4</v>
      </c>
    </row>
    <row r="50" spans="1:10">
      <c r="A50" s="481"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c r="A51" s="481"/>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c r="A52" s="481"/>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c r="A53" s="481"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c r="A54" s="481"/>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c r="A55" s="481"/>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c r="A56" s="481"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c r="A57" s="481"/>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c r="A58" s="481"/>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c r="A59" s="478" t="s">
        <v>3852</v>
      </c>
      <c r="B59" s="478"/>
      <c r="C59" s="176">
        <f>C49+C52+C55+C58</f>
        <v>348880000</v>
      </c>
      <c r="D59" s="176">
        <f t="shared" ref="D59:E59" si="27">D49+D52+D55+D58</f>
        <v>0</v>
      </c>
      <c r="E59" s="176">
        <f t="shared" si="27"/>
        <v>247068000</v>
      </c>
      <c r="F59" s="176">
        <f>F49+F52+F55+F58</f>
        <v>101812000</v>
      </c>
      <c r="G59" s="176">
        <f>G49+G52+G55+G58</f>
        <v>89176280</v>
      </c>
      <c r="H59" s="420">
        <f t="shared" si="20"/>
        <v>87.589164342120768</v>
      </c>
      <c r="I59" s="176">
        <f t="shared" si="21"/>
        <v>12635720</v>
      </c>
      <c r="J59" s="416">
        <f t="shared" si="22"/>
        <v>12.410835657879229</v>
      </c>
    </row>
    <row r="60" spans="1:10">
      <c r="A60" s="478" t="s">
        <v>5583</v>
      </c>
      <c r="B60" s="478"/>
      <c r="C60" s="406">
        <f>C59</f>
        <v>348880000</v>
      </c>
      <c r="D60" s="479">
        <f>SUM(D59:E59)</f>
        <v>247068000</v>
      </c>
      <c r="E60" s="479"/>
      <c r="F60" s="406">
        <f>F59</f>
        <v>101812000</v>
      </c>
      <c r="G60" s="176">
        <f>G59</f>
        <v>89176280</v>
      </c>
      <c r="H60" s="420">
        <f t="shared" si="20"/>
        <v>87.589164342120768</v>
      </c>
      <c r="I60" s="176">
        <f t="shared" si="21"/>
        <v>12635720</v>
      </c>
      <c r="J60" s="416">
        <f t="shared" si="22"/>
        <v>12.410835657879229</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28" sqref="O28"/>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501" t="str">
        <f>IF(L8=TRUE,"REALISASI DENGAN GAJI (BERDASARKAN PAGU SEBELUM BLOKIR)","REALISASI DENGAN GAJI (BERDASARKAN PAGU SETELAH BLOKIR)")</f>
        <v>REALISASI DENGAN GAJI (BERDASARKAN PAGU SETELAH BLOKIR)</v>
      </c>
      <c r="B1" s="501"/>
      <c r="C1" s="501"/>
      <c r="D1" s="501"/>
      <c r="E1" s="501"/>
      <c r="F1" s="501"/>
      <c r="G1" s="501"/>
      <c r="H1" s="501"/>
      <c r="I1" s="501"/>
      <c r="J1" s="501"/>
      <c r="L1" s="422"/>
    </row>
    <row r="2" spans="1:13" ht="15.75">
      <c r="A2" s="491" t="str">
        <f>'PER BULAN'!B5</f>
        <v>Berdasarkan DIPA Revisi 2 TA. 2022 (Tanggal 9 Juni 2022)</v>
      </c>
      <c r="B2" s="491"/>
      <c r="C2" s="491"/>
      <c r="D2" s="491"/>
      <c r="E2" s="491"/>
      <c r="F2" s="491"/>
      <c r="G2" s="491"/>
      <c r="H2" s="491"/>
      <c r="I2" s="491"/>
      <c r="J2" s="491"/>
    </row>
    <row r="3" spans="1:13" ht="15.75">
      <c r="A3" s="491" t="str">
        <f>'PER BULAN'!B6</f>
        <v>SAMPAI DENGAN 13 JULI 2022</v>
      </c>
      <c r="B3" s="491"/>
      <c r="C3" s="491"/>
      <c r="D3" s="491"/>
      <c r="E3" s="491"/>
      <c r="F3" s="491"/>
      <c r="G3" s="491"/>
      <c r="H3" s="491"/>
      <c r="I3" s="491"/>
      <c r="J3" s="491"/>
    </row>
    <row r="4" spans="1:13">
      <c r="A4" s="427"/>
      <c r="B4" s="427"/>
      <c r="C4" s="427"/>
      <c r="D4" s="427"/>
      <c r="E4" s="427"/>
      <c r="F4" s="427"/>
      <c r="G4" s="427"/>
      <c r="H4" s="427"/>
      <c r="I4" s="427"/>
      <c r="J4" s="427"/>
    </row>
    <row r="5" spans="1:13" ht="15.75">
      <c r="A5" s="424" t="s">
        <v>3995</v>
      </c>
    </row>
    <row r="6" spans="1:13">
      <c r="A6" s="480" t="s">
        <v>592</v>
      </c>
      <c r="B6" s="480" t="s">
        <v>500</v>
      </c>
      <c r="C6" s="480" t="s">
        <v>5580</v>
      </c>
      <c r="D6" s="480" t="s">
        <v>5577</v>
      </c>
      <c r="E6" s="480" t="s">
        <v>5579</v>
      </c>
      <c r="F6" s="480" t="s">
        <v>3848</v>
      </c>
      <c r="G6" s="482" t="s">
        <v>3849</v>
      </c>
      <c r="H6" s="482"/>
      <c r="I6" s="482" t="s">
        <v>3850</v>
      </c>
      <c r="J6" s="482"/>
    </row>
    <row r="7" spans="1:13">
      <c r="A7" s="480"/>
      <c r="B7" s="480"/>
      <c r="C7" s="480"/>
      <c r="D7" s="480"/>
      <c r="E7" s="480"/>
      <c r="F7" s="480"/>
      <c r="G7" s="408" t="s">
        <v>5589</v>
      </c>
      <c r="H7" s="408" t="s">
        <v>3846</v>
      </c>
      <c r="I7" s="408" t="s">
        <v>5589</v>
      </c>
      <c r="J7" s="408" t="s">
        <v>3846</v>
      </c>
    </row>
    <row r="8" spans="1:13">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455306499</v>
      </c>
      <c r="H8" s="414">
        <f>IFERROR(IF($L$8=TRUE,G8/C8*100,G8/F8*100),0)</f>
        <v>67.886888460139204</v>
      </c>
      <c r="I8" s="169">
        <f>IF($L$8=TRUE,C8-G8,F8-G8)</f>
        <v>215377501</v>
      </c>
      <c r="J8" s="263">
        <f>IFERROR(IF($L$8=TRUE,I8/C8*100,I8/F8*100),0)</f>
        <v>32.113111539860803</v>
      </c>
      <c r="K8" s="425"/>
      <c r="L8" s="407" t="b">
        <v>0</v>
      </c>
    </row>
    <row r="9" spans="1:13">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3" si="0">IFERROR(IF($L$8=TRUE,G9/C9*100,G9/F9*100),0)</f>
        <v>42.185428824741436</v>
      </c>
      <c r="I9" s="169">
        <f t="shared" ref="I9:I25" si="1">IF($L$8=TRUE,C9-G9,F9-G9)</f>
        <v>1211595686</v>
      </c>
      <c r="J9" s="263">
        <f t="shared" ref="J9:J25" si="2">IFERROR(IF($L$8=TRUE,I9/C9*100,I9/F9*100),0)</f>
        <v>57.814571175258557</v>
      </c>
      <c r="K9" s="425"/>
    </row>
    <row r="10" spans="1:13">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6"/>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c r="A13" s="487"/>
      <c r="B13" s="296" t="s">
        <v>5585</v>
      </c>
      <c r="C13" s="194">
        <f>SUM(C8:C12)</f>
        <v>10807010000</v>
      </c>
      <c r="D13" s="194">
        <f t="shared" ref="D13:G13" si="3">SUM(D8:D12)</f>
        <v>423949000</v>
      </c>
      <c r="E13" s="194">
        <f t="shared" si="3"/>
        <v>609552000</v>
      </c>
      <c r="F13" s="194">
        <f t="shared" si="3"/>
        <v>9773509000</v>
      </c>
      <c r="G13" s="194">
        <f t="shared" si="3"/>
        <v>5903254159</v>
      </c>
      <c r="H13" s="415">
        <f t="shared" si="0"/>
        <v>60.400559911491357</v>
      </c>
      <c r="I13" s="194">
        <f t="shared" si="1"/>
        <v>3870254841</v>
      </c>
      <c r="J13" s="264">
        <f t="shared" si="2"/>
        <v>39.599440088508643</v>
      </c>
      <c r="K13" s="425"/>
    </row>
    <row r="14" spans="1:13" ht="15" customHeight="1">
      <c r="A14" s="485"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14">
        <f t="shared" si="0"/>
        <v>48.23501622901626</v>
      </c>
      <c r="I14" s="169">
        <f t="shared" si="1"/>
        <v>152146605</v>
      </c>
      <c r="J14" s="263">
        <f t="shared" si="2"/>
        <v>51.76498377098374</v>
      </c>
      <c r="K14" s="425"/>
    </row>
    <row r="15" spans="1:13">
      <c r="A15" s="486"/>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14">
        <f t="shared" si="0"/>
        <v>63.932333941635846</v>
      </c>
      <c r="I15" s="169">
        <f t="shared" si="1"/>
        <v>2193815788</v>
      </c>
      <c r="J15" s="263">
        <f t="shared" si="2"/>
        <v>36.067666058364161</v>
      </c>
      <c r="K15" s="425"/>
      <c r="M15" s="217"/>
    </row>
    <row r="16" spans="1:13">
      <c r="A16" s="486"/>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87"/>
      <c r="B17" s="296" t="s">
        <v>5586</v>
      </c>
      <c r="C17" s="194">
        <f>SUM(C14:C16)</f>
        <v>9985150000</v>
      </c>
      <c r="D17" s="194">
        <f t="shared" ref="D17:E17" si="4">SUM(D14:D16)</f>
        <v>0</v>
      </c>
      <c r="E17" s="194">
        <f t="shared" si="4"/>
        <v>3438934000</v>
      </c>
      <c r="F17" s="194">
        <f>SUM(F14:F16)</f>
        <v>6546216000</v>
      </c>
      <c r="G17" s="194">
        <f>SUM(G14:G16)</f>
        <v>4136251904</v>
      </c>
      <c r="H17" s="415">
        <f t="shared" si="0"/>
        <v>63.185386855551364</v>
      </c>
      <c r="I17" s="194">
        <f t="shared" si="1"/>
        <v>2409964096</v>
      </c>
      <c r="J17" s="264">
        <f t="shared" si="2"/>
        <v>36.814613144448636</v>
      </c>
      <c r="K17" s="425"/>
    </row>
    <row r="18" spans="1:13" ht="15" customHeight="1">
      <c r="A18" s="485"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14">
        <f t="shared" si="0"/>
        <v>66.441042166411378</v>
      </c>
      <c r="I18" s="169">
        <f t="shared" si="1"/>
        <v>69670410</v>
      </c>
      <c r="J18" s="263">
        <f t="shared" si="2"/>
        <v>33.558957833588629</v>
      </c>
      <c r="K18" s="425"/>
    </row>
    <row r="19" spans="1:13">
      <c r="A19" s="486"/>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14">
        <f t="shared" si="0"/>
        <v>51.507620036051783</v>
      </c>
      <c r="I19" s="169">
        <f t="shared" si="1"/>
        <v>79897500</v>
      </c>
      <c r="J19" s="263">
        <f t="shared" si="2"/>
        <v>48.492379963948217</v>
      </c>
      <c r="K19" s="425"/>
      <c r="M19" s="217"/>
    </row>
    <row r="20" spans="1:13">
      <c r="A20" s="487"/>
      <c r="B20" s="296" t="s">
        <v>5587</v>
      </c>
      <c r="C20" s="194">
        <f>SUM(C18:C19)</f>
        <v>1278600000</v>
      </c>
      <c r="D20" s="194">
        <f t="shared" ref="D20:E20" si="5">SUM(D18:D19)</f>
        <v>0</v>
      </c>
      <c r="E20" s="194">
        <f t="shared" si="5"/>
        <v>906231000</v>
      </c>
      <c r="F20" s="194">
        <f>SUM(F18:F19)</f>
        <v>372369000</v>
      </c>
      <c r="G20" s="194">
        <f>SUM(G18:G19)</f>
        <v>222801090</v>
      </c>
      <c r="H20" s="415">
        <f t="shared" si="0"/>
        <v>59.833415241333199</v>
      </c>
      <c r="I20" s="194">
        <f t="shared" si="1"/>
        <v>149567910</v>
      </c>
      <c r="J20" s="264">
        <f t="shared" si="2"/>
        <v>40.166584758666808</v>
      </c>
      <c r="K20" s="425"/>
    </row>
    <row r="21" spans="1:13" ht="15" customHeight="1">
      <c r="A21" s="485"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14">
        <f t="shared" si="0"/>
        <v>36.087008596823544</v>
      </c>
      <c r="I21" s="169">
        <f t="shared" si="1"/>
        <v>438634860</v>
      </c>
      <c r="J21" s="263">
        <f t="shared" si="2"/>
        <v>63.912991403176456</v>
      </c>
      <c r="K21" s="425"/>
    </row>
    <row r="22" spans="1:13">
      <c r="A22" s="486"/>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87"/>
      <c r="B23" s="296" t="s">
        <v>5588</v>
      </c>
      <c r="C23" s="194">
        <f>SUM(C21:C22)</f>
        <v>1271400000</v>
      </c>
      <c r="D23" s="194">
        <f t="shared" ref="D23:E23" si="6">SUM(D21:D22)</f>
        <v>0</v>
      </c>
      <c r="E23" s="194">
        <f t="shared" si="6"/>
        <v>432643000</v>
      </c>
      <c r="F23" s="194">
        <f>SUM(F21:F22)</f>
        <v>838757000</v>
      </c>
      <c r="G23" s="194">
        <f>SUM(G21:G22)</f>
        <v>338915858</v>
      </c>
      <c r="H23" s="415">
        <f t="shared" si="0"/>
        <v>40.406918571171389</v>
      </c>
      <c r="I23" s="194">
        <f t="shared" si="1"/>
        <v>499841142</v>
      </c>
      <c r="J23" s="264">
        <f t="shared" si="2"/>
        <v>59.593081428828611</v>
      </c>
      <c r="K23" s="425"/>
    </row>
    <row r="24" spans="1:13">
      <c r="A24" s="478" t="s">
        <v>3852</v>
      </c>
      <c r="B24" s="478"/>
      <c r="C24" s="176">
        <f>C13++C17+C20+C23</f>
        <v>23342160000</v>
      </c>
      <c r="D24" s="176">
        <f t="shared" ref="D24:E24" si="7">D13++D17+D20+D23</f>
        <v>423949000</v>
      </c>
      <c r="E24" s="176">
        <f t="shared" si="7"/>
        <v>5387360000</v>
      </c>
      <c r="F24" s="176">
        <f>F13++F17+F20+F23</f>
        <v>17530851000</v>
      </c>
      <c r="G24" s="176">
        <f>G13++G17+G20+G23</f>
        <v>10601223011</v>
      </c>
      <c r="H24" s="416">
        <f>IFERROR(IF($L$8=TRUE,G24/C24*100,G24/F24*100),0)</f>
        <v>60.471810586947548</v>
      </c>
      <c r="I24" s="176">
        <f t="shared" si="1"/>
        <v>6929627989</v>
      </c>
      <c r="J24" s="265">
        <f t="shared" si="2"/>
        <v>39.528189413052452</v>
      </c>
      <c r="K24" s="425"/>
      <c r="M24" s="215"/>
    </row>
    <row r="25" spans="1:13">
      <c r="A25" s="492" t="s">
        <v>5583</v>
      </c>
      <c r="B25" s="493"/>
      <c r="C25" s="406">
        <f>C24</f>
        <v>23342160000</v>
      </c>
      <c r="D25" s="494">
        <f>SUM(D24,E24)</f>
        <v>5811309000</v>
      </c>
      <c r="E25" s="495"/>
      <c r="F25" s="406">
        <f>F24</f>
        <v>17530851000</v>
      </c>
      <c r="G25" s="176">
        <f>G24</f>
        <v>10601223011</v>
      </c>
      <c r="H25" s="416">
        <f>IFERROR(IF($L$8=TRUE,G25/C25*100,G25/F25*100),0)</f>
        <v>60.471810586947548</v>
      </c>
      <c r="I25" s="176">
        <f t="shared" si="1"/>
        <v>6929627989</v>
      </c>
      <c r="J25" s="265">
        <f t="shared" si="2"/>
        <v>39.528189413052452</v>
      </c>
      <c r="K25" s="425"/>
      <c r="M25" s="217"/>
    </row>
    <row r="28" spans="1:13">
      <c r="M28" s="452"/>
    </row>
    <row r="29" spans="1:13" ht="15.75">
      <c r="A29" s="424" t="s">
        <v>4002</v>
      </c>
    </row>
    <row r="30" spans="1:13" ht="14.45" customHeight="1">
      <c r="A30" s="488" t="s">
        <v>3988</v>
      </c>
      <c r="B30" s="488" t="s">
        <v>3989</v>
      </c>
      <c r="C30" s="488" t="s">
        <v>5580</v>
      </c>
      <c r="D30" s="496" t="s">
        <v>5577</v>
      </c>
      <c r="E30" s="496" t="s">
        <v>5579</v>
      </c>
      <c r="F30" s="480" t="s">
        <v>3848</v>
      </c>
      <c r="G30" s="482" t="s">
        <v>3849</v>
      </c>
      <c r="H30" s="482"/>
      <c r="I30" s="482" t="s">
        <v>3850</v>
      </c>
      <c r="J30" s="482"/>
    </row>
    <row r="31" spans="1:13">
      <c r="A31" s="489"/>
      <c r="B31" s="489"/>
      <c r="C31" s="489"/>
      <c r="D31" s="497"/>
      <c r="E31" s="497"/>
      <c r="F31" s="480"/>
      <c r="G31" s="408" t="s">
        <v>5589</v>
      </c>
      <c r="H31" s="408" t="s">
        <v>3846</v>
      </c>
      <c r="I31" s="408" t="s">
        <v>5589</v>
      </c>
      <c r="J31" s="408" t="s">
        <v>3846</v>
      </c>
    </row>
    <row r="32" spans="1:13">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c r="A33" s="202">
        <v>2</v>
      </c>
      <c r="B33" s="203" t="s">
        <v>3990</v>
      </c>
      <c r="C33" s="204">
        <f>SUM(C34:C35)</f>
        <v>16207230000</v>
      </c>
      <c r="D33" s="204">
        <f t="shared" ref="D33:E33" si="12">SUM(D34:D35)</f>
        <v>100000000</v>
      </c>
      <c r="E33" s="204">
        <f t="shared" si="12"/>
        <v>5385626000</v>
      </c>
      <c r="F33" s="204">
        <f>SUM(F34:F35)</f>
        <v>10721604000</v>
      </c>
      <c r="G33" s="204">
        <f>SUM(G34:G35)</f>
        <v>6187105185</v>
      </c>
      <c r="H33" s="205">
        <f t="shared" si="9"/>
        <v>57.7068989397482</v>
      </c>
      <c r="I33" s="206">
        <f t="shared" si="10"/>
        <v>4534498815</v>
      </c>
      <c r="J33" s="205">
        <f t="shared" si="11"/>
        <v>42.2931010602518</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5303042871</v>
      </c>
      <c r="H35" s="209">
        <f t="shared" si="9"/>
        <v>61.477812068380679</v>
      </c>
      <c r="I35" s="210">
        <f t="shared" si="10"/>
        <v>3322903129</v>
      </c>
      <c r="J35" s="209">
        <f t="shared" si="11"/>
        <v>38.522187931619328</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c r="A37" s="202"/>
      <c r="B37" s="203"/>
      <c r="C37" s="204"/>
      <c r="D37" s="204"/>
      <c r="E37" s="204"/>
      <c r="F37" s="204"/>
      <c r="G37" s="204"/>
      <c r="H37" s="205"/>
      <c r="I37" s="206"/>
      <c r="J37" s="205"/>
      <c r="K37" s="425"/>
    </row>
    <row r="38" spans="1:12">
      <c r="A38" s="483" t="s">
        <v>611</v>
      </c>
      <c r="B38" s="484"/>
      <c r="C38" s="213">
        <f>SUM(C32,C33,C36)</f>
        <v>23342160000</v>
      </c>
      <c r="D38" s="213">
        <f t="shared" ref="D38:G38" si="13">SUM(D32,D33,D36)</f>
        <v>423949000</v>
      </c>
      <c r="E38" s="213">
        <f t="shared" si="13"/>
        <v>5387360000</v>
      </c>
      <c r="F38" s="213">
        <f t="shared" si="13"/>
        <v>17530851000</v>
      </c>
      <c r="G38" s="213">
        <f t="shared" si="13"/>
        <v>10601223011</v>
      </c>
      <c r="H38" s="214">
        <f t="shared" si="9"/>
        <v>60.471810586947548</v>
      </c>
      <c r="I38" s="213">
        <f t="shared" si="10"/>
        <v>6929627989</v>
      </c>
      <c r="J38" s="214">
        <f t="shared" si="11"/>
        <v>39.528189413052452</v>
      </c>
      <c r="K38" s="425"/>
    </row>
    <row r="39" spans="1:12">
      <c r="A39" s="483" t="s">
        <v>3993</v>
      </c>
      <c r="B39" s="484"/>
      <c r="C39" s="213"/>
      <c r="D39" s="213"/>
      <c r="E39" s="213"/>
      <c r="F39" s="213"/>
      <c r="G39" s="213"/>
      <c r="H39" s="214"/>
      <c r="I39" s="213"/>
      <c r="J39" s="214"/>
      <c r="K39" s="425"/>
    </row>
    <row r="40" spans="1:12">
      <c r="A40" s="483" t="s">
        <v>3994</v>
      </c>
      <c r="B40" s="484"/>
      <c r="C40" s="213">
        <f>C38</f>
        <v>23342160000</v>
      </c>
      <c r="D40" s="498">
        <f>SUM(D38:E38)</f>
        <v>5811309000</v>
      </c>
      <c r="E40" s="499"/>
      <c r="F40" s="213">
        <f>F38</f>
        <v>17530851000</v>
      </c>
      <c r="G40" s="213">
        <f>G38-G39</f>
        <v>10601223011</v>
      </c>
      <c r="H40" s="214">
        <f t="shared" si="9"/>
        <v>60.471810586947548</v>
      </c>
      <c r="I40" s="213">
        <f t="shared" si="10"/>
        <v>6929627989</v>
      </c>
      <c r="J40" s="214">
        <f t="shared" si="11"/>
        <v>39.528189413052452</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0" t="s">
        <v>592</v>
      </c>
      <c r="B45" s="480" t="s">
        <v>500</v>
      </c>
      <c r="C45" s="480" t="s">
        <v>5580</v>
      </c>
      <c r="D45" s="480" t="s">
        <v>5577</v>
      </c>
      <c r="E45" s="480" t="s">
        <v>5579</v>
      </c>
      <c r="F45" s="480" t="s">
        <v>3848</v>
      </c>
      <c r="G45" s="482" t="s">
        <v>3849</v>
      </c>
      <c r="H45" s="482"/>
      <c r="I45" s="482" t="s">
        <v>3850</v>
      </c>
      <c r="J45" s="482"/>
    </row>
    <row r="46" spans="1:12">
      <c r="A46" s="480"/>
      <c r="B46" s="480"/>
      <c r="C46" s="480"/>
      <c r="D46" s="480"/>
      <c r="E46" s="480"/>
      <c r="F46" s="480"/>
      <c r="G46" s="408" t="s">
        <v>5589</v>
      </c>
      <c r="H46" s="408" t="s">
        <v>3846</v>
      </c>
      <c r="I46" s="408" t="s">
        <v>5589</v>
      </c>
      <c r="J46" s="408" t="s">
        <v>3846</v>
      </c>
    </row>
    <row r="47" spans="1:12">
      <c r="A47" s="481"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14">IFERROR(IF($L$8=TRUE,G47/C47*100,G47/F47*100),0)</f>
        <v>99.999189298743417</v>
      </c>
      <c r="I47" s="169">
        <f t="shared" ref="I47:I60" si="15">IF($L$8=TRUE,C47-G47,F47-G47)</f>
        <v>720</v>
      </c>
      <c r="J47" s="414">
        <f t="shared" ref="J47:J60" si="16">IFERROR(IF($L$8=TRUE,I47/C47*100,I47/F47*100),0)</f>
        <v>8.107012565869478E-4</v>
      </c>
    </row>
    <row r="48" spans="1:12">
      <c r="A48" s="481"/>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c r="A49" s="481"/>
      <c r="B49" s="296" t="s">
        <v>5585</v>
      </c>
      <c r="C49" s="194">
        <f>SUM(C47:C48)</f>
        <v>297880000</v>
      </c>
      <c r="D49" s="194">
        <f t="shared" ref="D49:G49" si="17">SUM(D47:D48)</f>
        <v>0</v>
      </c>
      <c r="E49" s="194">
        <f t="shared" si="17"/>
        <v>209068000</v>
      </c>
      <c r="F49" s="194">
        <f t="shared" si="17"/>
        <v>88812000</v>
      </c>
      <c r="G49" s="194">
        <f t="shared" si="17"/>
        <v>88811280</v>
      </c>
      <c r="H49" s="418">
        <f t="shared" si="14"/>
        <v>99.999189298743417</v>
      </c>
      <c r="I49" s="194">
        <f t="shared" si="15"/>
        <v>720</v>
      </c>
      <c r="J49" s="415">
        <f t="shared" si="16"/>
        <v>8.107012565869478E-4</v>
      </c>
    </row>
    <row r="50" spans="1:10">
      <c r="A50" s="481"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c r="A51" s="481"/>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c r="A52" s="481"/>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c r="A53" s="481"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c r="A54" s="481"/>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c r="A55" s="481"/>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c r="A56" s="481"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c r="A57" s="481"/>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c r="A58" s="481"/>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c r="A59" s="478" t="s">
        <v>3852</v>
      </c>
      <c r="B59" s="478"/>
      <c r="C59" s="176">
        <f>C49+C52+C55+C58</f>
        <v>348880000</v>
      </c>
      <c r="D59" s="176">
        <f t="shared" ref="D59:E59" si="21">D49+D52+D55+D58</f>
        <v>0</v>
      </c>
      <c r="E59" s="176">
        <f t="shared" si="21"/>
        <v>247068000</v>
      </c>
      <c r="F59" s="176">
        <f>F49+F52+F55+F58</f>
        <v>101812000</v>
      </c>
      <c r="G59" s="176">
        <f>G49+G52+G55+G58</f>
        <v>89176280</v>
      </c>
      <c r="H59" s="420">
        <f t="shared" si="14"/>
        <v>87.589164342120768</v>
      </c>
      <c r="I59" s="176">
        <f t="shared" si="15"/>
        <v>12635720</v>
      </c>
      <c r="J59" s="416">
        <f t="shared" si="16"/>
        <v>12.410835657879229</v>
      </c>
    </row>
    <row r="60" spans="1:10">
      <c r="A60" s="478" t="s">
        <v>5583</v>
      </c>
      <c r="B60" s="478"/>
      <c r="C60" s="406">
        <f>C59</f>
        <v>348880000</v>
      </c>
      <c r="D60" s="479">
        <f>SUM(D59:E59)</f>
        <v>247068000</v>
      </c>
      <c r="E60" s="479"/>
      <c r="F60" s="406">
        <f>F59</f>
        <v>101812000</v>
      </c>
      <c r="G60" s="176">
        <f>G59</f>
        <v>89176280</v>
      </c>
      <c r="H60" s="420">
        <f t="shared" si="14"/>
        <v>87.589164342120768</v>
      </c>
      <c r="I60" s="176">
        <f t="shared" si="15"/>
        <v>12635720</v>
      </c>
      <c r="J60" s="416">
        <f t="shared" si="16"/>
        <v>12.410835657879229</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AC31" sqref="AC31"/>
    </sheetView>
  </sheetViews>
  <sheetFormatPr defaultRowHeight="15"/>
  <cols>
    <col min="16" max="16" width="7" customWidth="1"/>
    <col min="17" max="17" width="5.5703125" customWidth="1"/>
    <col min="21" max="21" width="4.7109375" customWidth="1"/>
  </cols>
  <sheetData>
    <row r="1" spans="2:16">
      <c r="B1" s="500" t="str">
        <f>'PERSUBBID - Gaji'!A1</f>
        <v>REALISASI TANPA GAJI (BERDASARKAN PAGU SETELAH BLOKIR)</v>
      </c>
      <c r="C1" s="500"/>
      <c r="D1" s="500"/>
      <c r="E1" s="500"/>
      <c r="F1" s="500"/>
      <c r="G1" s="500"/>
      <c r="H1" s="500"/>
      <c r="I1" s="500"/>
      <c r="J1" s="500"/>
      <c r="K1" s="500"/>
      <c r="L1" s="500"/>
      <c r="M1" s="500"/>
      <c r="N1" s="500"/>
      <c r="O1" s="500"/>
      <c r="P1" s="500"/>
    </row>
    <row r="2" spans="2:16" ht="15.75">
      <c r="B2" s="491" t="str">
        <f>'PERSUBBID - Gaji'!A2</f>
        <v>Berdasarkan DIPA Revisi 2 TA. 2022 (Tanggal 9 Juni 2022)</v>
      </c>
      <c r="C2" s="491"/>
      <c r="D2" s="491"/>
      <c r="E2" s="491"/>
      <c r="F2" s="491"/>
      <c r="G2" s="491"/>
      <c r="H2" s="491"/>
      <c r="I2" s="491"/>
      <c r="J2" s="491"/>
      <c r="K2" s="491"/>
      <c r="L2" s="491"/>
      <c r="M2" s="491"/>
      <c r="N2" s="491"/>
      <c r="O2" s="491"/>
      <c r="P2" s="491"/>
    </row>
    <row r="3" spans="2:16" ht="15.75">
      <c r="B3" s="491" t="str">
        <f>'PERSUBBID - Gaji'!A3</f>
        <v>SAMPAI DENGAN 13 JULI 2022</v>
      </c>
      <c r="C3" s="491"/>
      <c r="D3" s="491"/>
      <c r="E3" s="491"/>
      <c r="F3" s="491"/>
      <c r="G3" s="491"/>
      <c r="H3" s="491"/>
      <c r="I3" s="491"/>
      <c r="J3" s="491"/>
      <c r="K3" s="491"/>
      <c r="L3" s="491"/>
      <c r="M3" s="491"/>
      <c r="N3" s="491"/>
      <c r="O3" s="491"/>
      <c r="P3" s="491"/>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A200" workbookViewId="0">
      <selection activeCell="F157" sqref="F157"/>
    </sheetView>
  </sheetViews>
  <sheetFormatPr defaultRowHeight="1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c r="A157" t="s">
        <v>494</v>
      </c>
      <c r="B157" t="s">
        <v>1269</v>
      </c>
      <c r="C157" t="s">
        <v>833</v>
      </c>
      <c r="D157" t="s">
        <v>4671</v>
      </c>
      <c r="E157" t="s">
        <v>515</v>
      </c>
      <c r="F157" t="s">
        <v>5086</v>
      </c>
      <c r="G157">
        <v>24335000</v>
      </c>
      <c r="H157">
        <v>20564280</v>
      </c>
      <c r="I157">
        <v>0</v>
      </c>
      <c r="J157">
        <v>20564280</v>
      </c>
      <c r="K157" t="s">
        <v>5087</v>
      </c>
      <c r="L157">
        <v>3769720</v>
      </c>
      <c r="M157" t="s">
        <v>5088</v>
      </c>
      <c r="N157" t="s">
        <v>5089</v>
      </c>
      <c r="O157" t="s">
        <v>1448</v>
      </c>
      <c r="P157" t="s">
        <v>1455</v>
      </c>
    </row>
    <row r="158" spans="1:16">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c r="A256" t="s">
        <v>494</v>
      </c>
      <c r="B256" t="s">
        <v>1269</v>
      </c>
      <c r="C256" t="s">
        <v>833</v>
      </c>
      <c r="D256" t="s">
        <v>4671</v>
      </c>
      <c r="E256" t="s">
        <v>517</v>
      </c>
      <c r="F256" t="s">
        <v>5359</v>
      </c>
      <c r="G256">
        <v>1605000</v>
      </c>
      <c r="H256">
        <v>0</v>
      </c>
      <c r="I256">
        <v>0</v>
      </c>
      <c r="J256">
        <v>0</v>
      </c>
      <c r="K256" t="s">
        <v>5262</v>
      </c>
      <c r="L256">
        <v>1606000</v>
      </c>
      <c r="M256" t="s">
        <v>5360</v>
      </c>
      <c r="N256" t="s">
        <v>5361</v>
      </c>
      <c r="O256" t="s">
        <v>1448</v>
      </c>
      <c r="P256" t="s">
        <v>4022</v>
      </c>
    </row>
    <row r="257" spans="1:16">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DIPA4_PUSDIK (2)</vt:lpstr>
      <vt:lpstr>GAJI</vt:lpstr>
      <vt:lpstr>non 51</vt:lpstr>
      <vt:lpstr>Cetak_Pusdik (2)</vt:lpstr>
      <vt:lpstr>Cetak_Pusdik</vt:lpstr>
      <vt:lpstr>Eselon2</vt:lpstr>
      <vt:lpstr>SP2D ON</vt:lpstr>
      <vt:lpstr>PERAKUN</vt:lpstr>
      <vt:lpstr>GUP TUP</vt:lpstr>
      <vt:lpstr>Sheet1</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Sheet1!Print_Area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2022-07-19T04:37:47Z</cp:lastPrinted>
  <dcterms:created xsi:type="dcterms:W3CDTF">2021-07-27T04:05:22Z</dcterms:created>
  <dcterms:modified xsi:type="dcterms:W3CDTF">2022-07-20T08:16:36Z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