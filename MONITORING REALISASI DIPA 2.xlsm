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E01157E3-623A-4B99-9494-5A9F8B1B4246}" xr6:coauthVersionLast="47" xr6:coauthVersionMax="47" xr10:uidLastSave="{00000000-0000-0000-0000-000000000000}"/>
  <bookViews>
    <workbookView xWindow="-120" yWindow="-120" windowWidth="29040" windowHeight="15840" tabRatio="872" firstSheet="6" activeTab="12"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BULAN'!$B$4:$AW$231</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20" l="1"/>
  <c r="C2" i="20"/>
  <c r="C1" i="20"/>
  <c r="A3" i="35"/>
  <c r="A3" i="33"/>
  <c r="A3" i="34"/>
  <c r="A3" i="14"/>
  <c r="H14" i="13"/>
  <c r="Y239" i="13"/>
  <c r="Y238" i="13"/>
  <c r="G57" i="35" a="1"/>
  <c r="G57" i="35" s="1"/>
  <c r="F57" i="35" a="1"/>
  <c r="F57" i="35" s="1"/>
  <c r="I57" i="35" s="1"/>
  <c r="J57" i="35" s="1"/>
  <c r="E57" i="35" a="1"/>
  <c r="E57" i="35" s="1"/>
  <c r="D57" i="35" a="1"/>
  <c r="D57" i="35" s="1"/>
  <c r="C57" i="35" a="1"/>
  <c r="C57" i="35" s="1"/>
  <c r="G56" i="35"/>
  <c r="G56" i="35" a="1"/>
  <c r="F56" i="35"/>
  <c r="F56" i="35" a="1"/>
  <c r="E56" i="35"/>
  <c r="E58" i="35" s="1"/>
  <c r="E56" i="35" a="1"/>
  <c r="D56" i="35"/>
  <c r="D58" i="35" s="1"/>
  <c r="D56" i="35" a="1"/>
  <c r="C56" i="35"/>
  <c r="C58" i="35" s="1"/>
  <c r="C56" i="35" a="1"/>
  <c r="H54" i="35"/>
  <c r="G54" i="35" a="1"/>
  <c r="G54" i="35" s="1"/>
  <c r="F54" i="35" a="1"/>
  <c r="F54" i="35" s="1"/>
  <c r="I54" i="35" s="1"/>
  <c r="J54" i="35" s="1"/>
  <c r="E54" i="35" a="1"/>
  <c r="E54" i="35" s="1"/>
  <c r="D54" i="35" a="1"/>
  <c r="D54" i="35" s="1"/>
  <c r="D55" i="35" s="1"/>
  <c r="C54" i="35" a="1"/>
  <c r="C54" i="35" s="1"/>
  <c r="I53" i="35"/>
  <c r="J53" i="35" s="1"/>
  <c r="G53" i="35"/>
  <c r="G55" i="35" s="1"/>
  <c r="G53" i="35" a="1"/>
  <c r="F53" i="35"/>
  <c r="F53" i="35" a="1"/>
  <c r="E53" i="35"/>
  <c r="E55" i="35" s="1"/>
  <c r="E53" i="35" a="1"/>
  <c r="D53" i="35"/>
  <c r="D53" i="35" a="1"/>
  <c r="C53" i="35"/>
  <c r="C55" i="35" s="1"/>
  <c r="C53" i="35" a="1"/>
  <c r="F52" i="35"/>
  <c r="G51" i="35" a="1"/>
  <c r="G51" i="35" s="1"/>
  <c r="H51" i="35" s="1"/>
  <c r="F51" i="35" a="1"/>
  <c r="F51" i="35" s="1"/>
  <c r="E51" i="35" a="1"/>
  <c r="E51" i="35" s="1"/>
  <c r="D51" i="35" a="1"/>
  <c r="D51" i="35" s="1"/>
  <c r="C51" i="35" a="1"/>
  <c r="C51" i="35" s="1"/>
  <c r="G50" i="35"/>
  <c r="G50" i="35" a="1"/>
  <c r="F50" i="35"/>
  <c r="I50" i="35" s="1"/>
  <c r="J50" i="35" s="1"/>
  <c r="F50" i="35" a="1"/>
  <c r="E50" i="35"/>
  <c r="E50" i="35" a="1"/>
  <c r="D50" i="35"/>
  <c r="D52" i="35" s="1"/>
  <c r="D50" i="35" a="1"/>
  <c r="C50" i="35"/>
  <c r="C50" i="35" a="1"/>
  <c r="D49" i="35"/>
  <c r="G48" i="35" a="1"/>
  <c r="G48" i="35" s="1"/>
  <c r="H48" i="35" s="1"/>
  <c r="F48" i="35" a="1"/>
  <c r="F48" i="35" s="1"/>
  <c r="I48" i="35" s="1"/>
  <c r="J48" i="35" s="1"/>
  <c r="E48" i="35" a="1"/>
  <c r="E48" i="35" s="1"/>
  <c r="D48" i="35" a="1"/>
  <c r="D48" i="35" s="1"/>
  <c r="C48" i="35" a="1"/>
  <c r="C48" i="35" s="1"/>
  <c r="I47" i="35"/>
  <c r="J47" i="35" s="1"/>
  <c r="G47" i="35"/>
  <c r="G49" i="35" s="1"/>
  <c r="G47" i="35" a="1"/>
  <c r="F47" i="35"/>
  <c r="F47" i="35" a="1"/>
  <c r="E47" i="35"/>
  <c r="E49" i="35" s="1"/>
  <c r="E47" i="35" a="1"/>
  <c r="D47" i="35"/>
  <c r="D47" i="35" a="1"/>
  <c r="C47" i="35"/>
  <c r="C49" i="35" s="1"/>
  <c r="C47" i="35" a="1"/>
  <c r="G36" i="35"/>
  <c r="G36" i="35" a="1"/>
  <c r="F35" i="35"/>
  <c r="F35" i="35" a="1"/>
  <c r="E35" i="35"/>
  <c r="E35" i="35" a="1"/>
  <c r="D35" i="35"/>
  <c r="D35" i="35" a="1"/>
  <c r="C35" i="35"/>
  <c r="C35" i="35" a="1"/>
  <c r="H34" i="35"/>
  <c r="G34" i="35" a="1"/>
  <c r="G34" i="35" s="1"/>
  <c r="F34" i="35" a="1"/>
  <c r="F34" i="35" s="1"/>
  <c r="E34" i="35" a="1"/>
  <c r="E34" i="35" s="1"/>
  <c r="D34" i="35" a="1"/>
  <c r="D34" i="35" s="1"/>
  <c r="D33" i="35" s="1"/>
  <c r="C34" i="35" a="1"/>
  <c r="C34" i="35" s="1"/>
  <c r="E33" i="35"/>
  <c r="F23" i="35"/>
  <c r="G22" i="35" a="1"/>
  <c r="G22" i="35" s="1"/>
  <c r="F22" i="35" a="1"/>
  <c r="F22" i="35" s="1"/>
  <c r="I22" i="35" s="1"/>
  <c r="J22" i="35" s="1"/>
  <c r="E22" i="35" a="1"/>
  <c r="E22" i="35" s="1"/>
  <c r="D22" i="35" a="1"/>
  <c r="D22" i="35" s="1"/>
  <c r="C22" i="35" a="1"/>
  <c r="C22" i="35" s="1"/>
  <c r="G21" i="35"/>
  <c r="G21" i="35" a="1"/>
  <c r="F21" i="35"/>
  <c r="F21" i="35" a="1"/>
  <c r="E21" i="35"/>
  <c r="E21" i="35" a="1"/>
  <c r="D21" i="35"/>
  <c r="D23" i="35" s="1"/>
  <c r="D21" i="35" a="1"/>
  <c r="C21" i="35"/>
  <c r="C23" i="35" s="1"/>
  <c r="C21" i="35" a="1"/>
  <c r="G19" i="35" a="1"/>
  <c r="G19" i="35" s="1"/>
  <c r="H19" i="35" s="1"/>
  <c r="F19" i="35" a="1"/>
  <c r="F19" i="35" s="1"/>
  <c r="E19" i="35" a="1"/>
  <c r="E19" i="35" s="1"/>
  <c r="D19" i="35" a="1"/>
  <c r="D19" i="35" s="1"/>
  <c r="C19" i="35" a="1"/>
  <c r="C19" i="35" s="1"/>
  <c r="G18" i="35"/>
  <c r="G18" i="35" a="1"/>
  <c r="F18" i="35"/>
  <c r="F20" i="35" s="1"/>
  <c r="F18" i="35" a="1"/>
  <c r="E18" i="35"/>
  <c r="E20" i="35" s="1"/>
  <c r="E18" i="35" a="1"/>
  <c r="D18" i="35"/>
  <c r="D20" i="35" s="1"/>
  <c r="D18" i="35" a="1"/>
  <c r="C18" i="35"/>
  <c r="C18" i="35" a="1"/>
  <c r="G16" i="35" a="1"/>
  <c r="G16" i="35" s="1"/>
  <c r="F16" i="35" a="1"/>
  <c r="F16" i="35" s="1"/>
  <c r="I16" i="35" s="1"/>
  <c r="J16" i="35" s="1"/>
  <c r="E16" i="35" a="1"/>
  <c r="E16" i="35" s="1"/>
  <c r="D16" i="35" a="1"/>
  <c r="D16" i="35" s="1"/>
  <c r="C16" i="35" a="1"/>
  <c r="C16" i="35" s="1"/>
  <c r="G15" i="35"/>
  <c r="G15" i="35" a="1"/>
  <c r="F15" i="35"/>
  <c r="F15" i="35" a="1"/>
  <c r="E15" i="35"/>
  <c r="E15" i="35" a="1"/>
  <c r="D15" i="35"/>
  <c r="D15" i="35" a="1"/>
  <c r="C15" i="35"/>
  <c r="C14" i="35" s="1" a="1"/>
  <c r="C14" i="35" s="1"/>
  <c r="C17" i="35" s="1"/>
  <c r="C15" i="35" a="1"/>
  <c r="F14" i="35" a="1"/>
  <c r="F14" i="35" s="1"/>
  <c r="E14" i="35" a="1"/>
  <c r="E14" i="35" s="1"/>
  <c r="E17" i="35" s="1"/>
  <c r="D14" i="35" a="1"/>
  <c r="D14" i="35" s="1"/>
  <c r="F12" i="35"/>
  <c r="F32" i="35" s="1"/>
  <c r="F12" i="35" a="1"/>
  <c r="E12" i="35"/>
  <c r="E32" i="35" s="1"/>
  <c r="E38" i="35" s="1"/>
  <c r="E12" i="35" a="1"/>
  <c r="D12" i="35"/>
  <c r="D32" i="35" s="1"/>
  <c r="D12" i="35" a="1"/>
  <c r="C12" i="35"/>
  <c r="C32" i="35" s="1"/>
  <c r="C12" i="35" a="1"/>
  <c r="G11" i="35" a="1"/>
  <c r="G11" i="35" s="1"/>
  <c r="F11" i="35" a="1"/>
  <c r="F11" i="35" s="1"/>
  <c r="E11" i="35" a="1"/>
  <c r="E11" i="35" s="1"/>
  <c r="D11" i="35" a="1"/>
  <c r="D11" i="35" s="1"/>
  <c r="C11" i="35" a="1"/>
  <c r="C11" i="35" s="1"/>
  <c r="G10" i="35"/>
  <c r="G10" i="35" a="1"/>
  <c r="F10" i="35"/>
  <c r="F36" i="35" s="1"/>
  <c r="I36" i="35" s="1"/>
  <c r="J36" i="35" s="1"/>
  <c r="F10" i="35" a="1"/>
  <c r="E10" i="35"/>
  <c r="E36" i="35" s="1"/>
  <c r="E10" i="35" a="1"/>
  <c r="D10" i="35"/>
  <c r="D36" i="35" s="1"/>
  <c r="D10" i="35" a="1"/>
  <c r="C10" i="35"/>
  <c r="C36" i="35" s="1"/>
  <c r="C10" i="35" a="1"/>
  <c r="G9" i="35" a="1"/>
  <c r="G9" i="35" s="1"/>
  <c r="G8" i="35" s="1" a="1"/>
  <c r="F9" i="35" a="1"/>
  <c r="F9" i="35" s="1"/>
  <c r="E9" i="35" a="1"/>
  <c r="E9" i="35" s="1"/>
  <c r="E8" i="35" s="1" a="1"/>
  <c r="E8" i="35" s="1"/>
  <c r="E13" i="35" s="1"/>
  <c r="D9" i="35" a="1"/>
  <c r="D9" i="35" s="1"/>
  <c r="C9" i="35" a="1"/>
  <c r="C9" i="35" s="1"/>
  <c r="C8" i="35" s="1" a="1"/>
  <c r="G8" i="35"/>
  <c r="C8" i="35"/>
  <c r="C13" i="35" s="1"/>
  <c r="A2" i="35"/>
  <c r="A1" i="35"/>
  <c r="G53" i="34" a="1"/>
  <c r="G53" i="34" s="1"/>
  <c r="F53" i="34" a="1"/>
  <c r="F53" i="34" s="1"/>
  <c r="I53" i="34" s="1"/>
  <c r="J53" i="34" s="1"/>
  <c r="E53" i="34" a="1"/>
  <c r="E53" i="34" s="1"/>
  <c r="D53" i="34" a="1"/>
  <c r="D53" i="34" s="1"/>
  <c r="C53" i="34" a="1"/>
  <c r="C53" i="34" s="1"/>
  <c r="G52" i="34" a="1"/>
  <c r="G52" i="34" s="1"/>
  <c r="F52" i="34"/>
  <c r="F54" i="34" s="1"/>
  <c r="F52" i="34" a="1"/>
  <c r="E52" i="34" a="1"/>
  <c r="E52" i="34" s="1"/>
  <c r="E54" i="34" s="1"/>
  <c r="D52" i="34"/>
  <c r="D52" i="34" a="1"/>
  <c r="C52" i="34" a="1"/>
  <c r="C52" i="34" s="1"/>
  <c r="C54" i="34" s="1"/>
  <c r="G50" i="34" a="1"/>
  <c r="G50" i="34" s="1"/>
  <c r="H50" i="34" s="1"/>
  <c r="F50" i="34" a="1"/>
  <c r="F50" i="34" s="1"/>
  <c r="E50" i="34" a="1"/>
  <c r="E50" i="34" s="1"/>
  <c r="D50" i="34" a="1"/>
  <c r="D50" i="34" s="1"/>
  <c r="C50" i="34" a="1"/>
  <c r="C50" i="34" s="1"/>
  <c r="G49" i="34"/>
  <c r="G49" i="34" a="1"/>
  <c r="F49" i="34" a="1"/>
  <c r="F49" i="34" s="1"/>
  <c r="I49" i="34" s="1"/>
  <c r="J49" i="34" s="1"/>
  <c r="E49" i="34"/>
  <c r="E51" i="34" s="1"/>
  <c r="E49" i="34" a="1"/>
  <c r="D49" i="34" a="1"/>
  <c r="D49" i="34" s="1"/>
  <c r="C49" i="34"/>
  <c r="C49" i="34" a="1"/>
  <c r="G47" i="34"/>
  <c r="G47" i="34" a="1"/>
  <c r="F47" i="34" a="1"/>
  <c r="F47" i="34" s="1"/>
  <c r="I47" i="34" s="1"/>
  <c r="J47" i="34" s="1"/>
  <c r="E47" i="34"/>
  <c r="E47" i="34" a="1"/>
  <c r="D47" i="34" a="1"/>
  <c r="D47" i="34" s="1"/>
  <c r="C47" i="34"/>
  <c r="C47" i="34" a="1"/>
  <c r="G46" i="34" a="1"/>
  <c r="G46" i="34" s="1"/>
  <c r="F46" i="34"/>
  <c r="F48" i="34" s="1"/>
  <c r="F46" i="34" a="1"/>
  <c r="E46" i="34" a="1"/>
  <c r="E46" i="34" s="1"/>
  <c r="E48" i="34" s="1"/>
  <c r="D46" i="34"/>
  <c r="D48" i="34" s="1"/>
  <c r="D46" i="34" a="1"/>
  <c r="C46" i="34" a="1"/>
  <c r="C46" i="34" s="1"/>
  <c r="C48" i="34" s="1"/>
  <c r="G44" i="34" a="1"/>
  <c r="G44" i="34" s="1"/>
  <c r="H44" i="34" s="1"/>
  <c r="F44" i="34"/>
  <c r="F44" i="34" a="1"/>
  <c r="E44" i="34" a="1"/>
  <c r="E44" i="34" s="1"/>
  <c r="D44" i="34"/>
  <c r="D44" i="34" a="1"/>
  <c r="C44" i="34" a="1"/>
  <c r="C44" i="34" s="1"/>
  <c r="G43" i="34"/>
  <c r="G43" i="34" a="1"/>
  <c r="F43" i="34" a="1"/>
  <c r="F43" i="34" s="1"/>
  <c r="F45" i="34" s="1"/>
  <c r="E43" i="34"/>
  <c r="E43" i="34" a="1"/>
  <c r="D43" i="34" a="1"/>
  <c r="D43" i="34" s="1"/>
  <c r="D45" i="34" s="1"/>
  <c r="C43" i="34"/>
  <c r="C45" i="34" s="1"/>
  <c r="C43" i="34" a="1"/>
  <c r="G33" i="34" a="1"/>
  <c r="G33" i="34" s="1"/>
  <c r="F32" i="34"/>
  <c r="F32" i="34" a="1"/>
  <c r="E32" i="34" a="1"/>
  <c r="E32" i="34" s="1"/>
  <c r="D32" i="34"/>
  <c r="D30" i="34" s="1"/>
  <c r="D32" i="34" a="1"/>
  <c r="C32" i="34" a="1"/>
  <c r="C32" i="34" s="1"/>
  <c r="G31" i="34" a="1"/>
  <c r="G31" i="34" s="1"/>
  <c r="H31" i="34" s="1"/>
  <c r="F31" i="34"/>
  <c r="F31" i="34" a="1"/>
  <c r="E31" i="34" a="1"/>
  <c r="E31" i="34" s="1"/>
  <c r="E30" i="34" s="1"/>
  <c r="E35" i="34" s="1"/>
  <c r="D31" i="34"/>
  <c r="D31" i="34" a="1"/>
  <c r="C31" i="34" a="1"/>
  <c r="C31" i="34" s="1"/>
  <c r="C30" i="34"/>
  <c r="G21" i="34"/>
  <c r="G21" i="34" a="1"/>
  <c r="F21" i="34"/>
  <c r="I21" i="34" s="1"/>
  <c r="J21" i="34" s="1"/>
  <c r="F21" i="34" a="1"/>
  <c r="E21" i="34"/>
  <c r="E21" i="34" a="1"/>
  <c r="D21" i="34" a="1"/>
  <c r="D21" i="34" s="1"/>
  <c r="D22" i="34" s="1"/>
  <c r="C21" i="34"/>
  <c r="C21" i="34" a="1"/>
  <c r="I20" i="34"/>
  <c r="J20" i="34" s="1"/>
  <c r="G20" i="34" a="1"/>
  <c r="G20" i="34" s="1"/>
  <c r="F20" i="34"/>
  <c r="F20" i="34" a="1"/>
  <c r="E20" i="34" a="1"/>
  <c r="E20" i="34" s="1"/>
  <c r="E22" i="34" s="1"/>
  <c r="D20" i="34"/>
  <c r="D20" i="34" a="1"/>
  <c r="C20" i="34" a="1"/>
  <c r="C20" i="34" s="1"/>
  <c r="C22" i="34" s="1"/>
  <c r="G18" i="34" a="1"/>
  <c r="G18" i="34" s="1"/>
  <c r="H18" i="34" s="1"/>
  <c r="F18" i="34"/>
  <c r="F18" i="34" a="1"/>
  <c r="E18" i="34" a="1"/>
  <c r="E18" i="34" s="1"/>
  <c r="D18" i="34"/>
  <c r="D18" i="34" a="1"/>
  <c r="C18" i="34" a="1"/>
  <c r="C18" i="34" s="1"/>
  <c r="G17" i="34"/>
  <c r="G17" i="34" a="1"/>
  <c r="F17" i="34" a="1"/>
  <c r="F17" i="34" s="1"/>
  <c r="I17" i="34" s="1"/>
  <c r="J17" i="34" s="1"/>
  <c r="E17" i="34"/>
  <c r="E17" i="34" a="1"/>
  <c r="D17" i="34" a="1"/>
  <c r="D17" i="34" s="1"/>
  <c r="D19" i="34" s="1"/>
  <c r="C17" i="34"/>
  <c r="C19" i="34" s="1"/>
  <c r="C17" i="34" a="1"/>
  <c r="G15" i="34"/>
  <c r="G15" i="34" a="1"/>
  <c r="F15" i="34"/>
  <c r="H15" i="34" s="1"/>
  <c r="F15" i="34" a="1"/>
  <c r="E15" i="34"/>
  <c r="E15" i="34" a="1"/>
  <c r="D15" i="34"/>
  <c r="D15" i="34" a="1"/>
  <c r="C15" i="34"/>
  <c r="C15" i="34" a="1"/>
  <c r="G14" i="34" a="1"/>
  <c r="G14" i="34" s="1"/>
  <c r="H14" i="34" s="1"/>
  <c r="F14" i="34"/>
  <c r="F13" i="34" s="1" a="1"/>
  <c r="F13" i="34" s="1"/>
  <c r="F14" i="34" a="1"/>
  <c r="E14" i="34" a="1"/>
  <c r="E14" i="34" s="1"/>
  <c r="D14" i="34"/>
  <c r="D16" i="34" s="1"/>
  <c r="D14" i="34" a="1"/>
  <c r="C14" i="34" a="1"/>
  <c r="C14" i="34" s="1"/>
  <c r="E13" i="34" a="1"/>
  <c r="E13" i="34" s="1"/>
  <c r="E16" i="34" s="1"/>
  <c r="D13" i="34"/>
  <c r="D13" i="34" a="1"/>
  <c r="C13" i="34" a="1"/>
  <c r="C13" i="34" s="1"/>
  <c r="C16" i="34" s="1"/>
  <c r="G11" i="34"/>
  <c r="G11" i="34" a="1"/>
  <c r="F11" i="34" a="1"/>
  <c r="F11" i="34" s="1"/>
  <c r="I11" i="34" s="1"/>
  <c r="J11" i="34" s="1"/>
  <c r="E11" i="34"/>
  <c r="E11" i="34" a="1"/>
  <c r="D11" i="34" a="1"/>
  <c r="D11" i="34" s="1"/>
  <c r="C11" i="34"/>
  <c r="C11" i="34" a="1"/>
  <c r="G10" i="34"/>
  <c r="H10" i="34" s="1"/>
  <c r="G10" i="34" a="1"/>
  <c r="F10" i="34" a="1"/>
  <c r="F10" i="34" s="1"/>
  <c r="E10" i="34"/>
  <c r="E33" i="34" s="1"/>
  <c r="E10" i="34" a="1"/>
  <c r="D10" i="34" a="1"/>
  <c r="D10" i="34" s="1"/>
  <c r="D33" i="34" s="1"/>
  <c r="C10" i="34"/>
  <c r="C33" i="34" s="1"/>
  <c r="C10" i="34" a="1"/>
  <c r="G9" i="34" a="1"/>
  <c r="G9" i="34" s="1"/>
  <c r="F9" i="34" a="1"/>
  <c r="F9" i="34" s="1"/>
  <c r="E9" i="34" a="1"/>
  <c r="E9" i="34" s="1"/>
  <c r="D9" i="34"/>
  <c r="D9" i="34" a="1"/>
  <c r="C9" i="34" a="1"/>
  <c r="C9" i="34" s="1"/>
  <c r="C8" i="34" s="1" a="1"/>
  <c r="C8" i="34" s="1"/>
  <c r="C12" i="34" s="1"/>
  <c r="C23" i="34" s="1"/>
  <c r="C24" i="34" s="1"/>
  <c r="G8" i="34" a="1"/>
  <c r="G8" i="34" s="1"/>
  <c r="E8" i="34" a="1"/>
  <c r="E8" i="34" s="1"/>
  <c r="E12" i="34" s="1"/>
  <c r="A2" i="34"/>
  <c r="A1" i="34"/>
  <c r="A1" i="33"/>
  <c r="A1" i="14"/>
  <c r="I23" i="35" l="1"/>
  <c r="J23" i="35" s="1"/>
  <c r="H36" i="35"/>
  <c r="F8" i="35" a="1"/>
  <c r="F8" i="35" s="1"/>
  <c r="I9" i="35"/>
  <c r="J9" i="35" s="1"/>
  <c r="E23" i="35"/>
  <c r="E24" i="35" s="1"/>
  <c r="G23" i="35"/>
  <c r="H23" i="35" s="1"/>
  <c r="H21" i="35"/>
  <c r="H57" i="35"/>
  <c r="G14" i="35" a="1"/>
  <c r="G14" i="35" s="1"/>
  <c r="H15" i="35"/>
  <c r="I20" i="35"/>
  <c r="J20" i="35" s="1"/>
  <c r="H11" i="35"/>
  <c r="H16" i="35"/>
  <c r="H10" i="35"/>
  <c r="I15" i="35"/>
  <c r="J15" i="35" s="1"/>
  <c r="C20" i="35"/>
  <c r="C24" i="35" s="1"/>
  <c r="C25" i="35" s="1"/>
  <c r="G20" i="35"/>
  <c r="H20" i="35" s="1"/>
  <c r="H22" i="35"/>
  <c r="I34" i="35"/>
  <c r="J34" i="35" s="1"/>
  <c r="F33" i="35"/>
  <c r="F49" i="35"/>
  <c r="I56" i="35"/>
  <c r="J56" i="35" s="1"/>
  <c r="D59" i="35"/>
  <c r="G58" i="35"/>
  <c r="H56" i="35"/>
  <c r="H49" i="35"/>
  <c r="D38" i="35"/>
  <c r="D40" i="35" s="1"/>
  <c r="F38" i="35"/>
  <c r="D8" i="35" a="1"/>
  <c r="D8" i="35" s="1"/>
  <c r="D13" i="35" s="1"/>
  <c r="H9" i="35"/>
  <c r="I10" i="35"/>
  <c r="J10" i="35" s="1"/>
  <c r="I11" i="35"/>
  <c r="J11" i="35" s="1"/>
  <c r="D17" i="35"/>
  <c r="F17" i="35"/>
  <c r="I18" i="35"/>
  <c r="J18" i="35" s="1"/>
  <c r="I19" i="35"/>
  <c r="J19" i="35" s="1"/>
  <c r="I21" i="35"/>
  <c r="J21" i="35" s="1"/>
  <c r="C33" i="35"/>
  <c r="C38" i="35" s="1"/>
  <c r="C40" i="35" s="1"/>
  <c r="C52" i="35"/>
  <c r="C59" i="35" s="1"/>
  <c r="C60" i="35" s="1"/>
  <c r="E52" i="35"/>
  <c r="E59" i="35" s="1"/>
  <c r="G52" i="35"/>
  <c r="H52" i="35" s="1"/>
  <c r="H50" i="35"/>
  <c r="I51" i="35"/>
  <c r="J51" i="35" s="1"/>
  <c r="F55" i="35"/>
  <c r="I55" i="35" s="1"/>
  <c r="J55" i="35" s="1"/>
  <c r="F58" i="35"/>
  <c r="I58" i="35" s="1"/>
  <c r="J58" i="35" s="1"/>
  <c r="H18" i="35"/>
  <c r="H47" i="35"/>
  <c r="H53" i="35"/>
  <c r="G19" i="34"/>
  <c r="G12" i="34"/>
  <c r="F33" i="34"/>
  <c r="I33" i="34" s="1"/>
  <c r="J33" i="34" s="1"/>
  <c r="I10" i="34"/>
  <c r="J10" i="34" s="1"/>
  <c r="F55" i="34"/>
  <c r="F8" i="34" a="1"/>
  <c r="F8" i="34" s="1"/>
  <c r="H8" i="34" s="1"/>
  <c r="H9" i="34"/>
  <c r="I9" i="34"/>
  <c r="J9" i="34" s="1"/>
  <c r="I15" i="34"/>
  <c r="J15" i="34" s="1"/>
  <c r="H21" i="34"/>
  <c r="C35" i="34"/>
  <c r="C37" i="34" s="1"/>
  <c r="D35" i="34"/>
  <c r="D37" i="34" s="1"/>
  <c r="H47" i="34"/>
  <c r="C51" i="34"/>
  <c r="G32" i="34"/>
  <c r="I32" i="34" s="1"/>
  <c r="J32" i="34" s="1"/>
  <c r="G13" i="34" a="1"/>
  <c r="G13" i="34" s="1"/>
  <c r="I13" i="34" s="1"/>
  <c r="J13" i="34" s="1"/>
  <c r="F16" i="34"/>
  <c r="E19" i="34"/>
  <c r="E23" i="34" s="1"/>
  <c r="H17" i="34"/>
  <c r="I18" i="34"/>
  <c r="J18" i="34" s="1"/>
  <c r="G45" i="34"/>
  <c r="H43" i="34"/>
  <c r="D51" i="34"/>
  <c r="F51" i="34"/>
  <c r="D54" i="34"/>
  <c r="D55" i="34" s="1"/>
  <c r="D56" i="34" s="1"/>
  <c r="G54" i="34"/>
  <c r="H54" i="34" s="1"/>
  <c r="H52" i="34"/>
  <c r="D8" i="34" a="1"/>
  <c r="D8" i="34" s="1"/>
  <c r="D12" i="34" s="1"/>
  <c r="D23" i="34" s="1"/>
  <c r="H11" i="34"/>
  <c r="F19" i="34"/>
  <c r="I19" i="34" s="1"/>
  <c r="J19" i="34" s="1"/>
  <c r="F22" i="34"/>
  <c r="H33" i="34"/>
  <c r="E45" i="34"/>
  <c r="E55" i="34" s="1"/>
  <c r="G48" i="34"/>
  <c r="H48" i="34" s="1"/>
  <c r="H46" i="34"/>
  <c r="G51" i="34"/>
  <c r="H51" i="34" s="1"/>
  <c r="H49" i="34"/>
  <c r="I50" i="34"/>
  <c r="J50" i="34" s="1"/>
  <c r="I52" i="34"/>
  <c r="J52" i="34" s="1"/>
  <c r="I14" i="34"/>
  <c r="J14" i="34" s="1"/>
  <c r="G22" i="34"/>
  <c r="H22" i="34" s="1"/>
  <c r="H20" i="34"/>
  <c r="I31" i="34"/>
  <c r="J31" i="34" s="1"/>
  <c r="F30" i="34"/>
  <c r="C55" i="34"/>
  <c r="C56" i="34" s="1"/>
  <c r="I43" i="34"/>
  <c r="J43" i="34" s="1"/>
  <c r="I44" i="34"/>
  <c r="J44" i="34" s="1"/>
  <c r="I46" i="34"/>
  <c r="J46" i="34" s="1"/>
  <c r="H53" i="34"/>
  <c r="Y142" i="16"/>
  <c r="B3" i="27"/>
  <c r="B1" i="27"/>
  <c r="D38" i="33"/>
  <c r="E38" i="33"/>
  <c r="F38" i="33"/>
  <c r="C38" i="33"/>
  <c r="D32" i="33"/>
  <c r="E32" i="33"/>
  <c r="F32" i="33"/>
  <c r="C32" i="33"/>
  <c r="F12" i="33" a="1"/>
  <c r="F12" i="33" s="1"/>
  <c r="E12" i="33" a="1"/>
  <c r="E12" i="33" s="1"/>
  <c r="D12" i="33" a="1"/>
  <c r="D12" i="33" s="1"/>
  <c r="C12" i="33" a="1"/>
  <c r="C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a="1"/>
  <c r="G34"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G11" i="33" a="1"/>
  <c r="G11" i="33" s="1"/>
  <c r="I11" i="33" s="1"/>
  <c r="J11"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I53" i="14" s="1"/>
  <c r="J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W15" i="32"/>
  <c r="X15" i="32"/>
  <c r="Y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G17" i="35" l="1"/>
  <c r="H17" i="35" s="1"/>
  <c r="H14" i="35"/>
  <c r="H58" i="35"/>
  <c r="F40" i="35"/>
  <c r="I17" i="35"/>
  <c r="J17" i="35" s="1"/>
  <c r="D60" i="35"/>
  <c r="I52" i="35"/>
  <c r="J52" i="35" s="1"/>
  <c r="F13" i="35"/>
  <c r="I8" i="35"/>
  <c r="J8" i="35" s="1"/>
  <c r="G35" i="35"/>
  <c r="D24" i="35"/>
  <c r="D25" i="35" s="1"/>
  <c r="I14" i="35"/>
  <c r="J14" i="35" s="1"/>
  <c r="I49" i="35"/>
  <c r="J49" i="35" s="1"/>
  <c r="F59" i="35"/>
  <c r="G59" i="35"/>
  <c r="H8" i="35"/>
  <c r="H55" i="35"/>
  <c r="D24" i="34"/>
  <c r="I51" i="34"/>
  <c r="J51" i="34" s="1"/>
  <c r="G55" i="34"/>
  <c r="H45" i="34"/>
  <c r="I54" i="34"/>
  <c r="J54" i="34" s="1"/>
  <c r="I45" i="34"/>
  <c r="J45" i="34" s="1"/>
  <c r="F35" i="34"/>
  <c r="I30" i="34"/>
  <c r="J30" i="34" s="1"/>
  <c r="H32" i="34"/>
  <c r="G30" i="34"/>
  <c r="F56" i="34"/>
  <c r="I55" i="34"/>
  <c r="J55" i="34" s="1"/>
  <c r="I22" i="34"/>
  <c r="J22" i="34" s="1"/>
  <c r="H19" i="34"/>
  <c r="I48" i="34"/>
  <c r="J48" i="34" s="1"/>
  <c r="G16" i="34"/>
  <c r="H16" i="34" s="1"/>
  <c r="H13" i="34"/>
  <c r="F12" i="34"/>
  <c r="H12" i="34" s="1"/>
  <c r="I8" i="34"/>
  <c r="J8" i="34" s="1"/>
  <c r="E48" i="14"/>
  <c r="C48" i="14"/>
  <c r="C54" i="14"/>
  <c r="G52" i="33"/>
  <c r="E20" i="33"/>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50" i="33"/>
  <c r="J50" i="33" s="1"/>
  <c r="E8" i="33" a="1"/>
  <c r="E8" i="33" s="1"/>
  <c r="G8" i="33" a="1"/>
  <c r="G8" i="33" s="1"/>
  <c r="H9" i="33"/>
  <c r="I10" i="33"/>
  <c r="J10" i="33" s="1"/>
  <c r="F36" i="33"/>
  <c r="I36" i="33" s="1"/>
  <c r="J36" i="33" s="1"/>
  <c r="F14" i="33" a="1"/>
  <c r="F14" i="33" s="1"/>
  <c r="H22" i="33"/>
  <c r="D59" i="33"/>
  <c r="E52" i="33"/>
  <c r="H52" i="33"/>
  <c r="I51" i="33"/>
  <c r="J51" i="33" s="1"/>
  <c r="F52" i="33"/>
  <c r="I52" i="33" s="1"/>
  <c r="J52" i="33" s="1"/>
  <c r="G23" i="33"/>
  <c r="H21" i="33"/>
  <c r="H36" i="33"/>
  <c r="H10"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L13" i="32"/>
  <c r="AM13" i="32" s="1"/>
  <c r="AL14" i="32"/>
  <c r="AL5" i="32"/>
  <c r="AM5" i="32" s="1"/>
  <c r="AL6" i="32"/>
  <c r="AM6" i="32" s="1"/>
  <c r="AL7" i="32"/>
  <c r="AM7" i="32" s="1"/>
  <c r="AM14" i="32"/>
  <c r="AL8" i="32"/>
  <c r="AM8" i="32" s="1"/>
  <c r="AL9" i="32"/>
  <c r="AM9" i="32" s="1"/>
  <c r="AL11" i="32"/>
  <c r="AM11" i="32" s="1"/>
  <c r="AN13" i="32"/>
  <c r="AO13" i="32" s="1"/>
  <c r="AN14" i="32"/>
  <c r="AO14" i="32" s="1"/>
  <c r="AL4" i="32"/>
  <c r="AN9" i="32"/>
  <c r="AO9" i="32" s="1"/>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N5" i="32" l="1"/>
  <c r="AO5" i="32" s="1"/>
  <c r="AM4" i="32"/>
  <c r="H59" i="35"/>
  <c r="G60" i="35"/>
  <c r="F60" i="35"/>
  <c r="I60" i="35" s="1"/>
  <c r="J60" i="35" s="1"/>
  <c r="I59" i="35"/>
  <c r="J59" i="35" s="1"/>
  <c r="H35" i="35"/>
  <c r="G33" i="35"/>
  <c r="I35" i="35"/>
  <c r="J35" i="35" s="1"/>
  <c r="F24" i="35"/>
  <c r="I16" i="34"/>
  <c r="J16" i="34" s="1"/>
  <c r="F37" i="34"/>
  <c r="F23" i="34"/>
  <c r="I12" i="34"/>
  <c r="J12" i="34" s="1"/>
  <c r="G35" i="34"/>
  <c r="I35" i="34" s="1"/>
  <c r="J35" i="34" s="1"/>
  <c r="H30" i="34"/>
  <c r="H55" i="34"/>
  <c r="G56" i="34"/>
  <c r="H56" i="34" s="1"/>
  <c r="G23" i="34"/>
  <c r="H54" i="14"/>
  <c r="E55" i="14"/>
  <c r="I51" i="14"/>
  <c r="J51" i="14" s="1"/>
  <c r="I8" i="33"/>
  <c r="J8" i="33" s="1"/>
  <c r="H20" i="33"/>
  <c r="E24" i="33"/>
  <c r="D25" i="33" s="1"/>
  <c r="E13" i="33"/>
  <c r="D40" i="33"/>
  <c r="I23" i="33"/>
  <c r="J23" i="33" s="1"/>
  <c r="I49" i="33"/>
  <c r="J49" i="33" s="1"/>
  <c r="F59" i="33"/>
  <c r="C59" i="33"/>
  <c r="C60" i="33" s="1"/>
  <c r="I55" i="33"/>
  <c r="J55" i="33" s="1"/>
  <c r="H8" i="33"/>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F25" i="35" l="1"/>
  <c r="H60" i="35"/>
  <c r="H33" i="35"/>
  <c r="I33" i="35"/>
  <c r="J33" i="35" s="1"/>
  <c r="G24" i="34"/>
  <c r="H24" i="34" s="1"/>
  <c r="H23" i="34"/>
  <c r="F24" i="34"/>
  <c r="I24" i="34" s="1"/>
  <c r="J24" i="34" s="1"/>
  <c r="I23" i="34"/>
  <c r="J23" i="34" s="1"/>
  <c r="G37" i="34"/>
  <c r="H37" i="34" s="1"/>
  <c r="H35" i="34"/>
  <c r="I56" i="34"/>
  <c r="J56" i="34" s="1"/>
  <c r="F24" i="33"/>
  <c r="F25" i="33" s="1"/>
  <c r="F40" i="33"/>
  <c r="H59" i="33"/>
  <c r="G60" i="33"/>
  <c r="F60" i="33"/>
  <c r="I59" i="33"/>
  <c r="J59" i="33" s="1"/>
  <c r="D24" i="14"/>
  <c r="F56" i="14"/>
  <c r="F23" i="14"/>
  <c r="I61" i="13"/>
  <c r="I60" i="13" s="1"/>
  <c r="I14" i="13" s="1"/>
  <c r="I37" i="34" l="1"/>
  <c r="J37" i="34" s="1"/>
  <c r="I60" i="33"/>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AN15" i="32"/>
  <c r="AO15" i="32"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G32" i="33" l="1"/>
  <c r="I12" i="33"/>
  <c r="J12" i="33" s="1"/>
  <c r="H12" i="33"/>
  <c r="G13" i="33"/>
  <c r="I12" i="35"/>
  <c r="J12" i="35" s="1"/>
  <c r="G13" i="35"/>
  <c r="H12" i="35"/>
  <c r="G32" i="35"/>
  <c r="H67" i="13"/>
  <c r="H146" i="13"/>
  <c r="H61" i="13" s="1"/>
  <c r="H60" i="13" s="1"/>
  <c r="H13" i="35" l="1"/>
  <c r="I13" i="35"/>
  <c r="J13" i="35" s="1"/>
  <c r="G24" i="35"/>
  <c r="G38" i="35"/>
  <c r="I32" i="35"/>
  <c r="J32" i="35" s="1"/>
  <c r="H32" i="35"/>
  <c r="I13" i="33"/>
  <c r="J13" i="33" s="1"/>
  <c r="H13" i="33"/>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G40" i="35" l="1"/>
  <c r="H38" i="35"/>
  <c r="I38" i="35"/>
  <c r="J38" i="35" s="1"/>
  <c r="H24" i="35"/>
  <c r="G25" i="35"/>
  <c r="I24" i="35"/>
  <c r="J24" i="35" s="1"/>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H25" i="35" l="1"/>
  <c r="I25" i="35"/>
  <c r="J25" i="35" s="1"/>
  <c r="I40" i="35"/>
  <c r="J40" i="35" s="1"/>
  <c r="H40" i="35"/>
  <c r="AV239" i="13"/>
  <c r="AW239" i="13" s="1"/>
  <c r="AT236" i="13"/>
  <c r="AU236" i="13" s="1"/>
  <c r="AT237" i="13"/>
  <c r="AV236" i="13"/>
  <c r="AW236" i="13" s="1"/>
  <c r="AU237" i="13" l="1"/>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Y217"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5"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AM142" i="16" l="1"/>
  <c r="G15" i="33" a="1"/>
  <c r="G15" i="33" s="1"/>
  <c r="G14" i="33"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5" i="33" l="1"/>
  <c r="I15" i="33"/>
  <c r="J15" i="33" s="1"/>
  <c r="G35" i="33"/>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I17" i="33" l="1"/>
  <c r="J17" i="33" s="1"/>
  <c r="G24" i="33"/>
  <c r="H17" i="33"/>
  <c r="H35" i="33"/>
  <c r="G33" i="33"/>
  <c r="I35" i="33"/>
  <c r="J35" i="33"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I24" i="33" l="1"/>
  <c r="J24" i="33" s="1"/>
  <c r="G25" i="33"/>
  <c r="H24" i="33"/>
  <c r="G38" i="33"/>
  <c r="H33" i="33"/>
  <c r="I33" i="33"/>
  <c r="J33" i="33" s="1"/>
  <c r="F206" i="13"/>
  <c r="F205" i="13" s="1"/>
  <c r="F204" i="13" s="1"/>
  <c r="F165" i="13"/>
  <c r="F18" i="13"/>
  <c r="AU18" i="13" s="1"/>
  <c r="F67" i="13"/>
  <c r="F142" i="13"/>
  <c r="AU142" i="13" s="1"/>
  <c r="AV143" i="13"/>
  <c r="AW143" i="13" s="1"/>
  <c r="F147" i="13"/>
  <c r="AV177" i="13"/>
  <c r="AW177" i="13" s="1"/>
  <c r="F63" i="13"/>
  <c r="AU63" i="13" s="1"/>
  <c r="AV64" i="13"/>
  <c r="AW64" i="13" s="1"/>
  <c r="G40" i="33" l="1"/>
  <c r="H38" i="33"/>
  <c r="I38" i="33"/>
  <c r="J38" i="33" s="1"/>
  <c r="H25" i="33"/>
  <c r="I25" i="33"/>
  <c r="J25" i="33" s="1"/>
  <c r="F17" i="13"/>
  <c r="F141" i="13"/>
  <c r="AU141" i="13" s="1"/>
  <c r="AV142" i="13"/>
  <c r="AW142" i="13" s="1"/>
  <c r="F146" i="13"/>
  <c r="F62" i="13"/>
  <c r="AU62" i="13" s="1"/>
  <c r="AV63" i="13"/>
  <c r="AW63" i="13" s="1"/>
  <c r="H40" i="33" l="1"/>
  <c r="I40" i="33"/>
  <c r="J40" i="33" s="1"/>
  <c r="F16" i="13"/>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1" i="13"/>
  <c r="Y60" i="13" s="1"/>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5" i="14" l="1"/>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H56" i="14" l="1"/>
  <c r="I56" i="14"/>
  <c r="J56" i="14" s="1"/>
  <c r="H19" i="14"/>
  <c r="I19" i="14"/>
  <c r="J19" i="14" s="1"/>
  <c r="H8" i="14"/>
  <c r="I8" i="14"/>
  <c r="J8" i="14" s="1"/>
  <c r="G32" i="14"/>
  <c r="G12" i="14"/>
  <c r="AV61" i="13"/>
  <c r="AW61" i="13" s="1"/>
  <c r="AV60" i="13"/>
  <c r="AW60" i="13" s="1"/>
  <c r="AV15" i="13"/>
  <c r="AW15" i="13" s="1"/>
  <c r="AV16" i="13"/>
  <c r="AW16" i="13" s="1"/>
  <c r="G115" i="10"/>
  <c r="G114" i="10" s="1"/>
  <c r="G12" i="10" s="1"/>
  <c r="H32" i="14" l="1"/>
  <c r="I32" i="14"/>
  <c r="J32" i="14" s="1"/>
  <c r="G23" i="14"/>
  <c r="H12" i="14"/>
  <c r="I12" i="14"/>
  <c r="J12" i="14" s="1"/>
  <c r="G30" i="14"/>
  <c r="H30" i="14" l="1"/>
  <c r="I30" i="14"/>
  <c r="J30" i="14" s="1"/>
  <c r="G24" i="14"/>
  <c r="H23" i="14"/>
  <c r="I23" i="14"/>
  <c r="J23" i="14" s="1"/>
  <c r="G35" i="14"/>
  <c r="AV14" i="13"/>
  <c r="AW14" i="13" s="1"/>
  <c r="H35" i="14" l="1"/>
  <c r="I35" i="14"/>
  <c r="J35" i="14" s="1"/>
  <c r="H24" i="14"/>
  <c r="I24" i="14"/>
  <c r="J24" i="14" s="1"/>
  <c r="G37" i="14"/>
  <c r="H37" i="14" l="1"/>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<sst xmlns="http://schemas.openxmlformats.org/spreadsheetml/2006/main" count="22561" uniqueCount="5597">
  <si>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</si>
  <si>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</si>
  <si>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</si>
  <si>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</si>
  <si>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</si>
  <si>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</si>
  <si>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</si>
  <si>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</si>
  <si>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</si>
  <si>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</si>
  <si>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</si>
  <si>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</si>
  <si>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</si>
  <si>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</si>
  <si>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</si>
  <si>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</si>
  <si>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</si>
  <si>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</si>
  <si>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</si>
  <si>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</si>
  <si>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</si>
  <si>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</si>
  <si>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</si>
  <si>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</si>
  <si>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</si>
  <si>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</si>
  <si>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</si>
  <si>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</si>
  <si>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</si>
  <si>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</si>
  <si>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</si>
  <si>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</si>
  <si>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</si>
  <si>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</si>
  <si>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</si>
  <si>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</si>
  <si>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</si>
  <si>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</si>
  <si>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</si>
  <si>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</si>
  <si>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</si>
  <si>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</si>
  <si>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</si>
  <si>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</si>
  <si>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</si>
  <si>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</si>
  <si>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</si>
  <si>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</si>
  <si>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</si>
  <si>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</si>
  <si>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</si>
  <si>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</si>
  <si>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</si>
  <si>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</si>
  <si>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</si>
  <si>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</si>
  <si>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</si>
  <si>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</si>
  <si>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</si>
  <si>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</si>
  <si>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</si>
  <si>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</si>
  <si>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</si>
  <si>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</si>
  <si>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</si>
  <si>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</si>
  <si>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</si>
  <si>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</si>
  <si>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</si>
  <si>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</si>
  <si>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</si>
  <si>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</si>
  <si>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</si>
  <si>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</si>
  <si>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</si>
  <si>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</si>
  <si>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</si>
  <si>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</si>
  <si>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</si>
  <si>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</si>
  <si>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</si>
  <si>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</si>
  <si>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</si>
  <si>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</si>
  <si>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</si>
  <si>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</si>
  <si>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</si>
  <si>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</si>
  <si>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</si>
  <si>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</si>
  <si>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</si>
  <si>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</si>
  <si>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</si>
  <si>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</si>
  <si>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</si>
  <si>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</si>
  <si>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</si>
  <si>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</si>
  <si>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</si>
  <si>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</si>
  <si>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</si>
  <si>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</si>
  <si>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</si>
  <si>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</si>
  <si>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</si>
  <si>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</si>
  <si>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</si>
  <si>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</si>
  <si>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</si>
  <si>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</si>
  <si>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</si>
  <si>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</si>
  <si>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</si>
  <si>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</si>
  <si>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</si>
  <si>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</si>
  <si>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</si>
  <si>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</si>
  <si>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</si>
  <si>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</si>
  <si>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</si>
  <si>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</si>
  <si>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</si>
  <si>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</si>
  <si>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</si>
  <si>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</si>
  <si>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</si>
  <si>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</si>
  <si>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</si>
  <si>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</si>
  <si>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</si>
  <si>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</si>
  <si>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</si>
  <si>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</si>
  <si>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</si>
  <si>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</si>
  <si>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</si>
  <si>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</si>
  <si>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</si>
  <si>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</si>
  <si>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</si>
  <si>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</si>
  <si>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</si>
  <si>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</si>
  <si>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</si>
  <si>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</si>
  <si>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</si>
  <si>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</si>
  <si>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</si>
  <si>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</si>
  <si>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</si>
  <si>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</si>
  <si>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</si>
  <si>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</si>
  <si>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</si>
  <si>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</si>
  <si>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</si>
  <si>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</si>
  <si>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</si>
  <si>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</si>
  <si>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</si>
  <si>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</si>
  <si>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</si>
  <si>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</si>
  <si>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</si>
  <si>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</si>
  <si>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</si>
  <si>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</si>
  <si>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</si>
  <si>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</si>
  <si>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</si>
  <si>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</si>
  <si>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</si>
  <si>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</si>
  <si>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</si>
  <si>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</si>
  <si>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</si>
  <si>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</si>
  <si>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</si>
  <si>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</si>
  <si>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</si>
  <si>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</si>
  <si>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</si>
  <si>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</si>
  <si>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</si>
  <si>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</si>
  <si>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</si>
  <si>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</si>
  <si>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</si>
  <si>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</si>
  <si>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</si>
  <si>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</si>
  <si>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</si>
  <si>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</si>
  <si>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</si>
  <si>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</si>
  <si>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</si>
  <si>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</si>
  <si>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</si>
  <si>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</si>
  <si>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</si>
  <si>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</si>
  <si>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</si>
  <si>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</si>
  <si>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</si>
  <si>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</si>
  <si>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</si>
  <si>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</si>
  <si>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</si>
  <si>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</si>
  <si>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</si>
  <si>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</si>
  <si>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</si>
  <si>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</si>
  <si>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</si>
  <si>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</si>
  <si>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</si>
  <si>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</si>
  <si>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</si>
  <si>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</si>
  <si>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</si>
  <si>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</si>
  <si>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</si>
  <si>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</si>
  <si>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</si>
  <si>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</si>
  <si>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</si>
  <si>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</si>
  <si>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</si>
  <si>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</si>
  <si>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</si>
  <si>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</si>
  <si>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</si>
  <si>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</si>
  <si>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</si>
  <si>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</si>
  <si>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</si>
  <si>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</si>
  <si>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</si>
  <si>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</si>
  <si>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</si>
  <si>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</si>
  <si>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</si>
  <si>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</si>
  <si>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</si>
  <si>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</si>
  <si>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</si>
  <si>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</si>
  <si>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</si>
  <si>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</si>
  <si>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</si>
  <si>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</si>
  <si>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</si>
  <si>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</si>
  <si>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</si>
  <si>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</si>
  <si>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</si>
  <si>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</si>
  <si>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</si>
  <si>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</si>
  <si>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</si>
  <si>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</si>
  <si>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</si>
  <si>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</si>
  <si>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</si>
  <si>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</si>
  <si>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</si>
  <si>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</si>
  <si>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</si>
  <si>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</si>
  <si>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</si>
  <si>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</si>
  <si>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</si>
  <si>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</si>
  <si>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</si>
  <si>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</si>
  <si>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</si>
  <si>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</si>
  <si>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</si>
  <si>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</si>
  <si>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</si>
  <si>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</si>
  <si>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</si>
  <si>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</si>
  <si>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</si>
  <si>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</si>
  <si>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</si>
  <si>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</si>
  <si>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</si>
  <si>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</si>
  <si>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</si>
  <si>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</si>
  <si>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</si>
  <si>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</si>
  <si>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</si>
  <si>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</si>
  <si>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</si>
  <si>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</si>
  <si>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</si>
  <si>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</si>
  <si>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</si>
  <si>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</si>
  <si>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</si>
  <si>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</si>
  <si>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</si>
  <si>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</si>
  <si>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</si>
  <si>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</si>
  <si>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</si>
  <si>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</si>
  <si>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</si>
  <si>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</si>
  <si>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</si>
  <si>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</si>
  <si>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</si>
  <si>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</si>
  <si>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</si>
  <si>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</si>
  <si>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</si>
  <si>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</si>
  <si>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</si>
  <si>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</si>
  <si>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</si>
  <si>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</si>
  <si>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</si>
  <si>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</si>
  <si>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</si>
  <si>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</si>
  <si>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</si>
  <si>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</si>
  <si>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</si>
  <si>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</si>
  <si>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</si>
  <si>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</si>
  <si>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</si>
  <si>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</si>
  <si>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</si>
  <si>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</si>
  <si>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</si>
  <si>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</si>
  <si>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</si>
  <si>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</si>
  <si>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</si>
  <si>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</si>
  <si>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</si>
  <si>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</si>
  <si>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</si>
  <si>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</si>
  <si>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</si>
  <si>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</si>
  <si>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</si>
  <si>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</si>
  <si>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</si>
  <si>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</si>
  <si>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</si>
  <si>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</si>
  <si>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</si>
  <si>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</si>
  <si>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</si>
  <si>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</si>
  <si>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</si>
  <si>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</si>
  <si>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</si>
  <si>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</si>
  <si>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</si>
  <si>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</si>
  <si>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</si>
  <si>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</si>
  <si>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</si>
  <si>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</si>
  <si>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</si>
  <si>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</si>
  <si>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</si>
  <si>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</si>
  <si>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</si>
  <si>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</si>
  <si>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</si>
  <si>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</si>
  <si>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</si>
  <si>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</si>
  <si>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</si>
  <si>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</si>
  <si>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</si>
  <si>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</si>
  <si>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</si>
  <si>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</si>
  <si>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</si>
  <si>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</si>
  <si>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</si>
  <si>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</si>
  <si>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</si>
  <si>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</si>
  <si>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</si>
  <si>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</si>
  <si>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</si>
  <si>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</si>
  <si>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</si>
  <si>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</si>
  <si>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</si>
  <si>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</si>
  <si>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</si>
  <si>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</si>
  <si>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</si>
  <si>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</si>
  <si>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</si>
  <si>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</si>
  <si>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</si>
  <si>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</si>
  <si>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</si>
  <si>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</si>
  <si>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</si>
  <si>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</si>
  <si>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</si>
  <si>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</si>
  <si>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</si>
  <si>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</si>
  <si>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</si>
  <si>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</si>
  <si>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</si>
  <si>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</si>
  <si>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</si>
  <si>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</si>
  <si>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</si>
  <si>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</si>
  <si>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</si>
  <si>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</si>
  <si>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</si>
  <si>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</si>
  <si>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</si>
  <si>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</si>
  <si>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</si>
  <si>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</si>
  <si>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</si>
  <si>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</si>
  <si>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</si>
  <si>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</si>
  <si>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</si>
  <si>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</si>
  <si>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</si>
  <si>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</si>
  <si>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</si>
  <si>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</si>
  <si>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</si>
  <si>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</si>
  <si>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</si>
  <si>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</si>
  <si>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</si>
  <si>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</si>
  <si>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</si>
  <si>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</si>
  <si>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</si>
  <si>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</si>
  <si>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</si>
  <si>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</si>
  <si>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</si>
  <si>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</si>
  <si>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</si>
  <si>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</si>
  <si>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</si>
  <si>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</si>
  <si>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</si>
  <si>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</si>
  <si>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</si>
  <si>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</si>
  <si>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</si>
  <si>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</si>
  <si>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</si>
  <si>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</si>
  <si>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</si>
  <si>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</si>
  <si>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</si>
  <si>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</si>
  <si>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</si>
  <si>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</si>
  <si>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</si>
  <si>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</si>
  <si>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</si>
  <si>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</si>
  <si>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</si>
  <si>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</si>
  <si>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</si>
  <si>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</si>
  <si>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</si>
  <si>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</si>
  <si>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</si>
  <si>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</si>
  <si>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</si>
  <si>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</si>
  <si>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</si>
  <si>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</si>
  <si>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</si>
  <si>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</si>
  <si>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</si>
  <si>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</si>
  <si>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</si>
  <si>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</si>
  <si>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</si>
  <si>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</si>
  <si>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</si>
  <si>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</si>
  <si>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</si>
  <si>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</si>
  <si>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</si>
  <si>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</si>
  <si>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</si>
  <si>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</si>
  <si>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</si>
  <si>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</si>
  <si>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</si>
  <si>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</si>
  <si>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</si>
  <si>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</si>
  <si>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</si>
  <si>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</si>
  <si>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</si>
  <si>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</si>
  <si>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</si>
  <si>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</si>
  <si>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</si>
  <si>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</si>
  <si>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</si>
  <si>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</si>
  <si>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</si>
  <si>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</si>
  <si>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</si>
  <si>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</si>
  <si>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</si>
  <si>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</si>
  <si>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</si>
  <si>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</si>
  <si>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</si>
  <si>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</si>
  <si>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</si>
  <si>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</si>
  <si>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</si>
  <si>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</si>
  <si>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</si>
  <si>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</si>
  <si>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</si>
  <si>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</si>
  <si>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</si>
  <si>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</si>
  <si>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</si>
  <si>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</si>
  <si>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</si>
  <si>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</si>
  <si>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</si>
  <si>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</si>
  <si>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</si>
  <si>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</si>
  <si>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</si>
  <si>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</si>
  <si>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</si>
  <si>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</si>
  <si>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</si>
  <si>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</si>
  <si>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</si>
  <si>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</si>
  <si>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</si>
  <si>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</si>
  <si>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</si>
  <si>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</si>
  <si>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</si>
  <si>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</si>
  <si>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</si>
  <si>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</si>
  <si>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</si>
  <si>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</si>
  <si>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</si>
  <si>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</si>
  <si>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</si>
  <si>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</si>
  <si>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</si>
  <si>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</si>
  <si>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</si>
  <si>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</si>
  <si>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</si>
  <si>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</si>
  <si>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</si>
  <si>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</si>
  <si>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</si>
  <si>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</si>
  <si>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</si>
  <si>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</si>
  <si>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</si>
  <si>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</si>
  <si>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</si>
  <si>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</si>
  <si>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</si>
  <si>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</si>
  <si>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</si>
  <si>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</si>
  <si>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</si>
  <si>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</si>
  <si>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</si>
  <si>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</si>
  <si>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</si>
  <si>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</si>
  <si>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</si>
  <si>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</si>
  <si>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</si>
  <si>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</si>
  <si>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</si>
  <si>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</si>
  <si>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</si>
  <si>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</si>
  <si>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</si>
  <si>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</si>
  <si>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</si>
  <si>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</si>
  <si>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</si>
  <si>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</si>
  <si>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</si>
  <si>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</si>
  <si>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</si>
  <si>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</si>
  <si>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</si>
  <si>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</si>
  <si>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</si>
  <si>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</si>
  <si>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</si>
  <si>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</si>
  <si>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</si>
  <si>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</si>
  <si>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</si>
  <si>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</si>
  <si>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</si>
  <si>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</si>
  <si>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</si>
  <si>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</si>
  <si>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</si>
  <si>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</si>
  <si>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</si>
  <si>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</si>
  <si>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</si>
  <si>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</si>
  <si>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</si>
  <si>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</si>
  <si>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</si>
  <si>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</si>
  <si>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</si>
  <si>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</si>
  <si>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</si>
  <si>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</si>
  <si>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</si>
  <si>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</si>
  <si>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</si>
  <si>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</si>
  <si>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</si>
  <si>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</si>
  <si>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</si>
  <si>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</si>
  <si>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</si>
  <si>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</si>
  <si>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</si>
  <si>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</si>
  <si>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</si>
  <si>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</si>
  <si>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</si>
  <si>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</si>
  <si>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</si>
  <si>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</si>
  <si>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</si>
  <si>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</si>
  <si>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</si>
  <si>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</si>
  <si>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</si>
  <si>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</si>
  <si>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</si>
  <si>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</si>
  <si>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</si>
  <si>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</si>
  <si>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</si>
  <si>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</si>
  <si>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</si>
  <si>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</si>
  <si>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</si>
  <si>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</si>
  <si>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</si>
  <si>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</si>
  <si>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</si>
  <si>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</si>
  <si>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</si>
  <si>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</si>
  <si>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</si>
  <si>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</si>
  <si>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</si>
  <si>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</si>
  <si>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</si>
  <si>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</si>
  <si>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</si>
  <si>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</si>
  <si>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</si>
  <si>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</si>
  <si>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</si>
  <si>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</si>
  <si>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</si>
  <si>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</si>
  <si>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</si>
  <si>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</si>
  <si>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</si>
  <si>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</si>
  <si>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</si>
  <si>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</si>
  <si>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</si>
  <si>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</si>
  <si>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</si>
  <si>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</si>
  <si>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</si>
  <si>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</si>
  <si>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</si>
  <si>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</si>
  <si>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</si>
  <si>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</si>
  <si>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</si>
  <si>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</si>
  <si>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</si>
  <si>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</si>
  <si>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</si>
  <si>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</si>
  <si>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</si>
  <si>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</si>
  <si>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</si>
  <si>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</si>
  <si>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</si>
  <si>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</si>
  <si>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</si>
  <si>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</si>
  <si>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</si>
  <si>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</si>
  <si>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</si>
  <si>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</si>
  <si>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</si>
  <si>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</si>
  <si>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</si>
  <si>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</si>
  <si>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</si>
  <si>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</si>
  <si>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</si>
  <si>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</si>
  <si>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</si>
  <si>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</si>
  <si>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</si>
  <si>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</si>
  <si>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</si>
  <si>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</si>
  <si>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</si>
  <si>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</si>
  <si>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</si>
  <si>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</si>
  <si>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</si>
  <si>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</si>
  <si>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</si>
  <si>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</si>
  <si>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</si>
  <si>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</si>
  <si>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</si>
  <si>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</si>
  <si>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</si>
  <si>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</si>
  <si>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</si>
  <si>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</si>
  <si>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</si>
  <si>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</si>
  <si>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</si>
  <si>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</si>
  <si>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</si>
  <si>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</si>
  <si>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</si>
  <si>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</si>
  <si>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</si>
  <si>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</si>
  <si>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</si>
  <si>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</si>
  <si>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</si>
  <si>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</si>
  <si>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</si>
  <si>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</si>
  <si>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</si>
  <si>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</si>
  <si>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</si>
  <si>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</si>
  <si>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</si>
  <si>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</si>
  <si>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</si>
  <si>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</si>
  <si>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</si>
  <si>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</si>
  <si>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</si>
  <si>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</si>
  <si>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</si>
  <si>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</si>
  <si>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</si>
  <si>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</si>
  <si>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</si>
  <si>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</si>
  <si>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</si>
  <si>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</si>
  <si>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</si>
  <si>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</si>
  <si>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</si>
  <si>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</si>
  <si>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</si>
  <si>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</si>
  <si>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</si>
  <si>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</si>
  <si>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</si>
  <si>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</si>
  <si>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</si>
  <si>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</si>
  <si>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</si>
  <si>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</si>
  <si>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</si>
  <si>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</si>
  <si>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</si>
  <si>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</si>
  <si>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</si>
  <si>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</si>
  <si>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</si>
  <si>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</si>
  <si>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</si>
  <si>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</si>
  <si>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</si>
  <si>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</si>
  <si>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</si>
  <si>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</si>
  <si>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</si>
  <si>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</si>
  <si>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</si>
  <si>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</si>
  <si>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</si>
  <si>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</si>
  <si>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</si>
  <si>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</si>
  <si>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</si>
  <si>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</si>
  <si>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</si>
  <si>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</si>
  <si>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</si>
  <si>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</si>
  <si>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</si>
  <si>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</si>
  <si>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</si>
  <si>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</si>
  <si>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</si>
  <si>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</si>
  <si>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</si>
  <si>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</si>
  <si>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</si>
  <si>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</si>
  <si>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</si>
  <si>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</si>
  <si>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</si>
  <si>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</si>
  <si>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</si>
  <si>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</si>
  <si>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</si>
  <si>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</si>
  <si>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</si>
  <si>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</si>
  <si>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</si>
  <si>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</si>
  <si>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</si>
  <si>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</si>
  <si>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</si>
  <si>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</si>
  <si>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</si>
  <si>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</si>
  <si>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</si>
  <si>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</si>
  <si>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</si>
  <si>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</si>
  <si>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</si>
  <si>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</si>
  <si>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</si>
  <si>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</si>
  <si>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</si>
  <si>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</si>
  <si>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</si>
  <si>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</si>
  <si>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</si>
  <si>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</si>
  <si>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</si>
  <si>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</si>
  <si>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</si>
  <si>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</si>
  <si>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</si>
  <si>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</si>
  <si>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</si>
  <si>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</si>
  <si>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</si>
  <si>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</si>
  <si>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</si>
  <si>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</si>
  <si>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</si>
  <si>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</si>
  <si>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</si>
  <si>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</si>
  <si>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</si>
  <si>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</si>
  <si>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</si>
  <si>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</si>
  <si>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</si>
  <si>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</si>
  <si>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</si>
  <si>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</si>
  <si>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</si>
  <si>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</si>
  <si>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</si>
  <si>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</si>
  <si>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</si>
  <si>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</si>
  <si>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</si>
  <si>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</si>
  <si>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</si>
  <si>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</si>
  <si>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</si>
  <si>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</si>
  <si>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</si>
  <si>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</si>
  <si>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</si>
  <si>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</si>
  <si>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</si>
  <si>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</si>
  <si>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</si>
  <si>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</si>
  <si>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</si>
  <si>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</si>
  <si>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</si>
  <si>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</si>
  <si>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</si>
  <si>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</si>
  <si>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</si>
  <si>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</si>
  <si>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</si>
  <si>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</si>
  <si>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</si>
  <si>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</si>
  <si>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</si>
  <si>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</si>
  <si>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</si>
  <si>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</si>
  <si>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</si>
  <si>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</si>
  <si>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</si>
  <si>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</si>
  <si>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</si>
  <si>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</si>
  <si>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</si>
  <si>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</si>
  <si>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</si>
  <si>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</si>
  <si>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</si>
  <si>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</si>
  <si>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</si>
  <si>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</si>
  <si>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</si>
  <si>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</si>
  <si>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</si>
  <si>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</si>
  <si>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</si>
  <si>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</si>
  <si>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</si>
  <si>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</si>
  <si>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</si>
  <si>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</si>
  <si>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</si>
  <si>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</si>
  <si>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</si>
  <si>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</si>
  <si>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</si>
  <si>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</si>
  <si>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</si>
  <si>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</si>
  <si>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</si>
  <si>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</si>
  <si>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</si>
  <si>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</si>
  <si>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</si>
  <si>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</si>
  <si>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</si>
  <si>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</si>
  <si>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</si>
  <si>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</si>
  <si>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</si>
  <si>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</si>
  <si>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</si>
  <si>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</si>
  <si>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</si>
  <si>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</si>
  <si>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</si>
  <si>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</si>
  <si>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</si>
  <si>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</si>
  <si>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</si>
  <si>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</si>
  <si>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</si>
  <si>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</si>
  <si>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</si>
  <si>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</si>
  <si>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</si>
  <si>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</si>
  <si>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</si>
  <si>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</si>
  <si>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</si>
  <si>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</si>
  <si>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</si>
  <si>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</si>
  <si>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</si>
  <si>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</si>
  <si>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</si>
  <si>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</si>
  <si>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</si>
  <si>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</si>
  <si>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</si>
  <si>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</si>
  <si>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</si>
  <si>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</si>
  <si>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</si>
  <si>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</si>
  <si>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</si>
  <si>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</si>
  <si>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</si>
  <si>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</si>
  <si>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</si>
  <si>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</si>
  <si>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</si>
  <si>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</si>
  <si>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</si>
  <si>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</si>
  <si>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</si>
  <si>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</si>
  <si>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</si>
  <si>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</si>
  <si>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</si>
  <si>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</si>
  <si>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</si>
  <si>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</si>
  <si>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</si>
  <si>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</si>
  <si>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</si>
  <si>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</si>
  <si>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</si>
  <si>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</si>
  <si>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</si>
  <si>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</si>
  <si>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</si>
  <si>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</si>
  <si>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</si>
  <si>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</si>
  <si>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</si>
  <si>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</si>
  <si>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</si>
  <si>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</si>
  <si>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</si>
  <si>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</si>
  <si>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</si>
  <si>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</si>
  <si>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</si>
  <si>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</si>
  <si>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</si>
  <si>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</si>
  <si>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</si>
  <si>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</si>
  <si>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</si>
  <si>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</si>
  <si>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</si>
  <si>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</si>
  <si>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</si>
  <si>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</si>
  <si>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</si>
  <si>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</si>
  <si>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</si>
  <si>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</si>
  <si>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</si>
  <si>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</si>
  <si>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</si>
  <si>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</si>
  <si>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</si>
  <si>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</si>
  <si>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</si>
  <si>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</si>
  <si>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</si>
  <si>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</si>
  <si>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</si>
  <si>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</si>
  <si>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</si>
  <si>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</si>
  <si>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</si>
  <si>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</si>
  <si>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</si>
  <si>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</si>
  <si>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</si>
  <si>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</si>
  <si>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</si>
  <si>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</si>
  <si>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</si>
  <si>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</si>
  <si>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</si>
  <si>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</si>
  <si>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</si>
  <si>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</si>
  <si>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</si>
  <si>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</si>
  <si>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</si>
  <si>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</si>
  <si>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</si>
  <si>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</si>
  <si>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</si>
  <si>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</si>
  <si>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</si>
  <si>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</si>
  <si>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</si>
  <si>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</si>
  <si>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</si>
  <si>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</si>
  <si>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</si>
  <si>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</si>
  <si>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</si>
  <si>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</si>
  <si>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</si>
  <si>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</si>
  <si>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</si>
  <si>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</si>
  <si>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</si>
  <si>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</si>
  <si>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</si>
  <si>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</si>
  <si>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</si>
  <si>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</si>
  <si>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</si>
  <si>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</si>
  <si>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</si>
  <si>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</si>
  <si>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</si>
  <si>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</si>
  <si>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</si>
  <si>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</si>
  <si>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</si>
  <si>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</si>
  <si>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</si>
  <si>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</si>
  <si>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</si>
  <si>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</si>
  <si>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</si>
  <si>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</si>
  <si>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</si>
  <si>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</si>
  <si>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</si>
  <si>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</si>
  <si>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</si>
  <si>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</si>
  <si>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</si>
  <si>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</si>
  <si>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</si>
  <si>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</si>
  <si>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</si>
  <si>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</si>
  <si>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</si>
  <si>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</si>
  <si>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</si>
  <si>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</si>
  <si>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</si>
  <si>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</si>
  <si>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</si>
  <si>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</si>
  <si>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</si>
  <si>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</si>
  <si>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</si>
  <si>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</si>
  <si>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</si>
  <si>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</si>
  <si>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</si>
  <si>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</si>
  <si>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</si>
  <si>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</si>
  <si>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</si>
  <si>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</si>
  <si>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</si>
  <si>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</si>
  <si>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</si>
  <si>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</si>
  <si>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</si>
  <si>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</si>
  <si>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</si>
  <si>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</si>
  <si>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</si>
  <si>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</si>
  <si>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</si>
  <si>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</si>
  <si>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</si>
  <si>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</si>
  <si>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</si>
  <si>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</si>
  <si>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</si>
  <si>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</si>
  <si>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</si>
  <si>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</si>
  <si>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</si>
  <si>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</si>
  <si>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</si>
  <si>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</si>
  <si>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</si>
  <si>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</si>
  <si>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</si>
  <si>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</si>
  <si>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</si>
  <si>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</si>
  <si>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</si>
  <si>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</si>
  <si>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</si>
  <si>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</si>
  <si>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</si>
  <si>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</si>
  <si>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</si>
  <si>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</si>
  <si>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</si>
  <si>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</si>
  <si>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</si>
  <si>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</si>
  <si>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</si>
  <si>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</si>
  <si>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</si>
  <si>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</si>
  <si>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</si>
  <si>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</si>
  <si>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</si>
  <si>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</si>
  <si>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</si>
  <si>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</si>
  <si>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</si>
  <si>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</si>
  <si>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</si>
  <si>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</si>
  <si>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</si>
  <si>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</si>
  <si>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</si>
  <si>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</si>
  <si>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</si>
  <si>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</si>
  <si>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</si>
  <si>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</si>
  <si>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</si>
  <si>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</si>
  <si>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</si>
  <si>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</si>
  <si>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</si>
  <si>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</si>
  <si>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</si>
  <si>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</si>
  <si>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</si>
  <si>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</si>
  <si>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</si>
  <si>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</si>
  <si>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</si>
  <si>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</si>
  <si>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</si>
  <si>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</si>
  <si>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</si>
  <si>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</si>
  <si>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</si>
  <si>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</si>
  <si>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</si>
  <si>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</si>
  <si>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</si>
  <si>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</si>
  <si>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</si>
  <si>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</si>
  <si>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</si>
  <si>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</si>
  <si>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</si>
  <si>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</si>
  <si>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</si>
  <si>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</si>
  <si>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</si>
  <si>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</si>
  <si>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</si>
  <si>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</si>
  <si>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</si>
  <si>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</si>
  <si>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</si>
  <si>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</si>
  <si>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</si>
  <si>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</si>
  <si>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</si>
  <si>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</si>
  <si>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</si>
  <si>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</si>
  <si>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</si>
  <si>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</si>
  <si>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</si>
  <si>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</si>
  <si>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</si>
  <si>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</si>
  <si>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</si>
  <si>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</si>
  <si>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</si>
  <si>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</si>
  <si>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</si>
  <si>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</si>
  <si>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</si>
  <si>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</si>
  <si>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</si>
  <si>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</si>
  <si>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</si>
  <si>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</si>
  <si>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</si>
  <si>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</si>
  <si>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</si>
  <si>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</si>
  <si>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</si>
  <si>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</si>
  <si>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</si>
  <si>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</si>
  <si>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</si>
  <si>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</si>
  <si>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</si>
  <si>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</si>
  <si>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</si>
  <si>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</si>
  <si>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</si>
  <si>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</si>
  <si>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</si>
  <si>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</si>
  <si>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</si>
  <si>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</si>
  <si>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</si>
  <si>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</si>
  <si>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</si>
  <si>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</si>
  <si>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</si>
  <si>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</si>
  <si>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</si>
  <si>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</si>
  <si>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</si>
  <si>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</si>
  <si>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</si>
  <si>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</si>
  <si>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</si>
  <si>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</si>
  <si>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</si>
  <si>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</si>
  <si>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</si>
  <si>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</si>
  <si>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</si>
  <si>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</si>
  <si>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</si>
  <si>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</si>
  <si>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</si>
  <si>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</si>
  <si>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</si>
  <si>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</si>
  <si>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</si>
  <si>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</si>
  <si>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</si>
  <si>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</si>
  <si>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</si>
  <si>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</si>
  <si>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</si>
  <si>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</si>
  <si>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</si>
  <si>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</si>
  <si>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</si>
  <si>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</si>
  <si>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</si>
  <si>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</si>
  <si>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</si>
  <si>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</si>
  <si>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</si>
  <si>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</si>
  <si>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</si>
  <si>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</si>
  <si>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</si>
  <si>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</si>
  <si>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</si>
  <si>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</si>
  <si>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</si>
  <si>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</si>
  <si>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</si>
  <si>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</si>
  <si>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</si>
  <si>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</si>
  <si>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</si>
  <si>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</si>
  <si>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</si>
  <si>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</si>
  <si>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</si>
  <si>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</si>
  <si>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</si>
  <si>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</si>
  <si>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</si>
  <si>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</si>
  <si>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</si>
  <si>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</si>
  <si>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</si>
  <si>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</si>
  <si>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</si>
  <si>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</si>
  <si>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</si>
  <si>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</si>
  <si>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</si>
  <si>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</si>
  <si>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</si>
  <si>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</si>
  <si>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</si>
  <si>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</si>
  <si>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</si>
  <si>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</si>
  <si>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</si>
  <si>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</si>
  <si>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</si>
  <si>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</si>
  <si>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</si>
  <si>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</si>
  <si>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</si>
  <si>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</si>
  <si>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</si>
  <si>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</si>
  <si>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</si>
  <si>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</si>
  <si>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</si>
  <si>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</si>
  <si>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</si>
  <si>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</si>
  <si>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</si>
  <si>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</si>
  <si>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</si>
  <si>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</si>
  <si>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</si>
  <si>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</si>
  <si>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</si>
  <si>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</si>
  <si>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</si>
  <si>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</si>
  <si>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</si>
  <si>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</si>
  <si>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</si>
  <si>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</si>
  <si>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</si>
  <si>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</si>
  <si>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</si>
  <si>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</si>
  <si>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</si>
  <si>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</si>
  <si>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</si>
  <si>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</si>
  <si>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</si>
  <si>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</si>
  <si>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</si>
  <si>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</si>
  <si>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</si>
  <si>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</si>
  <si>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</si>
  <si>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</si>
  <si>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</si>
  <si>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</si>
  <si>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</si>
  <si>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</si>
  <si>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</si>
  <si>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</si>
  <si>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</si>
  <si>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</si>
  <si>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</si>
  <si>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</si>
  <si>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</si>
  <si>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</si>
  <si>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</si>
  <si>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</si>
  <si>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</si>
  <si>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</si>
  <si>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</si>
  <si>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</si>
  <si>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</si>
  <si>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</si>
  <si>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</si>
  <si>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</si>
  <si>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</si>
  <si>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</si>
  <si>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</si>
  <si>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</si>
  <si>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</si>
  <si>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</si>
  <si>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</si>
  <si>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</si>
  <si>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</si>
  <si>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</si>
  <si>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</si>
  <si>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</si>
  <si>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</si>
  <si>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</si>
  <si>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</si>
  <si>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</si>
  <si>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</si>
  <si>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</si>
  <si>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</si>
  <si>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</si>
  <si>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</si>
  <si>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</si>
  <si>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</si>
  <si>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</si>
  <si>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</si>
  <si>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</si>
  <si>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</si>
  <si>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</si>
  <si>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</si>
  <si>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</si>
  <si>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</si>
  <si>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</si>
  <si>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</si>
  <si>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</si>
  <si>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</si>
  <si>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</si>
  <si>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</si>
  <si>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</si>
  <si>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</si>
  <si>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</si>
  <si>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</si>
  <si>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</si>
  <si>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</si>
  <si>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</si>
  <si>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</si>
  <si>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</si>
  <si>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</si>
  <si>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</si>
  <si>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</si>
  <si>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</si>
  <si>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</si>
  <si>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</si>
  <si>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</si>
  <si>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</si>
  <si>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</si>
  <si>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</si>
  <si>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</si>
  <si>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</si>
  <si>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</si>
  <si>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</si>
  <si>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</si>
  <si>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</si>
  <si>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</si>
  <si>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</si>
  <si>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</si>
  <si>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</si>
  <si>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</si>
  <si>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</si>
  <si>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</si>
  <si>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</si>
  <si>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</si>
  <si>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</si>
  <si>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</si>
  <si>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</si>
  <si>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</si>
  <si>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</si>
  <si>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</si>
  <si>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</si>
  <si>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</si>
  <si>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</si>
  <si>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</si>
  <si>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</si>
  <si>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</si>
  <si>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</si>
  <si>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</si>
  <si>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</si>
  <si>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</si>
  <si>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</si>
  <si>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</si>
  <si>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</si>
  <si>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</si>
  <si>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</si>
  <si>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</si>
  <si>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</si>
  <si>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</si>
  <si>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</si>
  <si>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</si>
  <si>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</si>
  <si>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</si>
  <si>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</si>
  <si>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</si>
  <si>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</si>
  <si>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</si>
  <si>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</si>
  <si>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</si>
  <si>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</si>
  <si>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</si>
  <si>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</si>
  <si>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</si>
  <si>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</si>
  <si>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</si>
  <si>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</si>
  <si>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</si>
  <si>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</si>
  <si>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</si>
  <si>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</si>
  <si>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</si>
  <si>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</si>
  <si>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</si>
  <si>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</si>
  <si>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</si>
  <si>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</si>
  <si>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</si>
  <si>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</si>
  <si>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</si>
  <si>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</si>
  <si>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</si>
  <si>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</si>
  <si>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</si>
  <si>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</si>
  <si>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</si>
  <si>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</si>
  <si>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</si>
  <si>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</si>
  <si>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</si>
  <si>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</si>
  <si>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</si>
  <si>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</si>
  <si>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</si>
  <si>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</si>
  <si>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</si>
  <si>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</si>
  <si>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</si>
  <si>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</si>
  <si>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</si>
  <si>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</si>
  <si>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</si>
  <si>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</si>
  <si>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</si>
  <si>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</si>
  <si>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</si>
  <si>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</si>
  <si>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</si>
  <si>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</si>
  <si>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</si>
  <si>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</si>
  <si>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</si>
  <si>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</si>
  <si>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</si>
  <si>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</si>
  <si>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</si>
  <si>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</si>
  <si>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</si>
  <si>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</si>
  <si>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</si>
  <si>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</si>
  <si>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</si>
  <si>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</si>
  <si>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</si>
  <si>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</si>
  <si>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</si>
  <si>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</si>
  <si>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</si>
  <si>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</si>
  <si>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</si>
  <si>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</si>
  <si>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</si>
  <si>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</si>
  <si>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</si>
  <si>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</si>
  <si>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</si>
  <si>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</si>
  <si>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</si>
  <si>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</si>
  <si>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</si>
  <si>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</si>
  <si>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</si>
  <si>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</si>
  <si>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</si>
  <si>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</si>
  <si>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</si>
  <si>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</si>
  <si>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</si>
  <si>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</si>
  <si>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</si>
  <si>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</si>
  <si>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</si>
  <si>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</si>
  <si>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</si>
  <si>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</si>
  <si>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</si>
  <si>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</si>
  <si>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</si>
  <si>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</si>
  <si>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</si>
  <si>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</si>
  <si>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</si>
  <si>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</si>
  <si>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</si>
  <si>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</si>
  <si>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</si>
  <si>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</si>
  <si>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</si>
  <si>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</si>
  <si>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</si>
  <si>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</si>
  <si>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</si>
  <si>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</si>
  <si>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</si>
  <si>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</si>
  <si>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</si>
  <si>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</si>
  <si>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</si>
  <si>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</si>
  <si>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</si>
  <si>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</si>
  <si>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</si>
  <si>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</si>
  <si>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</si>
  <si>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</si>
  <si>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</si>
  <si>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</si>
  <si>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</si>
  <si>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</si>
  <si>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</si>
  <si>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</si>
  <si>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</si>
  <si>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</si>
  <si>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</si>
  <si>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</si>
  <si>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</si>
  <si>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</si>
  <si>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</si>
  <si>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</si>
  <si>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</si>
  <si>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</si>
  <si>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</si>
  <si>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</si>
  <si>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</si>
  <si>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</si>
  <si>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</si>
  <si>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</si>
  <si>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</si>
  <si>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</si>
  <si>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</si>
  <si>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</si>
  <si>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</si>
  <si>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</si>
  <si>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</si>
  <si>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</si>
  <si>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</si>
  <si>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</si>
  <si>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</si>
  <si>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</si>
  <si>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</si>
  <si>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</si>
  <si>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</si>
  <si>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</si>
  <si>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</si>
  <si>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</si>
  <si>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</si>
  <si>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</si>
  <si>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</si>
  <si>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</si>
  <si>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</si>
  <si>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</si>
  <si>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</si>
  <si>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</si>
  <si>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</si>
  <si>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</si>
  <si>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</si>
  <si>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</si>
  <si>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</si>
  <si>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</si>
  <si>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</si>
  <si>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</si>
  <si>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</si>
  <si>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</si>
  <si>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</si>
  <si>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</si>
  <si>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</si>
  <si>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</si>
  <si>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</si>
  <si>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</si>
  <si>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</si>
  <si>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</si>
  <si>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</si>
  <si>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</si>
  <si>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</si>
  <si>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</si>
  <si>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</si>
  <si>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</si>
  <si>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</si>
  <si>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</si>
  <si>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</si>
  <si>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</si>
  <si>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</si>
  <si>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</si>
  <si>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</si>
  <si>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</si>
  <si>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</si>
  <si>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</si>
  <si>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</si>
  <si>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</si>
  <si>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</si>
  <si>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</si>
  <si>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</si>
  <si>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</si>
  <si>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</si>
  <si>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</si>
  <si>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</si>
  <si>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</si>
  <si>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</si>
  <si>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</si>
  <si>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</si>
  <si>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</si>
  <si>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</si>
  <si>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</si>
  <si>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</si>
  <si>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</si>
  <si>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</si>
  <si>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</si>
  <si>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</si>
  <si>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</si>
  <si>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</si>
  <si>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</si>
  <si>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</si>
  <si>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</si>
  <si>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</si>
  <si>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</si>
  <si>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</si>
  <si>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</si>
  <si>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</si>
  <si>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</si>
  <si>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</si>
  <si>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</si>
  <si>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</si>
  <si>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</si>
  <si>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</si>
  <si>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</si>
  <si>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</si>
  <si>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</si>
  <si>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</si>
  <si>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</si>
  <si>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</si>
  <si>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</si>
  <si>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</si>
  <si>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</si>
  <si>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</si>
  <si>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</si>
  <si>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</si>
  <si>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</si>
  <si>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</si>
  <si>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</si>
  <si>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</si>
  <si>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</si>
  <si>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</si>
  <si>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</si>
  <si>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</si>
  <si>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</si>
  <si>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</si>
  <si>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</si>
  <si>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</si>
  <si>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</si>
  <si>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</si>
  <si>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</si>
  <si>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</si>
  <si>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</si>
  <si>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</si>
  <si>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</si>
  <si>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</si>
  <si>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</si>
  <si>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</si>
  <si>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</si>
  <si>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</si>
  <si>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</si>
  <si>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</si>
  <si>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</si>
  <si>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</si>
  <si>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</si>
  <si>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</si>
  <si>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</si>
  <si>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</si>
  <si>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</si>
  <si>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</si>
  <si>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</si>
  <si>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</si>
  <si>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</si>
  <si>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</si>
  <si>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</si>
  <si>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</si>
  <si>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</si>
  <si>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</si>
  <si>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</si>
  <si>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</si>
  <si>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</si>
  <si>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</si>
  <si>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</si>
  <si>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</si>
  <si>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</si>
  <si>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</si>
  <si>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</si>
  <si>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</si>
  <si>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</si>
  <si>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</si>
  <si>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</si>
  <si>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</si>
  <si>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</si>
  <si>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</si>
  <si>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</si>
  <si>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</si>
  <si>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</si>
  <si>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</si>
  <si>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</si>
  <si>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</si>
  <si>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</si>
  <si>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</si>
  <si>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</si>
  <si>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</si>
  <si>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</si>
  <si>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</si>
  <si>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</si>
  <si>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</si>
  <si>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</si>
  <si>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</si>
  <si>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</si>
  <si>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</si>
  <si>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</si>
  <si>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</si>
  <si>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</si>
  <si>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</si>
  <si>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</si>
  <si>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</si>
  <si>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</si>
  <si>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</si>
  <si>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</si>
  <si>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</si>
  <si>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</si>
  <si>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</si>
  <si>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</si>
  <si>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</si>
  <si>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</si>
  <si>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</si>
  <si>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</si>
  <si>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</si>
  <si>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</si>
  <si>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</si>
  <si>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</si>
  <si>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</si>
  <si>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</si>
  <si>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</si>
  <si>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</si>
  <si>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</si>
  <si>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</si>
  <si>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</si>
  <si>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</si>
  <si>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</si>
  <si>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</si>
  <si>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</si>
  <si>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</si>
  <si>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</si>
  <si>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</si>
  <si>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</si>
  <si>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</si>
  <si>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</si>
  <si>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</si>
  <si>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</si>
  <si>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</si>
  <si>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</si>
  <si>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</si>
  <si>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</si>
  <si>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</si>
  <si>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</si>
  <si>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</si>
  <si>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</si>
  <si>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</si>
  <si>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</si>
  <si>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</si>
  <si>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</si>
  <si>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</si>
  <si>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</si>
  <si>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</si>
  <si>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</si>
  <si>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</si>
  <si>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</si>
  <si>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</si>
  <si>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</si>
  <si>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</si>
  <si>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</si>
  <si>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</si>
  <si>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</si>
  <si>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</si>
  <si>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</si>
  <si>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</si>
  <si>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</si>
  <si>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</si>
  <si>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</si>
  <si>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</si>
  <si>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</si>
  <si>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</si>
  <si>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</si>
  <si>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</si>
  <si>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</si>
  <si>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</si>
  <si>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</si>
  <si>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</si>
  <si>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</si>
  <si>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</si>
  <si>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</si>
  <si>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</si>
  <si>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</si>
  <si>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</si>
  <si>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</si>
  <si>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</si>
  <si>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</si>
  <si>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</si>
  <si>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</si>
  <si>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</si>
  <si>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</si>
  <si>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</si>
  <si>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</si>
  <si>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</si>
  <si>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</si>
  <si>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</si>
  <si>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</si>
  <si>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</si>
  <si>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</si>
  <si>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</si>
  <si>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</si>
  <si>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</si>
  <si>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</si>
  <si>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</si>
  <si>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</si>
  <si>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</si>
  <si>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</si>
  <si>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</si>
  <si>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</si>
  <si>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</si>
  <si>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</si>
  <si>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</si>
  <si>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</si>
  <si>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</si>
  <si>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</si>
  <si>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</si>
  <si>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</si>
  <si>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</si>
  <si>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</si>
  <si>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</si>
  <si>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</si>
  <si>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</si>
  <si>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</si>
  <si>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</si>
  <si>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</si>
  <si>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</si>
  <si>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</si>
  <si>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</si>
  <si>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</si>
  <si>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</si>
  <si>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</si>
  <si>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</si>
  <si>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</si>
  <si>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</si>
  <si>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</si>
  <si>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</si>
  <si>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</si>
  <si>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</si>
  <si>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</si>
  <si>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</si>
  <si>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</si>
  <si>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</si>
  <si>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</si>
  <si>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</si>
  <si>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</si>
  <si>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</si>
  <si>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</si>
  <si>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</si>
  <si>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</si>
  <si>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</si>
  <si>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</si>
  <si>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</si>
  <si>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</si>
  <si>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</si>
  <si>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</si>
  <si>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</si>
  <si>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</si>
  <si>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</si>
  <si>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</si>
  <si>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</si>
  <si>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</si>
  <si>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</si>
  <si>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</si>
  <si>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</si>
  <si>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</si>
  <si>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</si>
  <si>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</si>
  <si>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</si>
  <si>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</si>
  <si>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</si>
  <si>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</si>
  <si>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</si>
  <si>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</si>
  <si>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</si>
  <si>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</si>
  <si>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</si>
  <si>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</si>
  <si>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</si>
  <si>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</si>
  <si>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</si>
  <si>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</si>
  <si>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</si>
  <si>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</si>
  <si>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</si>
  <si>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</si>
  <si>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</si>
  <si>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</si>
  <si>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</si>
  <si>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</si>
  <si>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</si>
  <si>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</si>
  <si>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</si>
  <si>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</si>
  <si>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</si>
  <si>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</si>
  <si>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</si>
  <si>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</si>
  <si>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</si>
  <si>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</si>
  <si>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</si>
  <si>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</si>
  <si>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</si>
  <si>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</si>
  <si>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</si>
  <si>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</si>
  <si>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</si>
  <si>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</si>
  <si>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</si>
  <si>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</si>
  <si>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</si>
  <si>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</si>
  <si>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</si>
  <si>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</si>
  <si>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</si>
  <si>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</si>
  <si>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</si>
  <si>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</si>
  <si>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</si>
  <si>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</si>
  <si>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</si>
  <si>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</si>
  <si>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</si>
  <si>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</si>
  <si>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</si>
  <si>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</si>
  <si>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</si>
  <si>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</si>
  <si>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</si>
  <si>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</si>
  <si>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</si>
  <si>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</si>
  <si>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</si>
  <si>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</si>
  <si>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</si>
  <si>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</si>
  <si>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</si>
  <si>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</si>
  <si>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</si>
  <si>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</si>
  <si>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</si>
  <si>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</si>
  <si>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</si>
  <si>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</si>
  <si>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</si>
  <si>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</si>
  <si>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</si>
  <si>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</si>
  <si>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</si>
  <si>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</si>
  <si>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</si>
  <si>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</si>
  <si>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</si>
  <si>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</si>
  <si>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</si>
  <si>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</si>
  <si>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</si>
  <si>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</si>
  <si>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</si>
  <si>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</si>
  <si>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</si>
  <si>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</si>
  <si>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</si>
  <si>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</si>
  <si>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</si>
  <si>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</si>
  <si>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</si>
  <si>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</si>
  <si>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</si>
  <si>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</si>
  <si>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</si>
  <si>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</si>
  <si>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</si>
  <si>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</si>
  <si>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</si>
  <si>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</si>
  <si>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</si>
  <si>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</si>
  <si>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</si>
  <si>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</si>
  <si>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</si>
  <si>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</si>
  <si>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</si>
  <si>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</si>
  <si>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</si>
  <si>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</si>
  <si>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</si>
  <si>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</si>
  <si>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</si>
  <si>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</si>
  <si>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</si>
  <si>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</si>
  <si>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</si>
  <si>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</si>
  <si>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</si>
  <si>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</si>
  <si>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</si>
  <si>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</si>
  <si>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</si>
  <si>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</si>
  <si>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</si>
  <si>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</si>
  <si>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</si>
  <si>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</si>
  <si>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</si>
  <si>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</si>
  <si>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</si>
  <si>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</si>
  <si>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</si>
  <si>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</si>
  <si>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</si>
  <si>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</si>
  <si>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</si>
  <si>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</si>
  <si>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</si>
  <si>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</si>
  <si>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</si>
  <si>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</si>
  <si>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</si>
  <si>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</si>
  <si>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</si>
  <si>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</si>
  <si>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</si>
  <si>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</si>
  <si>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</si>
  <si>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</si>
  <si>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</si>
  <si>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</si>
  <si>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</si>
  <si>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</si>
  <si>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</si>
  <si>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</si>
  <si>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</si>
  <si>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</si>
  <si>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</si>
  <si>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</si>
  <si>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</si>
  <si>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</si>
  <si>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</si>
  <si>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</si>
  <si>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</si>
  <si>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</si>
  <si>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</si>
  <si>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</si>
  <si>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</si>
  <si>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</si>
  <si>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</si>
  <si>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</si>
  <si>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</si>
  <si>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</si>
  <si>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</si>
  <si>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</si>
  <si>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</si>
  <si>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</si>
  <si>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</si>
  <si>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</si>
  <si>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</si>
  <si>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</si>
  <si>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</si>
  <si>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</si>
  <si>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</si>
  <si>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</si>
  <si>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</si>
  <si>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</si>
  <si>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</si>
  <si>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</si>
  <si>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</si>
  <si>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</si>
  <si>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</si>
  <si>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</si>
  <si>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</si>
  <si>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</si>
  <si>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</si>
  <si>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</si>
  <si>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</si>
  <si>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</si>
  <si>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</si>
  <si>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</si>
  <si>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</si>
  <si>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</si>
  <si>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</si>
  <si>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</si>
  <si>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</si>
  <si>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</si>
  <si>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</si>
  <si>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</si>
  <si>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</si>
  <si>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</si>
  <si>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</si>
  <si>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</si>
  <si>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</si>
  <si>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</si>
  <si>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</si>
  <si>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</si>
  <si>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</si>
  <si>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</si>
  <si>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</si>
  <si>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</si>
  <si>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</si>
  <si>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</si>
  <si>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</si>
  <si>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</si>
  <si>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</si>
  <si>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</si>
  <si>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</si>
  <si>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</si>
  <si>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</si>
  <si>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</si>
  <si>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</si>
  <si>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</si>
  <si>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</si>
  <si>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</si>
  <si>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</si>
  <si>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</si>
  <si>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</si>
  <si>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</si>
  <si>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</si>
  <si>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</si>
  <si>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</si>
  <si>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</si>
  <si>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</si>
  <si>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</si>
  <si>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</si>
  <si>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</si>
  <si>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</si>
  <si>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</si>
  <si>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</si>
  <si>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</si>
  <si>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</si>
  <si>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</si>
  <si>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</si>
  <si>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</si>
  <si>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</si>
  <si>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</si>
  <si>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</si>
  <si>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</si>
  <si>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</si>
  <si>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</si>
  <si>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</si>
  <si>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</si>
  <si>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</si>
  <si>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</si>
  <si>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</si>
  <si>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</si>
  <si>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</si>
  <si>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</si>
  <si>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</si>
  <si>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</si>
  <si>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</si>
  <si>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</si>
  <si>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</si>
  <si>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</si>
  <si>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</si>
  <si>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</si>
  <si>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</si>
  <si>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</si>
  <si>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</si>
  <si>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</si>
  <si>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</si>
  <si>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</si>
  <si>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</si>
  <si>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</si>
  <si>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</si>
  <si>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</si>
  <si>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</si>
  <si>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</si>
  <si>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</si>
  <si>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</si>
  <si>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</si>
  <si>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</si>
  <si>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</si>
  <si>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</si>
  <si>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</si>
  <si>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</si>
  <si>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</si>
  <si>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</si>
  <si>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</si>
  <si>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</si>
  <si>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</si>
  <si>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</si>
  <si>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</si>
  <si>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</si>
  <si>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</si>
  <si>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</si>
  <si>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</si>
  <si>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</si>
  <si>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</si>
  <si>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</si>
  <si>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</si>
  <si>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</si>
  <si>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</si>
  <si>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</si>
  <si>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</si>
  <si>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</si>
  <si>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</si>
  <si>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</si>
  <si>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</si>
  <si>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</si>
  <si>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</si>
  <si>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</si>
  <si>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</si>
  <si>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</si>
  <si>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</si>
  <si>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</si>
  <si>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</si>
  <si>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</si>
  <si>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</si>
  <si>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</si>
  <si>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</si>
  <si>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</si>
  <si>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</si>
  <si>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</si>
  <si>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</si>
  <si>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</si>
  <si>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</si>
  <si>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</si>
  <si>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</si>
  <si>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</si>
  <si>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</si>
  <si>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</si>
  <si>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</si>
  <si>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</si>
  <si>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</si>
  <si>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</si>
  <si>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</si>
  <si>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</si>
  <si>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</si>
  <si>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</si>
  <si>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</si>
  <si>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</si>
  <si>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</si>
  <si>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</si>
  <si>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</si>
  <si>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</si>
  <si>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</si>
  <si>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</si>
  <si>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</si>
  <si>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</si>
  <si>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</si>
  <si>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</si>
  <si>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</si>
  <si>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</si>
  <si>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</si>
  <si>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</si>
  <si>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</si>
  <si>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</si>
  <si>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</si>
  <si>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</si>
  <si>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</si>
  <si>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</si>
  <si>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</si>
  <si>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</si>
  <si>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</si>
  <si>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</si>
  <si>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</si>
  <si>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</si>
  <si>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</si>
  <si>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</si>
  <si>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</si>
  <si>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</si>
  <si>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</si>
  <si>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</si>
  <si>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</si>
  <si>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</si>
  <si>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</si>
  <si>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</si>
  <si>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</si>
  <si>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</si>
  <si>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</si>
  <si>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</si>
  <si>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</si>
  <si>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</si>
  <si>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</si>
  <si>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</si>
  <si>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</si>
  <si>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</si>
  <si>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</si>
  <si>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</si>
  <si>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</si>
  <si>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</si>
  <si>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</si>
  <si>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</si>
  <si>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</si>
  <si>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</si>
  <si>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</si>
  <si>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</si>
  <si>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</si>
  <si>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</si>
  <si>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</si>
  <si>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</si>
  <si>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</si>
  <si>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</si>
  <si>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</si>
  <si>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</si>
  <si>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</si>
  <si>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</si>
  <si>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</si>
  <si>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</si>
  <si>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</si>
  <si>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</si>
  <si>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</si>
  <si>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</si>
  <si>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</si>
  <si>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</si>
  <si>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</si>
  <si>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</si>
  <si>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</si>
  <si>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</si>
  <si>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</si>
  <si>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</si>
  <si>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</si>
  <si>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</si>
  <si>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</si>
  <si>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</si>
  <si>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</si>
  <si>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</si>
  <si>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</si>
  <si>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</si>
  <si>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</si>
  <si>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</si>
  <si>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</si>
  <si>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</si>
  <si>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</si>
  <si>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</si>
  <si>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</si>
  <si>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</si>
  <si>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</si>
  <si>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</si>
  <si>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</si>
  <si>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</si>
  <si>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</si>
  <si>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</si>
  <si>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</si>
  <si>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</si>
  <si>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</si>
  <si>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</si>
  <si>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</si>
  <si>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</si>
  <si>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</si>
  <si>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</si>
  <si>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</si>
  <si>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</si>
  <si>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</si>
  <si>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</si>
  <si>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</si>
  <si>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</si>
  <si>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</si>
  <si>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</si>
  <si>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</si>
  <si>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</si>
  <si>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</si>
  <si>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</si>
  <si>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</si>
  <si>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</si>
  <si>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</si>
  <si>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</si>
  <si>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</si>
  <si>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</si>
  <si>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</si>
  <si>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</si>
  <si>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</si>
  <si>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</si>
  <si>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</si>
  <si>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</si>
  <si>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</si>
  <si>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</si>
  <si>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</si>
  <si>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</si>
  <si>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</si>
  <si>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</si>
  <si>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</si>
  <si>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</si>
  <si>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</si>
  <si>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</si>
  <si>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</si>
  <si>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</si>
  <si>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</si>
  <si>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</si>
  <si>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</si>
  <si>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</si>
  <si>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</si>
  <si>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</si>
  <si>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</si>
  <si>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</si>
  <si>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</si>
  <si>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</si>
  <si>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</si>
  <si>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</si>
  <si>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</si>
  <si>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</si>
  <si>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</si>
  <si>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</si>
  <si>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</si>
  <si>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</si>
  <si>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</si>
  <si>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</si>
  <si>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</si>
  <si>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</si>
  <si>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</si>
  <si>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</si>
  <si>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</si>
  <si>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</si>
  <si>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</si>
  <si>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</si>
  <si>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</si>
  <si>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</si>
  <si>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</si>
  <si>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</si>
  <si>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</si>
  <si>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</si>
  <si>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</si>
  <si>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</si>
  <si>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</si>
  <si>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</si>
  <si>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</si>
  <si>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</si>
  <si>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</si>
  <si>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</si>
  <si>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</si>
  <si>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</si>
  <si>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</si>
  <si>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</si>
  <si>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</si>
  <si>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</si>
  <si>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</si>
  <si>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</si>
  <si>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</si>
  <si>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</si>
  <si>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</si>
  <si>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</si>
  <si>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</si>
  <si>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</si>
  <si>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</si>
  <si>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</si>
  <si>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</si>
  <si>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</si>
  <si>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</si>
  <si>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</si>
  <si>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</si>
  <si>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</si>
  <si>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</si>
  <si>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</si>
  <si>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</si>
  <si>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</si>
  <si>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</si>
  <si>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</si>
  <si>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</si>
  <si>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</si>
  <si>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</si>
  <si>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</si>
  <si>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</si>
  <si>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</si>
  <si>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</si>
  <si>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</si>
  <si>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</si>
  <si>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</si>
  <si>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</si>
  <si>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</si>
  <si>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</si>
  <si>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</si>
  <si>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</si>
  <si>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</si>
  <si>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</si>
  <si>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</si>
  <si>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</si>
  <si>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</si>
  <si>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</si>
  <si>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</si>
  <si>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</si>
  <si>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</si>
  <si>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</si>
  <si>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</si>
  <si>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</si>
  <si>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</si>
  <si>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</si>
  <si>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</si>
  <si>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</si>
  <si>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</si>
  <si>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</si>
  <si>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</si>
  <si>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</si>
  <si>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</si>
  <si>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</si>
  <si>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</si>
  <si>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</si>
  <si>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</si>
  <si>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</si>
  <si>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</si>
  <si>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</si>
  <si>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</si>
  <si>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</si>
  <si>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</si>
  <si>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</si>
  <si>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</si>
  <si>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</si>
  <si>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</si>
  <si>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</si>
  <si>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</si>
  <si>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</si>
  <si>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</si>
  <si>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</si>
  <si>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</si>
  <si>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</si>
  <si>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</si>
  <si>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</si>
  <si>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</si>
  <si>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</si>
  <si>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</si>
  <si>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</si>
  <si>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</si>
  <si>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</si>
  <si>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</si>
  <si>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</si>
  <si>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</si>
  <si>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</si>
  <si>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</si>
  <si>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</si>
  <si>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</si>
  <si>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</si>
  <si>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</si>
  <si>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</si>
  <si>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</si>
  <si>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</si>
  <si>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</si>
  <si>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</si>
  <si>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</si>
  <si>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</si>
  <si>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</si>
  <si>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</si>
  <si>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</si>
  <si>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</si>
  <si>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</si>
  <si>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</si>
  <si>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</si>
  <si>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</si>
  <si>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</si>
  <si>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</si>
  <si>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</si>
  <si>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</si>
  <si>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</si>
  <si>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</si>
  <si>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</si>
  <si>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</si>
  <si>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</si>
  <si>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</si>
  <si>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</si>
  <si>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</si>
  <si>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</si>
  <si>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</si>
  <si>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</si>
  <si>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</si>
  <si>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</si>
  <si>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</si>
  <si>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</si>
  <si>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</si>
  <si>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</si>
  <si>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</si>
  <si>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</si>
  <si>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</si>
  <si>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</si>
  <si>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</si>
  <si>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</si>
  <si>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</si>
  <si>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</si>
  <si>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</si>
  <si>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</si>
  <si>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</si>
  <si>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</si>
  <si>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</si>
  <si>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</si>
  <si>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</si>
  <si>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</si>
  <si>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</si>
  <si>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</si>
  <si>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</si>
  <si>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</si>
  <si>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</si>
  <si>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</si>
  <si>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</si>
  <si>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</si>
  <si>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</si>
  <si>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</si>
  <si>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</si>
  <si>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</si>
  <si>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</si>
  <si>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</si>
  <si>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</si>
  <si>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</si>
  <si>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</si>
  <si>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</si>
  <si>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</si>
  <si>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</si>
  <si>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</si>
  <si>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</si>
  <si>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</si>
  <si>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</si>
  <si>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</si>
  <si>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</si>
  <si>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</si>
  <si>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</si>
  <si>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</si>
  <si>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</si>
  <si>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</si>
  <si>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</si>
  <si>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</si>
  <si>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</si>
  <si>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</si>
  <si>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</si>
  <si>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</si>
  <si>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</si>
  <si>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</si>
  <si>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</si>
  <si>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</si>
  <si>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</si>
  <si>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</si>
  <si>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</si>
  <si>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</si>
  <si>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</si>
  <si>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</si>
  <si>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</si>
  <si>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</si>
  <si>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</si>
  <si>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</si>
  <si>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</si>
  <si>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</si>
  <si>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</si>
  <si>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</si>
  <si>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</si>
  <si>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</si>
  <si>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</si>
  <si>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</si>
  <si>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</si>
  <si>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</si>
  <si>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</si>
  <si>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</si>
  <si>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</si>
  <si>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</si>
  <si>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</si>
  <si>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</si>
  <si>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</si>
  <si>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</si>
  <si>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</si>
  <si>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</si>
  <si>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</si>
  <si>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</si>
  <si>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</si>
  <si>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</si>
  <si>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</si>
  <si>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</si>
  <si>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</si>
  <si>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</si>
  <si>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</si>
  <si>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</si>
  <si>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</si>
  <si>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</si>
  <si>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</si>
  <si>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</si>
  <si>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</si>
  <si>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</si>
  <si>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</si>
  <si>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</si>
  <si>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</si>
  <si>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</si>
  <si>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</si>
  <si>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</si>
  <si>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</si>
  <si>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</si>
  <si>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</si>
  <si>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</si>
  <si>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</si>
  <si>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</si>
  <si>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</si>
  <si>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</si>
  <si>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</si>
  <si>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</si>
  <si>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</si>
  <si>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</si>
  <si>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</si>
  <si>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</si>
  <si>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</si>
  <si>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</si>
  <si>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</si>
  <si>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</si>
  <si>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</si>
  <si>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</si>
  <si>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</si>
  <si>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</si>
  <si>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</si>
  <si>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</si>
  <si>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</si>
  <si>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</si>
  <si>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</si>
  <si>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</si>
  <si>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</si>
  <si>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</si>
  <si>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</si>
  <si>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</si>
  <si>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</si>
  <si>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</si>
  <si>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</si>
  <si>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</si>
  <si>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</si>
  <si>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</si>
  <si>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</si>
  <si>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</si>
  <si>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</si>
  <si>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</si>
  <si>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</si>
  <si>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</si>
  <si>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</si>
  <si>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</si>
  <si>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</si>
  <si>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</si>
  <si>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</si>
  <si>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</si>
  <si>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</si>
  <si>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</si>
  <si>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</si>
  <si>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</si>
  <si>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</si>
  <si>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</si>
  <si>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</si>
  <si>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</si>
  <si>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</si>
  <si>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</si>
  <si>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</si>
  <si>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</si>
  <si>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</si>
  <si>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</si>
  <si>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</si>
  <si>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</si>
  <si>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</si>
  <si>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</si>
  <si>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</si>
  <si>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</si>
  <si>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</si>
  <si>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</si>
  <si>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</si>
  <si>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</si>
  <si>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</si>
  <si>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</si>
  <si>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</si>
  <si>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</si>
  <si>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</si>
  <si>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</si>
  <si>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</si>
  <si>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</si>
  <si>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</si>
  <si>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</si>
  <si>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</si>
  <si>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</si>
  <si>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</si>
  <si>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</si>
  <si>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</si>
  <si>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</si>
  <si>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</si>
  <si>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</si>
  <si>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</si>
  <si>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</si>
  <si>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</si>
  <si>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</si>
  <si>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</si>
  <si>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</si>
  <si>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</si>
  <si>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</si>
  <si>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</si>
  <si>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</si>
  <si>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</si>
  <si>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</si>
  <si>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</si>
  <si>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</si>
  <si>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</si>
  <si>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</si>
  <si>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</si>
  <si>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</si>
  <si>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</si>
  <si>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</si>
  <si>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</si>
  <si>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</si>
  <si>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</si>
  <si>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</si>
  <si>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</si>
  <si>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</si>
  <si>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</si>
  <si>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</si>
  <si>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</si>
  <si>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</si>
  <si>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</si>
  <si>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</si>
  <si>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</si>
  <si>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</si>
  <si>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</si>
  <si>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</si>
  <si>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</si>
  <si>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</si>
  <si>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</si>
  <si>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</si>
  <si>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</si>
  <si>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</si>
  <si>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</si>
  <si>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</si>
  <si>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</si>
  <si>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</si>
  <si>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</si>
  <si>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</si>
  <si>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</si>
  <si>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</si>
  <si>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</si>
  <si>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</si>
  <si>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</si>
  <si>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</si>
  <si>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</si>
  <si>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</si>
  <si>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</si>
  <si>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</si>
  <si>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</si>
  <si>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</si>
  <si>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</si>
  <si>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</si>
  <si>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</si>
  <si>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</si>
  <si>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</si>
  <si>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</si>
  <si>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</si>
  <si>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</si>
  <si>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</si>
  <si>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</si>
  <si>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</si>
  <si>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</si>
  <si>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</si>
  <si>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</si>
  <si>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</si>
  <si>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</si>
  <si>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</si>
  <si>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</si>
  <si>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</si>
  <si>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</si>
  <si>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</si>
  <si>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</si>
  <si>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</si>
  <si>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</si>
  <si>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</si>
  <si>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</si>
  <si>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</si>
  <si>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</si>
  <si>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</si>
  <si>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</si>
  <si>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</si>
  <si>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</si>
  <si>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</si>
  <si>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</si>
  <si>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</si>
  <si>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</si>
  <si>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</si>
  <si>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</si>
  <si>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</si>
  <si>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</si>
  <si>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</si>
  <si>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</si>
  <si>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</si>
  <si>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</si>
  <si>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</si>
  <si>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</si>
  <si>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</si>
  <si>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</si>
  <si>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</si>
  <si>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</si>
  <si>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</si>
  <si>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</si>
  <si>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</si>
  <si>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</si>
  <si>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</si>
  <si>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</si>
  <si>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</si>
  <si>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</si>
  <si>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</si>
  <si>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</si>
  <si>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</si>
  <si>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</si>
  <si>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</si>
  <si>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</si>
  <si>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</si>
  <si>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</si>
  <si>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</si>
  <si>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</si>
  <si>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</si>
  <si>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</si>
  <si>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</si>
  <si>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</si>
  <si>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</si>
  <si>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</si>
  <si>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</si>
  <si>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</si>
  <si>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</si>
  <si>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</si>
  <si>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</si>
  <si>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</si>
  <si>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</si>
  <si>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</si>
  <si>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</si>
  <si>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</si>
  <si>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</si>
  <si>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</si>
  <si>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</si>
  <si>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</si>
  <si>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</si>
  <si>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</si>
  <si>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</si>
  <si>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</si>
  <si>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</si>
  <si>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</si>
  <si>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</si>
  <si>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</si>
  <si>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</si>
  <si>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</si>
  <si>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</si>
  <si>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</si>
  <si>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</si>
  <si>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</si>
  <si>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</si>
  <si>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</si>
  <si>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</si>
  <si>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</si>
  <si>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</si>
  <si>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</si>
  <si>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</si>
  <si>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</si>
  <si>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</si>
  <si>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</si>
  <si>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</si>
  <si>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</si>
  <si>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</si>
  <si>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</si>
  <si>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</si>
  <si>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</si>
  <si>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</si>
  <si>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</si>
  <si>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</si>
  <si>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</si>
  <si>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</si>
  <si>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</si>
  <si>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</si>
  <si>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</si>
  <si>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</si>
  <si>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</si>
  <si>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</si>
  <si>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</si>
  <si>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</si>
  <si>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</si>
  <si>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</si>
  <si>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</si>
  <si>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</si>
  <si>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</si>
  <si>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</si>
  <si>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</si>
  <si>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</si>
  <si>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</si>
  <si>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</si>
  <si>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</si>
  <si>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</si>
  <si>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</si>
  <si>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</si>
  <si>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</si>
  <si>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</si>
  <si>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</si>
  <si>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</si>
  <si>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</si>
  <si>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</si>
  <si>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</si>
  <si>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</si>
  <si>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</si>
  <si>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</si>
  <si>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</si>
  <si>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</si>
  <si>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</si>
  <si>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</si>
  <si>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</si>
  <si>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</si>
  <si>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</si>
  <si>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</si>
  <si>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</si>
  <si>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</si>
  <si>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</si>
  <si>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</si>
  <si>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</si>
  <si>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</si>
  <si>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</si>
  <si>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</si>
  <si>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</si>
  <si>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</si>
  <si>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</si>
  <si>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</si>
  <si>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</si>
  <si>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</si>
  <si>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</si>
  <si>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</si>
  <si>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</si>
  <si>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</si>
  <si>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</si>
  <si>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</si>
  <si>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</si>
  <si>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</si>
  <si>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</si>
  <si>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</si>
  <si>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</si>
  <si>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</si>
  <si>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</si>
  <si>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</si>
  <si>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</si>
  <si>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</si>
  <si>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</si>
  <si>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</si>
  <si>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</si>
  <si>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</si>
  <si>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</si>
  <si>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</si>
  <si>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</si>
  <si>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</si>
  <si>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</si>
  <si>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</si>
  <si>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</si>
  <si>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</si>
  <si>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</si>
  <si>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</si>
  <si>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</si>
  <si>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</si>
  <si>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</si>
  <si>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</si>
  <si>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</si>
  <si>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</si>
  <si>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</si>
  <si>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</si>
  <si>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</si>
  <si>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</si>
  <si>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</si>
  <si>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</si>
  <si>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</si>
  <si>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</si>
  <si>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</si>
  <si>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</si>
  <si>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</si>
  <si>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</si>
  <si>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</si>
  <si>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</si>
  <si>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</si>
  <si>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</si>
  <si>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</si>
  <si>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</si>
  <si>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</si>
  <si>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</si>
  <si>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</si>
  <si>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</si>
  <si>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</si>
  <si>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</si>
  <si>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</si>
  <si>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</si>
  <si>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</si>
  <si>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</si>
  <si>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</si>
  <si>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</si>
  <si>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</si>
  <si>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</si>
  <si>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</si>
  <si>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</si>
  <si>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</si>
  <si>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</si>
  <si>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</si>
  <si>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</si>
  <si>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</si>
  <si>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</si>
  <si>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</si>
  <si>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</si>
  <si>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</si>
  <si>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</si>
  <si>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</si>
  <si>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</si>
  <si>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</si>
  <si>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</si>
  <si>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</si>
  <si>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</si>
  <si>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</si>
  <si>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</si>
  <si>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</si>
  <si>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</si>
  <si>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</si>
  <si>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</si>
  <si>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</si>
  <si>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</si>
  <si>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</si>
  <si>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</si>
  <si>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</si>
  <si>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</si>
  <si>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</si>
  <si>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</si>
  <si>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</si>
  <si>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</si>
  <si>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</si>
  <si>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</si>
  <si>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</si>
  <si>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</si>
  <si>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</si>
  <si>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</si>
  <si>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</si>
  <si>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</si>
  <si>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</si>
  <si>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</si>
  <si>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</si>
  <si>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</si>
  <si>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</si>
  <si>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</si>
  <si>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</si>
  <si>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</si>
  <si>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</si>
  <si>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</si>
  <si>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</si>
  <si>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</si>
  <si>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</si>
  <si>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</si>
  <si>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</si>
  <si>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</si>
  <si>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</si>
  <si>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</si>
  <si>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</si>
  <si>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</si>
  <si>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</si>
  <si>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</si>
  <si>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</si>
  <si>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</si>
  <si>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</si>
  <si>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</si>
  <si>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</si>
  <si>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</si>
  <si>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</si>
  <si>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</si>
  <si>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</si>
  <si>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</si>
  <si>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</si>
  <si>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</si>
  <si>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</si>
  <si>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</si>
  <si>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</si>
  <si>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</si>
  <si>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</si>
  <si>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</si>
  <si>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</si>
  <si>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</si>
  <si>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</si>
  <si>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</si>
  <si>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</si>
  <si>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</si>
  <si>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</si>
  <si>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</si>
  <si>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</si>
  <si>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</si>
  <si>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</si>
  <si>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</si>
  <si>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</si>
  <si>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</si>
  <si>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</si>
  <si>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</si>
  <si>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</si>
  <si>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</si>
  <si>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</si>
  <si>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</si>
  <si>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</si>
  <si>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</si>
  <si>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</si>
  <si>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</si>
  <si>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</si>
  <si>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</si>
  <si>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</si>
  <si>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</si>
  <si>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</si>
  <si>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</si>
  <si>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</si>
  <si>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</si>
  <si>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</si>
  <si>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</si>
  <si>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</si>
  <si>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</si>
  <si>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</si>
  <si>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</si>
  <si>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</si>
  <si>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</si>
  <si>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</si>
  <si>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</si>
  <si>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</si>
  <si>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</si>
  <si>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</si>
  <si>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</si>
  <si>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</si>
  <si>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</si>
  <si>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</si>
  <si>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</si>
  <si>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</si>
  <si>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</si>
  <si>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</si>
  <si>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</si>
  <si>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</si>
  <si>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</si>
  <si>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</si>
  <si>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</si>
  <si>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</si>
  <si>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</si>
  <si>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</si>
  <si>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</si>
  <si>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</si>
  <si>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</si>
  <si>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</si>
  <si>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</si>
  <si>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</si>
  <si>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</si>
  <si>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</si>
  <si>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</si>
  <si>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</si>
  <si>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</si>
  <si>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</si>
  <si>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</si>
  <si>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</si>
  <si>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</si>
  <si>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</si>
  <si>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</si>
  <si>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</si>
  <si>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</si>
  <si>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</si>
  <si>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</si>
  <si>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</si>
  <si>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</si>
  <si>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</si>
  <si>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</si>
  <si>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</si>
  <si>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</si>
  <si>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</si>
  <si>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</si>
  <si>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</si>
  <si>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</si>
  <si>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</si>
  <si>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</si>
  <si>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</si>
  <si>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</si>
  <si>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</si>
  <si>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</si>
  <si>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</si>
  <si>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</si>
  <si>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</si>
  <si>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</si>
  <si>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</si>
  <si>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</si>
  <si>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</si>
  <si>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</si>
  <si>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</si>
  <si>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</si>
  <si>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</si>
  <si>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</si>
  <si>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</si>
  <si>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</si>
  <si>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</si>
  <si>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</si>
  <si>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</si>
  <si>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</si>
  <si>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</si>
  <si>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</si>
  <si>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</si>
  <si>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</si>
  <si>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</si>
  <si>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</si>
  <si>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</si>
  <si>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</si>
  <si>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</si>
  <si>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</si>
  <si>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</si>
  <si>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</si>
  <si>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</si>
  <si>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</si>
  <si>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</si>
  <si>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</si>
  <si>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</si>
  <si>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</si>
  <si>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</si>
  <si>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</si>
  <si>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</si>
  <si>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</si>
  <si>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</si>
  <si>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</si>
  <si>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</si>
  <si>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</si>
  <si>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</si>
  <si>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</si>
  <si>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</si>
  <si>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</si>
  <si>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</si>
  <si>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</si>
  <si>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</si>
  <si>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</si>
  <si>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</si>
  <si>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</si>
  <si>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</si>
  <si>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</si>
  <si>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</si>
  <si>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</si>
  <si>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</si>
  <si>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</si>
  <si>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</si>
  <si>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</si>
  <si>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</si>
  <si>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</si>
  <si>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</si>
  <si>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</si>
  <si>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</si>
  <si>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</si>
  <si>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</si>
  <si>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</si>
  <si>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</si>
  <si>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</si>
  <si>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</si>
  <si>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</si>
  <si>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</si>
  <si>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</si>
  <si>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</si>
  <si>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</si>
  <si>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</si>
  <si>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</si>
  <si>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</si>
  <si>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</si>
  <si>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</si>
  <si>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</si>
  <si>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</si>
  <si>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</si>
  <si>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</si>
  <si>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</si>
  <si>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</si>
  <si>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</si>
  <si>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</si>
  <si>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</si>
  <si>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</si>
  <si>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</si>
  <si>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</si>
  <si>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</si>
  <si>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</si>
  <si>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</si>
  <si>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</si>
  <si>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</si>
  <si>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</si>
  <si>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</si>
  <si>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</si>
  <si>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</si>
  <si>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</si>
  <si>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</si>
  <si>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</si>
  <si>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</si>
  <si>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</si>
  <si>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</si>
  <si>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</si>
  <si>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</si>
  <si>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</si>
  <si>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</si>
  <si>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</si>
  <si>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</si>
  <si>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</si>
  <si>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</si>
  <si>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</si>
  <si>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</si>
  <si>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</si>
  <si>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</si>
  <si>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</si>
  <si>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</si>
  <si>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</si>
  <si>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</si>
  <si>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</si>
  <si>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</si>
  <si>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</si>
  <si>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</si>
  <si>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</si>
  <si>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</si>
  <si>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</si>
  <si>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</si>
  <si>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</si>
  <si>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</si>
  <si>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</si>
  <si>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</si>
  <si>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</si>
  <si>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</si>
  <si>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</si>
  <si>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</si>
  <si>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</si>
  <si>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</si>
  <si>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</si>
  <si>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</si>
  <si>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</si>
  <si>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</si>
  <si>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</si>
  <si>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</si>
  <si>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</si>
  <si>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</si>
  <si>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</si>
  <si>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</si>
  <si>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</si>
  <si>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</si>
  <si>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</si>
  <si>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</si>
  <si>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</si>
  <si>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</si>
  <si>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</si>
  <si>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</si>
  <si>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</si>
  <si>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</si>
  <si>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</si>
  <si>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</si>
  <si>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</si>
  <si>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</si>
  <si>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</si>
  <si>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</si>
  <si>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</si>
  <si>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</si>
  <si>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</si>
  <si>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</si>
  <si>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</si>
  <si>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</si>
  <si>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</si>
  <si>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</si>
  <si>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</si>
  <si>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</si>
  <si>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</si>
  <si>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</si>
  <si>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</si>
  <si>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</si>
  <si>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</si>
  <si>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</si>
  <si>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</si>
  <si>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</si>
  <si>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</si>
  <si>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</si>
  <si>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</si>
  <si>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</si>
  <si>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</si>
  <si>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</si>
  <si>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</si>
  <si>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</si>
  <si>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</si>
  <si>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</si>
  <si>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</si>
  <si>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</si>
  <si>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</si>
  <si>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</si>
  <si>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</si>
  <si>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</si>
  <si>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</si>
  <si>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</si>
  <si>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</si>
  <si>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</si>
  <si>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</si>
  <si>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</si>
  <si>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</si>
  <si>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</si>
  <si>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</si>
  <si>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</si>
  <si>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</si>
  <si>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</si>
  <si>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</si>
  <si>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</si>
  <si>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</si>
  <si>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</si>
  <si>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</si>
  <si>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</si>
  <si>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</si>
  <si>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</si>
  <si>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</si>
  <si>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</si>
  <si>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</si>
  <si>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</si>
  <si>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</si>
  <si>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</si>
  <si>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</si>
  <si>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</si>
  <si>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</si>
  <si>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</si>
  <si>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</si>
  <si>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</si>
  <si>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</si>
  <si>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</si>
  <si>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</si>
  <si>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</si>
  <si>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</si>
  <si>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</si>
  <si>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</si>
  <si>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</si>
  <si>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</si>
  <si>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</si>
  <si>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</si>
  <si>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</si>
  <si>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</si>
  <si>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</si>
  <si>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</si>
  <si>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</si>
  <si>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</si>
  <si>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</si>
  <si>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</si>
  <si>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</si>
  <si>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</si>
  <si>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</si>
  <si>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</si>
  <si>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</si>
  <si>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</si>
  <si>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</si>
  <si>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</si>
  <si>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</si>
  <si>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</si>
  <si>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</si>
  <si>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</si>
  <si>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</si>
  <si>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</si>
  <si>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</si>
  <si>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</si>
  <si>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</si>
  <si>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</si>
  <si>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</si>
  <si>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</si>
  <si>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</si>
  <si>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</si>
  <si>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</si>
  <si>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</si>
  <si>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</si>
  <si>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</si>
  <si>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</si>
  <si>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</si>
  <si>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</si>
  <si>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</si>
  <si>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</si>
  <si>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</si>
  <si>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</si>
  <si>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</si>
  <si>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</si>
  <si>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</si>
  <si>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</si>
  <si>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</si>
  <si>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</si>
  <si>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</si>
  <si>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</si>
  <si>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</si>
  <si>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</si>
  <si>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</si>
  <si>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</si>
  <si>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</si>
  <si>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</si>
  <si>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</si>
  <si>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</si>
  <si>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</si>
  <si>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</si>
  <si>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</si>
  <si>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</si>
  <si>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</si>
  <si>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</si>
  <si>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</si>
  <si>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</si>
  <si>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</si>
  <si>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</si>
  <si>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</si>
  <si>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</si>
  <si>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</si>
  <si>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</si>
  <si>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</si>
  <si>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</si>
  <si>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</si>
  <si>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</si>
  <si>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</si>
  <si>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</si>
  <si>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</si>
  <si>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</si>
  <si>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</si>
  <si>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</si>
  <si>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</si>
  <si>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</si>
  <si>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</si>
  <si>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</si>
  <si>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</si>
  <si>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</si>
  <si>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</si>
  <si>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</si>
  <si>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</si>
  <si>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</si>
  <si>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</si>
  <si>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</si>
  <si>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</si>
  <si>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</si>
  <si>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</si>
  <si>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</si>
  <si>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</si>
  <si>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</si>
  <si>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</si>
  <si>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</si>
  <si>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</si>
  <si>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</si>
  <si>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</si>
  <si>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</si>
  <si>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</si>
  <si>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</si>
  <si>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</si>
  <si>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</si>
  <si>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</si>
  <si>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</si>
  <si>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</si>
  <si>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</si>
  <si>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</si>
  <si>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</si>
  <si>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</si>
  <si>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</si>
  <si>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</si>
  <si>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</si>
  <si>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</si>
  <si>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</si>
  <si>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</si>
  <si>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</si>
  <si>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</si>
  <si>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</si>
  <si>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</si>
  <si>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</si>
  <si>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</si>
  <si>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</si>
  <si>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</si>
  <si>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</si>
  <si>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</si>
  <si>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</si>
  <si>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</si>
  <si>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</si>
  <si>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</si>
  <si>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</si>
  <si>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</si>
  <si>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</si>
  <si>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</si>
  <si>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</si>
  <si>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</si>
  <si>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</si>
  <si>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</si>
  <si>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</si>
  <si>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</si>
  <si>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</si>
  <si>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</si>
  <si>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</si>
  <si>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</si>
  <si>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</si>
  <si>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</si>
  <si>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</si>
  <si>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</si>
  <si>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</si>
  <si>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</si>
  <si>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</si>
  <si>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</si>
  <si>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</si>
  <si>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</si>
  <si>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</si>
  <si>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</si>
  <si>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</si>
  <si>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</si>
  <si>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</si>
  <si>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</si>
  <si>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</si>
  <si>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</si>
  <si>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</si>
  <si>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</si>
  <si>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</si>
  <si>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</si>
  <si>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</si>
  <si>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</si>
  <si>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</si>
  <si>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</si>
  <si>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</si>
  <si>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</si>
  <si>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</si>
  <si>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</si>
  <si>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</si>
  <si>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</si>
  <si>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</si>
  <si>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</si>
  <si>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</si>
  <si>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</si>
  <si>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</si>
  <si>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</si>
  <si>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</si>
  <si>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</si>
  <si>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</si>
  <si>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</si>
  <si>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</si>
  <si>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</si>
  <si>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</si>
  <si>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</si>
  <si>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</si>
  <si>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</si>
  <si>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</si>
  <si>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</si>
  <si>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</si>
  <si>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</si>
  <si>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</si>
  <si>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</si>
  <si>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</si>
  <si>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</si>
  <si>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</si>
  <si>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</si>
  <si>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</si>
  <si>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</si>
  <si>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</si>
  <si>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</si>
  <si>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</si>
  <si>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</si>
  <si>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</si>
  <si>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</si>
  <si>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</si>
  <si>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</si>
  <si>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</si>
  <si>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</si>
  <si>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</si>
  <si>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</si>
  <si>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</si>
  <si>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</si>
  <si>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</si>
  <si>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</si>
  <si>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</si>
  <si>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</si>
  <si>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</si>
  <si>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</si>
  <si>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</si>
  <si>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</si>
  <si>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</si>
  <si>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</si>
  <si>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</si>
  <si>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</si>
  <si>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</si>
  <si>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</si>
  <si>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</si>
  <si>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</si>
  <si>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</si>
  <si>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</si>
  <si>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</si>
  <si>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</si>
  <si>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</si>
  <si>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</si>
  <si>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</si>
  <si>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</si>
  <si>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</si>
  <si>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</si>
  <si>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</si>
  <si>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</si>
  <si>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</si>
  <si>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</si>
  <si>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</si>
  <si>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</si>
  <si>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</si>
  <si>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</si>
  <si>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</si>
  <si>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</si>
  <si>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</si>
  <si>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</si>
  <si>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</si>
  <si>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</si>
  <si>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</si>
  <si>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</si>
  <si>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</si>
  <si>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</si>
  <si>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</si>
  <si>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</si>
  <si>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</si>
  <si>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</si>
  <si>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</si>
  <si>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</si>
  <si>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</si>
  <si>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</si>
  <si>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</si>
  <si>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</si>
  <si>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</si>
  <si>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</si>
  <si>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</si>
  <si>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</si>
  <si>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</si>
  <si>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</si>
  <si>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</si>
  <si>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</si>
  <si>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</si>
  <si>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</si>
  <si>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</si>
  <si>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</si>
  <si>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</si>
  <si>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</si>
  <si>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</si>
  <si>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</si>
  <si>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</si>
  <si>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</si>
  <si>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</si>
  <si>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</si>
  <si>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</si>
  <si>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</si>
  <si>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</si>
  <si>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</si>
  <si>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</si>
  <si>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</si>
  <si>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</si>
  <si>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</si>
  <si>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</si>
  <si>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</si>
  <si>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</si>
  <si>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</si>
  <si>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</si>
  <si>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</si>
  <si>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</si>
  <si>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</si>
  <si>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</si>
  <si>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</si>
  <si>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</si>
  <si>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</si>
  <si>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</si>
  <si>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</si>
  <si>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</si>
  <si>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</si>
  <si>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</si>
  <si>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</si>
  <si>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</si>
  <si>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</si>
  <si>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</si>
  <si>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</si>
  <si>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</si>
  <si>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</si>
  <si>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</si>
  <si>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</si>
  <si>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</si>
  <si>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</si>
  <si>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</si>
  <si>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</si>
  <si>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</si>
  <si>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</si>
  <si>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</si>
  <si>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</si>
  <si>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</si>
  <si>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</si>
  <si>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</si>
  <si>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</si>
  <si>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</si>
  <si>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</si>
  <si>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</si>
  <si>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</si>
  <si>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</si>
  <si>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</si>
  <si>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</si>
  <si>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</si>
  <si>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</si>
  <si>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</si>
  <si>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</si>
  <si>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</si>
  <si>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</si>
  <si>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</si>
  <si>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</si>
  <si>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</si>
  <si>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</si>
  <si>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</si>
  <si>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</si>
  <si>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</si>
  <si>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</si>
  <si>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</si>
  <si>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</si>
  <si>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</si>
  <si>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</si>
  <si>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</si>
  <si>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</si>
  <si>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</si>
  <si>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</si>
  <si>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</si>
  <si>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</si>
  <si>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</si>
  <si>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</si>
  <si>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</si>
  <si>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</si>
  <si>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</si>
  <si>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</si>
  <si>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</si>
  <si>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</si>
  <si>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</si>
  <si>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</si>
  <si>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</si>
  <si>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</si>
  <si>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</si>
  <si>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</si>
  <si>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</si>
  <si>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</si>
  <si>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</si>
  <si>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</si>
  <si>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</si>
  <si>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</si>
  <si>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</si>
  <si>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</si>
  <si>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</si>
  <si>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</si>
  <si>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</si>
  <si>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</si>
  <si>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</si>
  <si>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</si>
  <si>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</si>
  <si>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</si>
  <si>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</si>
  <si>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</si>
  <si>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</si>
  <si>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</si>
  <si>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</si>
  <si>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</si>
  <si>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</si>
  <si>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</si>
  <si>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</si>
  <si>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</si>
  <si>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</si>
  <si>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</si>
  <si>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</si>
  <si>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</si>
  <si>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</si>
  <si>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</si>
  <si>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</si>
  <si>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</si>
  <si>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</si>
  <si>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</si>
  <si>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</si>
  <si>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</si>
  <si>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</si>
  <si>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</si>
  <si>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</si>
  <si>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</si>
  <si>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</si>
  <si>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</si>
  <si>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</si>
  <si>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</si>
  <si>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</si>
  <si>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</si>
  <si>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</si>
  <si>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</si>
  <si>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</si>
  <si>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</si>
  <si>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</si>
  <si>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</si>
  <si>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</si>
  <si>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</si>
  <si>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</si>
  <si>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</si>
  <si>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</si>
  <si>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</si>
  <si>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</si>
  <si>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</si>
  <si>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</si>
  <si>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</si>
  <si>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</si>
  <si>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</si>
  <si>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</si>
  <si>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</si>
  <si>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</si>
  <si>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</si>
  <si>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</si>
  <si>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</si>
  <si>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</si>
  <si>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</si>
  <si>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</si>
  <si>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</si>
  <si>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</si>
  <si>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</si>
  <si>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</si>
  <si>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</si>
  <si>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</si>
  <si>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</si>
  <si>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</si>
  <si>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</si>
  <si>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</si>
  <si>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</si>
  <si>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</si>
  <si>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</si>
  <si>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</si>
  <si>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</si>
  <si>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</si>
  <si>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</si>
  <si>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</si>
  <si>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</si>
  <si>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</si>
  <si>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</si>
  <si>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</si>
  <si>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</si>
  <si>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</si>
  <si>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</si>
  <si>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</si>
  <si>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</si>
  <si>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</si>
  <si>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</si>
  <si>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</si>
  <si>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</si>
  <si>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</si>
  <si>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</si>
  <si>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</si>
  <si>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</si>
  <si>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</si>
  <si>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</si>
  <si>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</si>
  <si>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</si>
  <si>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</si>
  <si>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</si>
  <si>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</si>
  <si>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</si>
  <si>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</si>
  <si>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</si>
  <si>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</si>
  <si>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</si>
  <si>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</si>
  <si>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</si>
  <si>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</si>
  <si>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</si>
  <si>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</si>
  <si>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</si>
  <si>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</si>
  <si>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</si>
  <si>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</si>
  <si>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</si>
  <si>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</si>
  <si>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</si>
  <si>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</si>
  <si>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</si>
  <si>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</si>
  <si>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</si>
  <si>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</si>
  <si>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</si>
  <si>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</si>
  <si>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</si>
  <si>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</si>
  <si>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</si>
  <si>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</si>
  <si>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</si>
  <si>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</si>
  <si>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</si>
  <si>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</si>
  <si>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</si>
  <si>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</si>
  <si>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</si>
  <si>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</si>
  <si>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</si>
  <si>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</si>
  <si>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</si>
  <si>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</si>
  <si>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</si>
  <si>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</si>
  <si>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</si>
  <si>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</si>
  <si>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</si>
  <si>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</si>
  <si>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</si>
  <si>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</si>
  <si>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</si>
  <si>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</si>
  <si>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</si>
  <si>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</si>
  <si>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</si>
  <si>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</si>
  <si>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</si>
  <si>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</si>
  <si>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</si>
  <si>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</si>
  <si>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</si>
  <si>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</si>
  <si>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</si>
  <si>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</si>
  <si>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</si>
  <si>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</si>
  <si>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</si>
  <si>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</si>
  <si>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</si>
  <si>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</si>
  <si>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</si>
  <si>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</si>
  <si>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</si>
  <si>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</si>
  <si>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</si>
  <si>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</si>
  <si>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</si>
  <si>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</si>
  <si>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</si>
  <si>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</si>
  <si>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</si>
  <si>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</si>
  <si>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</si>
  <si>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</si>
  <si>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</si>
  <si>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</si>
  <si>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</si>
  <si>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</si>
  <si>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</si>
  <si>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</si>
  <si>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</si>
  <si>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</si>
  <si>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</si>
  <si>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</si>
  <si>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</si>
  <si>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</si>
  <si>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</si>
  <si>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</si>
  <si>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</si>
  <si>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</si>
  <si>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</si>
  <si>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</si>
  <si>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</si>
  <si>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</si>
  <si>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</si>
  <si>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</si>
  <si>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</si>
  <si>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</si>
  <si>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</si>
  <si>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</si>
  <si>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</si>
  <si>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</si>
  <si>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</si>
  <si>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</si>
  <si>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</si>
  <si>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</si>
  <si>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</si>
  <si>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</si>
  <si>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</si>
  <si>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</si>
  <si>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</si>
  <si>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</si>
  <si>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</si>
  <si>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</si>
  <si>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</si>
  <si>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</si>
  <si>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</si>
  <si>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</si>
  <si>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</si>
  <si>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</si>
  <si>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</si>
  <si>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</si>
  <si>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</si>
  <si>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</si>
  <si>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</si>
  <si>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</si>
  <si>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</si>
  <si>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</si>
  <si>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</si>
  <si>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</si>
  <si>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</si>
  <si>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</si>
  <si>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</si>
  <si>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</si>
  <si>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</si>
  <si>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</si>
  <si>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</si>
  <si>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</si>
  <si>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</si>
  <si>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</si>
  <si>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</si>
  <si>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</si>
  <si>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</si>
  <si>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</si>
  <si>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</si>
  <si>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</si>
  <si>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</si>
  <si>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</si>
  <si>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</si>
  <si>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</si>
  <si>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</si>
  <si>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</si>
  <si>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</si>
  <si>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</si>
  <si>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</si>
  <si>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</si>
  <si>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</si>
  <si>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</si>
  <si>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</si>
  <si>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</si>
  <si>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</si>
  <si>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</si>
  <si>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</si>
  <si>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</si>
  <si>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</si>
  <si>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</si>
  <si>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</si>
  <si>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</si>
  <si>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</si>
  <si>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</si>
  <si>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</si>
  <si>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</si>
  <si>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</si>
  <si>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</si>
  <si>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</si>
  <si>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</si>
  <si>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</si>
  <si>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</si>
  <si>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</si>
  <si>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</si>
  <si>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</si>
  <si>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</si>
  <si>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</si>
  <si>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</si>
  <si>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</si>
  <si>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</si>
  <si>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</si>
  <si>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</si>
  <si>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</si>
  <si>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</si>
  <si>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</si>
  <si>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</si>
  <si>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</si>
  <si>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</si>
  <si>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</si>
  <si>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</si>
  <si>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</si>
  <si>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</si>
  <si>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</si>
  <si>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</si>
  <si>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</si>
  <si>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</si>
  <si>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</si>
  <si>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</si>
  <si>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</si>
  <si>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</si>
  <si>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</si>
  <si>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</si>
  <si>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</si>
  <si>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</si>
  <si>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</si>
  <si>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</si>
  <si>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</si>
  <si>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</si>
  <si>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</si>
  <si>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</si>
  <si>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</si>
  <si>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</si>
  <si>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</si>
  <si>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</si>
  <si>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</si>
  <si>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</si>
  <si>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</si>
  <si>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</si>
  <si>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</si>
  <si>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</si>
  <si>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</si>
  <si>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</si>
  <si>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</si>
  <si>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</si>
  <si>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</si>
  <si>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</si>
  <si>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</si>
  <si>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</si>
  <si>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</si>
  <si>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</si>
  <si>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</si>
  <si>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</si>
  <si>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</si>
  <si>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</si>
  <si>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</si>
  <si>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</si>
  <si>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</si>
  <si>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</si>
  <si>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</si>
  <si>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</si>
  <si>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</si>
  <si>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</si>
  <si>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</si>
  <si>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</si>
  <si>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</si>
  <si>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</si>
  <si>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</si>
  <si>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</si>
  <si>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</si>
  <si>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</si>
  <si>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</si>
  <si>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</si>
  <si>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</si>
  <si>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</si>
  <si>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</si>
  <si>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</si>
  <si>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</si>
  <si>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</si>
  <si>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</si>
  <si>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</si>
  <si>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</si>
  <si>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</si>
  <si>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</si>
  <si>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</si>
  <si>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</si>
  <si>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</si>
  <si>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</si>
  <si>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</si>
  <si>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</si>
  <si>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</si>
  <si>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</si>
  <si>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</si>
  <si>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</si>
  <si>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</si>
  <si>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</si>
  <si>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</si>
  <si>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</si>
  <si>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</si>
  <si>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</si>
  <si>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</si>
  <si>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</si>
  <si>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</si>
  <si>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</si>
  <si>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</si>
  <si>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</si>
  <si>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</si>
  <si>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</si>
  <si>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</si>
  <si>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</si>
  <si>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</si>
  <si>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</si>
  <si>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</si>
  <si>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</si>
  <si>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</si>
  <si>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</si>
  <si>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</si>
  <si>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</si>
  <si>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</si>
  <si>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</si>
  <si>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</si>
  <si>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</si>
  <si>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</si>
  <si>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</si>
  <si>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</si>
  <si>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</si>
  <si>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</si>
  <si>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</si>
  <si>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</si>
  <si>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</si>
  <si>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</si>
  <si>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</si>
  <si>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</si>
  <si>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</si>
  <si>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</si>
  <si>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</si>
  <si>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</si>
  <si>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</si>
  <si>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</si>
  <si>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</si>
  <si>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</si>
  <si>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</si>
  <si>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</si>
  <si>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</si>
  <si>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</si>
  <si>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</si>
  <si>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</si>
  <si>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</si>
  <si>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</si>
  <si>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</si>
  <si>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</si>
  <si>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</si>
  <si>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</si>
  <si>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</si>
  <si>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</si>
  <si>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</si>
  <si>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</si>
  <si>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</si>
  <si>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</si>
  <si>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</si>
  <si>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</si>
  <si>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</si>
  <si>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</si>
  <si>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</si>
  <si>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</si>
  <si>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</si>
  <si>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</si>
  <si>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</si>
  <si>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</si>
  <si>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</si>
  <si>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</si>
  <si>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</si>
  <si>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</si>
  <si>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</si>
  <si>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</si>
  <si>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</si>
  <si>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</si>
  <si>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</si>
  <si>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</si>
  <si>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</si>
  <si>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</si>
  <si>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</si>
  <si>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</si>
  <si>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</si>
  <si>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</si>
  <si>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</si>
  <si>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</si>
  <si>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</si>
  <si>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</si>
  <si>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</si>
  <si>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</si>
  <si>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</si>
  <si>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</si>
  <si>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</si>
  <si>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</si>
  <si>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</si>
  <si>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</si>
  <si>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</si>
  <si>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</si>
  <si>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</si>
  <si>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</si>
  <si>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</si>
  <si>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</si>
  <si>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</si>
  <si>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</si>
  <si>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</si>
  <si>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</si>
  <si>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</si>
  <si>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</si>
  <si>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</si>
  <si>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</si>
  <si>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</si>
  <si>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</si>
  <si>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</si>
  <si>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</si>
  <si>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</si>
  <si>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</si>
  <si>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</si>
  <si>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</si>
  <si>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</si>
  <si>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</si>
  <si>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</si>
  <si>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</si>
  <si>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</si>
  <si>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</si>
  <si>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</si>
  <si>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</si>
  <si>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</si>
  <si>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</si>
  <si>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</si>
  <si>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</si>
  <si>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</si>
  <si>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</si>
  <si>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</si>
  <si>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</si>
  <si>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</si>
  <si>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</si>
  <si>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</si>
  <si>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</si>
  <si>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</si>
  <si>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</si>
  <si>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</si>
  <si>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</si>
  <si>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</si>
  <si>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</si>
  <si>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</si>
  <si>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</si>
  <si>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</si>
  <si>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</si>
  <si>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</si>
  <si>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</si>
  <si>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</si>
  <si>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</si>
  <si>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</si>
  <si>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</si>
  <si>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</si>
  <si>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</si>
  <si>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</si>
  <si>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</si>
  <si>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</si>
  <si>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</si>
  <si>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</si>
  <si>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</si>
  <si>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</si>
  <si>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</si>
  <si>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</si>
  <si>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</si>
  <si>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</si>
  <si>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</si>
  <si>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</si>
  <si>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</si>
  <si>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</si>
  <si>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</si>
  <si>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</si>
  <si>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</si>
  <si>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</si>
  <si>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</si>
  <si>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</si>
  <si>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</si>
  <si>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</si>
  <si>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</si>
  <si>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</si>
  <si>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</si>
  <si>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</si>
  <si>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</si>
  <si>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</si>
  <si>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</si>
  <si>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</si>
  <si>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</si>
  <si>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</si>
  <si>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</si>
  <si>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</si>
  <si>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</si>
  <si>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</si>
  <si>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</si>
  <si>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</si>
  <si>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</si>
  <si>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</si>
  <si>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</si>
  <si>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</si>
  <si>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</si>
  <si>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</si>
  <si>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</si>
  <si>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</si>
  <si>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</si>
  <si>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</si>
  <si>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</si>
  <si>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</si>
  <si>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</si>
  <si>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</si>
  <si>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</si>
  <si>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</si>
  <si>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</si>
  <si>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</si>
  <si>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</si>
  <si>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</si>
  <si>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</si>
  <si>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</si>
  <si>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</si>
  <si>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</si>
  <si>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</si>
  <si>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</si>
  <si>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</si>
  <si>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</si>
  <si>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</si>
  <si>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</si>
  <si>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</si>
  <si>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</si>
  <si>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</si>
  <si>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</si>
  <si>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</si>
  <si>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</si>
  <si>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</si>
  <si>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</si>
  <si>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</si>
  <si>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</si>
  <si>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</si>
  <si>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</si>
  <si>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</si>
  <si>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</si>
  <si>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</si>
  <si>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</si>
  <si>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</si>
  <si>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</si>
  <si>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</si>
  <si>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</si>
  <si>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</si>
  <si>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</si>
  <si>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</si>
  <si>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</si>
  <si>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</si>
  <si>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</si>
  <si>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</si>
  <si>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</si>
  <si>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</si>
  <si>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</si>
  <si>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</si>
  <si>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</si>
  <si>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</si>
  <si>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</si>
  <si>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</si>
  <si>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</si>
  <si>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</si>
  <si>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</si>
  <si>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</si>
  <si>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</si>
  <si>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</si>
  <si>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</si>
  <si>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</si>
  <si>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</si>
  <si>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</si>
  <si>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</si>
  <si>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</si>
  <si>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</si>
  <si>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</si>
  <si>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</si>
  <si>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</si>
  <si>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</si>
  <si>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</si>
  <si>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</si>
  <si>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</si>
  <si>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</si>
  <si>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</si>
  <si>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</si>
  <si>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</si>
  <si>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</si>
  <si>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</si>
  <si>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</si>
  <si>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</si>
  <si>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</si>
  <si>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</si>
  <si>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</si>
  <si>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</si>
  <si>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</si>
  <si>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</si>
  <si>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</si>
  <si>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</si>
  <si>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</si>
  <si>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</si>
  <si>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</si>
  <si>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</si>
  <si>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</si>
  <si>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</si>
  <si>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</si>
  <si>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</si>
  <si>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</si>
  <si>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</si>
  <si>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</si>
  <si>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</si>
  <si>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</si>
  <si>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</si>
  <si>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</si>
  <si>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</si>
  <si>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</si>
  <si>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</si>
  <si>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</si>
  <si>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</si>
  <si>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</si>
  <si>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</si>
  <si>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</si>
  <si>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</si>
  <si>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</si>
  <si>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</si>
  <si>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</si>
  <si>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</si>
  <si>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</si>
  <si>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</si>
  <si>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</si>
  <si>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</si>
  <si>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</si>
  <si>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</si>
  <si>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</si>
  <si>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</si>
  <si>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</si>
  <si>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</si>
  <si>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</si>
  <si>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</si>
  <si>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</si>
  <si>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</si>
  <si>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</si>
  <si>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</si>
  <si>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</si>
  <si>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</si>
  <si>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</si>
  <si>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</si>
  <si>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</si>
  <si>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</si>
  <si>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</si>
  <si>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</si>
  <si>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</si>
  <si>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</si>
  <si>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</si>
  <si>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</si>
  <si>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</si>
  <si>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</si>
  <si>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</si>
  <si>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</si>
  <si>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</si>
  <si>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</si>
  <si>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</si>
  <si>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</si>
  <si>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</si>
  <si>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</si>
  <si>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</si>
  <si>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</si>
  <si>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</si>
  <si>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</si>
  <si>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</si>
  <si>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</si>
  <si>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</si>
  <si>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</si>
  <si>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</si>
  <si>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</si>
  <si>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</si>
  <si>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</si>
  <si>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</si>
  <si>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</si>
  <si>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</si>
  <si>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</si>
  <si>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</si>
  <si>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</si>
  <si>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</si>
  <si>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</si>
  <si>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</si>
  <si>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</si>
  <si>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</si>
  <si>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</si>
  <si>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</si>
  <si>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</si>
  <si>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</si>
  <si>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</si>
  <si>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</si>
  <si>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</si>
  <si>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</si>
  <si>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</si>
  <si>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</si>
  <si>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</si>
  <si>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</si>
  <si>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</si>
  <si>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</si>
  <si>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</si>
  <si>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</si>
  <si>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</si>
  <si>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</si>
  <si>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</si>
  <si>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</si>
  <si>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</si>
  <si>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</si>
  <si>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</si>
  <si>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</si>
  <si>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</si>
  <si>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</si>
  <si>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</si>
  <si>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</si>
  <si>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</si>
  <si>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</si>
  <si>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</si>
  <si>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</si>
  <si>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</si>
  <si>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</si>
  <si>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</si>
  <si>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</si>
  <si>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</si>
  <si>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</si>
  <si>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</si>
  <si>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</si>
  <si>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</si>
  <si>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</si>
  <si>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</si>
  <si>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</si>
  <si>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</si>
  <si>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</si>
  <si>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</si>
  <si>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</si>
  <si>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</si>
  <si>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</si>
  <si>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</si>
  <si>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</si>
  <si>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</si>
  <si>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</si>
  <si>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</si>
  <si>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</si>
  <si>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</si>
  <si>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</si>
  <si>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</si>
  <si>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</si>
  <si>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</si>
  <si>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</si>
  <si>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</si>
  <si>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</si>
  <si>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</si>
  <si>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</si>
  <si>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</si>
  <si>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</si>
  <si>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</si>
  <si>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</si>
  <si>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</si>
  <si>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</si>
  <si>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</si>
  <si>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</si>
  <si>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</si>
  <si>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</si>
  <si>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</si>
  <si>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</si>
  <si>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</si>
  <si>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</si>
  <si>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</si>
  <si>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</si>
  <si>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</si>
  <si>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</si>
  <si>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</si>
  <si>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</si>
  <si>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</si>
  <si>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</si>
  <si>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</si>
  <si>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</si>
  <si>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</si>
  <si>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</si>
  <si>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</si>
  <si>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</si>
  <si>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</si>
  <si>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</si>
  <si>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</si>
  <si>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</si>
  <si>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</si>
  <si>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</si>
  <si>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</si>
  <si>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</si>
  <si>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</si>
  <si>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</si>
  <si>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</si>
  <si>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</si>
  <si>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</si>
  <si>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</si>
  <si>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</si>
  <si>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</si>
  <si>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</si>
  <si>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</si>
  <si>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</si>
  <si>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</si>
  <si>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</si>
  <si>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</si>
  <si>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</si>
  <si>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</si>
  <si>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</si>
  <si>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</si>
  <si>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</si>
  <si>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</si>
  <si>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</si>
  <si>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</si>
  <si>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</si>
  <si>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</si>
  <si>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</si>
  <si>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</si>
  <si>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</si>
  <si>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</si>
  <si>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</si>
  <si>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</si>
  <si>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</si>
  <si>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</si>
  <si>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</si>
  <si>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</si>
  <si>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</si>
  <si>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</si>
  <si>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</si>
  <si>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</si>
  <si>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</si>
  <si>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</si>
  <si>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</si>
  <si>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</si>
  <si>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</si>
  <si>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</si>
  <si>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</si>
  <si>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</si>
  <si>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</si>
  <si>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</si>
  <si>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</si>
  <si>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</si>
  <si>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</si>
  <si>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</si>
  <si>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</si>
  <si>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</si>
  <si>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</si>
  <si>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</si>
  <si>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</si>
  <si>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</si>
  <si>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</si>
  <si>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</si>
  <si>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</si>
  <si>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</si>
  <si>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</si>
  <si>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</si>
  <si>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</si>
  <si>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</si>
  <si>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</si>
  <si>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</si>
  <si>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</si>
  <si>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</si>
  <si>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</si>
  <si>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</si>
  <si>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</si>
  <si>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</si>
  <si>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</si>
  <si>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</si>
  <si>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</si>
  <si>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</si>
  <si>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</si>
  <si>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</si>
  <si>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</si>
  <si>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</si>
  <si>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</si>
  <si>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</si>
  <si>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</si>
  <si>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</si>
  <si>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</si>
  <si>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</si>
  <si>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</si>
  <si>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</si>
  <si>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</si>
  <si>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</si>
  <si>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</si>
  <si>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</si>
  <si>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</si>
  <si>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</si>
  <si>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</si>
  <si>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</si>
  <si>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</si>
  <si>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</si>
  <si>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</si>
  <si>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</si>
  <si>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</si>
  <si>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</si>
  <si>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</si>
  <si>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</si>
  <si>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</si>
  <si>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</si>
  <si>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</si>
  <si>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</si>
  <si>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</si>
  <si>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</si>
  <si>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</si>
  <si>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</si>
  <si>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</si>
  <si>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</si>
  <si>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</si>
  <si>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</si>
  <si>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</si>
  <si>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</si>
  <si>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</si>
  <si>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</si>
  <si>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</si>
  <si>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</si>
  <si>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</si>
  <si>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</si>
  <si>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</si>
  <si>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</si>
  <si>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</si>
  <si>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</si>
  <si>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</si>
  <si>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</si>
  <si>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</si>
  <si>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</si>
  <si>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</si>
  <si>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</si>
  <si>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</si>
  <si>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</si>
  <si>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</si>
  <si>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</si>
  <si>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</si>
  <si>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</si>
  <si>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</si>
  <si>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</si>
  <si>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</si>
  <si>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</si>
  <si>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</si>
  <si>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</si>
  <si>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</si>
  <si>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</si>
  <si>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</si>
  <si>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</si>
  <si>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</si>
  <si>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</si>
  <si>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</si>
  <si>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</si>
  <si>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</si>
  <si>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</si>
  <si>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</si>
  <si>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</si>
  <si>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</si>
  <si>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</si>
  <si>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</si>
  <si>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</si>
  <si>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</si>
  <si>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</si>
  <si>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</si>
  <si>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</si>
  <si>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</si>
  <si>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</si>
  <si>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</si>
  <si>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</si>
  <si>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</si>
  <si>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</si>
  <si>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</si>
  <si>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</si>
  <si>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</si>
  <si>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</si>
  <si>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</si>
  <si>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</si>
  <si>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</si>
  <si>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</si>
  <si>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</si>
  <si>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</si>
  <si>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</si>
  <si>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</si>
  <si>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</si>
  <si>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</si>
  <si>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</si>
  <si>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</si>
  <si>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</si>
  <si>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</si>
  <si>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</si>
  <si>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</si>
  <si>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</si>
  <si>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</si>
  <si>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</si>
  <si>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</si>
  <si>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</si>
  <si>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</si>
  <si>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</si>
  <si>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</si>
  <si>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</si>
  <si>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</si>
  <si>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</si>
  <si>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</si>
  <si>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</si>
  <si>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</si>
  <si>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</si>
  <si>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</si>
  <si>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</si>
  <si>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</si>
  <si>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</si>
  <si>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</si>
  <si>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</si>
  <si>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</si>
  <si>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</si>
  <si>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</si>
  <si>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</si>
  <si>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</si>
  <si>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</si>
  <si>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</si>
  <si>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</si>
  <si>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</si>
  <si>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</si>
  <si>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</si>
  <si>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</si>
  <si>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</si>
  <si>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</si>
  <si>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</si>
  <si>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</si>
  <si>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</si>
  <si>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</si>
  <si>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</si>
  <si>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</si>
  <si>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</si>
  <si>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</si>
  <si>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</si>
  <si>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</si>
  <si>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</si>
  <si>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</si>
  <si>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</si>
  <si>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</si>
  <si>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</si>
  <si>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</si>
  <si>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</si>
  <si>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</si>
  <si>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</si>
  <si>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</si>
  <si>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</si>
  <si>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</si>
  <si>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</si>
  <si>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</si>
  <si>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</si>
  <si>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</si>
  <si>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</si>
  <si>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</si>
  <si>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</si>
  <si>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</si>
  <si>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</si>
  <si>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</si>
  <si>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</si>
  <si>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</si>
  <si>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</si>
  <si>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</si>
  <si>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</si>
  <si>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</si>
  <si>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</si>
  <si>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</si>
  <si>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</si>
  <si>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</si>
  <si>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</si>
  <si>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</si>
  <si>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</si>
  <si>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</si>
  <si>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</si>
  <si>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</si>
  <si>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</si>
  <si>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</si>
  <si>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</si>
  <si>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</si>
  <si>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</si>
  <si>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</si>
  <si>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</si>
  <si>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</si>
  <si>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</si>
  <si>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</si>
  <si>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</si>
  <si>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</si>
  <si>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</si>
  <si>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</si>
  <si>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</si>
  <si>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</si>
  <si>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</si>
  <si>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</si>
  <si>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</si>
  <si>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</si>
  <si>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</si>
  <si>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</si>
  <si>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</si>
  <si>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</si>
  <si>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</si>
  <si>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</si>
  <si>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</si>
  <si>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</si>
  <si>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</si>
  <si>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</si>
  <si>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</si>
  <si>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</si>
  <si>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</si>
  <si>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</si>
  <si>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</si>
  <si>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</si>
  <si>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</si>
  <si>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</si>
  <si>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</si>
  <si>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</si>
  <si>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</si>
  <si>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</si>
  <si>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</si>
  <si>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</si>
  <si>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</si>
  <si>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</si>
  <si>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</si>
  <si>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</si>
  <si>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</si>
  <si>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</si>
  <si>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</si>
  <si>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</si>
  <si>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</si>
  <si>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</si>
  <si>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</si>
  <si>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</si>
  <si>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</si>
  <si>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</si>
  <si>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</si>
  <si>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</si>
  <si>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</si>
  <si>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</si>
  <si>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</si>
  <si>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</si>
  <si>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</si>
  <si>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</si>
  <si>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</si>
  <si>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</si>
  <si>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</si>
  <si>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</si>
  <si>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</si>
  <si>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</si>
  <si>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</si>
  <si>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</si>
  <si>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</si>
  <si>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</si>
  <si>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</si>
  <si>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</si>
  <si>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</si>
  <si>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</si>
  <si>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</si>
  <si>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</si>
  <si>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</si>
  <si>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</si>
  <si>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</si>
  <si>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</si>
  <si>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</si>
  <si>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</si>
  <si>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</si>
  <si>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</si>
  <si>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</si>
  <si>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</si>
  <si>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</si>
  <si>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</si>
  <si>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</si>
  <si>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</si>
  <si>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</si>
  <si>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</si>
  <si>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</si>
  <si>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</si>
  <si>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</si>
  <si>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</si>
  <si>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</si>
  <si>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</si>
  <si>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</si>
  <si>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</si>
  <si>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</si>
  <si>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</si>
  <si>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</si>
  <si>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</si>
  <si>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</si>
  <si>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</si>
  <si>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</si>
  <si>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</si>
  <si>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</si>
  <si>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</si>
  <si>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</si>
  <si>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</si>
  <si>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</si>
  <si>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</si>
  <si>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</si>
  <si>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</si>
  <si>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</si>
  <si>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</si>
  <si>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</si>
  <si>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</si>
  <si>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</si>
  <si>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</si>
  <si>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</si>
  <si>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</si>
  <si>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</si>
  <si>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</si>
  <si>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</si>
  <si>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</si>
  <si>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</si>
  <si>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</si>
  <si>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</si>
  <si>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</si>
  <si>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</si>
  <si>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</si>
  <si>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</si>
  <si>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</si>
  <si>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</si>
  <si>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</si>
  <si>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</si>
  <si>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</si>
  <si>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</si>
  <si>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</si>
  <si>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</si>
  <si>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</si>
  <si>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</si>
  <si>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</si>
  <si>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</si>
  <si>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</si>
  <si>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</si>
  <si>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</si>
  <si>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</si>
  <si>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</si>
  <si>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</si>
  <si>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</si>
  <si>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</si>
  <si>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</si>
  <si>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</si>
  <si>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</si>
  <si>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</si>
  <si>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</si>
  <si>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</si>
  <si>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</si>
  <si>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</si>
  <si>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</si>
  <si>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</si>
  <si>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</si>
  <si>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</si>
  <si>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</si>
  <si>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</si>
  <si>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</si>
  <si>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</si>
  <si>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</si>
  <si>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</si>
  <si>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</si>
  <si>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</si>
  <si>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</si>
  <si>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</si>
  <si>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</si>
  <si>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</si>
  <si>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</si>
  <si>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</si>
  <si>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</si>
  <si>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</si>
  <si>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</si>
  <si>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</si>
  <si>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</si>
  <si>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</si>
  <si>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</si>
  <si>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</si>
  <si>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</si>
  <si>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</si>
  <si>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</si>
  <si>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</si>
  <si>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</si>
  <si>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</si>
  <si>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</si>
  <si>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</si>
  <si>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</si>
  <si>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</si>
  <si>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</si>
  <si>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</si>
  <si>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</si>
  <si>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</si>
  <si>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</si>
  <si>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</si>
  <si>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</si>
  <si>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</si>
  <si>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</si>
  <si>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</si>
  <si>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</si>
  <si>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</si>
  <si>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</si>
  <si>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</si>
  <si>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</si>
  <si>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</si>
  <si>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</si>
  <si>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</si>
  <si>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</si>
  <si>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</si>
  <si>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</si>
  <si>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</si>
  <si>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</si>
  <si>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</si>
  <si>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</si>
  <si>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</si>
  <si>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</si>
  <si>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</si>
  <si>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</si>
  <si>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</si>
  <si>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</si>
  <si>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</si>
  <si>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</si>
  <si>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</si>
  <si>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</si>
  <si>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</si>
  <si>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</si>
  <si>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</si>
  <si>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</si>
  <si>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</si>
  <si>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</si>
  <si>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</si>
  <si>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</si>
  <si>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</si>
  <si>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</si>
  <si>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</si>
  <si>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</si>
  <si>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</si>
  <si>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</si>
  <si>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</si>
  <si>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</si>
  <si>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</si>
  <si>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</si>
  <si>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</si>
  <si>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</si>
  <si>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</si>
  <si>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</si>
  <si>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</si>
  <si>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</si>
  <si>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</si>
  <si>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</si>
  <si>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</si>
  <si>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</si>
  <si>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</si>
  <si>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</si>
  <si>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</si>
  <si>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</si>
  <si>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</si>
  <si>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</si>
  <si>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</si>
  <si>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</si>
  <si>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</si>
  <si>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</si>
  <si>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</si>
  <si>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</si>
  <si>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</si>
  <si>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</si>
  <si>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</si>
  <si>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</si>
  <si>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</si>
  <si>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</si>
  <si>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</si>
  <si>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</si>
  <si>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</si>
  <si>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</si>
  <si>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</si>
  <si>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</si>
  <si>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</si>
  <si>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</si>
  <si>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</si>
  <si>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</si>
  <si>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</si>
  <si>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</si>
  <si>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</si>
  <si>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</si>
  <si>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</si>
  <si>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</si>
  <si>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</si>
  <si>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</si>
  <si>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</si>
  <si>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</si>
  <si>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</si>
  <si>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</si>
  <si>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</si>
  <si>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</si>
  <si>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</si>
  <si>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</si>
  <si>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</si>
  <si>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</si>
  <si>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</si>
  <si>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</si>
  <si>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</si>
  <si>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</si>
  <si>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</si>
  <si>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</si>
  <si>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</si>
  <si>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</si>
  <si>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</si>
  <si>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</si>
  <si>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</si>
  <si>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</si>
  <si>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</si>
  <si>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</si>
  <si>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</si>
  <si>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SAMPAI DENGAN 22 JUNI 2022</t>
  </si>
  <si>
    <t>Berdasarkan DIPA Revisi 2 TA. 2022 (Tanggal 9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</si>
</sst>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89">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41" fontId="0" fillId="21" borderId="1" xfId="0" applyNumberFormat="1" applyFill="1" applyBorder="1" applyAlignment="1">
      <alignment vertical="top"/>
    </xf>
    <xf numFmtId="2" fontId="0" fillId="21" borderId="1" xfId="0" applyNumberFormat="1" applyFill="1" applyBorder="1" applyAlignment="1">
      <alignment vertical="top"/>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71">
    <dxf>
      <fill>
        <patternFill patternType="solid">
          <bgColor rgb="FF00B0F0"/>
        </patternFill>
      </fill>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123902</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253092</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099"/>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300-000005000000}"/>
                </a:ext>
              </a:extLst>
            </xdr:cNvPr>
            <xdr:cNvPicPr>
              <a:picLocks noChangeAspect="1" noChangeArrowheads="1"/>
              <a:extLst>
                <a:ext uri="{84589F7E-364E-4C9E-8A38-B11213B215E9}">
                  <a14:cameraTool cellRange="'PERSUBBID + GAJI'!$A$5:$J$60" spid="_x0000_s39431"/>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9.81168298611"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0"/>
    <n v="0"/>
    <n v="0"/>
    <n v="0"/>
    <n v="0"/>
    <n v="0"/>
    <x v="0"/>
    <x v="2"/>
    <x v="4"/>
    <s v="52"/>
    <s v="SEKRETARIAT BADAN RISET DAN SUMBERDAYA MANUSIA KELAUTAN DAN PERIKANAN"/>
    <n v="2286050"/>
    <n v="7.620166666666667"/>
    <n v="27713950"/>
    <n v="92.379833333333337"/>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0"/>
    <n v="0"/>
    <n v="0"/>
    <n v="0"/>
    <n v="0"/>
    <n v="0"/>
    <x v="0"/>
    <x v="2"/>
    <x v="4"/>
    <s v="52"/>
    <s v="SEKRETARIAT BADAN RISET DAN SUMBERDAYA MANUSIA KELAUTAN DAN PERIKANAN"/>
    <n v="14184000"/>
    <n v="24.314317059791552"/>
    <n v="44152000"/>
    <n v="75.68568294020843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3">
    <format dxfId="681">
      <pivotArea outline="0" collapsedLevelsAreSubtotals="1" fieldPosition="0">
        <references count="1">
          <reference field="4294967294" count="1" selected="0">
            <x v="2"/>
          </reference>
        </references>
      </pivotArea>
    </format>
    <format dxfId="680">
      <pivotArea outline="0" collapsedLevelsAreSubtotals="1" fieldPosition="0">
        <references count="1">
          <reference field="4294967294" count="1" selected="0">
            <x v="4"/>
          </reference>
        </references>
      </pivotArea>
    </format>
    <format dxfId="679">
      <pivotArea outline="0" collapsedLevelsAreSubtotals="1" fieldPosition="0">
        <references count="1">
          <reference field="4294967294" count="1" selected="0">
            <x v="3"/>
          </reference>
        </references>
      </pivotArea>
    </format>
    <format dxfId="678">
      <pivotArea outline="0" collapsedLevelsAreSubtotals="1" fieldPosition="0">
        <references count="1">
          <reference field="4294967294" count="1" selected="0">
            <x v="1"/>
          </reference>
        </references>
      </pivotArea>
    </format>
    <format dxfId="677">
      <pivotArea outline="0" collapsedLevelsAreSubtotals="1" fieldPosition="0">
        <references count="1">
          <reference field="4294967294" count="1" selected="0">
            <x v="0"/>
          </reference>
        </references>
      </pivotArea>
    </format>
    <format dxfId="676">
      <pivotArea dataOnly="0" labelOnly="1" fieldPosition="0">
        <references count="1">
          <reference field="3" count="0"/>
        </references>
      </pivotArea>
    </format>
    <format dxfId="675">
      <pivotArea dataOnly="0" labelOnly="1" fieldPosition="0">
        <references count="1">
          <reference field="5" count="0"/>
        </references>
      </pivotArea>
    </format>
    <format dxfId="674">
      <pivotArea dataOnly="0" labelOnly="1" fieldPosition="0">
        <references count="1">
          <reference field="9" count="0"/>
        </references>
      </pivotArea>
    </format>
    <format dxfId="673">
      <pivotArea dataOnly="0" labelOnly="1" fieldPosition="0">
        <references count="1">
          <reference field="11" count="0"/>
        </references>
      </pivotArea>
    </format>
    <format dxfId="672">
      <pivotArea dataOnly="0" labelOnly="1" fieldPosition="0">
        <references count="1">
          <reference field="13" count="0"/>
        </references>
      </pivotArea>
    </format>
    <format dxfId="671">
      <pivotArea dataOnly="0" labelOnly="1" outline="0" fieldPosition="0">
        <references count="1">
          <reference field="4294967294" count="5">
            <x v="0"/>
            <x v="1"/>
            <x v="2"/>
            <x v="3"/>
            <x v="4"/>
          </reference>
        </references>
      </pivotArea>
    </format>
    <format dxfId="670">
      <pivotArea type="all" dataOnly="0" outline="0" fieldPosition="0"/>
    </format>
    <format dxfId="669">
      <pivotArea outline="0" collapsedLevelsAreSubtotals="1" fieldPosition="0"/>
    </format>
    <format dxfId="668">
      <pivotArea field="3" type="button" dataOnly="0" labelOnly="1" outline="0" axis="axisRow" fieldPosition="1"/>
    </format>
    <format dxfId="667">
      <pivotArea dataOnly="0" labelOnly="1" fieldPosition="0">
        <references count="1">
          <reference field="3" count="0"/>
        </references>
      </pivotArea>
    </format>
    <format dxfId="666">
      <pivotArea dataOnly="0" labelOnly="1" grandRow="1" outline="0" fieldPosition="0"/>
    </format>
    <format dxfId="665">
      <pivotArea dataOnly="0" labelOnly="1" fieldPosition="0">
        <references count="2">
          <reference field="3" count="1" selected="0">
            <x v="0"/>
          </reference>
          <reference field="5" count="1">
            <x v="0"/>
          </reference>
        </references>
      </pivotArea>
    </format>
    <format dxfId="664">
      <pivotArea dataOnly="0" labelOnly="1" fieldPosition="0">
        <references count="2">
          <reference field="3" count="1" selected="0">
            <x v="1"/>
          </reference>
          <reference field="5" count="2">
            <x v="1"/>
            <x v="2"/>
          </reference>
        </references>
      </pivotArea>
    </format>
    <format dxfId="663">
      <pivotArea dataOnly="0" labelOnly="1" fieldPosition="0">
        <references count="3">
          <reference field="3" count="1" selected="0">
            <x v="0"/>
          </reference>
          <reference field="5" count="1" selected="0">
            <x v="0"/>
          </reference>
          <reference field="9" count="1">
            <x v="0"/>
          </reference>
        </references>
      </pivotArea>
    </format>
    <format dxfId="662">
      <pivotArea dataOnly="0" labelOnly="1" fieldPosition="0">
        <references count="3">
          <reference field="3" count="1" selected="0">
            <x v="1"/>
          </reference>
          <reference field="5" count="1" selected="0">
            <x v="1"/>
          </reference>
          <reference field="9" count="8">
            <x v="1"/>
            <x v="2"/>
            <x v="3"/>
            <x v="4"/>
            <x v="5"/>
            <x v="6"/>
            <x v="7"/>
            <x v="8"/>
          </reference>
        </references>
      </pivotArea>
    </format>
    <format dxfId="661">
      <pivotArea dataOnly="0" labelOnly="1" fieldPosition="0">
        <references count="3">
          <reference field="3" count="1" selected="0">
            <x v="1"/>
          </reference>
          <reference field="5" count="1" selected="0">
            <x v="2"/>
          </reference>
          <reference field="9" count="1">
            <x v="9"/>
          </reference>
        </references>
      </pivotArea>
    </format>
    <format dxfId="66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5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5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5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5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5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5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5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5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5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5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4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4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4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4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4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4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4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4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4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4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3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3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3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3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35">
      <pivotArea dataOnly="0" labelOnly="1" outline="0" fieldPosition="0">
        <references count="1">
          <reference field="4294967294" count="5">
            <x v="0"/>
            <x v="1"/>
            <x v="2"/>
            <x v="3"/>
            <x v="4"/>
          </reference>
        </references>
      </pivotArea>
    </format>
    <format dxfId="634">
      <pivotArea type="all" dataOnly="0" outline="0" fieldPosition="0"/>
    </format>
    <format dxfId="633">
      <pivotArea outline="0" collapsedLevelsAreSubtotals="1" fieldPosition="0"/>
    </format>
    <format dxfId="632">
      <pivotArea field="3" type="button" dataOnly="0" labelOnly="1" outline="0" axis="axisRow" fieldPosition="1"/>
    </format>
    <format dxfId="631">
      <pivotArea dataOnly="0" labelOnly="1" fieldPosition="0">
        <references count="1">
          <reference field="3" count="0"/>
        </references>
      </pivotArea>
    </format>
    <format dxfId="630">
      <pivotArea dataOnly="0" labelOnly="1" grandRow="1" outline="0" fieldPosition="0"/>
    </format>
    <format dxfId="629">
      <pivotArea dataOnly="0" labelOnly="1" fieldPosition="0">
        <references count="2">
          <reference field="3" count="1" selected="0">
            <x v="0"/>
          </reference>
          <reference field="5" count="1">
            <x v="0"/>
          </reference>
        </references>
      </pivotArea>
    </format>
    <format dxfId="628">
      <pivotArea dataOnly="0" labelOnly="1" fieldPosition="0">
        <references count="2">
          <reference field="3" count="1" selected="0">
            <x v="1"/>
          </reference>
          <reference field="5" count="2">
            <x v="1"/>
            <x v="2"/>
          </reference>
        </references>
      </pivotArea>
    </format>
    <format dxfId="627">
      <pivotArea dataOnly="0" labelOnly="1" fieldPosition="0">
        <references count="3">
          <reference field="3" count="1" selected="0">
            <x v="0"/>
          </reference>
          <reference field="5" count="1" selected="0">
            <x v="0"/>
          </reference>
          <reference field="9" count="1">
            <x v="0"/>
          </reference>
        </references>
      </pivotArea>
    </format>
    <format dxfId="626">
      <pivotArea dataOnly="0" labelOnly="1" fieldPosition="0">
        <references count="3">
          <reference field="3" count="1" selected="0">
            <x v="1"/>
          </reference>
          <reference field="5" count="1" selected="0">
            <x v="1"/>
          </reference>
          <reference field="9" count="8">
            <x v="1"/>
            <x v="2"/>
            <x v="3"/>
            <x v="4"/>
            <x v="5"/>
            <x v="6"/>
            <x v="7"/>
            <x v="8"/>
          </reference>
        </references>
      </pivotArea>
    </format>
    <format dxfId="625">
      <pivotArea dataOnly="0" labelOnly="1" fieldPosition="0">
        <references count="3">
          <reference field="3" count="1" selected="0">
            <x v="1"/>
          </reference>
          <reference field="5" count="1" selected="0">
            <x v="2"/>
          </reference>
          <reference field="9" count="1">
            <x v="9"/>
          </reference>
        </references>
      </pivotArea>
    </format>
    <format dxfId="62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2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2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2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2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1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1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1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1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1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1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1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1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1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1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0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0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0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0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0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0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0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0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0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0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99">
      <pivotArea dataOnly="0" labelOnly="1" outline="0" fieldPosition="0">
        <references count="1">
          <reference field="4294967294" count="5">
            <x v="0"/>
            <x v="1"/>
            <x v="2"/>
            <x v="3"/>
            <x v="4"/>
          </reference>
        </references>
      </pivotArea>
    </format>
    <format dxfId="598">
      <pivotArea collapsedLevelsAreSubtotals="1" fieldPosition="0">
        <references count="1">
          <reference field="3" count="1">
            <x v="0"/>
          </reference>
        </references>
      </pivotArea>
    </format>
    <format dxfId="597">
      <pivotArea collapsedLevelsAreSubtotals="1" fieldPosition="0">
        <references count="1">
          <reference field="3" count="1">
            <x v="1"/>
          </reference>
        </references>
      </pivotArea>
    </format>
    <format dxfId="596">
      <pivotArea collapsedLevelsAreSubtotals="1" fieldPosition="0">
        <references count="3">
          <reference field="3" count="1" selected="0">
            <x v="0"/>
          </reference>
          <reference field="5" count="1" selected="0">
            <x v="0"/>
          </reference>
          <reference field="9" count="1">
            <x v="0"/>
          </reference>
        </references>
      </pivotArea>
    </format>
    <format dxfId="595">
      <pivotArea collapsedLevelsAreSubtotals="1" fieldPosition="0">
        <references count="3">
          <reference field="3" count="1" selected="0">
            <x v="1"/>
          </reference>
          <reference field="5" count="1" selected="0">
            <x v="1"/>
          </reference>
          <reference field="9" count="1">
            <x v="1"/>
          </reference>
        </references>
      </pivotArea>
    </format>
    <format dxfId="594">
      <pivotArea collapsedLevelsAreSubtotals="1" fieldPosition="0">
        <references count="3">
          <reference field="3" count="1" selected="0">
            <x v="1"/>
          </reference>
          <reference field="5" count="1" selected="0">
            <x v="1"/>
          </reference>
          <reference field="9" count="1">
            <x v="2"/>
          </reference>
        </references>
      </pivotArea>
    </format>
    <format dxfId="593">
      <pivotArea collapsedLevelsAreSubtotals="1" fieldPosition="0">
        <references count="3">
          <reference field="3" count="1" selected="0">
            <x v="1"/>
          </reference>
          <reference field="5" count="1" selected="0">
            <x v="1"/>
          </reference>
          <reference field="9" count="1">
            <x v="3"/>
          </reference>
        </references>
      </pivotArea>
    </format>
    <format dxfId="592">
      <pivotArea collapsedLevelsAreSubtotals="1" fieldPosition="0">
        <references count="3">
          <reference field="3" count="1" selected="0">
            <x v="1"/>
          </reference>
          <reference field="5" count="1" selected="0">
            <x v="1"/>
          </reference>
          <reference field="9" count="1">
            <x v="4"/>
          </reference>
        </references>
      </pivotArea>
    </format>
    <format dxfId="591">
      <pivotArea collapsedLevelsAreSubtotals="1" fieldPosition="0">
        <references count="3">
          <reference field="3" count="1" selected="0">
            <x v="1"/>
          </reference>
          <reference field="5" count="1" selected="0">
            <x v="1"/>
          </reference>
          <reference field="9" count="1">
            <x v="5"/>
          </reference>
        </references>
      </pivotArea>
    </format>
    <format dxfId="590">
      <pivotArea collapsedLevelsAreSubtotals="1" fieldPosition="0">
        <references count="3">
          <reference field="3" count="1" selected="0">
            <x v="1"/>
          </reference>
          <reference field="5" count="1" selected="0">
            <x v="1"/>
          </reference>
          <reference field="9" count="1">
            <x v="6"/>
          </reference>
        </references>
      </pivotArea>
    </format>
    <format dxfId="589">
      <pivotArea collapsedLevelsAreSubtotals="1" fieldPosition="0">
        <references count="3">
          <reference field="3" count="1" selected="0">
            <x v="1"/>
          </reference>
          <reference field="5" count="1" selected="0">
            <x v="1"/>
          </reference>
          <reference field="9" count="1">
            <x v="7"/>
          </reference>
        </references>
      </pivotArea>
    </format>
    <format dxfId="588">
      <pivotArea collapsedLevelsAreSubtotals="1" fieldPosition="0">
        <references count="3">
          <reference field="3" count="1" selected="0">
            <x v="1"/>
          </reference>
          <reference field="5" count="1" selected="0">
            <x v="1"/>
          </reference>
          <reference field="9" count="1">
            <x v="8"/>
          </reference>
        </references>
      </pivotArea>
    </format>
    <format dxfId="587">
      <pivotArea collapsedLevelsAreSubtotals="1" fieldPosition="0">
        <references count="3">
          <reference field="3" count="1" selected="0">
            <x v="1"/>
          </reference>
          <reference field="5" count="1" selected="0">
            <x v="2"/>
          </reference>
          <reference field="9" count="1">
            <x v="9"/>
          </reference>
        </references>
      </pivotArea>
    </format>
    <format dxfId="586">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585">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584">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583">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582">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581">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580">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579">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578">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577">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576">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575">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574">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573">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572">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57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57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569">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6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56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56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565">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64">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63">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6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56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56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55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55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55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55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55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55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55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55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55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55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54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548">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4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54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54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54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54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542">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4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54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53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53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53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53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53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53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53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53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531">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30">
      <pivotArea collapsedLevelsAreSubtotals="1" fieldPosition="0">
        <references count="2">
          <reference field="3" count="1" selected="0">
            <x v="1"/>
          </reference>
          <reference field="5" count="1">
            <x v="1"/>
          </reference>
        </references>
      </pivotArea>
    </format>
    <format dxfId="529">
      <pivotArea field="3" type="button" dataOnly="0" labelOnly="1" outline="0" axis="axisRow" fieldPosition="1"/>
    </format>
    <format dxfId="528">
      <pivotArea collapsedLevelsAreSubtotals="1" fieldPosition="0">
        <references count="2">
          <reference field="3" count="1" selected="0">
            <x v="1"/>
          </reference>
          <reference field="5" count="1">
            <x v="2"/>
          </reference>
        </references>
      </pivotArea>
    </format>
    <format dxfId="527">
      <pivotArea collapsedLevelsAreSubtotals="1" fieldPosition="0">
        <references count="2">
          <reference field="3" count="1" selected="0">
            <x v="0"/>
          </reference>
          <reference field="5" count="1">
            <x v="0"/>
          </reference>
        </references>
      </pivotArea>
    </format>
    <format dxfId="526">
      <pivotArea field="3" type="button" dataOnly="0" labelOnly="1" outline="0" axis="axisRow" fieldPosition="1"/>
    </format>
    <format dxfId="525">
      <pivotArea dataOnly="0" labelOnly="1" outline="0" fieldPosition="0">
        <references count="1">
          <reference field="4294967294" count="5">
            <x v="0"/>
            <x v="1"/>
            <x v="2"/>
            <x v="3"/>
            <x v="4"/>
          </reference>
        </references>
      </pivotArea>
    </format>
    <format dxfId="524">
      <pivotArea field="3" type="button" dataOnly="0" labelOnly="1" outline="0" axis="axisRow" fieldPosition="1"/>
    </format>
    <format dxfId="523">
      <pivotArea dataOnly="0" labelOnly="1" outline="0" fieldPosition="0">
        <references count="1">
          <reference field="4294967294" count="5">
            <x v="0"/>
            <x v="1"/>
            <x v="2"/>
            <x v="3"/>
            <x v="4"/>
          </reference>
        </references>
      </pivotArea>
    </format>
    <format dxfId="522">
      <pivotArea field="3" type="button" dataOnly="0" labelOnly="1" outline="0" axis="axisRow" fieldPosition="1"/>
    </format>
    <format dxfId="521">
      <pivotArea dataOnly="0" labelOnly="1" fieldPosition="0">
        <references count="1">
          <reference field="3" count="0"/>
        </references>
      </pivotArea>
    </format>
    <format dxfId="520">
      <pivotArea dataOnly="0" labelOnly="1" grandRow="1" outline="0" fieldPosition="0"/>
    </format>
    <format dxfId="519">
      <pivotArea dataOnly="0" labelOnly="1" fieldPosition="0">
        <references count="2">
          <reference field="3" count="1" selected="0">
            <x v="0"/>
          </reference>
          <reference field="5" count="1">
            <x v="0"/>
          </reference>
        </references>
      </pivotArea>
    </format>
    <format dxfId="518">
      <pivotArea dataOnly="0" labelOnly="1" fieldPosition="0">
        <references count="2">
          <reference field="3" count="1" selected="0">
            <x v="1"/>
          </reference>
          <reference field="5" count="2">
            <x v="1"/>
            <x v="2"/>
          </reference>
        </references>
      </pivotArea>
    </format>
    <format dxfId="517">
      <pivotArea dataOnly="0" labelOnly="1" fieldPosition="0">
        <references count="3">
          <reference field="3" count="1" selected="0">
            <x v="0"/>
          </reference>
          <reference field="5" count="1" selected="0">
            <x v="0"/>
          </reference>
          <reference field="9" count="1">
            <x v="0"/>
          </reference>
        </references>
      </pivotArea>
    </format>
    <format dxfId="516">
      <pivotArea dataOnly="0" labelOnly="1" fieldPosition="0">
        <references count="3">
          <reference field="3" count="1" selected="0">
            <x v="1"/>
          </reference>
          <reference field="5" count="1" selected="0">
            <x v="1"/>
          </reference>
          <reference field="9" count="8">
            <x v="1"/>
            <x v="2"/>
            <x v="3"/>
            <x v="4"/>
            <x v="5"/>
            <x v="6"/>
            <x v="7"/>
            <x v="8"/>
          </reference>
        </references>
      </pivotArea>
    </format>
    <format dxfId="515">
      <pivotArea dataOnly="0" labelOnly="1" fieldPosition="0">
        <references count="3">
          <reference field="3" count="1" selected="0">
            <x v="1"/>
          </reference>
          <reference field="5" count="1" selected="0">
            <x v="2"/>
          </reference>
          <reference field="9" count="1">
            <x v="9"/>
          </reference>
        </references>
      </pivotArea>
    </format>
    <format dxfId="51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1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1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1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1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0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0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0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0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0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0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0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0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0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0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9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9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9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9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9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9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9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9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9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9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89">
      <pivotArea dataOnly="0" labelOnly="1" fieldPosition="0">
        <references count="1">
          <reference field="13" count="0"/>
        </references>
      </pivotArea>
    </format>
    <format dxfId="488">
      <pivotArea dataOnly="0" labelOnly="1" fieldPosition="0">
        <references count="1">
          <reference field="13" count="0"/>
        </references>
      </pivotArea>
    </format>
    <format dxfId="487">
      <pivotArea type="all" dataOnly="0" outline="0" fieldPosition="0"/>
    </format>
    <format dxfId="486">
      <pivotArea outline="0" collapsedLevelsAreSubtotals="1" fieldPosition="0"/>
    </format>
    <format dxfId="485">
      <pivotArea field="32" type="button" dataOnly="0" labelOnly="1" outline="0" axis="axisRow" fieldPosition="0"/>
    </format>
    <format dxfId="484">
      <pivotArea dataOnly="0" labelOnly="1" grandRow="1" outline="0" fieldPosition="0"/>
    </format>
    <format dxfId="483">
      <pivotArea dataOnly="0" labelOnly="1" fieldPosition="0">
        <references count="2">
          <reference field="3" count="0"/>
          <reference field="32" count="0" selected="0"/>
        </references>
      </pivotArea>
    </format>
    <format dxfId="482">
      <pivotArea dataOnly="0" labelOnly="1" fieldPosition="0">
        <references count="3">
          <reference field="3" count="1" selected="0">
            <x v="0"/>
          </reference>
          <reference field="5" count="1">
            <x v="0"/>
          </reference>
          <reference field="32" count="0" selected="0"/>
        </references>
      </pivotArea>
    </format>
    <format dxfId="481">
      <pivotArea dataOnly="0" labelOnly="1" fieldPosition="0">
        <references count="3">
          <reference field="3" count="1" selected="0">
            <x v="1"/>
          </reference>
          <reference field="5" count="2">
            <x v="1"/>
            <x v="2"/>
          </reference>
          <reference field="32" count="0" selected="0"/>
        </references>
      </pivotArea>
    </format>
    <format dxfId="480">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479">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478">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477">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476">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475">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474">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473">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472">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471">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470">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469">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46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6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66">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65">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6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46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46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461">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460">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45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458">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457">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45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455">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454">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453">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452">
      <pivotArea dataOnly="0" labelOnly="1" outline="0" fieldPosition="0">
        <references count="1">
          <reference field="4294967294" count="5">
            <x v="0"/>
            <x v="1"/>
            <x v="2"/>
            <x v="3"/>
            <x v="4"/>
          </reference>
        </references>
      </pivotArea>
    </format>
    <format dxfId="451">
      <pivotArea dataOnly="0" labelOnly="1" fieldPosition="0">
        <references count="1">
          <reference field="33" count="0"/>
        </references>
      </pivotArea>
    </format>
    <format dxfId="450">
      <pivotArea dataOnly="0" labelOnly="1" fieldPosition="0">
        <references count="1">
          <reference field="34" count="0"/>
        </references>
      </pivotArea>
    </format>
    <format dxfId="449">
      <pivotArea dataOnly="0" labelOnly="1" fieldPosition="0">
        <references count="1">
          <reference field="34" count="0"/>
        </references>
      </pivotArea>
    </format>
    <format dxfId="448">
      <pivotArea dataOnly="0" labelOnly="1" fieldPosition="0">
        <references count="1">
          <reference field="34" count="0"/>
        </references>
      </pivotArea>
    </format>
    <format dxfId="447">
      <pivotArea dataOnly="0" labelOnly="1" fieldPosition="0">
        <references count="1">
          <reference field="34" count="0"/>
        </references>
      </pivotArea>
    </format>
    <format dxfId="446">
      <pivotArea dataOnly="0" labelOnly="1" fieldPosition="0">
        <references count="1">
          <reference field="33" count="0"/>
        </references>
      </pivotArea>
    </format>
    <format dxfId="445">
      <pivotArea dataOnly="0" labelOnly="1" fieldPosition="0">
        <references count="1">
          <reference field="33" count="0"/>
        </references>
      </pivotArea>
    </format>
    <format dxfId="444">
      <pivotArea dataOnly="0" labelOnly="1" fieldPosition="0">
        <references count="1">
          <reference field="33" count="0"/>
        </references>
      </pivotArea>
    </format>
    <format dxfId="443">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442">
      <pivotArea dataOnly="0" labelOnly="1" fieldPosition="0">
        <references count="4">
          <reference field="3" count="1" selected="0">
            <x v="0"/>
          </reference>
          <reference field="5" count="1" selected="0">
            <x v="0"/>
          </reference>
          <reference field="32" count="0" selected="0"/>
          <reference field="33" count="1">
            <x v="0"/>
          </reference>
        </references>
      </pivotArea>
    </format>
    <format dxfId="441">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440">
      <pivotArea dataOnly="0" labelOnly="1" fieldPosition="0">
        <references count="4">
          <reference field="3" count="1" selected="0">
            <x v="0"/>
          </reference>
          <reference field="5" count="1" selected="0">
            <x v="0"/>
          </reference>
          <reference field="32" count="0" selected="0"/>
          <reference field="33" count="1">
            <x v="1"/>
          </reference>
        </references>
      </pivotArea>
    </format>
    <format dxfId="439">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438">
      <pivotArea dataOnly="0" labelOnly="1" fieldPosition="0">
        <references count="4">
          <reference field="3" count="1" selected="0">
            <x v="1"/>
          </reference>
          <reference field="5" count="1" selected="0">
            <x v="1"/>
          </reference>
          <reference field="32" count="0" selected="0"/>
          <reference field="33" count="1">
            <x v="0"/>
          </reference>
        </references>
      </pivotArea>
    </format>
    <format dxfId="437">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436">
      <pivotArea dataOnly="0" labelOnly="1" fieldPosition="0">
        <references count="4">
          <reference field="3" count="1" selected="0">
            <x v="1"/>
          </reference>
          <reference field="5" count="1" selected="0">
            <x v="1"/>
          </reference>
          <reference field="32" count="0" selected="0"/>
          <reference field="33" count="1">
            <x v="1"/>
          </reference>
        </references>
      </pivotArea>
    </format>
    <format dxfId="435">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434">
      <pivotArea dataOnly="0" labelOnly="1" fieldPosition="0">
        <references count="4">
          <reference field="3" count="1" selected="0">
            <x v="1"/>
          </reference>
          <reference field="5" count="1" selected="0">
            <x v="1"/>
          </reference>
          <reference field="32" count="0" selected="0"/>
          <reference field="33" count="1">
            <x v="2"/>
          </reference>
        </references>
      </pivotArea>
    </format>
    <format dxfId="433">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432">
      <pivotArea dataOnly="0" labelOnly="1" fieldPosition="0">
        <references count="4">
          <reference field="3" count="1" selected="0">
            <x v="1"/>
          </reference>
          <reference field="5" count="1" selected="0">
            <x v="1"/>
          </reference>
          <reference field="32" count="0" selected="0"/>
          <reference field="33" count="1">
            <x v="3"/>
          </reference>
        </references>
      </pivotArea>
    </format>
    <format dxfId="431">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430">
      <pivotArea dataOnly="0" labelOnly="1" fieldPosition="0">
        <references count="4">
          <reference field="3" count="1" selected="0">
            <x v="1"/>
          </reference>
          <reference field="5" count="1" selected="0">
            <x v="2"/>
          </reference>
          <reference field="32" count="0" selected="0"/>
          <reference field="33" count="1">
            <x v="2"/>
          </reference>
        </references>
      </pivotArea>
    </format>
    <format dxfId="429">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28">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27">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26">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25">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4">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3">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2">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1">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20">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19">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18">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17">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16">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15">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4">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3">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2">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1">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10">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09">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08">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07">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06">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05">
      <pivotArea dataOnly="0" labelOnly="1" fieldPosition="0">
        <references count="1">
          <reference field="32" count="0"/>
        </references>
      </pivotArea>
    </format>
    <format dxfId="404">
      <pivotArea collapsedLevelsAreSubtotals="1" fieldPosition="0">
        <references count="1">
          <reference field="32" count="0"/>
        </references>
      </pivotArea>
    </format>
    <format dxfId="403">
      <pivotArea dataOnly="0" labelOnly="1" fieldPosition="0">
        <references count="1">
          <reference field="32" count="0"/>
        </references>
      </pivotArea>
    </format>
    <format dxfId="402">
      <pivotArea dataOnly="0" labelOnly="1" fieldPosition="0">
        <references count="1">
          <reference field="13" count="0"/>
        </references>
      </pivotArea>
    </format>
    <format dxfId="40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40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39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39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39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9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95">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9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89">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8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8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8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8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8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7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7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7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5">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3">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7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6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6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6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6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6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6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5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5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5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5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5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3">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5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4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4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4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4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4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3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3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3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3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3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1">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3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2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2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2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2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2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1">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2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19">
      <pivotArea dataOnly="0" labelOnly="1" fieldPosition="0">
        <references count="1">
          <reference field="11" count="0"/>
        </references>
      </pivotArea>
    </format>
    <format dxfId="318">
      <pivotArea dataOnly="0" labelOnly="1" fieldPosition="0">
        <references count="1">
          <reference field="11" count="0"/>
        </references>
      </pivotArea>
    </format>
    <format dxfId="317">
      <pivotArea dataOnly="0" labelOnly="1" fieldPosition="0">
        <references count="1">
          <reference field="13" count="0"/>
        </references>
      </pivotArea>
    </format>
    <format dxfId="316">
      <pivotArea dataOnly="0" labelOnly="1" fieldPosition="0">
        <references count="1">
          <reference field="13" count="0"/>
        </references>
      </pivotArea>
    </format>
    <format dxfId="315">
      <pivotArea dataOnly="0" labelOnly="1" fieldPosition="0">
        <references count="1">
          <reference field="34" count="0"/>
        </references>
      </pivotArea>
    </format>
    <format dxfId="314">
      <pivotArea dataOnly="0" labelOnly="1" fieldPosition="0">
        <references count="1">
          <reference field="34" count="0"/>
        </references>
      </pivotArea>
    </format>
    <format dxfId="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7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7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7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6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6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67">
      <pivotArea dataOnly="0" labelOnly="1" fieldPosition="0">
        <references count="1">
          <reference field="11" count="0"/>
        </references>
      </pivotArea>
    </format>
    <format dxfId="266">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5">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4">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3">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2">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0">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5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5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5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5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2">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1">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0">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49">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48">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47">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46">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5">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4">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3">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2">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8">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6">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5">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4">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3">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2">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1">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0">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9">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8">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6">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4">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1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1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1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16">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5">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4">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3">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2">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1">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0">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0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08">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0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06">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2">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0">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9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98">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97">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96">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5">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4">
      <pivotArea outline="0" collapsedLevelsAreSubtotals="1" fieldPosition="0"/>
    </format>
    <format dxfId="19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19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19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19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0">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189">
      <pivotArea outline="0" collapsedLevelsAreSubtotals="1" fieldPosition="0"/>
    </format>
    <format dxfId="188">
      <pivotArea type="all" dataOnly="0" outline="0" fieldPosition="0"/>
    </format>
    <format dxfId="187">
      <pivotArea outline="0" collapsedLevelsAreSubtotals="1" fieldPosition="0"/>
    </format>
    <format dxfId="186">
      <pivotArea field="30" type="button" dataOnly="0" labelOnly="1" outline="0" axis="axisRow" fieldPosition="0"/>
    </format>
    <format dxfId="185">
      <pivotArea dataOnly="0" labelOnly="1" grandRow="1" outline="0" fieldPosition="0"/>
    </format>
    <format dxfId="184">
      <pivotArea dataOnly="0" labelOnly="1" outline="0" fieldPosition="0">
        <references count="1">
          <reference field="4294967294" count="4">
            <x v="0"/>
            <x v="1"/>
            <x v="2"/>
            <x v="3"/>
          </reference>
        </references>
      </pivotArea>
    </format>
    <format dxfId="183">
      <pivotArea dataOnly="0" labelOnly="1" fieldPosition="0">
        <references count="1">
          <reference field="30" count="0"/>
        </references>
      </pivotArea>
    </format>
    <format dxfId="182">
      <pivotArea collapsedLevelsAreSubtotals="1" fieldPosition="0">
        <references count="1">
          <reference field="30" count="1">
            <x v="0"/>
          </reference>
        </references>
      </pivotArea>
    </format>
    <format dxfId="181">
      <pivotArea dataOnly="0" labelOnly="1" fieldPosition="0">
        <references count="1">
          <reference field="30" count="1">
            <x v="0"/>
          </reference>
        </references>
      </pivotArea>
    </format>
    <format dxfId="180">
      <pivotArea collapsedLevelsAreSubtotals="1" fieldPosition="0">
        <references count="1">
          <reference field="30" count="1">
            <x v="1"/>
          </reference>
        </references>
      </pivotArea>
    </format>
    <format dxfId="179">
      <pivotArea dataOnly="0" labelOnly="1" fieldPosition="0">
        <references count="1">
          <reference field="30" count="1">
            <x v="1"/>
          </reference>
        </references>
      </pivotArea>
    </format>
    <format dxfId="178">
      <pivotArea collapsedLevelsAreSubtotals="1" fieldPosition="0">
        <references count="1">
          <reference field="30" count="1">
            <x v="2"/>
          </reference>
        </references>
      </pivotArea>
    </format>
    <format dxfId="177">
      <pivotArea dataOnly="0" labelOnly="1" fieldPosition="0">
        <references count="1">
          <reference field="30" count="1">
            <x v="2"/>
          </reference>
        </references>
      </pivotArea>
    </format>
    <format dxfId="176">
      <pivotArea collapsedLevelsAreSubtotals="1" fieldPosition="0">
        <references count="1">
          <reference field="30" count="1">
            <x v="3"/>
          </reference>
        </references>
      </pivotArea>
    </format>
    <format dxfId="175">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18">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17">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16">
      <calculatedColumnFormula>_xlfn.TEXTJOIN(" - ",TRUE,Subkoord[[#This Row],[id]],Subkoord[[#This Row],[skrdklpk]])</calculatedColumnFormula>
    </tableColumn>
    <tableColumn id="7" xr3:uid="{BB0E08D1-7433-45E1-9A8E-F09478BEE345}" name="Koordinator" dataDxfId="715">
      <calculatedColumnFormula array="1">INDEX(Koord[Koordinator],MATCH(1,(Subkoord[[#This Row],[id2]]=Koord[id2])*(Subkoord[[#This Row],[id3]]=Koord[id]),0))</calculatedColumnFormula>
    </tableColumn>
    <tableColumn id="8" xr3:uid="{CE9A8D26-5115-4AB0-A0D6-173532BAC073}" name="Eselon2" dataDxfId="714">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1" totalsRowShown="0" headerRowDxfId="710" dataDxfId="709" tableBorderDxfId="708">
  <autoFilter ref="B10:O171" xr:uid="{5439E600-4AE6-4A9C-BF96-1F8B4649EF5E}"/>
  <sortState xmlns:xlrd2="http://schemas.microsoft.com/office/spreadsheetml/2017/richdata2" ref="B16:O171">
    <sortCondition ref="C10:C171"/>
  </sortState>
  <tableColumns count="14">
    <tableColumn id="1" xr3:uid="{EA3EA993-E9B8-4175-AE78-56C2DE826084}" name="No" dataDxfId="707" totalsRowDxfId="706" dataCellStyle="Normal 4" totalsRowCellStyle="Normal 4"/>
    <tableColumn id="14" xr3:uid="{39BE1E11-4C0D-43C9-A7CF-CFD7B6D88EC1}" name="Urut" dataDxfId="705" totalsRowDxfId="704" dataCellStyle="Normal 4" totalsRowCellStyle="Normal 4"/>
    <tableColumn id="2" xr3:uid="{55765DF9-9B2D-49B2-8C10-51C6F4795A2B}" name="Nomor SP2D" dataDxfId="703" totalsRowDxfId="702" totalsRowCellStyle="Normal 4"/>
    <tableColumn id="3" xr3:uid="{95F2A4A6-178D-4D09-BEC2-A35DA9DD284C}" name="Tanggal SP2D" dataDxfId="701" totalsRowDxfId="700" totalsRowCellStyle="Normal 4"/>
    <tableColumn id="4" xr3:uid="{1BFC6E15-B107-44FC-880F-0FA398A70437}" name="Nilai SP2D" dataDxfId="699" totalsRowDxfId="698" dataCellStyle="Comma [0]" totalsRowCellStyle="Comma [0]"/>
    <tableColumn id="5" xr3:uid="{BA79B4B6-6D4D-4C40-A794-FBA956D546A8}" name="Jenis SPM" dataDxfId="697" totalsRowDxfId="696" totalsRowCellStyle="Normal 4"/>
    <tableColumn id="6" xr3:uid="{0728F6B3-877B-4801-849D-78A7FD394756}" name="Nomor Invoice" dataDxfId="695" totalsRowDxfId="694" totalsRowCellStyle="Normal 4"/>
    <tableColumn id="7" xr3:uid="{BC8C9A9E-906E-4F73-AA7C-36C21228DCD0}" name="Tanggal Invoice" dataDxfId="693" totalsRowDxfId="692" totalsRowCellStyle="Normal 4"/>
    <tableColumn id="8" xr3:uid="{4F370E97-CC92-41D4-B70A-C2C397F13E5F}" name="Jenis SP2D" dataDxfId="691" totalsRowDxfId="690" totalsRowCellStyle="Normal 4"/>
    <tableColumn id="9" xr3:uid="{5AB0F2BB-729E-4A36-99C2-531506F2E0D4}" name="Deskripsi" dataDxfId="689" totalsRowDxfId="688" totalsRowCellStyle="Normal 4"/>
    <tableColumn id="10" xr3:uid="{E9855FB4-726E-4E0F-A40E-89C5AF4CAAE7}" name="Bagian / Bidang" dataDxfId="687" totalsRowDxfId="686" dataCellStyle="Normal 4" totalsRowCellStyle="Normal 4"/>
    <tableColumn id="11" xr3:uid="{07CEE088-AC9A-406D-AECA-D9F23626D4D5}" name="Subbagian / Subbidang" dataDxfId="685" totalsRowDxfId="684" dataCellStyle="Normal 4" totalsRowCellStyle="Normal 4"/>
    <tableColumn id="13" xr3:uid="{7D701C80-B1AD-4D78-B3C3-525A71261916}" name="Status Realisasi" dataDxfId="683" dataCellStyle="Normal 4"/>
    <tableColumn id="12" xr3:uid="{BE916C21-2F59-4DE9-9BDF-707A1C1956B2}" name="all" dataDxfId="682"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74" dataDxfId="173">
  <autoFilter ref="A3:BA143" xr:uid="{0C46C9EE-53F2-428C-9BE4-AA19FA2987DF}"/>
  <tableColumns count="53">
    <tableColumn id="1" xr3:uid="{A2BC3788-B1CE-4A3F-B6F3-D1D27F201210}" name="kddept" dataDxfId="172"/>
    <tableColumn id="2" xr3:uid="{2DB0BCF7-353A-4057-BFD0-5A9AFD7AD377}" name="kdunit" dataDxfId="171"/>
    <tableColumn id="3" xr3:uid="{6BCC3689-465C-41AB-AA41-B61148952378}" name="kdprogram" dataDxfId="170"/>
    <tableColumn id="4" xr3:uid="{2A5A7B58-839E-4216-A115-BA31451747CC}" name="Program" dataDxfId="169"/>
    <tableColumn id="5" xr3:uid="{B90B5CFD-D8F4-48C4-81DF-60CCA43D8B33}" name="kdgiat" dataDxfId="168"/>
    <tableColumn id="6" xr3:uid="{665306DE-5004-4796-BA54-AF3E581B23DE}" name="Kegiatan" dataDxfId="167"/>
    <tableColumn id="7" xr3:uid="{896282BA-49FB-4172-920C-20AE0DBD436D}" name="kdoutput" dataDxfId="166"/>
    <tableColumn id="8" xr3:uid="{81ACE6BC-C81E-44B5-AC16-FA7339E6C95D}" name="Output" dataDxfId="165"/>
    <tableColumn id="9" xr3:uid="{B9A79FBA-908D-418C-864B-733536EBB6AD}" name="kdsoutput" dataDxfId="164"/>
    <tableColumn id="10" xr3:uid="{8730A0E5-24CD-4DD0-97C9-7EB5897F6937}" name="SubOutput" dataDxfId="163"/>
    <tableColumn id="11" xr3:uid="{A1213678-0772-43DE-9A68-4CCAC2CAB97F}" name="kdkmpnen" dataDxfId="162"/>
    <tableColumn id="12" xr3:uid="{13F01672-806F-47CD-8E7B-DBEF02211C49}" name="Komponen" dataDxfId="161"/>
    <tableColumn id="13" xr3:uid="{EE24777D-4C50-49CF-9D51-B1D10E6B59C5}" name="kdskmpnen" dataDxfId="160"/>
    <tableColumn id="14" xr3:uid="{6B16732C-65AB-40BC-9BE7-38F27B545CA4}" name="SubKomponen" dataDxfId="159"/>
    <tableColumn id="15" xr3:uid="{9DE11426-CAD6-4307-AF79-5BA31FE425C4}" name="kdakun" dataDxfId="158"/>
    <tableColumn id="16" xr3:uid="{95D2AD80-8C0A-4582-9C73-FCD7148568BD}" name="Akun" dataDxfId="157"/>
    <tableColumn id="17" xr3:uid="{1099A73B-6EFE-4758-9112-C98BE9AF6233}" name="Pagu" dataDxfId="156" dataCellStyle="Comma [0]">
      <calculatedColumnFormula array="1">SUM(_xlfn._xlws.FILTER(DIPA2[PaguRevisi],DIPA2[Akun]=SP2D[[#This Row],[Kode Akun]],0))</calculatedColumnFormula>
    </tableColumn>
    <tableColumn id="18" xr3:uid="{F5761B11-9E81-4F7C-BD95-CB52A5BA049C}" name="Pagu Semula" dataDxfId="155" dataCellStyle="Comma [0]"/>
    <tableColumn id="52" xr3:uid="{756AF1CD-7E6D-49D5-9982-55502306D24E}" name="Blokir AA ke 1" dataDxfId="154" dataCellStyle="Comma [0]"/>
    <tableColumn id="53" xr3:uid="{6DF30DE6-28F7-4458-802A-BCB387ECC2BB}" name="Blokir AA ke 2" dataDxfId="153" dataCellStyle="Comma [0]">
      <calculatedColumnFormula>SP2D[[#This Row],[Pagu Semula]]-SP2D[[#This Row],[Pagu]]</calculatedColumnFormula>
    </tableColumn>
    <tableColumn id="19" xr3:uid="{D85464D1-34A4-4D62-B202-AA5B44380AE8}" name="Jan" dataDxfId="152">
      <calculatedColumnFormula>SUM('PER BULAN'!J92:L92)</calculatedColumnFormula>
    </tableColumn>
    <tableColumn id="20" xr3:uid="{59AFB7C3-9561-4F72-BA75-233CA8574E0E}" name="Feb" dataDxfId="151"/>
    <tableColumn id="21" xr3:uid="{339941D9-EB6A-4D9E-AAFD-8BC87914D9CD}" name="Mar" dataDxfId="150"/>
    <tableColumn id="22" xr3:uid="{4DB8271D-A562-4BDB-AF86-6803F5A0D6B6}" name="Apr" dataDxfId="149"/>
    <tableColumn id="23" xr3:uid="{A6296B83-2C3A-4B7B-B349-C7B81EF82E20}" name="Mei" dataDxfId="148"/>
    <tableColumn id="24" xr3:uid="{E35B9BB8-2C59-4938-BD17-AB6DA6D49836}" name="Jun" dataDxfId="147"/>
    <tableColumn id="25" xr3:uid="{0B56CE2F-22F5-4935-B179-82B908FFA45C}" name="Jul" dataDxfId="146"/>
    <tableColumn id="26" xr3:uid="{C5C2C340-1544-4521-9059-33AEBE3423A8}" name="Ags" dataDxfId="145"/>
    <tableColumn id="27" xr3:uid="{86511B91-6FBB-44C6-BFE0-FC75035E6D40}" name="Sep" dataDxfId="144"/>
    <tableColumn id="28" xr3:uid="{2C0763CA-B0D1-4434-BD74-3778A7A332E6}" name="Okt" dataDxfId="143"/>
    <tableColumn id="29" xr3:uid="{1D2AE206-2433-4713-B023-179D69FA3E25}" name="Nov" dataDxfId="142"/>
    <tableColumn id="30" xr3:uid="{C1E5584B-01F1-4175-8FA8-D285D3701F44}" name="Des" dataDxfId="141"/>
    <tableColumn id="31" xr3:uid="{3BEE2055-AE9D-40FE-AE62-8E331B1816BF}" name="eselon2" dataDxfId="140"/>
    <tableColumn id="32" xr3:uid="{A002471B-4101-4577-BC3A-704405B733FB}" name="koordinator" dataDxfId="139"/>
    <tableColumn id="33" xr3:uid="{D023DF90-D6C9-428C-971B-7DDF8C7D5F03}" name="Subkoordinator" dataDxfId="138"/>
    <tableColumn id="34" xr3:uid="{FE48F7A1-0956-4644-89C0-EA36C183F595}" name="Jns_Belanja" dataDxfId="137"/>
    <tableColumn id="35" xr3:uid="{BE3FC102-4A2C-4D3D-B515-5052A70FFDEB}" name="satker" dataDxfId="136"/>
    <tableColumn id="36" xr3:uid="{C44DBFA7-2D15-465C-8D00-F06B638B5ED4}" name="Realisasi" dataDxfId="135" dataCellStyle="Comma [0]">
      <calculatedColumnFormula>SUM(U4:AF4)</calculatedColumnFormula>
    </tableColumn>
    <tableColumn id="37" xr3:uid="{DE361282-2992-4D2B-992E-4096AF6D8E40}" name="Real %" dataDxfId="134">
      <calculatedColumnFormula>IFERROR(AL4/Q4*100,0)</calculatedColumnFormula>
    </tableColumn>
    <tableColumn id="38" xr3:uid="{EEF961EF-FF6A-40D5-A0B6-ED634EBADFBC}" name="Sisa" dataDxfId="133" dataCellStyle="Comma [0]">
      <calculatedColumnFormula>Q4-AL4</calculatedColumnFormula>
    </tableColumn>
    <tableColumn id="39" xr3:uid="{85643851-7A65-42C2-A08E-B6A7A8DA03F0}" name="Real %2" dataDxfId="132">
      <calculatedColumnFormula>IFERROR(AN4/Q4*100,0)</calculatedColumnFormula>
    </tableColumn>
    <tableColumn id="40" xr3:uid="{9E4F31F6-8A80-4410-976A-8EEA7368EA20}" name="Kode Akun" dataDxfId="131">
      <calculatedColumnFormula>_xlfn.TEXTJOIN(".",TRUE,C4,E4,G4,I4,K4,M4,O4)</calculatedColumnFormula>
    </tableColumn>
    <tableColumn id="41" xr3:uid="{0FDDBC90-1CC8-4C07-8122-50D2362EF739}" name="Status Covid" dataDxfId="130">
      <calculatedColumnFormula>IF(ISNUMBER(SEARCH("COVID",SP2D[[#This Row],[Akun]])),"COVID","Non COVID")</calculatedColumnFormula>
    </tableColumn>
    <tableColumn id="42" xr3:uid="{3D9BDB80-A0C7-4422-BA12-733AF91AF0E5}" name="Status Realisasi" dataDxfId="129">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28">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27"/>
    <tableColumn id="45" xr3:uid="{4B827D21-BED7-493A-98C2-BF92D20ACB6E}" name="TUP 1" dataDxfId="126"/>
    <tableColumn id="46" xr3:uid="{1A108E85-F9A8-4C5A-B9B2-E8E733C3D3EB}" name="GUP 2" dataDxfId="125"/>
    <tableColumn id="47" xr3:uid="{197D7FA7-EA56-478F-AC63-0B5D47D9765B}" name="GUP 3" dataDxfId="124"/>
    <tableColumn id="48" xr3:uid="{4614C9FA-2AB0-4D2D-AA55-13680C8EE8C5}" name="GUP 4" dataDxfId="123"/>
    <tableColumn id="49" xr3:uid="{9B9C7D3C-BD3B-413C-9633-5B1476894793}" name="GUP 5" dataDxfId="122"/>
    <tableColumn id="50" xr3:uid="{7F81D278-F155-4728-BD7E-4DD553D05EAC}" name="TUP 2 (1)" dataDxfId="121"/>
    <tableColumn id="51" xr3:uid="{40F6E74E-B62F-4684-A934-E1FBCD0EDECE}" name="TUP 2 (2)" dataDxfId="1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9" dataDxfId="118">
  <autoFilter ref="A3:BA15" xr:uid="{0218787B-FAFB-4E31-BAF7-C07090CCABB5}"/>
  <tableColumns count="53">
    <tableColumn id="1" xr3:uid="{80105D8C-B6CC-4C67-A0D5-A51108634790}" name="kddept" dataDxfId="117"/>
    <tableColumn id="2" xr3:uid="{79F788C4-BE24-4442-B4A5-787846FC3242}" name="kdunit" dataDxfId="116"/>
    <tableColumn id="3" xr3:uid="{F5607343-B1C5-442F-9F62-66DAB70DF978}" name="kdprogram" dataDxfId="115"/>
    <tableColumn id="4" xr3:uid="{67275D4D-383A-492A-9FB0-586605819489}" name="Program" dataDxfId="114"/>
    <tableColumn id="5" xr3:uid="{7E089115-5279-4639-B5C8-B5B142691A5E}" name="kdgiat" dataDxfId="113"/>
    <tableColumn id="6" xr3:uid="{86B452FA-0999-4C13-97B6-34303305E62C}" name="Kegiatan" dataDxfId="112"/>
    <tableColumn id="7" xr3:uid="{098073A3-0D75-44F5-98F3-9D58ABD0F494}" name="kdoutput" dataDxfId="111"/>
    <tableColumn id="8" xr3:uid="{DD29FD42-F6B4-48DB-ABD5-0B9035D7350B}" name="Output" dataDxfId="110"/>
    <tableColumn id="9" xr3:uid="{DD7BECAC-0FA2-4D83-AFED-EA1423BBAE3B}" name="kdsoutput" dataDxfId="109"/>
    <tableColumn id="10" xr3:uid="{41EDA2EB-4FE5-485A-9A85-BC1CF6F808E6}" name="SubOutput" dataDxfId="108"/>
    <tableColumn id="11" xr3:uid="{0C0092F1-3B9A-4262-87F2-DF8809ADB48A}" name="kdkmpnen" dataDxfId="107"/>
    <tableColumn id="12" xr3:uid="{7F02E6EE-4073-428C-A01E-C7F9404E22AB}" name="Komponen" dataDxfId="106"/>
    <tableColumn id="13" xr3:uid="{D5E22675-8A73-40C8-BA6D-4D22AD4BD880}" name="kdskmpnen" dataDxfId="105"/>
    <tableColumn id="14" xr3:uid="{21C5F2BB-4B18-41F3-8B47-CA7C999E1D95}" name="SubKomponen" dataDxfId="104"/>
    <tableColumn id="15" xr3:uid="{7EF6CEAB-DE31-4DEA-B8DF-BDD5AD5C3604}" name="kdakun" dataDxfId="103"/>
    <tableColumn id="16" xr3:uid="{897A6630-15AA-4E92-AF17-989B50249F0B}" name="Akun" dataDxfId="102"/>
    <tableColumn id="17" xr3:uid="{F469B670-C97B-4C45-BFA1-11EC2F3BBE30}" name="Pagu" dataDxfId="101" dataCellStyle="Comma [0]">
      <calculatedColumnFormula array="1">SUM(_xlfn._xlws.FILTER(DIPA2[PaguRevisi],DIPA2[Akun]=SP2D_GAJI[[#This Row],[Kode Akun]],0))</calculatedColumnFormula>
    </tableColumn>
    <tableColumn id="18" xr3:uid="{331F462C-70B7-43E1-8F2C-778E95ACAEA1}" name="Pagu Semula" dataDxfId="100" dataCellStyle="Comma [0]"/>
    <tableColumn id="52" xr3:uid="{2F016D06-D133-47D7-B695-4667F3490729}" name="Blokir AA ke 1" dataDxfId="99" dataCellStyle="Comma [0]"/>
    <tableColumn id="53" xr3:uid="{165EF6BA-1776-4571-B8AD-920C3A030766}" name="Blokir AA ke 2" dataDxfId="98" dataCellStyle="Comma [0]"/>
    <tableColumn id="19" xr3:uid="{D0C2276A-7026-4576-85D7-919441521A6C}" name="Jan" dataDxfId="97">
      <calculatedColumnFormula>SUM('PER BULAN'!J238:L238)</calculatedColumnFormula>
    </tableColumn>
    <tableColumn id="20" xr3:uid="{A9EF8502-8C6E-4766-AD68-658B4D1E747D}" name="Feb" dataDxfId="96">
      <calculatedColumnFormula>SUM('PER BULAN'!M238:O238)</calculatedColumnFormula>
    </tableColumn>
    <tableColumn id="21" xr3:uid="{746DC00C-C89E-4DDA-BBC9-1D134830D029}" name="Mar" dataDxfId="95">
      <calculatedColumnFormula>SUM('PER BULAN'!P238:R238)</calculatedColumnFormula>
    </tableColumn>
    <tableColumn id="22" xr3:uid="{05F5FC17-0CBB-4151-889F-60CFCD7C34DD}" name="Apr" dataDxfId="94">
      <calculatedColumnFormula>SUM('PER BULAN'!S238:U238)</calculatedColumnFormula>
    </tableColumn>
    <tableColumn id="23" xr3:uid="{C42FB8F4-7097-4474-A778-F18CBF2B07B1}" name="Mei" dataDxfId="93">
      <calculatedColumnFormula>SUM('PER BULAN'!V238:X238)</calculatedColumnFormula>
    </tableColumn>
    <tableColumn id="24" xr3:uid="{F4454E89-E22D-410A-82EB-5F0DC627F170}" name="Jun" dataDxfId="92">
      <calculatedColumnFormula>SUM('PER BULAN'!Y238:AA238)</calculatedColumnFormula>
    </tableColumn>
    <tableColumn id="25" xr3:uid="{2AA6CCE9-FDEE-48C4-8B21-D75DF41DA271}" name="Jul" dataDxfId="91">
      <calculatedColumnFormula>SUM('PER BULAN'!AB238:AD238)</calculatedColumnFormula>
    </tableColumn>
    <tableColumn id="26" xr3:uid="{7FACB806-C5A3-48BA-9D07-F51AF74D0E09}" name="Ags" dataDxfId="90">
      <calculatedColumnFormula>SUM('PER BULAN'!AE238:AG238)</calculatedColumnFormula>
    </tableColumn>
    <tableColumn id="27" xr3:uid="{C4B9A446-705C-463E-B7DA-7A0740B8C905}" name="Sep" dataDxfId="89">
      <calculatedColumnFormula>SUM('PER BULAN'!AH238:AJ238)</calculatedColumnFormula>
    </tableColumn>
    <tableColumn id="28" xr3:uid="{5AAFBEBC-03FC-4E4A-83F9-E67BEB3D5981}" name="Okt" dataDxfId="88">
      <calculatedColumnFormula>SUM('PER BULAN'!AK238:AM238)</calculatedColumnFormula>
    </tableColumn>
    <tableColumn id="29" xr3:uid="{4906B5CD-CEE5-4A98-B22E-AC637B561A64}" name="Nov" dataDxfId="87">
      <calculatedColumnFormula>SUM('PER BULAN'!AN238:AP238)</calculatedColumnFormula>
    </tableColumn>
    <tableColumn id="30" xr3:uid="{CE67CAFB-1501-4D81-9EF9-85B2D20132C0}" name="Des" dataDxfId="86">
      <calculatedColumnFormula>SUM('PER BULAN'!AQ238:AS238)</calculatedColumnFormula>
    </tableColumn>
    <tableColumn id="31" xr3:uid="{68D2BC5B-AA42-4205-92C2-22EE6E2A455F}" name="eselon2" dataDxfId="85"/>
    <tableColumn id="32" xr3:uid="{BA84A518-BE39-4F09-B013-2F165F75B2C4}" name="koordinator" dataDxfId="84"/>
    <tableColumn id="33" xr3:uid="{056A603E-AF28-4BB5-BFC3-BCB9B9C999CA}" name="Subkoordinator" dataDxfId="83"/>
    <tableColumn id="34" xr3:uid="{D4673DE9-E399-427A-A7FA-55224584489E}" name="Jns_Belanja" dataDxfId="82"/>
    <tableColumn id="35" xr3:uid="{A8855799-45D2-43E8-83A2-AA11614A2AB5}" name="satker" dataDxfId="81"/>
    <tableColumn id="36" xr3:uid="{7FE40A5B-7697-4CF3-B532-E8DEA6942EA1}" name="Realisasi" dataDxfId="80" dataCellStyle="Comma [0]">
      <calculatedColumnFormula>SUM(U4:AF4)</calculatedColumnFormula>
    </tableColumn>
    <tableColumn id="37" xr3:uid="{485221C0-0D00-438E-BDE5-343CD7B9DEA0}" name="Real %" dataDxfId="79">
      <calculatedColumnFormula>IFERROR(AL4/Q4*100,0)</calculatedColumnFormula>
    </tableColumn>
    <tableColumn id="38" xr3:uid="{8B93FCA3-495B-49BB-8273-31AF01368B83}" name="Sisa" dataDxfId="78" dataCellStyle="Comma [0]">
      <calculatedColumnFormula>Q4-AL4</calculatedColumnFormula>
    </tableColumn>
    <tableColumn id="39" xr3:uid="{E92777FB-21B0-4FEC-B74B-99E5CBE0B3F9}" name="Real %2" dataDxfId="77">
      <calculatedColumnFormula>IFERROR(AN4/Q4*100,0)</calculatedColumnFormula>
    </tableColumn>
    <tableColumn id="40" xr3:uid="{AF8769F5-B4D9-4C85-9DA8-FD27BDBB1A6C}" name="Kode Akun" dataDxfId="76">
      <calculatedColumnFormula>_xlfn.TEXTJOIN(".",TRUE,C4,E4,G4,I4,K4,M4,O4)</calculatedColumnFormula>
    </tableColumn>
    <tableColumn id="41" xr3:uid="{3D3B549A-EABA-490D-9DA6-37523724BE61}" name="Status Covid" dataDxfId="75">
      <calculatedColumnFormula>IF(ISNUMBER(SEARCH("COVID",SP2D_GAJI[[#This Row],[Akun]])),"COVID","Non COVID")</calculatedColumnFormula>
    </tableColumn>
    <tableColumn id="42" xr3:uid="{184FBB69-68B1-4E38-891F-51917E4DC587}" name="Status Realisasi" dataDxfId="74">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73">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72"/>
    <tableColumn id="45" xr3:uid="{9C1934D8-99CF-4988-9800-1BFA557120E5}" name="TUP 1" dataDxfId="71"/>
    <tableColumn id="46" xr3:uid="{A4CF8F3D-CD3D-44F3-9820-88903E09EF80}" name="GUP 2" dataDxfId="70"/>
    <tableColumn id="47" xr3:uid="{099E42CD-67D0-44DB-B845-55EC12EB7D6E}" name="GUP 3" dataDxfId="69"/>
    <tableColumn id="48" xr3:uid="{B5E0BACE-F6DB-4087-90C7-B2D17ED966B6}" name="GUP 4" dataDxfId="68"/>
    <tableColumn id="49" xr3:uid="{BDAA27ED-0F52-48FE-B061-0279E351DC40}" name="GUP 5" dataDxfId="67"/>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60" headerRowBorderDxfId="59" tableBorderDxfId="58">
  <autoFilter ref="B234:BH250" xr:uid="{A3F03F6D-6A59-461B-A929-C35C787407F3}"/>
  <tableColumns count="59">
    <tableColumn id="1" xr3:uid="{006731C9-F32D-4A40-8CDB-A1548E10C0D4}" name="KODE" dataDxfId="57"/>
    <tableColumn id="2" xr3:uid="{A9307D7A-2701-4752-B274-B25BEF4C5078}" name="URAIAN" dataDxfId="56"/>
    <tableColumn id="3" xr3:uid="{FCCF3154-C285-471C-AC86-6DCF2BB5907D}" name="VOL" dataDxfId="55"/>
    <tableColumn id="4" xr3:uid="{C6A127B2-6CDD-4E0C-AF9D-730F6DDD09BC}" name="SATUAN" dataDxfId="54"/>
    <tableColumn id="5" xr3:uid="{3F90CE26-DF36-4D37-9C47-12A1CEB8D773}" name="Pagu Revisi" dataDxfId="53" dataCellStyle="Comma [0]"/>
    <tableColumn id="6" xr3:uid="{A2F11568-8A8E-4AFC-9F99-BFB17EAEEC9C}" name="Pagu Semula" dataDxfId="52" dataCellStyle="Comma [0]"/>
    <tableColumn id="7" xr3:uid="{B7EE8BCB-D0ED-4450-8EBB-6FD673560D7C}" name="Blokir AA ke 1" dataDxfId="51" dataCellStyle="Comma [0]"/>
    <tableColumn id="8" xr3:uid="{9EDAF3A8-6D97-400A-848D-D47BF571F43E}" name="Blokir AA ke 2" dataDxfId="50" dataCellStyle="Comma [0]">
      <calculatedColumnFormula>G235-F235</calculatedColumnFormula>
    </tableColumn>
    <tableColumn id="9" xr3:uid="{63315451-3A2B-4613-A63E-C9450FC73D6C}" name="JANUARI" dataDxfId="49" dataCellStyle="Comma [0]"/>
    <tableColumn id="10" xr3:uid="{16EC35FF-13CF-4870-920C-AAB913E770C7}" name="Column4" dataDxfId="48" dataCellStyle="Comma [0]"/>
    <tableColumn id="11" xr3:uid="{729D99E3-0A52-4B2E-A9C0-DE02E05ED840}" name="Column5" dataDxfId="47" dataCellStyle="Comma [0]"/>
    <tableColumn id="12" xr3:uid="{AB374DB6-7598-4C30-A85F-F63F132B7BA1}" name="FEBRUARI" dataDxfId="46" dataCellStyle="Normal 5"/>
    <tableColumn id="13" xr3:uid="{2D1151EC-AD11-4F11-9D1D-698FBA569F26}" name="Column6" dataDxfId="45" dataCellStyle="Comma [0]"/>
    <tableColumn id="14" xr3:uid="{C25F446B-37CA-4C46-8DE3-5CBDF83F99DF}" name="Column7" dataDxfId="44" dataCellStyle="Comma [0]"/>
    <tableColumn id="15" xr3:uid="{2B771376-C41A-4F53-BC5F-03146D6453D2}" name="MARET" dataDxfId="43" dataCellStyle="Normal 5"/>
    <tableColumn id="16" xr3:uid="{26AE15C1-AF2B-46A7-ADBC-F20B8677DE0D}" name="Column8" dataDxfId="42" dataCellStyle="Comma [0]"/>
    <tableColumn id="17" xr3:uid="{DFBDA772-EF7F-41E6-9DFB-E477C75E4388}" name="Column9" dataDxfId="41" dataCellStyle="Comma [0]"/>
    <tableColumn id="18" xr3:uid="{041FDBBB-13D6-40FC-B497-A1E84A4034E8}" name="APRIL" dataDxfId="40" dataCellStyle="Normal 5"/>
    <tableColumn id="19" xr3:uid="{6168E056-C134-418C-BAA8-73541257F097}" name="Column10" dataDxfId="39" dataCellStyle="Comma [0]"/>
    <tableColumn id="20" xr3:uid="{ECE7E801-4FE3-4CB0-B83E-AEDB75DF320F}" name="Column11" dataDxfId="38" dataCellStyle="Comma [0]"/>
    <tableColumn id="21" xr3:uid="{44FEDD28-091B-4680-A5C6-30F0F745EBBE}" name="MEI" dataDxfId="37"/>
    <tableColumn id="22" xr3:uid="{34244EC1-125A-49F5-8D4B-77C41595EB78}" name="Column12" dataDxfId="36" dataCellStyle="Comma [0]"/>
    <tableColumn id="23" xr3:uid="{695AAE0C-3DE2-4C12-A556-529DF387A4B7}" name="Column13" dataDxfId="35" dataCellStyle="Comma [0]"/>
    <tableColumn id="24" xr3:uid="{EE45409D-1AE3-4403-87A9-813634308CF5}" name="JUNI" dataDxfId="34" dataCellStyle="Comma [0]"/>
    <tableColumn id="25" xr3:uid="{5F933D02-7432-46D2-889E-A346FBEB81C1}" name="Column14" dataDxfId="33" dataCellStyle="Comma [0]"/>
    <tableColumn id="26" xr3:uid="{E340073A-FA27-4696-9028-62785F671D51}" name="Column15" dataDxfId="32" dataCellStyle="Comma [0]"/>
    <tableColumn id="27" xr3:uid="{3C80F9B3-4335-4BCB-A2DB-8F873DB578A1}" name="JULI" dataDxfId="31" dataCellStyle="Comma [0]"/>
    <tableColumn id="28" xr3:uid="{0B52D128-430F-4AE8-AF42-C77BCC1DE967}" name="Column16" dataDxfId="30" dataCellStyle="Comma [0]"/>
    <tableColumn id="29" xr3:uid="{9AA400AA-D217-47D3-8A29-9AD35366E1E5}" name="Column17" dataDxfId="29" dataCellStyle="Comma [0]"/>
    <tableColumn id="30" xr3:uid="{7A16243F-CC4F-4632-957C-54DF727D1493}" name="AGUSTUS" dataDxfId="28" dataCellStyle="Comma [0]"/>
    <tableColumn id="31" xr3:uid="{F53FA9C1-6878-4D23-96E5-3E23407112F3}" name="Column18" dataDxfId="27" dataCellStyle="Comma [0]"/>
    <tableColumn id="32" xr3:uid="{56226304-FD99-45E9-B47F-4A0989BC4182}" name="Column19" dataDxfId="26" dataCellStyle="Comma [0]"/>
    <tableColumn id="33" xr3:uid="{918328DE-54FE-4538-8A7A-0C76AA1E939A}" name="SEPTEMBER" dataDxfId="25" dataCellStyle="Comma [0]"/>
    <tableColumn id="34" xr3:uid="{D961E510-3ED4-4CF9-A7AF-9649B976EA3E}" name="Column20" dataDxfId="24" dataCellStyle="Comma [0]"/>
    <tableColumn id="35" xr3:uid="{91DB1DE3-8092-461D-A09A-AE460872B6BA}" name="Column21" dataDxfId="23" dataCellStyle="Comma [0]"/>
    <tableColumn id="36" xr3:uid="{CE58699D-2136-4257-BAD1-7398B982526B}" name="OKTOBER" dataDxfId="22" dataCellStyle="Comma [0]"/>
    <tableColumn id="37" xr3:uid="{1F4E6F0B-F4F1-4921-A7D5-72862BF6A622}" name="Column22" dataDxfId="21" dataCellStyle="Comma [0]"/>
    <tableColumn id="38" xr3:uid="{B76BAD65-739D-4E3A-852D-D26916987757}" name="Column23" dataDxfId="20" dataCellStyle="Comma [0]"/>
    <tableColumn id="39" xr3:uid="{12105BE2-33F4-4402-9A97-62E8F6987E7A}" name="NOVEMBER" dataDxfId="19" dataCellStyle="Comma [0]"/>
    <tableColumn id="40" xr3:uid="{C58384D0-120F-4BEC-B941-E06587266945}" name="Column24" dataDxfId="18" dataCellStyle="Comma [0]"/>
    <tableColumn id="41" xr3:uid="{A058820D-F058-4589-9874-D1A00D172D60}" name="Column25" dataDxfId="17" dataCellStyle="Comma [0]"/>
    <tableColumn id="42" xr3:uid="{CE32C95C-C534-407E-B4B0-C5BE507ACC7B}" name="DESEMBER" dataDxfId="16" dataCellStyle="Comma [0]"/>
    <tableColumn id="43" xr3:uid="{4AA20C6C-166D-40D3-B153-84B32F3DA47E}" name="Column26" dataDxfId="15" dataCellStyle="Comma [0]"/>
    <tableColumn id="44" xr3:uid="{B6199075-DD1D-4379-9C80-D5E0E5D4086B}" name="Column27" dataDxfId="14" dataCellStyle="Comma [0]"/>
    <tableColumn id="45" xr3:uid="{025D8148-41D1-493D-8F91-43A4491832E5}" name="REALISASI" dataDxfId="13" dataCellStyle="Comma [0]">
      <calculatedColumnFormula>SUM(J235:AS235)</calculatedColumnFormula>
    </tableColumn>
    <tableColumn id="46" xr3:uid="{EB91123A-1AE6-419C-99DE-3A8BFD669434}" name="%" dataDxfId="12">
      <calculatedColumnFormula>IFERROR(AT235/F235*100,0)</calculatedColumnFormula>
    </tableColumn>
    <tableColumn id="47" xr3:uid="{B367B8B8-4A10-4559-8042-C79AD776D92F}" name="SISA PAGU" dataDxfId="11">
      <calculatedColumnFormula>F235-AT235</calculatedColumnFormula>
    </tableColumn>
    <tableColumn id="48" xr3:uid="{4447787F-4DC2-4E59-B3FB-02DC54A3FEB4}" name="%28" dataDxfId="10">
      <calculatedColumnFormula>AV235/F235*100</calculatedColumnFormula>
    </tableColumn>
    <tableColumn id="49" xr3:uid="{C7CC6506-6ABE-4181-9F4B-FEC5B702B017}" name="KOORDINATOR" dataDxfId="9"/>
    <tableColumn id="50" xr3:uid="{048FA016-E7FA-4ECE-BABA-429AD0AEF890}" name="Subkoordinator"/>
    <tableColumn id="51" xr3:uid="{B38F358A-82BF-496A-A23D-71F2B98B29E5}" name="Jenis Belanja Barang"/>
    <tableColumn id="52" xr3:uid="{DB80BE10-1DFD-4F7D-BB32-35C9FE353EFD}" name="SPBy" dataDxfId="8" dataCellStyle="Comma [0]"/>
    <tableColumn id="53" xr3:uid="{078C675B-A0F3-404E-848C-5D5DFFD077BC}" name="Column29"/>
    <tableColumn id="54" xr3:uid="{434FFD64-27FE-4383-9669-FEE5F6BE4180}" name="Column30" dataDxfId="7"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2" totalsRowDxfId="1"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4" t="s">
        <v>598</v>
      </c>
      <c r="C1" s="444"/>
      <c r="D1" s="444"/>
      <c r="E1" s="444"/>
      <c r="F1" s="444"/>
      <c r="G1" s="444"/>
      <c r="I1" s="9"/>
    </row>
    <row r="2" spans="1:10" ht="15" x14ac:dyDescent="0.25">
      <c r="B2" s="445" t="s">
        <v>614</v>
      </c>
      <c r="C2" s="445"/>
      <c r="D2" s="445"/>
      <c r="E2" s="445"/>
      <c r="F2" s="445"/>
      <c r="G2" s="445"/>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46" t="s">
        <v>606</v>
      </c>
      <c r="C9" s="448" t="s">
        <v>607</v>
      </c>
      <c r="D9" s="449" t="s">
        <v>608</v>
      </c>
      <c r="E9" s="446" t="s">
        <v>609</v>
      </c>
      <c r="F9" s="449" t="s">
        <v>610</v>
      </c>
      <c r="G9" s="449" t="s">
        <v>611</v>
      </c>
      <c r="I9" s="14"/>
    </row>
    <row r="10" spans="1:10" s="16" customFormat="1" ht="15" x14ac:dyDescent="0.25">
      <c r="A10" s="15" t="s">
        <v>499</v>
      </c>
      <c r="B10" s="447"/>
      <c r="C10" s="447"/>
      <c r="D10" s="447"/>
      <c r="E10" s="450"/>
      <c r="F10" s="447"/>
      <c r="G10" s="447"/>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1" t="s">
        <v>596</v>
      </c>
      <c r="J13" s="442" t="s">
        <v>597</v>
      </c>
    </row>
    <row r="14" spans="1:10" x14ac:dyDescent="0.2">
      <c r="A14" s="7" t="s">
        <v>199</v>
      </c>
      <c r="B14" s="25" t="s">
        <v>194</v>
      </c>
      <c r="C14" s="26" t="s">
        <v>2</v>
      </c>
      <c r="D14" s="25"/>
      <c r="E14" s="55"/>
      <c r="F14" s="27"/>
      <c r="G14" s="27">
        <v>1500000000</v>
      </c>
      <c r="I14" s="441"/>
      <c r="J14" s="442"/>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3"/>
      <c r="J22" s="443"/>
    </row>
    <row r="23" spans="1:10" x14ac:dyDescent="0.2">
      <c r="A23" s="7" t="s">
        <v>208</v>
      </c>
      <c r="B23" s="43" t="s">
        <v>195</v>
      </c>
      <c r="C23" s="44" t="s">
        <v>620</v>
      </c>
      <c r="D23" s="47">
        <v>1</v>
      </c>
      <c r="E23" s="61" t="s">
        <v>9</v>
      </c>
      <c r="F23" s="45">
        <v>1000000</v>
      </c>
      <c r="G23" s="45">
        <v>1000000</v>
      </c>
      <c r="I23" s="443"/>
      <c r="J23" s="443"/>
    </row>
    <row r="24" spans="1:10" x14ac:dyDescent="0.2">
      <c r="A24" s="7" t="s">
        <v>209</v>
      </c>
      <c r="B24" s="40" t="s">
        <v>516</v>
      </c>
      <c r="C24" s="41" t="s">
        <v>11</v>
      </c>
      <c r="D24" s="40"/>
      <c r="E24" s="60"/>
      <c r="F24" s="42"/>
      <c r="G24" s="42">
        <v>9000000</v>
      </c>
      <c r="I24" s="443"/>
      <c r="J24" s="443"/>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4" t="s">
        <v>598</v>
      </c>
      <c r="C1" s="444"/>
      <c r="D1" s="444"/>
      <c r="E1" s="444"/>
      <c r="F1" s="444"/>
      <c r="G1" s="452"/>
      <c r="H1" s="269"/>
      <c r="I1" s="269"/>
      <c r="J1" s="269"/>
      <c r="K1" s="269"/>
    </row>
    <row r="2" spans="1:13" ht="15.75" x14ac:dyDescent="0.25">
      <c r="B2" s="453" t="s">
        <v>4186</v>
      </c>
      <c r="C2" s="453"/>
      <c r="D2" s="453"/>
      <c r="E2" s="453"/>
      <c r="F2" s="453"/>
      <c r="G2" s="454"/>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55" t="s">
        <v>606</v>
      </c>
      <c r="C9" s="456" t="s">
        <v>607</v>
      </c>
      <c r="D9" s="457" t="s">
        <v>608</v>
      </c>
      <c r="E9" s="455" t="s">
        <v>609</v>
      </c>
      <c r="F9" s="457" t="s">
        <v>610</v>
      </c>
      <c r="G9" s="451" t="s">
        <v>3848</v>
      </c>
      <c r="H9" s="451" t="s">
        <v>3849</v>
      </c>
      <c r="I9" s="451" t="s">
        <v>3846</v>
      </c>
      <c r="J9" s="451" t="s">
        <v>3850</v>
      </c>
      <c r="K9" s="451" t="s">
        <v>3846</v>
      </c>
    </row>
    <row r="10" spans="1:13" s="133" customFormat="1" ht="14.25" customHeight="1" x14ac:dyDescent="0.2">
      <c r="A10" s="132" t="s">
        <v>499</v>
      </c>
      <c r="B10" s="447"/>
      <c r="C10" s="447"/>
      <c r="D10" s="450"/>
      <c r="E10" s="450"/>
      <c r="F10" s="447"/>
      <c r="G10" s="447"/>
      <c r="H10" s="451"/>
      <c r="I10" s="451"/>
      <c r="J10" s="451"/>
      <c r="K10" s="451"/>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770" priority="18">
      <formula>NOT(_xlfn.ISFORMULA(G12))</formula>
    </cfRule>
  </conditionalFormatting>
  <conditionalFormatting sqref="B11:K12 K56:K57">
    <cfRule type="expression" dxfId="769" priority="19">
      <formula>AND(#REF!="Ya",#REF!=ROW())</formula>
    </cfRule>
  </conditionalFormatting>
  <conditionalFormatting sqref="B13:J57">
    <cfRule type="expression" dxfId="768" priority="22">
      <formula>AND(#REF!="Ya",#REF!=ROW())</formula>
    </cfRule>
  </conditionalFormatting>
  <conditionalFormatting sqref="K13:K56">
    <cfRule type="expression" dxfId="767" priority="4">
      <formula>AND(#REF!="Ya",#REF!=ROW())</formula>
    </cfRule>
  </conditionalFormatting>
  <conditionalFormatting sqref="I55:I56 I53 I49 I47 I45 I41 I37 I33 I29 I25 I21 I13:I17">
    <cfRule type="expression" dxfId="766" priority="3">
      <formula>AND(#REF!="Ya",#REF!=ROW())</formula>
    </cfRule>
  </conditionalFormatting>
  <conditionalFormatting sqref="J55:J56 J53 J49 J47 J45 J41 J37 J33 J29 J25 J21 J13:J17">
    <cfRule type="expression" dxfId="765" priority="2">
      <formula>AND(#REF!="Ya",#REF!=ROW())</formula>
    </cfRule>
  </conditionalFormatting>
  <conditionalFormatting sqref="K55 K53 K49 K47 K45 K41 K37 K33 K29 K25 K21 K13:K17">
    <cfRule type="expression" dxfId="764"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94" activePane="bottomRight" state="frozen"/>
      <selection activeCell="B1" sqref="B1"/>
      <selection pane="topRight" activeCell="D1" sqref="D1"/>
      <selection pane="bottomLeft" activeCell="B12" sqref="B12"/>
      <selection pane="bottomRight" activeCell="E107" sqref="E107"/>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4" t="s">
        <v>598</v>
      </c>
      <c r="C1" s="444"/>
      <c r="D1" s="444"/>
      <c r="E1" s="444"/>
      <c r="F1" s="444"/>
      <c r="G1" s="452"/>
      <c r="H1" s="234"/>
      <c r="I1" s="234"/>
      <c r="J1" s="234"/>
    </row>
    <row r="2" spans="1:24" ht="15.75" x14ac:dyDescent="0.25">
      <c r="B2" s="453" t="s">
        <v>4012</v>
      </c>
      <c r="C2" s="453"/>
      <c r="D2" s="453"/>
      <c r="E2" s="453"/>
      <c r="F2" s="453"/>
      <c r="G2" s="454"/>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55" t="s">
        <v>606</v>
      </c>
      <c r="C9" s="456" t="s">
        <v>607</v>
      </c>
      <c r="D9" s="457" t="s">
        <v>608</v>
      </c>
      <c r="E9" s="455" t="s">
        <v>609</v>
      </c>
      <c r="F9" s="457" t="s">
        <v>610</v>
      </c>
      <c r="G9" s="451" t="s">
        <v>611</v>
      </c>
      <c r="H9" s="152"/>
      <c r="I9" s="152"/>
      <c r="J9" s="152"/>
      <c r="K9" s="458" t="s">
        <v>3827</v>
      </c>
      <c r="L9" s="458"/>
      <c r="M9" s="458"/>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7"/>
      <c r="C10" s="447"/>
      <c r="D10" s="450"/>
      <c r="E10" s="450"/>
      <c r="F10" s="447"/>
      <c r="G10" s="447"/>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14.2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14.2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763" priority="14">
      <formula>NOT(_xlfn.ISFORMULA(G12))</formula>
    </cfRule>
  </conditionalFormatting>
  <conditionalFormatting sqref="B11:J12 H13:J545">
    <cfRule type="expression" dxfId="762" priority="15">
      <formula>AND(#REF!="Ya",#REF!=ROW())</formula>
    </cfRule>
  </conditionalFormatting>
  <conditionalFormatting sqref="B517:F517 G542:G543 G539:G540 G535 G532 G530 G526:G528 G522:G523 G520 G517:G518 B13:G516">
    <cfRule type="expression" dxfId="761" priority="13">
      <formula>AND($R$4="Ya",$Q$2=ROW())</formula>
    </cfRule>
  </conditionalFormatting>
  <conditionalFormatting sqref="G545">
    <cfRule type="expression" dxfId="760" priority="12">
      <formula>AND($R$4="Ya",$Q$2=ROW())</formula>
    </cfRule>
  </conditionalFormatting>
  <conditionalFormatting sqref="G545 G542:G543 G539:G540 G535 G532 G530 G526:G528 G522:G523 G520 G517:G518">
    <cfRule type="expression" dxfId="759" priority="11">
      <formula>NOT(_xlfn.ISFORMULA(G517))</formula>
    </cfRule>
  </conditionalFormatting>
  <conditionalFormatting sqref="G529">
    <cfRule type="expression" dxfId="758" priority="10">
      <formula>NOT(_xlfn.ISFORMULA(G529))</formula>
    </cfRule>
  </conditionalFormatting>
  <conditionalFormatting sqref="G529">
    <cfRule type="expression" dxfId="757" priority="9">
      <formula>AND($R$4="Ya",$Q$2=ROW())</formula>
    </cfRule>
  </conditionalFormatting>
  <conditionalFormatting sqref="G519">
    <cfRule type="expression" dxfId="756" priority="8">
      <formula>NOT(_xlfn.ISFORMULA(G519))</formula>
    </cfRule>
  </conditionalFormatting>
  <conditionalFormatting sqref="G519">
    <cfRule type="expression" dxfId="755" priority="7">
      <formula>AND($R$4="Ya",$Q$2=ROW())</formula>
    </cfRule>
  </conditionalFormatting>
  <conditionalFormatting sqref="G544">
    <cfRule type="expression" dxfId="754" priority="6">
      <formula>NOT(_xlfn.ISFORMULA(G544))</formula>
    </cfRule>
  </conditionalFormatting>
  <conditionalFormatting sqref="G544">
    <cfRule type="expression" dxfId="753" priority="5">
      <formula>AND($R$4="Ya",$Q$2=ROW())</formula>
    </cfRule>
  </conditionalFormatting>
  <conditionalFormatting sqref="G541">
    <cfRule type="expression" dxfId="752" priority="4">
      <formula>NOT(_xlfn.ISFORMULA(G541))</formula>
    </cfRule>
  </conditionalFormatting>
  <conditionalFormatting sqref="G541">
    <cfRule type="expression" dxfId="751" priority="3">
      <formula>AND($R$4="Ya",$Q$2=ROW())</formula>
    </cfRule>
  </conditionalFormatting>
  <conditionalFormatting sqref="G538">
    <cfRule type="expression" dxfId="750" priority="2">
      <formula>NOT(_xlfn.ISFORMULA(G538))</formula>
    </cfRule>
  </conditionalFormatting>
  <conditionalFormatting sqref="G538">
    <cfRule type="expression" dxfId="74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4" t="s">
        <v>598</v>
      </c>
      <c r="C1" s="444"/>
      <c r="D1" s="444"/>
      <c r="E1" s="444"/>
      <c r="F1" s="444"/>
      <c r="G1" s="452"/>
      <c r="H1" s="158"/>
      <c r="I1" s="177"/>
      <c r="J1" s="177"/>
    </row>
    <row r="2" spans="1:24" ht="15.75" x14ac:dyDescent="0.25">
      <c r="B2" s="453" t="s">
        <v>3826</v>
      </c>
      <c r="C2" s="453"/>
      <c r="D2" s="453"/>
      <c r="E2" s="453"/>
      <c r="F2" s="453"/>
      <c r="G2" s="454"/>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55" t="s">
        <v>606</v>
      </c>
      <c r="C9" s="456" t="s">
        <v>607</v>
      </c>
      <c r="D9" s="457" t="s">
        <v>608</v>
      </c>
      <c r="E9" s="455" t="s">
        <v>609</v>
      </c>
      <c r="F9" s="457" t="s">
        <v>610</v>
      </c>
      <c r="G9" s="451" t="s">
        <v>611</v>
      </c>
      <c r="H9" s="152"/>
      <c r="I9" s="152"/>
      <c r="J9" s="152"/>
      <c r="K9" s="458" t="s">
        <v>3827</v>
      </c>
      <c r="L9" s="458"/>
      <c r="M9" s="458"/>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7"/>
      <c r="C10" s="447"/>
      <c r="D10" s="450"/>
      <c r="E10" s="450"/>
      <c r="F10" s="447"/>
      <c r="G10" s="447"/>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14.2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748" priority="14">
      <formula>NOT(_xlfn.ISFORMULA(G12))</formula>
    </cfRule>
  </conditionalFormatting>
  <conditionalFormatting sqref="B11:J12 H13:J589">
    <cfRule type="expression" dxfId="747" priority="15">
      <formula>AND(#REF!="Ya",#REF!=ROW())</formula>
    </cfRule>
  </conditionalFormatting>
  <conditionalFormatting sqref="B561:F561 G586:G587 G583:G584 G579 G576 G574 G570:G572 G566:G567 G564 G561:G562 B13:G560">
    <cfRule type="expression" dxfId="746" priority="13">
      <formula>AND($R$4="Ya",$Q$2=ROW())</formula>
    </cfRule>
  </conditionalFormatting>
  <conditionalFormatting sqref="G589">
    <cfRule type="expression" dxfId="745" priority="12">
      <formula>AND($R$4="Ya",$Q$2=ROW())</formula>
    </cfRule>
  </conditionalFormatting>
  <conditionalFormatting sqref="G589 G586:G587 G583:G584 G579 G576 G574 G570:G572 G566:G567 G564 G561:G562">
    <cfRule type="expression" dxfId="744" priority="11">
      <formula>NOT(_xlfn.ISFORMULA(G561))</formula>
    </cfRule>
  </conditionalFormatting>
  <conditionalFormatting sqref="G573">
    <cfRule type="expression" dxfId="743" priority="10">
      <formula>NOT(_xlfn.ISFORMULA(G573))</formula>
    </cfRule>
  </conditionalFormatting>
  <conditionalFormatting sqref="G573">
    <cfRule type="expression" dxfId="742" priority="9">
      <formula>AND($R$4="Ya",$Q$2=ROW())</formula>
    </cfRule>
  </conditionalFormatting>
  <conditionalFormatting sqref="G563">
    <cfRule type="expression" dxfId="741" priority="8">
      <formula>NOT(_xlfn.ISFORMULA(G563))</formula>
    </cfRule>
  </conditionalFormatting>
  <conditionalFormatting sqref="G563">
    <cfRule type="expression" dxfId="740" priority="7">
      <formula>AND($R$4="Ya",$Q$2=ROW())</formula>
    </cfRule>
  </conditionalFormatting>
  <conditionalFormatting sqref="G588">
    <cfRule type="expression" dxfId="739" priority="6">
      <formula>NOT(_xlfn.ISFORMULA(G588))</formula>
    </cfRule>
  </conditionalFormatting>
  <conditionalFormatting sqref="G588">
    <cfRule type="expression" dxfId="738" priority="5">
      <formula>AND($R$4="Ya",$Q$2=ROW())</formula>
    </cfRule>
  </conditionalFormatting>
  <conditionalFormatting sqref="G585">
    <cfRule type="expression" dxfId="737" priority="4">
      <formula>NOT(_xlfn.ISFORMULA(G585))</formula>
    </cfRule>
  </conditionalFormatting>
  <conditionalFormatting sqref="G585">
    <cfRule type="expression" dxfId="736" priority="3">
      <formula>AND($R$4="Ya",$Q$2=ROW())</formula>
    </cfRule>
  </conditionalFormatting>
  <conditionalFormatting sqref="G582">
    <cfRule type="expression" dxfId="735" priority="2">
      <formula>NOT(_xlfn.ISFORMULA(G582))</formula>
    </cfRule>
  </conditionalFormatting>
  <conditionalFormatting sqref="G582">
    <cfRule type="expression" dxfId="73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4" t="s">
        <v>598</v>
      </c>
      <c r="C1" s="444"/>
      <c r="D1" s="444"/>
      <c r="E1" s="444"/>
      <c r="F1" s="444"/>
      <c r="G1" s="452"/>
      <c r="H1" s="150"/>
    </row>
    <row r="2" spans="1:22" ht="15.75" x14ac:dyDescent="0.25">
      <c r="B2" s="453" t="s">
        <v>3826</v>
      </c>
      <c r="C2" s="453"/>
      <c r="D2" s="453"/>
      <c r="E2" s="453"/>
      <c r="F2" s="453"/>
      <c r="G2" s="454"/>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55" t="s">
        <v>606</v>
      </c>
      <c r="C9" s="456" t="s">
        <v>607</v>
      </c>
      <c r="D9" s="457" t="s">
        <v>608</v>
      </c>
      <c r="E9" s="455" t="s">
        <v>609</v>
      </c>
      <c r="F9" s="457" t="s">
        <v>610</v>
      </c>
      <c r="G9" s="451" t="s">
        <v>611</v>
      </c>
      <c r="H9" s="152"/>
      <c r="I9" s="458" t="s">
        <v>3827</v>
      </c>
      <c r="J9" s="458"/>
      <c r="K9" s="458"/>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47"/>
      <c r="C10" s="447"/>
      <c r="D10" s="450"/>
      <c r="E10" s="450"/>
      <c r="F10" s="447"/>
      <c r="G10" s="447"/>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14.2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733" priority="15">
      <formula>NOT(_xlfn.ISFORMULA(G12))</formula>
    </cfRule>
  </conditionalFormatting>
  <conditionalFormatting sqref="B11:H12 H13:H589">
    <cfRule type="expression" dxfId="732" priority="17">
      <formula>AND(#REF!="Ya",#REF!=ROW())</formula>
    </cfRule>
  </conditionalFormatting>
  <conditionalFormatting sqref="B561:F561 G586:G587 G583:G584 G579 G576 G574 G570:G572 G566:G567 G564 G561:G562 B13:G560">
    <cfRule type="expression" dxfId="731" priority="14">
      <formula>AND($P$4="Ya",$O$2=ROW())</formula>
    </cfRule>
  </conditionalFormatting>
  <conditionalFormatting sqref="G589">
    <cfRule type="expression" dxfId="730" priority="12">
      <formula>AND($P$4="Ya",$O$2=ROW())</formula>
    </cfRule>
  </conditionalFormatting>
  <conditionalFormatting sqref="G589 G586:G587 G583:G584 G579 G576 G574 G570:G572 G566:G567 G564 G561:G562">
    <cfRule type="expression" dxfId="729" priority="11">
      <formula>NOT(_xlfn.ISFORMULA(G561))</formula>
    </cfRule>
  </conditionalFormatting>
  <conditionalFormatting sqref="G573">
    <cfRule type="expression" dxfId="728" priority="10">
      <formula>NOT(_xlfn.ISFORMULA(G573))</formula>
    </cfRule>
  </conditionalFormatting>
  <conditionalFormatting sqref="G573">
    <cfRule type="expression" dxfId="727" priority="9">
      <formula>AND($P$4="Ya",$O$2=ROW())</formula>
    </cfRule>
  </conditionalFormatting>
  <conditionalFormatting sqref="G563">
    <cfRule type="expression" dxfId="726" priority="8">
      <formula>NOT(_xlfn.ISFORMULA(G563))</formula>
    </cfRule>
  </conditionalFormatting>
  <conditionalFormatting sqref="G563">
    <cfRule type="expression" dxfId="725" priority="7">
      <formula>AND($P$4="Ya",$O$2=ROW())</formula>
    </cfRule>
  </conditionalFormatting>
  <conditionalFormatting sqref="G588">
    <cfRule type="expression" dxfId="724" priority="6">
      <formula>NOT(_xlfn.ISFORMULA(G588))</formula>
    </cfRule>
  </conditionalFormatting>
  <conditionalFormatting sqref="G588">
    <cfRule type="expression" dxfId="723" priority="5">
      <formula>AND($P$4="Ya",$O$2=ROW())</formula>
    </cfRule>
  </conditionalFormatting>
  <conditionalFormatting sqref="G585">
    <cfRule type="expression" dxfId="722" priority="4">
      <formula>NOT(_xlfn.ISFORMULA(G585))</formula>
    </cfRule>
  </conditionalFormatting>
  <conditionalFormatting sqref="G585">
    <cfRule type="expression" dxfId="721" priority="3">
      <formula>AND($P$4="Ya",$O$2=ROW())</formula>
    </cfRule>
  </conditionalFormatting>
  <conditionalFormatting sqref="G582">
    <cfRule type="expression" dxfId="720" priority="2">
      <formula>NOT(_xlfn.ISFORMULA(G582))</formula>
    </cfRule>
  </conditionalFormatting>
  <conditionalFormatting sqref="G582">
    <cfRule type="expression" dxfId="719"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70" zoomScaleNormal="70" workbookViewId="0">
      <pane ySplit="10" topLeftCell="A116" activePane="bottomLeft" state="frozen"/>
      <selection pane="bottomLeft" activeCell="K8" sqref="K8"/>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2940382304</v>
      </c>
    </row>
    <row r="8" spans="2:20" ht="15" x14ac:dyDescent="0.2">
      <c r="E8" s="283"/>
      <c r="F8" s="282"/>
      <c r="K8" s="285"/>
      <c r="N8" s="329">
        <v>52</v>
      </c>
      <c r="O8" s="328">
        <f>SUMIF(Table1[all],N8,Table1[Nilai SP2D])</f>
        <v>5413122932</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56" t="s">
        <v>4269</v>
      </c>
      <c r="E12" s="292" t="s">
        <v>4270</v>
      </c>
      <c r="F12" s="257">
        <v>203627955</v>
      </c>
      <c r="G12" s="305" t="s">
        <v>4191</v>
      </c>
      <c r="H12" s="287" t="s">
        <v>4271</v>
      </c>
      <c r="I12" s="256" t="s">
        <v>4272</v>
      </c>
      <c r="J12" s="256" t="s">
        <v>4053</v>
      </c>
      <c r="K12" s="259" t="s">
        <v>4273</v>
      </c>
      <c r="L12" s="321" t="s">
        <v>576</v>
      </c>
      <c r="M12" s="321" t="s">
        <v>4340</v>
      </c>
      <c r="N12" s="334" t="s">
        <v>4529</v>
      </c>
      <c r="O12" s="260">
        <v>51</v>
      </c>
    </row>
    <row r="13" spans="2:20" ht="69.95" customHeight="1" x14ac:dyDescent="0.2">
      <c r="B13" s="260">
        <v>3</v>
      </c>
      <c r="C13" s="260">
        <v>2</v>
      </c>
      <c r="D13" s="256" t="s">
        <v>4265</v>
      </c>
      <c r="E13" s="292" t="s">
        <v>4266</v>
      </c>
      <c r="F13" s="257">
        <v>233065910</v>
      </c>
      <c r="G13" s="305" t="s">
        <v>4039</v>
      </c>
      <c r="H13" s="287" t="s">
        <v>4267</v>
      </c>
      <c r="I13" s="256" t="s">
        <v>4266</v>
      </c>
      <c r="J13" s="256" t="s">
        <v>4039</v>
      </c>
      <c r="K13" s="259" t="s">
        <v>4268</v>
      </c>
      <c r="L13" s="321" t="s">
        <v>576</v>
      </c>
      <c r="M13" s="321" t="s">
        <v>4340</v>
      </c>
      <c r="N13" s="334" t="s">
        <v>4529</v>
      </c>
      <c r="O13" s="260">
        <v>51</v>
      </c>
    </row>
    <row r="14" spans="2:20" ht="69.95" customHeight="1" x14ac:dyDescent="0.2">
      <c r="B14" s="260">
        <v>4</v>
      </c>
      <c r="C14" s="260">
        <v>2</v>
      </c>
      <c r="D14" s="256" t="s">
        <v>4259</v>
      </c>
      <c r="E14" s="292" t="s">
        <v>4255</v>
      </c>
      <c r="F14" s="257">
        <v>3208063</v>
      </c>
      <c r="G14" s="305" t="s">
        <v>4223</v>
      </c>
      <c r="H14" s="287" t="s">
        <v>4260</v>
      </c>
      <c r="I14" s="256" t="s">
        <v>4257</v>
      </c>
      <c r="J14" s="256" t="s">
        <v>4039</v>
      </c>
      <c r="K14" s="259" t="s">
        <v>4261</v>
      </c>
      <c r="L14" s="321" t="s">
        <v>576</v>
      </c>
      <c r="M14" s="321" t="s">
        <v>4340</v>
      </c>
      <c r="N14" s="334" t="s">
        <v>4529</v>
      </c>
      <c r="O14" s="260">
        <v>51</v>
      </c>
    </row>
    <row r="15" spans="2:20" ht="69.95" customHeight="1" x14ac:dyDescent="0.2">
      <c r="B15" s="260">
        <v>5</v>
      </c>
      <c r="C15" s="260">
        <v>2</v>
      </c>
      <c r="D15" s="256" t="s">
        <v>4262</v>
      </c>
      <c r="E15" s="292" t="s">
        <v>4255</v>
      </c>
      <c r="F15" s="257">
        <v>31515000</v>
      </c>
      <c r="G15" s="305" t="s">
        <v>4207</v>
      </c>
      <c r="H15" s="287" t="s">
        <v>4263</v>
      </c>
      <c r="I15" s="256" t="s">
        <v>4257</v>
      </c>
      <c r="J15" s="256" t="s">
        <v>4039</v>
      </c>
      <c r="K15" s="259" t="s">
        <v>4264</v>
      </c>
      <c r="L15" s="321" t="s">
        <v>576</v>
      </c>
      <c r="M15" s="321" t="s">
        <v>4340</v>
      </c>
      <c r="N15" s="334" t="s">
        <v>4529</v>
      </c>
      <c r="O15" s="260">
        <v>51</v>
      </c>
    </row>
    <row r="16" spans="2:20" ht="69.95" customHeight="1" x14ac:dyDescent="0.2">
      <c r="B16" s="260">
        <v>6</v>
      </c>
      <c r="C16" s="260">
        <v>2</v>
      </c>
      <c r="D16" s="260" t="s">
        <v>4034</v>
      </c>
      <c r="E16" s="291" t="s">
        <v>4035</v>
      </c>
      <c r="F16" s="288">
        <v>63640000</v>
      </c>
      <c r="G16" s="300" t="s">
        <v>4036</v>
      </c>
      <c r="H16" s="261" t="s">
        <v>4037</v>
      </c>
      <c r="I16" s="260" t="s">
        <v>4038</v>
      </c>
      <c r="J16" s="260" t="s">
        <v>4039</v>
      </c>
      <c r="K16" s="262" t="s">
        <v>4040</v>
      </c>
      <c r="L16" s="321" t="s">
        <v>576</v>
      </c>
      <c r="M16" s="321" t="s">
        <v>4338</v>
      </c>
      <c r="N16" s="334" t="s">
        <v>4530</v>
      </c>
      <c r="O16" s="260">
        <v>52</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56" t="s">
        <v>4254</v>
      </c>
      <c r="E19" s="292" t="s">
        <v>4049</v>
      </c>
      <c r="F19" s="257">
        <v>211929456</v>
      </c>
      <c r="G19" s="305" t="s">
        <v>4191</v>
      </c>
      <c r="H19" s="287" t="s">
        <v>4256</v>
      </c>
      <c r="I19" s="256" t="s">
        <v>4257</v>
      </c>
      <c r="J19" s="256" t="s">
        <v>4053</v>
      </c>
      <c r="K19" s="259" t="s">
        <v>4258</v>
      </c>
      <c r="L19" s="321" t="s">
        <v>576</v>
      </c>
      <c r="M19" s="321" t="s">
        <v>4340</v>
      </c>
      <c r="N19" s="334" t="s">
        <v>4529</v>
      </c>
      <c r="O19" s="260">
        <v>51</v>
      </c>
    </row>
    <row r="20" spans="2:15" ht="69.95" customHeight="1" x14ac:dyDescent="0.2">
      <c r="B20" s="260">
        <v>10</v>
      </c>
      <c r="C20" s="260">
        <v>3</v>
      </c>
      <c r="D20" s="256" t="s">
        <v>4251</v>
      </c>
      <c r="E20" s="292" t="s">
        <v>4056</v>
      </c>
      <c r="F20" s="257">
        <v>8028903</v>
      </c>
      <c r="G20" s="305" t="s">
        <v>4039</v>
      </c>
      <c r="H20" s="287" t="s">
        <v>4252</v>
      </c>
      <c r="I20" s="256" t="s">
        <v>4059</v>
      </c>
      <c r="J20" s="256" t="s">
        <v>4039</v>
      </c>
      <c r="K20" s="259" t="s">
        <v>4253</v>
      </c>
      <c r="L20" s="321" t="s">
        <v>576</v>
      </c>
      <c r="M20" s="321" t="s">
        <v>4340</v>
      </c>
      <c r="N20" s="334" t="s">
        <v>4529</v>
      </c>
      <c r="O20" s="260">
        <v>51</v>
      </c>
    </row>
    <row r="21" spans="2:15" ht="69.95" customHeight="1" x14ac:dyDescent="0.2">
      <c r="B21" s="260">
        <v>11</v>
      </c>
      <c r="C21" s="260">
        <v>3</v>
      </c>
      <c r="D21" s="256" t="s">
        <v>4243</v>
      </c>
      <c r="E21" s="292" t="s">
        <v>4244</v>
      </c>
      <c r="F21" s="257">
        <v>237145862</v>
      </c>
      <c r="G21" s="305" t="s">
        <v>4039</v>
      </c>
      <c r="H21" s="287" t="s">
        <v>4245</v>
      </c>
      <c r="I21" s="256" t="s">
        <v>4246</v>
      </c>
      <c r="J21" s="256" t="s">
        <v>4039</v>
      </c>
      <c r="K21" s="259" t="s">
        <v>4247</v>
      </c>
      <c r="L21" s="321" t="s">
        <v>576</v>
      </c>
      <c r="M21" s="321" t="s">
        <v>4340</v>
      </c>
      <c r="N21" s="334" t="s">
        <v>4529</v>
      </c>
      <c r="O21" s="260">
        <v>51</v>
      </c>
    </row>
    <row r="22" spans="2:15" ht="69.95" customHeight="1" x14ac:dyDescent="0.2">
      <c r="B22" s="260">
        <v>12</v>
      </c>
      <c r="C22" s="260">
        <v>3</v>
      </c>
      <c r="D22" s="256" t="s">
        <v>4248</v>
      </c>
      <c r="E22" s="292" t="s">
        <v>4244</v>
      </c>
      <c r="F22" s="257">
        <v>24572000</v>
      </c>
      <c r="G22" s="305" t="s">
        <v>4207</v>
      </c>
      <c r="H22" s="287" t="s">
        <v>4249</v>
      </c>
      <c r="I22" s="256" t="s">
        <v>4246</v>
      </c>
      <c r="J22" s="256" t="s">
        <v>4039</v>
      </c>
      <c r="K22" s="259" t="s">
        <v>4250</v>
      </c>
      <c r="L22" s="321" t="s">
        <v>576</v>
      </c>
      <c r="M22" s="321" t="s">
        <v>4340</v>
      </c>
      <c r="N22" s="334" t="s">
        <v>4529</v>
      </c>
      <c r="O22" s="260">
        <v>51</v>
      </c>
    </row>
    <row r="23" spans="2:15" ht="69.95" customHeight="1" x14ac:dyDescent="0.2">
      <c r="B23" s="260">
        <v>13</v>
      </c>
      <c r="C23" s="260">
        <v>3</v>
      </c>
      <c r="D23" s="256" t="s">
        <v>4233</v>
      </c>
      <c r="E23" s="292" t="s">
        <v>4069</v>
      </c>
      <c r="F23" s="257">
        <v>7294465</v>
      </c>
      <c r="G23" s="305" t="s">
        <v>4223</v>
      </c>
      <c r="H23" s="287" t="s">
        <v>4234</v>
      </c>
      <c r="I23" s="256" t="s">
        <v>4228</v>
      </c>
      <c r="J23" s="256" t="s">
        <v>4039</v>
      </c>
      <c r="K23" s="259" t="s">
        <v>4235</v>
      </c>
      <c r="L23" s="321" t="s">
        <v>576</v>
      </c>
      <c r="M23" s="321" t="s">
        <v>4340</v>
      </c>
      <c r="N23" s="334" t="s">
        <v>4529</v>
      </c>
      <c r="O23" s="260">
        <v>51</v>
      </c>
    </row>
    <row r="24" spans="2:15" ht="69.95" customHeight="1" x14ac:dyDescent="0.2">
      <c r="B24" s="260">
        <v>14</v>
      </c>
      <c r="C24" s="260">
        <v>3</v>
      </c>
      <c r="D24" s="256" t="s">
        <v>4230</v>
      </c>
      <c r="E24" s="292" t="s">
        <v>4069</v>
      </c>
      <c r="F24" s="257">
        <v>257904</v>
      </c>
      <c r="G24" s="305" t="s">
        <v>4219</v>
      </c>
      <c r="H24" s="287" t="s">
        <v>4231</v>
      </c>
      <c r="I24" s="256" t="s">
        <v>4228</v>
      </c>
      <c r="J24" s="256" t="s">
        <v>4039</v>
      </c>
      <c r="K24" s="259" t="s">
        <v>4232</v>
      </c>
      <c r="L24" s="321" t="s">
        <v>576</v>
      </c>
      <c r="M24" s="321" t="s">
        <v>4340</v>
      </c>
      <c r="N24" s="334" t="s">
        <v>4529</v>
      </c>
      <c r="O24" s="260">
        <v>51</v>
      </c>
    </row>
    <row r="25" spans="2:15" ht="69.95" customHeight="1" x14ac:dyDescent="0.2">
      <c r="B25" s="260">
        <v>15</v>
      </c>
      <c r="C25" s="260">
        <v>3</v>
      </c>
      <c r="D25" s="256" t="s">
        <v>4236</v>
      </c>
      <c r="E25" s="292" t="s">
        <v>4069</v>
      </c>
      <c r="F25" s="257">
        <v>595396</v>
      </c>
      <c r="G25" s="305" t="s">
        <v>4219</v>
      </c>
      <c r="H25" s="287" t="s">
        <v>4237</v>
      </c>
      <c r="I25" s="256" t="s">
        <v>4228</v>
      </c>
      <c r="J25" s="256" t="s">
        <v>4039</v>
      </c>
      <c r="K25" s="259" t="s">
        <v>4238</v>
      </c>
      <c r="L25" s="321" t="s">
        <v>576</v>
      </c>
      <c r="M25" s="321" t="s">
        <v>4340</v>
      </c>
      <c r="N25" s="334" t="s">
        <v>4529</v>
      </c>
      <c r="O25" s="260">
        <v>51</v>
      </c>
    </row>
    <row r="26" spans="2:15" ht="69.95" customHeight="1" x14ac:dyDescent="0.2">
      <c r="B26" s="260">
        <v>16</v>
      </c>
      <c r="C26" s="260">
        <v>3</v>
      </c>
      <c r="D26" s="256" t="s">
        <v>4226</v>
      </c>
      <c r="E26" s="292" t="s">
        <v>4069</v>
      </c>
      <c r="F26" s="257">
        <v>3422128</v>
      </c>
      <c r="G26" s="305" t="s">
        <v>4219</v>
      </c>
      <c r="H26" s="287" t="s">
        <v>4227</v>
      </c>
      <c r="I26" s="256" t="s">
        <v>4228</v>
      </c>
      <c r="J26" s="256" t="s">
        <v>4039</v>
      </c>
      <c r="K26" s="259" t="s">
        <v>4229</v>
      </c>
      <c r="L26" s="321" t="s">
        <v>576</v>
      </c>
      <c r="M26" s="321" t="s">
        <v>4340</v>
      </c>
      <c r="N26" s="334" t="s">
        <v>4529</v>
      </c>
      <c r="O26" s="260">
        <v>51</v>
      </c>
    </row>
    <row r="27" spans="2:15" ht="69.95" customHeight="1" x14ac:dyDescent="0.2">
      <c r="B27" s="260">
        <v>17</v>
      </c>
      <c r="C27" s="260">
        <v>3</v>
      </c>
      <c r="D27" s="286" t="s">
        <v>4168</v>
      </c>
      <c r="E27" s="291" t="s">
        <v>4049</v>
      </c>
      <c r="F27" s="288">
        <v>63640000</v>
      </c>
      <c r="G27" s="300" t="s">
        <v>4050</v>
      </c>
      <c r="H27" s="261" t="s">
        <v>4051</v>
      </c>
      <c r="I27" s="260" t="s">
        <v>4052</v>
      </c>
      <c r="J27" s="260" t="s">
        <v>4053</v>
      </c>
      <c r="K27" s="262" t="s">
        <v>4054</v>
      </c>
      <c r="L27" s="321" t="s">
        <v>576</v>
      </c>
      <c r="M27" s="321" t="s">
        <v>4338</v>
      </c>
      <c r="N27" s="334" t="s">
        <v>4530</v>
      </c>
      <c r="O27" s="260">
        <v>52</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4109</v>
      </c>
      <c r="E45" s="291" t="s">
        <v>4110</v>
      </c>
      <c r="F45" s="288">
        <v>830060208</v>
      </c>
      <c r="G45" s="304" t="s">
        <v>4039</v>
      </c>
      <c r="H45" s="261" t="s">
        <v>4111</v>
      </c>
      <c r="I45" s="260" t="s">
        <v>4112</v>
      </c>
      <c r="J45" s="260" t="s">
        <v>4039</v>
      </c>
      <c r="K45" s="262" t="s">
        <v>4113</v>
      </c>
      <c r="L45" s="321" t="s">
        <v>542</v>
      </c>
      <c r="M45" s="321" t="s">
        <v>4339</v>
      </c>
      <c r="N45" s="334" t="s">
        <v>4528</v>
      </c>
      <c r="O45" s="260">
        <v>52</v>
      </c>
    </row>
    <row r="46" spans="2:15" ht="69.95" customHeight="1" x14ac:dyDescent="0.2">
      <c r="B46" s="260">
        <v>36</v>
      </c>
      <c r="C46" s="260">
        <v>4</v>
      </c>
      <c r="D46" s="260" t="s">
        <v>4114</v>
      </c>
      <c r="E46" s="291" t="s">
        <v>4115</v>
      </c>
      <c r="F46" s="288">
        <v>5925000</v>
      </c>
      <c r="G46" s="304" t="s">
        <v>4039</v>
      </c>
      <c r="H46" s="261" t="s">
        <v>4116</v>
      </c>
      <c r="I46" s="260" t="s">
        <v>4110</v>
      </c>
      <c r="J46" s="260" t="s">
        <v>4039</v>
      </c>
      <c r="K46" s="262" t="s">
        <v>4117</v>
      </c>
      <c r="L46" s="321" t="s">
        <v>542</v>
      </c>
      <c r="M46" s="321" t="s">
        <v>4339</v>
      </c>
      <c r="N46" s="334" t="s">
        <v>4528</v>
      </c>
      <c r="O46" s="260">
        <v>52</v>
      </c>
    </row>
    <row r="47" spans="2:15" ht="69.95" customHeight="1" x14ac:dyDescent="0.2">
      <c r="B47" s="260">
        <v>37</v>
      </c>
      <c r="C47" s="260">
        <v>4</v>
      </c>
      <c r="D47" s="260" t="s">
        <v>4118</v>
      </c>
      <c r="E47" s="291" t="s">
        <v>4115</v>
      </c>
      <c r="F47" s="288">
        <v>5925000</v>
      </c>
      <c r="G47" s="304" t="s">
        <v>4039</v>
      </c>
      <c r="H47" s="261" t="s">
        <v>4119</v>
      </c>
      <c r="I47" s="260" t="s">
        <v>4110</v>
      </c>
      <c r="J47" s="260" t="s">
        <v>4039</v>
      </c>
      <c r="K47" s="262" t="s">
        <v>4120</v>
      </c>
      <c r="L47" s="321" t="s">
        <v>542</v>
      </c>
      <c r="M47" s="321" t="s">
        <v>4339</v>
      </c>
      <c r="N47" s="334" t="s">
        <v>4528</v>
      </c>
      <c r="O47" s="260">
        <v>52</v>
      </c>
    </row>
    <row r="48" spans="2:15" ht="69.95" customHeight="1" x14ac:dyDescent="0.2">
      <c r="B48" s="260">
        <v>38</v>
      </c>
      <c r="C48" s="260">
        <v>4</v>
      </c>
      <c r="D48" s="256" t="s">
        <v>4139</v>
      </c>
      <c r="E48" s="292" t="s">
        <v>4138</v>
      </c>
      <c r="F48" s="257">
        <v>577980144</v>
      </c>
      <c r="G48" s="304" t="s">
        <v>4039</v>
      </c>
      <c r="H48" s="256" t="s">
        <v>4148</v>
      </c>
      <c r="I48" s="256" t="s">
        <v>4137</v>
      </c>
      <c r="J48" s="256" t="s">
        <v>4039</v>
      </c>
      <c r="K48" s="259" t="s">
        <v>4149</v>
      </c>
      <c r="L48" s="321" t="s">
        <v>542</v>
      </c>
      <c r="M48" s="321" t="s">
        <v>4339</v>
      </c>
      <c r="N48" s="334" t="s">
        <v>4528</v>
      </c>
      <c r="O48" s="260">
        <v>52</v>
      </c>
    </row>
    <row r="49" spans="2:15" ht="69.95" customHeight="1" x14ac:dyDescent="0.2">
      <c r="B49" s="260">
        <v>39</v>
      </c>
      <c r="C49" s="260">
        <v>4</v>
      </c>
      <c r="D49" s="287" t="s">
        <v>4169</v>
      </c>
      <c r="E49" s="293" t="s">
        <v>4170</v>
      </c>
      <c r="F49" s="288">
        <v>11850000</v>
      </c>
      <c r="G49" s="304" t="s">
        <v>4039</v>
      </c>
      <c r="H49" s="287" t="s">
        <v>4171</v>
      </c>
      <c r="I49" s="287" t="s">
        <v>4172</v>
      </c>
      <c r="J49" s="287" t="s">
        <v>4039</v>
      </c>
      <c r="K49" s="289" t="s">
        <v>4173</v>
      </c>
      <c r="L49" s="321" t="s">
        <v>542</v>
      </c>
      <c r="M49" s="321" t="s">
        <v>4339</v>
      </c>
      <c r="N49" s="334" t="s">
        <v>4528</v>
      </c>
      <c r="O49" s="260">
        <v>52</v>
      </c>
    </row>
    <row r="50" spans="2:15" ht="69.95" customHeight="1" x14ac:dyDescent="0.2">
      <c r="B50" s="260">
        <v>40</v>
      </c>
      <c r="C50" s="260">
        <v>4</v>
      </c>
      <c r="D50" s="287" t="s">
        <v>4180</v>
      </c>
      <c r="E50" s="293" t="s">
        <v>4170</v>
      </c>
      <c r="F50" s="288">
        <v>11850000</v>
      </c>
      <c r="G50" s="304" t="s">
        <v>4039</v>
      </c>
      <c r="H50" s="287" t="s">
        <v>4181</v>
      </c>
      <c r="I50" s="287" t="s">
        <v>4172</v>
      </c>
      <c r="J50" s="287" t="s">
        <v>4039</v>
      </c>
      <c r="K50" s="289" t="s">
        <v>4182</v>
      </c>
      <c r="L50" s="321" t="s">
        <v>542</v>
      </c>
      <c r="M50" s="321" t="s">
        <v>4339</v>
      </c>
      <c r="N50" s="334" t="s">
        <v>4528</v>
      </c>
      <c r="O50" s="260">
        <v>52</v>
      </c>
    </row>
    <row r="51" spans="2:15" ht="69.95" customHeight="1" x14ac:dyDescent="0.2">
      <c r="B51" s="260">
        <v>41</v>
      </c>
      <c r="C51" s="260">
        <v>4</v>
      </c>
      <c r="D51" s="256" t="s">
        <v>4292</v>
      </c>
      <c r="E51" s="292" t="s">
        <v>4279</v>
      </c>
      <c r="F51" s="257">
        <v>5925000</v>
      </c>
      <c r="G51" s="304" t="s">
        <v>4039</v>
      </c>
      <c r="H51" s="256" t="s">
        <v>4293</v>
      </c>
      <c r="I51" s="256" t="s">
        <v>4281</v>
      </c>
      <c r="J51" s="256" t="s">
        <v>4039</v>
      </c>
      <c r="K51" s="259" t="s">
        <v>4294</v>
      </c>
      <c r="L51" s="321" t="s">
        <v>542</v>
      </c>
      <c r="M51" s="321" t="s">
        <v>4339</v>
      </c>
      <c r="N51" s="334" t="s">
        <v>4528</v>
      </c>
      <c r="O51" s="260">
        <v>52</v>
      </c>
    </row>
    <row r="52" spans="2:15" ht="69.95" customHeight="1" x14ac:dyDescent="0.2">
      <c r="B52" s="260">
        <v>42</v>
      </c>
      <c r="C52" s="260">
        <v>4</v>
      </c>
      <c r="D52" s="287" t="s">
        <v>4177</v>
      </c>
      <c r="E52" s="293" t="s">
        <v>4170</v>
      </c>
      <c r="F52" s="288">
        <v>17775000</v>
      </c>
      <c r="G52" s="304" t="s">
        <v>4039</v>
      </c>
      <c r="H52" s="287" t="s">
        <v>4178</v>
      </c>
      <c r="I52" s="287" t="s">
        <v>4172</v>
      </c>
      <c r="J52" s="287" t="s">
        <v>4039</v>
      </c>
      <c r="K52" s="289" t="s">
        <v>4179</v>
      </c>
      <c r="L52" s="321" t="s">
        <v>542</v>
      </c>
      <c r="M52" s="321" t="s">
        <v>4339</v>
      </c>
      <c r="N52" s="334" t="s">
        <v>4528</v>
      </c>
      <c r="O52" s="260">
        <v>52</v>
      </c>
    </row>
    <row r="53" spans="2:15" ht="69.95" customHeight="1" x14ac:dyDescent="0.2">
      <c r="B53" s="260">
        <v>43</v>
      </c>
      <c r="C53" s="260">
        <v>4</v>
      </c>
      <c r="D53" s="287" t="s">
        <v>4174</v>
      </c>
      <c r="E53" s="293" t="s">
        <v>4170</v>
      </c>
      <c r="F53" s="288">
        <v>11850000</v>
      </c>
      <c r="G53" s="304" t="s">
        <v>4039</v>
      </c>
      <c r="H53" s="287" t="s">
        <v>4175</v>
      </c>
      <c r="I53" s="287" t="s">
        <v>4172</v>
      </c>
      <c r="J53" s="287" t="s">
        <v>4039</v>
      </c>
      <c r="K53" s="289" t="s">
        <v>4176</v>
      </c>
      <c r="L53" s="321" t="s">
        <v>542</v>
      </c>
      <c r="M53" s="321" t="s">
        <v>4339</v>
      </c>
      <c r="N53" s="334" t="s">
        <v>4528</v>
      </c>
      <c r="O53" s="260">
        <v>52</v>
      </c>
    </row>
    <row r="54" spans="2:15" ht="69.95" customHeight="1" x14ac:dyDescent="0.2">
      <c r="B54" s="260">
        <v>44</v>
      </c>
      <c r="C54" s="260">
        <v>4</v>
      </c>
      <c r="D54" s="287" t="s">
        <v>4183</v>
      </c>
      <c r="E54" s="293" t="s">
        <v>4170</v>
      </c>
      <c r="F54" s="288">
        <v>58805004</v>
      </c>
      <c r="G54" s="304" t="s">
        <v>4039</v>
      </c>
      <c r="H54" s="287" t="s">
        <v>4184</v>
      </c>
      <c r="I54" s="287" t="s">
        <v>4172</v>
      </c>
      <c r="J54" s="287" t="s">
        <v>4039</v>
      </c>
      <c r="K54" s="289" t="s">
        <v>4185</v>
      </c>
      <c r="L54" s="321" t="s">
        <v>542</v>
      </c>
      <c r="M54" s="321" t="s">
        <v>4339</v>
      </c>
      <c r="N54" s="334" t="s">
        <v>4528</v>
      </c>
      <c r="O54" s="260">
        <v>52</v>
      </c>
    </row>
    <row r="55" spans="2:15" ht="69.95" customHeight="1" x14ac:dyDescent="0.2">
      <c r="B55" s="260">
        <v>45</v>
      </c>
      <c r="C55" s="260">
        <v>4</v>
      </c>
      <c r="D55" s="256" t="s">
        <v>4295</v>
      </c>
      <c r="E55" s="292" t="s">
        <v>4279</v>
      </c>
      <c r="F55" s="257">
        <v>11850000</v>
      </c>
      <c r="G55" s="304" t="s">
        <v>4039</v>
      </c>
      <c r="H55" s="256" t="s">
        <v>4296</v>
      </c>
      <c r="I55" s="256" t="s">
        <v>4281</v>
      </c>
      <c r="J55" s="256" t="s">
        <v>4039</v>
      </c>
      <c r="K55" s="259" t="s">
        <v>4297</v>
      </c>
      <c r="L55" s="321" t="s">
        <v>542</v>
      </c>
      <c r="M55" s="321" t="s">
        <v>4339</v>
      </c>
      <c r="N55" s="334" t="s">
        <v>4528</v>
      </c>
      <c r="O55" s="260">
        <v>52</v>
      </c>
    </row>
    <row r="56" spans="2:15" ht="69.95" customHeight="1" x14ac:dyDescent="0.2">
      <c r="B56" s="260">
        <v>46</v>
      </c>
      <c r="C56" s="260">
        <v>4</v>
      </c>
      <c r="D56" s="256" t="s">
        <v>4239</v>
      </c>
      <c r="E56" s="292" t="s">
        <v>4240</v>
      </c>
      <c r="F56" s="257">
        <v>206653906</v>
      </c>
      <c r="G56" s="305" t="s">
        <v>4191</v>
      </c>
      <c r="H56" s="287" t="s">
        <v>4241</v>
      </c>
      <c r="I56" s="256" t="s">
        <v>4065</v>
      </c>
      <c r="J56" s="256" t="s">
        <v>4053</v>
      </c>
      <c r="K56" s="259" t="s">
        <v>4242</v>
      </c>
      <c r="L56" s="321" t="s">
        <v>576</v>
      </c>
      <c r="M56" s="321" t="s">
        <v>4340</v>
      </c>
      <c r="N56" s="334" t="s">
        <v>4529</v>
      </c>
      <c r="O56" s="260">
        <v>51</v>
      </c>
    </row>
    <row r="57" spans="2:15" ht="69.95" customHeight="1" x14ac:dyDescent="0.2">
      <c r="B57" s="260">
        <v>47</v>
      </c>
      <c r="C57" s="260">
        <v>4</v>
      </c>
      <c r="D57" s="256" t="s">
        <v>4217</v>
      </c>
      <c r="E57" s="292" t="s">
        <v>4218</v>
      </c>
      <c r="F57" s="257">
        <v>633328</v>
      </c>
      <c r="G57" s="305" t="s">
        <v>4219</v>
      </c>
      <c r="H57" s="287" t="s">
        <v>4220</v>
      </c>
      <c r="I57" s="256" t="s">
        <v>4218</v>
      </c>
      <c r="J57" s="256" t="s">
        <v>4039</v>
      </c>
      <c r="K57" s="259" t="s">
        <v>4221</v>
      </c>
      <c r="L57" s="321" t="s">
        <v>576</v>
      </c>
      <c r="M57" s="321" t="s">
        <v>4340</v>
      </c>
      <c r="N57" s="334" t="s">
        <v>4529</v>
      </c>
      <c r="O57" s="260">
        <v>51</v>
      </c>
    </row>
    <row r="58" spans="2:15" ht="69.95" customHeight="1" x14ac:dyDescent="0.2">
      <c r="B58" s="260">
        <v>48</v>
      </c>
      <c r="C58" s="260">
        <v>4</v>
      </c>
      <c r="D58" s="256" t="s">
        <v>4222</v>
      </c>
      <c r="E58" s="292" t="s">
        <v>4218</v>
      </c>
      <c r="F58" s="257">
        <v>3233276</v>
      </c>
      <c r="G58" s="305" t="s">
        <v>4223</v>
      </c>
      <c r="H58" s="287" t="s">
        <v>4224</v>
      </c>
      <c r="I58" s="256" t="s">
        <v>4218</v>
      </c>
      <c r="J58" s="256" t="s">
        <v>4039</v>
      </c>
      <c r="K58" s="259" t="s">
        <v>4225</v>
      </c>
      <c r="L58" s="321" t="s">
        <v>576</v>
      </c>
      <c r="M58" s="321" t="s">
        <v>4340</v>
      </c>
      <c r="N58" s="334" t="s">
        <v>4529</v>
      </c>
      <c r="O58" s="260">
        <v>51</v>
      </c>
    </row>
    <row r="59" spans="2:15" ht="69.95" customHeight="1" x14ac:dyDescent="0.2">
      <c r="B59" s="260">
        <v>49</v>
      </c>
      <c r="C59" s="260">
        <v>4</v>
      </c>
      <c r="D59" s="256" t="s">
        <v>4211</v>
      </c>
      <c r="E59" s="292" t="s">
        <v>4206</v>
      </c>
      <c r="F59" s="257">
        <v>595000</v>
      </c>
      <c r="G59" s="305" t="s">
        <v>4207</v>
      </c>
      <c r="H59" s="287" t="s">
        <v>4212</v>
      </c>
      <c r="I59" s="256" t="s">
        <v>4209</v>
      </c>
      <c r="J59" s="256" t="s">
        <v>4039</v>
      </c>
      <c r="K59" s="259" t="s">
        <v>4213</v>
      </c>
      <c r="L59" s="321" t="s">
        <v>576</v>
      </c>
      <c r="M59" s="321" t="s">
        <v>4340</v>
      </c>
      <c r="N59" s="334" t="s">
        <v>4529</v>
      </c>
      <c r="O59" s="260">
        <v>51</v>
      </c>
    </row>
    <row r="60" spans="2:15" ht="69.95" customHeight="1" x14ac:dyDescent="0.2">
      <c r="B60" s="260">
        <v>50</v>
      </c>
      <c r="C60" s="260">
        <v>4</v>
      </c>
      <c r="D60" s="256" t="s">
        <v>4214</v>
      </c>
      <c r="E60" s="292" t="s">
        <v>4206</v>
      </c>
      <c r="F60" s="257">
        <v>239665141</v>
      </c>
      <c r="G60" s="305" t="s">
        <v>4039</v>
      </c>
      <c r="H60" s="287" t="s">
        <v>4215</v>
      </c>
      <c r="I60" s="256" t="s">
        <v>4209</v>
      </c>
      <c r="J60" s="256" t="s">
        <v>4039</v>
      </c>
      <c r="K60" s="259" t="s">
        <v>4216</v>
      </c>
      <c r="L60" s="321" t="s">
        <v>576</v>
      </c>
      <c r="M60" s="321" t="s">
        <v>4340</v>
      </c>
      <c r="N60" s="334" t="s">
        <v>4529</v>
      </c>
      <c r="O60" s="260">
        <v>51</v>
      </c>
    </row>
    <row r="61" spans="2:15" ht="69.95" customHeight="1" x14ac:dyDescent="0.2">
      <c r="B61" s="260">
        <v>51</v>
      </c>
      <c r="C61" s="260">
        <v>4</v>
      </c>
      <c r="D61" s="256" t="s">
        <v>4205</v>
      </c>
      <c r="E61" s="292" t="s">
        <v>4206</v>
      </c>
      <c r="F61" s="257">
        <v>26735000</v>
      </c>
      <c r="G61" s="305" t="s">
        <v>4207</v>
      </c>
      <c r="H61" s="287" t="s">
        <v>4208</v>
      </c>
      <c r="I61" s="256" t="s">
        <v>4209</v>
      </c>
      <c r="J61" s="256" t="s">
        <v>4039</v>
      </c>
      <c r="K61" s="259" t="s">
        <v>4210</v>
      </c>
      <c r="L61" s="321" t="s">
        <v>576</v>
      </c>
      <c r="M61" s="321" t="s">
        <v>4340</v>
      </c>
      <c r="N61" s="334" t="s">
        <v>4529</v>
      </c>
      <c r="O61" s="260">
        <v>51</v>
      </c>
    </row>
    <row r="62" spans="2:15" ht="69.95" customHeight="1" x14ac:dyDescent="0.2">
      <c r="B62" s="260">
        <v>52</v>
      </c>
      <c r="C62" s="260">
        <v>4</v>
      </c>
      <c r="D62" s="256" t="s">
        <v>4202</v>
      </c>
      <c r="E62" s="292" t="s">
        <v>4138</v>
      </c>
      <c r="F62" s="257">
        <v>208979992</v>
      </c>
      <c r="G62" s="305" t="s">
        <v>4199</v>
      </c>
      <c r="H62" s="287" t="s">
        <v>4203</v>
      </c>
      <c r="I62" s="256" t="s">
        <v>4137</v>
      </c>
      <c r="J62" s="256" t="s">
        <v>4053</v>
      </c>
      <c r="K62" s="259" t="s">
        <v>4204</v>
      </c>
      <c r="L62" s="321" t="s">
        <v>576</v>
      </c>
      <c r="M62" s="321" t="s">
        <v>4340</v>
      </c>
      <c r="N62" s="334" t="s">
        <v>4529</v>
      </c>
      <c r="O62" s="260">
        <v>51</v>
      </c>
    </row>
    <row r="63" spans="2:15" ht="69.95" customHeight="1" x14ac:dyDescent="0.2">
      <c r="B63" s="260">
        <v>53</v>
      </c>
      <c r="C63" s="260">
        <v>4</v>
      </c>
      <c r="D63" s="256" t="s">
        <v>4198</v>
      </c>
      <c r="E63" s="292" t="s">
        <v>4138</v>
      </c>
      <c r="F63" s="257">
        <v>3233300</v>
      </c>
      <c r="G63" s="305" t="s">
        <v>4199</v>
      </c>
      <c r="H63" s="287" t="s">
        <v>4200</v>
      </c>
      <c r="I63" s="256" t="s">
        <v>4137</v>
      </c>
      <c r="J63" s="256" t="s">
        <v>4053</v>
      </c>
      <c r="K63" s="259" t="s">
        <v>4201</v>
      </c>
      <c r="L63" s="321" t="s">
        <v>576</v>
      </c>
      <c r="M63" s="321" t="s">
        <v>4340</v>
      </c>
      <c r="N63" s="334" t="s">
        <v>4529</v>
      </c>
      <c r="O63" s="260">
        <v>51</v>
      </c>
    </row>
    <row r="64" spans="2:15" ht="69.95" customHeight="1" x14ac:dyDescent="0.2">
      <c r="B64" s="260">
        <v>54</v>
      </c>
      <c r="C64" s="260">
        <v>4</v>
      </c>
      <c r="D64" s="256" t="s">
        <v>4194</v>
      </c>
      <c r="E64" s="292" t="s">
        <v>4172</v>
      </c>
      <c r="F64" s="257">
        <v>121465086</v>
      </c>
      <c r="G64" s="305" t="s">
        <v>4195</v>
      </c>
      <c r="H64" s="287" t="s">
        <v>4196</v>
      </c>
      <c r="I64" s="256" t="s">
        <v>4138</v>
      </c>
      <c r="J64" s="256" t="s">
        <v>4039</v>
      </c>
      <c r="K64" s="259" t="s">
        <v>4197</v>
      </c>
      <c r="L64" s="321" t="s">
        <v>576</v>
      </c>
      <c r="M64" s="321" t="s">
        <v>4340</v>
      </c>
      <c r="N64" s="334" t="s">
        <v>4529</v>
      </c>
      <c r="O64" s="260">
        <v>51</v>
      </c>
    </row>
    <row r="65" spans="2:15" ht="69.95" customHeight="1" x14ac:dyDescent="0.2">
      <c r="B65" s="260">
        <v>55</v>
      </c>
      <c r="C65" s="260">
        <v>4</v>
      </c>
      <c r="D65" s="260" t="s">
        <v>4083</v>
      </c>
      <c r="E65" s="291" t="s">
        <v>4084</v>
      </c>
      <c r="F65" s="288">
        <f>6840000+360000</f>
        <v>7200000</v>
      </c>
      <c r="G65" s="301" t="s">
        <v>4039</v>
      </c>
      <c r="H65" s="260" t="s">
        <v>4085</v>
      </c>
      <c r="I65" s="260" t="s">
        <v>4084</v>
      </c>
      <c r="J65" s="260" t="s">
        <v>4039</v>
      </c>
      <c r="K65" s="262" t="s">
        <v>4086</v>
      </c>
      <c r="L65" s="321" t="s">
        <v>535</v>
      </c>
      <c r="M65" s="321" t="s">
        <v>4372</v>
      </c>
      <c r="N65" s="334"/>
      <c r="O65" s="260">
        <v>52</v>
      </c>
    </row>
    <row r="66" spans="2:15" ht="69.95" customHeight="1" x14ac:dyDescent="0.2">
      <c r="B66" s="260">
        <v>56</v>
      </c>
      <c r="C66" s="260">
        <v>4</v>
      </c>
      <c r="D66" s="260" t="s">
        <v>4106</v>
      </c>
      <c r="E66" s="291" t="s">
        <v>4084</v>
      </c>
      <c r="F66" s="288">
        <v>63640000</v>
      </c>
      <c r="G66" s="300" t="s">
        <v>4036</v>
      </c>
      <c r="H66" s="261" t="s">
        <v>4107</v>
      </c>
      <c r="I66" s="260" t="s">
        <v>4084</v>
      </c>
      <c r="J66" s="260" t="s">
        <v>4039</v>
      </c>
      <c r="K66" s="262" t="s">
        <v>4108</v>
      </c>
      <c r="L66" s="321" t="s">
        <v>576</v>
      </c>
      <c r="M66" s="321" t="s">
        <v>4338</v>
      </c>
      <c r="N66" s="334" t="s">
        <v>4530</v>
      </c>
      <c r="O66" s="260">
        <v>52</v>
      </c>
    </row>
    <row r="67" spans="2:15" ht="69.95" customHeight="1" x14ac:dyDescent="0.2">
      <c r="B67" s="260">
        <v>57</v>
      </c>
      <c r="C67" s="260">
        <v>4</v>
      </c>
      <c r="D67" s="260" t="s">
        <v>4121</v>
      </c>
      <c r="E67" s="291" t="s">
        <v>4115</v>
      </c>
      <c r="F67" s="288">
        <v>6060000</v>
      </c>
      <c r="G67" s="301" t="s">
        <v>4039</v>
      </c>
      <c r="H67" s="261" t="s">
        <v>4122</v>
      </c>
      <c r="I67" s="260" t="s">
        <v>4110</v>
      </c>
      <c r="J67" s="260" t="s">
        <v>4039</v>
      </c>
      <c r="K67" s="262" t="s">
        <v>4123</v>
      </c>
      <c r="L67" s="321" t="s">
        <v>531</v>
      </c>
      <c r="M67" s="321" t="s">
        <v>4373</v>
      </c>
      <c r="N67" s="334"/>
      <c r="O67" s="260">
        <v>52</v>
      </c>
    </row>
    <row r="68" spans="2:15" ht="69.95" customHeight="1" x14ac:dyDescent="0.2">
      <c r="B68" s="260">
        <v>58</v>
      </c>
      <c r="C68" s="260">
        <v>4</v>
      </c>
      <c r="D68" s="260" t="s">
        <v>4124</v>
      </c>
      <c r="E68" s="291" t="s">
        <v>4115</v>
      </c>
      <c r="F68" s="288">
        <v>1800000</v>
      </c>
      <c r="G68" s="301" t="s">
        <v>4039</v>
      </c>
      <c r="H68" s="261" t="s">
        <v>4125</v>
      </c>
      <c r="I68" s="260" t="s">
        <v>4110</v>
      </c>
      <c r="J68" s="260" t="s">
        <v>4039</v>
      </c>
      <c r="K68" s="262" t="s">
        <v>4126</v>
      </c>
      <c r="L68" s="321" t="s">
        <v>531</v>
      </c>
      <c r="M68" s="321" t="s">
        <v>4374</v>
      </c>
      <c r="N68" s="334"/>
      <c r="O68" s="260">
        <v>52</v>
      </c>
    </row>
    <row r="69" spans="2:15" ht="69.95" customHeight="1" x14ac:dyDescent="0.2">
      <c r="B69" s="260">
        <v>59</v>
      </c>
      <c r="C69" s="260">
        <v>4</v>
      </c>
      <c r="D69" s="260" t="s">
        <v>4127</v>
      </c>
      <c r="E69" s="291" t="s">
        <v>4115</v>
      </c>
      <c r="F69" s="288">
        <v>6320000</v>
      </c>
      <c r="G69" s="301" t="s">
        <v>4039</v>
      </c>
      <c r="H69" s="261" t="s">
        <v>4128</v>
      </c>
      <c r="I69" s="260" t="s">
        <v>4110</v>
      </c>
      <c r="J69" s="260" t="s">
        <v>4039</v>
      </c>
      <c r="K69" s="262" t="s">
        <v>4129</v>
      </c>
      <c r="L69" s="321" t="s">
        <v>535</v>
      </c>
      <c r="M69" s="321" t="s">
        <v>4375</v>
      </c>
      <c r="N69" s="334"/>
      <c r="O69" s="260">
        <v>52</v>
      </c>
    </row>
    <row r="70" spans="2:15" ht="69.95" customHeight="1" x14ac:dyDescent="0.2">
      <c r="B70" s="260">
        <v>60</v>
      </c>
      <c r="C70" s="260">
        <v>4</v>
      </c>
      <c r="D70" s="260" t="s">
        <v>4130</v>
      </c>
      <c r="E70" s="291" t="s">
        <v>4115</v>
      </c>
      <c r="F70" s="288">
        <v>3570000</v>
      </c>
      <c r="G70" s="301" t="s">
        <v>4039</v>
      </c>
      <c r="H70" s="261" t="s">
        <v>4131</v>
      </c>
      <c r="I70" s="260" t="s">
        <v>4110</v>
      </c>
      <c r="J70" s="260" t="s">
        <v>4039</v>
      </c>
      <c r="K70" s="262" t="s">
        <v>4132</v>
      </c>
      <c r="L70" s="321" t="s">
        <v>542</v>
      </c>
      <c r="M70" s="321" t="s">
        <v>4339</v>
      </c>
      <c r="N70" s="334"/>
      <c r="O70" s="260">
        <v>52</v>
      </c>
    </row>
    <row r="71" spans="2:15" ht="69.95" customHeight="1" x14ac:dyDescent="0.2">
      <c r="B71" s="260">
        <v>61</v>
      </c>
      <c r="C71" s="260">
        <v>4</v>
      </c>
      <c r="D71" s="260" t="s">
        <v>4133</v>
      </c>
      <c r="E71" s="291" t="s">
        <v>4115</v>
      </c>
      <c r="F71" s="288">
        <v>1040000</v>
      </c>
      <c r="G71" s="301" t="s">
        <v>4039</v>
      </c>
      <c r="H71" s="261" t="s">
        <v>4134</v>
      </c>
      <c r="I71" s="260" t="s">
        <v>4110</v>
      </c>
      <c r="J71" s="260" t="s">
        <v>4039</v>
      </c>
      <c r="K71" s="262" t="s">
        <v>4135</v>
      </c>
      <c r="L71" s="321" t="s">
        <v>531</v>
      </c>
      <c r="M71" s="321" t="s">
        <v>4374</v>
      </c>
      <c r="N71" s="334"/>
      <c r="O71" s="260">
        <v>52</v>
      </c>
    </row>
    <row r="72" spans="2:15" ht="69.95" customHeight="1" x14ac:dyDescent="0.2">
      <c r="B72" s="260">
        <v>62</v>
      </c>
      <c r="C72" s="260">
        <v>4</v>
      </c>
      <c r="D72" s="256" t="s">
        <v>4136</v>
      </c>
      <c r="E72" s="292" t="s">
        <v>4138</v>
      </c>
      <c r="F72" s="257">
        <v>8760000</v>
      </c>
      <c r="G72" s="301" t="s">
        <v>4039</v>
      </c>
      <c r="H72" s="256" t="s">
        <v>4146</v>
      </c>
      <c r="I72" s="256" t="s">
        <v>4137</v>
      </c>
      <c r="J72" s="256" t="s">
        <v>4039</v>
      </c>
      <c r="K72" s="259" t="s">
        <v>4147</v>
      </c>
      <c r="L72" s="321" t="s">
        <v>542</v>
      </c>
      <c r="M72" s="321" t="s">
        <v>4376</v>
      </c>
      <c r="N72" s="334"/>
      <c r="O72" s="260">
        <v>52</v>
      </c>
    </row>
    <row r="73" spans="2:15" ht="69.95" customHeight="1" x14ac:dyDescent="0.2">
      <c r="B73" s="260">
        <v>63</v>
      </c>
      <c r="C73" s="260">
        <v>4</v>
      </c>
      <c r="D73" s="256" t="s">
        <v>4143</v>
      </c>
      <c r="E73" s="292" t="s">
        <v>4138</v>
      </c>
      <c r="F73" s="257">
        <v>4980000</v>
      </c>
      <c r="G73" s="301" t="s">
        <v>4039</v>
      </c>
      <c r="H73" s="256" t="s">
        <v>4156</v>
      </c>
      <c r="I73" s="256" t="s">
        <v>4137</v>
      </c>
      <c r="J73" s="256" t="s">
        <v>4039</v>
      </c>
      <c r="K73" s="259" t="s">
        <v>4157</v>
      </c>
      <c r="L73" s="321" t="s">
        <v>542</v>
      </c>
      <c r="M73" s="321" t="s">
        <v>4376</v>
      </c>
      <c r="N73" s="334"/>
      <c r="O73" s="260">
        <v>52</v>
      </c>
    </row>
    <row r="74" spans="2:15" ht="69.95" customHeight="1" x14ac:dyDescent="0.2">
      <c r="B74" s="260">
        <v>64</v>
      </c>
      <c r="C74" s="260">
        <v>4</v>
      </c>
      <c r="D74" s="256" t="s">
        <v>4140</v>
      </c>
      <c r="E74" s="292" t="s">
        <v>4138</v>
      </c>
      <c r="F74" s="257">
        <v>34977460</v>
      </c>
      <c r="G74" s="301" t="s">
        <v>4039</v>
      </c>
      <c r="H74" s="256" t="s">
        <v>4150</v>
      </c>
      <c r="I74" s="256" t="s">
        <v>4137</v>
      </c>
      <c r="J74" s="256" t="s">
        <v>4039</v>
      </c>
      <c r="K74" s="259" t="s">
        <v>4151</v>
      </c>
      <c r="L74" s="321" t="s">
        <v>576</v>
      </c>
      <c r="M74" s="321" t="s">
        <v>4338</v>
      </c>
      <c r="N74" s="334"/>
      <c r="O74" s="260">
        <v>52</v>
      </c>
    </row>
    <row r="75" spans="2:15" ht="69.95" customHeight="1" x14ac:dyDescent="0.2">
      <c r="B75" s="260">
        <v>65</v>
      </c>
      <c r="C75" s="260">
        <v>4</v>
      </c>
      <c r="D75" s="256" t="s">
        <v>4141</v>
      </c>
      <c r="E75" s="292" t="s">
        <v>4138</v>
      </c>
      <c r="F75" s="257">
        <v>5656000</v>
      </c>
      <c r="G75" s="301" t="s">
        <v>4039</v>
      </c>
      <c r="H75" s="256" t="s">
        <v>4152</v>
      </c>
      <c r="I75" s="256" t="s">
        <v>4137</v>
      </c>
      <c r="J75" s="256" t="s">
        <v>4039</v>
      </c>
      <c r="K75" s="259" t="s">
        <v>4153</v>
      </c>
      <c r="L75" s="321" t="s">
        <v>531</v>
      </c>
      <c r="M75" s="321" t="s">
        <v>4373</v>
      </c>
      <c r="N75" s="334"/>
      <c r="O75" s="260">
        <v>52</v>
      </c>
    </row>
    <row r="76" spans="2:15" ht="69.95" customHeight="1" x14ac:dyDescent="0.2">
      <c r="B76" s="260">
        <v>66</v>
      </c>
      <c r="C76" s="260">
        <v>4</v>
      </c>
      <c r="D76" s="256" t="s">
        <v>4162</v>
      </c>
      <c r="E76" s="292" t="s">
        <v>4138</v>
      </c>
      <c r="F76" s="257">
        <v>6180000</v>
      </c>
      <c r="G76" s="301" t="s">
        <v>4039</v>
      </c>
      <c r="H76" s="256" t="s">
        <v>4164</v>
      </c>
      <c r="I76" s="256" t="s">
        <v>4137</v>
      </c>
      <c r="J76" s="256" t="s">
        <v>4039</v>
      </c>
      <c r="K76" s="259" t="s">
        <v>4165</v>
      </c>
      <c r="L76" s="321" t="s">
        <v>535</v>
      </c>
      <c r="M76" s="321" t="s">
        <v>4372</v>
      </c>
      <c r="N76" s="334"/>
      <c r="O76" s="260">
        <v>52</v>
      </c>
    </row>
    <row r="77" spans="2:15" ht="69.95" customHeight="1" x14ac:dyDescent="0.2">
      <c r="B77" s="260">
        <v>67</v>
      </c>
      <c r="C77" s="260">
        <v>4</v>
      </c>
      <c r="D77" s="256" t="s">
        <v>4142</v>
      </c>
      <c r="E77" s="292" t="s">
        <v>4138</v>
      </c>
      <c r="F77" s="257">
        <v>5900000</v>
      </c>
      <c r="G77" s="301" t="s">
        <v>4039</v>
      </c>
      <c r="H77" s="256" t="s">
        <v>4154</v>
      </c>
      <c r="I77" s="256" t="s">
        <v>4137</v>
      </c>
      <c r="J77" s="256" t="s">
        <v>4039</v>
      </c>
      <c r="K77" s="259" t="s">
        <v>4155</v>
      </c>
      <c r="L77" s="321" t="s">
        <v>542</v>
      </c>
      <c r="M77" s="321" t="s">
        <v>4339</v>
      </c>
      <c r="N77" s="334"/>
      <c r="O77" s="260">
        <v>52</v>
      </c>
    </row>
    <row r="78" spans="2:15" ht="69.95" customHeight="1" x14ac:dyDescent="0.2">
      <c r="B78" s="260">
        <v>68</v>
      </c>
      <c r="C78" s="260">
        <v>4</v>
      </c>
      <c r="D78" s="256" t="s">
        <v>4144</v>
      </c>
      <c r="E78" s="292" t="s">
        <v>4138</v>
      </c>
      <c r="F78" s="257">
        <v>6330000</v>
      </c>
      <c r="G78" s="301" t="s">
        <v>4039</v>
      </c>
      <c r="H78" s="256" t="s">
        <v>4158</v>
      </c>
      <c r="I78" s="256" t="s">
        <v>4137</v>
      </c>
      <c r="J78" s="256" t="s">
        <v>4039</v>
      </c>
      <c r="K78" s="259" t="s">
        <v>4159</v>
      </c>
      <c r="L78" s="321" t="s">
        <v>542</v>
      </c>
      <c r="M78" s="321" t="s">
        <v>4339</v>
      </c>
      <c r="N78" s="334"/>
      <c r="O78" s="260">
        <v>52</v>
      </c>
    </row>
    <row r="79" spans="2:15" ht="69.95" customHeight="1" x14ac:dyDescent="0.2">
      <c r="B79" s="260">
        <v>69</v>
      </c>
      <c r="C79" s="260">
        <v>4</v>
      </c>
      <c r="D79" s="256" t="s">
        <v>4145</v>
      </c>
      <c r="E79" s="292" t="s">
        <v>4138</v>
      </c>
      <c r="F79" s="257">
        <v>75325796</v>
      </c>
      <c r="G79" s="302" t="s">
        <v>3839</v>
      </c>
      <c r="H79" s="256" t="s">
        <v>4160</v>
      </c>
      <c r="I79" s="256" t="s">
        <v>4137</v>
      </c>
      <c r="J79" s="256" t="s">
        <v>4039</v>
      </c>
      <c r="K79" s="259" t="s">
        <v>4161</v>
      </c>
      <c r="L79" s="321"/>
      <c r="M79" s="321"/>
      <c r="N79" s="334"/>
      <c r="O79" s="260">
        <v>52</v>
      </c>
    </row>
    <row r="80" spans="2:15" ht="69.95" customHeight="1" x14ac:dyDescent="0.2">
      <c r="B80" s="260">
        <v>70</v>
      </c>
      <c r="C80" s="260">
        <v>4</v>
      </c>
      <c r="D80" s="256" t="s">
        <v>4163</v>
      </c>
      <c r="E80" s="292" t="s">
        <v>4138</v>
      </c>
      <c r="F80" s="257">
        <v>19929200</v>
      </c>
      <c r="G80" s="302" t="s">
        <v>3839</v>
      </c>
      <c r="H80" s="256" t="s">
        <v>4166</v>
      </c>
      <c r="I80" s="256" t="s">
        <v>4137</v>
      </c>
      <c r="J80" s="256" t="s">
        <v>4039</v>
      </c>
      <c r="K80" s="259" t="s">
        <v>4167</v>
      </c>
      <c r="L80" s="321"/>
      <c r="M80" s="321"/>
      <c r="N80" s="334"/>
      <c r="O80" s="260">
        <v>52</v>
      </c>
    </row>
    <row r="81" spans="2:15" ht="69.95" customHeight="1" x14ac:dyDescent="0.2">
      <c r="B81" s="260">
        <v>71</v>
      </c>
      <c r="C81" s="260">
        <v>4</v>
      </c>
      <c r="D81" s="256" t="s">
        <v>4330</v>
      </c>
      <c r="E81" s="292" t="s">
        <v>4300</v>
      </c>
      <c r="F81" s="288">
        <v>63640000</v>
      </c>
      <c r="G81" s="300" t="s">
        <v>4331</v>
      </c>
      <c r="H81" s="256" t="s">
        <v>4332</v>
      </c>
      <c r="I81" s="256" t="s">
        <v>4172</v>
      </c>
      <c r="J81" s="256" t="s">
        <v>4053</v>
      </c>
      <c r="K81" s="259" t="s">
        <v>4333</v>
      </c>
      <c r="L81" s="321" t="s">
        <v>576</v>
      </c>
      <c r="M81" s="321" t="s">
        <v>4338</v>
      </c>
      <c r="N81" s="334" t="s">
        <v>4530</v>
      </c>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4189</v>
      </c>
      <c r="E88" s="292" t="s">
        <v>4190</v>
      </c>
      <c r="F88" s="257">
        <v>210863345</v>
      </c>
      <c r="G88" s="305" t="s">
        <v>4191</v>
      </c>
      <c r="H88" s="287" t="s">
        <v>4192</v>
      </c>
      <c r="I88" s="256" t="s">
        <v>4110</v>
      </c>
      <c r="J88" s="256" t="s">
        <v>4053</v>
      </c>
      <c r="K88" s="259" t="s">
        <v>4193</v>
      </c>
      <c r="L88" s="321" t="s">
        <v>576</v>
      </c>
      <c r="M88" s="321" t="s">
        <v>4340</v>
      </c>
      <c r="N88" s="334" t="s">
        <v>4529</v>
      </c>
      <c r="O88" s="260">
        <v>51</v>
      </c>
    </row>
    <row r="89" spans="2:15" ht="69.95" customHeight="1" x14ac:dyDescent="0.2">
      <c r="B89" s="260">
        <v>79</v>
      </c>
      <c r="C89" s="260">
        <v>5</v>
      </c>
      <c r="D89" s="256" t="s">
        <v>4335</v>
      </c>
      <c r="E89" s="292" t="s">
        <v>4334</v>
      </c>
      <c r="F89" s="257">
        <v>236089382</v>
      </c>
      <c r="G89" s="305" t="s">
        <v>4039</v>
      </c>
      <c r="H89" s="317" t="s">
        <v>4336</v>
      </c>
      <c r="I89" s="256" t="s">
        <v>4306</v>
      </c>
      <c r="J89" s="256" t="s">
        <v>4039</v>
      </c>
      <c r="K89" s="259" t="s">
        <v>4337</v>
      </c>
      <c r="L89" s="321" t="s">
        <v>576</v>
      </c>
      <c r="M89" s="321" t="s">
        <v>4340</v>
      </c>
      <c r="N89" s="334" t="s">
        <v>4529</v>
      </c>
      <c r="O89" s="260">
        <v>51</v>
      </c>
    </row>
    <row r="90" spans="2:15" ht="69.95" customHeight="1" x14ac:dyDescent="0.2">
      <c r="B90" s="260">
        <v>80</v>
      </c>
      <c r="C90" s="260">
        <v>5</v>
      </c>
      <c r="D90" s="256" t="s">
        <v>4358</v>
      </c>
      <c r="E90" s="292" t="s">
        <v>4359</v>
      </c>
      <c r="F90" s="257">
        <v>26312000</v>
      </c>
      <c r="G90" s="305" t="s">
        <v>4207</v>
      </c>
      <c r="H90" s="287" t="s">
        <v>4360</v>
      </c>
      <c r="I90" s="256" t="s">
        <v>4359</v>
      </c>
      <c r="J90" s="256" t="s">
        <v>4039</v>
      </c>
      <c r="K90" s="259" t="s">
        <v>4361</v>
      </c>
      <c r="L90" s="321" t="s">
        <v>576</v>
      </c>
      <c r="M90" s="321" t="s">
        <v>4340</v>
      </c>
      <c r="N90" s="334" t="s">
        <v>4529</v>
      </c>
      <c r="O90" s="260">
        <v>51</v>
      </c>
    </row>
    <row r="91" spans="2:15" ht="69.95" customHeight="1" x14ac:dyDescent="0.2">
      <c r="B91" s="260">
        <v>81</v>
      </c>
      <c r="C91" s="260">
        <v>5</v>
      </c>
      <c r="D91" s="256" t="s">
        <v>4362</v>
      </c>
      <c r="E91" s="292" t="s">
        <v>4363</v>
      </c>
      <c r="F91" s="257">
        <v>4745975</v>
      </c>
      <c r="G91" s="305" t="s">
        <v>4039</v>
      </c>
      <c r="H91" s="256" t="s">
        <v>4364</v>
      </c>
      <c r="I91" s="256" t="s">
        <v>4365</v>
      </c>
      <c r="J91" s="256" t="s">
        <v>4039</v>
      </c>
      <c r="K91" s="259" t="s">
        <v>4366</v>
      </c>
      <c r="L91" s="321" t="s">
        <v>576</v>
      </c>
      <c r="M91" s="321" t="s">
        <v>4340</v>
      </c>
      <c r="N91" s="334" t="s">
        <v>4529</v>
      </c>
      <c r="O91" s="260">
        <v>51</v>
      </c>
    </row>
    <row r="92" spans="2:15" ht="69.95" customHeight="1" x14ac:dyDescent="0.2">
      <c r="B92" s="260">
        <v>82</v>
      </c>
      <c r="C92" s="260">
        <v>5</v>
      </c>
      <c r="D92" s="256" t="s">
        <v>4367</v>
      </c>
      <c r="E92" s="292" t="s">
        <v>4363</v>
      </c>
      <c r="F92" s="257">
        <v>221543</v>
      </c>
      <c r="G92" s="305" t="s">
        <v>4219</v>
      </c>
      <c r="H92" s="256" t="s">
        <v>4368</v>
      </c>
      <c r="I92" s="256" t="s">
        <v>4365</v>
      </c>
      <c r="J92" s="256" t="s">
        <v>4039</v>
      </c>
      <c r="K92" s="259" t="s">
        <v>4369</v>
      </c>
      <c r="L92" s="321" t="s">
        <v>576</v>
      </c>
      <c r="M92" s="321" t="s">
        <v>4340</v>
      </c>
      <c r="N92" s="334" t="s">
        <v>4529</v>
      </c>
      <c r="O92" s="260">
        <v>51</v>
      </c>
    </row>
    <row r="93" spans="2:15" ht="69.95" customHeight="1" x14ac:dyDescent="0.2">
      <c r="B93" s="260">
        <v>83</v>
      </c>
      <c r="C93" s="260">
        <v>5</v>
      </c>
      <c r="D93" s="256" t="s">
        <v>4401</v>
      </c>
      <c r="E93" s="292" t="s">
        <v>4380</v>
      </c>
      <c r="F93" s="257">
        <v>2372988</v>
      </c>
      <c r="G93" s="305" t="s">
        <v>4195</v>
      </c>
      <c r="H93" s="256" t="s">
        <v>4402</v>
      </c>
      <c r="I93" s="256" t="s">
        <v>4382</v>
      </c>
      <c r="J93" s="256" t="s">
        <v>4039</v>
      </c>
      <c r="K93" s="259" t="s">
        <v>4201</v>
      </c>
      <c r="L93" s="313" t="s">
        <v>576</v>
      </c>
      <c r="M93" s="313" t="s">
        <v>4340</v>
      </c>
      <c r="N93" s="334" t="s">
        <v>4529</v>
      </c>
      <c r="O93" s="260">
        <v>51</v>
      </c>
    </row>
    <row r="94" spans="2:15" ht="69.95" customHeight="1" x14ac:dyDescent="0.2">
      <c r="B94" s="260">
        <v>84</v>
      </c>
      <c r="C94" s="260">
        <v>5</v>
      </c>
      <c r="D94" s="256" t="s">
        <v>4327</v>
      </c>
      <c r="E94" s="292" t="s">
        <v>4190</v>
      </c>
      <c r="F94" s="288">
        <v>63640000</v>
      </c>
      <c r="G94" s="300" t="s">
        <v>4050</v>
      </c>
      <c r="H94" s="256" t="s">
        <v>4328</v>
      </c>
      <c r="I94" s="256" t="s">
        <v>4172</v>
      </c>
      <c r="J94" s="256" t="s">
        <v>4053</v>
      </c>
      <c r="K94" s="259" t="s">
        <v>4329</v>
      </c>
      <c r="L94" s="321" t="s">
        <v>576</v>
      </c>
      <c r="M94" s="321" t="s">
        <v>4338</v>
      </c>
      <c r="N94" s="334" t="s">
        <v>4530</v>
      </c>
      <c r="O94" s="260">
        <v>52</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4425</v>
      </c>
      <c r="E114" s="292" t="s">
        <v>4427</v>
      </c>
      <c r="F114" s="257">
        <v>11850000</v>
      </c>
      <c r="G114" s="319" t="s">
        <v>4039</v>
      </c>
      <c r="H114" s="258" t="s">
        <v>4428</v>
      </c>
      <c r="I114" s="256" t="s">
        <v>4426</v>
      </c>
      <c r="J114" s="256" t="s">
        <v>4039</v>
      </c>
      <c r="K114" s="259" t="s">
        <v>4429</v>
      </c>
      <c r="L114" s="313" t="s">
        <v>542</v>
      </c>
      <c r="M114" s="313" t="s">
        <v>4339</v>
      </c>
      <c r="N114" s="334" t="s">
        <v>4528</v>
      </c>
      <c r="O114" s="260">
        <v>52</v>
      </c>
    </row>
    <row r="115" spans="2:15" ht="69.95" customHeight="1" x14ac:dyDescent="0.2">
      <c r="B115" s="260">
        <v>105</v>
      </c>
      <c r="C115" s="260">
        <v>6</v>
      </c>
      <c r="D115" s="256" t="s">
        <v>4445</v>
      </c>
      <c r="E115" s="292" t="s">
        <v>4427</v>
      </c>
      <c r="F115" s="257">
        <v>8750000</v>
      </c>
      <c r="G115" s="319" t="s">
        <v>4307</v>
      </c>
      <c r="H115" s="258" t="s">
        <v>4446</v>
      </c>
      <c r="I115" s="256" t="s">
        <v>4426</v>
      </c>
      <c r="J115" s="256" t="s">
        <v>4039</v>
      </c>
      <c r="K115" s="259" t="s">
        <v>4447</v>
      </c>
      <c r="L115" s="313" t="s">
        <v>542</v>
      </c>
      <c r="M115" s="313" t="s">
        <v>4339</v>
      </c>
      <c r="N115" s="334" t="s">
        <v>4528</v>
      </c>
      <c r="O115" s="260">
        <v>52</v>
      </c>
    </row>
    <row r="116" spans="2:15" ht="69.95" customHeight="1" x14ac:dyDescent="0.2">
      <c r="B116" s="260">
        <v>106</v>
      </c>
      <c r="C116" s="260">
        <v>6</v>
      </c>
      <c r="D116" s="256" t="s">
        <v>4442</v>
      </c>
      <c r="E116" s="292" t="s">
        <v>4427</v>
      </c>
      <c r="F116" s="257">
        <v>136000000</v>
      </c>
      <c r="G116" s="319" t="s">
        <v>4307</v>
      </c>
      <c r="H116" s="258" t="s">
        <v>4443</v>
      </c>
      <c r="I116" s="256" t="s">
        <v>4426</v>
      </c>
      <c r="J116" s="256" t="s">
        <v>4039</v>
      </c>
      <c r="K116" s="259" t="s">
        <v>4444</v>
      </c>
      <c r="L116" s="313" t="s">
        <v>542</v>
      </c>
      <c r="M116" s="313" t="s">
        <v>4339</v>
      </c>
      <c r="N116" s="334" t="s">
        <v>4528</v>
      </c>
      <c r="O116" s="260">
        <v>52</v>
      </c>
    </row>
    <row r="117" spans="2:15" ht="69.95" customHeight="1" x14ac:dyDescent="0.2">
      <c r="B117" s="260">
        <v>107</v>
      </c>
      <c r="C117" s="260">
        <v>6</v>
      </c>
      <c r="D117" s="256" t="s">
        <v>4457</v>
      </c>
      <c r="E117" s="292" t="s">
        <v>4427</v>
      </c>
      <c r="F117" s="257">
        <v>202275000</v>
      </c>
      <c r="G117" s="319" t="s">
        <v>4307</v>
      </c>
      <c r="H117" s="258" t="s">
        <v>4458</v>
      </c>
      <c r="I117" s="256" t="s">
        <v>4426</v>
      </c>
      <c r="J117" s="256" t="s">
        <v>4039</v>
      </c>
      <c r="K117" s="259" t="s">
        <v>4459</v>
      </c>
      <c r="L117" s="313" t="s">
        <v>542</v>
      </c>
      <c r="M117" s="313" t="s">
        <v>4339</v>
      </c>
      <c r="N117" s="334" t="s">
        <v>4528</v>
      </c>
      <c r="O117" s="260">
        <v>52</v>
      </c>
    </row>
    <row r="118" spans="2:15" ht="69.95" customHeight="1" x14ac:dyDescent="0.2">
      <c r="B118" s="260">
        <v>108</v>
      </c>
      <c r="C118" s="260">
        <v>6</v>
      </c>
      <c r="D118" s="256" t="s">
        <v>4430</v>
      </c>
      <c r="E118" s="292" t="s">
        <v>4427</v>
      </c>
      <c r="F118" s="257">
        <v>32800000</v>
      </c>
      <c r="G118" s="319" t="s">
        <v>4307</v>
      </c>
      <c r="H118" s="258" t="s">
        <v>4431</v>
      </c>
      <c r="I118" s="256" t="s">
        <v>4426</v>
      </c>
      <c r="J118" s="256" t="s">
        <v>4039</v>
      </c>
      <c r="K118" s="259" t="s">
        <v>4432</v>
      </c>
      <c r="L118" s="313" t="s">
        <v>542</v>
      </c>
      <c r="M118" s="313" t="s">
        <v>4339</v>
      </c>
      <c r="N118" s="334" t="s">
        <v>4528</v>
      </c>
      <c r="O118" s="260">
        <v>52</v>
      </c>
    </row>
    <row r="119" spans="2:15" ht="69.95" customHeight="1" x14ac:dyDescent="0.2">
      <c r="B119" s="260">
        <v>109</v>
      </c>
      <c r="C119" s="260">
        <v>6</v>
      </c>
      <c r="D119" s="256" t="s">
        <v>4448</v>
      </c>
      <c r="E119" s="292" t="s">
        <v>4427</v>
      </c>
      <c r="F119" s="257">
        <v>39150000</v>
      </c>
      <c r="G119" s="319" t="s">
        <v>4307</v>
      </c>
      <c r="H119" s="258" t="s">
        <v>4449</v>
      </c>
      <c r="I119" s="256" t="s">
        <v>4426</v>
      </c>
      <c r="J119" s="256" t="s">
        <v>4039</v>
      </c>
      <c r="K119" s="259" t="s">
        <v>4450</v>
      </c>
      <c r="L119" s="313" t="s">
        <v>542</v>
      </c>
      <c r="M119" s="313" t="s">
        <v>4339</v>
      </c>
      <c r="N119" s="334" t="s">
        <v>4528</v>
      </c>
      <c r="O119" s="260">
        <v>52</v>
      </c>
    </row>
    <row r="120" spans="2:15" ht="69.95" customHeight="1" x14ac:dyDescent="0.2">
      <c r="B120" s="260">
        <v>110</v>
      </c>
      <c r="C120" s="260">
        <v>6</v>
      </c>
      <c r="D120" s="287" t="s">
        <v>4463</v>
      </c>
      <c r="E120" s="293" t="s">
        <v>4464</v>
      </c>
      <c r="F120" s="288">
        <v>180000000</v>
      </c>
      <c r="G120" s="323" t="s">
        <v>4039</v>
      </c>
      <c r="H120" s="287" t="s">
        <v>4465</v>
      </c>
      <c r="I120" s="287" t="s">
        <v>4427</v>
      </c>
      <c r="J120" s="287" t="s">
        <v>4039</v>
      </c>
      <c r="K120" s="289" t="s">
        <v>4466</v>
      </c>
      <c r="L120" s="313" t="s">
        <v>542</v>
      </c>
      <c r="M120" s="313" t="s">
        <v>4339</v>
      </c>
      <c r="N120" s="334" t="s">
        <v>4528</v>
      </c>
      <c r="O120" s="260">
        <v>52</v>
      </c>
    </row>
    <row r="121" spans="2:15" ht="69.95" customHeight="1" x14ac:dyDescent="0.2">
      <c r="B121" s="260">
        <v>111</v>
      </c>
      <c r="C121" s="260">
        <v>6</v>
      </c>
      <c r="D121" s="287" t="s">
        <v>4485</v>
      </c>
      <c r="E121" s="293" t="s">
        <v>4464</v>
      </c>
      <c r="F121" s="288">
        <v>30000000</v>
      </c>
      <c r="G121" s="319" t="s">
        <v>4039</v>
      </c>
      <c r="H121" s="287" t="s">
        <v>4486</v>
      </c>
      <c r="I121" s="287" t="s">
        <v>4427</v>
      </c>
      <c r="J121" s="287" t="s">
        <v>4039</v>
      </c>
      <c r="K121" s="289" t="s">
        <v>4487</v>
      </c>
      <c r="L121" s="313" t="s">
        <v>542</v>
      </c>
      <c r="M121" s="313" t="s">
        <v>4339</v>
      </c>
      <c r="N121" s="334" t="s">
        <v>4528</v>
      </c>
      <c r="O121" s="260">
        <v>52</v>
      </c>
    </row>
    <row r="122" spans="2:15" ht="69.95" customHeight="1" x14ac:dyDescent="0.2">
      <c r="B122" s="260">
        <v>112</v>
      </c>
      <c r="C122" s="260">
        <v>6</v>
      </c>
      <c r="D122" s="256" t="s">
        <v>4494</v>
      </c>
      <c r="E122" s="292" t="s">
        <v>4495</v>
      </c>
      <c r="F122" s="257">
        <v>6750000</v>
      </c>
      <c r="G122" s="319" t="s">
        <v>4307</v>
      </c>
      <c r="H122" s="256" t="s">
        <v>4496</v>
      </c>
      <c r="I122" s="256" t="s">
        <v>4427</v>
      </c>
      <c r="J122" s="256" t="s">
        <v>4039</v>
      </c>
      <c r="K122" s="289" t="s">
        <v>4497</v>
      </c>
      <c r="L122" s="313" t="s">
        <v>542</v>
      </c>
      <c r="M122" s="313" t="s">
        <v>4339</v>
      </c>
      <c r="N122" s="334" t="s">
        <v>4528</v>
      </c>
      <c r="O122" s="260">
        <v>52</v>
      </c>
    </row>
    <row r="123" spans="2:15" ht="69.95" customHeight="1" x14ac:dyDescent="0.2">
      <c r="B123" s="260">
        <v>113</v>
      </c>
      <c r="C123" s="260">
        <v>6</v>
      </c>
      <c r="D123" s="256" t="s">
        <v>4498</v>
      </c>
      <c r="E123" s="292" t="s">
        <v>4495</v>
      </c>
      <c r="F123" s="257">
        <v>14000000</v>
      </c>
      <c r="G123" s="319" t="s">
        <v>4307</v>
      </c>
      <c r="H123" s="256" t="s">
        <v>4499</v>
      </c>
      <c r="I123" s="256" t="s">
        <v>4427</v>
      </c>
      <c r="J123" s="256" t="s">
        <v>4039</v>
      </c>
      <c r="K123" s="289" t="s">
        <v>4500</v>
      </c>
      <c r="L123" s="313" t="s">
        <v>542</v>
      </c>
      <c r="M123" s="313" t="s">
        <v>4339</v>
      </c>
      <c r="N123" s="334" t="s">
        <v>4528</v>
      </c>
      <c r="O123" s="260">
        <v>52</v>
      </c>
    </row>
    <row r="124" spans="2:15" ht="69.95" customHeight="1" x14ac:dyDescent="0.2">
      <c r="B124" s="260">
        <v>114</v>
      </c>
      <c r="C124" s="260">
        <v>6</v>
      </c>
      <c r="D124" s="256" t="s">
        <v>4510</v>
      </c>
      <c r="E124" s="292" t="s">
        <v>4495</v>
      </c>
      <c r="F124" s="257">
        <v>185225000</v>
      </c>
      <c r="G124" s="319" t="s">
        <v>4307</v>
      </c>
      <c r="H124" s="256" t="s">
        <v>4511</v>
      </c>
      <c r="I124" s="256" t="s">
        <v>4427</v>
      </c>
      <c r="J124" s="256" t="s">
        <v>4039</v>
      </c>
      <c r="K124" s="289" t="s">
        <v>4512</v>
      </c>
      <c r="L124" s="313" t="s">
        <v>542</v>
      </c>
      <c r="M124" s="313" t="s">
        <v>4339</v>
      </c>
      <c r="N124" s="334" t="s">
        <v>4528</v>
      </c>
      <c r="O124" s="260">
        <v>52</v>
      </c>
    </row>
    <row r="125" spans="2:15" ht="69.95" customHeight="1" x14ac:dyDescent="0.2">
      <c r="B125" s="260">
        <v>115</v>
      </c>
      <c r="C125" s="260">
        <v>6</v>
      </c>
      <c r="D125" s="256" t="s">
        <v>4504</v>
      </c>
      <c r="E125" s="292" t="s">
        <v>4495</v>
      </c>
      <c r="F125" s="257">
        <v>436225000</v>
      </c>
      <c r="G125" s="319" t="s">
        <v>4307</v>
      </c>
      <c r="H125" s="256" t="s">
        <v>4505</v>
      </c>
      <c r="I125" s="256" t="s">
        <v>4427</v>
      </c>
      <c r="J125" s="256" t="s">
        <v>4039</v>
      </c>
      <c r="K125" s="289" t="s">
        <v>4506</v>
      </c>
      <c r="L125" s="313" t="s">
        <v>542</v>
      </c>
      <c r="M125" s="313" t="s">
        <v>4339</v>
      </c>
      <c r="N125" s="334" t="s">
        <v>4528</v>
      </c>
      <c r="O125" s="260">
        <v>52</v>
      </c>
    </row>
    <row r="126" spans="2:15" ht="69.95" customHeight="1" x14ac:dyDescent="0.2">
      <c r="B126" s="260">
        <v>116</v>
      </c>
      <c r="C126" s="260">
        <v>6</v>
      </c>
      <c r="D126" s="256" t="s">
        <v>4525</v>
      </c>
      <c r="E126" s="292" t="s">
        <v>4495</v>
      </c>
      <c r="F126" s="257">
        <v>9000000</v>
      </c>
      <c r="G126" s="319" t="s">
        <v>4307</v>
      </c>
      <c r="H126" s="256" t="s">
        <v>4526</v>
      </c>
      <c r="I126" s="256" t="s">
        <v>4464</v>
      </c>
      <c r="J126" s="256" t="s">
        <v>4039</v>
      </c>
      <c r="K126" s="289" t="s">
        <v>4527</v>
      </c>
      <c r="L126" s="313" t="s">
        <v>542</v>
      </c>
      <c r="M126" s="313" t="s">
        <v>4339</v>
      </c>
      <c r="N126" s="334" t="s">
        <v>4528</v>
      </c>
      <c r="O126" s="260">
        <v>52</v>
      </c>
    </row>
    <row r="127" spans="2:15" ht="69.95" customHeight="1" x14ac:dyDescent="0.2">
      <c r="B127" s="260">
        <v>117</v>
      </c>
      <c r="C127" s="260">
        <v>6</v>
      </c>
      <c r="D127" s="256" t="s">
        <v>4516</v>
      </c>
      <c r="E127" s="292" t="s">
        <v>4495</v>
      </c>
      <c r="F127" s="257">
        <v>36000000</v>
      </c>
      <c r="G127" s="319" t="s">
        <v>4307</v>
      </c>
      <c r="H127" s="256" t="s">
        <v>4517</v>
      </c>
      <c r="I127" s="256" t="s">
        <v>4464</v>
      </c>
      <c r="J127" s="256" t="s">
        <v>4039</v>
      </c>
      <c r="K127" s="289" t="s">
        <v>4518</v>
      </c>
      <c r="L127" s="313" t="s">
        <v>542</v>
      </c>
      <c r="M127" s="313" t="s">
        <v>4339</v>
      </c>
      <c r="N127" s="334" t="s">
        <v>4528</v>
      </c>
      <c r="O127" s="260">
        <v>52</v>
      </c>
    </row>
    <row r="128" spans="2:15" ht="69.95" customHeight="1" x14ac:dyDescent="0.2">
      <c r="B128" s="260">
        <v>118</v>
      </c>
      <c r="C128" s="260">
        <v>6</v>
      </c>
      <c r="D128" s="256" t="s">
        <v>4513</v>
      </c>
      <c r="E128" s="292" t="s">
        <v>4495</v>
      </c>
      <c r="F128" s="257">
        <v>46500000</v>
      </c>
      <c r="G128" s="319" t="s">
        <v>4307</v>
      </c>
      <c r="H128" s="256" t="s">
        <v>4514</v>
      </c>
      <c r="I128" s="256" t="s">
        <v>4464</v>
      </c>
      <c r="J128" s="256" t="s">
        <v>4039</v>
      </c>
      <c r="K128" s="289" t="s">
        <v>4515</v>
      </c>
      <c r="L128" s="313" t="s">
        <v>542</v>
      </c>
      <c r="M128" s="313" t="s">
        <v>4339</v>
      </c>
      <c r="N128" s="334" t="s">
        <v>4528</v>
      </c>
      <c r="O128" s="260">
        <v>52</v>
      </c>
    </row>
    <row r="129" spans="2:15" ht="69.95" customHeight="1" x14ac:dyDescent="0.2">
      <c r="B129" s="260">
        <v>119</v>
      </c>
      <c r="C129" s="260">
        <v>6</v>
      </c>
      <c r="D129" s="256" t="s">
        <v>4507</v>
      </c>
      <c r="E129" s="292" t="s">
        <v>4495</v>
      </c>
      <c r="F129" s="257">
        <v>10000000</v>
      </c>
      <c r="G129" s="319" t="s">
        <v>4307</v>
      </c>
      <c r="H129" s="256" t="s">
        <v>4508</v>
      </c>
      <c r="I129" s="256" t="s">
        <v>4464</v>
      </c>
      <c r="J129" s="256" t="s">
        <v>4039</v>
      </c>
      <c r="K129" s="289" t="s">
        <v>4509</v>
      </c>
      <c r="L129" s="313" t="s">
        <v>542</v>
      </c>
      <c r="M129" s="313" t="s">
        <v>4339</v>
      </c>
      <c r="N129" s="334" t="s">
        <v>4528</v>
      </c>
      <c r="O129" s="260">
        <v>52</v>
      </c>
    </row>
    <row r="130" spans="2:15" ht="69.95" customHeight="1" x14ac:dyDescent="0.2">
      <c r="B130" s="260">
        <v>120</v>
      </c>
      <c r="C130" s="260">
        <v>6</v>
      </c>
      <c r="D130" s="256" t="s">
        <v>4522</v>
      </c>
      <c r="E130" s="292" t="s">
        <v>4495</v>
      </c>
      <c r="F130" s="257">
        <v>15500000</v>
      </c>
      <c r="G130" s="319" t="s">
        <v>4307</v>
      </c>
      <c r="H130" s="256" t="s">
        <v>4523</v>
      </c>
      <c r="I130" s="256" t="s">
        <v>4464</v>
      </c>
      <c r="J130" s="256" t="s">
        <v>4039</v>
      </c>
      <c r="K130" s="289" t="s">
        <v>4524</v>
      </c>
      <c r="L130" s="313" t="s">
        <v>542</v>
      </c>
      <c r="M130" s="313" t="s">
        <v>4339</v>
      </c>
      <c r="N130" s="334" t="s">
        <v>4528</v>
      </c>
      <c r="O130" s="260">
        <v>52</v>
      </c>
    </row>
    <row r="131" spans="2:15" ht="69.95" customHeight="1" x14ac:dyDescent="0.2">
      <c r="B131" s="260">
        <v>121</v>
      </c>
      <c r="C131" s="260">
        <v>6</v>
      </c>
      <c r="D131" s="256" t="s">
        <v>4501</v>
      </c>
      <c r="E131" s="292" t="s">
        <v>4495</v>
      </c>
      <c r="F131" s="257">
        <v>25000000</v>
      </c>
      <c r="G131" s="319" t="s">
        <v>4307</v>
      </c>
      <c r="H131" s="256" t="s">
        <v>4502</v>
      </c>
      <c r="I131" s="256" t="s">
        <v>4464</v>
      </c>
      <c r="J131" s="256" t="s">
        <v>4039</v>
      </c>
      <c r="K131" s="289" t="s">
        <v>4503</v>
      </c>
      <c r="L131" s="313" t="s">
        <v>542</v>
      </c>
      <c r="M131" s="313" t="s">
        <v>4339</v>
      </c>
      <c r="N131" s="334" t="s">
        <v>4528</v>
      </c>
      <c r="O131" s="260">
        <v>52</v>
      </c>
    </row>
    <row r="132" spans="2:15" ht="69.95" customHeight="1" x14ac:dyDescent="0.2">
      <c r="B132" s="260">
        <v>122</v>
      </c>
      <c r="C132" s="260">
        <v>6</v>
      </c>
      <c r="D132" s="256" t="s">
        <v>4538</v>
      </c>
      <c r="E132" s="292" t="s">
        <v>4535</v>
      </c>
      <c r="F132" s="257">
        <v>30000000</v>
      </c>
      <c r="G132" s="319" t="s">
        <v>4039</v>
      </c>
      <c r="H132" s="256" t="s">
        <v>4539</v>
      </c>
      <c r="I132" s="256" t="s">
        <v>4427</v>
      </c>
      <c r="J132" s="256" t="s">
        <v>4039</v>
      </c>
      <c r="K132" s="259" t="s">
        <v>4540</v>
      </c>
      <c r="L132" s="313" t="s">
        <v>542</v>
      </c>
      <c r="M132" s="313" t="s">
        <v>4339</v>
      </c>
      <c r="N132" s="334" t="s">
        <v>4528</v>
      </c>
      <c r="O132" s="260">
        <v>52</v>
      </c>
    </row>
    <row r="133" spans="2:15" ht="69.95" customHeight="1" x14ac:dyDescent="0.2">
      <c r="B133" s="260">
        <v>123</v>
      </c>
      <c r="C133" s="260">
        <v>6</v>
      </c>
      <c r="D133" s="256" t="s">
        <v>4543</v>
      </c>
      <c r="E133" s="292" t="s">
        <v>4535</v>
      </c>
      <c r="F133" s="257">
        <v>55500000</v>
      </c>
      <c r="G133" s="319" t="s">
        <v>4307</v>
      </c>
      <c r="H133" s="256" t="s">
        <v>4544</v>
      </c>
      <c r="I133" s="256" t="s">
        <v>4427</v>
      </c>
      <c r="J133" s="256" t="s">
        <v>4039</v>
      </c>
      <c r="K133" s="259" t="s">
        <v>4545</v>
      </c>
      <c r="L133" s="313" t="s">
        <v>542</v>
      </c>
      <c r="M133" s="313" t="s">
        <v>4339</v>
      </c>
      <c r="N133" s="334" t="s">
        <v>4528</v>
      </c>
      <c r="O133" s="260">
        <v>52</v>
      </c>
    </row>
    <row r="134" spans="2:15" ht="69.95" customHeight="1" x14ac:dyDescent="0.2">
      <c r="B134" s="260">
        <v>124</v>
      </c>
      <c r="C134" s="260">
        <v>6</v>
      </c>
      <c r="D134" s="256" t="s">
        <v>4546</v>
      </c>
      <c r="E134" s="292" t="s">
        <v>4535</v>
      </c>
      <c r="F134" s="257">
        <v>152000000</v>
      </c>
      <c r="G134" s="319" t="s">
        <v>4307</v>
      </c>
      <c r="H134" s="256" t="s">
        <v>4547</v>
      </c>
      <c r="I134" s="256" t="s">
        <v>4427</v>
      </c>
      <c r="J134" s="256" t="s">
        <v>4039</v>
      </c>
      <c r="K134" s="259" t="s">
        <v>4548</v>
      </c>
      <c r="L134" s="313" t="s">
        <v>542</v>
      </c>
      <c r="M134" s="313" t="s">
        <v>4339</v>
      </c>
      <c r="N134" s="334" t="s">
        <v>4528</v>
      </c>
      <c r="O134" s="260">
        <v>52</v>
      </c>
    </row>
    <row r="135" spans="2:15" ht="69.95" customHeight="1" x14ac:dyDescent="0.2">
      <c r="B135" s="260">
        <v>125</v>
      </c>
      <c r="C135" s="260">
        <v>6</v>
      </c>
      <c r="D135" s="256" t="s">
        <v>4549</v>
      </c>
      <c r="E135" s="292" t="s">
        <v>4535</v>
      </c>
      <c r="F135" s="257">
        <v>16250000</v>
      </c>
      <c r="G135" s="319" t="s">
        <v>4307</v>
      </c>
      <c r="H135" s="256" t="s">
        <v>4550</v>
      </c>
      <c r="I135" s="256" t="s">
        <v>4427</v>
      </c>
      <c r="J135" s="256" t="s">
        <v>4039</v>
      </c>
      <c r="K135" s="259" t="s">
        <v>4551</v>
      </c>
      <c r="L135" s="313" t="s">
        <v>542</v>
      </c>
      <c r="M135" s="313" t="s">
        <v>4339</v>
      </c>
      <c r="N135" s="334" t="s">
        <v>4528</v>
      </c>
      <c r="O135" s="260">
        <v>52</v>
      </c>
    </row>
    <row r="136" spans="2:15" ht="69.95" customHeight="1" x14ac:dyDescent="0.2">
      <c r="B136" s="260">
        <v>126</v>
      </c>
      <c r="C136" s="260">
        <v>6</v>
      </c>
      <c r="D136" s="256" t="s">
        <v>4415</v>
      </c>
      <c r="E136" s="292" t="s">
        <v>4416</v>
      </c>
      <c r="F136" s="288">
        <v>210863345</v>
      </c>
      <c r="G136" s="305" t="s">
        <v>4191</v>
      </c>
      <c r="H136" s="331" t="s">
        <v>4417</v>
      </c>
      <c r="I136" s="256" t="s">
        <v>4351</v>
      </c>
      <c r="J136" s="256" t="s">
        <v>4053</v>
      </c>
      <c r="K136" s="259" t="s">
        <v>4418</v>
      </c>
      <c r="L136" s="313" t="s">
        <v>576</v>
      </c>
      <c r="M136" s="313" t="s">
        <v>4340</v>
      </c>
      <c r="N136" s="334" t="s">
        <v>4529</v>
      </c>
      <c r="O136" s="260">
        <v>51</v>
      </c>
    </row>
    <row r="137" spans="2:15" ht="69.95" customHeight="1" x14ac:dyDescent="0.2">
      <c r="B137" s="260">
        <v>127</v>
      </c>
      <c r="C137" s="260">
        <v>6</v>
      </c>
      <c r="D137" s="256" t="s">
        <v>4419</v>
      </c>
      <c r="E137" s="292" t="s">
        <v>4416</v>
      </c>
      <c r="F137" s="288">
        <v>4697567</v>
      </c>
      <c r="G137" s="305" t="s">
        <v>4191</v>
      </c>
      <c r="H137" s="331" t="s">
        <v>4420</v>
      </c>
      <c r="I137" s="256" t="s">
        <v>4351</v>
      </c>
      <c r="J137" s="256" t="s">
        <v>4053</v>
      </c>
      <c r="K137" s="259" t="s">
        <v>4421</v>
      </c>
      <c r="L137" s="313" t="s">
        <v>576</v>
      </c>
      <c r="M137" s="313" t="s">
        <v>4340</v>
      </c>
      <c r="N137" s="334" t="s">
        <v>4529</v>
      </c>
      <c r="O137" s="260">
        <v>51</v>
      </c>
    </row>
    <row r="138" spans="2:15" ht="69.95" customHeight="1" x14ac:dyDescent="0.2">
      <c r="B138" s="260">
        <v>128</v>
      </c>
      <c r="C138" s="260">
        <v>6</v>
      </c>
      <c r="D138" s="256" t="s">
        <v>4534</v>
      </c>
      <c r="E138" s="292" t="s">
        <v>4535</v>
      </c>
      <c r="F138" s="257">
        <v>241668914</v>
      </c>
      <c r="G138" s="305" t="s">
        <v>4039</v>
      </c>
      <c r="H138" s="256" t="s">
        <v>4536</v>
      </c>
      <c r="I138" s="256" t="s">
        <v>4495</v>
      </c>
      <c r="J138" s="256" t="s">
        <v>4039</v>
      </c>
      <c r="K138" s="259" t="s">
        <v>4537</v>
      </c>
      <c r="L138" s="313" t="s">
        <v>576</v>
      </c>
      <c r="M138" s="313" t="s">
        <v>4340</v>
      </c>
      <c r="N138" s="333" t="s">
        <v>4529</v>
      </c>
      <c r="O138" s="260">
        <v>51</v>
      </c>
    </row>
    <row r="139" spans="2:15" ht="69.95" customHeight="1" x14ac:dyDescent="0.2">
      <c r="B139" s="260">
        <v>129</v>
      </c>
      <c r="C139" s="260">
        <v>6</v>
      </c>
      <c r="D139" s="256" t="s">
        <v>4422</v>
      </c>
      <c r="E139" s="292" t="s">
        <v>4416</v>
      </c>
      <c r="F139" s="288">
        <v>63640000</v>
      </c>
      <c r="G139" s="300" t="s">
        <v>4050</v>
      </c>
      <c r="H139" s="331" t="s">
        <v>4423</v>
      </c>
      <c r="I139" s="256" t="s">
        <v>4365</v>
      </c>
      <c r="J139" s="256" t="s">
        <v>4053</v>
      </c>
      <c r="K139" s="259" t="s">
        <v>4424</v>
      </c>
      <c r="L139" s="313" t="s">
        <v>576</v>
      </c>
      <c r="M139" s="313" t="s">
        <v>4338</v>
      </c>
      <c r="N139" s="334" t="s">
        <v>4530</v>
      </c>
      <c r="O139" s="260">
        <v>52</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260">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N172" s="329" t="s">
        <v>3842</v>
      </c>
    </row>
  </sheetData>
  <sortState xmlns:xlrd2="http://schemas.microsoft.com/office/spreadsheetml/2017/richdata2" ref="B11:K51">
    <sortCondition ref="H11:H51"/>
  </sortState>
  <conditionalFormatting sqref="D113:D116">
    <cfRule type="duplicateValues" dxfId="713" priority="3"/>
  </conditionalFormatting>
  <conditionalFormatting sqref="D11:D171">
    <cfRule type="duplicateValues" dxfId="712" priority="28"/>
    <cfRule type="duplicateValues" dxfId="711"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L11:L171</xm:sqref>
        </x14:dataValidation>
        <x14:dataValidation type="list" allowBlank="1" showInputMessage="1" showErrorMessage="1" xr:uid="{1D7AA939-12B2-4A2A-99CA-5C400ED59A4C}">
          <x14:formula1>
            <xm:f>Eselon2!$R$2:$R$9</xm:f>
          </x14:formula1>
          <xm:sqref>M11:M171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J18" sqref="J18"/>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59" t="str">
        <f>'PERSUBBID - Gaji'!A1</f>
        <v>REALISASI TANPA GAJI (BERDASARKAN PAGU SETELAH BLOKIR)</v>
      </c>
      <c r="D1" s="459"/>
      <c r="E1" s="459"/>
      <c r="F1" s="459"/>
      <c r="G1" s="459"/>
      <c r="H1" s="459"/>
    </row>
    <row r="2" spans="3:18" ht="19.5" x14ac:dyDescent="0.4">
      <c r="C2" s="459" t="str">
        <f>'PER BULAN'!B5</f>
        <v>Berdasarkan DIPA Revisi 2 TA. 2022 (Tanggal 9 Juni 2022)</v>
      </c>
      <c r="D2" s="459"/>
      <c r="E2" s="459"/>
      <c r="F2" s="459"/>
      <c r="G2" s="459"/>
      <c r="H2" s="459"/>
    </row>
    <row r="3" spans="3:18" ht="19.5" x14ac:dyDescent="0.4">
      <c r="C3" s="459" t="str">
        <f>'PER BULAN'!B6</f>
        <v>SAMPAI DENGAN 22 JUNI 2022</v>
      </c>
      <c r="D3" s="459"/>
      <c r="E3" s="459"/>
      <c r="F3" s="459"/>
      <c r="G3" s="459"/>
      <c r="H3" s="459"/>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6067322932</v>
      </c>
      <c r="F6" s="350">
        <v>53.33533288724032</v>
      </c>
      <c r="G6" s="349">
        <v>5308481068</v>
      </c>
      <c r="H6" s="350">
        <v>46.66466711275968</v>
      </c>
      <c r="R6" s="215"/>
    </row>
    <row r="7" spans="3:18" x14ac:dyDescent="0.25">
      <c r="C7" s="309" t="s">
        <v>3888</v>
      </c>
      <c r="D7" s="351">
        <v>1000000000</v>
      </c>
      <c r="E7" s="351">
        <v>368522100</v>
      </c>
      <c r="F7" s="352">
        <v>36.852209999999999</v>
      </c>
      <c r="G7" s="351">
        <v>631477900</v>
      </c>
      <c r="H7" s="352">
        <v>63.147790000000001</v>
      </c>
      <c r="R7" s="215"/>
    </row>
    <row r="8" spans="3:18" x14ac:dyDescent="0.25">
      <c r="C8" s="309" t="s">
        <v>3898</v>
      </c>
      <c r="D8" s="351">
        <v>1000000000</v>
      </c>
      <c r="E8" s="351">
        <v>368522100</v>
      </c>
      <c r="F8" s="352">
        <v>36.852209999999999</v>
      </c>
      <c r="G8" s="351">
        <v>631477900</v>
      </c>
      <c r="H8" s="352">
        <v>63.147790000000001</v>
      </c>
    </row>
    <row r="9" spans="3:18" x14ac:dyDescent="0.25">
      <c r="C9" s="310" t="s">
        <v>535</v>
      </c>
      <c r="D9" s="353">
        <v>821400000</v>
      </c>
      <c r="E9" s="353">
        <v>288789600</v>
      </c>
      <c r="F9" s="354">
        <v>35.158217677136591</v>
      </c>
      <c r="G9" s="353">
        <v>532610400</v>
      </c>
      <c r="H9" s="354">
        <v>64.841782322863409</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74609360</v>
      </c>
      <c r="F33" s="356">
        <v>55.22528497409327</v>
      </c>
      <c r="G33" s="355">
        <v>60490640</v>
      </c>
      <c r="H33" s="356">
        <v>44.774715025906737</v>
      </c>
    </row>
    <row r="34" spans="3:15" x14ac:dyDescent="0.25">
      <c r="C34" s="309" t="s">
        <v>3900</v>
      </c>
      <c r="D34" s="351">
        <v>135100000</v>
      </c>
      <c r="E34" s="351">
        <v>74609360</v>
      </c>
      <c r="F34" s="352">
        <v>55.22528497409327</v>
      </c>
      <c r="G34" s="351">
        <v>60490640</v>
      </c>
      <c r="H34" s="352">
        <v>44.774715025906737</v>
      </c>
      <c r="O34" s="217"/>
    </row>
    <row r="35" spans="3:15" x14ac:dyDescent="0.25">
      <c r="C35" s="325" t="s">
        <v>3910</v>
      </c>
      <c r="D35" s="357">
        <v>135100000</v>
      </c>
      <c r="E35" s="357">
        <v>74609360</v>
      </c>
      <c r="F35" s="358">
        <v>55.22528497409327</v>
      </c>
      <c r="G35" s="357">
        <v>60490640</v>
      </c>
      <c r="H35" s="358">
        <v>44.774715025906737</v>
      </c>
    </row>
    <row r="36" spans="3:15" x14ac:dyDescent="0.25">
      <c r="C36" s="311" t="s">
        <v>3911</v>
      </c>
      <c r="D36" s="359">
        <v>135100000</v>
      </c>
      <c r="E36" s="359">
        <v>74609360</v>
      </c>
      <c r="F36" s="360">
        <v>55.22528497409327</v>
      </c>
      <c r="G36" s="359">
        <v>60490640</v>
      </c>
      <c r="H36" s="360">
        <v>44.774715025906737</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57918610</v>
      </c>
      <c r="F41" s="352">
        <v>59.454925268949651</v>
      </c>
      <c r="G41" s="351">
        <v>39497390</v>
      </c>
      <c r="H41" s="352">
        <v>40.545074731050342</v>
      </c>
    </row>
    <row r="42" spans="3:15" x14ac:dyDescent="0.25">
      <c r="C42" s="310" t="s">
        <v>531</v>
      </c>
      <c r="D42" s="353">
        <v>178600000</v>
      </c>
      <c r="E42" s="353">
        <v>79732500</v>
      </c>
      <c r="F42" s="354">
        <v>44.643057110862259</v>
      </c>
      <c r="G42" s="353">
        <v>98867500</v>
      </c>
      <c r="H42" s="354">
        <v>55.356942889137741</v>
      </c>
    </row>
    <row r="43" spans="3:15" x14ac:dyDescent="0.25">
      <c r="C43" s="170" t="s">
        <v>532</v>
      </c>
      <c r="D43" s="355">
        <v>124100000</v>
      </c>
      <c r="E43" s="355">
        <v>55518000</v>
      </c>
      <c r="F43" s="356">
        <v>44.736502820306207</v>
      </c>
      <c r="G43" s="355">
        <v>68582000</v>
      </c>
      <c r="H43" s="356">
        <v>55.2634971796938</v>
      </c>
    </row>
    <row r="44" spans="3:15" x14ac:dyDescent="0.25">
      <c r="C44" s="309" t="s">
        <v>3900</v>
      </c>
      <c r="D44" s="351">
        <v>124100000</v>
      </c>
      <c r="E44" s="351">
        <v>55518000</v>
      </c>
      <c r="F44" s="352">
        <v>44.736502820306207</v>
      </c>
      <c r="G44" s="351">
        <v>68582000</v>
      </c>
      <c r="H44" s="352">
        <v>55.2634971796938</v>
      </c>
    </row>
    <row r="45" spans="3:15" x14ac:dyDescent="0.25">
      <c r="C45" s="325" t="s">
        <v>3901</v>
      </c>
      <c r="D45" s="357">
        <v>124100000</v>
      </c>
      <c r="E45" s="357">
        <v>55518000</v>
      </c>
      <c r="F45" s="358">
        <v>44.736502820306207</v>
      </c>
      <c r="G45" s="357">
        <v>68582000</v>
      </c>
      <c r="H45" s="358">
        <v>55.2634971796938</v>
      </c>
    </row>
    <row r="46" spans="3:15" x14ac:dyDescent="0.25">
      <c r="C46" s="311" t="s">
        <v>3902</v>
      </c>
      <c r="D46" s="359">
        <v>83135000</v>
      </c>
      <c r="E46" s="359">
        <v>33957000</v>
      </c>
      <c r="F46" s="360">
        <v>40.845612557887776</v>
      </c>
      <c r="G46" s="359">
        <v>49178000</v>
      </c>
      <c r="H46" s="360">
        <v>59.154387442112224</v>
      </c>
    </row>
    <row r="47" spans="3:15" x14ac:dyDescent="0.25">
      <c r="C47" s="315" t="s">
        <v>3890</v>
      </c>
      <c r="D47" s="351">
        <v>19875000</v>
      </c>
      <c r="E47" s="351">
        <v>5581000</v>
      </c>
      <c r="F47" s="352">
        <v>28.080503144654088</v>
      </c>
      <c r="G47" s="351">
        <v>14294000</v>
      </c>
      <c r="H47" s="352">
        <v>71.919496855345912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24214500</v>
      </c>
      <c r="F54" s="356">
        <v>44.430275229357797</v>
      </c>
      <c r="G54" s="355">
        <v>30285500</v>
      </c>
      <c r="H54" s="356">
        <v>55.569724770642203</v>
      </c>
    </row>
    <row r="55" spans="3:8" x14ac:dyDescent="0.25">
      <c r="C55" s="309" t="s">
        <v>3900</v>
      </c>
      <c r="D55" s="351">
        <v>54500000</v>
      </c>
      <c r="E55" s="351">
        <v>24214500</v>
      </c>
      <c r="F55" s="352">
        <v>44.430275229357797</v>
      </c>
      <c r="G55" s="351">
        <v>30285500</v>
      </c>
      <c r="H55" s="352">
        <v>55.569724770642203</v>
      </c>
    </row>
    <row r="56" spans="3:8" x14ac:dyDescent="0.25">
      <c r="C56" s="325" t="s">
        <v>3905</v>
      </c>
      <c r="D56" s="357">
        <v>54500000</v>
      </c>
      <c r="E56" s="357">
        <v>24214500</v>
      </c>
      <c r="F56" s="358">
        <v>44.430275229357797</v>
      </c>
      <c r="G56" s="357">
        <v>30285500</v>
      </c>
      <c r="H56" s="358">
        <v>55.569724770642203</v>
      </c>
    </row>
    <row r="57" spans="3:8" x14ac:dyDescent="0.25">
      <c r="C57" s="311" t="s">
        <v>3922</v>
      </c>
      <c r="D57" s="359">
        <v>54500000</v>
      </c>
      <c r="E57" s="359">
        <v>24214500</v>
      </c>
      <c r="F57" s="360">
        <v>44.430275229357797</v>
      </c>
      <c r="G57" s="359">
        <v>30285500</v>
      </c>
      <c r="H57" s="360">
        <v>55.569724770642203</v>
      </c>
    </row>
    <row r="58" spans="3:8" x14ac:dyDescent="0.25">
      <c r="C58" s="315" t="s">
        <v>3890</v>
      </c>
      <c r="D58" s="351">
        <v>21250000</v>
      </c>
      <c r="E58" s="351">
        <v>3120000</v>
      </c>
      <c r="F58" s="352">
        <v>14.682352941176472</v>
      </c>
      <c r="G58" s="351">
        <v>18130000</v>
      </c>
      <c r="H58" s="352">
        <v>85.317647058823525</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5698800832</v>
      </c>
      <c r="F60" s="352">
        <v>54.923944515528632</v>
      </c>
      <c r="G60" s="351">
        <v>4677003168</v>
      </c>
      <c r="H60" s="352">
        <v>45.076055484471375</v>
      </c>
    </row>
    <row r="61" spans="3:8" x14ac:dyDescent="0.25">
      <c r="C61" s="309" t="s">
        <v>3914</v>
      </c>
      <c r="D61" s="351">
        <v>4293304000</v>
      </c>
      <c r="E61" s="351">
        <v>2222086920</v>
      </c>
      <c r="F61" s="352">
        <v>51.75703653875896</v>
      </c>
      <c r="G61" s="351">
        <v>2071217080</v>
      </c>
      <c r="H61" s="352">
        <v>48.24296346124104</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127448590</v>
      </c>
      <c r="F70" s="354">
        <v>65.773467376102474</v>
      </c>
      <c r="G70" s="353">
        <v>66320410</v>
      </c>
      <c r="H70" s="354">
        <v>34.226532623897526</v>
      </c>
    </row>
    <row r="71" spans="3:8" x14ac:dyDescent="0.25">
      <c r="C71" s="170" t="s">
        <v>532</v>
      </c>
      <c r="D71" s="355">
        <v>83506000</v>
      </c>
      <c r="E71" s="355">
        <v>78297590</v>
      </c>
      <c r="F71" s="356">
        <v>93.762831413311616</v>
      </c>
      <c r="G71" s="355">
        <v>5208410</v>
      </c>
      <c r="H71" s="356">
        <v>6.2371685866883819</v>
      </c>
    </row>
    <row r="72" spans="3:8" x14ac:dyDescent="0.25">
      <c r="C72" s="309" t="s">
        <v>3935</v>
      </c>
      <c r="D72" s="351">
        <v>83506000</v>
      </c>
      <c r="E72" s="351">
        <v>78297590</v>
      </c>
      <c r="F72" s="352">
        <v>93.762831413311616</v>
      </c>
      <c r="G72" s="351">
        <v>5208410</v>
      </c>
      <c r="H72" s="352">
        <v>6.2371685866883819</v>
      </c>
    </row>
    <row r="73" spans="3:8" x14ac:dyDescent="0.25">
      <c r="C73" s="325" t="s">
        <v>3934</v>
      </c>
      <c r="D73" s="357">
        <v>83506000</v>
      </c>
      <c r="E73" s="357">
        <v>78297590</v>
      </c>
      <c r="F73" s="358">
        <v>93.762831413311616</v>
      </c>
      <c r="G73" s="357">
        <v>5208410</v>
      </c>
      <c r="H73" s="358">
        <v>6.2371685866883819</v>
      </c>
    </row>
    <row r="74" spans="3:8" x14ac:dyDescent="0.25">
      <c r="C74" s="311" t="s">
        <v>3940</v>
      </c>
      <c r="D74" s="359">
        <v>83506000</v>
      </c>
      <c r="E74" s="359">
        <v>78297590</v>
      </c>
      <c r="F74" s="360">
        <v>93.762831413311616</v>
      </c>
      <c r="G74" s="359">
        <v>5208410</v>
      </c>
      <c r="H74" s="360">
        <v>6.2371685866883819</v>
      </c>
    </row>
    <row r="75" spans="3:8" x14ac:dyDescent="0.25">
      <c r="C75" s="315" t="s">
        <v>3890</v>
      </c>
      <c r="D75" s="351">
        <v>12550000</v>
      </c>
      <c r="E75" s="351">
        <v>11542500</v>
      </c>
      <c r="F75" s="352">
        <v>91.972111553784856</v>
      </c>
      <c r="G75" s="351">
        <v>1007500</v>
      </c>
      <c r="H75" s="352">
        <v>8.0278884462151403</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4800000</v>
      </c>
      <c r="F77" s="352">
        <v>53.333333333333336</v>
      </c>
      <c r="G77" s="351">
        <v>4200000</v>
      </c>
      <c r="H77" s="352">
        <v>46.666666666666664</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236473592</v>
      </c>
      <c r="F87" s="354">
        <v>50.995348877330095</v>
      </c>
      <c r="G87" s="353">
        <v>227242408</v>
      </c>
      <c r="H87" s="354">
        <v>49.004651122669912</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130677295</v>
      </c>
      <c r="F104" s="356">
        <v>44.460460060288924</v>
      </c>
      <c r="G104" s="355">
        <v>163240705</v>
      </c>
      <c r="H104" s="356">
        <v>55.539539939711076</v>
      </c>
    </row>
    <row r="105" spans="3:8" x14ac:dyDescent="0.25">
      <c r="C105" s="309" t="s">
        <v>3933</v>
      </c>
      <c r="D105" s="351">
        <v>113346000</v>
      </c>
      <c r="E105" s="351">
        <v>28697850</v>
      </c>
      <c r="F105" s="352">
        <v>25.318802604414802</v>
      </c>
      <c r="G105" s="351">
        <v>84648150</v>
      </c>
      <c r="H105" s="352">
        <v>74.681197395585201</v>
      </c>
    </row>
    <row r="106" spans="3:8" x14ac:dyDescent="0.25">
      <c r="C106" s="325" t="s">
        <v>3932</v>
      </c>
      <c r="D106" s="357">
        <v>113346000</v>
      </c>
      <c r="E106" s="357">
        <v>28697850</v>
      </c>
      <c r="F106" s="358">
        <v>25.318802604414802</v>
      </c>
      <c r="G106" s="357">
        <v>84648150</v>
      </c>
      <c r="H106" s="358">
        <v>74.681197395585201</v>
      </c>
    </row>
    <row r="107" spans="3:8" x14ac:dyDescent="0.25">
      <c r="C107" s="311" t="s">
        <v>3931</v>
      </c>
      <c r="D107" s="359">
        <v>113346000</v>
      </c>
      <c r="E107" s="359">
        <v>28697850</v>
      </c>
      <c r="F107" s="360">
        <v>25.318802604414802</v>
      </c>
      <c r="G107" s="359">
        <v>84648150</v>
      </c>
      <c r="H107" s="360">
        <v>74.681197395585201</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18370600</v>
      </c>
      <c r="F110" s="352">
        <v>20.199459019638027</v>
      </c>
      <c r="G110" s="351">
        <v>72575400</v>
      </c>
      <c r="H110" s="352">
        <v>79.800540980361973</v>
      </c>
    </row>
    <row r="111" spans="3:8" x14ac:dyDescent="0.25">
      <c r="C111" s="309" t="s">
        <v>3961</v>
      </c>
      <c r="D111" s="351">
        <v>180572000</v>
      </c>
      <c r="E111" s="351">
        <v>101979445</v>
      </c>
      <c r="F111" s="352">
        <v>56.475779744367891</v>
      </c>
      <c r="G111" s="351">
        <v>78592555</v>
      </c>
      <c r="H111" s="352">
        <v>43.524220255632102</v>
      </c>
    </row>
    <row r="112" spans="3:8" x14ac:dyDescent="0.25">
      <c r="C112" s="325" t="s">
        <v>3962</v>
      </c>
      <c r="D112" s="357">
        <v>180572000</v>
      </c>
      <c r="E112" s="357">
        <v>101979445</v>
      </c>
      <c r="F112" s="358">
        <v>56.475779744367891</v>
      </c>
      <c r="G112" s="357">
        <v>78592555</v>
      </c>
      <c r="H112" s="358">
        <v>43.524220255632102</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20151000</v>
      </c>
      <c r="F118" s="360">
        <v>25.834615384615383</v>
      </c>
      <c r="G118" s="359">
        <v>57849000</v>
      </c>
      <c r="H118" s="360">
        <v>74.16538461538461</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4429000</v>
      </c>
      <c r="F122" s="352">
        <v>9.8422222222222224</v>
      </c>
      <c r="G122" s="351">
        <v>40571000</v>
      </c>
      <c r="H122" s="352">
        <v>90.157777777777781</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1844517380</v>
      </c>
      <c r="F127" s="354">
        <v>50.97517619364249</v>
      </c>
      <c r="G127" s="353">
        <v>1773944620</v>
      </c>
      <c r="H127" s="354">
        <v>49.02482380635751</v>
      </c>
    </row>
    <row r="128" spans="3:8" x14ac:dyDescent="0.25">
      <c r="C128" s="170" t="s">
        <v>546</v>
      </c>
      <c r="D128" s="355">
        <v>197920000</v>
      </c>
      <c r="E128" s="355">
        <v>136548520</v>
      </c>
      <c r="F128" s="356">
        <v>68.991774454324982</v>
      </c>
      <c r="G128" s="355">
        <v>61371480</v>
      </c>
      <c r="H128" s="356">
        <v>31.008225545675021</v>
      </c>
    </row>
    <row r="129" spans="3:8" x14ac:dyDescent="0.25">
      <c r="C129" s="309" t="s">
        <v>3970</v>
      </c>
      <c r="D129" s="351">
        <v>197920000</v>
      </c>
      <c r="E129" s="351">
        <v>136548520</v>
      </c>
      <c r="F129" s="352">
        <v>68.991774454324982</v>
      </c>
      <c r="G129" s="351">
        <v>61371480</v>
      </c>
      <c r="H129" s="352">
        <v>31.008225545675021</v>
      </c>
    </row>
    <row r="130" spans="3:8" x14ac:dyDescent="0.25">
      <c r="C130" s="325" t="s">
        <v>3971</v>
      </c>
      <c r="D130" s="357">
        <v>197920000</v>
      </c>
      <c r="E130" s="357">
        <v>136548520</v>
      </c>
      <c r="F130" s="358">
        <v>68.991774454324982</v>
      </c>
      <c r="G130" s="357">
        <v>61371480</v>
      </c>
      <c r="H130" s="358">
        <v>31.008225545675021</v>
      </c>
    </row>
    <row r="131" spans="3:8" x14ac:dyDescent="0.25">
      <c r="C131" s="311" t="s">
        <v>3972</v>
      </c>
      <c r="D131" s="359">
        <v>27102000</v>
      </c>
      <c r="E131" s="359">
        <v>22532552</v>
      </c>
      <c r="F131" s="360">
        <v>83.139812559958671</v>
      </c>
      <c r="G131" s="359">
        <v>4569448</v>
      </c>
      <c r="H131" s="360">
        <v>16.860187440041326</v>
      </c>
    </row>
    <row r="132" spans="3:8" x14ac:dyDescent="0.25">
      <c r="C132" s="315" t="s">
        <v>3890</v>
      </c>
      <c r="D132" s="351">
        <v>18400000</v>
      </c>
      <c r="E132" s="351">
        <v>13831000</v>
      </c>
      <c r="F132" s="352">
        <v>75.168478260869563</v>
      </c>
      <c r="G132" s="351">
        <v>4569000</v>
      </c>
      <c r="H132" s="352">
        <v>24.831521739130437</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4968500</v>
      </c>
      <c r="F137" s="360">
        <v>66.24666666666667</v>
      </c>
      <c r="G137" s="359">
        <v>2531500</v>
      </c>
      <c r="H137" s="360">
        <v>33.753333333333337</v>
      </c>
    </row>
    <row r="138" spans="3:8" ht="17.100000000000001" customHeight="1" x14ac:dyDescent="0.25">
      <c r="C138" s="315" t="s">
        <v>3890</v>
      </c>
      <c r="D138" s="351">
        <v>7500000</v>
      </c>
      <c r="E138" s="351">
        <v>4968500</v>
      </c>
      <c r="F138" s="352">
        <v>66.24666666666667</v>
      </c>
      <c r="G138" s="351">
        <v>2531500</v>
      </c>
      <c r="H138" s="352">
        <v>33.753333333333337</v>
      </c>
    </row>
    <row r="139" spans="3:8" x14ac:dyDescent="0.25">
      <c r="C139" s="311" t="s">
        <v>3975</v>
      </c>
      <c r="D139" s="359">
        <v>34635000</v>
      </c>
      <c r="E139" s="359">
        <v>31619468</v>
      </c>
      <c r="F139" s="360">
        <v>91.293396852894475</v>
      </c>
      <c r="G139" s="359">
        <v>3015532</v>
      </c>
      <c r="H139" s="360">
        <v>8.706603147105529</v>
      </c>
    </row>
    <row r="140" spans="3:8" ht="17.100000000000001" customHeight="1" x14ac:dyDescent="0.25">
      <c r="C140" s="315" t="s">
        <v>3890</v>
      </c>
      <c r="D140" s="351">
        <v>14000000</v>
      </c>
      <c r="E140" s="351">
        <v>10985000</v>
      </c>
      <c r="F140" s="352">
        <v>78.464285714285722</v>
      </c>
      <c r="G140" s="351">
        <v>3015000</v>
      </c>
      <c r="H140" s="352">
        <v>21.535714285714285</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64690000</v>
      </c>
      <c r="F144" s="360">
        <v>59.714029889322738</v>
      </c>
      <c r="G144" s="359">
        <v>43643000</v>
      </c>
      <c r="H144" s="360">
        <v>40.285970110677269</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9960000</v>
      </c>
      <c r="F146" s="352">
        <v>36.218181818181819</v>
      </c>
      <c r="G146" s="351">
        <v>17540000</v>
      </c>
      <c r="H146" s="352">
        <v>63.781818181818181</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1707968860</v>
      </c>
      <c r="F148" s="356">
        <v>49.932696631118695</v>
      </c>
      <c r="G148" s="355">
        <v>1712573140</v>
      </c>
      <c r="H148" s="356">
        <v>50.067303368881312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390447219</v>
      </c>
      <c r="F153" s="352">
        <v>58.216271597354343</v>
      </c>
      <c r="G153" s="351">
        <v>280236781</v>
      </c>
      <c r="H153" s="352">
        <v>41.783728402645657</v>
      </c>
    </row>
    <row r="154" spans="3:8" x14ac:dyDescent="0.25">
      <c r="C154" s="325" t="s">
        <v>3934</v>
      </c>
      <c r="D154" s="357">
        <v>670684000</v>
      </c>
      <c r="E154" s="357">
        <v>390447219</v>
      </c>
      <c r="F154" s="358">
        <v>58.216271597354343</v>
      </c>
      <c r="G154" s="357">
        <v>280236781</v>
      </c>
      <c r="H154" s="358">
        <v>41.783728402645657</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167581461</v>
      </c>
      <c r="F159" s="360">
        <v>43.452597720819881</v>
      </c>
      <c r="G159" s="359">
        <v>218083539</v>
      </c>
      <c r="H159" s="360">
        <v>56.547402279180112</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160580461</v>
      </c>
      <c r="F162" s="352">
        <v>42.978010834131794</v>
      </c>
      <c r="G162" s="351">
        <v>213053539</v>
      </c>
      <c r="H162" s="352">
        <v>57.021989165868206</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663321641</v>
      </c>
      <c r="F181" s="352">
        <v>31.652189479390241</v>
      </c>
      <c r="G181" s="351">
        <v>1432336359</v>
      </c>
      <c r="H181" s="352">
        <v>68.347810520609755</v>
      </c>
    </row>
    <row r="182" spans="3:8" ht="17.100000000000001" customHeight="1" x14ac:dyDescent="0.25">
      <c r="C182" s="440" t="s">
        <v>3851</v>
      </c>
      <c r="D182" s="487">
        <v>2095658000</v>
      </c>
      <c r="E182" s="487">
        <v>663321641</v>
      </c>
      <c r="F182" s="488">
        <v>31.652189479390241</v>
      </c>
      <c r="G182" s="487">
        <v>1432336359</v>
      </c>
      <c r="H182" s="488">
        <v>68.347810520609755</v>
      </c>
    </row>
    <row r="183" spans="3:8" ht="17.100000000000001" customHeight="1" x14ac:dyDescent="0.25">
      <c r="C183" s="439" t="s">
        <v>3944</v>
      </c>
      <c r="D183" s="359">
        <v>1254380000</v>
      </c>
      <c r="E183" s="359">
        <v>487766151</v>
      </c>
      <c r="F183" s="360">
        <v>38.885038903681505</v>
      </c>
      <c r="G183" s="359">
        <v>766613849</v>
      </c>
      <c r="H183" s="360">
        <v>61.114961096318495</v>
      </c>
    </row>
    <row r="184" spans="3:8" x14ac:dyDescent="0.25">
      <c r="C184" s="315" t="s">
        <v>3945</v>
      </c>
      <c r="D184" s="351">
        <v>1076220000</v>
      </c>
      <c r="E184" s="351">
        <v>423058151</v>
      </c>
      <c r="F184" s="352">
        <v>39.309634740108898</v>
      </c>
      <c r="G184" s="351">
        <v>653161849</v>
      </c>
      <c r="H184" s="352">
        <v>60.690365259891102</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22086050</v>
      </c>
      <c r="F186" s="360">
        <v>14.837590358208153</v>
      </c>
      <c r="G186" s="359">
        <v>126765950</v>
      </c>
      <c r="H186" s="360">
        <v>85.162409641791854</v>
      </c>
    </row>
    <row r="187" spans="3:8" ht="17.100000000000001" customHeight="1" x14ac:dyDescent="0.25">
      <c r="C187" s="315" t="s">
        <v>3947</v>
      </c>
      <c r="D187" s="351">
        <v>30000000</v>
      </c>
      <c r="E187" s="351">
        <v>2286050</v>
      </c>
      <c r="F187" s="352">
        <v>7.620166666666667</v>
      </c>
      <c r="G187" s="351">
        <v>27713950</v>
      </c>
      <c r="H187" s="352">
        <v>92.379833333333337</v>
      </c>
    </row>
    <row r="188" spans="3:8" x14ac:dyDescent="0.25">
      <c r="C188" s="315" t="s">
        <v>3896</v>
      </c>
      <c r="D188" s="351">
        <v>118852000</v>
      </c>
      <c r="E188" s="351">
        <v>19800000</v>
      </c>
      <c r="F188" s="352">
        <v>16.659374684481541</v>
      </c>
      <c r="G188" s="351">
        <v>99052000</v>
      </c>
      <c r="H188" s="352">
        <v>83.340625315518452</v>
      </c>
    </row>
    <row r="189" spans="3:8" ht="17.100000000000001" customHeight="1" x14ac:dyDescent="0.25">
      <c r="C189" s="439" t="s">
        <v>3948</v>
      </c>
      <c r="D189" s="359">
        <v>533050000</v>
      </c>
      <c r="E189" s="359">
        <v>94875440</v>
      </c>
      <c r="F189" s="360">
        <v>17.798600506519087</v>
      </c>
      <c r="G189" s="359">
        <v>438174560</v>
      </c>
      <c r="H189" s="360">
        <v>82.201399493480906</v>
      </c>
    </row>
    <row r="190" spans="3:8" ht="17.100000000000001" customHeight="1" x14ac:dyDescent="0.25">
      <c r="C190" s="315" t="s">
        <v>3949</v>
      </c>
      <c r="D190" s="351">
        <v>497050000</v>
      </c>
      <c r="E190" s="351">
        <v>85875440</v>
      </c>
      <c r="F190" s="352">
        <v>17.277022432350869</v>
      </c>
      <c r="G190" s="351">
        <v>411174560</v>
      </c>
      <c r="H190" s="352">
        <v>82.722977567649124</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58594000</v>
      </c>
      <c r="F192" s="360">
        <v>36.764632065053711</v>
      </c>
      <c r="G192" s="359">
        <v>100782000</v>
      </c>
      <c r="H192" s="360">
        <v>63.235367934946296</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14184000</v>
      </c>
      <c r="F194" s="352">
        <v>24.314317059791552</v>
      </c>
      <c r="G194" s="351">
        <v>44152000</v>
      </c>
      <c r="H194" s="352">
        <v>75.685682940208437</v>
      </c>
    </row>
    <row r="195" spans="3:8" x14ac:dyDescent="0.25">
      <c r="C195" s="309" t="s">
        <v>3920</v>
      </c>
      <c r="D195" s="351">
        <v>6082500000</v>
      </c>
      <c r="E195" s="351">
        <v>3476713912</v>
      </c>
      <c r="F195" s="352">
        <v>57.159291607069463</v>
      </c>
      <c r="G195" s="351">
        <v>2605786088</v>
      </c>
      <c r="H195" s="352">
        <v>42.840708392930537</v>
      </c>
    </row>
    <row r="196" spans="3:8" x14ac:dyDescent="0.25">
      <c r="C196" s="310" t="s">
        <v>542</v>
      </c>
      <c r="D196" s="353">
        <v>6082500000</v>
      </c>
      <c r="E196" s="353">
        <v>3476713912</v>
      </c>
      <c r="F196" s="354">
        <v>57.159291607069463</v>
      </c>
      <c r="G196" s="353">
        <v>2605786088</v>
      </c>
      <c r="H196" s="354">
        <v>42.840708392930537</v>
      </c>
    </row>
    <row r="197" spans="3:8" x14ac:dyDescent="0.25">
      <c r="C197" s="170" t="s">
        <v>543</v>
      </c>
      <c r="D197" s="355">
        <v>6082500000</v>
      </c>
      <c r="E197" s="355">
        <v>3476713912</v>
      </c>
      <c r="F197" s="356">
        <v>57.159291607069463</v>
      </c>
      <c r="G197" s="355">
        <v>2605786088</v>
      </c>
      <c r="H197" s="356">
        <v>42.840708392930537</v>
      </c>
    </row>
    <row r="198" spans="3:8" x14ac:dyDescent="0.25">
      <c r="C198" s="309" t="s">
        <v>3980</v>
      </c>
      <c r="D198" s="351">
        <v>6082500000</v>
      </c>
      <c r="E198" s="351">
        <v>3476713912</v>
      </c>
      <c r="F198" s="352">
        <v>57.159291607069463</v>
      </c>
      <c r="G198" s="351">
        <v>2605786088</v>
      </c>
      <c r="H198" s="352">
        <v>42.840708392930537</v>
      </c>
    </row>
    <row r="199" spans="3:8" x14ac:dyDescent="0.25">
      <c r="C199" s="325" t="s">
        <v>3981</v>
      </c>
      <c r="D199" s="357">
        <v>5973300000</v>
      </c>
      <c r="E199" s="357">
        <v>3468907912</v>
      </c>
      <c r="F199" s="358">
        <v>58.073559205129484</v>
      </c>
      <c r="G199" s="357">
        <v>2504392088</v>
      </c>
      <c r="H199" s="358">
        <v>41.926440794870508</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3443517912</v>
      </c>
      <c r="F207" s="360">
        <v>84.282304773116934</v>
      </c>
      <c r="G207" s="359">
        <v>642177088</v>
      </c>
      <c r="H207" s="360">
        <v>15.717695226883063</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3393066206</v>
      </c>
      <c r="F209" s="352">
        <v>89.087369978430928</v>
      </c>
      <c r="G209" s="351">
        <v>415628794</v>
      </c>
      <c r="H209" s="352">
        <v>10.912630021569068</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42723206</v>
      </c>
      <c r="F212" s="352">
        <v>19.779262037037036</v>
      </c>
      <c r="G212" s="351">
        <v>173276794</v>
      </c>
      <c r="H212" s="352">
        <v>80.220737962962957</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309" t="s">
        <v>4004</v>
      </c>
      <c r="D222" s="351">
        <v>11375804000</v>
      </c>
      <c r="E222" s="351">
        <v>6067322932</v>
      </c>
      <c r="F222" s="352">
        <v>53.33533288724032</v>
      </c>
      <c r="G222" s="351">
        <v>5308481068</v>
      </c>
      <c r="H222" s="352">
        <v>46.66466711275968</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761479826</v>
      </c>
    </row>
    <row r="247" spans="3:10" x14ac:dyDescent="0.25">
      <c r="C247"/>
      <c r="J247" s="217">
        <f>GETPIVOTDATA("Realisasi ",$C$5)-J246</f>
        <v>5305843106</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K20" sqref="K20"/>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295" t="s">
        <v>4029</v>
      </c>
      <c r="C5" s="296" t="s">
        <v>4013</v>
      </c>
      <c r="D5" s="296" t="s">
        <v>4014</v>
      </c>
      <c r="E5" s="296" t="s">
        <v>4015</v>
      </c>
      <c r="F5" s="296" t="s">
        <v>4023</v>
      </c>
      <c r="G5" s="296" t="s">
        <v>4341</v>
      </c>
      <c r="H5" s="296" t="s">
        <v>4377</v>
      </c>
      <c r="I5" s="296" t="s">
        <v>4414</v>
      </c>
      <c r="J5" s="296" t="s">
        <v>4553</v>
      </c>
    </row>
    <row r="6" spans="2:10" x14ac:dyDescent="0.25">
      <c r="B6" s="295" t="s">
        <v>4027</v>
      </c>
      <c r="C6" s="297" t="s">
        <v>4346</v>
      </c>
      <c r="D6" s="297" t="s">
        <v>4347</v>
      </c>
      <c r="E6" s="297" t="s">
        <v>4345</v>
      </c>
      <c r="F6" s="297" t="s">
        <v>4344</v>
      </c>
      <c r="G6" s="298" t="s">
        <v>4343</v>
      </c>
      <c r="H6" s="298" t="s">
        <v>4413</v>
      </c>
      <c r="I6" s="298" t="s">
        <v>4413</v>
      </c>
      <c r="J6" s="298" t="s">
        <v>4554</v>
      </c>
    </row>
    <row r="7" spans="2:10" hidden="1" x14ac:dyDescent="0.25">
      <c r="B7" s="254" t="s">
        <v>4021</v>
      </c>
      <c r="C7" s="164" t="s">
        <v>4018</v>
      </c>
      <c r="D7" s="164" t="s">
        <v>4019</v>
      </c>
      <c r="E7" s="164" t="s">
        <v>4020</v>
      </c>
      <c r="F7" s="164" t="s">
        <v>4024</v>
      </c>
      <c r="G7" s="164" t="s">
        <v>4342</v>
      </c>
      <c r="H7" s="164" t="s">
        <v>4411</v>
      </c>
      <c r="I7" s="164" t="s">
        <v>4412</v>
      </c>
      <c r="J7" s="164" t="s">
        <v>4552</v>
      </c>
    </row>
    <row r="8" spans="2:10" x14ac:dyDescent="0.25">
      <c r="B8" s="316" t="s">
        <v>576</v>
      </c>
      <c r="C8" s="314">
        <v>99961115</v>
      </c>
      <c r="D8" s="314">
        <v>249311050</v>
      </c>
      <c r="E8" s="314">
        <v>39291922</v>
      </c>
      <c r="F8" s="314">
        <v>95254996</v>
      </c>
      <c r="G8" s="314">
        <v>90588412</v>
      </c>
      <c r="H8" s="314">
        <v>75905247</v>
      </c>
      <c r="I8" s="314">
        <v>103091640</v>
      </c>
      <c r="J8" s="314">
        <v>2030000</v>
      </c>
    </row>
    <row r="9" spans="2:10" x14ac:dyDescent="0.25">
      <c r="B9" s="268" t="s">
        <v>546</v>
      </c>
      <c r="C9" s="169">
        <v>0</v>
      </c>
      <c r="D9" s="169">
        <v>50674500</v>
      </c>
      <c r="E9" s="169">
        <v>18269500</v>
      </c>
      <c r="F9" s="169">
        <v>19929200</v>
      </c>
      <c r="G9" s="169">
        <v>10000000</v>
      </c>
      <c r="H9" s="169">
        <v>9882500</v>
      </c>
      <c r="I9" s="169">
        <v>25762820</v>
      </c>
      <c r="J9" s="169">
        <v>2030000</v>
      </c>
    </row>
    <row r="10" spans="2:10" x14ac:dyDescent="0.25">
      <c r="B10" s="268" t="s">
        <v>560</v>
      </c>
      <c r="C10" s="169">
        <v>99961115</v>
      </c>
      <c r="D10" s="169">
        <v>198636550</v>
      </c>
      <c r="E10" s="169">
        <v>21022422</v>
      </c>
      <c r="F10" s="169">
        <v>75325796</v>
      </c>
      <c r="G10" s="169">
        <v>80588412</v>
      </c>
      <c r="H10" s="169">
        <v>66022747</v>
      </c>
      <c r="I10" s="169">
        <v>77328820</v>
      </c>
      <c r="J10" s="169">
        <v>0</v>
      </c>
    </row>
    <row r="11" spans="2:10" x14ac:dyDescent="0.25">
      <c r="B11" s="316" t="s">
        <v>542</v>
      </c>
      <c r="C11" s="314">
        <v>0</v>
      </c>
      <c r="D11" s="314">
        <v>46363943</v>
      </c>
      <c r="E11" s="314">
        <v>13965000</v>
      </c>
      <c r="F11" s="314">
        <v>0</v>
      </c>
      <c r="G11" s="314">
        <v>0</v>
      </c>
      <c r="H11" s="314">
        <v>300383</v>
      </c>
      <c r="I11" s="314">
        <v>99280968</v>
      </c>
      <c r="J11" s="314">
        <v>5529500</v>
      </c>
    </row>
    <row r="12" spans="2:10" x14ac:dyDescent="0.25">
      <c r="B12" s="268" t="s">
        <v>591</v>
      </c>
      <c r="C12" s="169">
        <v>0</v>
      </c>
      <c r="D12" s="169">
        <v>5496528</v>
      </c>
      <c r="E12" s="169">
        <v>4230000</v>
      </c>
      <c r="F12" s="169">
        <v>0</v>
      </c>
      <c r="G12" s="169">
        <v>0</v>
      </c>
      <c r="H12" s="169">
        <v>300383</v>
      </c>
      <c r="I12" s="169">
        <v>36489355</v>
      </c>
      <c r="J12" s="169">
        <v>2640000</v>
      </c>
    </row>
    <row r="13" spans="2:10" x14ac:dyDescent="0.25">
      <c r="B13" s="268" t="s">
        <v>543</v>
      </c>
      <c r="C13" s="169">
        <v>0</v>
      </c>
      <c r="D13" s="169">
        <v>40867415</v>
      </c>
      <c r="E13" s="169">
        <v>9735000</v>
      </c>
      <c r="F13" s="169">
        <v>0</v>
      </c>
      <c r="G13" s="169">
        <v>0</v>
      </c>
      <c r="H13" s="169">
        <v>0</v>
      </c>
      <c r="I13" s="169">
        <v>62791613</v>
      </c>
      <c r="J13" s="169">
        <v>2889500</v>
      </c>
    </row>
    <row r="14" spans="2:10" x14ac:dyDescent="0.25">
      <c r="B14" s="316" t="s">
        <v>531</v>
      </c>
      <c r="C14" s="314">
        <v>0</v>
      </c>
      <c r="D14" s="314">
        <v>53677994</v>
      </c>
      <c r="E14" s="314">
        <v>21269213</v>
      </c>
      <c r="F14" s="314">
        <v>0</v>
      </c>
      <c r="G14" s="314">
        <v>0</v>
      </c>
      <c r="H14" s="314">
        <v>16306833</v>
      </c>
      <c r="I14" s="314">
        <v>45801723</v>
      </c>
      <c r="J14" s="314">
        <v>0</v>
      </c>
    </row>
    <row r="15" spans="2:10" x14ac:dyDescent="0.25">
      <c r="B15" s="268" t="s">
        <v>532</v>
      </c>
      <c r="C15" s="169">
        <v>0</v>
      </c>
      <c r="D15" s="169">
        <v>31461994</v>
      </c>
      <c r="E15" s="169">
        <v>9369213</v>
      </c>
      <c r="F15" s="169">
        <v>0</v>
      </c>
      <c r="G15" s="169">
        <v>0</v>
      </c>
      <c r="H15" s="169">
        <v>11498833</v>
      </c>
      <c r="I15" s="169">
        <v>15810223</v>
      </c>
      <c r="J15" s="169">
        <v>0</v>
      </c>
    </row>
    <row r="16" spans="2:10" x14ac:dyDescent="0.25">
      <c r="B16" s="268" t="s">
        <v>534</v>
      </c>
      <c r="C16" s="169">
        <v>0</v>
      </c>
      <c r="D16" s="169">
        <v>22216000</v>
      </c>
      <c r="E16" s="169">
        <v>11900000</v>
      </c>
      <c r="F16" s="169">
        <v>0</v>
      </c>
      <c r="G16" s="169">
        <v>0</v>
      </c>
      <c r="H16" s="169">
        <v>4808000</v>
      </c>
      <c r="I16" s="169">
        <v>29991500</v>
      </c>
      <c r="J16" s="169">
        <v>0</v>
      </c>
    </row>
    <row r="17" spans="2:10" x14ac:dyDescent="0.25">
      <c r="B17" s="316" t="s">
        <v>535</v>
      </c>
      <c r="C17" s="314">
        <v>0</v>
      </c>
      <c r="D17" s="314">
        <v>61147200</v>
      </c>
      <c r="E17" s="314">
        <v>23650240</v>
      </c>
      <c r="F17" s="314">
        <v>0</v>
      </c>
      <c r="G17" s="314">
        <v>4851204</v>
      </c>
      <c r="H17" s="314">
        <v>1326114</v>
      </c>
      <c r="I17" s="314">
        <v>63914400</v>
      </c>
      <c r="J17" s="314">
        <v>0</v>
      </c>
    </row>
    <row r="18" spans="2:10" x14ac:dyDescent="0.25">
      <c r="B18" s="268" t="s">
        <v>536</v>
      </c>
      <c r="C18" s="169">
        <v>0</v>
      </c>
      <c r="D18" s="169">
        <v>35690450</v>
      </c>
      <c r="E18" s="169">
        <v>7572800</v>
      </c>
      <c r="F18" s="169">
        <v>0</v>
      </c>
      <c r="G18" s="169">
        <v>0</v>
      </c>
      <c r="H18" s="169">
        <v>1074100</v>
      </c>
      <c r="I18" s="169">
        <v>63914400</v>
      </c>
      <c r="J18" s="169">
        <v>0</v>
      </c>
    </row>
    <row r="19" spans="2:10" x14ac:dyDescent="0.25">
      <c r="B19" s="268" t="s">
        <v>538</v>
      </c>
      <c r="C19" s="169">
        <v>0</v>
      </c>
      <c r="D19" s="169">
        <v>25456750</v>
      </c>
      <c r="E19" s="169">
        <v>16077440</v>
      </c>
      <c r="F19" s="169">
        <v>0</v>
      </c>
      <c r="G19" s="169">
        <v>4851204</v>
      </c>
      <c r="H19" s="169">
        <v>252014</v>
      </c>
      <c r="I19" s="169">
        <v>0</v>
      </c>
      <c r="J19" s="169">
        <v>0</v>
      </c>
    </row>
    <row r="20" spans="2:10" x14ac:dyDescent="0.25">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12" activePane="bottomLeft" state="frozen"/>
      <selection activeCell="N1" sqref="N1"/>
      <selection pane="bottomLeft" activeCell="W149" sqref="W149"/>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AD2" t="s">
        <v>3842</v>
      </c>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5581000</v>
      </c>
      <c r="AM4" s="231">
        <f>IFERROR(AL4/Q4*100,0)</f>
        <v>28.080503144654088</v>
      </c>
      <c r="AN4" s="380">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3120000</v>
      </c>
      <c r="AM10" s="231">
        <f t="shared" si="1"/>
        <v>14.682352941176472</v>
      </c>
      <c r="AN10" s="380">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3840000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18370600</v>
      </c>
      <c r="AM39" s="231">
        <f t="shared" si="1"/>
        <v>20.199459019638027</v>
      </c>
      <c r="AN39" s="380">
        <f t="shared" si="2"/>
        <v>72575400</v>
      </c>
      <c r="AO39" s="231">
        <f t="shared" si="3"/>
        <v>79.800540980361973</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11542500</v>
      </c>
      <c r="AM64" s="231">
        <f t="shared" si="1"/>
        <v>91.972111553784856</v>
      </c>
      <c r="AN64" s="380">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4800000</v>
      </c>
      <c r="AM66" s="231">
        <f t="shared" si="1"/>
        <v>53.333333333333336</v>
      </c>
      <c r="AN66" s="380">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423058151</v>
      </c>
      <c r="AM76" s="231">
        <f t="shared" si="8"/>
        <v>39.309634740108898</v>
      </c>
      <c r="AN76" s="380">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2286050</v>
      </c>
      <c r="AM78" s="231">
        <f t="shared" si="8"/>
        <v>7.620166666666667</v>
      </c>
      <c r="AN78" s="380">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19800000</v>
      </c>
      <c r="AM79" s="231">
        <f t="shared" si="8"/>
        <v>16.659374684481541</v>
      </c>
      <c r="AN79" s="380">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85875440</v>
      </c>
      <c r="AM80" s="231">
        <f t="shared" si="8"/>
        <v>17.277022432350869</v>
      </c>
      <c r="AN80" s="380">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14184000</v>
      </c>
      <c r="AM83" s="231">
        <f t="shared" si="8"/>
        <v>24.314317059791552</v>
      </c>
      <c r="AN83" s="380">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4429000</v>
      </c>
      <c r="AM96" s="231">
        <f t="shared" si="8"/>
        <v>9.8422222222222224</v>
      </c>
      <c r="AN96" s="380">
        <f t="shared" si="9"/>
        <v>40571000</v>
      </c>
      <c r="AO96" s="231">
        <f t="shared" si="10"/>
        <v>90.157777777777781</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13831000</v>
      </c>
      <c r="AM112" s="231">
        <f t="shared" si="8"/>
        <v>75.168478260869563</v>
      </c>
      <c r="AN112" s="380">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4968500</v>
      </c>
      <c r="AM116" s="231">
        <f t="shared" si="8"/>
        <v>66.24666666666667</v>
      </c>
      <c r="AN116" s="380">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10985000</v>
      </c>
      <c r="AM118" s="231">
        <f t="shared" si="8"/>
        <v>78.464285714285722</v>
      </c>
      <c r="AN118" s="380">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9960000</v>
      </c>
      <c r="AM124" s="231">
        <f t="shared" si="8"/>
        <v>36.218181818181819</v>
      </c>
      <c r="AN124" s="380">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1843270850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3393066206</v>
      </c>
      <c r="AM133" s="231">
        <f t="shared" ref="AM133:AM143" si="14">IFERROR(AL133/Q133*100,0)</f>
        <v>89.087369978430928</v>
      </c>
      <c r="AN133" s="380">
        <f t="shared" si="13"/>
        <v>415628794</v>
      </c>
      <c r="AO133" s="231">
        <f t="shared" ref="AO133:AO143" si="15">IFERROR(AN133/Q133*100,0)</f>
        <v>10.912630021569068</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2167184581</v>
      </c>
      <c r="AA144" s="237">
        <f t="shared" si="17"/>
        <v>0</v>
      </c>
      <c r="AB144" s="237">
        <f t="shared" si="17"/>
        <v>0</v>
      </c>
      <c r="AC144" s="237">
        <f t="shared" si="17"/>
        <v>0</v>
      </c>
      <c r="AD144" s="237">
        <f t="shared" si="17"/>
        <v>0</v>
      </c>
      <c r="AE144" s="237">
        <f t="shared" si="17"/>
        <v>0</v>
      </c>
      <c r="AF144" s="237">
        <f t="shared" si="17"/>
        <v>0</v>
      </c>
      <c r="AL144" s="237">
        <f>SUM(AL4:AL143)</f>
        <v>6067322932</v>
      </c>
      <c r="AM144" s="238">
        <f>AL144/Q144*100</f>
        <v>53.33533288724032</v>
      </c>
      <c r="AN144" s="237">
        <f>SUM(AN4:AN143)</f>
        <v>5308481068</v>
      </c>
      <c r="AO144" s="238">
        <f>AN144/Q144*100</f>
        <v>46.66466711275968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25">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AK1" zoomScale="85" zoomScaleNormal="85" workbookViewId="0">
      <pane ySplit="1" topLeftCell="A2" activePane="bottomLeft" state="frozen"/>
      <selection activeCell="N1" sqref="N1"/>
      <selection pane="bottomLeft" activeCell="AL4" sqref="AL4:AL14"/>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1182051100</v>
      </c>
      <c r="AM4" s="231">
        <f t="shared" ref="AM4:AM14" si="1">IFERROR(AL4/Q4*100,0)</f>
        <v>47.596619578115686</v>
      </c>
      <c r="AN4" s="380">
        <f t="shared" ref="AN4:AN14" si="2">Q4-AL4</f>
        <v>1301425900</v>
      </c>
      <c r="AO4" s="231">
        <f t="shared" ref="AO4:AO14" si="3">IFERROR(AN4/Q4*100,0)</f>
        <v>52.403380421884314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0</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18339</v>
      </c>
      <c r="AM5" s="231">
        <f t="shared" si="1"/>
        <v>48.260526315789477</v>
      </c>
      <c r="AN5" s="348">
        <f t="shared" si="2"/>
        <v>19661</v>
      </c>
      <c r="AO5" s="231">
        <f t="shared" si="3"/>
        <v>51.739473684210523</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76945360</v>
      </c>
      <c r="AM6" s="231">
        <f t="shared" si="1"/>
        <v>44.746340697491846</v>
      </c>
      <c r="AN6" s="348">
        <f t="shared" si="2"/>
        <v>95013640</v>
      </c>
      <c r="AO6" s="231">
        <f t="shared" si="3"/>
        <v>55.253659302508154</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0</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22886520</v>
      </c>
      <c r="AM7" s="231">
        <f t="shared" si="1"/>
        <v>49.007537473233405</v>
      </c>
      <c r="AN7" s="348">
        <f t="shared" si="2"/>
        <v>23813480</v>
      </c>
      <c r="AO7" s="231">
        <f t="shared" si="3"/>
        <v>50.992462526766587</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68110000</v>
      </c>
      <c r="AM8" s="231">
        <f t="shared" si="1"/>
        <v>43.107594936708857</v>
      </c>
      <c r="AN8" s="348">
        <f t="shared" si="2"/>
        <v>89890000</v>
      </c>
      <c r="AO8" s="231">
        <f t="shared" si="3"/>
        <v>56.892405063291143</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33802000</v>
      </c>
      <c r="AM9" s="231">
        <f t="shared" si="1"/>
        <v>70.157741801577416</v>
      </c>
      <c r="AN9" s="348">
        <f t="shared" si="2"/>
        <v>14378000</v>
      </c>
      <c r="AO9" s="231">
        <f t="shared" si="3"/>
        <v>29.842258198422584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0</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4367936</v>
      </c>
      <c r="AM10" s="231">
        <f t="shared" si="1"/>
        <v>33.259240082235593</v>
      </c>
      <c r="AN10" s="348">
        <f t="shared" si="2"/>
        <v>8765064</v>
      </c>
      <c r="AO10" s="231">
        <f t="shared" si="3"/>
        <v>66.740759917764407</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62136360</v>
      </c>
      <c r="AM11" s="380">
        <f t="shared" si="1"/>
        <v>47.675078452886069</v>
      </c>
      <c r="AN11" s="348">
        <f t="shared" si="2"/>
        <v>68196640</v>
      </c>
      <c r="AO11" s="231">
        <f t="shared" si="3"/>
        <v>52.324921547113931</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38965000</v>
      </c>
      <c r="AM13" s="231">
        <f t="shared" si="1"/>
        <v>44.098008148483473</v>
      </c>
      <c r="AN13" s="348">
        <f t="shared" si="2"/>
        <v>49395000</v>
      </c>
      <c r="AO13" s="231">
        <f t="shared" si="3"/>
        <v>55.90199185151652</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1324672689</v>
      </c>
      <c r="AM14" s="231">
        <f t="shared" si="1"/>
        <v>50.262899660328564</v>
      </c>
      <c r="AN14" s="348">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T222" activePane="bottomRight" state="frozen"/>
      <selection pane="topRight" activeCell="D1" sqref="D1"/>
      <selection pane="bottomLeft" activeCell="A15" sqref="A15"/>
      <selection pane="bottomRight" activeCell="Z254" sqref="Z254"/>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bestFit="1" customWidth="1"/>
    <col min="25" max="25" width="14.85546875" bestFit="1" customWidth="1"/>
    <col min="26" max="26" width="11.85546875" customWidth="1"/>
    <col min="27" max="27" width="12.140625" customWidth="1"/>
    <col min="28" max="28" width="9.140625" customWidth="1"/>
    <col min="29"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5" width="15" bestFit="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s>
  <sheetData>
    <row r="4" spans="2:60" x14ac:dyDescent="0.25">
      <c r="B4" s="189" t="s">
        <v>598</v>
      </c>
      <c r="C4" s="189"/>
    </row>
    <row r="5" spans="2:60" x14ac:dyDescent="0.25">
      <c r="B5" s="189" t="s">
        <v>5596</v>
      </c>
      <c r="C5" s="189"/>
    </row>
    <row r="6" spans="2:60" x14ac:dyDescent="0.25">
      <c r="B6" s="189" t="s">
        <v>5595</v>
      </c>
      <c r="C6" s="189"/>
    </row>
    <row r="7" spans="2:60" x14ac:dyDescent="0.25">
      <c r="B7" s="189" t="s">
        <v>599</v>
      </c>
      <c r="C7" s="189" t="s">
        <v>600</v>
      </c>
    </row>
    <row r="8" spans="2:60" x14ac:dyDescent="0.25">
      <c r="B8" s="189" t="s">
        <v>601</v>
      </c>
      <c r="C8" s="189" t="s">
        <v>602</v>
      </c>
    </row>
    <row r="9" spans="2:60" x14ac:dyDescent="0.25">
      <c r="B9" s="189" t="s">
        <v>603</v>
      </c>
      <c r="C9" s="189" t="s">
        <v>604</v>
      </c>
    </row>
    <row r="10" spans="2:60" x14ac:dyDescent="0.25">
      <c r="B10" s="189" t="s">
        <v>605</v>
      </c>
      <c r="C10" s="189" t="s">
        <v>4003</v>
      </c>
    </row>
    <row r="12" spans="2:60" s="163" customFormat="1" x14ac:dyDescent="0.25">
      <c r="B12" s="245" t="s">
        <v>606</v>
      </c>
      <c r="C12" s="245" t="s">
        <v>607</v>
      </c>
      <c r="D12" s="245" t="s">
        <v>608</v>
      </c>
      <c r="E12" s="245" t="s">
        <v>609</v>
      </c>
      <c r="F12" s="245" t="s">
        <v>5413</v>
      </c>
      <c r="G12" s="342" t="s">
        <v>5414</v>
      </c>
      <c r="H12" s="363" t="s">
        <v>5543</v>
      </c>
      <c r="I12" s="363" t="s">
        <v>5544</v>
      </c>
      <c r="J12" s="463" t="s">
        <v>3827</v>
      </c>
      <c r="K12" s="463"/>
      <c r="L12" s="463"/>
      <c r="M12" s="463" t="s">
        <v>3828</v>
      </c>
      <c r="N12" s="463"/>
      <c r="O12" s="463"/>
      <c r="P12" s="463" t="s">
        <v>3829</v>
      </c>
      <c r="Q12" s="463"/>
      <c r="R12" s="463"/>
      <c r="S12" s="463" t="s">
        <v>3830</v>
      </c>
      <c r="T12" s="463"/>
      <c r="U12" s="463"/>
      <c r="V12" s="463" t="s">
        <v>3831</v>
      </c>
      <c r="W12" s="463"/>
      <c r="X12" s="463"/>
      <c r="Y12" s="463" t="s">
        <v>3832</v>
      </c>
      <c r="Z12" s="463"/>
      <c r="AA12" s="463"/>
      <c r="AB12" s="463" t="s">
        <v>3833</v>
      </c>
      <c r="AC12" s="463"/>
      <c r="AD12" s="463"/>
      <c r="AE12" s="463" t="s">
        <v>3834</v>
      </c>
      <c r="AF12" s="463"/>
      <c r="AG12" s="463"/>
      <c r="AH12" s="463" t="s">
        <v>3835</v>
      </c>
      <c r="AI12" s="463"/>
      <c r="AJ12" s="463"/>
      <c r="AK12" s="463" t="s">
        <v>3836</v>
      </c>
      <c r="AL12" s="463"/>
      <c r="AM12" s="463"/>
      <c r="AN12" s="463" t="s">
        <v>3837</v>
      </c>
      <c r="AO12" s="463"/>
      <c r="AP12" s="463"/>
      <c r="AQ12" s="463" t="s">
        <v>3838</v>
      </c>
      <c r="AR12" s="463"/>
      <c r="AS12" s="463"/>
      <c r="AT12" s="461" t="s">
        <v>3845</v>
      </c>
      <c r="AU12" s="462" t="s">
        <v>3846</v>
      </c>
      <c r="AV12" s="460" t="s">
        <v>3847</v>
      </c>
      <c r="AW12" s="460" t="s">
        <v>3846</v>
      </c>
      <c r="AX12" s="244" t="s">
        <v>4017</v>
      </c>
      <c r="AY12" s="244" t="s">
        <v>500</v>
      </c>
      <c r="AZ12" s="244" t="s">
        <v>4001</v>
      </c>
      <c r="BA12" s="243" t="s">
        <v>4016</v>
      </c>
      <c r="BB12" s="243"/>
      <c r="BC12" s="243"/>
      <c r="BD12" s="243"/>
      <c r="BE12" s="243"/>
      <c r="BF12" s="243"/>
      <c r="BG12" s="243"/>
      <c r="BH12" s="243"/>
    </row>
    <row r="13" spans="2:60"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1"/>
      <c r="AU13" s="462"/>
      <c r="AV13" s="460"/>
      <c r="AW13" s="460"/>
      <c r="AX13" s="244"/>
      <c r="AY13" s="244"/>
      <c r="AZ13" s="244"/>
      <c r="BA13" s="242" t="s">
        <v>4013</v>
      </c>
      <c r="BB13" s="241" t="s">
        <v>4014</v>
      </c>
      <c r="BC13" s="242" t="s">
        <v>4015</v>
      </c>
      <c r="BD13" s="241" t="s">
        <v>4023</v>
      </c>
      <c r="BE13" s="294" t="s">
        <v>4341</v>
      </c>
      <c r="BF13" s="294" t="s">
        <v>4377</v>
      </c>
      <c r="BG13" s="294" t="s">
        <v>4378</v>
      </c>
      <c r="BH13" s="294" t="s">
        <v>4533</v>
      </c>
    </row>
    <row r="14" spans="2:60"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2159625081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6067322932</v>
      </c>
      <c r="AU14" s="250">
        <f>IFERROR(AT14/F14*100,0)</f>
        <v>52.870569521752032</v>
      </c>
      <c r="AV14" s="251">
        <f>F14-AT14</f>
        <v>5408481068</v>
      </c>
      <c r="AW14" s="250">
        <f>AV14/F14*100</f>
        <v>47.129430478247976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25">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25">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25">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25">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25">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25">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25">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25">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25">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25">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25">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25">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2034687981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5698800832</v>
      </c>
      <c r="AU60" s="193">
        <f t="shared" si="6"/>
        <v>54.399651158039994</v>
      </c>
      <c r="AV60" s="194">
        <f t="shared" ref="AV60:AV64" si="86">F60-AT60</f>
        <v>4777003168</v>
      </c>
      <c r="AW60" s="193">
        <f t="shared" ref="AW60:AW65" si="87">AV60/F60*100</f>
        <v>45.600348841960006</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25">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 t="shared" si="91"/>
        <v>154451558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2222086920</v>
      </c>
      <c r="AU61" s="187">
        <f t="shared" si="6"/>
        <v>50.578947416340867</v>
      </c>
      <c r="AV61" s="188">
        <f t="shared" si="86"/>
        <v>2171217080</v>
      </c>
      <c r="AW61" s="187">
        <f t="shared" si="87"/>
        <v>49.421052583659133</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25">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25">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25">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25">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25">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 t="shared" si="102"/>
        <v>103366027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1223562658</v>
      </c>
      <c r="AU67" s="182">
        <f t="shared" si="6"/>
        <v>38.346411229234924</v>
      </c>
      <c r="AV67" s="183">
        <f>F67-AT67</f>
        <v>1967251342</v>
      </c>
      <c r="AW67" s="182">
        <f>AV67/F67*100</f>
        <v>61.653588770765076</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25">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 t="shared" ref="J68:AS69" si="110">Y69</f>
        <v>3840000</v>
      </c>
      <c r="Z68" s="172">
        <f t="shared" si="110"/>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28697850</v>
      </c>
      <c r="AU68" s="173">
        <f t="shared" si="6"/>
        <v>25.318802604414802</v>
      </c>
      <c r="AV68" s="174">
        <f t="shared" si="7"/>
        <v>84648150</v>
      </c>
      <c r="AW68" s="173">
        <f t="shared" si="10"/>
        <v>74.681197395585201</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25">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3840000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28697850</v>
      </c>
      <c r="AU69" s="173">
        <f t="shared" si="6"/>
        <v>25.318802604414802</v>
      </c>
      <c r="AV69" s="174">
        <f t="shared" si="7"/>
        <v>84648150</v>
      </c>
      <c r="AW69" s="173">
        <f t="shared" si="10"/>
        <v>74.681197395585201</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25">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3840000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28697850</v>
      </c>
      <c r="AU70" s="175">
        <f t="shared" si="6"/>
        <v>25.318802604414802</v>
      </c>
      <c r="AV70" s="176">
        <f t="shared" si="7"/>
        <v>84648150</v>
      </c>
      <c r="AW70" s="175">
        <f t="shared" si="10"/>
        <v>74.681197395585201</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25">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25">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25">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25">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25">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v>3840000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18370600</v>
      </c>
      <c r="AU75" s="168">
        <f t="shared" si="6"/>
        <v>20.199459019638027</v>
      </c>
      <c r="AV75" s="169">
        <f t="shared" si="7"/>
        <v>72575400</v>
      </c>
      <c r="AW75" s="168">
        <f t="shared" si="10"/>
        <v>79.800540980361973</v>
      </c>
      <c r="AX75" s="164" t="s">
        <v>542</v>
      </c>
      <c r="AY75" s="164" t="s">
        <v>543</v>
      </c>
      <c r="AZ75" s="164" t="s">
        <v>3921</v>
      </c>
      <c r="BA75" s="165"/>
      <c r="BB75" s="165"/>
      <c r="BC75" s="240"/>
      <c r="BD75" s="165"/>
      <c r="BE75" s="165"/>
      <c r="BF75" s="165"/>
      <c r="BG75" s="165"/>
      <c r="BH75" s="165"/>
    </row>
    <row r="76" spans="2:60" x14ac:dyDescent="0.25">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25">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25">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25">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25">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25">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25">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25">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25">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25">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25">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25">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25">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25">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25">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25">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25">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25">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25">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25">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25">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25">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25">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25">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25">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25">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25">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25">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25">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25">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25">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25">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25">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25">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25">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25">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25">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25">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25">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25">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25">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25">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25">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25">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8" t="s">
        <v>3921</v>
      </c>
      <c r="BA120" s="165"/>
      <c r="BB120" s="165">
        <v>250000</v>
      </c>
      <c r="BC120" s="240">
        <v>120000</v>
      </c>
      <c r="BD120" s="165"/>
      <c r="BE120" s="165"/>
      <c r="BF120" s="165"/>
      <c r="BG120" s="165">
        <v>250000</v>
      </c>
      <c r="BH120" s="165"/>
    </row>
    <row r="121" spans="2:60" x14ac:dyDescent="0.25">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25">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25">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25">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25">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25">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25">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25">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25">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25">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25">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25">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25">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25">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25">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25">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25">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25">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51085531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344324262</v>
      </c>
      <c r="AU146" s="182">
        <f t="shared" si="261"/>
        <v>62.799661128235066</v>
      </c>
      <c r="AV146" s="183">
        <f>F146-AT146</f>
        <v>203965738</v>
      </c>
      <c r="AW146" s="182">
        <f>AV146/F146*100</f>
        <v>37.200338871764941</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25">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10500000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101979445</v>
      </c>
      <c r="AU147" s="173">
        <f t="shared" si="261"/>
        <v>56.475779744367891</v>
      </c>
      <c r="AV147" s="174">
        <f t="shared" ref="AV147:AV148" si="275">F147-AT147</f>
        <v>78592555</v>
      </c>
      <c r="AW147" s="173">
        <f t="shared" ref="AW147:AW148" si="276">AV147/F147*100</f>
        <v>43.524220255632102</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10500000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101979445</v>
      </c>
      <c r="AU148" s="173">
        <f t="shared" si="261"/>
        <v>56.475779744367891</v>
      </c>
      <c r="AV148" s="174">
        <f t="shared" si="275"/>
        <v>78592555</v>
      </c>
      <c r="AW148" s="173">
        <f t="shared" si="276"/>
        <v>43.524220255632102</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25">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25">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25">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8" t="s">
        <v>3921</v>
      </c>
      <c r="BA151" s="165"/>
      <c r="BB151" s="165">
        <v>346915</v>
      </c>
      <c r="BC151" s="240"/>
      <c r="BD151" s="165"/>
      <c r="BE151" s="165"/>
      <c r="BF151" s="165"/>
      <c r="BG151" s="165">
        <v>355980</v>
      </c>
      <c r="BH151" s="165"/>
    </row>
    <row r="152" spans="2:60" x14ac:dyDescent="0.25">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25">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25">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20151000</v>
      </c>
      <c r="AU154" s="175">
        <f t="shared" si="261"/>
        <v>25.834615384615383</v>
      </c>
      <c r="AV154" s="176">
        <f t="shared" si="293"/>
        <v>57849000</v>
      </c>
      <c r="AW154" s="175">
        <f>AV154/F154*100</f>
        <v>74.16538461538461</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25">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25">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8" t="s">
        <v>3921</v>
      </c>
      <c r="BA156" s="165"/>
      <c r="BB156" s="165"/>
      <c r="BC156" s="240"/>
      <c r="BD156" s="165"/>
      <c r="BE156" s="165"/>
      <c r="BF156" s="165"/>
      <c r="BG156" s="165"/>
      <c r="BH156" s="165"/>
    </row>
    <row r="157" spans="2:60" x14ac:dyDescent="0.25">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25">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25">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4429000</v>
      </c>
      <c r="AU159" s="168">
        <f t="shared" si="261"/>
        <v>9.8422222222222224</v>
      </c>
      <c r="AV159" s="169">
        <f t="shared" si="303"/>
        <v>40571000</v>
      </c>
      <c r="AW159" s="168">
        <f t="shared" si="243"/>
        <v>90.157777777777781</v>
      </c>
      <c r="AX159" s="164" t="s">
        <v>542</v>
      </c>
      <c r="AY159" s="164" t="s">
        <v>543</v>
      </c>
      <c r="AZ159" s="164" t="s">
        <v>3921</v>
      </c>
      <c r="BA159" s="165"/>
      <c r="BB159" s="165"/>
      <c r="BC159" s="240"/>
      <c r="BD159" s="165"/>
      <c r="BE159" s="165"/>
      <c r="BF159" s="165"/>
      <c r="BG159" s="165"/>
      <c r="BH159" s="165"/>
    </row>
    <row r="160" spans="2:60" x14ac:dyDescent="0.25">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25">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25">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25">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25">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25">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25">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25">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8" t="s">
        <v>3921</v>
      </c>
      <c r="BA169" s="165"/>
      <c r="BB169" s="165">
        <v>499528</v>
      </c>
      <c r="BC169" s="240"/>
      <c r="BD169" s="165"/>
      <c r="BE169" s="165"/>
      <c r="BF169" s="165"/>
      <c r="BG169" s="165"/>
      <c r="BH169" s="165"/>
    </row>
    <row r="170" spans="2:60" x14ac:dyDescent="0.25">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25">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25">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25">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8" t="s">
        <v>3921</v>
      </c>
      <c r="BA173" s="165"/>
      <c r="BB173" s="165"/>
      <c r="BC173" s="240"/>
      <c r="BD173" s="165"/>
      <c r="BE173" s="165"/>
      <c r="BF173" s="165">
        <v>300383</v>
      </c>
      <c r="BG173" s="165">
        <v>302631</v>
      </c>
      <c r="BH173" s="165"/>
    </row>
    <row r="174" spans="2:60" x14ac:dyDescent="0.25">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25">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25">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25">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25">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25">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25">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25">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25">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25">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25">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25">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25">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25">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25">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25">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25">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25">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25">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25">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25">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25">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25">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25">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25">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25">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25">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25">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25">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25">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1880236423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3476713912</v>
      </c>
      <c r="AU204" s="173">
        <f t="shared" si="261"/>
        <v>57.159291607069463</v>
      </c>
      <c r="AV204" s="174">
        <f t="shared" si="382"/>
        <v>2605786088</v>
      </c>
      <c r="AW204" s="173">
        <f t="shared" si="383"/>
        <v>42.840708392930537</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25">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1880236423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3476713912</v>
      </c>
      <c r="AU205" s="173">
        <f t="shared" si="261"/>
        <v>57.159291607069463</v>
      </c>
      <c r="AV205" s="174">
        <f t="shared" si="382"/>
        <v>2605786088</v>
      </c>
      <c r="AW205" s="173">
        <f t="shared" si="383"/>
        <v>42.840708392930537</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1880236423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3476713912</v>
      </c>
      <c r="AU206" s="173">
        <f t="shared" si="261"/>
        <v>57.159291607069463</v>
      </c>
      <c r="AV206" s="174">
        <f t="shared" si="382"/>
        <v>2605786088</v>
      </c>
      <c r="AW206" s="173">
        <f t="shared" si="383"/>
        <v>42.840708392930537</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1880236423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3468907912</v>
      </c>
      <c r="AU207" s="173">
        <f t="shared" ref="AU207:AU231" si="423">IFERROR(AT207/F207*100,0)</f>
        <v>58.073559205129484</v>
      </c>
      <c r="AV207" s="174">
        <f t="shared" si="382"/>
        <v>2504392088</v>
      </c>
      <c r="AW207" s="173">
        <f t="shared" si="383"/>
        <v>41.926440794870508</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25">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25">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8" t="s">
        <v>3921</v>
      </c>
      <c r="BA210" s="165"/>
      <c r="BB210" s="165"/>
      <c r="BC210" s="165"/>
      <c r="BD210" s="165"/>
      <c r="BE210" s="165"/>
      <c r="BF210" s="165"/>
      <c r="BG210" s="165"/>
      <c r="BH210" s="165"/>
    </row>
    <row r="211" spans="2:60" x14ac:dyDescent="0.25">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25">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25">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25">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25">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1865601423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3443517912</v>
      </c>
      <c r="AU215" s="175">
        <f t="shared" si="423"/>
        <v>84.282304773116934</v>
      </c>
      <c r="AV215" s="176">
        <f t="shared" si="382"/>
        <v>642177088</v>
      </c>
      <c r="AW215" s="175">
        <f t="shared" si="383"/>
        <v>15.717695226883063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25">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25">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f>
        <v>1843270850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3393066206</v>
      </c>
      <c r="AU217" s="168">
        <f t="shared" si="423"/>
        <v>89.087369978430928</v>
      </c>
      <c r="AV217" s="169">
        <f t="shared" si="382"/>
        <v>415628794</v>
      </c>
      <c r="AW217" s="168">
        <f t="shared" si="383"/>
        <v>10.912630021569068</v>
      </c>
      <c r="AX217" s="164" t="s">
        <v>542</v>
      </c>
      <c r="AY217" s="164" t="s">
        <v>543</v>
      </c>
      <c r="AZ217" s="164" t="s">
        <v>3921</v>
      </c>
      <c r="BA217" s="165"/>
      <c r="BB217" s="165"/>
      <c r="BC217" s="165"/>
      <c r="BD217" s="165"/>
      <c r="BE217" s="165"/>
      <c r="BF217" s="165"/>
      <c r="BG217" s="165"/>
      <c r="BH217" s="165"/>
    </row>
    <row r="218" spans="2:60" x14ac:dyDescent="0.25">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25">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25">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25">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25">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25">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25">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25">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25">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25">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25">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25">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25">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25">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25">
      <c r="F232" s="227"/>
      <c r="G232" s="227"/>
      <c r="H232" s="227"/>
      <c r="I232" s="227"/>
      <c r="AT232" s="220"/>
    </row>
    <row r="233" spans="2:60" x14ac:dyDescent="0.25">
      <c r="AU233" t="s">
        <v>3842</v>
      </c>
    </row>
    <row r="234" spans="2:60"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0" x14ac:dyDescent="0.25">
      <c r="B235" s="385"/>
      <c r="C235" s="363"/>
      <c r="D235" s="363"/>
      <c r="E235" s="363"/>
      <c r="F235" s="363"/>
      <c r="G235" s="363"/>
      <c r="H235" s="363"/>
      <c r="I235" s="406">
        <f t="shared" ref="I235:I250" si="464">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25">
      <c r="B236" s="386"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474970701</v>
      </c>
      <c r="Z236" s="186">
        <f t="shared" si="465"/>
        <v>0</v>
      </c>
      <c r="AA236" s="186">
        <f t="shared" si="465"/>
        <v>0</v>
      </c>
      <c r="AB236" s="186">
        <f t="shared" si="465"/>
        <v>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2940382304</v>
      </c>
      <c r="AU236" s="382">
        <f t="shared" ref="AU236:AU248" si="468">IFERROR(AT236/F236*100,0)</f>
        <v>45.383301733787142</v>
      </c>
      <c r="AV236" s="187">
        <f t="shared" ref="AV236:AV248" si="469">F236-AT236</f>
        <v>3538613696</v>
      </c>
      <c r="AW236" s="187">
        <f t="shared" ref="AW236:AW248" si="470">AV236/F236*100</f>
        <v>54.61669826621285</v>
      </c>
      <c r="AX236" s="185" t="s">
        <v>576</v>
      </c>
      <c r="AY236" s="189" t="s">
        <v>546</v>
      </c>
      <c r="BA236" s="366"/>
      <c r="BC236" s="366"/>
    </row>
    <row r="237" spans="2:60" x14ac:dyDescent="0.25">
      <c r="B237" s="387" t="s">
        <v>1807</v>
      </c>
      <c r="C237" s="367" t="s">
        <v>1808</v>
      </c>
      <c r="D237" s="368"/>
      <c r="E237" s="368"/>
      <c r="F237" s="369">
        <f>SUM(F238:F248)</f>
        <v>6155047000</v>
      </c>
      <c r="G237" s="369">
        <f>SUM(G238:G248)</f>
        <v>6155047000</v>
      </c>
      <c r="H237" s="369">
        <f>SUM(H238:H248)</f>
        <v>0</v>
      </c>
      <c r="I237" s="369">
        <f t="shared" si="464"/>
        <v>0</v>
      </c>
      <c r="J237" s="369">
        <f t="shared" ref="J237:K237" si="471">SUM(J238:J248)</f>
        <v>208949299</v>
      </c>
      <c r="K237" s="369">
        <f t="shared" si="471"/>
        <v>0</v>
      </c>
      <c r="L237" s="369">
        <f>SUM(L238:L248)</f>
        <v>0</v>
      </c>
      <c r="M237" s="369">
        <f t="shared" ref="M237:N237" si="472">SUM(M238:M248)</f>
        <v>471416928</v>
      </c>
      <c r="N237" s="369">
        <f t="shared" si="472"/>
        <v>0</v>
      </c>
      <c r="O237" s="369">
        <f>SUM(O238:O248)</f>
        <v>0</v>
      </c>
      <c r="P237" s="369">
        <f t="shared" ref="P237:Q237" si="473">SUM(P238:P248)</f>
        <v>493246114</v>
      </c>
      <c r="Q237" s="369">
        <f t="shared" si="473"/>
        <v>0</v>
      </c>
      <c r="R237" s="369">
        <f>SUM(R238:R248)</f>
        <v>0</v>
      </c>
      <c r="S237" s="369">
        <f t="shared" ref="S237:AR237" si="474">SUM(S238:S248)</f>
        <v>811194029</v>
      </c>
      <c r="T237" s="369">
        <f t="shared" si="474"/>
        <v>0</v>
      </c>
      <c r="U237" s="369">
        <f t="shared" si="474"/>
        <v>0</v>
      </c>
      <c r="V237" s="369">
        <f t="shared" si="474"/>
        <v>480605233</v>
      </c>
      <c r="W237" s="369">
        <f t="shared" si="474"/>
        <v>0</v>
      </c>
      <c r="X237" s="369">
        <f t="shared" si="474"/>
        <v>0</v>
      </c>
      <c r="Y237" s="369">
        <f t="shared" si="474"/>
        <v>474970701</v>
      </c>
      <c r="Z237" s="369">
        <f t="shared" si="474"/>
        <v>0</v>
      </c>
      <c r="AA237" s="369">
        <f t="shared" si="474"/>
        <v>0</v>
      </c>
      <c r="AB237" s="369">
        <f t="shared" si="474"/>
        <v>0</v>
      </c>
      <c r="AC237" s="369">
        <f t="shared" si="474"/>
        <v>0</v>
      </c>
      <c r="AD237" s="369">
        <f t="shared" si="474"/>
        <v>0</v>
      </c>
      <c r="AE237" s="369">
        <f t="shared" si="474"/>
        <v>0</v>
      </c>
      <c r="AF237" s="369">
        <f t="shared" si="474"/>
        <v>0</v>
      </c>
      <c r="AG237" s="369">
        <f t="shared" si="474"/>
        <v>0</v>
      </c>
      <c r="AH237" s="369">
        <f t="shared" si="474"/>
        <v>0</v>
      </c>
      <c r="AI237" s="369">
        <f t="shared" si="474"/>
        <v>0</v>
      </c>
      <c r="AJ237" s="369">
        <f t="shared" si="474"/>
        <v>0</v>
      </c>
      <c r="AK237" s="369">
        <f t="shared" si="474"/>
        <v>0</v>
      </c>
      <c r="AL237" s="369">
        <f t="shared" si="474"/>
        <v>0</v>
      </c>
      <c r="AM237" s="369">
        <f t="shared" si="474"/>
        <v>0</v>
      </c>
      <c r="AN237" s="369">
        <f t="shared" si="474"/>
        <v>0</v>
      </c>
      <c r="AO237" s="369">
        <f t="shared" si="474"/>
        <v>0</v>
      </c>
      <c r="AP237" s="369">
        <f t="shared" si="474"/>
        <v>0</v>
      </c>
      <c r="AQ237" s="369">
        <f t="shared" si="474"/>
        <v>0</v>
      </c>
      <c r="AR237" s="369">
        <f t="shared" si="474"/>
        <v>0</v>
      </c>
      <c r="AS237" s="167"/>
      <c r="AT237" s="167">
        <f t="shared" si="467"/>
        <v>2940382304</v>
      </c>
      <c r="AU237" s="226">
        <f t="shared" si="468"/>
        <v>47.771890352746297</v>
      </c>
      <c r="AV237" s="175">
        <f t="shared" si="469"/>
        <v>3214664696</v>
      </c>
      <c r="AW237" s="381">
        <f t="shared" si="470"/>
        <v>52.228109647253703</v>
      </c>
      <c r="AX237" s="368" t="s">
        <v>576</v>
      </c>
      <c r="AY237" t="s">
        <v>546</v>
      </c>
      <c r="BA237" s="370"/>
      <c r="BB237"/>
      <c r="BC237" s="370"/>
      <c r="BD237"/>
    </row>
    <row r="238" spans="2:60" x14ac:dyDescent="0.25">
      <c r="B238" s="388">
        <v>511111</v>
      </c>
      <c r="C238" s="371" t="s">
        <v>77</v>
      </c>
      <c r="D238" s="371"/>
      <c r="E238" s="371"/>
      <c r="F238" s="372">
        <v>2483477000</v>
      </c>
      <c r="G238" s="373">
        <v>2483477000</v>
      </c>
      <c r="H238" s="373"/>
      <c r="I238" s="373">
        <f t="shared" si="464"/>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c r="AC238" s="374"/>
      <c r="AD238" s="374"/>
      <c r="AE238" s="374"/>
      <c r="AF238" s="374"/>
      <c r="AG238" s="374"/>
      <c r="AH238" s="374"/>
      <c r="AI238" s="374"/>
      <c r="AJ238" s="374"/>
      <c r="AK238" s="374"/>
      <c r="AL238" s="374"/>
      <c r="AM238" s="374"/>
      <c r="AN238" s="374"/>
      <c r="AO238" s="374"/>
      <c r="AP238" s="374"/>
      <c r="AQ238" s="374"/>
      <c r="AR238" s="374"/>
      <c r="AS238" s="374"/>
      <c r="AT238" s="374">
        <f t="shared" si="467"/>
        <v>1182051100</v>
      </c>
      <c r="AU238" s="383">
        <f t="shared" si="468"/>
        <v>47.596619578115686</v>
      </c>
      <c r="AV238" s="378">
        <f t="shared" si="469"/>
        <v>1301425900</v>
      </c>
      <c r="AW238" s="377">
        <f t="shared" si="470"/>
        <v>52.403380421884314</v>
      </c>
      <c r="AX238" s="371" t="s">
        <v>576</v>
      </c>
      <c r="AY238" t="s">
        <v>546</v>
      </c>
      <c r="BA238" s="215"/>
      <c r="BB238"/>
      <c r="BC238" s="215"/>
      <c r="BD238"/>
    </row>
    <row r="239" spans="2:60" x14ac:dyDescent="0.25">
      <c r="B239" s="388">
        <v>511119</v>
      </c>
      <c r="C239" s="371" t="s">
        <v>79</v>
      </c>
      <c r="D239" s="371"/>
      <c r="E239" s="371"/>
      <c r="F239" s="372">
        <v>38000</v>
      </c>
      <c r="G239" s="373">
        <v>38000</v>
      </c>
      <c r="H239" s="373"/>
      <c r="I239" s="373">
        <f t="shared" si="464"/>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c r="AC239" s="374"/>
      <c r="AD239" s="374"/>
      <c r="AE239" s="374"/>
      <c r="AF239" s="374"/>
      <c r="AG239" s="374"/>
      <c r="AH239" s="374"/>
      <c r="AI239" s="374"/>
      <c r="AJ239" s="374"/>
      <c r="AK239" s="374"/>
      <c r="AL239" s="374"/>
      <c r="AM239" s="374"/>
      <c r="AN239" s="374"/>
      <c r="AO239" s="374"/>
      <c r="AP239" s="374"/>
      <c r="AQ239" s="374"/>
      <c r="AR239" s="374"/>
      <c r="AS239" s="374"/>
      <c r="AT239" s="374">
        <f t="shared" si="467"/>
        <v>18339</v>
      </c>
      <c r="AU239" s="383">
        <f t="shared" si="468"/>
        <v>48.260526315789477</v>
      </c>
      <c r="AV239" s="378">
        <f t="shared" si="469"/>
        <v>19661</v>
      </c>
      <c r="AW239" s="377">
        <f t="shared" si="470"/>
        <v>51.739473684210523</v>
      </c>
      <c r="AX239" s="371" t="s">
        <v>576</v>
      </c>
      <c r="AY239" t="s">
        <v>546</v>
      </c>
      <c r="BA239" s="215"/>
      <c r="BB239"/>
      <c r="BC239" s="215"/>
      <c r="BD239"/>
    </row>
    <row r="240" spans="2:60" x14ac:dyDescent="0.25">
      <c r="B240" s="388">
        <v>511121</v>
      </c>
      <c r="C240" s="371" t="s">
        <v>80</v>
      </c>
      <c r="D240" s="371"/>
      <c r="E240" s="371"/>
      <c r="F240" s="372">
        <v>171959000</v>
      </c>
      <c r="G240" s="373">
        <v>171959000</v>
      </c>
      <c r="H240" s="373"/>
      <c r="I240" s="373">
        <f t="shared" si="464"/>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c r="AC240" s="374"/>
      <c r="AD240" s="374"/>
      <c r="AE240" s="374"/>
      <c r="AF240" s="374"/>
      <c r="AG240" s="374"/>
      <c r="AH240" s="374"/>
      <c r="AI240" s="374"/>
      <c r="AJ240" s="374"/>
      <c r="AK240" s="374"/>
      <c r="AL240" s="374"/>
      <c r="AM240" s="374"/>
      <c r="AN240" s="374"/>
      <c r="AO240" s="374"/>
      <c r="AP240" s="374"/>
      <c r="AQ240" s="374"/>
      <c r="AR240" s="374"/>
      <c r="AS240" s="374"/>
      <c r="AT240" s="374">
        <f t="shared" si="467"/>
        <v>76945360</v>
      </c>
      <c r="AU240" s="383">
        <f t="shared" si="468"/>
        <v>44.746340697491846</v>
      </c>
      <c r="AV240" s="378">
        <f t="shared" si="469"/>
        <v>95013640</v>
      </c>
      <c r="AW240" s="377">
        <f t="shared" si="470"/>
        <v>55.253659302508154</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64"/>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c r="AC241" s="374"/>
      <c r="AD241" s="374"/>
      <c r="AE241" s="374"/>
      <c r="AF241" s="374"/>
      <c r="AG241" s="374"/>
      <c r="AH241" s="374"/>
      <c r="AI241" s="374"/>
      <c r="AJ241" s="374"/>
      <c r="AK241" s="374"/>
      <c r="AL241" s="374"/>
      <c r="AM241" s="374"/>
      <c r="AN241" s="374"/>
      <c r="AO241" s="374"/>
      <c r="AP241" s="374"/>
      <c r="AQ241" s="374"/>
      <c r="AR241" s="374"/>
      <c r="AS241" s="374"/>
      <c r="AT241" s="374">
        <f t="shared" si="467"/>
        <v>22886520</v>
      </c>
      <c r="AU241" s="383">
        <f t="shared" si="468"/>
        <v>49.007537473233405</v>
      </c>
      <c r="AV241" s="378">
        <f t="shared" si="469"/>
        <v>23813480</v>
      </c>
      <c r="AW241" s="377">
        <f t="shared" si="470"/>
        <v>50.992462526766587</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64"/>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c r="AC242" s="374"/>
      <c r="AD242" s="374"/>
      <c r="AE242" s="374"/>
      <c r="AF242" s="374"/>
      <c r="AG242" s="374"/>
      <c r="AH242" s="374"/>
      <c r="AI242" s="374"/>
      <c r="AJ242" s="374"/>
      <c r="AK242" s="374"/>
      <c r="AL242" s="374"/>
      <c r="AM242" s="374"/>
      <c r="AN242" s="374"/>
      <c r="AO242" s="374"/>
      <c r="AP242" s="374"/>
      <c r="AQ242" s="374"/>
      <c r="AR242" s="374"/>
      <c r="AS242" s="374"/>
      <c r="AT242" s="374">
        <f t="shared" si="467"/>
        <v>68110000</v>
      </c>
      <c r="AU242" s="383">
        <f t="shared" si="468"/>
        <v>43.107594936708857</v>
      </c>
      <c r="AV242" s="378">
        <f t="shared" si="469"/>
        <v>89890000</v>
      </c>
      <c r="AW242" s="377">
        <f t="shared" si="470"/>
        <v>56.892405063291143</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64"/>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c r="AC243" s="374"/>
      <c r="AD243" s="374"/>
      <c r="AE243" s="374"/>
      <c r="AF243" s="374"/>
      <c r="AG243" s="374"/>
      <c r="AH243" s="374"/>
      <c r="AI243" s="374"/>
      <c r="AJ243" s="374"/>
      <c r="AK243" s="374"/>
      <c r="AL243" s="374"/>
      <c r="AM243" s="374"/>
      <c r="AN243" s="374"/>
      <c r="AO243" s="374"/>
      <c r="AP243" s="374"/>
      <c r="AQ243" s="374"/>
      <c r="AR243" s="374"/>
      <c r="AS243" s="374"/>
      <c r="AT243" s="374">
        <f t="shared" si="467"/>
        <v>33802000</v>
      </c>
      <c r="AU243" s="383">
        <f t="shared" si="468"/>
        <v>70.157741801577416</v>
      </c>
      <c r="AV243" s="378">
        <f t="shared" si="469"/>
        <v>14378000</v>
      </c>
      <c r="AW243" s="377">
        <f t="shared" si="470"/>
        <v>29.842258198422584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64"/>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c r="AC244" s="374"/>
      <c r="AD244" s="374"/>
      <c r="AE244" s="374"/>
      <c r="AF244" s="374"/>
      <c r="AG244" s="374"/>
      <c r="AH244" s="374"/>
      <c r="AI244" s="374"/>
      <c r="AJ244" s="374"/>
      <c r="AK244" s="374"/>
      <c r="AL244" s="374"/>
      <c r="AM244" s="374"/>
      <c r="AN244" s="374"/>
      <c r="AO244" s="374"/>
      <c r="AP244" s="374"/>
      <c r="AQ244" s="374"/>
      <c r="AR244" s="374"/>
      <c r="AS244" s="374"/>
      <c r="AT244" s="374">
        <f t="shared" si="467"/>
        <v>4367936</v>
      </c>
      <c r="AU244" s="383">
        <f t="shared" si="468"/>
        <v>33.259240082235593</v>
      </c>
      <c r="AV244" s="378">
        <f t="shared" si="469"/>
        <v>8765064</v>
      </c>
      <c r="AW244" s="377">
        <f t="shared" si="470"/>
        <v>66.740759917764407</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64"/>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c r="AC245" s="374"/>
      <c r="AD245" s="374"/>
      <c r="AE245" s="374"/>
      <c r="AF245" s="374"/>
      <c r="AG245" s="374"/>
      <c r="AH245" s="374"/>
      <c r="AI245" s="374"/>
      <c r="AJ245" s="374"/>
      <c r="AK245" s="374"/>
      <c r="AL245" s="374"/>
      <c r="AM245" s="374"/>
      <c r="AN245" s="374"/>
      <c r="AO245" s="374"/>
      <c r="AP245" s="374"/>
      <c r="AQ245" s="374"/>
      <c r="AR245" s="374"/>
      <c r="AS245" s="374"/>
      <c r="AT245" s="374">
        <f t="shared" si="467"/>
        <v>62136360</v>
      </c>
      <c r="AU245" s="383">
        <f t="shared" si="468"/>
        <v>47.675078452886069</v>
      </c>
      <c r="AV245" s="378">
        <f t="shared" si="469"/>
        <v>68196640</v>
      </c>
      <c r="AW245" s="377">
        <f t="shared" si="470"/>
        <v>52.324921547113931</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64"/>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67"/>
        <v>126427000</v>
      </c>
      <c r="AU246" s="383">
        <f t="shared" si="468"/>
        <v>33.324722770633059</v>
      </c>
      <c r="AV246" s="378">
        <f t="shared" si="469"/>
        <v>252952000</v>
      </c>
      <c r="AW246" s="377">
        <f t="shared" si="470"/>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64"/>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c r="AC247" s="374"/>
      <c r="AD247" s="374"/>
      <c r="AE247" s="374"/>
      <c r="AF247" s="374"/>
      <c r="AG247" s="374"/>
      <c r="AH247" s="374"/>
      <c r="AI247" s="374"/>
      <c r="AJ247" s="374"/>
      <c r="AK247" s="374"/>
      <c r="AL247" s="374"/>
      <c r="AM247" s="374"/>
      <c r="AN247" s="374"/>
      <c r="AO247" s="374"/>
      <c r="AP247" s="374"/>
      <c r="AQ247" s="374"/>
      <c r="AR247" s="374"/>
      <c r="AS247" s="374"/>
      <c r="AT247" s="374">
        <f t="shared" si="467"/>
        <v>38965000</v>
      </c>
      <c r="AU247" s="383">
        <f t="shared" si="468"/>
        <v>44.098008148483473</v>
      </c>
      <c r="AV247" s="378">
        <f t="shared" si="469"/>
        <v>49395000</v>
      </c>
      <c r="AW247" s="377">
        <f t="shared" si="470"/>
        <v>55.90199185151652</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64"/>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c r="AC248" s="374"/>
      <c r="AD248" s="374"/>
      <c r="AE248" s="374"/>
      <c r="AF248" s="374"/>
      <c r="AG248" s="374"/>
      <c r="AH248" s="374"/>
      <c r="AI248" s="374"/>
      <c r="AJ248" s="374"/>
      <c r="AK248" s="374"/>
      <c r="AL248" s="374"/>
      <c r="AM248" s="374"/>
      <c r="AN248" s="374"/>
      <c r="AO248" s="374"/>
      <c r="AP248" s="374"/>
      <c r="AQ248" s="374"/>
      <c r="AR248" s="374"/>
      <c r="AS248" s="374"/>
      <c r="AT248" s="374">
        <f t="shared" si="467"/>
        <v>1324672689</v>
      </c>
      <c r="AU248" s="383">
        <f t="shared" si="468"/>
        <v>50.262899660328564</v>
      </c>
      <c r="AV248" s="378">
        <f t="shared" si="469"/>
        <v>1310815311</v>
      </c>
      <c r="AW248" s="377">
        <f t="shared" si="470"/>
        <v>49.737100339671436</v>
      </c>
      <c r="AX248" s="371" t="s">
        <v>576</v>
      </c>
      <c r="AY248" t="s">
        <v>546</v>
      </c>
      <c r="BA248" s="215"/>
      <c r="BB248"/>
      <c r="BC248" s="215"/>
      <c r="BD248"/>
    </row>
    <row r="249" spans="2:60" x14ac:dyDescent="0.25">
      <c r="B249" s="387" t="s">
        <v>2208</v>
      </c>
      <c r="C249" s="367" t="s">
        <v>3702</v>
      </c>
      <c r="D249" s="368"/>
      <c r="E249" s="368"/>
      <c r="F249" s="369">
        <f t="shared" ref="F249:G249" si="475">F250</f>
        <v>323949000</v>
      </c>
      <c r="G249" s="369">
        <f t="shared" si="475"/>
        <v>323949000</v>
      </c>
      <c r="H249" s="369">
        <f>H250</f>
        <v>323949000</v>
      </c>
      <c r="I249" s="369">
        <f t="shared" si="464"/>
        <v>0</v>
      </c>
      <c r="J249" s="369">
        <f t="shared" ref="J249:K249" si="476">SUM(J250:J260)</f>
        <v>0</v>
      </c>
      <c r="K249" s="369">
        <f t="shared" si="476"/>
        <v>0</v>
      </c>
      <c r="L249" s="369">
        <f>SUM(L250:L260)</f>
        <v>0</v>
      </c>
      <c r="M249" s="369">
        <f t="shared" ref="M249:N249" si="477">SUM(M250:M260)</f>
        <v>0</v>
      </c>
      <c r="N249" s="369">
        <f t="shared" si="477"/>
        <v>0</v>
      </c>
      <c r="O249" s="369">
        <f>SUM(O250:O260)</f>
        <v>0</v>
      </c>
      <c r="P249" s="369">
        <f t="shared" ref="P249:Q249" si="478">SUM(P250:P260)</f>
        <v>0</v>
      </c>
      <c r="Q249" s="369">
        <f t="shared" si="478"/>
        <v>0</v>
      </c>
      <c r="R249" s="369">
        <f>SUM(R250:R260)</f>
        <v>0</v>
      </c>
      <c r="S249" s="369">
        <f t="shared" ref="S249:AR249" si="479">SUM(S250:S260)</f>
        <v>0</v>
      </c>
      <c r="T249" s="369">
        <f t="shared" si="479"/>
        <v>0</v>
      </c>
      <c r="U249" s="369">
        <f t="shared" si="479"/>
        <v>0</v>
      </c>
      <c r="V249" s="369">
        <f t="shared" si="479"/>
        <v>0</v>
      </c>
      <c r="W249" s="369">
        <f t="shared" si="479"/>
        <v>0</v>
      </c>
      <c r="X249" s="369">
        <f t="shared" si="479"/>
        <v>0</v>
      </c>
      <c r="Y249" s="369">
        <f t="shared" si="479"/>
        <v>0</v>
      </c>
      <c r="Z249" s="369">
        <f t="shared" si="479"/>
        <v>0</v>
      </c>
      <c r="AA249" s="369">
        <f t="shared" si="479"/>
        <v>0</v>
      </c>
      <c r="AB249" s="369">
        <f t="shared" si="479"/>
        <v>0</v>
      </c>
      <c r="AC249" s="369">
        <f t="shared" si="479"/>
        <v>0</v>
      </c>
      <c r="AD249" s="369">
        <f t="shared" si="479"/>
        <v>0</v>
      </c>
      <c r="AE249" s="369">
        <f t="shared" si="479"/>
        <v>0</v>
      </c>
      <c r="AF249" s="369">
        <f t="shared" si="479"/>
        <v>0</v>
      </c>
      <c r="AG249" s="369">
        <f t="shared" si="479"/>
        <v>0</v>
      </c>
      <c r="AH249" s="369">
        <f t="shared" si="479"/>
        <v>0</v>
      </c>
      <c r="AI249" s="369">
        <f t="shared" si="479"/>
        <v>0</v>
      </c>
      <c r="AJ249" s="369">
        <f t="shared" si="479"/>
        <v>0</v>
      </c>
      <c r="AK249" s="369">
        <f t="shared" si="479"/>
        <v>0</v>
      </c>
      <c r="AL249" s="369">
        <f t="shared" si="479"/>
        <v>0</v>
      </c>
      <c r="AM249" s="369">
        <f t="shared" si="479"/>
        <v>0</v>
      </c>
      <c r="AN249" s="369">
        <f t="shared" si="479"/>
        <v>0</v>
      </c>
      <c r="AO249" s="369">
        <f t="shared" si="479"/>
        <v>0</v>
      </c>
      <c r="AP249" s="369">
        <f t="shared" si="479"/>
        <v>0</v>
      </c>
      <c r="AQ249" s="369">
        <f t="shared" si="479"/>
        <v>0</v>
      </c>
      <c r="AR249" s="369">
        <f t="shared" si="479"/>
        <v>0</v>
      </c>
      <c r="AS249" s="167"/>
      <c r="AT249" s="167">
        <f t="shared" ref="AT249" si="480">SUM(J249:AS249)</f>
        <v>0</v>
      </c>
      <c r="AU249" s="226">
        <f t="shared" ref="AU249" si="481">IFERROR(AT249/F249*100,0)</f>
        <v>0</v>
      </c>
      <c r="AV249" s="175">
        <f t="shared" ref="AV249" si="482">F249-AT249</f>
        <v>323949000</v>
      </c>
      <c r="AW249" s="381">
        <f t="shared" ref="AW249" si="483">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64"/>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66" priority="7">
      <formula>ROW()=CELL("ROW")</formula>
    </cfRule>
  </conditionalFormatting>
  <conditionalFormatting sqref="AS236:AS237">
    <cfRule type="expression" dxfId="65" priority="5">
      <formula>ROW()=CELL("ROW")</formula>
    </cfRule>
  </conditionalFormatting>
  <conditionalFormatting sqref="B237:C237">
    <cfRule type="expression" dxfId="64" priority="4">
      <formula>AND($R$4="Ya",$Q$2=ROW())</formula>
    </cfRule>
  </conditionalFormatting>
  <conditionalFormatting sqref="AT238:AT248">
    <cfRule type="expression" dxfId="63" priority="3">
      <formula>ROW()=CELL("ROW")</formula>
    </cfRule>
  </conditionalFormatting>
  <conditionalFormatting sqref="AS249">
    <cfRule type="expression" dxfId="62" priority="2">
      <formula>ROW()=CELL("ROW")</formula>
    </cfRule>
  </conditionalFormatting>
  <conditionalFormatting sqref="B249:C249">
    <cfRule type="expression" dxfId="61"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abSelected="1"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6" priority="3"/>
    <cfRule type="duplicateValues" dxfId="5" priority="4"/>
  </conditionalFormatting>
  <conditionalFormatting sqref="D3">
    <cfRule type="duplicateValues" dxfId="4" priority="1"/>
    <cfRule type="duplicateValues" dxfId="3"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L31" sqref="L31"/>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64" t="str">
        <f>IF(L8=TRUE,"REALISASI TANPA GAJI (BERDASARKAN PAGU SEBELUM BLOKIR)","REALISASI TANPA GAJI (BERDASARKAN PAGU SETELAH BLOKIR)")</f>
        <v>REALISASI TANPA GAJI (BERDASARKAN PAGU SETELAH BLOKIR)</v>
      </c>
      <c r="B1" s="464"/>
      <c r="C1" s="464"/>
      <c r="D1" s="464"/>
      <c r="E1" s="464"/>
      <c r="F1" s="464"/>
      <c r="G1" s="464"/>
      <c r="H1" s="464"/>
      <c r="I1" s="464"/>
      <c r="J1" s="464"/>
      <c r="L1" s="431" t="s">
        <v>5584</v>
      </c>
    </row>
    <row r="2" spans="1:13" ht="15.75" x14ac:dyDescent="0.25">
      <c r="A2" s="465" t="str">
        <f>'PER BULAN'!B5</f>
        <v>Berdasarkan DIPA Revisi 2 TA. 2022 (Tanggal 9 Juni 2022)</v>
      </c>
      <c r="B2" s="465"/>
      <c r="C2" s="465"/>
      <c r="D2" s="465"/>
      <c r="E2" s="465"/>
      <c r="F2" s="465"/>
      <c r="G2" s="465"/>
      <c r="H2" s="465"/>
      <c r="I2" s="465"/>
      <c r="J2" s="465"/>
    </row>
    <row r="3" spans="1:13" ht="15.75" x14ac:dyDescent="0.25">
      <c r="A3" s="465" t="str">
        <f>'PER BULAN'!B6</f>
        <v>SAMPAI DENGAN 22 JUNI 2022</v>
      </c>
      <c r="B3" s="465"/>
      <c r="C3" s="465"/>
      <c r="D3" s="465"/>
      <c r="E3" s="465"/>
      <c r="F3" s="465"/>
      <c r="G3" s="465"/>
      <c r="H3" s="465"/>
      <c r="I3" s="465"/>
      <c r="J3" s="465"/>
    </row>
    <row r="4" spans="1:13" x14ac:dyDescent="0.25">
      <c r="A4" s="201"/>
      <c r="B4" s="201"/>
      <c r="C4" s="201"/>
      <c r="D4" s="365"/>
      <c r="E4" s="405"/>
      <c r="F4" s="405"/>
      <c r="G4" s="201"/>
      <c r="H4" s="201"/>
      <c r="I4" s="201"/>
      <c r="J4" s="253"/>
    </row>
    <row r="5" spans="1:13" ht="15.75" x14ac:dyDescent="0.25">
      <c r="A5" s="433" t="s">
        <v>3995</v>
      </c>
    </row>
    <row r="6" spans="1:13" x14ac:dyDescent="0.25">
      <c r="A6" s="484" t="s">
        <v>592</v>
      </c>
      <c r="B6" s="484" t="s">
        <v>500</v>
      </c>
      <c r="C6" s="484" t="s">
        <v>5580</v>
      </c>
      <c r="D6" s="484" t="s">
        <v>5577</v>
      </c>
      <c r="E6" s="484" t="s">
        <v>5579</v>
      </c>
      <c r="F6" s="484" t="s">
        <v>5581</v>
      </c>
      <c r="G6" s="479" t="str">
        <f>IF($L$8=TRUE,"Realisasi vs Pagu+Blokir","Realisasi vs Pagu-Blokir")</f>
        <v>Realisasi vs Pagu-Blokir</v>
      </c>
      <c r="H6" s="479"/>
      <c r="I6" s="479" t="str">
        <f>IF($L$8=TRUE,"Sisa vs Pagu+Blokir","Sisa vs Pagu-Blokir")</f>
        <v>Sisa vs Pagu-Blokir</v>
      </c>
      <c r="J6" s="479"/>
    </row>
    <row r="7" spans="1:13" x14ac:dyDescent="0.25">
      <c r="A7" s="484"/>
      <c r="B7" s="484"/>
      <c r="C7" s="484"/>
      <c r="D7" s="484"/>
      <c r="E7" s="484"/>
      <c r="F7" s="484"/>
      <c r="G7" s="417" t="s">
        <v>5589</v>
      </c>
      <c r="H7" s="417" t="s">
        <v>3846</v>
      </c>
      <c r="I7" s="417" t="s">
        <v>5589</v>
      </c>
      <c r="J7" s="417" t="s">
        <v>3846</v>
      </c>
    </row>
    <row r="8" spans="1:13" x14ac:dyDescent="0.25">
      <c r="A8" s="480"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81"/>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81"/>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1"/>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82"/>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80"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81"/>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81"/>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2"/>
      <c r="B16" s="296" t="s">
        <v>5586</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80"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81"/>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82"/>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80"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81"/>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82"/>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83" t="s">
        <v>3852</v>
      </c>
      <c r="B23" s="483"/>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71" t="s">
        <v>5583</v>
      </c>
      <c r="B24" s="472"/>
      <c r="C24" s="415">
        <f>C23</f>
        <v>16863164000</v>
      </c>
      <c r="D24" s="473">
        <f>SUM(D23,E23)</f>
        <v>5487360000</v>
      </c>
      <c r="E24" s="474"/>
      <c r="F24" s="415">
        <f>F23</f>
        <v>11375804000</v>
      </c>
      <c r="G24" s="176">
        <f>G23</f>
        <v>6067322932</v>
      </c>
      <c r="H24" s="425">
        <f t="shared" si="0"/>
        <v>53.33533288724032</v>
      </c>
      <c r="I24" s="176">
        <f t="shared" si="1"/>
        <v>5308481068</v>
      </c>
      <c r="J24" s="265">
        <f t="shared" si="2"/>
        <v>46.66466711275968</v>
      </c>
      <c r="M24" s="217"/>
    </row>
    <row r="26" spans="1:13" x14ac:dyDescent="0.25">
      <c r="J26" s="278"/>
    </row>
    <row r="27" spans="1:13" ht="15.75" x14ac:dyDescent="0.25">
      <c r="A27" s="433" t="s">
        <v>4002</v>
      </c>
    </row>
    <row r="28" spans="1:13" ht="14.45" customHeight="1" x14ac:dyDescent="0.25">
      <c r="A28" s="469" t="s">
        <v>3988</v>
      </c>
      <c r="B28" s="469" t="s">
        <v>3989</v>
      </c>
      <c r="C28" s="469" t="s">
        <v>5580</v>
      </c>
      <c r="D28" s="475" t="s">
        <v>5577</v>
      </c>
      <c r="E28" s="475" t="s">
        <v>5579</v>
      </c>
      <c r="F28" s="469" t="s">
        <v>5581</v>
      </c>
      <c r="G28" s="479" t="str">
        <f>IF($L$8=TRUE,"Realisasi vs Pagu+Blokir","Realisasi vs Pagu-Blokir")</f>
        <v>Realisasi vs Pagu-Blokir</v>
      </c>
      <c r="H28" s="479"/>
      <c r="I28" s="479" t="str">
        <f>IF($L$8=TRUE,"Sisa vs Pagu+Blokir","Sisa vs Pagu-Blokir")</f>
        <v>Sisa vs Pagu-Blokir</v>
      </c>
      <c r="J28" s="479"/>
    </row>
    <row r="29" spans="1:13" x14ac:dyDescent="0.25">
      <c r="A29" s="470"/>
      <c r="B29" s="470"/>
      <c r="C29" s="470"/>
      <c r="D29" s="476"/>
      <c r="E29" s="476"/>
      <c r="F29" s="470"/>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7" t="s">
        <v>611</v>
      </c>
      <c r="B35" s="468"/>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67" t="s">
        <v>3993</v>
      </c>
      <c r="B36" s="468"/>
      <c r="C36" s="213"/>
      <c r="D36" s="213"/>
      <c r="E36" s="213"/>
      <c r="F36" s="213"/>
      <c r="G36" s="213"/>
      <c r="H36" s="214"/>
      <c r="I36" s="213"/>
      <c r="J36" s="214"/>
    </row>
    <row r="37" spans="1:12" x14ac:dyDescent="0.25">
      <c r="A37" s="467" t="s">
        <v>3994</v>
      </c>
      <c r="B37" s="468"/>
      <c r="C37" s="213">
        <f>C35</f>
        <v>16863164000</v>
      </c>
      <c r="D37" s="477">
        <f>SUM(D35:E35)</f>
        <v>5487360000</v>
      </c>
      <c r="E37" s="478"/>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4" t="s">
        <v>592</v>
      </c>
      <c r="B41" s="484" t="s">
        <v>500</v>
      </c>
      <c r="C41" s="484" t="s">
        <v>5580</v>
      </c>
      <c r="D41" s="484" t="s">
        <v>5577</v>
      </c>
      <c r="E41" s="484" t="s">
        <v>5579</v>
      </c>
      <c r="F41" s="484" t="s">
        <v>5581</v>
      </c>
      <c r="G41" s="479" t="str">
        <f>IF($L$8=TRUE,"Realisasi vs Pagu+Blokir","Realisasi vs Pagu-Blokir")</f>
        <v>Realisasi vs Pagu-Blokir</v>
      </c>
      <c r="H41" s="479"/>
      <c r="I41" s="479" t="str">
        <f>IF($L$8=TRUE,"Sisa vs Pagu+Blokir","Sisa vs Pagu-Blokir")</f>
        <v>Sisa vs Pagu-Blokir</v>
      </c>
      <c r="J41" s="479"/>
    </row>
    <row r="42" spans="1:12" x14ac:dyDescent="0.25">
      <c r="A42" s="484"/>
      <c r="B42" s="484"/>
      <c r="C42" s="484"/>
      <c r="D42" s="484"/>
      <c r="E42" s="484"/>
      <c r="F42" s="484"/>
      <c r="G42" s="417" t="s">
        <v>5589</v>
      </c>
      <c r="H42" s="417" t="s">
        <v>3846</v>
      </c>
      <c r="I42" s="417" t="s">
        <v>5589</v>
      </c>
      <c r="J42" s="417" t="s">
        <v>3846</v>
      </c>
    </row>
    <row r="43" spans="1:12" x14ac:dyDescent="0.25">
      <c r="A43" s="466"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6"/>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6"/>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66"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6"/>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6"/>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66"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6"/>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6"/>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66"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6"/>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6"/>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83" t="s">
        <v>3852</v>
      </c>
      <c r="B55" s="483"/>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3" t="s">
        <v>5583</v>
      </c>
      <c r="B56" s="483"/>
      <c r="C56" s="415">
        <f>C55</f>
        <v>348880000</v>
      </c>
      <c r="D56" s="485">
        <f>SUM(D55:E55)</f>
        <v>247069000</v>
      </c>
      <c r="E56" s="485"/>
      <c r="F56" s="415">
        <f>F55</f>
        <v>101811000</v>
      </c>
      <c r="G56" s="176">
        <f>G55</f>
        <v>73806280</v>
      </c>
      <c r="H56" s="429">
        <f t="shared" si="12"/>
        <v>72.493424089734901</v>
      </c>
      <c r="I56" s="176">
        <f t="shared" si="13"/>
        <v>28004720</v>
      </c>
      <c r="J56" s="425">
        <f t="shared" si="14"/>
        <v>27.506575910265095</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L26" sqref="L26"/>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4" t="str">
        <f>IF(L8=TRUE,"REALISASI TANPA GAJI (BERDASARKAN PAGU SEBELUM BLOKIR)","REALISASI TANPA GAJI (BERDASARKAN PAGU SETELAH BLOKIR)")</f>
        <v>REALISASI TANPA GAJI (BERDASARKAN PAGU SETELAH BLOKIR)</v>
      </c>
      <c r="B1" s="464"/>
      <c r="C1" s="464"/>
      <c r="D1" s="464"/>
      <c r="E1" s="464"/>
      <c r="F1" s="464"/>
      <c r="G1" s="464"/>
      <c r="H1" s="464"/>
      <c r="I1" s="464"/>
      <c r="J1" s="464"/>
      <c r="L1" s="431" t="s">
        <v>5584</v>
      </c>
    </row>
    <row r="2" spans="1:13" ht="15.75" x14ac:dyDescent="0.25">
      <c r="A2" s="465" t="str">
        <f>'PER BULAN'!B5</f>
        <v>Berdasarkan DIPA Revisi 2 TA. 2022 (Tanggal 9 Juni 2022)</v>
      </c>
      <c r="B2" s="465"/>
      <c r="C2" s="465"/>
      <c r="D2" s="465"/>
      <c r="E2" s="465"/>
      <c r="F2" s="465"/>
      <c r="G2" s="465"/>
      <c r="H2" s="465"/>
      <c r="I2" s="465"/>
      <c r="J2" s="465"/>
    </row>
    <row r="3" spans="1:13" ht="15.75" x14ac:dyDescent="0.25">
      <c r="A3" s="465" t="str">
        <f>'PER BULAN'!B6</f>
        <v>SAMPAI DENGAN 22 JUNI 2022</v>
      </c>
      <c r="B3" s="465"/>
      <c r="C3" s="465"/>
      <c r="D3" s="465"/>
      <c r="E3" s="465"/>
      <c r="F3" s="465"/>
      <c r="G3" s="465"/>
      <c r="H3" s="465"/>
      <c r="I3" s="465"/>
      <c r="J3" s="465"/>
    </row>
    <row r="4" spans="1:13" x14ac:dyDescent="0.25">
      <c r="A4" s="436"/>
      <c r="B4" s="436"/>
      <c r="C4" s="436"/>
      <c r="D4" s="436"/>
      <c r="E4" s="436"/>
      <c r="F4" s="436"/>
      <c r="G4" s="436"/>
      <c r="H4" s="436"/>
      <c r="I4" s="436"/>
      <c r="J4" s="436"/>
    </row>
    <row r="5" spans="1:13" ht="15.75" x14ac:dyDescent="0.25">
      <c r="A5" s="433" t="s">
        <v>3995</v>
      </c>
    </row>
    <row r="6" spans="1:13" x14ac:dyDescent="0.25">
      <c r="A6" s="484" t="s">
        <v>592</v>
      </c>
      <c r="B6" s="484" t="s">
        <v>500</v>
      </c>
      <c r="C6" s="484" t="s">
        <v>5580</v>
      </c>
      <c r="D6" s="484" t="s">
        <v>5577</v>
      </c>
      <c r="E6" s="484" t="s">
        <v>5579</v>
      </c>
      <c r="F6" s="484" t="s">
        <v>3848</v>
      </c>
      <c r="G6" s="479" t="s">
        <v>3849</v>
      </c>
      <c r="H6" s="479"/>
      <c r="I6" s="479" t="s">
        <v>3850</v>
      </c>
      <c r="J6" s="479"/>
    </row>
    <row r="7" spans="1:13" x14ac:dyDescent="0.25">
      <c r="A7" s="484"/>
      <c r="B7" s="484"/>
      <c r="C7" s="484"/>
      <c r="D7" s="484"/>
      <c r="E7" s="484"/>
      <c r="F7" s="484"/>
      <c r="G7" s="417" t="s">
        <v>5589</v>
      </c>
      <c r="H7" s="417" t="s">
        <v>3846</v>
      </c>
      <c r="I7" s="417" t="s">
        <v>5589</v>
      </c>
      <c r="J7" s="417" t="s">
        <v>3846</v>
      </c>
    </row>
    <row r="8" spans="1:13" x14ac:dyDescent="0.25">
      <c r="A8" s="480"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81"/>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81"/>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1"/>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82"/>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80"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81"/>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81"/>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2"/>
      <c r="B16" s="296" t="s">
        <v>5586</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80"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81"/>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82"/>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80"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81"/>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82"/>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83" t="s">
        <v>3852</v>
      </c>
      <c r="B23" s="483"/>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71" t="s">
        <v>5583</v>
      </c>
      <c r="B24" s="472"/>
      <c r="C24" s="415">
        <f>C23</f>
        <v>16863164000</v>
      </c>
      <c r="D24" s="473">
        <f>SUM(D23,E23)</f>
        <v>5487360000</v>
      </c>
      <c r="E24" s="474"/>
      <c r="F24" s="415">
        <f>F23</f>
        <v>11375804000</v>
      </c>
      <c r="G24" s="176">
        <f>G23</f>
        <v>6067322932</v>
      </c>
      <c r="H24" s="425">
        <f t="shared" si="0"/>
        <v>53.33533288724032</v>
      </c>
      <c r="I24" s="176">
        <f t="shared" si="1"/>
        <v>5308481068</v>
      </c>
      <c r="J24" s="265">
        <f t="shared" si="2"/>
        <v>46.66466711275968</v>
      </c>
      <c r="M24" s="217"/>
    </row>
    <row r="27" spans="1:13" ht="15.75" x14ac:dyDescent="0.25">
      <c r="A27" s="433" t="s">
        <v>4002</v>
      </c>
    </row>
    <row r="28" spans="1:13" ht="14.45" customHeight="1" x14ac:dyDescent="0.25">
      <c r="A28" s="469" t="s">
        <v>3988</v>
      </c>
      <c r="B28" s="469" t="s">
        <v>3989</v>
      </c>
      <c r="C28" s="469" t="s">
        <v>5580</v>
      </c>
      <c r="D28" s="475" t="s">
        <v>5577</v>
      </c>
      <c r="E28" s="475" t="s">
        <v>5579</v>
      </c>
      <c r="F28" s="484" t="s">
        <v>3848</v>
      </c>
      <c r="G28" s="479" t="s">
        <v>3849</v>
      </c>
      <c r="H28" s="479"/>
      <c r="I28" s="479" t="s">
        <v>3850</v>
      </c>
      <c r="J28" s="479"/>
    </row>
    <row r="29" spans="1:13" x14ac:dyDescent="0.25">
      <c r="A29" s="470"/>
      <c r="B29" s="470"/>
      <c r="C29" s="470"/>
      <c r="D29" s="476"/>
      <c r="E29" s="476"/>
      <c r="F29" s="484"/>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7" t="s">
        <v>611</v>
      </c>
      <c r="B35" s="468"/>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67" t="s">
        <v>3993</v>
      </c>
      <c r="B36" s="468"/>
      <c r="C36" s="213"/>
      <c r="D36" s="213"/>
      <c r="E36" s="213"/>
      <c r="F36" s="213"/>
      <c r="G36" s="213"/>
      <c r="H36" s="214"/>
      <c r="I36" s="213"/>
      <c r="J36" s="214"/>
    </row>
    <row r="37" spans="1:12" x14ac:dyDescent="0.25">
      <c r="A37" s="467" t="s">
        <v>3994</v>
      </c>
      <c r="B37" s="468"/>
      <c r="C37" s="213">
        <f>C35</f>
        <v>16863164000</v>
      </c>
      <c r="D37" s="477">
        <f>SUM(D35:E35)</f>
        <v>5487360000</v>
      </c>
      <c r="E37" s="478"/>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4" t="s">
        <v>592</v>
      </c>
      <c r="B41" s="484" t="s">
        <v>500</v>
      </c>
      <c r="C41" s="484" t="s">
        <v>5580</v>
      </c>
      <c r="D41" s="484" t="s">
        <v>5577</v>
      </c>
      <c r="E41" s="484" t="s">
        <v>5579</v>
      </c>
      <c r="F41" s="484" t="s">
        <v>3848</v>
      </c>
      <c r="G41" s="479" t="s">
        <v>3849</v>
      </c>
      <c r="H41" s="479"/>
      <c r="I41" s="479" t="s">
        <v>3850</v>
      </c>
      <c r="J41" s="479"/>
    </row>
    <row r="42" spans="1:12" x14ac:dyDescent="0.25">
      <c r="A42" s="484"/>
      <c r="B42" s="484"/>
      <c r="C42" s="484"/>
      <c r="D42" s="484"/>
      <c r="E42" s="484"/>
      <c r="F42" s="484"/>
      <c r="G42" s="417" t="s">
        <v>5589</v>
      </c>
      <c r="H42" s="417" t="s">
        <v>3846</v>
      </c>
      <c r="I42" s="417" t="s">
        <v>5589</v>
      </c>
      <c r="J42" s="417" t="s">
        <v>3846</v>
      </c>
    </row>
    <row r="43" spans="1:12" x14ac:dyDescent="0.25">
      <c r="A43" s="466"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6"/>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6"/>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66"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6"/>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6"/>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66"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6"/>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6"/>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66"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6"/>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6"/>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83" t="s">
        <v>3852</v>
      </c>
      <c r="B55" s="483"/>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3" t="s">
        <v>5583</v>
      </c>
      <c r="B56" s="483"/>
      <c r="C56" s="415">
        <f>C55</f>
        <v>348880000</v>
      </c>
      <c r="D56" s="485">
        <f>SUM(D55:E55)</f>
        <v>247069000</v>
      </c>
      <c r="E56" s="485"/>
      <c r="F56" s="415">
        <f>F55</f>
        <v>101811000</v>
      </c>
      <c r="G56" s="176">
        <f>G55</f>
        <v>73806280</v>
      </c>
      <c r="H56" s="429">
        <f t="shared" si="12"/>
        <v>72.493424089734901</v>
      </c>
      <c r="I56" s="176">
        <f t="shared" si="13"/>
        <v>28004720</v>
      </c>
      <c r="J56" s="425">
        <f t="shared" si="14"/>
        <v>27.506575910265095</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B2" sqref="B2:P2"/>
    </sheetView>
  </sheetViews>
  <sheetFormatPr defaultRowHeight="15" x14ac:dyDescent="0.25"/>
  <sheetData>
    <row r="1" spans="2:16" x14ac:dyDescent="0.25">
      <c r="B1" s="486" t="str">
        <f>'PERSUBBID - Gaji'!A1</f>
        <v>REALISASI TANPA GAJI (BERDASARKAN PAGU SETELAH BLOKIR)</v>
      </c>
      <c r="C1" s="486"/>
      <c r="D1" s="486"/>
      <c r="E1" s="486"/>
      <c r="F1" s="486"/>
      <c r="G1" s="486"/>
      <c r="H1" s="486"/>
      <c r="I1" s="486"/>
      <c r="J1" s="486"/>
      <c r="K1" s="486"/>
      <c r="L1" s="486"/>
      <c r="M1" s="486"/>
      <c r="N1" s="486"/>
      <c r="O1" s="486"/>
      <c r="P1" s="486"/>
    </row>
    <row r="2" spans="2:16" ht="15.75" x14ac:dyDescent="0.25">
      <c r="B2" s="465" t="str">
        <f>'PERSUBBID - Gaji'!A2</f>
        <v>Berdasarkan DIPA Revisi 2 TA. 2022 (Tanggal 9 Juni 2022)</v>
      </c>
      <c r="C2" s="465"/>
      <c r="D2" s="465"/>
      <c r="E2" s="465"/>
      <c r="F2" s="465"/>
      <c r="G2" s="465"/>
      <c r="H2" s="465"/>
      <c r="I2" s="465"/>
      <c r="J2" s="465"/>
      <c r="K2" s="465"/>
      <c r="L2" s="465"/>
      <c r="M2" s="465"/>
      <c r="N2" s="465"/>
      <c r="O2" s="465"/>
      <c r="P2" s="465"/>
    </row>
    <row r="3" spans="2:16" ht="15.75" x14ac:dyDescent="0.25">
      <c r="B3" s="465" t="str">
        <f>'PERSUBBID - Gaji'!A3</f>
        <v>SAMPAI DENGAN 22 JUNI 2022</v>
      </c>
      <c r="C3" s="465"/>
      <c r="D3" s="465"/>
      <c r="E3" s="465"/>
      <c r="F3" s="465"/>
      <c r="G3" s="465"/>
      <c r="H3" s="465"/>
      <c r="I3" s="465"/>
      <c r="J3" s="465"/>
      <c r="K3" s="465"/>
      <c r="L3" s="465"/>
      <c r="M3" s="465"/>
      <c r="N3" s="465"/>
      <c r="O3" s="465"/>
      <c r="P3" s="465"/>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4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A2" sqref="A2:J3"/>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4" t="str">
        <f>IF(L8=TRUE,"REALISASI DENGAN GAJI (BERDASARKAN PAGU SEBELUM BLOKIR)","REALISASI DENGAN GAJI (BERDASARKAN PAGU SETELAH BLOKIR)")</f>
        <v>REALISASI DENGAN GAJI (BERDASARKAN PAGU SETELAH BLOKIR)</v>
      </c>
      <c r="B1" s="464"/>
      <c r="C1" s="464"/>
      <c r="D1" s="464"/>
      <c r="E1" s="464"/>
      <c r="F1" s="464"/>
      <c r="G1" s="464"/>
      <c r="H1" s="464"/>
      <c r="I1" s="464"/>
      <c r="J1" s="464"/>
      <c r="L1" s="431"/>
    </row>
    <row r="2" spans="1:13" ht="15.75" x14ac:dyDescent="0.25">
      <c r="A2" s="465" t="str">
        <f>'PER BULAN'!B5</f>
        <v>Berdasarkan DIPA Revisi 2 TA. 2022 (Tanggal 9 Juni 2022)</v>
      </c>
      <c r="B2" s="465"/>
      <c r="C2" s="465"/>
      <c r="D2" s="465"/>
      <c r="E2" s="465"/>
      <c r="F2" s="465"/>
      <c r="G2" s="465"/>
      <c r="H2" s="465"/>
      <c r="I2" s="465"/>
      <c r="J2" s="465"/>
    </row>
    <row r="3" spans="1:13" ht="15.75" x14ac:dyDescent="0.25">
      <c r="A3" s="465" t="str">
        <f>'PER BULAN'!B6</f>
        <v>SAMPAI DENGAN 22 JUNI 2022</v>
      </c>
      <c r="B3" s="465"/>
      <c r="C3" s="465"/>
      <c r="D3" s="465"/>
      <c r="E3" s="465"/>
      <c r="F3" s="465"/>
      <c r="G3" s="465"/>
      <c r="H3" s="465"/>
      <c r="I3" s="465"/>
      <c r="J3" s="465"/>
    </row>
    <row r="4" spans="1:13" x14ac:dyDescent="0.25">
      <c r="A4" s="405"/>
      <c r="B4" s="405"/>
      <c r="C4" s="405"/>
      <c r="D4" s="405"/>
      <c r="E4" s="405"/>
      <c r="F4" s="405"/>
      <c r="G4" s="405"/>
      <c r="H4" s="405"/>
      <c r="I4" s="405"/>
      <c r="J4" s="405"/>
    </row>
    <row r="5" spans="1:13" ht="15.75" x14ac:dyDescent="0.25">
      <c r="A5" s="433" t="s">
        <v>3995</v>
      </c>
    </row>
    <row r="6" spans="1:13" x14ac:dyDescent="0.25">
      <c r="A6" s="484" t="s">
        <v>592</v>
      </c>
      <c r="B6" s="484" t="s">
        <v>500</v>
      </c>
      <c r="C6" s="484" t="s">
        <v>5580</v>
      </c>
      <c r="D6" s="484" t="s">
        <v>5577</v>
      </c>
      <c r="E6" s="484" t="s">
        <v>5579</v>
      </c>
      <c r="F6" s="484" t="s">
        <v>5581</v>
      </c>
      <c r="G6" s="479" t="str">
        <f>IF($L$8=TRUE,"Realisasi vs Pagu+Blokir","Realisasi vs Pagu-Blokir")</f>
        <v>Realisasi vs Pagu-Blokir</v>
      </c>
      <c r="H6" s="479"/>
      <c r="I6" s="479" t="str">
        <f>IF($L$8=TRUE,"Sisa vs Pagu+Blokir","Sisa vs Pagu-Blokir")</f>
        <v>Sisa vs Pagu-Blokir</v>
      </c>
      <c r="J6" s="479"/>
    </row>
    <row r="7" spans="1:13" x14ac:dyDescent="0.25">
      <c r="A7" s="484"/>
      <c r="B7" s="484"/>
      <c r="C7" s="484"/>
      <c r="D7" s="484"/>
      <c r="E7" s="484"/>
      <c r="F7" s="484"/>
      <c r="G7" s="417" t="s">
        <v>5589</v>
      </c>
      <c r="H7" s="417" t="s">
        <v>3846</v>
      </c>
      <c r="I7" s="417" t="s">
        <v>5589</v>
      </c>
      <c r="J7" s="417" t="s">
        <v>3846</v>
      </c>
    </row>
    <row r="8" spans="1:13" x14ac:dyDescent="0.25">
      <c r="A8" s="480"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81"/>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81"/>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1"/>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81"/>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ref="H12" si="3">IFERROR(IF($L$8=TRUE,G12/C12*100,G12/F12*100),0)</f>
        <v>47.771890352746297</v>
      </c>
      <c r="I12" s="169">
        <f t="shared" ref="I12" si="4">IF($L$8=TRUE,C12-G12,F12-G12)</f>
        <v>3214664696</v>
      </c>
      <c r="J12" s="263">
        <f t="shared" ref="J12" si="5">IFERROR(IF($L$8=TRUE,I12/C12*100,I12/F12*100),0)</f>
        <v>52.228109647253703</v>
      </c>
      <c r="K12" s="434"/>
    </row>
    <row r="13" spans="1:13" x14ac:dyDescent="0.25">
      <c r="A13" s="482"/>
      <c r="B13" s="296" t="s">
        <v>5585</v>
      </c>
      <c r="C13" s="194">
        <f>SUM(C8:C12)</f>
        <v>10807010000</v>
      </c>
      <c r="D13" s="194">
        <f t="shared" ref="D13:G13" si="6">SUM(D8:D12)</f>
        <v>423949000</v>
      </c>
      <c r="E13" s="194">
        <f t="shared" si="6"/>
        <v>609552000</v>
      </c>
      <c r="F13" s="194">
        <f t="shared" si="6"/>
        <v>9773509000</v>
      </c>
      <c r="G13" s="194">
        <f t="shared" si="6"/>
        <v>4784899684</v>
      </c>
      <c r="H13" s="424">
        <f t="shared" si="0"/>
        <v>48.957848035951059</v>
      </c>
      <c r="I13" s="194">
        <f t="shared" si="1"/>
        <v>4988609316</v>
      </c>
      <c r="J13" s="264">
        <f t="shared" si="2"/>
        <v>51.042151964048941</v>
      </c>
      <c r="K13" s="434"/>
    </row>
    <row r="14" spans="1:13" ht="15" customHeight="1" x14ac:dyDescent="0.25">
      <c r="A14" s="480"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81"/>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81"/>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2"/>
      <c r="B17" s="296" t="s">
        <v>5586</v>
      </c>
      <c r="C17" s="194">
        <f>SUM(C14:C16)</f>
        <v>9985150000</v>
      </c>
      <c r="D17" s="194">
        <f t="shared" ref="D17:E17" si="7">SUM(D14:D16)</f>
        <v>0</v>
      </c>
      <c r="E17" s="194">
        <f t="shared" si="7"/>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80"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81"/>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82"/>
      <c r="B20" s="296" t="s">
        <v>5587</v>
      </c>
      <c r="C20" s="194">
        <f>SUM(C18:C19)</f>
        <v>1278600000</v>
      </c>
      <c r="D20" s="194">
        <f t="shared" ref="D20:E20" si="8">SUM(D18:D19)</f>
        <v>0</v>
      </c>
      <c r="E20" s="194">
        <f t="shared" si="8"/>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80"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81"/>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82"/>
      <c r="B23" s="296" t="s">
        <v>5588</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83" t="s">
        <v>3852</v>
      </c>
      <c r="B24" s="483"/>
      <c r="C24" s="176">
        <f>C13++C17+C20+C23</f>
        <v>23342160000</v>
      </c>
      <c r="D24" s="176">
        <f t="shared" ref="D24:E24" si="10">D13++D17+D20+D23</f>
        <v>423949000</v>
      </c>
      <c r="E24" s="176">
        <f t="shared" si="10"/>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71" t="s">
        <v>5583</v>
      </c>
      <c r="B25" s="472"/>
      <c r="C25" s="415">
        <f>C24</f>
        <v>23342160000</v>
      </c>
      <c r="D25" s="473">
        <f>SUM(D24,E24)</f>
        <v>5811309000</v>
      </c>
      <c r="E25" s="474"/>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69" t="s">
        <v>3988</v>
      </c>
      <c r="B30" s="469" t="s">
        <v>3989</v>
      </c>
      <c r="C30" s="469" t="s">
        <v>5580</v>
      </c>
      <c r="D30" s="475" t="s">
        <v>5577</v>
      </c>
      <c r="E30" s="475" t="s">
        <v>5579</v>
      </c>
      <c r="F30" s="469" t="s">
        <v>5581</v>
      </c>
      <c r="G30" s="479" t="str">
        <f>IF($L$8=TRUE,"Realisasi vs Pagu+Blokir","Realisasi vs Pagu-Blokir")</f>
        <v>Realisasi vs Pagu-Blokir</v>
      </c>
      <c r="H30" s="479"/>
      <c r="I30" s="479" t="str">
        <f>IF($L$8=TRUE,"Sisa vs Pagu+Blokir","Sisa vs Pagu-Blokir")</f>
        <v>Sisa vs Pagu-Blokir</v>
      </c>
      <c r="J30" s="479"/>
    </row>
    <row r="31" spans="1:13" x14ac:dyDescent="0.25">
      <c r="A31" s="470"/>
      <c r="B31" s="470"/>
      <c r="C31" s="470"/>
      <c r="D31" s="476"/>
      <c r="E31" s="476"/>
      <c r="F31" s="470"/>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2940382304</v>
      </c>
      <c r="H32" s="205">
        <f t="shared" ref="H32" si="12">IFERROR(IF($L$8=TRUE,G32/C32*100,G32/F32*100),0)</f>
        <v>47.771890352746297</v>
      </c>
      <c r="I32" s="206">
        <f t="shared" ref="I32" si="13">IF($L$8=TRUE,C32-G32,F32-G32)</f>
        <v>3214664696</v>
      </c>
      <c r="J32" s="205">
        <f t="shared" ref="J32" si="14">IFERROR(IF($L$8=TRUE,I32/C32*100,I32/F32*100),0)</f>
        <v>52.228109647253703</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5413122932</v>
      </c>
      <c r="H33" s="205">
        <f t="shared" ref="H33:H40" si="16">IFERROR(IF($L$8=TRUE,G33/C33*100,G33/F33*100),0)</f>
        <v>50.487995378303474</v>
      </c>
      <c r="I33" s="206">
        <f t="shared" ref="I33:I40" si="17">IF($L$8=TRUE,C33-G33,F33-G33)</f>
        <v>5308481068</v>
      </c>
      <c r="J33" s="205">
        <f t="shared" ref="J33:J40" si="18">IFERROR(IF($L$8=TRUE,I33/C33*100,I33/F33*100),0)</f>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16"/>
        <v>55.064120399084345</v>
      </c>
      <c r="I35" s="210">
        <f t="shared" si="17"/>
        <v>3876144709</v>
      </c>
      <c r="J35" s="209">
        <f t="shared" si="18"/>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67" t="s">
        <v>611</v>
      </c>
      <c r="B38" s="468"/>
      <c r="C38" s="213">
        <f>SUM(C32,C33,C36)</f>
        <v>23342160000</v>
      </c>
      <c r="D38" s="213">
        <f t="shared" ref="D38:G38" si="19">SUM(D32,D33,D36)</f>
        <v>423949000</v>
      </c>
      <c r="E38" s="213">
        <f t="shared" si="19"/>
        <v>5387360000</v>
      </c>
      <c r="F38" s="213">
        <f t="shared" si="19"/>
        <v>17530851000</v>
      </c>
      <c r="G38" s="213">
        <f t="shared" si="19"/>
        <v>9007705236</v>
      </c>
      <c r="H38" s="214">
        <f t="shared" si="16"/>
        <v>51.382019252801811</v>
      </c>
      <c r="I38" s="213">
        <f t="shared" si="17"/>
        <v>8523145764</v>
      </c>
      <c r="J38" s="214">
        <f t="shared" si="18"/>
        <v>48.617980747198182</v>
      </c>
      <c r="K38" s="434"/>
    </row>
    <row r="39" spans="1:12" x14ac:dyDescent="0.25">
      <c r="A39" s="467" t="s">
        <v>3993</v>
      </c>
      <c r="B39" s="468"/>
      <c r="C39" s="213"/>
      <c r="D39" s="213"/>
      <c r="E39" s="213"/>
      <c r="F39" s="213"/>
      <c r="G39" s="213"/>
      <c r="H39" s="214"/>
      <c r="I39" s="213"/>
      <c r="J39" s="214"/>
      <c r="K39" s="434"/>
    </row>
    <row r="40" spans="1:12" x14ac:dyDescent="0.25">
      <c r="A40" s="467" t="s">
        <v>3994</v>
      </c>
      <c r="B40" s="468"/>
      <c r="C40" s="213">
        <f>C38</f>
        <v>23342160000</v>
      </c>
      <c r="D40" s="477">
        <f>SUM(D38:E38)</f>
        <v>5811309000</v>
      </c>
      <c r="E40" s="478"/>
      <c r="F40" s="213">
        <f>F38</f>
        <v>17530851000</v>
      </c>
      <c r="G40" s="213">
        <f>G38-G39</f>
        <v>9007705236</v>
      </c>
      <c r="H40" s="214">
        <f t="shared" si="16"/>
        <v>51.382019252801811</v>
      </c>
      <c r="I40" s="213">
        <f t="shared" si="17"/>
        <v>8523145764</v>
      </c>
      <c r="J40" s="214">
        <f t="shared" si="18"/>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4" t="s">
        <v>592</v>
      </c>
      <c r="B45" s="484" t="s">
        <v>500</v>
      </c>
      <c r="C45" s="484" t="s">
        <v>5580</v>
      </c>
      <c r="D45" s="484" t="s">
        <v>5577</v>
      </c>
      <c r="E45" s="484" t="s">
        <v>5579</v>
      </c>
      <c r="F45" s="484" t="s">
        <v>5581</v>
      </c>
      <c r="G45" s="479" t="str">
        <f>IF($L$8=TRUE,"Realisasi vs Pagu+Blokir","Realisasi vs Pagu-Blokir")</f>
        <v>Realisasi vs Pagu-Blokir</v>
      </c>
      <c r="H45" s="479"/>
      <c r="I45" s="479" t="str">
        <f>IF($L$8=TRUE,"Sisa vs Pagu+Blokir","Sisa vs Pagu-Blokir")</f>
        <v>Sisa vs Pagu-Blokir</v>
      </c>
      <c r="J45" s="479"/>
    </row>
    <row r="46" spans="1:12" x14ac:dyDescent="0.25">
      <c r="A46" s="484"/>
      <c r="B46" s="484"/>
      <c r="C46" s="484"/>
      <c r="D46" s="484"/>
      <c r="E46" s="484"/>
      <c r="F46" s="484"/>
      <c r="G46" s="417" t="s">
        <v>5589</v>
      </c>
      <c r="H46" s="417" t="s">
        <v>3846</v>
      </c>
      <c r="I46" s="417" t="s">
        <v>5589</v>
      </c>
      <c r="J46" s="417" t="s">
        <v>3846</v>
      </c>
    </row>
    <row r="47" spans="1:12" x14ac:dyDescent="0.25">
      <c r="A47" s="466"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66"/>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66"/>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66"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66"/>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66"/>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66"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66"/>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66"/>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66"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66"/>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66"/>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83" t="s">
        <v>3852</v>
      </c>
      <c r="B59" s="483"/>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83" t="s">
        <v>5583</v>
      </c>
      <c r="B60" s="483"/>
      <c r="C60" s="415">
        <f>C59</f>
        <v>348880000</v>
      </c>
      <c r="D60" s="485">
        <f>SUM(D59:E59)</f>
        <v>247069000</v>
      </c>
      <c r="E60" s="485"/>
      <c r="F60" s="415">
        <f>F59</f>
        <v>101811000</v>
      </c>
      <c r="G60" s="176">
        <f>G59</f>
        <v>73806280</v>
      </c>
      <c r="H60" s="429">
        <f t="shared" si="20"/>
        <v>72.493424089734901</v>
      </c>
      <c r="I60" s="176">
        <f t="shared" si="21"/>
        <v>28004720</v>
      </c>
      <c r="J60" s="425">
        <f t="shared" si="22"/>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A2" sqref="A2:J3"/>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4" t="str">
        <f>IF(L8=TRUE,"REALISASI DENGAN GAJI (BERDASARKAN PAGU SEBELUM BLOKIR)","REALISASI DENGAN GAJI (BERDASARKAN PAGU SETELAH BLOKIR)")</f>
        <v>REALISASI DENGAN GAJI (BERDASARKAN PAGU SETELAH BLOKIR)</v>
      </c>
      <c r="B1" s="464"/>
      <c r="C1" s="464"/>
      <c r="D1" s="464"/>
      <c r="E1" s="464"/>
      <c r="F1" s="464"/>
      <c r="G1" s="464"/>
      <c r="H1" s="464"/>
      <c r="I1" s="464"/>
      <c r="J1" s="464"/>
      <c r="L1" s="431"/>
    </row>
    <row r="2" spans="1:13" ht="15.75" x14ac:dyDescent="0.25">
      <c r="A2" s="465" t="str">
        <f>'PER BULAN'!B5</f>
        <v>Berdasarkan DIPA Revisi 2 TA. 2022 (Tanggal 9 Juni 2022)</v>
      </c>
      <c r="B2" s="465"/>
      <c r="C2" s="465"/>
      <c r="D2" s="465"/>
      <c r="E2" s="465"/>
      <c r="F2" s="465"/>
      <c r="G2" s="465"/>
      <c r="H2" s="465"/>
      <c r="I2" s="465"/>
      <c r="J2" s="465"/>
    </row>
    <row r="3" spans="1:13" ht="15.75" x14ac:dyDescent="0.25">
      <c r="A3" s="465" t="str">
        <f>'PER BULAN'!B6</f>
        <v>SAMPAI DENGAN 22 JUNI 2022</v>
      </c>
      <c r="B3" s="465"/>
      <c r="C3" s="465"/>
      <c r="D3" s="465"/>
      <c r="E3" s="465"/>
      <c r="F3" s="465"/>
      <c r="G3" s="465"/>
      <c r="H3" s="465"/>
      <c r="I3" s="465"/>
      <c r="J3" s="465"/>
    </row>
    <row r="4" spans="1:13" x14ac:dyDescent="0.25">
      <c r="A4" s="436"/>
      <c r="B4" s="436"/>
      <c r="C4" s="436"/>
      <c r="D4" s="436"/>
      <c r="E4" s="436"/>
      <c r="F4" s="436"/>
      <c r="G4" s="436"/>
      <c r="H4" s="436"/>
      <c r="I4" s="436"/>
      <c r="J4" s="436"/>
    </row>
    <row r="5" spans="1:13" ht="15.75" x14ac:dyDescent="0.25">
      <c r="A5" s="433" t="s">
        <v>3995</v>
      </c>
    </row>
    <row r="6" spans="1:13" x14ac:dyDescent="0.25">
      <c r="A6" s="484" t="s">
        <v>592</v>
      </c>
      <c r="B6" s="484" t="s">
        <v>500</v>
      </c>
      <c r="C6" s="484" t="s">
        <v>5580</v>
      </c>
      <c r="D6" s="484" t="s">
        <v>5577</v>
      </c>
      <c r="E6" s="484" t="s">
        <v>5579</v>
      </c>
      <c r="F6" s="484" t="s">
        <v>3848</v>
      </c>
      <c r="G6" s="479" t="s">
        <v>3849</v>
      </c>
      <c r="H6" s="479"/>
      <c r="I6" s="479" t="s">
        <v>3850</v>
      </c>
      <c r="J6" s="479"/>
    </row>
    <row r="7" spans="1:13" x14ac:dyDescent="0.25">
      <c r="A7" s="484"/>
      <c r="B7" s="484"/>
      <c r="C7" s="484"/>
      <c r="D7" s="484"/>
      <c r="E7" s="484"/>
      <c r="F7" s="484"/>
      <c r="G7" s="417" t="s">
        <v>5589</v>
      </c>
      <c r="H7" s="417" t="s">
        <v>3846</v>
      </c>
      <c r="I7" s="417" t="s">
        <v>5589</v>
      </c>
      <c r="J7" s="417" t="s">
        <v>3846</v>
      </c>
    </row>
    <row r="8" spans="1:13" x14ac:dyDescent="0.25">
      <c r="A8" s="480"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81"/>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81"/>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1"/>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81"/>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si="0"/>
        <v>47.771890352746297</v>
      </c>
      <c r="I12" s="169">
        <f t="shared" si="1"/>
        <v>3214664696</v>
      </c>
      <c r="J12" s="263">
        <f t="shared" si="2"/>
        <v>52.228109647253703</v>
      </c>
      <c r="K12" s="434"/>
    </row>
    <row r="13" spans="1:13" x14ac:dyDescent="0.25">
      <c r="A13" s="482"/>
      <c r="B13" s="296" t="s">
        <v>5585</v>
      </c>
      <c r="C13" s="194">
        <f>SUM(C8:C12)</f>
        <v>10807010000</v>
      </c>
      <c r="D13" s="194">
        <f t="shared" ref="D13:G13" si="3">SUM(D8:D12)</f>
        <v>423949000</v>
      </c>
      <c r="E13" s="194">
        <f t="shared" si="3"/>
        <v>609552000</v>
      </c>
      <c r="F13" s="194">
        <f t="shared" si="3"/>
        <v>9773509000</v>
      </c>
      <c r="G13" s="194">
        <f t="shared" si="3"/>
        <v>4784899684</v>
      </c>
      <c r="H13" s="424">
        <f t="shared" si="0"/>
        <v>48.957848035951059</v>
      </c>
      <c r="I13" s="194">
        <f t="shared" si="1"/>
        <v>4988609316</v>
      </c>
      <c r="J13" s="264">
        <f t="shared" si="2"/>
        <v>51.042151964048941</v>
      </c>
      <c r="K13" s="434"/>
    </row>
    <row r="14" spans="1:13" ht="15" customHeight="1" x14ac:dyDescent="0.25">
      <c r="A14" s="480"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81"/>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81"/>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2"/>
      <c r="B17" s="296" t="s">
        <v>5586</v>
      </c>
      <c r="C17" s="194">
        <f>SUM(C14:C16)</f>
        <v>9985150000</v>
      </c>
      <c r="D17" s="194">
        <f t="shared" ref="D17:E17" si="4">SUM(D14:D16)</f>
        <v>0</v>
      </c>
      <c r="E17" s="194">
        <f t="shared" si="4"/>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80"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81"/>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82"/>
      <c r="B20" s="296" t="s">
        <v>5587</v>
      </c>
      <c r="C20" s="194">
        <f>SUM(C18:C19)</f>
        <v>1278600000</v>
      </c>
      <c r="D20" s="194">
        <f t="shared" ref="D20:E20" si="5">SUM(D18:D19)</f>
        <v>0</v>
      </c>
      <c r="E20" s="194">
        <f t="shared" si="5"/>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80"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81"/>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82"/>
      <c r="B23" s="296" t="s">
        <v>5588</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83" t="s">
        <v>3852</v>
      </c>
      <c r="B24" s="483"/>
      <c r="C24" s="176">
        <f>C13++C17+C20+C23</f>
        <v>23342160000</v>
      </c>
      <c r="D24" s="176">
        <f t="shared" ref="D24:E24" si="7">D13++D17+D20+D23</f>
        <v>423949000</v>
      </c>
      <c r="E24" s="176">
        <f t="shared" si="7"/>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71" t="s">
        <v>5583</v>
      </c>
      <c r="B25" s="472"/>
      <c r="C25" s="415">
        <f>C24</f>
        <v>23342160000</v>
      </c>
      <c r="D25" s="473">
        <f>SUM(D24,E24)</f>
        <v>5811309000</v>
      </c>
      <c r="E25" s="474"/>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69" t="s">
        <v>3988</v>
      </c>
      <c r="B30" s="469" t="s">
        <v>3989</v>
      </c>
      <c r="C30" s="469" t="s">
        <v>5580</v>
      </c>
      <c r="D30" s="475" t="s">
        <v>5577</v>
      </c>
      <c r="E30" s="475" t="s">
        <v>5579</v>
      </c>
      <c r="F30" s="484" t="s">
        <v>3848</v>
      </c>
      <c r="G30" s="479" t="s">
        <v>3849</v>
      </c>
      <c r="H30" s="479"/>
      <c r="I30" s="479" t="s">
        <v>3850</v>
      </c>
      <c r="J30" s="479"/>
    </row>
    <row r="31" spans="1:13" x14ac:dyDescent="0.25">
      <c r="A31" s="470"/>
      <c r="B31" s="470"/>
      <c r="C31" s="470"/>
      <c r="D31" s="476"/>
      <c r="E31" s="476"/>
      <c r="F31" s="484"/>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2940382304</v>
      </c>
      <c r="H32" s="205">
        <f t="shared" ref="H32:H40" si="9">IFERROR(IF($L$8=TRUE,G32/C32*100,G32/F32*100),0)</f>
        <v>47.771890352746297</v>
      </c>
      <c r="I32" s="206">
        <f t="shared" ref="I32:I40" si="10">IF($L$8=TRUE,C32-G32,F32-G32)</f>
        <v>3214664696</v>
      </c>
      <c r="J32" s="205">
        <f t="shared" ref="J32:J40" si="11">IFERROR(IF($L$8=TRUE,I32/C32*100,I32/F32*100),0)</f>
        <v>52.228109647253703</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5413122932</v>
      </c>
      <c r="H33" s="205">
        <f t="shared" si="9"/>
        <v>50.487995378303474</v>
      </c>
      <c r="I33" s="206">
        <f t="shared" si="10"/>
        <v>5308481068</v>
      </c>
      <c r="J33" s="205">
        <f t="shared" si="11"/>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9"/>
        <v>31.652189479390241</v>
      </c>
      <c r="I34" s="210">
        <f t="shared" si="10"/>
        <v>1432336359</v>
      </c>
      <c r="J34" s="209">
        <f t="shared" si="11"/>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9"/>
        <v>55.064120399084345</v>
      </c>
      <c r="I35" s="210">
        <f t="shared" si="10"/>
        <v>3876144709</v>
      </c>
      <c r="J35" s="209">
        <f t="shared" si="11"/>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67" t="s">
        <v>611</v>
      </c>
      <c r="B38" s="468"/>
      <c r="C38" s="213">
        <f>SUM(C32,C33,C36)</f>
        <v>23342160000</v>
      </c>
      <c r="D38" s="213">
        <f t="shared" ref="D38:G38" si="13">SUM(D32,D33,D36)</f>
        <v>423949000</v>
      </c>
      <c r="E38" s="213">
        <f t="shared" si="13"/>
        <v>5387360000</v>
      </c>
      <c r="F38" s="213">
        <f t="shared" si="13"/>
        <v>17530851000</v>
      </c>
      <c r="G38" s="213">
        <f t="shared" si="13"/>
        <v>9007705236</v>
      </c>
      <c r="H38" s="214">
        <f t="shared" si="9"/>
        <v>51.382019252801811</v>
      </c>
      <c r="I38" s="213">
        <f t="shared" si="10"/>
        <v>8523145764</v>
      </c>
      <c r="J38" s="214">
        <f t="shared" si="11"/>
        <v>48.617980747198182</v>
      </c>
      <c r="K38" s="434"/>
    </row>
    <row r="39" spans="1:12" x14ac:dyDescent="0.25">
      <c r="A39" s="467" t="s">
        <v>3993</v>
      </c>
      <c r="B39" s="468"/>
      <c r="C39" s="213"/>
      <c r="D39" s="213"/>
      <c r="E39" s="213"/>
      <c r="F39" s="213"/>
      <c r="G39" s="213"/>
      <c r="H39" s="214"/>
      <c r="I39" s="213"/>
      <c r="J39" s="214"/>
      <c r="K39" s="434"/>
    </row>
    <row r="40" spans="1:12" x14ac:dyDescent="0.25">
      <c r="A40" s="467" t="s">
        <v>3994</v>
      </c>
      <c r="B40" s="468"/>
      <c r="C40" s="213">
        <f>C38</f>
        <v>23342160000</v>
      </c>
      <c r="D40" s="477">
        <f>SUM(D38:E38)</f>
        <v>5811309000</v>
      </c>
      <c r="E40" s="478"/>
      <c r="F40" s="213">
        <f>F38</f>
        <v>17530851000</v>
      </c>
      <c r="G40" s="213">
        <f>G38-G39</f>
        <v>9007705236</v>
      </c>
      <c r="H40" s="214">
        <f t="shared" si="9"/>
        <v>51.382019252801811</v>
      </c>
      <c r="I40" s="213">
        <f t="shared" si="10"/>
        <v>8523145764</v>
      </c>
      <c r="J40" s="214">
        <f t="shared" si="11"/>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4" t="s">
        <v>592</v>
      </c>
      <c r="B45" s="484" t="s">
        <v>500</v>
      </c>
      <c r="C45" s="484" t="s">
        <v>5580</v>
      </c>
      <c r="D45" s="484" t="s">
        <v>5577</v>
      </c>
      <c r="E45" s="484" t="s">
        <v>5579</v>
      </c>
      <c r="F45" s="484" t="s">
        <v>3848</v>
      </c>
      <c r="G45" s="479" t="s">
        <v>3849</v>
      </c>
      <c r="H45" s="479"/>
      <c r="I45" s="479" t="s">
        <v>3850</v>
      </c>
      <c r="J45" s="479"/>
    </row>
    <row r="46" spans="1:12" x14ac:dyDescent="0.25">
      <c r="A46" s="484"/>
      <c r="B46" s="484"/>
      <c r="C46" s="484"/>
      <c r="D46" s="484"/>
      <c r="E46" s="484"/>
      <c r="F46" s="484"/>
      <c r="G46" s="417" t="s">
        <v>5589</v>
      </c>
      <c r="H46" s="417" t="s">
        <v>3846</v>
      </c>
      <c r="I46" s="417" t="s">
        <v>5589</v>
      </c>
      <c r="J46" s="417" t="s">
        <v>3846</v>
      </c>
    </row>
    <row r="47" spans="1:12" x14ac:dyDescent="0.25">
      <c r="A47" s="466"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66"/>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66"/>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66"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66"/>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66"/>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66"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66"/>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66"/>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66"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66"/>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66"/>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83" t="s">
        <v>3852</v>
      </c>
      <c r="B59" s="483"/>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83" t="s">
        <v>5583</v>
      </c>
      <c r="B60" s="483"/>
      <c r="C60" s="415">
        <f>C59</f>
        <v>348880000</v>
      </c>
      <c r="D60" s="485">
        <f>SUM(D59:E59)</f>
        <v>247069000</v>
      </c>
      <c r="E60" s="485"/>
      <c r="F60" s="415">
        <f>F59</f>
        <v>101811000</v>
      </c>
      <c r="G60" s="176">
        <f>G59</f>
        <v>73806280</v>
      </c>
      <c r="H60" s="429">
        <f t="shared" si="14"/>
        <v>72.493424089734901</v>
      </c>
      <c r="I60" s="176">
        <f t="shared" si="15"/>
        <v>28004720</v>
      </c>
      <c r="J60" s="425">
        <f t="shared" si="16"/>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4"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7" zoomScale="80" zoomScaleNormal="100" zoomScaleSheetLayoutView="80" workbookViewId="0">
      <selection activeCell="Z53" sqref="Z53"/>
    </sheetView>
  </sheetViews>
  <sheetFormatPr defaultRowHeight="15" x14ac:dyDescent="0.25"/>
  <cols>
    <col min="16" max="16" width="7" customWidth="1"/>
    <col min="17" max="17" width="5.5703125" customWidth="1"/>
    <col min="21" max="21" width="4.7109375" customWidth="1"/>
  </cols>
  <sheetData>
    <row r="1" spans="2:16" x14ac:dyDescent="0.25">
      <c r="B1" s="486" t="str">
        <f>'PERSUBBID - Gaji'!A1</f>
        <v>REALISASI TANPA GAJI (BERDASARKAN PAGU SETELAH BLOKIR)</v>
      </c>
      <c r="C1" s="486"/>
      <c r="D1" s="486"/>
      <c r="E1" s="486"/>
      <c r="F1" s="486"/>
      <c r="G1" s="486"/>
      <c r="H1" s="486"/>
      <c r="I1" s="486"/>
      <c r="J1" s="486"/>
      <c r="K1" s="486"/>
      <c r="L1" s="486"/>
      <c r="M1" s="486"/>
      <c r="N1" s="486"/>
      <c r="O1" s="486"/>
      <c r="P1" s="486"/>
    </row>
    <row r="2" spans="2:16" ht="15.75" x14ac:dyDescent="0.25">
      <c r="B2" s="465" t="str">
        <f>'PERSUBBID - Gaji'!A2</f>
        <v>Berdasarkan DIPA Revisi 2 TA. 2022 (Tanggal 9 Juni 2022)</v>
      </c>
      <c r="C2" s="465"/>
      <c r="D2" s="465"/>
      <c r="E2" s="465"/>
      <c r="F2" s="465"/>
      <c r="G2" s="465"/>
      <c r="H2" s="465"/>
      <c r="I2" s="465"/>
      <c r="J2" s="465"/>
      <c r="K2" s="465"/>
      <c r="L2" s="465"/>
      <c r="M2" s="465"/>
      <c r="N2" s="465"/>
      <c r="O2" s="465"/>
      <c r="P2" s="465"/>
    </row>
    <row r="3" spans="2:16" ht="15.75" x14ac:dyDescent="0.25">
      <c r="B3" s="465" t="str">
        <f>'PERSUBBID - Gaji'!A3</f>
        <v>SAMPAI DENGAN 22 JUNI 2022</v>
      </c>
      <c r="C3" s="465"/>
      <c r="D3" s="465"/>
      <c r="E3" s="465"/>
      <c r="F3" s="465"/>
      <c r="G3" s="465"/>
      <c r="H3" s="465"/>
      <c r="I3" s="465"/>
      <c r="J3" s="465"/>
      <c r="K3" s="465"/>
      <c r="L3" s="465"/>
      <c r="M3" s="465"/>
      <c r="N3" s="465"/>
      <c r="O3" s="465"/>
      <c r="P3" s="465"/>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0" fitToHeight="0" orientation="portrait"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1" sqref="F31"/>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2022-06-22T02:36:32Z</cp:lastPrinted>
  <dcterms:created xsi:type="dcterms:W3CDTF">2021-07-27T04:05:22Z</dcterms:created>
  <dcterms:modified xsi:type="dcterms:W3CDTF">2022-06-22T07:27:51Z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