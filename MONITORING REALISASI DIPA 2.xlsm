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B1A2A348-830C-4060-8F8E-B34CBC5A32EC}" xr6:coauthVersionLast="47" xr6:coauthVersionMax="47" xr10:uidLastSave="{00000000-0000-0000-0000-000000000000}"/>
  <bookViews>
    <workbookView xWindow="-120" yWindow="-120" windowWidth="29040" windowHeight="15840" tabRatio="872" firstSheet="4" activeTab="1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1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17" i="13" l="1"/>
  <c r="Y67" i="13" l="1"/>
  <c r="Y68" i="13"/>
  <c r="Y75" i="13"/>
  <c r="C3" i="20"/>
  <c r="C2" i="20"/>
  <c r="C1" i="20"/>
  <c r="A3" i="35"/>
  <c r="A3" i="33"/>
  <c r="A3" i="34"/>
  <c r="A3" i="14"/>
  <c r="H14" i="13"/>
  <c r="Y239" i="13"/>
  <c r="Y238" i="13"/>
  <c r="G57" i="35" a="1"/>
  <c r="G57" i="35" s="1"/>
  <c r="F57" i="35" a="1"/>
  <c r="F57" i="35" s="1"/>
  <c r="E57" i="35" a="1"/>
  <c r="E57" i="35" s="1"/>
  <c r="D57" i="35" a="1"/>
  <c r="D57" i="35" s="1"/>
  <c r="C57" i="35" a="1"/>
  <c r="C57" i="35" s="1"/>
  <c r="G56" i="35" a="1"/>
  <c r="G56" i="35" s="1"/>
  <c r="F56" i="35"/>
  <c r="F56" i="35" a="1"/>
  <c r="E56" i="35"/>
  <c r="E58" i="35" s="1"/>
  <c r="E56" i="35" a="1"/>
  <c r="D56" i="35"/>
  <c r="D58" i="35" s="1"/>
  <c r="D56" i="35" a="1"/>
  <c r="C56" i="35"/>
  <c r="C58" i="35" s="1"/>
  <c r="C56" i="35" a="1"/>
  <c r="G54" i="35" a="1"/>
  <c r="G54" i="35" s="1"/>
  <c r="H54" i="35" s="1"/>
  <c r="F54" i="35" a="1"/>
  <c r="F54" i="35" s="1"/>
  <c r="E54" i="35" a="1"/>
  <c r="E54" i="35" s="1"/>
  <c r="D54" i="35" a="1"/>
  <c r="D54" i="35" s="1"/>
  <c r="D55" i="35" s="1"/>
  <c r="C54" i="35" a="1"/>
  <c r="C54" i="35" s="1"/>
  <c r="G53" i="35" a="1"/>
  <c r="G53" i="35" s="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a="1"/>
  <c r="G50" i="35" s="1"/>
  <c r="F50" i="35"/>
  <c r="F50" i="35" a="1"/>
  <c r="E50" i="35"/>
  <c r="E50" i="35" a="1"/>
  <c r="D50" i="35"/>
  <c r="D52" i="35" s="1"/>
  <c r="D50" i="35" a="1"/>
  <c r="C50" i="35"/>
  <c r="C50" i="35" a="1"/>
  <c r="D49" i="35"/>
  <c r="G48" i="35" a="1"/>
  <c r="G48" i="35" s="1"/>
  <c r="H48" i="35" s="1"/>
  <c r="F48" i="35" a="1"/>
  <c r="F48" i="35" s="1"/>
  <c r="E48" i="35" a="1"/>
  <c r="E48" i="35" s="1"/>
  <c r="D48" i="35" a="1"/>
  <c r="D48" i="35" s="1"/>
  <c r="C48" i="35" a="1"/>
  <c r="C48" i="35" s="1"/>
  <c r="G47" i="35" a="1"/>
  <c r="G47" i="35" s="1"/>
  <c r="F47" i="35"/>
  <c r="F47" i="35" a="1"/>
  <c r="E47" i="35"/>
  <c r="E49" i="35" s="1"/>
  <c r="E47" i="35" a="1"/>
  <c r="D47" i="35"/>
  <c r="D47" i="35" a="1"/>
  <c r="C47" i="35"/>
  <c r="C49" i="35" s="1"/>
  <c r="C47" i="35" a="1"/>
  <c r="G36" i="35" a="1"/>
  <c r="G36" i="35" s="1"/>
  <c r="F35" i="35"/>
  <c r="F35" i="35" a="1"/>
  <c r="E35" i="35"/>
  <c r="E35" i="35" a="1"/>
  <c r="D35" i="35"/>
  <c r="D35" i="35" a="1"/>
  <c r="C35" i="35"/>
  <c r="C35" i="35" a="1"/>
  <c r="G34" i="35" a="1"/>
  <c r="G34" i="35" s="1"/>
  <c r="H34" i="35" s="1"/>
  <c r="F34" i="35" a="1"/>
  <c r="F34" i="35" s="1"/>
  <c r="E34" i="35" a="1"/>
  <c r="E34" i="35" s="1"/>
  <c r="D34" i="35" a="1"/>
  <c r="D34" i="35" s="1"/>
  <c r="D33" i="35" s="1"/>
  <c r="C34" i="35" a="1"/>
  <c r="C34" i="35" s="1"/>
  <c r="E33" i="35"/>
  <c r="F23" i="35"/>
  <c r="G22" i="35" a="1"/>
  <c r="G22" i="35" s="1"/>
  <c r="F22" i="35" a="1"/>
  <c r="F22" i="35" s="1"/>
  <c r="E22" i="35" a="1"/>
  <c r="E22" i="35" s="1"/>
  <c r="D22" i="35" a="1"/>
  <c r="D22" i="35" s="1"/>
  <c r="C22" i="35" a="1"/>
  <c r="C22" i="35" s="1"/>
  <c r="G21" i="35" a="1"/>
  <c r="G21" i="35" s="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a="1"/>
  <c r="G18" i="35" s="1"/>
  <c r="F18" i="35"/>
  <c r="F20" i="35" s="1"/>
  <c r="F18" i="35" a="1"/>
  <c r="E18" i="35"/>
  <c r="E20" i="35" s="1"/>
  <c r="E18" i="35" a="1"/>
  <c r="D18" i="35"/>
  <c r="D20" i="35" s="1"/>
  <c r="D18" i="35" a="1"/>
  <c r="C18" i="35"/>
  <c r="C18" i="35" a="1"/>
  <c r="G16" i="35" a="1"/>
  <c r="G16" i="35" s="1"/>
  <c r="F16" i="35" a="1"/>
  <c r="F16" i="35" s="1"/>
  <c r="E16" i="35" a="1"/>
  <c r="E16" i="35" s="1"/>
  <c r="D16" i="35" a="1"/>
  <c r="D16" i="35" s="1"/>
  <c r="C16" i="35" a="1"/>
  <c r="C16" i="35" s="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a="1"/>
  <c r="G10" i="35" s="1"/>
  <c r="F10" i="35"/>
  <c r="F36" i="35" s="1"/>
  <c r="F10" i="35" a="1"/>
  <c r="E10" i="35"/>
  <c r="E36" i="35" s="1"/>
  <c r="E10" i="35" a="1"/>
  <c r="D10" i="35"/>
  <c r="D36" i="35" s="1"/>
  <c r="D10" i="35" a="1"/>
  <c r="C10" i="35"/>
  <c r="C36" i="35" s="1"/>
  <c r="C10" i="35" a="1"/>
  <c r="G9" i="35" a="1"/>
  <c r="G9" i="35" s="1"/>
  <c r="F9" i="35" a="1"/>
  <c r="F9" i="35" s="1"/>
  <c r="E9" i="35" a="1"/>
  <c r="E9" i="35" s="1"/>
  <c r="E8" i="35" s="1" a="1"/>
  <c r="E8" i="35" s="1"/>
  <c r="E13" i="35" s="1"/>
  <c r="D9" i="35" a="1"/>
  <c r="D9" i="35" s="1"/>
  <c r="C9" i="35" a="1"/>
  <c r="C9" i="35" s="1"/>
  <c r="C8" i="35" s="1" a="1"/>
  <c r="C8" i="35"/>
  <c r="C13" i="35" s="1"/>
  <c r="A2" i="35"/>
  <c r="A1" i="35"/>
  <c r="G53" i="34" a="1"/>
  <c r="G53" i="34" s="1"/>
  <c r="F53" i="34" a="1"/>
  <c r="F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E49" i="34"/>
  <c r="E51" i="34" s="1"/>
  <c r="E49" i="34" a="1"/>
  <c r="D49" i="34" a="1"/>
  <c r="D49" i="34" s="1"/>
  <c r="C49" i="34"/>
  <c r="C49" i="34" a="1"/>
  <c r="G47" i="34"/>
  <c r="G47" i="34" a="1"/>
  <c r="F47" i="34" a="1"/>
  <c r="F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a="1"/>
  <c r="G43" i="34" s="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F21" i="34" a="1"/>
  <c r="E21" i="34"/>
  <c r="E21" i="34" a="1"/>
  <c r="D21" i="34" a="1"/>
  <c r="D21" i="34" s="1"/>
  <c r="D22" i="34" s="1"/>
  <c r="C21" i="34"/>
  <c r="C21" i="34" a="1"/>
  <c r="G20" i="34" a="1"/>
  <c r="G20" i="34" s="1"/>
  <c r="I20" i="34" s="1"/>
  <c r="J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a="1"/>
  <c r="G17" i="34" s="1"/>
  <c r="F17" i="34" a="1"/>
  <c r="F17" i="34" s="1"/>
  <c r="E17" i="34"/>
  <c r="E17" i="34" a="1"/>
  <c r="D17" i="34" a="1"/>
  <c r="D17" i="34" s="1"/>
  <c r="D19" i="34" s="1"/>
  <c r="C17" i="34"/>
  <c r="C19" i="34" s="1"/>
  <c r="C17" i="34" a="1"/>
  <c r="G15" i="34" a="1"/>
  <c r="G15" i="34" s="1"/>
  <c r="F15" i="34"/>
  <c r="F15" i="34" a="1"/>
  <c r="E15" i="34"/>
  <c r="E15" i="34" a="1"/>
  <c r="D15" i="34"/>
  <c r="D15" i="34" a="1"/>
  <c r="C15" i="34"/>
  <c r="C15" i="34" a="1"/>
  <c r="F14" i="34"/>
  <c r="F13" i="34" s="1" a="1"/>
  <c r="F13" i="34" s="1"/>
  <c r="F14" i="34" a="1"/>
  <c r="E14" i="34" a="1"/>
  <c r="E14" i="34" s="1"/>
  <c r="D14" i="34"/>
  <c r="D16" i="34" s="1"/>
  <c r="D14" i="34" a="1"/>
  <c r="C14" i="34" a="1"/>
  <c r="C14" i="34" s="1"/>
  <c r="E13" i="34" a="1"/>
  <c r="E13" i="34" s="1"/>
  <c r="E16" i="34" s="1"/>
  <c r="D13" i="34"/>
  <c r="D13" i="34" a="1"/>
  <c r="C13" i="34" a="1"/>
  <c r="C13" i="34" s="1"/>
  <c r="C16" i="34" s="1"/>
  <c r="G11" i="34" a="1"/>
  <c r="G11" i="34" s="1"/>
  <c r="F11" i="34" a="1"/>
  <c r="F11" i="34" s="1"/>
  <c r="E11" i="34"/>
  <c r="E11" i="34" a="1"/>
  <c r="D11" i="34" a="1"/>
  <c r="D11" i="34" s="1"/>
  <c r="C11" i="34"/>
  <c r="C11" i="34" a="1"/>
  <c r="G10" i="34" a="1"/>
  <c r="G10" i="34" s="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E8" i="34" a="1"/>
  <c r="E8" i="34" s="1"/>
  <c r="E12" i="34" s="1"/>
  <c r="A2" i="34"/>
  <c r="A1" i="34"/>
  <c r="A1" i="33"/>
  <c r="A1" i="14"/>
  <c r="I36" i="35" l="1"/>
  <c r="J36" i="35" s="1"/>
  <c r="I22" i="35"/>
  <c r="J22" i="35" s="1"/>
  <c r="I21" i="34"/>
  <c r="J21" i="34" s="1"/>
  <c r="H15" i="34"/>
  <c r="I17" i="34"/>
  <c r="J17" i="34" s="1"/>
  <c r="I53" i="34"/>
  <c r="J53" i="34" s="1"/>
  <c r="G49" i="35"/>
  <c r="I47" i="35"/>
  <c r="J47" i="35" s="1"/>
  <c r="H10" i="34"/>
  <c r="G8" i="34" a="1"/>
  <c r="G8" i="34" s="1"/>
  <c r="I11" i="34"/>
  <c r="J11" i="34" s="1"/>
  <c r="I50" i="35"/>
  <c r="J50" i="35" s="1"/>
  <c r="I47" i="34"/>
  <c r="J47" i="34" s="1"/>
  <c r="I49" i="34"/>
  <c r="J49" i="34" s="1"/>
  <c r="G8" i="35" a="1"/>
  <c r="G8" i="35" s="1"/>
  <c r="I16" i="35"/>
  <c r="J16" i="35" s="1"/>
  <c r="I48" i="35"/>
  <c r="J48" i="35" s="1"/>
  <c r="G55" i="35"/>
  <c r="I53" i="35"/>
  <c r="J53" i="35" s="1"/>
  <c r="I54" i="35"/>
  <c r="J54" i="35" s="1"/>
  <c r="I57" i="35"/>
  <c r="J57" i="35" s="1"/>
  <c r="H36" i="35"/>
  <c r="F8" i="35" a="1"/>
  <c r="F8" i="35" s="1"/>
  <c r="I9" i="35"/>
  <c r="J9" i="35" s="1"/>
  <c r="E23" i="35"/>
  <c r="E24" i="35" s="1"/>
  <c r="G23" i="35"/>
  <c r="H23" i="35" s="1"/>
  <c r="H21" i="35"/>
  <c r="H57" i="35"/>
  <c r="H11" i="35"/>
  <c r="H16" i="35"/>
  <c r="H10" i="35"/>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F16" i="34"/>
  <c r="E19" i="34"/>
  <c r="E23" i="34" s="1"/>
  <c r="H17" i="34"/>
  <c r="I18" i="34"/>
  <c r="J18" i="34" s="1"/>
  <c r="G45" i="34"/>
  <c r="H43" i="34"/>
  <c r="D51" i="34"/>
  <c r="F51" i="34"/>
  <c r="D54" i="34"/>
  <c r="D55" i="34" s="1"/>
  <c r="D56" i="34" s="1"/>
  <c r="G54" i="34"/>
  <c r="H54" i="34" s="1"/>
  <c r="H52" i="34"/>
  <c r="D8" i="34" a="1"/>
  <c r="D8" i="34" s="1"/>
  <c r="D12" i="34" s="1"/>
  <c r="D23" i="34" s="1"/>
  <c r="H11" i="34"/>
  <c r="F19" i="34"/>
  <c r="F22" i="34"/>
  <c r="H33" i="34"/>
  <c r="E45" i="34"/>
  <c r="E55" i="34" s="1"/>
  <c r="G48" i="34"/>
  <c r="H48" i="34" s="1"/>
  <c r="H46" i="34"/>
  <c r="G51" i="34"/>
  <c r="H51" i="34" s="1"/>
  <c r="H49" i="34"/>
  <c r="I50" i="34"/>
  <c r="J50" i="34" s="1"/>
  <c r="I52" i="34"/>
  <c r="J52"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I19" i="34" l="1"/>
  <c r="J19" i="34" s="1"/>
  <c r="I23" i="35"/>
  <c r="J23" i="35" s="1"/>
  <c r="I55" i="35"/>
  <c r="J55" i="35" s="1"/>
  <c r="I53" i="14"/>
  <c r="J53" i="14" s="1"/>
  <c r="I20" i="35"/>
  <c r="J20" i="35" s="1"/>
  <c r="H58" i="35"/>
  <c r="F40" i="35"/>
  <c r="D60" i="35"/>
  <c r="I52" i="35"/>
  <c r="J52" i="35" s="1"/>
  <c r="F13" i="35"/>
  <c r="I8" i="35"/>
  <c r="J8" i="35" s="1"/>
  <c r="D24" i="35"/>
  <c r="D25" i="35" s="1"/>
  <c r="I49" i="35"/>
  <c r="J49" i="35" s="1"/>
  <c r="F59" i="35"/>
  <c r="G59" i="35"/>
  <c r="H8" i="35"/>
  <c r="H55" i="35"/>
  <c r="D24" i="34"/>
  <c r="I51" i="34"/>
  <c r="J51" i="34" s="1"/>
  <c r="G55" i="34"/>
  <c r="I55" i="34" s="1"/>
  <c r="J55" i="34" s="1"/>
  <c r="H45" i="34"/>
  <c r="I54" i="34"/>
  <c r="J54" i="34" s="1"/>
  <c r="I45" i="34"/>
  <c r="J45" i="34" s="1"/>
  <c r="F35" i="34"/>
  <c r="F56" i="34"/>
  <c r="I22" i="34"/>
  <c r="J22" i="34" s="1"/>
  <c r="H19" i="34"/>
  <c r="I48" i="34"/>
  <c r="J48" i="34" s="1"/>
  <c r="F12" i="34"/>
  <c r="H12" i="34" s="1"/>
  <c r="I8" i="34"/>
  <c r="J8" i="34" s="1"/>
  <c r="E48" i="14"/>
  <c r="C48" i="14"/>
  <c r="C54" i="14"/>
  <c r="G52" i="33"/>
  <c r="H52" i="33" s="1"/>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I51" i="33"/>
  <c r="J51" i="33" s="1"/>
  <c r="F52" i="33"/>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I52" i="33" l="1"/>
  <c r="J52" i="33" s="1"/>
  <c r="AN5" i="32"/>
  <c r="AO5" i="32" s="1"/>
  <c r="AM4" i="32"/>
  <c r="H59" i="35"/>
  <c r="G60" i="35"/>
  <c r="F60" i="35"/>
  <c r="I59" i="35"/>
  <c r="J59" i="35" s="1"/>
  <c r="F24" i="35"/>
  <c r="F37" i="34"/>
  <c r="F23" i="34"/>
  <c r="I12" i="34"/>
  <c r="J12" i="34" s="1"/>
  <c r="H55" i="34"/>
  <c r="G56" i="34"/>
  <c r="H56" i="34" s="1"/>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I60" i="35" l="1"/>
  <c r="J60" i="35" s="1"/>
  <c r="F25" i="35"/>
  <c r="H60" i="35"/>
  <c r="F24" i="34"/>
  <c r="I56" i="34"/>
  <c r="J56" i="34" s="1"/>
  <c r="F24" i="33"/>
  <c r="F25" i="33" s="1"/>
  <c r="F40" i="33"/>
  <c r="H59" i="33"/>
  <c r="G60" i="33"/>
  <c r="F60" i="33"/>
  <c r="I59" i="33"/>
  <c r="J59" i="33" s="1"/>
  <c r="D24" i="14"/>
  <c r="F56" i="14"/>
  <c r="F23" i="14"/>
  <c r="I61" i="13"/>
  <c r="I60" i="13" s="1"/>
  <c r="I14" i="13" s="1"/>
  <c r="I60" i="33" l="1"/>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G13" i="33"/>
  <c r="I12" i="35"/>
  <c r="J12" i="35" s="1"/>
  <c r="G13" i="35"/>
  <c r="H12" i="35"/>
  <c r="G32" i="35"/>
  <c r="H67" i="13"/>
  <c r="H146" i="13"/>
  <c r="H61" i="13" s="1"/>
  <c r="H60" i="13" s="1"/>
  <c r="H13" i="35" l="1"/>
  <c r="I13" i="35"/>
  <c r="J13" i="35" s="1"/>
  <c r="I32" i="35"/>
  <c r="J32" i="35" s="1"/>
  <c r="H32" i="35"/>
  <c r="I13" i="33"/>
  <c r="J13" i="33" s="1"/>
  <c r="H13" i="33"/>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15" i="35" l="1" a="1"/>
  <c r="G15" i="35" s="1"/>
  <c r="G14" i="34" a="1"/>
  <c r="G14" i="34" s="1"/>
  <c r="G13" i="34" a="1"/>
  <c r="G13" i="34" s="1"/>
  <c r="G14" i="35" a="1"/>
  <c r="G14" i="35" s="1"/>
  <c r="AM142" i="16"/>
  <c r="G15" i="33" a="1"/>
  <c r="G15" i="33" s="1"/>
  <c r="G14" i="33" s="1"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4" i="34" l="1"/>
  <c r="I14" i="34"/>
  <c r="J14" i="34" s="1"/>
  <c r="H15" i="35"/>
  <c r="I15" i="35"/>
  <c r="J15" i="35" s="1"/>
  <c r="G17" i="35"/>
  <c r="H14" i="35"/>
  <c r="G35" i="35"/>
  <c r="I14" i="35"/>
  <c r="J14" i="35" s="1"/>
  <c r="I13" i="34"/>
  <c r="J13" i="34" s="1"/>
  <c r="G32" i="34"/>
  <c r="G16" i="34"/>
  <c r="H13" i="34"/>
  <c r="H15" i="33"/>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16" i="34" l="1"/>
  <c r="I16" i="34"/>
  <c r="J16" i="34" s="1"/>
  <c r="G23" i="34"/>
  <c r="I32" i="34"/>
  <c r="J32" i="34" s="1"/>
  <c r="H32" i="34"/>
  <c r="G30" i="34"/>
  <c r="G33" i="35"/>
  <c r="I35" i="35"/>
  <c r="J35" i="35" s="1"/>
  <c r="H35" i="35"/>
  <c r="H17" i="35"/>
  <c r="I17" i="35"/>
  <c r="J17" i="35" s="1"/>
  <c r="G24" i="35"/>
  <c r="I17" i="33"/>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25" i="35" l="1"/>
  <c r="I24" i="35"/>
  <c r="J24" i="35" s="1"/>
  <c r="H24" i="35"/>
  <c r="H33" i="35"/>
  <c r="I33" i="35"/>
  <c r="J33" i="35" s="1"/>
  <c r="G38" i="35"/>
  <c r="I30" i="34"/>
  <c r="J30" i="34" s="1"/>
  <c r="H30" i="34"/>
  <c r="G35" i="34"/>
  <c r="G24" i="34"/>
  <c r="I23" i="34"/>
  <c r="J23" i="34" s="1"/>
  <c r="H23" i="34"/>
  <c r="I24" i="33"/>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H24" i="34" l="1"/>
  <c r="I24" i="34"/>
  <c r="J24" i="34" s="1"/>
  <c r="G40" i="35"/>
  <c r="I38" i="35"/>
  <c r="J38" i="35" s="1"/>
  <c r="H38" i="35"/>
  <c r="I35" i="34"/>
  <c r="J35" i="34" s="1"/>
  <c r="G37" i="34"/>
  <c r="H35" i="34"/>
  <c r="H25" i="35"/>
  <c r="I25" i="35"/>
  <c r="J25" i="35" s="1"/>
  <c r="G40" i="33"/>
  <c r="H38" i="33"/>
  <c r="I38" i="33"/>
  <c r="J38" i="33" s="1"/>
  <c r="H25" i="33"/>
  <c r="I25" i="33"/>
  <c r="J25" i="33" s="1"/>
  <c r="F17" i="13"/>
  <c r="F141" i="13"/>
  <c r="AU141" i="13" s="1"/>
  <c r="AV142" i="13"/>
  <c r="AW142" i="13" s="1"/>
  <c r="F146" i="13"/>
  <c r="F62" i="13"/>
  <c r="AU62" i="13" s="1"/>
  <c r="AV63" i="13"/>
  <c r="AW63" i="13" s="1"/>
  <c r="H37" i="34" l="1"/>
  <c r="I37" i="34"/>
  <c r="J37" i="34" s="1"/>
  <c r="I40" i="35"/>
  <c r="J40" i="35" s="1"/>
  <c r="H40" i="35"/>
  <c r="H40" i="33"/>
  <c r="I40" i="33"/>
  <c r="J40" i="33" s="1"/>
  <c r="F16" i="13"/>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<sst xmlns="http://schemas.openxmlformats.org/spreadsheetml/2006/main" count="22650" uniqueCount="5630">
  <si>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</si>
  <si>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</si>
  <si>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</si>
  <si>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</si>
  <si>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</si>
  <si>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</si>
  <si>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</si>
  <si>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</si>
  <si>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</si>
  <si>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</si>
  <si>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</si>
  <si>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</si>
  <si>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</si>
  <si>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</si>
  <si>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</si>
  <si>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</si>
  <si>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</si>
  <si>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</si>
  <si>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</si>
  <si>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</si>
  <si>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</si>
  <si>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</si>
  <si>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</si>
  <si>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</si>
  <si>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</si>
  <si>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</si>
  <si>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</si>
  <si>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</si>
  <si>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</si>
  <si>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</si>
  <si>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</si>
  <si>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</si>
  <si>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</si>
  <si>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</si>
  <si>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</si>
  <si>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</si>
  <si>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</si>
  <si>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</si>
  <si>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</si>
  <si>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</si>
  <si>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</si>
  <si>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</si>
  <si>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</si>
  <si>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</si>
  <si>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</si>
  <si>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</si>
  <si>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</si>
  <si>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</si>
  <si>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</si>
  <si>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</si>
  <si>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</si>
  <si>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</si>
  <si>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</si>
  <si>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</si>
  <si>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</si>
  <si>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</si>
  <si>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</si>
  <si>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</si>
  <si>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</si>
  <si>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</si>
  <si>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</si>
  <si>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</si>
  <si>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</si>
  <si>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</si>
  <si>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</si>
  <si>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</si>
  <si>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</si>
  <si>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</si>
  <si>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</si>
  <si>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</si>
  <si>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</si>
  <si>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</si>
  <si>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</si>
  <si>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</si>
  <si>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</si>
  <si>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</si>
  <si>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</si>
  <si>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</si>
  <si>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</si>
  <si>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</si>
  <si>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</si>
  <si>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</si>
  <si>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</si>
  <si>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</si>
  <si>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</si>
  <si>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</si>
  <si>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</si>
  <si>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</si>
  <si>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</si>
  <si>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</si>
  <si>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</si>
  <si>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</si>
  <si>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</si>
  <si>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</si>
  <si>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</si>
  <si>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</si>
  <si>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</si>
  <si>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</si>
  <si>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</si>
  <si>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</si>
  <si>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</si>
  <si>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</si>
  <si>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</si>
  <si>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</si>
  <si>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</si>
  <si>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</si>
  <si>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</si>
  <si>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</si>
  <si>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</si>
  <si>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</si>
  <si>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</si>
  <si>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</si>
  <si>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</si>
  <si>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</si>
  <si>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</si>
  <si>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</si>
  <si>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</si>
  <si>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</si>
  <si>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</si>
  <si>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</si>
  <si>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</si>
  <si>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</si>
  <si>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</si>
  <si>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</si>
  <si>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</si>
  <si>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</si>
  <si>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</si>
  <si>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</si>
  <si>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</si>
  <si>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</si>
  <si>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</si>
  <si>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</si>
  <si>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</si>
  <si>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</si>
  <si>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</si>
  <si>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</si>
  <si>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</si>
  <si>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</si>
  <si>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</si>
  <si>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</si>
  <si>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</si>
  <si>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</si>
  <si>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</si>
  <si>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</si>
  <si>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</si>
  <si>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</si>
  <si>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</si>
  <si>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</si>
  <si>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</si>
  <si>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</si>
  <si>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</si>
  <si>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</si>
  <si>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</si>
  <si>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</si>
  <si>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</si>
  <si>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</si>
  <si>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</si>
  <si>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</si>
  <si>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</si>
  <si>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</si>
  <si>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</si>
  <si>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</si>
  <si>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</si>
  <si>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</si>
  <si>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</si>
  <si>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</si>
  <si>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</si>
  <si>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</si>
  <si>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</si>
  <si>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</si>
  <si>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</si>
  <si>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</si>
  <si>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</si>
  <si>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</si>
  <si>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</si>
  <si>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</si>
  <si>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</si>
  <si>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</si>
  <si>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</si>
  <si>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</si>
  <si>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</si>
  <si>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</si>
  <si>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</si>
  <si>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</si>
  <si>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</si>
  <si>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</si>
  <si>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</si>
  <si>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</si>
  <si>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</si>
  <si>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</si>
  <si>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</si>
  <si>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</si>
  <si>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</si>
  <si>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</si>
  <si>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</si>
  <si>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</si>
  <si>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</si>
  <si>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</si>
  <si>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</si>
  <si>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</si>
  <si>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</si>
  <si>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</si>
  <si>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</si>
  <si>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</si>
  <si>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</si>
  <si>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</si>
  <si>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</si>
  <si>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</si>
  <si>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</si>
  <si>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</si>
  <si>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</si>
  <si>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</si>
  <si>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</si>
  <si>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</si>
  <si>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</si>
  <si>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</si>
  <si>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</si>
  <si>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</si>
  <si>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</si>
  <si>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</si>
  <si>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</si>
  <si>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</si>
  <si>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</si>
  <si>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</si>
  <si>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</si>
  <si>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</si>
  <si>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</si>
  <si>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</si>
  <si>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</si>
  <si>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</si>
  <si>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</si>
  <si>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</si>
  <si>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</si>
  <si>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</si>
  <si>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</si>
  <si>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</si>
  <si>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</si>
  <si>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</si>
  <si>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</si>
  <si>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</si>
  <si>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</si>
  <si>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</si>
  <si>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</si>
  <si>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</si>
  <si>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</si>
  <si>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</si>
  <si>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</si>
  <si>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</si>
  <si>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</si>
  <si>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</si>
  <si>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</si>
  <si>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</si>
  <si>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</si>
  <si>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</si>
  <si>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</si>
  <si>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</si>
  <si>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</si>
  <si>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</si>
  <si>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</si>
  <si>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</si>
  <si>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</si>
  <si>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</si>
  <si>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</si>
  <si>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</si>
  <si>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</si>
  <si>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</si>
  <si>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</si>
  <si>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</si>
  <si>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</si>
  <si>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</si>
  <si>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</si>
  <si>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</si>
  <si>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</si>
  <si>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</si>
  <si>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</si>
  <si>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</si>
  <si>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</si>
  <si>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</si>
  <si>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</si>
  <si>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</si>
  <si>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</si>
  <si>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</si>
  <si>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</si>
  <si>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</si>
  <si>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</si>
  <si>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</si>
  <si>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</si>
  <si>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</si>
  <si>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</si>
  <si>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</si>
  <si>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</si>
  <si>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</si>
  <si>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</si>
  <si>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</si>
  <si>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</si>
  <si>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</si>
  <si>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</si>
  <si>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</si>
  <si>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</si>
  <si>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</si>
  <si>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</si>
  <si>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</si>
  <si>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</si>
  <si>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</si>
  <si>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</si>
  <si>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</si>
  <si>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</si>
  <si>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</si>
  <si>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</si>
  <si>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</si>
  <si>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</si>
  <si>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</si>
  <si>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</si>
  <si>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</si>
  <si>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</si>
  <si>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</si>
  <si>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</si>
  <si>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</si>
  <si>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</si>
  <si>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</si>
  <si>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</si>
  <si>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</si>
  <si>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</si>
  <si>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</si>
  <si>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</si>
  <si>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</si>
  <si>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</si>
  <si>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</si>
  <si>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</si>
  <si>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</si>
  <si>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</si>
  <si>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</si>
  <si>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</si>
  <si>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</si>
  <si>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</si>
  <si>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</si>
  <si>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</si>
  <si>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</si>
  <si>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</si>
  <si>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</si>
  <si>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</si>
  <si>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</si>
  <si>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</si>
  <si>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</si>
  <si>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</si>
  <si>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</si>
  <si>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</si>
  <si>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</si>
  <si>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</si>
  <si>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</si>
  <si>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</si>
  <si>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</si>
  <si>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</si>
  <si>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</si>
  <si>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</si>
  <si>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</si>
  <si>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</si>
  <si>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</si>
  <si>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</si>
  <si>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</si>
  <si>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</si>
  <si>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</si>
  <si>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</si>
  <si>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</si>
  <si>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</si>
  <si>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</si>
  <si>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</si>
  <si>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</si>
  <si>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</si>
  <si>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</si>
  <si>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</si>
  <si>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</si>
  <si>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</si>
  <si>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</si>
  <si>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</si>
  <si>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</si>
  <si>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</si>
  <si>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</si>
  <si>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</si>
  <si>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</si>
  <si>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</si>
  <si>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</si>
  <si>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</si>
  <si>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</si>
  <si>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</si>
  <si>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</si>
  <si>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</si>
  <si>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</si>
  <si>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</si>
  <si>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</si>
  <si>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</si>
  <si>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</si>
  <si>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</si>
  <si>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</si>
  <si>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</si>
  <si>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</si>
  <si>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</si>
  <si>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</si>
  <si>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</si>
  <si>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</si>
  <si>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</si>
  <si>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</si>
  <si>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</si>
  <si>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</si>
  <si>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</si>
  <si>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</si>
  <si>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</si>
  <si>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</si>
  <si>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</si>
  <si>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</si>
  <si>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</si>
  <si>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</si>
  <si>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</si>
  <si>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</si>
  <si>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</si>
  <si>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</si>
  <si>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</si>
  <si>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</si>
  <si>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</si>
  <si>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</si>
  <si>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</si>
  <si>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</si>
  <si>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</si>
  <si>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</si>
  <si>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</si>
  <si>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</si>
  <si>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</si>
  <si>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</si>
  <si>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</si>
  <si>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</si>
  <si>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</si>
  <si>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</si>
  <si>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</si>
  <si>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</si>
  <si>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</si>
  <si>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</si>
  <si>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</si>
  <si>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</si>
  <si>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</si>
  <si>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</si>
  <si>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</si>
  <si>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</si>
  <si>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</si>
  <si>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</si>
  <si>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</si>
  <si>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</si>
  <si>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</si>
  <si>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</si>
  <si>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</si>
  <si>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</si>
  <si>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</si>
  <si>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</si>
  <si>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</si>
  <si>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</si>
  <si>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</si>
  <si>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</si>
  <si>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</si>
  <si>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</si>
  <si>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</si>
  <si>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</si>
  <si>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</si>
  <si>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</si>
  <si>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</si>
  <si>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</si>
  <si>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</si>
  <si>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</si>
  <si>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</si>
  <si>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</si>
  <si>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</si>
  <si>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</si>
  <si>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</si>
  <si>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</si>
  <si>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</si>
  <si>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</si>
  <si>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</si>
  <si>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</si>
  <si>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</si>
  <si>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</si>
  <si>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</si>
  <si>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</si>
  <si>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</si>
  <si>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</si>
  <si>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</si>
  <si>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</si>
  <si>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</si>
  <si>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</si>
  <si>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</si>
  <si>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</si>
  <si>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</si>
  <si>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</si>
  <si>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</si>
  <si>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</si>
  <si>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</si>
  <si>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</si>
  <si>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</si>
  <si>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</si>
  <si>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</si>
  <si>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</si>
  <si>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</si>
  <si>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</si>
  <si>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</si>
  <si>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</si>
  <si>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</si>
  <si>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</si>
  <si>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</si>
  <si>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</si>
  <si>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</si>
  <si>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</si>
  <si>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</si>
  <si>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</si>
  <si>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</si>
  <si>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</si>
  <si>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</si>
  <si>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</si>
  <si>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</si>
  <si>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</si>
  <si>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</si>
  <si>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</si>
  <si>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</si>
  <si>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</si>
  <si>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</si>
  <si>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</si>
  <si>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</si>
  <si>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</si>
  <si>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</si>
  <si>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</si>
  <si>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</si>
  <si>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</si>
  <si>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</si>
  <si>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</si>
  <si>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</si>
  <si>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</si>
  <si>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</si>
  <si>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</si>
  <si>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</si>
  <si>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</si>
  <si>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</si>
  <si>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</si>
  <si>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</si>
  <si>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</si>
  <si>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</si>
  <si>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</si>
  <si>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</si>
  <si>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</si>
  <si>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</si>
  <si>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</si>
  <si>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</si>
  <si>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</si>
  <si>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</si>
  <si>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</si>
  <si>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</si>
  <si>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</si>
  <si>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</si>
  <si>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</si>
  <si>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</si>
  <si>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</si>
  <si>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</si>
  <si>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</si>
  <si>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</si>
  <si>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</si>
  <si>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</si>
  <si>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</si>
  <si>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</si>
  <si>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</si>
  <si>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</si>
  <si>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</si>
  <si>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</si>
  <si>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</si>
  <si>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</si>
  <si>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</si>
  <si>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</si>
  <si>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</si>
  <si>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</si>
  <si>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</si>
  <si>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</si>
  <si>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</si>
  <si>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</si>
  <si>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</si>
  <si>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</si>
  <si>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</si>
  <si>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</si>
  <si>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</si>
  <si>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</si>
  <si>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</si>
  <si>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</si>
  <si>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</si>
  <si>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</si>
  <si>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</si>
  <si>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</si>
  <si>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</si>
  <si>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</si>
  <si>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</si>
  <si>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</si>
  <si>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</si>
  <si>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</si>
  <si>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</si>
  <si>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</si>
  <si>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</si>
  <si>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</si>
  <si>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</si>
  <si>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</si>
  <si>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</si>
  <si>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</si>
  <si>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</si>
  <si>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</si>
  <si>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</si>
  <si>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</si>
  <si>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</si>
  <si>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</si>
  <si>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</si>
  <si>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</si>
  <si>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</si>
  <si>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</si>
  <si>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</si>
  <si>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</si>
  <si>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</si>
  <si>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</si>
  <si>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</si>
  <si>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</si>
  <si>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</si>
  <si>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</si>
  <si>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</si>
  <si>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</si>
  <si>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</si>
  <si>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</si>
  <si>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</si>
  <si>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</si>
  <si>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</si>
  <si>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</si>
  <si>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</si>
  <si>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</si>
  <si>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</si>
  <si>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</si>
  <si>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</si>
  <si>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</si>
  <si>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</si>
  <si>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</si>
  <si>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</si>
  <si>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</si>
  <si>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</si>
  <si>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</si>
  <si>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</si>
  <si>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</si>
  <si>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</si>
  <si>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</si>
  <si>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</si>
  <si>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</si>
  <si>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</si>
  <si>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</si>
  <si>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</si>
  <si>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</si>
  <si>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</si>
  <si>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</si>
  <si>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</si>
  <si>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</si>
  <si>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</si>
  <si>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</si>
  <si>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</si>
  <si>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</si>
  <si>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</si>
  <si>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</si>
  <si>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</si>
  <si>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</si>
  <si>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</si>
  <si>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</si>
  <si>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</si>
  <si>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</si>
  <si>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</si>
  <si>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</si>
  <si>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</si>
  <si>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</si>
  <si>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</si>
  <si>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</si>
  <si>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</si>
  <si>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</si>
  <si>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</si>
  <si>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</si>
  <si>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</si>
  <si>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</si>
  <si>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</si>
  <si>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</si>
  <si>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</si>
  <si>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</si>
  <si>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</si>
  <si>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</si>
  <si>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</si>
  <si>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</si>
  <si>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</si>
  <si>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</si>
  <si>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</si>
  <si>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</si>
  <si>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</si>
  <si>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</si>
  <si>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</si>
  <si>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</si>
  <si>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</si>
  <si>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</si>
  <si>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</si>
  <si>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</si>
  <si>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</si>
  <si>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</si>
  <si>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</si>
  <si>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</si>
  <si>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</si>
  <si>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</si>
  <si>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</si>
  <si>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</si>
  <si>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</si>
  <si>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</si>
  <si>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</si>
  <si>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</si>
  <si>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</si>
  <si>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</si>
  <si>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</si>
  <si>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</si>
  <si>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</si>
  <si>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</si>
  <si>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</si>
  <si>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</si>
  <si>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</si>
  <si>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</si>
  <si>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</si>
  <si>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</si>
  <si>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</si>
  <si>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</si>
  <si>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</si>
  <si>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</si>
  <si>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</si>
  <si>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</si>
  <si>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</si>
  <si>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</si>
  <si>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</si>
  <si>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</si>
  <si>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</si>
  <si>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</si>
  <si>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</si>
  <si>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</si>
  <si>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</si>
  <si>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</si>
  <si>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</si>
  <si>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</si>
  <si>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</si>
  <si>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</si>
  <si>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</si>
  <si>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</si>
  <si>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</si>
  <si>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</si>
  <si>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</si>
  <si>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</si>
  <si>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</si>
  <si>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</si>
  <si>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</si>
  <si>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</si>
  <si>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</si>
  <si>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</si>
  <si>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</si>
  <si>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</si>
  <si>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</si>
  <si>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</si>
  <si>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</si>
  <si>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</si>
  <si>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</si>
  <si>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</si>
  <si>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</si>
  <si>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</si>
  <si>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</si>
  <si>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</si>
  <si>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</si>
  <si>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</si>
  <si>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</si>
  <si>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</si>
  <si>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</si>
  <si>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</si>
  <si>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</si>
  <si>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</si>
  <si>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</si>
  <si>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</si>
  <si>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</si>
  <si>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</si>
  <si>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</si>
  <si>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</si>
  <si>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</si>
  <si>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</si>
  <si>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</si>
  <si>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</si>
  <si>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</si>
  <si>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</si>
  <si>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</si>
  <si>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</si>
  <si>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</si>
  <si>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</si>
  <si>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</si>
  <si>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</si>
  <si>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</si>
  <si>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</si>
  <si>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</si>
  <si>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</si>
  <si>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</si>
  <si>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</si>
  <si>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</si>
  <si>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</si>
  <si>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</si>
  <si>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</si>
  <si>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</si>
  <si>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</si>
  <si>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</si>
  <si>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</si>
  <si>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</si>
  <si>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</si>
  <si>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</si>
  <si>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</si>
  <si>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</si>
  <si>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</si>
  <si>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</si>
  <si>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</si>
  <si>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</si>
  <si>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</si>
  <si>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</si>
  <si>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</si>
  <si>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</si>
  <si>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</si>
  <si>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</si>
  <si>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</si>
  <si>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</si>
  <si>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</si>
  <si>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</si>
  <si>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</si>
  <si>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</si>
  <si>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</si>
  <si>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</si>
  <si>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</si>
  <si>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</si>
  <si>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</si>
  <si>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</si>
  <si>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</si>
  <si>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</si>
  <si>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</si>
  <si>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</si>
  <si>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</si>
  <si>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</si>
  <si>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</si>
  <si>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</si>
  <si>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</si>
  <si>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</si>
  <si>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</si>
  <si>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</si>
  <si>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</si>
  <si>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</si>
  <si>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</si>
  <si>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</si>
  <si>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</si>
  <si>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</si>
  <si>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</si>
  <si>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</si>
  <si>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</si>
  <si>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</si>
  <si>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</si>
  <si>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</si>
  <si>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</si>
  <si>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</si>
  <si>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</si>
  <si>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</si>
  <si>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</si>
  <si>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</si>
  <si>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</si>
  <si>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</si>
  <si>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</si>
  <si>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</si>
  <si>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</si>
  <si>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</si>
  <si>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</si>
  <si>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</si>
  <si>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</si>
  <si>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</si>
  <si>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</si>
  <si>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</si>
  <si>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</si>
  <si>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</si>
  <si>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</si>
  <si>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</si>
  <si>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</si>
  <si>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</si>
  <si>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</si>
  <si>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</si>
  <si>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</si>
  <si>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</si>
  <si>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</si>
  <si>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</si>
  <si>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</si>
  <si>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</si>
  <si>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</si>
  <si>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</si>
  <si>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</si>
  <si>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</si>
  <si>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</si>
  <si>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</si>
  <si>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</si>
  <si>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</si>
  <si>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</si>
  <si>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</si>
  <si>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</si>
  <si>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</si>
  <si>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</si>
  <si>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</si>
  <si>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</si>
  <si>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</si>
  <si>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</si>
  <si>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</si>
  <si>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</si>
  <si>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</si>
  <si>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</si>
  <si>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</si>
  <si>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</si>
  <si>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</si>
  <si>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</si>
  <si>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</si>
  <si>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</si>
  <si>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</si>
  <si>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</si>
  <si>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</si>
  <si>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</si>
  <si>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</si>
  <si>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</si>
  <si>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</si>
  <si>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</si>
  <si>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</si>
  <si>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</si>
  <si>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</si>
  <si>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</si>
  <si>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</si>
  <si>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</si>
  <si>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</si>
  <si>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</si>
  <si>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</si>
  <si>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</si>
  <si>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</si>
  <si>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</si>
  <si>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</si>
  <si>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</si>
  <si>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</si>
  <si>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</si>
  <si>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</si>
  <si>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</si>
  <si>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</si>
  <si>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</si>
  <si>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</si>
  <si>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</si>
  <si>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</si>
  <si>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</si>
  <si>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</si>
  <si>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</si>
  <si>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</si>
  <si>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</si>
  <si>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</si>
  <si>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</si>
  <si>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</si>
  <si>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</si>
  <si>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</si>
  <si>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</si>
  <si>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</si>
  <si>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</si>
  <si>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</si>
  <si>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</si>
  <si>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</si>
  <si>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</si>
  <si>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</si>
  <si>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</si>
  <si>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</si>
  <si>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</si>
  <si>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</si>
  <si>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</si>
  <si>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</si>
  <si>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</si>
  <si>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</si>
  <si>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</si>
  <si>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</si>
  <si>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</si>
  <si>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</si>
  <si>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</si>
  <si>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</si>
  <si>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</si>
  <si>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</si>
  <si>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</si>
  <si>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</si>
  <si>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</si>
  <si>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</si>
  <si>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</si>
  <si>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</si>
  <si>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</si>
  <si>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</si>
  <si>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</si>
  <si>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</si>
  <si>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</si>
  <si>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</si>
  <si>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</si>
  <si>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</si>
  <si>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</si>
  <si>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</si>
  <si>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</si>
  <si>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</si>
  <si>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</si>
  <si>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</si>
  <si>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</si>
  <si>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</si>
  <si>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</si>
  <si>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</si>
  <si>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</si>
  <si>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</si>
  <si>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</si>
  <si>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</si>
  <si>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</si>
  <si>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</si>
  <si>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</si>
  <si>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</si>
  <si>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</si>
  <si>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</si>
  <si>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</si>
  <si>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</si>
  <si>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</si>
  <si>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</si>
  <si>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</si>
  <si>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</si>
  <si>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</si>
  <si>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</si>
  <si>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</si>
  <si>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</si>
  <si>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</si>
  <si>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</si>
  <si>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</si>
  <si>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</si>
  <si>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</si>
  <si>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</si>
  <si>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</si>
  <si>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</si>
  <si>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</si>
  <si>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</si>
  <si>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</si>
  <si>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</si>
  <si>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</si>
  <si>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</si>
  <si>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</si>
  <si>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</si>
  <si>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</si>
  <si>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</si>
  <si>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</si>
  <si>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</si>
  <si>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</si>
  <si>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</si>
  <si>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</si>
  <si>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</si>
  <si>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</si>
  <si>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</si>
  <si>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</si>
  <si>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</si>
  <si>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</si>
  <si>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</si>
  <si>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</si>
  <si>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</si>
  <si>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</si>
  <si>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</si>
  <si>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</si>
  <si>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</si>
  <si>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</si>
  <si>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</si>
  <si>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</si>
  <si>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</si>
  <si>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</si>
  <si>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</si>
  <si>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</si>
  <si>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</si>
  <si>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</si>
  <si>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</si>
  <si>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</si>
  <si>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</si>
  <si>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</si>
  <si>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</si>
  <si>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</si>
  <si>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</si>
  <si>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</si>
  <si>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</si>
  <si>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</si>
  <si>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</si>
  <si>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</si>
  <si>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</si>
  <si>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</si>
  <si>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</si>
  <si>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</si>
  <si>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</si>
  <si>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</si>
  <si>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</si>
  <si>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</si>
  <si>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</si>
  <si>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</si>
  <si>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</si>
  <si>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</si>
  <si>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</si>
  <si>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</si>
  <si>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</si>
  <si>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</si>
  <si>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</si>
  <si>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</si>
  <si>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</si>
  <si>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</si>
  <si>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</si>
  <si>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</si>
  <si>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</si>
  <si>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</si>
  <si>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</si>
  <si>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</si>
  <si>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</si>
  <si>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</si>
  <si>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</si>
  <si>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</si>
  <si>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</si>
  <si>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</si>
  <si>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</si>
  <si>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</si>
  <si>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</si>
  <si>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</si>
  <si>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</si>
  <si>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</si>
  <si>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</si>
  <si>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</si>
  <si>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</si>
  <si>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</si>
  <si>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</si>
  <si>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</si>
  <si>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</si>
  <si>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</si>
  <si>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</si>
  <si>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</si>
  <si>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</si>
  <si>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</si>
  <si>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</si>
  <si>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</si>
  <si>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</si>
  <si>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</si>
  <si>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</si>
  <si>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</si>
  <si>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</si>
  <si>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</si>
  <si>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</si>
  <si>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</si>
  <si>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</si>
  <si>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</si>
  <si>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</si>
  <si>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</si>
  <si>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</si>
  <si>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</si>
  <si>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</si>
  <si>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</si>
  <si>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</si>
  <si>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</si>
  <si>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</si>
  <si>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</si>
  <si>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</si>
  <si>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</si>
  <si>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</si>
  <si>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</si>
  <si>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</si>
  <si>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</si>
  <si>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</si>
  <si>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</si>
  <si>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</si>
  <si>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</si>
  <si>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</si>
  <si>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</si>
  <si>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</si>
  <si>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</si>
  <si>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</si>
  <si>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</si>
  <si>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</si>
  <si>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</si>
  <si>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</si>
  <si>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</si>
  <si>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</si>
  <si>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</si>
  <si>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</si>
  <si>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</si>
  <si>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</si>
  <si>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</si>
  <si>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</si>
  <si>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</si>
  <si>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</si>
  <si>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</si>
  <si>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</si>
  <si>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</si>
  <si>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</si>
  <si>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</si>
  <si>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</si>
  <si>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</si>
  <si>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</si>
  <si>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</si>
  <si>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</si>
  <si>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</si>
  <si>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</si>
  <si>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</si>
  <si>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</si>
  <si>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</si>
  <si>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</si>
  <si>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</si>
  <si>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</si>
  <si>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</si>
  <si>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</si>
  <si>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</si>
  <si>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</si>
  <si>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</si>
  <si>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</si>
  <si>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</si>
  <si>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</si>
  <si>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</si>
  <si>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</si>
  <si>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</si>
  <si>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</si>
  <si>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</si>
  <si>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</si>
  <si>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</si>
  <si>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</si>
  <si>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</si>
  <si>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</si>
  <si>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</si>
  <si>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</si>
  <si>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</si>
  <si>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</si>
  <si>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</si>
  <si>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</si>
  <si>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</si>
  <si>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</si>
  <si>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</si>
  <si>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</si>
  <si>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</si>
  <si>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</si>
  <si>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</si>
  <si>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</si>
  <si>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</si>
  <si>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</si>
  <si>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</si>
  <si>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</si>
  <si>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</si>
  <si>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</si>
  <si>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</si>
  <si>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</si>
  <si>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</si>
  <si>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</si>
  <si>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</si>
  <si>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</si>
  <si>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</si>
  <si>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</si>
  <si>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</si>
  <si>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</si>
  <si>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</si>
  <si>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</si>
  <si>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</si>
  <si>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</si>
  <si>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</si>
  <si>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</si>
  <si>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</si>
  <si>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</si>
  <si>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</si>
  <si>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</si>
  <si>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</si>
  <si>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</si>
  <si>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</si>
  <si>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</si>
  <si>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</si>
  <si>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</si>
  <si>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</si>
  <si>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</si>
  <si>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</si>
  <si>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</si>
  <si>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</si>
  <si>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</si>
  <si>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</si>
  <si>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</si>
  <si>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</si>
  <si>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</si>
  <si>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</si>
  <si>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</si>
  <si>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</si>
  <si>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</si>
  <si>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</si>
  <si>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</si>
  <si>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</si>
  <si>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</si>
  <si>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</si>
  <si>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</si>
  <si>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</si>
  <si>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</si>
  <si>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</si>
  <si>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</si>
  <si>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</si>
  <si>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</si>
  <si>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</si>
  <si>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</si>
  <si>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</si>
  <si>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</si>
  <si>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</si>
  <si>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</si>
  <si>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</si>
  <si>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</si>
  <si>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</si>
  <si>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</si>
  <si>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</si>
  <si>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</si>
  <si>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</si>
  <si>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</si>
  <si>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</si>
  <si>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</si>
  <si>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</si>
  <si>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</si>
  <si>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</si>
  <si>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</si>
  <si>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</si>
  <si>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</si>
  <si>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</si>
  <si>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</si>
  <si>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</si>
  <si>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</si>
  <si>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</si>
  <si>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</si>
  <si>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</si>
  <si>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</si>
  <si>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</si>
  <si>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</si>
  <si>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</si>
  <si>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</si>
  <si>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</si>
  <si>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</si>
  <si>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</si>
  <si>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</si>
  <si>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</si>
  <si>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</si>
  <si>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</si>
  <si>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</si>
  <si>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</si>
  <si>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</si>
  <si>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</si>
  <si>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</si>
  <si>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</si>
  <si>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</si>
  <si>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</si>
  <si>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</si>
  <si>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</si>
  <si>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</si>
  <si>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</si>
  <si>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</si>
  <si>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</si>
  <si>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</si>
  <si>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</si>
  <si>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</si>
  <si>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</si>
  <si>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</si>
  <si>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</si>
  <si>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</si>
  <si>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</si>
  <si>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</si>
  <si>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</si>
  <si>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</si>
  <si>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</si>
  <si>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</si>
  <si>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</si>
  <si>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</si>
  <si>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</si>
  <si>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</si>
  <si>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</si>
  <si>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</si>
  <si>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</si>
  <si>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</si>
  <si>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</si>
  <si>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</si>
  <si>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</si>
  <si>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</si>
  <si>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</si>
  <si>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</si>
  <si>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</si>
  <si>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</si>
  <si>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</si>
  <si>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</si>
  <si>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</si>
  <si>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</si>
  <si>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</si>
  <si>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</si>
  <si>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</si>
  <si>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</si>
  <si>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</si>
  <si>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</si>
  <si>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</si>
  <si>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</si>
  <si>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</si>
  <si>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</si>
  <si>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</si>
  <si>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</si>
  <si>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</si>
  <si>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</si>
  <si>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</si>
  <si>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</si>
  <si>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</si>
  <si>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</si>
  <si>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</si>
  <si>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</si>
  <si>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</si>
  <si>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</si>
  <si>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</si>
  <si>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</si>
  <si>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</si>
  <si>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</si>
  <si>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</si>
  <si>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</si>
  <si>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</si>
  <si>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</si>
  <si>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</si>
  <si>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</si>
  <si>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</si>
  <si>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</si>
  <si>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</si>
  <si>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</si>
  <si>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</si>
  <si>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</si>
  <si>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</si>
  <si>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</si>
  <si>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</si>
  <si>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</si>
  <si>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</si>
  <si>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</si>
  <si>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</si>
  <si>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</si>
  <si>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</si>
  <si>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</si>
  <si>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</si>
  <si>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</si>
  <si>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</si>
  <si>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</si>
  <si>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</si>
  <si>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</si>
  <si>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</si>
  <si>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</si>
  <si>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</si>
  <si>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</si>
  <si>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</si>
  <si>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</si>
  <si>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</si>
  <si>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</si>
  <si>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</si>
  <si>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</si>
  <si>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</si>
  <si>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</si>
  <si>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</si>
  <si>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</si>
  <si>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</si>
  <si>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</si>
  <si>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</si>
  <si>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</si>
  <si>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</si>
  <si>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</si>
  <si>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</si>
  <si>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</si>
  <si>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</si>
  <si>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</si>
  <si>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</si>
  <si>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</si>
  <si>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</si>
  <si>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</si>
  <si>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</si>
  <si>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</si>
  <si>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</si>
  <si>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</si>
  <si>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</si>
  <si>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</si>
  <si>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</si>
  <si>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</si>
  <si>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</si>
  <si>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</si>
  <si>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</si>
  <si>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</si>
  <si>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</si>
  <si>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</si>
  <si>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</si>
  <si>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</si>
  <si>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</si>
  <si>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</si>
  <si>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</si>
  <si>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</si>
  <si>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</si>
  <si>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</si>
  <si>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</si>
  <si>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</si>
  <si>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</si>
  <si>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</si>
  <si>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</si>
  <si>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</si>
  <si>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</si>
  <si>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</si>
  <si>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</si>
  <si>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</si>
  <si>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</si>
  <si>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</si>
  <si>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</si>
  <si>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</si>
  <si>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</si>
  <si>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</si>
  <si>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</si>
  <si>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</si>
  <si>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</si>
  <si>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</si>
  <si>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</si>
  <si>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</si>
  <si>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</si>
  <si>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</si>
  <si>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</si>
  <si>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</si>
  <si>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</si>
  <si>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</si>
  <si>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</si>
  <si>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</si>
  <si>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</si>
  <si>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</si>
  <si>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</si>
  <si>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</si>
  <si>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</si>
  <si>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</si>
  <si>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</si>
  <si>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</si>
  <si>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</si>
  <si>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</si>
  <si>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</si>
  <si>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</si>
  <si>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</si>
  <si>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</si>
  <si>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</si>
  <si>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</si>
  <si>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</si>
  <si>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</si>
  <si>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</si>
  <si>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</si>
  <si>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</si>
  <si>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</si>
  <si>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</si>
  <si>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</si>
  <si>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</si>
  <si>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</si>
  <si>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</si>
  <si>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</si>
  <si>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</si>
  <si>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</si>
  <si>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</si>
  <si>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</si>
  <si>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</si>
  <si>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</si>
  <si>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</si>
  <si>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</si>
  <si>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</si>
  <si>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</si>
  <si>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</si>
  <si>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</si>
  <si>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</si>
  <si>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</si>
  <si>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</si>
  <si>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</si>
  <si>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</si>
  <si>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</si>
  <si>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</si>
  <si>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</si>
  <si>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</si>
  <si>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</si>
  <si>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</si>
  <si>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</si>
  <si>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</si>
  <si>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</si>
  <si>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</si>
  <si>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</si>
  <si>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</si>
  <si>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</si>
  <si>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</si>
  <si>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</si>
  <si>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</si>
  <si>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</si>
  <si>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</si>
  <si>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</si>
  <si>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</si>
  <si>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</si>
  <si>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</si>
  <si>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</si>
  <si>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</si>
  <si>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</si>
  <si>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</si>
  <si>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</si>
  <si>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</si>
  <si>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</si>
  <si>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</si>
  <si>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</si>
  <si>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</si>
  <si>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</si>
  <si>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</si>
  <si>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</si>
  <si>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</si>
  <si>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</si>
  <si>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</si>
  <si>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</si>
  <si>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</si>
  <si>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</si>
  <si>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</si>
  <si>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</si>
  <si>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</si>
  <si>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</si>
  <si>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</si>
  <si>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</si>
  <si>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</si>
  <si>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</si>
  <si>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</si>
  <si>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</si>
  <si>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</si>
  <si>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</si>
  <si>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</si>
  <si>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</si>
  <si>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</si>
  <si>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</si>
  <si>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</si>
  <si>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</si>
  <si>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</si>
  <si>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</si>
  <si>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</si>
  <si>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</si>
  <si>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</si>
  <si>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</si>
  <si>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</si>
  <si>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</si>
  <si>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</si>
  <si>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</si>
  <si>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</si>
  <si>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</si>
  <si>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</si>
  <si>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</si>
  <si>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</si>
  <si>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</si>
  <si>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</si>
  <si>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</si>
  <si>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</si>
  <si>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</si>
  <si>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</si>
  <si>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</si>
  <si>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</si>
  <si>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</si>
  <si>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</si>
  <si>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</si>
  <si>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</si>
  <si>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</si>
  <si>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</si>
  <si>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</si>
  <si>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</si>
  <si>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</si>
  <si>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</si>
  <si>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</si>
  <si>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</si>
  <si>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</si>
  <si>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</si>
  <si>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</si>
  <si>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</si>
  <si>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</si>
  <si>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</si>
  <si>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</si>
  <si>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</si>
  <si>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</si>
  <si>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</si>
  <si>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</si>
  <si>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</si>
  <si>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</si>
  <si>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</si>
  <si>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</si>
  <si>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</si>
  <si>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</si>
  <si>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</si>
  <si>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</si>
  <si>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</si>
  <si>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</si>
  <si>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</si>
  <si>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</si>
  <si>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</si>
  <si>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</si>
  <si>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</si>
  <si>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</si>
  <si>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</si>
  <si>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</si>
  <si>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</si>
  <si>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</si>
  <si>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</si>
  <si>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</si>
  <si>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</si>
  <si>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</si>
  <si>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</si>
  <si>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</si>
  <si>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</si>
  <si>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</si>
  <si>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</si>
  <si>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</si>
  <si>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</si>
  <si>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</si>
  <si>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</si>
  <si>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</si>
  <si>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</si>
  <si>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</si>
  <si>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</si>
  <si>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</si>
  <si>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</si>
  <si>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</si>
  <si>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</si>
  <si>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</si>
  <si>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</si>
  <si>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</si>
  <si>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</si>
  <si>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</si>
  <si>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</si>
  <si>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</si>
  <si>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</si>
  <si>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</si>
  <si>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</si>
  <si>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</si>
  <si>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</si>
  <si>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</si>
  <si>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</si>
  <si>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</si>
  <si>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</si>
  <si>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</si>
  <si>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</si>
  <si>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</si>
  <si>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</si>
  <si>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</si>
  <si>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</si>
  <si>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</si>
  <si>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</si>
  <si>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</si>
  <si>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</si>
  <si>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</si>
  <si>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</si>
  <si>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</si>
  <si>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</si>
  <si>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</si>
  <si>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</si>
  <si>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</si>
  <si>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</si>
  <si>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</si>
  <si>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</si>
  <si>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</si>
  <si>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</si>
  <si>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</si>
  <si>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</si>
  <si>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</si>
  <si>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</si>
  <si>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</si>
  <si>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</si>
  <si>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</si>
  <si>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</si>
  <si>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</si>
  <si>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</si>
  <si>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</si>
  <si>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</si>
  <si>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</si>
  <si>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</si>
  <si>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</si>
  <si>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</si>
  <si>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</si>
  <si>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</si>
  <si>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</si>
  <si>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</si>
  <si>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</si>
  <si>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</si>
  <si>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</si>
  <si>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</si>
  <si>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</si>
  <si>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</si>
  <si>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</si>
  <si>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</si>
  <si>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</si>
  <si>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</si>
  <si>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</si>
  <si>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</si>
  <si>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</si>
  <si>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</si>
  <si>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</si>
  <si>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</si>
  <si>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</si>
  <si>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</si>
  <si>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</si>
  <si>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</si>
  <si>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</si>
  <si>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</si>
  <si>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</si>
  <si>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</si>
  <si>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</si>
  <si>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</si>
  <si>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</si>
  <si>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</si>
  <si>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</si>
  <si>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</si>
  <si>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</si>
  <si>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</si>
  <si>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</si>
  <si>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</si>
  <si>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</si>
  <si>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</si>
  <si>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</si>
  <si>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</si>
  <si>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</si>
  <si>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</si>
  <si>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</si>
  <si>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</si>
  <si>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</si>
  <si>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</si>
  <si>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</si>
  <si>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</si>
  <si>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</si>
  <si>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</si>
  <si>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</si>
  <si>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</si>
  <si>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</si>
  <si>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</si>
  <si>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</si>
  <si>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</si>
  <si>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</si>
  <si>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</si>
  <si>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</si>
  <si>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</si>
  <si>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</si>
  <si>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</si>
  <si>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</si>
  <si>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</si>
  <si>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</si>
  <si>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</si>
  <si>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</si>
  <si>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</si>
  <si>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</si>
  <si>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</si>
  <si>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</si>
  <si>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</si>
  <si>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</si>
  <si>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</si>
  <si>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</si>
  <si>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</si>
  <si>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</si>
  <si>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</si>
  <si>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</si>
  <si>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</si>
  <si>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</si>
  <si>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</si>
  <si>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</si>
  <si>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</si>
  <si>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</si>
  <si>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</si>
  <si>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</si>
  <si>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</si>
  <si>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</si>
  <si>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</si>
  <si>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</si>
  <si>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</si>
  <si>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</si>
  <si>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</si>
  <si>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</si>
  <si>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</si>
  <si>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</si>
  <si>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</si>
  <si>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</si>
  <si>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</si>
  <si>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</si>
  <si>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</si>
  <si>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</si>
  <si>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</si>
  <si>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</si>
  <si>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</si>
  <si>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</si>
  <si>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</si>
  <si>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</si>
  <si>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</si>
  <si>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</si>
  <si>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</si>
  <si>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</si>
  <si>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</si>
  <si>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</si>
  <si>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</si>
  <si>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</si>
  <si>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</si>
  <si>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</si>
  <si>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</si>
  <si>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</si>
  <si>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</si>
  <si>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</si>
  <si>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</si>
  <si>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</si>
  <si>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</si>
  <si>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</si>
  <si>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</si>
  <si>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</si>
  <si>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</si>
  <si>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</si>
  <si>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</si>
  <si>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</si>
  <si>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</si>
  <si>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</si>
  <si>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</si>
  <si>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</si>
  <si>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</si>
  <si>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</si>
  <si>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</si>
  <si>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</si>
  <si>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</si>
  <si>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</si>
  <si>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</si>
  <si>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</si>
  <si>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</si>
  <si>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</si>
  <si>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</si>
  <si>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</si>
  <si>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</si>
  <si>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</si>
  <si>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</si>
  <si>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</si>
  <si>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</si>
  <si>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</si>
  <si>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</si>
  <si>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</si>
  <si>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</si>
  <si>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</si>
  <si>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</si>
  <si>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</si>
  <si>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</si>
  <si>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</si>
  <si>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</si>
  <si>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</si>
  <si>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</si>
  <si>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</si>
  <si>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</si>
  <si>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</si>
  <si>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</si>
  <si>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</si>
  <si>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</si>
  <si>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</si>
  <si>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</si>
  <si>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</si>
  <si>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</si>
  <si>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</si>
  <si>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</si>
  <si>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</si>
  <si>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</si>
  <si>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</si>
  <si>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</si>
  <si>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</si>
  <si>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</si>
  <si>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</si>
  <si>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</si>
  <si>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</si>
  <si>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</si>
  <si>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</si>
  <si>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</si>
  <si>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</si>
  <si>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</si>
  <si>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</si>
  <si>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</si>
  <si>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</si>
  <si>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</si>
  <si>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</si>
  <si>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</si>
  <si>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</si>
  <si>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</si>
  <si>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</si>
  <si>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</si>
  <si>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</si>
  <si>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</si>
  <si>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</si>
  <si>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</si>
  <si>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</si>
  <si>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</si>
  <si>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</si>
  <si>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</si>
  <si>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</si>
  <si>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</si>
  <si>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</si>
  <si>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</si>
  <si>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</si>
  <si>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</si>
  <si>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</si>
  <si>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</si>
  <si>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</si>
  <si>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</si>
  <si>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</si>
  <si>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</si>
  <si>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</si>
  <si>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</si>
  <si>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</si>
  <si>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</si>
  <si>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</si>
  <si>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</si>
  <si>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</si>
  <si>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</si>
  <si>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</si>
  <si>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</si>
  <si>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</si>
  <si>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</si>
  <si>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</si>
  <si>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</si>
  <si>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</si>
  <si>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</si>
  <si>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</si>
  <si>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</si>
  <si>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</si>
  <si>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</si>
  <si>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</si>
  <si>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</si>
  <si>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</si>
  <si>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</si>
  <si>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</si>
  <si>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</si>
  <si>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</si>
  <si>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</si>
  <si>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</si>
  <si>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</si>
  <si>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</si>
  <si>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</si>
  <si>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</si>
  <si>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</si>
  <si>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</si>
  <si>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</si>
  <si>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</si>
  <si>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</si>
  <si>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</si>
  <si>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</si>
  <si>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</si>
  <si>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</si>
  <si>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</si>
  <si>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</si>
  <si>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</si>
  <si>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</si>
  <si>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</si>
  <si>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</si>
  <si>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</si>
  <si>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</si>
  <si>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</si>
  <si>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</si>
  <si>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</si>
  <si>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</si>
  <si>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</si>
  <si>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</si>
  <si>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</si>
  <si>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</si>
  <si>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</si>
  <si>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</si>
  <si>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</si>
  <si>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</si>
  <si>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</si>
  <si>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</si>
  <si>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</si>
  <si>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</si>
  <si>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</si>
  <si>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</si>
  <si>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</si>
  <si>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</si>
  <si>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</si>
  <si>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</si>
  <si>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</si>
  <si>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</si>
  <si>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</si>
  <si>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</si>
  <si>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</si>
  <si>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</si>
  <si>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</si>
  <si>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</si>
  <si>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</si>
  <si>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</si>
  <si>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</si>
  <si>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</si>
  <si>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</si>
  <si>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</si>
  <si>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</si>
  <si>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</si>
  <si>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</si>
  <si>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</si>
  <si>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</si>
  <si>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</si>
  <si>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</si>
  <si>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</si>
  <si>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</si>
  <si>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</si>
  <si>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</si>
  <si>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</si>
  <si>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</si>
  <si>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</si>
  <si>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</si>
  <si>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</si>
  <si>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</si>
  <si>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</si>
  <si>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</si>
  <si>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</si>
  <si>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</si>
  <si>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</si>
  <si>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</si>
  <si>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</si>
  <si>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</si>
  <si>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</si>
  <si>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</si>
  <si>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</si>
  <si>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</si>
  <si>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</si>
  <si>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</si>
  <si>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</si>
  <si>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</si>
  <si>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</si>
  <si>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</si>
  <si>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</si>
  <si>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</si>
  <si>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</si>
  <si>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</si>
  <si>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</si>
  <si>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</si>
  <si>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</si>
  <si>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</si>
  <si>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</si>
  <si>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</si>
  <si>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</si>
  <si>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</si>
  <si>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</si>
  <si>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</si>
  <si>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</si>
  <si>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</si>
  <si>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</si>
  <si>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</si>
  <si>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</si>
  <si>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</si>
  <si>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</si>
  <si>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</si>
  <si>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</si>
  <si>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</si>
  <si>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</si>
  <si>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</si>
  <si>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</si>
  <si>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</si>
  <si>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</si>
  <si>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</si>
  <si>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</si>
  <si>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</si>
  <si>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</si>
  <si>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</si>
  <si>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</si>
  <si>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</si>
  <si>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</si>
  <si>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</si>
  <si>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</si>
  <si>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</si>
  <si>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</si>
  <si>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</si>
  <si>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</si>
  <si>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</si>
  <si>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</si>
  <si>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</si>
  <si>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</si>
  <si>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</si>
  <si>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</si>
  <si>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</si>
  <si>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</si>
  <si>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</si>
  <si>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</si>
  <si>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</si>
  <si>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</si>
  <si>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</si>
  <si>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</si>
  <si>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</si>
  <si>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</si>
  <si>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</si>
  <si>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</si>
  <si>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</si>
  <si>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</si>
  <si>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</si>
  <si>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</si>
  <si>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</si>
  <si>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</si>
  <si>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</si>
  <si>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</si>
  <si>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</si>
  <si>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</si>
  <si>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</si>
  <si>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</si>
  <si>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</si>
  <si>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</si>
  <si>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</si>
  <si>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</si>
  <si>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</si>
  <si>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</si>
  <si>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</si>
  <si>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</si>
  <si>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</si>
  <si>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</si>
  <si>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</si>
  <si>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</si>
  <si>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</si>
  <si>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</si>
  <si>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</si>
  <si>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</si>
  <si>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</si>
  <si>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</si>
  <si>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</si>
  <si>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</si>
  <si>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</si>
  <si>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</si>
  <si>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</si>
  <si>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</si>
  <si>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</si>
  <si>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</si>
  <si>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</si>
  <si>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</si>
  <si>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</si>
  <si>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</si>
  <si>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</si>
  <si>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</si>
  <si>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</si>
  <si>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</si>
  <si>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</si>
  <si>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</si>
  <si>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</si>
  <si>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</si>
  <si>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</si>
  <si>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</si>
  <si>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</si>
  <si>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</si>
  <si>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</si>
  <si>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</si>
  <si>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</si>
  <si>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</si>
  <si>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</si>
  <si>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</si>
  <si>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</si>
  <si>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</si>
  <si>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</si>
  <si>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</si>
  <si>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</si>
  <si>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</si>
  <si>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</si>
  <si>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</si>
  <si>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</si>
  <si>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</si>
  <si>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</si>
  <si>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</si>
  <si>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</si>
  <si>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</si>
  <si>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</si>
  <si>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</si>
  <si>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</si>
  <si>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</si>
  <si>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</si>
  <si>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</si>
  <si>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</si>
  <si>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</si>
  <si>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</si>
  <si>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</si>
  <si>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</si>
  <si>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</si>
  <si>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</si>
  <si>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</si>
  <si>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</si>
  <si>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</si>
  <si>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</si>
  <si>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</si>
  <si>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</si>
  <si>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</si>
  <si>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</si>
  <si>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</si>
  <si>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</si>
  <si>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</si>
  <si>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</si>
  <si>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</si>
  <si>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</si>
  <si>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</si>
  <si>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</si>
  <si>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</si>
  <si>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</si>
  <si>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</si>
  <si>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</si>
  <si>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</si>
  <si>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</si>
  <si>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</si>
  <si>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</si>
  <si>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</si>
  <si>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</si>
  <si>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</si>
  <si>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</si>
  <si>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</si>
  <si>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</si>
  <si>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</si>
  <si>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</si>
  <si>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</si>
  <si>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</si>
  <si>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</si>
  <si>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</si>
  <si>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</si>
  <si>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</si>
  <si>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</si>
  <si>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</si>
  <si>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</si>
  <si>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</si>
  <si>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</si>
  <si>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</si>
  <si>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</si>
  <si>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</si>
  <si>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</si>
  <si>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</si>
  <si>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</si>
  <si>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</si>
  <si>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</si>
  <si>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</si>
  <si>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</si>
  <si>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</si>
  <si>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</si>
  <si>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</si>
  <si>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</si>
  <si>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</si>
  <si>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</si>
  <si>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</si>
  <si>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</si>
  <si>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</si>
  <si>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</si>
  <si>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</si>
  <si>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</si>
  <si>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</si>
  <si>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</si>
  <si>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</si>
  <si>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</si>
  <si>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</si>
  <si>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</si>
  <si>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</si>
  <si>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</si>
  <si>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</si>
  <si>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</si>
  <si>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</si>
  <si>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</si>
  <si>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</si>
  <si>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</si>
  <si>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</si>
  <si>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</si>
  <si>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</si>
  <si>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</si>
  <si>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</si>
  <si>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</si>
  <si>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</si>
  <si>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</si>
  <si>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</si>
  <si>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</si>
  <si>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</si>
  <si>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</si>
  <si>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</si>
  <si>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</si>
  <si>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</si>
  <si>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</si>
  <si>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</si>
  <si>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</si>
  <si>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</si>
  <si>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</si>
  <si>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</si>
  <si>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</si>
  <si>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</si>
  <si>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</si>
  <si>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</si>
  <si>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</si>
  <si>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</si>
  <si>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</si>
  <si>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</si>
  <si>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</si>
  <si>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</si>
  <si>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</si>
  <si>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</si>
  <si>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</si>
  <si>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</si>
  <si>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</si>
  <si>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</si>
  <si>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</si>
  <si>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</si>
  <si>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</si>
  <si>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</si>
  <si>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</si>
  <si>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</si>
  <si>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</si>
  <si>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</si>
  <si>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</si>
  <si>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</si>
  <si>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</si>
  <si>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</si>
  <si>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</si>
  <si>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</si>
  <si>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</si>
  <si>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</si>
  <si>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</si>
  <si>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</si>
  <si>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</si>
  <si>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</si>
  <si>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</si>
  <si>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</si>
  <si>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</si>
  <si>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</si>
  <si>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</si>
  <si>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</si>
  <si>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</si>
  <si>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</si>
  <si>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</si>
  <si>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</si>
  <si>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</si>
  <si>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</si>
  <si>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</si>
  <si>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</si>
  <si>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</si>
  <si>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</si>
  <si>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</si>
  <si>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</si>
  <si>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</si>
  <si>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</si>
  <si>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</si>
  <si>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</si>
  <si>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</si>
  <si>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</si>
  <si>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</si>
  <si>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</si>
  <si>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</si>
  <si>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</si>
  <si>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</si>
  <si>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</si>
  <si>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</si>
  <si>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</si>
  <si>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</si>
  <si>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</si>
  <si>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</si>
  <si>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</si>
  <si>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</si>
  <si>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</si>
  <si>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</si>
  <si>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</si>
  <si>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</si>
  <si>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</si>
  <si>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</si>
  <si>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</si>
  <si>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</si>
  <si>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</si>
  <si>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</si>
  <si>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</si>
  <si>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</si>
  <si>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</si>
  <si>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</si>
  <si>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</si>
  <si>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</si>
  <si>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</si>
  <si>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</si>
  <si>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</si>
  <si>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</si>
  <si>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</si>
  <si>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</si>
  <si>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</si>
  <si>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</si>
  <si>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</si>
  <si>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</si>
  <si>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</si>
  <si>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</si>
  <si>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</si>
  <si>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</si>
  <si>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</si>
  <si>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</si>
  <si>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</si>
  <si>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</si>
  <si>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</si>
  <si>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</si>
  <si>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</si>
  <si>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</si>
  <si>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</si>
  <si>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</si>
  <si>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</si>
  <si>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</si>
  <si>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</si>
  <si>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</si>
  <si>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</si>
  <si>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</si>
  <si>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</si>
  <si>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</si>
  <si>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</si>
  <si>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</si>
  <si>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</si>
  <si>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</si>
  <si>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</si>
  <si>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</si>
  <si>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</si>
  <si>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</si>
  <si>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</si>
  <si>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</si>
  <si>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</si>
  <si>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</si>
  <si>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</si>
  <si>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</si>
  <si>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</si>
  <si>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</si>
  <si>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</si>
  <si>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</si>
  <si>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</si>
  <si>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</si>
  <si>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</si>
  <si>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</si>
  <si>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</si>
  <si>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</si>
  <si>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</si>
  <si>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</si>
  <si>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</si>
  <si>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</si>
  <si>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</si>
  <si>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</si>
  <si>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</si>
  <si>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</si>
  <si>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</si>
  <si>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</si>
  <si>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</si>
  <si>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</si>
  <si>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</si>
  <si>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</si>
  <si>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</si>
  <si>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</si>
  <si>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</si>
  <si>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</si>
  <si>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</si>
  <si>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</si>
  <si>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</si>
  <si>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</si>
  <si>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</si>
  <si>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</si>
  <si>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</si>
  <si>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</si>
  <si>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</si>
  <si>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</si>
  <si>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</si>
  <si>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</si>
  <si>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</si>
  <si>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</si>
  <si>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</si>
  <si>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</si>
  <si>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</si>
  <si>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</si>
  <si>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</si>
  <si>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</si>
  <si>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</si>
  <si>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</si>
  <si>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</si>
  <si>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</si>
  <si>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</si>
  <si>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</si>
  <si>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</si>
  <si>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</si>
  <si>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</si>
  <si>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</si>
  <si>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</si>
  <si>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</si>
  <si>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</si>
  <si>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</si>
  <si>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</si>
  <si>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</si>
  <si>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</si>
  <si>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</si>
  <si>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</si>
  <si>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</si>
  <si>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</si>
  <si>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</si>
  <si>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</si>
  <si>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</si>
  <si>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</si>
  <si>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</si>
  <si>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</si>
  <si>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</si>
  <si>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</si>
  <si>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</si>
  <si>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</si>
  <si>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</si>
  <si>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</si>
  <si>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</si>
  <si>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</si>
  <si>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</si>
  <si>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</si>
  <si>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</si>
  <si>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</si>
  <si>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</si>
  <si>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</si>
  <si>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</si>
  <si>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</si>
  <si>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</si>
  <si>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</si>
  <si>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</si>
  <si>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</si>
  <si>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</si>
  <si>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</si>
  <si>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</si>
  <si>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</si>
  <si>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</si>
  <si>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</si>
  <si>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</si>
  <si>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</si>
  <si>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</si>
  <si>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</si>
  <si>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</si>
  <si>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</si>
  <si>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</si>
  <si>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</si>
  <si>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</si>
  <si>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</si>
  <si>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</si>
  <si>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</si>
  <si>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</si>
  <si>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</si>
  <si>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</si>
  <si>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</si>
  <si>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</si>
  <si>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</si>
  <si>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</si>
  <si>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</si>
  <si>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</si>
  <si>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</si>
  <si>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</si>
  <si>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</si>
  <si>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</si>
  <si>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</si>
  <si>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</si>
  <si>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</si>
  <si>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</si>
  <si>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</si>
  <si>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</si>
  <si>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</si>
  <si>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</si>
  <si>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</si>
  <si>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</si>
  <si>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</si>
  <si>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</si>
  <si>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</si>
  <si>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</si>
  <si>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</si>
  <si>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</si>
  <si>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</si>
  <si>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</si>
  <si>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</si>
  <si>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</si>
  <si>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</si>
  <si>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</si>
  <si>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</si>
  <si>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</si>
  <si>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</si>
  <si>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</si>
  <si>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</si>
  <si>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</si>
  <si>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</si>
  <si>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</si>
  <si>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</si>
  <si>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</si>
  <si>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</si>
  <si>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</si>
  <si>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</si>
  <si>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</si>
  <si>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</si>
  <si>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</si>
  <si>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</si>
  <si>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</si>
  <si>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</si>
  <si>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</si>
  <si>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</si>
  <si>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</si>
  <si>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</si>
  <si>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</si>
  <si>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</si>
  <si>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</si>
  <si>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</si>
  <si>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</si>
  <si>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</si>
  <si>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</si>
  <si>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</si>
  <si>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</si>
  <si>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</si>
  <si>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</si>
  <si>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</si>
  <si>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</si>
  <si>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</si>
  <si>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</si>
  <si>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</si>
  <si>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</si>
  <si>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</si>
  <si>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</si>
  <si>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</si>
  <si>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</si>
  <si>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</si>
  <si>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</si>
  <si>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</si>
  <si>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</si>
  <si>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</si>
  <si>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</si>
  <si>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</si>
  <si>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</si>
  <si>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</si>
  <si>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</si>
  <si>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</si>
  <si>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</si>
  <si>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</si>
  <si>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</si>
  <si>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</si>
  <si>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</si>
  <si>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</si>
  <si>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</si>
  <si>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</si>
  <si>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</si>
  <si>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</si>
  <si>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</si>
  <si>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</si>
  <si>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</si>
  <si>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</si>
  <si>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</si>
  <si>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</si>
  <si>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</si>
  <si>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</si>
  <si>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</si>
  <si>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</si>
  <si>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</si>
  <si>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</si>
  <si>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</si>
  <si>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</si>
  <si>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</si>
  <si>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</si>
  <si>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</si>
  <si>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</si>
  <si>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</si>
  <si>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</si>
  <si>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</si>
  <si>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</si>
  <si>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</si>
  <si>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</si>
  <si>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</si>
  <si>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</si>
  <si>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</si>
  <si>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</si>
  <si>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</si>
  <si>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</si>
  <si>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</si>
  <si>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</si>
  <si>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</si>
  <si>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</si>
  <si>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</si>
  <si>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</si>
  <si>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</si>
  <si>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</si>
  <si>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</si>
  <si>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</si>
  <si>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</si>
  <si>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</si>
  <si>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</si>
  <si>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</si>
  <si>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</si>
  <si>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</si>
  <si>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</si>
  <si>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</si>
  <si>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</si>
  <si>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</si>
  <si>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</si>
  <si>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</si>
  <si>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</si>
  <si>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</si>
  <si>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</si>
  <si>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</si>
  <si>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</si>
  <si>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</si>
  <si>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</si>
  <si>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</si>
  <si>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</si>
  <si>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</si>
  <si>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</si>
  <si>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</si>
  <si>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</si>
  <si>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</si>
  <si>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</si>
  <si>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</si>
  <si>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</si>
  <si>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</si>
  <si>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</si>
  <si>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</si>
  <si>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</si>
  <si>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</si>
  <si>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</si>
  <si>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</si>
  <si>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</si>
  <si>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</si>
  <si>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</si>
  <si>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</si>
  <si>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</si>
  <si>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</si>
  <si>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</si>
  <si>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</si>
  <si>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</si>
  <si>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</si>
  <si>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</si>
  <si>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</si>
  <si>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</si>
  <si>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</si>
  <si>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</si>
  <si>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</si>
  <si>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</si>
  <si>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</si>
  <si>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</si>
  <si>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</si>
  <si>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</si>
  <si>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</si>
  <si>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</si>
  <si>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</si>
  <si>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</si>
  <si>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</si>
  <si>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</si>
  <si>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</si>
  <si>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</si>
  <si>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</si>
  <si>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</si>
  <si>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</si>
  <si>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</si>
  <si>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</si>
  <si>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</si>
  <si>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</si>
  <si>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</si>
  <si>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</si>
  <si>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</si>
  <si>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</si>
  <si>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</si>
  <si>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</si>
  <si>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</si>
  <si>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</si>
  <si>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</si>
  <si>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</si>
  <si>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</si>
  <si>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</si>
  <si>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</si>
  <si>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</si>
  <si>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</si>
  <si>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</si>
  <si>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</si>
  <si>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</si>
  <si>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</si>
  <si>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</si>
  <si>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</si>
  <si>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</si>
  <si>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</si>
  <si>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</si>
  <si>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</si>
  <si>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</si>
  <si>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</si>
  <si>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</si>
  <si>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</si>
  <si>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</si>
  <si>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</si>
  <si>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</si>
  <si>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</si>
  <si>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</si>
  <si>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</si>
  <si>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</si>
  <si>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</si>
  <si>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</si>
  <si>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</si>
  <si>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</si>
  <si>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</si>
  <si>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</si>
  <si>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</si>
  <si>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</si>
  <si>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</si>
  <si>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</si>
  <si>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</si>
  <si>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</si>
  <si>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</si>
  <si>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</si>
  <si>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</si>
  <si>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</si>
  <si>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</si>
  <si>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</si>
  <si>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</si>
  <si>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</si>
  <si>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</si>
  <si>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</si>
  <si>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</si>
  <si>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</si>
  <si>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</si>
  <si>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</si>
  <si>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</si>
  <si>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</si>
  <si>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</si>
  <si>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</si>
  <si>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</si>
  <si>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</si>
  <si>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</si>
  <si>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</si>
  <si>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</si>
  <si>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</si>
  <si>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</si>
  <si>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</si>
  <si>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</si>
  <si>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</si>
  <si>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</si>
  <si>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</si>
  <si>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</si>
  <si>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</si>
  <si>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</si>
  <si>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</si>
  <si>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</si>
  <si>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</si>
  <si>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</si>
  <si>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</si>
  <si>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</si>
  <si>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</si>
  <si>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</si>
  <si>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</si>
  <si>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</si>
  <si>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</si>
  <si>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</si>
  <si>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</si>
  <si>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</si>
  <si>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</si>
  <si>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</si>
  <si>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</si>
  <si>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</si>
  <si>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</si>
  <si>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</si>
  <si>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</si>
  <si>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</si>
  <si>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</si>
  <si>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</si>
  <si>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</si>
  <si>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</si>
  <si>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</si>
  <si>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</si>
  <si>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</si>
  <si>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</si>
  <si>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</si>
  <si>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</si>
  <si>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</si>
  <si>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</si>
  <si>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</si>
  <si>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</si>
  <si>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</si>
  <si>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</si>
  <si>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</si>
  <si>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</si>
  <si>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</si>
  <si>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</si>
  <si>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</si>
  <si>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</si>
  <si>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</si>
  <si>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</si>
  <si>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</si>
  <si>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</si>
  <si>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</si>
  <si>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</si>
  <si>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</si>
  <si>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</si>
  <si>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</si>
  <si>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</si>
  <si>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</si>
  <si>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</si>
  <si>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</si>
  <si>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</si>
  <si>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</si>
  <si>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</si>
  <si>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</si>
  <si>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</si>
  <si>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</si>
  <si>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</si>
  <si>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</si>
  <si>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</si>
  <si>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</si>
  <si>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</si>
  <si>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</si>
  <si>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</si>
  <si>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</si>
  <si>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</si>
  <si>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</si>
  <si>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</si>
  <si>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</si>
  <si>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</si>
  <si>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</si>
  <si>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</si>
  <si>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</si>
  <si>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</si>
  <si>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</si>
  <si>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</si>
  <si>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</si>
  <si>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</si>
  <si>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</si>
  <si>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</si>
  <si>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</si>
  <si>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</si>
  <si>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</si>
  <si>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</si>
  <si>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</si>
  <si>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</si>
  <si>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</si>
  <si>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</si>
  <si>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</si>
  <si>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</si>
  <si>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</si>
  <si>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</si>
  <si>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</si>
  <si>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</si>
  <si>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</si>
  <si>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</si>
  <si>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</si>
  <si>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</si>
  <si>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</si>
  <si>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</si>
  <si>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</si>
  <si>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</si>
  <si>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</si>
  <si>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</si>
  <si>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</si>
  <si>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</si>
  <si>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</si>
  <si>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</si>
  <si>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</si>
  <si>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</si>
  <si>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</si>
  <si>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</si>
  <si>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</si>
  <si>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</si>
  <si>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</si>
  <si>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</si>
  <si>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</si>
  <si>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</si>
  <si>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</si>
  <si>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</si>
  <si>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</si>
  <si>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</si>
  <si>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</si>
  <si>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</si>
  <si>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</si>
  <si>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</si>
  <si>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</si>
  <si>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</si>
  <si>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</si>
  <si>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</si>
  <si>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</si>
  <si>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</si>
  <si>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</si>
  <si>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</si>
  <si>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</si>
  <si>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</si>
  <si>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</si>
  <si>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</si>
  <si>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</si>
  <si>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</si>
  <si>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</si>
  <si>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</si>
  <si>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</si>
  <si>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</si>
  <si>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</si>
  <si>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</si>
  <si>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</si>
  <si>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</si>
  <si>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</si>
  <si>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</si>
  <si>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</si>
  <si>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</si>
  <si>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</si>
  <si>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</si>
  <si>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</si>
  <si>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</si>
  <si>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</si>
  <si>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</si>
  <si>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</si>
  <si>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</si>
  <si>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</si>
  <si>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</si>
  <si>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</si>
  <si>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</si>
  <si>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</si>
  <si>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</si>
  <si>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</si>
  <si>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</si>
  <si>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</si>
  <si>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</si>
  <si>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</si>
  <si>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</si>
  <si>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</si>
  <si>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</si>
  <si>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</si>
  <si>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</si>
  <si>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</si>
  <si>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</si>
  <si>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</si>
  <si>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</si>
  <si>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</si>
  <si>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</si>
  <si>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</si>
  <si>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</si>
  <si>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</si>
  <si>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</si>
  <si>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</si>
  <si>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</si>
  <si>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</si>
  <si>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</si>
  <si>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</si>
  <si>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</si>
  <si>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</si>
  <si>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</si>
  <si>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</si>
  <si>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</si>
  <si>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</si>
  <si>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</si>
  <si>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</si>
  <si>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</si>
  <si>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</si>
  <si>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</si>
  <si>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</si>
  <si>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</si>
  <si>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</si>
  <si>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</si>
  <si>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</si>
  <si>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</si>
  <si>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</si>
  <si>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</si>
  <si>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</si>
  <si>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</si>
  <si>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</si>
  <si>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</si>
  <si>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</si>
  <si>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</si>
  <si>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</si>
  <si>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</si>
  <si>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</si>
  <si>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</si>
  <si>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</si>
  <si>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</si>
  <si>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</si>
  <si>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</si>
  <si>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</si>
  <si>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</si>
  <si>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</si>
  <si>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</si>
  <si>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</si>
  <si>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</si>
  <si>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</si>
  <si>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</si>
  <si>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</si>
  <si>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</si>
  <si>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</si>
  <si>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</si>
  <si>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</si>
  <si>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</si>
  <si>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</si>
  <si>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</si>
  <si>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</si>
  <si>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</si>
  <si>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</si>
  <si>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</si>
  <si>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</si>
  <si>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</si>
  <si>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</si>
  <si>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</si>
  <si>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</si>
  <si>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</si>
  <si>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</si>
  <si>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</si>
  <si>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</si>
  <si>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</si>
  <si>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</si>
  <si>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</si>
  <si>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</si>
  <si>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</si>
  <si>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</si>
  <si>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</si>
  <si>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</si>
  <si>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</si>
  <si>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</si>
  <si>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</si>
  <si>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</si>
  <si>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</si>
  <si>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</si>
  <si>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</si>
  <si>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</si>
  <si>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</si>
  <si>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</si>
  <si>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</si>
  <si>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</si>
  <si>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</si>
  <si>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</si>
  <si>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</si>
  <si>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</si>
  <si>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</si>
  <si>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</si>
  <si>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</si>
  <si>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</si>
  <si>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</si>
  <si>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</si>
  <si>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</si>
  <si>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</si>
  <si>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</si>
  <si>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</si>
  <si>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</si>
  <si>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</si>
  <si>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</si>
  <si>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</si>
  <si>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</si>
  <si>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</si>
  <si>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</si>
  <si>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</si>
  <si>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</si>
  <si>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</si>
  <si>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</si>
  <si>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</si>
  <si>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</si>
  <si>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</si>
  <si>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</si>
  <si>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</si>
  <si>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</si>
  <si>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</si>
  <si>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</si>
  <si>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</si>
  <si>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</si>
  <si>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</si>
  <si>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</si>
  <si>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</si>
  <si>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</si>
  <si>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</si>
  <si>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</si>
  <si>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</si>
  <si>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</si>
  <si>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</si>
  <si>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</si>
  <si>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</si>
  <si>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</si>
  <si>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</si>
  <si>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</si>
  <si>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</si>
  <si>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</si>
  <si>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</si>
  <si>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</si>
  <si>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</si>
  <si>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</si>
  <si>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</si>
  <si>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</si>
  <si>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</si>
  <si>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</si>
  <si>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</si>
  <si>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</si>
  <si>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</si>
  <si>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</si>
  <si>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</si>
  <si>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</si>
  <si>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</si>
  <si>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</si>
  <si>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</si>
  <si>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</si>
  <si>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</si>
  <si>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</si>
  <si>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</si>
  <si>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</si>
  <si>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</si>
  <si>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</si>
  <si>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</si>
  <si>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</si>
  <si>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</si>
  <si>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</si>
  <si>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</si>
  <si>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</si>
  <si>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</si>
  <si>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</si>
  <si>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</si>
  <si>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</si>
  <si>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</si>
  <si>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</si>
  <si>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</si>
  <si>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</si>
  <si>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</si>
  <si>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</si>
  <si>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</si>
  <si>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</si>
  <si>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</si>
  <si>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</si>
  <si>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</si>
  <si>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</si>
  <si>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</si>
  <si>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</si>
  <si>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</si>
  <si>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</si>
  <si>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</si>
  <si>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</si>
  <si>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</si>
  <si>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</si>
  <si>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</si>
  <si>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</si>
  <si>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</si>
  <si>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</si>
  <si>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</si>
  <si>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</si>
  <si>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</si>
  <si>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</si>
  <si>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</si>
  <si>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</si>
  <si>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</si>
  <si>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</si>
  <si>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</si>
  <si>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</si>
  <si>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</si>
  <si>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</si>
  <si>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</si>
  <si>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</si>
  <si>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</si>
  <si>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</si>
  <si>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</si>
  <si>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</si>
  <si>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</si>
  <si>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</si>
  <si>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</si>
  <si>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</si>
  <si>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</si>
  <si>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</si>
  <si>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</si>
  <si>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</si>
  <si>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</si>
  <si>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</si>
  <si>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</si>
  <si>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</si>
  <si>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</si>
  <si>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</si>
  <si>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</si>
  <si>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</si>
  <si>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</si>
  <si>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</si>
  <si>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</si>
  <si>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</si>
  <si>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</si>
  <si>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</si>
  <si>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</si>
  <si>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</si>
  <si>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</si>
  <si>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</si>
  <si>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</si>
  <si>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</si>
  <si>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</si>
  <si>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</si>
  <si>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</si>
  <si>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</si>
  <si>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</si>
  <si>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</si>
  <si>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</si>
  <si>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</si>
  <si>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</si>
  <si>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</si>
  <si>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</si>
  <si>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</si>
  <si>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</si>
  <si>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</si>
  <si>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</si>
  <si>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</si>
  <si>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</si>
  <si>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</si>
  <si>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</si>
  <si>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</si>
  <si>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</si>
  <si>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</si>
  <si>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</si>
  <si>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</si>
  <si>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</si>
  <si>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</si>
  <si>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</si>
  <si>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</si>
  <si>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</si>
  <si>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</si>
  <si>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</si>
  <si>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</si>
  <si>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</si>
  <si>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</si>
  <si>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</si>
  <si>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</si>
  <si>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</si>
  <si>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</si>
  <si>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</si>
  <si>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</si>
  <si>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</si>
  <si>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</si>
  <si>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</si>
  <si>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</si>
  <si>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</si>
  <si>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</si>
  <si>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</si>
  <si>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</si>
  <si>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</si>
  <si>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</si>
  <si>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</si>
  <si>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</si>
  <si>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</si>
  <si>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</si>
  <si>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</si>
  <si>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</si>
  <si>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</si>
  <si>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</si>
  <si>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</si>
  <si>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</si>
  <si>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</si>
  <si>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</si>
  <si>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</si>
  <si>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</si>
  <si>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</si>
  <si>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</si>
  <si>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</si>
  <si>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</si>
  <si>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</si>
  <si>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</si>
  <si>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</si>
  <si>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</si>
  <si>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</si>
  <si>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</si>
  <si>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</si>
  <si>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</si>
  <si>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</si>
  <si>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</si>
  <si>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</si>
  <si>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</si>
  <si>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</si>
  <si>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</si>
  <si>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</si>
  <si>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</si>
  <si>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</si>
  <si>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</si>
  <si>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</si>
  <si>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</si>
  <si>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</si>
  <si>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</si>
  <si>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</si>
  <si>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</si>
  <si>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</si>
  <si>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</si>
  <si>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</si>
  <si>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</si>
  <si>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</si>
  <si>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</si>
  <si>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</si>
  <si>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</si>
  <si>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</si>
  <si>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</si>
  <si>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</si>
  <si>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</si>
  <si>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</si>
  <si>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</si>
  <si>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</si>
  <si>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</si>
  <si>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</si>
  <si>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</si>
  <si>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</si>
  <si>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</si>
  <si>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</si>
  <si>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</si>
  <si>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</si>
  <si>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</si>
  <si>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</si>
  <si>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</si>
  <si>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</si>
  <si>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</si>
  <si>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</si>
  <si>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</si>
  <si>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</si>
  <si>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</si>
  <si>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</si>
  <si>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</si>
  <si>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</si>
  <si>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</si>
  <si>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</si>
  <si>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</si>
  <si>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</si>
  <si>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</si>
  <si>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</si>
  <si>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</si>
  <si>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</si>
  <si>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</si>
  <si>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</si>
  <si>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</si>
  <si>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</si>
  <si>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</si>
  <si>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</si>
  <si>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</si>
  <si>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</si>
  <si>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</si>
  <si>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</si>
  <si>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</si>
  <si>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</si>
  <si>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</si>
  <si>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</si>
  <si>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</si>
  <si>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</si>
  <si>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</si>
  <si>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</si>
  <si>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</si>
  <si>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</si>
  <si>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</si>
  <si>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</si>
  <si>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</si>
  <si>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</si>
  <si>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</si>
  <si>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</si>
  <si>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</si>
  <si>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</si>
  <si>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</si>
  <si>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</si>
  <si>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</si>
  <si>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</si>
  <si>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</si>
  <si>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</si>
  <si>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</si>
  <si>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</si>
  <si>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</si>
  <si>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</si>
  <si>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</si>
  <si>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</si>
  <si>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</si>
  <si>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</si>
  <si>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</si>
  <si>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</si>
  <si>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</si>
  <si>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</si>
  <si>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</si>
  <si>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</si>
  <si>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</si>
  <si>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</si>
  <si>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</si>
  <si>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</si>
  <si>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</si>
  <si>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</si>
  <si>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</si>
  <si>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</si>
  <si>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</si>
  <si>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</si>
  <si>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</si>
  <si>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</si>
  <si>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</si>
  <si>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</si>
  <si>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</si>
  <si>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</si>
  <si>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</si>
  <si>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</si>
  <si>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</si>
  <si>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</si>
  <si>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</si>
  <si>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</si>
  <si>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</si>
  <si>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</si>
  <si>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</si>
  <si>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</si>
  <si>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</si>
  <si>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</si>
  <si>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</si>
  <si>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</si>
  <si>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</si>
  <si>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</si>
  <si>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</si>
  <si>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</si>
  <si>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</si>
  <si>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</si>
  <si>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</si>
  <si>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</si>
  <si>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</si>
  <si>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</si>
  <si>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</si>
  <si>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</si>
  <si>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</si>
  <si>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</si>
  <si>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</si>
  <si>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</si>
  <si>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</si>
  <si>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</si>
  <si>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</si>
  <si>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</si>
  <si>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</si>
  <si>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</si>
  <si>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</si>
  <si>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</si>
  <si>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</si>
  <si>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</si>
  <si>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</si>
  <si>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</si>
  <si>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</si>
  <si>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</si>
  <si>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</si>
  <si>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</si>
  <si>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</si>
  <si>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</si>
  <si>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</si>
  <si>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</si>
  <si>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</si>
  <si>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</si>
  <si>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</si>
  <si>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</si>
  <si>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</si>
  <si>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</si>
  <si>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</si>
  <si>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</si>
  <si>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</si>
  <si>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</si>
  <si>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</si>
  <si>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</si>
  <si>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</si>
  <si>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</si>
  <si>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</si>
  <si>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</si>
  <si>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</si>
  <si>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</si>
  <si>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</si>
  <si>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</si>
  <si>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</si>
  <si>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</si>
  <si>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</si>
  <si>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</si>
  <si>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</si>
  <si>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</si>
  <si>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</si>
  <si>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</si>
  <si>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</si>
  <si>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</si>
  <si>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</si>
  <si>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</si>
  <si>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</si>
  <si>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</si>
  <si>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</si>
  <si>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</si>
  <si>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</si>
  <si>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</si>
  <si>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</si>
  <si>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</si>
  <si>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</si>
  <si>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</si>
  <si>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</si>
  <si>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</si>
  <si>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</si>
  <si>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</si>
  <si>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</si>
  <si>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</si>
  <si>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</si>
  <si>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</si>
  <si>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</si>
  <si>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</si>
  <si>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</si>
  <si>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</si>
  <si>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</si>
  <si>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</si>
  <si>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</si>
  <si>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</si>
  <si>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</si>
  <si>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</si>
  <si>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</si>
  <si>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</si>
  <si>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</si>
  <si>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</si>
  <si>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</si>
  <si>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</si>
  <si>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</si>
  <si>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</si>
  <si>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</si>
  <si>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</si>
  <si>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</si>
  <si>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</si>
  <si>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</si>
  <si>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</si>
  <si>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</si>
  <si>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</si>
  <si>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</si>
  <si>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</si>
  <si>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</si>
  <si>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</si>
  <si>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</si>
  <si>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</si>
  <si>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</si>
  <si>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</si>
  <si>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</si>
  <si>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</si>
  <si>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</si>
  <si>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</si>
  <si>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</si>
  <si>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</si>
  <si>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</si>
  <si>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</si>
  <si>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</si>
  <si>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</si>
  <si>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</si>
  <si>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</si>
  <si>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</si>
  <si>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</si>
  <si>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</si>
  <si>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</si>
  <si>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</si>
  <si>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</si>
  <si>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</si>
  <si>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</si>
  <si>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</si>
  <si>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</si>
  <si>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</si>
  <si>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</si>
  <si>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</si>
  <si>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</si>
  <si>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</si>
  <si>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</si>
  <si>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</si>
  <si>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</si>
  <si>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</si>
  <si>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</si>
  <si>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</si>
  <si>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</si>
  <si>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</si>
  <si>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</si>
  <si>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</si>
  <si>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</si>
  <si>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</si>
  <si>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</si>
  <si>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</si>
  <si>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</si>
  <si>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</si>
  <si>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</si>
  <si>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</si>
  <si>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</si>
  <si>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</si>
  <si>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</si>
  <si>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</si>
  <si>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</si>
  <si>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</si>
  <si>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</si>
  <si>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</si>
  <si>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</si>
  <si>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</si>
  <si>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</si>
  <si>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</si>
  <si>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</si>
  <si>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</si>
  <si>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</si>
  <si>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</si>
  <si>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</si>
  <si>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</si>
  <si>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</si>
  <si>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</si>
  <si>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</si>
  <si>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</si>
  <si>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</si>
  <si>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</si>
  <si>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</si>
  <si>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</si>
  <si>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</si>
  <si>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</si>
  <si>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</si>
  <si>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</si>
  <si>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</si>
  <si>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</si>
  <si>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</si>
  <si>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</si>
  <si>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</si>
  <si>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</si>
  <si>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</si>
  <si>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</si>
  <si>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</si>
  <si>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</si>
  <si>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</si>
  <si>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</si>
  <si>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</si>
  <si>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</si>
  <si>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</si>
  <si>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</si>
  <si>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</si>
  <si>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</si>
  <si>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</si>
  <si>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</si>
  <si>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</si>
  <si>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</si>
  <si>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</si>
  <si>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</si>
  <si>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</si>
  <si>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</si>
  <si>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</si>
  <si>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</si>
  <si>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</si>
  <si>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</si>
  <si>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</si>
  <si>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</si>
  <si>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</si>
  <si>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</si>
  <si>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</si>
  <si>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</si>
  <si>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</si>
  <si>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</si>
  <si>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</si>
  <si>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</si>
  <si>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</si>
  <si>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</si>
  <si>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</si>
  <si>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</si>
  <si>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</si>
  <si>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</si>
  <si>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</si>
  <si>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</si>
  <si>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</si>
  <si>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</si>
  <si>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</si>
  <si>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</si>
  <si>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</si>
  <si>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</si>
  <si>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</si>
  <si>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</si>
  <si>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</si>
  <si>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</si>
  <si>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</si>
  <si>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</si>
  <si>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</si>
  <si>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</si>
  <si>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</si>
  <si>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</si>
  <si>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</si>
  <si>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</si>
  <si>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</si>
  <si>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</si>
  <si>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</si>
  <si>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</si>
  <si>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</si>
  <si>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</si>
  <si>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</si>
  <si>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</si>
  <si>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</si>
  <si>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</si>
  <si>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</si>
  <si>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</si>
  <si>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</si>
  <si>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</si>
  <si>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</si>
  <si>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</si>
  <si>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</si>
  <si>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</si>
  <si>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</si>
  <si>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</si>
  <si>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</si>
  <si>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</si>
  <si>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</si>
  <si>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</si>
  <si>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</si>
  <si>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</si>
  <si>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</si>
  <si>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</si>
  <si>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</si>
  <si>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</si>
  <si>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</si>
  <si>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</si>
  <si>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</si>
  <si>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</si>
  <si>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</si>
  <si>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</si>
  <si>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</si>
  <si>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</si>
  <si>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</si>
  <si>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</si>
  <si>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</si>
  <si>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</si>
  <si>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</si>
  <si>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</si>
  <si>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</si>
  <si>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</si>
  <si>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</si>
  <si>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</si>
  <si>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</si>
  <si>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</si>
  <si>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</si>
  <si>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</si>
  <si>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</si>
  <si>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</si>
  <si>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</si>
  <si>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</si>
  <si>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</si>
  <si>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</si>
  <si>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</si>
  <si>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</si>
  <si>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</si>
  <si>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</si>
  <si>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</si>
  <si>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</si>
  <si>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</si>
  <si>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</si>
  <si>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</si>
  <si>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</si>
  <si>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</si>
  <si>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</si>
  <si>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</si>
  <si>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</si>
  <si>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</si>
  <si>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</si>
  <si>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</si>
  <si>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</si>
  <si>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</si>
  <si>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</si>
  <si>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</si>
  <si>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</si>
  <si>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</si>
  <si>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</si>
  <si>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</si>
  <si>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</si>
  <si>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</si>
  <si>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</si>
  <si>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</si>
  <si>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</si>
  <si>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</si>
  <si>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</si>
  <si>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</si>
  <si>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</si>
  <si>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</si>
  <si>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</si>
  <si>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</si>
  <si>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</si>
  <si>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</si>
  <si>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</si>
  <si>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</si>
  <si>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</si>
  <si>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</si>
  <si>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</si>
  <si>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</si>
  <si>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</si>
  <si>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</si>
  <si>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</si>
  <si>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</si>
  <si>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</si>
  <si>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</si>
  <si>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</si>
  <si>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</si>
  <si>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</si>
  <si>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</si>
  <si>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</si>
  <si>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</si>
  <si>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</si>
  <si>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</si>
  <si>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</si>
  <si>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</si>
  <si>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</si>
  <si>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</si>
  <si>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</si>
  <si>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</si>
  <si>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</si>
  <si>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</si>
  <si>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</si>
  <si>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</si>
  <si>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</si>
  <si>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</si>
  <si>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</si>
  <si>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</si>
  <si>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</si>
  <si>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</si>
  <si>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</si>
  <si>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</si>
  <si>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</si>
  <si>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</si>
  <si>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</si>
  <si>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</si>
  <si>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</si>
  <si>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</si>
  <si>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</si>
  <si>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</si>
  <si>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</si>
  <si>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</si>
  <si>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</si>
  <si>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</si>
  <si>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</si>
  <si>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</si>
  <si>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</si>
  <si>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</si>
  <si>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</si>
  <si>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</si>
  <si>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</si>
  <si>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</si>
  <si>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</si>
  <si>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</si>
  <si>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</si>
  <si>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</si>
  <si>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</si>
  <si>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</si>
  <si>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</si>
  <si>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</si>
  <si>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</si>
  <si>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</si>
  <si>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</si>
  <si>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</si>
  <si>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</si>
  <si>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</si>
  <si>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</si>
  <si>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</si>
  <si>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</si>
  <si>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</si>
  <si>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</si>
  <si>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</si>
  <si>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</si>
  <si>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</si>
  <si>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</si>
  <si>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</si>
  <si>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</si>
  <si>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</si>
  <si>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</si>
  <si>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</si>
  <si>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</si>
  <si>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</si>
  <si>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</si>
  <si>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</si>
  <si>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</si>
  <si>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</si>
  <si>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</si>
  <si>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</si>
  <si>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</si>
  <si>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</si>
  <si>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</si>
  <si>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</si>
  <si>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</si>
  <si>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</si>
  <si>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</si>
  <si>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</si>
  <si>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</si>
  <si>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</si>
  <si>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</si>
  <si>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</si>
  <si>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</si>
  <si>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</si>
  <si>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</si>
  <si>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</si>
  <si>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</si>
  <si>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</si>
  <si>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</si>
  <si>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</si>
  <si>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</si>
  <si>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</si>
  <si>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</si>
  <si>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</si>
  <si>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</si>
  <si>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</si>
  <si>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</si>
  <si>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</si>
  <si>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</si>
  <si>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</si>
  <si>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</si>
  <si>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</si>
  <si>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</si>
  <si>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</si>
  <si>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</si>
  <si>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</si>
  <si>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</si>
  <si>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</si>
  <si>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</si>
  <si>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</si>
  <si>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</si>
  <si>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</si>
  <si>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</si>
  <si>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</si>
  <si>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</si>
  <si>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</si>
  <si>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</si>
  <si>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</si>
  <si>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</si>
  <si>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</si>
  <si>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</si>
  <si>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</si>
  <si>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</si>
  <si>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</si>
  <si>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</si>
  <si>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</si>
  <si>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</si>
  <si>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</si>
  <si>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</si>
  <si>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</si>
  <si>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</si>
  <si>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</si>
  <si>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</si>
  <si>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</si>
  <si>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</si>
  <si>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</si>
  <si>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</si>
  <si>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</si>
  <si>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</si>
  <si>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</si>
  <si>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</si>
  <si>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</si>
  <si>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</si>
  <si>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</si>
  <si>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</si>
  <si>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</si>
  <si>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</si>
  <si>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</si>
  <si>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</si>
  <si>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</si>
  <si>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</si>
  <si>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</si>
  <si>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</si>
  <si>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</si>
  <si>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</si>
  <si>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</si>
  <si>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</si>
  <si>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</si>
  <si>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</si>
  <si>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</si>
  <si>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</si>
  <si>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</si>
  <si>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</si>
  <si>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</si>
  <si>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</si>
  <si>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</si>
  <si>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</si>
  <si>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</si>
  <si>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</si>
  <si>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</si>
  <si>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</si>
  <si>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</si>
  <si>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</si>
  <si>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</si>
  <si>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</si>
  <si>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</si>
  <si>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</si>
  <si>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</si>
  <si>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</si>
  <si>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</si>
  <si>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</si>
  <si>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</si>
  <si>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</si>
  <si>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</si>
  <si>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</si>
  <si>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</si>
  <si>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</si>
  <si>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</si>
  <si>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</si>
  <si>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</si>
  <si>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</si>
  <si>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</si>
  <si>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</si>
  <si>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</si>
  <si>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</si>
  <si>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</si>
  <si>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</si>
  <si>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</si>
  <si>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</si>
  <si>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</si>
  <si>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</si>
  <si>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</si>
  <si>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</si>
  <si>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</si>
  <si>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</si>
  <si>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</si>
  <si>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</si>
  <si>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</si>
  <si>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</si>
  <si>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</si>
  <si>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</si>
  <si>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</si>
  <si>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</si>
  <si>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</si>
  <si>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</si>
  <si>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</si>
  <si>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</si>
  <si>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</si>
  <si>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</si>
  <si>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</si>
  <si>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</si>
  <si>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</si>
  <si>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</si>
  <si>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</si>
  <si>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</si>
  <si>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</si>
  <si>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</si>
  <si>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</si>
  <si>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</si>
  <si>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</si>
  <si>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</si>
  <si>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</si>
  <si>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</si>
  <si>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</si>
  <si>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</si>
  <si>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</si>
  <si>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</si>
  <si>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</si>
  <si>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</si>
  <si>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</si>
  <si>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</si>
  <si>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</si>
  <si>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</si>
  <si>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</si>
  <si>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</si>
  <si>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</si>
  <si>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</si>
  <si>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</si>
  <si>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</si>
  <si>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</si>
  <si>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</si>
  <si>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</si>
  <si>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</si>
  <si>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</si>
  <si>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</si>
  <si>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</si>
  <si>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</si>
  <si>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</si>
  <si>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</si>
  <si>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</si>
  <si>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</si>
  <si>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</si>
  <si>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</si>
  <si>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</si>
  <si>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</si>
  <si>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</si>
  <si>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</si>
  <si>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</si>
  <si>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</si>
  <si>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</si>
  <si>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</si>
  <si>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</si>
  <si>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</si>
  <si>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</si>
  <si>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</si>
  <si>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</si>
  <si>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</si>
  <si>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</si>
  <si>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</si>
  <si>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</si>
  <si>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</si>
  <si>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</si>
  <si>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</si>
  <si>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</si>
  <si>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</si>
  <si>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</si>
  <si>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</si>
  <si>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</si>
  <si>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</si>
  <si>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</si>
  <si>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</si>
  <si>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</si>
  <si>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</si>
  <si>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</si>
  <si>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</si>
  <si>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</si>
  <si>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</si>
  <si>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</si>
  <si>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</si>
  <si>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</si>
  <si>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</si>
  <si>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</si>
  <si>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</si>
  <si>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</si>
  <si>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</si>
  <si>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</si>
  <si>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</si>
  <si>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</si>
  <si>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</si>
  <si>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</si>
  <si>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</si>
  <si>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</si>
  <si>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</si>
  <si>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</si>
  <si>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</si>
  <si>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</si>
  <si>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</si>
  <si>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</si>
  <si>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</si>
  <si>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</si>
  <si>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</si>
  <si>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</si>
  <si>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</si>
  <si>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</si>
  <si>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</si>
  <si>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</si>
  <si>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</si>
  <si>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</si>
  <si>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</si>
  <si>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</si>
  <si>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</si>
  <si>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</si>
  <si>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</si>
  <si>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</si>
  <si>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</si>
  <si>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</si>
  <si>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</si>
  <si>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</si>
  <si>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</si>
  <si>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</si>
  <si>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</si>
  <si>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</si>
  <si>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</si>
  <si>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</si>
  <si>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</si>
  <si>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</si>
  <si>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</si>
  <si>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</si>
  <si>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</si>
  <si>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</si>
  <si>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</si>
  <si>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</si>
  <si>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</si>
  <si>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</si>
  <si>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</si>
  <si>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</si>
  <si>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</si>
  <si>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</si>
  <si>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</si>
  <si>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</si>
  <si>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</si>
  <si>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</si>
  <si>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</si>
  <si>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</si>
  <si>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</si>
  <si>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</si>
  <si>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</si>
  <si>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</si>
  <si>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</si>
  <si>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</si>
  <si>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</si>
  <si>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</si>
  <si>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</si>
  <si>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</si>
  <si>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</si>
  <si>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</si>
  <si>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</si>
  <si>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</si>
  <si>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</si>
  <si>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</si>
  <si>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</si>
  <si>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</si>
  <si>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</si>
  <si>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</si>
  <si>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</si>
  <si>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</si>
  <si>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</si>
  <si>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</si>
  <si>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</si>
  <si>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</si>
  <si>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</si>
  <si>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</si>
  <si>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</si>
  <si>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</si>
  <si>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</si>
  <si>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</si>
  <si>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</si>
  <si>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</si>
  <si>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</si>
  <si>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</si>
  <si>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</si>
  <si>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</si>
  <si>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</si>
  <si>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</si>
  <si>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</si>
  <si>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</si>
  <si>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</si>
  <si>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</si>
  <si>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</si>
  <si>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</si>
  <si>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</si>
  <si>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</si>
  <si>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</si>
  <si>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</si>
  <si>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</si>
  <si>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</si>
  <si>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</si>
  <si>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</si>
  <si>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</si>
  <si>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</si>
  <si>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</si>
  <si>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</si>
  <si>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</si>
  <si>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</si>
  <si>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</si>
  <si>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</si>
  <si>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</si>
  <si>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</si>
  <si>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</si>
  <si>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</si>
  <si>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</si>
  <si>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</si>
  <si>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</si>
  <si>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</si>
  <si>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</si>
  <si>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</si>
  <si>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</si>
  <si>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</si>
  <si>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</si>
  <si>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</si>
  <si>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</si>
  <si>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</si>
  <si>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</si>
  <si>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</si>
  <si>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</si>
  <si>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</si>
  <si>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</si>
  <si>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</si>
  <si>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</si>
  <si>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</si>
  <si>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</si>
  <si>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</si>
  <si>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</si>
  <si>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</si>
  <si>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</si>
  <si>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</si>
  <si>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</si>
  <si>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</si>
  <si>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</si>
  <si>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</si>
  <si>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</si>
  <si>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</si>
  <si>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</si>
  <si>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</si>
  <si>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</si>
  <si>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</si>
  <si>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</si>
  <si>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</si>
  <si>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</si>
  <si>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</si>
  <si>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</si>
  <si>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</si>
  <si>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</si>
  <si>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</si>
  <si>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</si>
  <si>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</si>
  <si>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</si>
  <si>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</si>
  <si>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</si>
  <si>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</si>
  <si>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</si>
  <si>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</si>
  <si>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</si>
  <si>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</si>
  <si>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</si>
  <si>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</si>
  <si>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</si>
  <si>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</si>
  <si>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</si>
  <si>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</si>
  <si>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</si>
  <si>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</si>
  <si>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</si>
  <si>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</si>
  <si>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</si>
  <si>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</si>
  <si>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</si>
  <si>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</si>
  <si>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</si>
  <si>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</si>
  <si>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</si>
  <si>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</si>
  <si>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</si>
  <si>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</si>
  <si>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</si>
  <si>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</si>
  <si>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</si>
  <si>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</si>
  <si>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</si>
  <si>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</si>
  <si>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</si>
  <si>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</si>
  <si>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</si>
  <si>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</si>
  <si>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</si>
  <si>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</si>
  <si>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</si>
  <si>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</si>
  <si>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</si>
  <si>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</si>
  <si>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</si>
  <si>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</si>
  <si>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</si>
  <si>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</si>
  <si>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</si>
  <si>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</si>
  <si>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</si>
  <si>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</si>
  <si>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</si>
  <si>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</si>
  <si>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</si>
  <si>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</si>
  <si>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</si>
  <si>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</si>
  <si>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</si>
  <si>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</si>
  <si>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</si>
  <si>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</si>
  <si>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</si>
  <si>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</si>
  <si>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</si>
  <si>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</si>
  <si>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</si>
  <si>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</si>
  <si>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</si>
  <si>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</si>
  <si>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</si>
  <si>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</si>
  <si>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</si>
  <si>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</si>
  <si>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</si>
  <si>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</si>
  <si>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</si>
  <si>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</si>
  <si>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</si>
  <si>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</si>
  <si>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</si>
  <si>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</si>
  <si>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</si>
  <si>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</si>
  <si>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</si>
  <si>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</si>
  <si>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</si>
  <si>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</si>
  <si>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</si>
  <si>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</si>
  <si>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</si>
  <si>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</si>
  <si>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</si>
  <si>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</si>
  <si>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</si>
  <si>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</si>
  <si>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</si>
  <si>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</si>
  <si>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</si>
  <si>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</si>
  <si>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</si>
  <si>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</si>
  <si>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</si>
  <si>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</si>
  <si>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</si>
  <si>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</si>
  <si>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</si>
  <si>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</si>
  <si>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</si>
  <si>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</si>
  <si>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</si>
  <si>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</si>
  <si>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</si>
  <si>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</si>
  <si>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</si>
  <si>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</si>
  <si>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</si>
  <si>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</si>
  <si>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</si>
  <si>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</si>
  <si>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</si>
  <si>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</si>
  <si>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</si>
  <si>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</si>
  <si>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</si>
  <si>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</si>
  <si>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</si>
  <si>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</si>
  <si>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</si>
  <si>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</si>
  <si>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</si>
  <si>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</si>
  <si>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</si>
  <si>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</si>
  <si>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</si>
  <si>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</si>
  <si>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</si>
  <si>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</si>
  <si>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</si>
  <si>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</si>
  <si>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</si>
  <si>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</si>
  <si>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</si>
  <si>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</si>
  <si>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</si>
  <si>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</si>
  <si>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</si>
  <si>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</si>
  <si>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</si>
  <si>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</si>
  <si>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</si>
  <si>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</si>
  <si>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</si>
  <si>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</si>
  <si>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</si>
  <si>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</si>
  <si>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</si>
  <si>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</si>
  <si>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</si>
  <si>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</si>
  <si>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</si>
  <si>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</si>
  <si>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</si>
  <si>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</si>
  <si>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</si>
  <si>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</si>
  <si>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</si>
  <si>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</si>
  <si>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</si>
  <si>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</si>
  <si>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</si>
  <si>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</si>
  <si>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</si>
  <si>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</si>
  <si>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</si>
  <si>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</si>
  <si>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</si>
  <si>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</si>
  <si>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</si>
  <si>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</si>
  <si>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</si>
  <si>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</si>
  <si>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</si>
  <si>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</si>
  <si>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</si>
  <si>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</si>
  <si>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</si>
  <si>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</si>
  <si>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</si>
  <si>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</si>
  <si>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</si>
  <si>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</si>
  <si>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</si>
  <si>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</si>
  <si>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</si>
  <si>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</si>
  <si>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</si>
  <si>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</si>
  <si>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</si>
  <si>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</si>
  <si>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</si>
  <si>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</si>
  <si>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</si>
  <si>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</si>
  <si>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</si>
  <si>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</si>
  <si>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</si>
  <si>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</si>
  <si>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</si>
  <si>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</si>
  <si>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</si>
  <si>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</si>
  <si>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</si>
  <si>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</si>
  <si>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</si>
  <si>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</si>
  <si>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</si>
  <si>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</si>
  <si>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</si>
  <si>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</si>
  <si>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</si>
  <si>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</si>
  <si>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</si>
  <si>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</si>
  <si>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</si>
  <si>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</si>
  <si>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</si>
  <si>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</si>
  <si>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</si>
  <si>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</si>
  <si>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</si>
  <si>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</si>
  <si>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</si>
  <si>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</si>
  <si>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</si>
  <si>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</si>
  <si>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</si>
  <si>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</si>
  <si>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</si>
  <si>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</si>
  <si>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</si>
  <si>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</si>
  <si>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</si>
  <si>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</si>
  <si>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</si>
  <si>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</si>
  <si>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</si>
  <si>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</si>
  <si>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</si>
  <si>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</si>
  <si>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</si>
  <si>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</si>
  <si>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</si>
  <si>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</si>
  <si>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</si>
  <si>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</si>
  <si>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</si>
  <si>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</si>
  <si>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</si>
  <si>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</si>
  <si>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</si>
  <si>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</si>
  <si>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</si>
  <si>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</si>
  <si>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</si>
  <si>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</si>
  <si>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</si>
  <si>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</si>
  <si>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</si>
  <si>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</si>
  <si>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</si>
  <si>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</si>
  <si>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</si>
  <si>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</si>
  <si>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</si>
  <si>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</si>
  <si>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</si>
  <si>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</si>
  <si>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</si>
  <si>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</si>
  <si>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</si>
  <si>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</si>
  <si>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</si>
  <si>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</si>
  <si>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</si>
  <si>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</si>
  <si>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</si>
  <si>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</si>
  <si>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</si>
  <si>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</si>
  <si>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</si>
  <si>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</si>
  <si>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</si>
  <si>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</si>
  <si>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</si>
  <si>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</si>
  <si>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</si>
  <si>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</si>
  <si>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</si>
  <si>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</si>
  <si>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</si>
  <si>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</si>
  <si>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</si>
  <si>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</si>
  <si>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</si>
  <si>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</si>
  <si>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</si>
  <si>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</si>
  <si>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</si>
  <si>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</si>
  <si>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</si>
  <si>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</si>
  <si>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</si>
  <si>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</si>
  <si>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</si>
  <si>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</si>
  <si>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</si>
  <si>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</si>
  <si>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</si>
  <si>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</si>
  <si>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</si>
  <si>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</si>
  <si>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</si>
  <si>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</si>
  <si>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</si>
  <si>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</si>
  <si>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</si>
  <si>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</si>
  <si>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</si>
  <si>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</si>
  <si>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</si>
  <si>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</si>
  <si>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</si>
  <si>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</si>
  <si>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</si>
  <si>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</si>
  <si>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</si>
  <si>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</si>
  <si>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</si>
  <si>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</si>
  <si>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</si>
  <si>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</si>
  <si>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</si>
  <si>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</si>
  <si>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</si>
  <si>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</si>
  <si>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</si>
  <si>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</si>
  <si>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</si>
  <si>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</si>
  <si>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</si>
  <si>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</si>
  <si>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</si>
  <si>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</si>
  <si>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</si>
  <si>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</si>
  <si>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</si>
  <si>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</si>
  <si>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</si>
  <si>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</si>
  <si>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</si>
  <si>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</si>
  <si>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</si>
  <si>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</si>
  <si>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</si>
  <si>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</si>
  <si>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</si>
  <si>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</si>
  <si>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</si>
  <si>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</si>
  <si>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</si>
  <si>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</si>
  <si>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</si>
  <si>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</si>
  <si>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</si>
  <si>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</si>
  <si>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</si>
  <si>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</si>
  <si>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</si>
  <si>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</si>
  <si>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</si>
  <si>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</si>
  <si>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</si>
  <si>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</si>
  <si>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</si>
  <si>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</si>
  <si>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</si>
  <si>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</si>
  <si>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</si>
  <si>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</si>
  <si>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</si>
  <si>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</si>
  <si>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</si>
  <si>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</si>
  <si>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</si>
  <si>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</si>
  <si>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</si>
  <si>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</si>
  <si>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</si>
  <si>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</si>
  <si>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</si>
  <si>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</si>
  <si>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</si>
  <si>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</si>
  <si>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</si>
  <si>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</si>
  <si>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</si>
  <si>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</si>
  <si>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</si>
  <si>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</si>
  <si>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</si>
  <si>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</si>
  <si>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</si>
  <si>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</si>
  <si>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</si>
  <si>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</si>
  <si>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</si>
  <si>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</si>
  <si>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</si>
  <si>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</si>
  <si>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</si>
  <si>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</si>
  <si>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</si>
  <si>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</si>
  <si>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</si>
  <si>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</si>
  <si>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</si>
  <si>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</si>
  <si>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</si>
  <si>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</si>
  <si>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</si>
  <si>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</si>
  <si>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</si>
  <si>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</si>
  <si>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</si>
  <si>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</si>
  <si>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</si>
  <si>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</si>
  <si>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</si>
  <si>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</si>
  <si>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</si>
  <si>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</si>
  <si>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</si>
  <si>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</si>
  <si>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</si>
  <si>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</si>
  <si>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</si>
  <si>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</si>
  <si>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</si>
  <si>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</si>
  <si>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</si>
  <si>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</si>
  <si>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</si>
  <si>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</si>
  <si>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</si>
  <si>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</si>
  <si>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</si>
  <si>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</si>
  <si>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</si>
  <si>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</si>
  <si>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</si>
  <si>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</si>
  <si>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</si>
  <si>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</si>
  <si>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</si>
  <si>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</si>
  <si>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</si>
  <si>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</si>
  <si>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</si>
  <si>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</si>
  <si>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</si>
  <si>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</si>
  <si>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</si>
  <si>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</si>
  <si>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</si>
  <si>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</si>
  <si>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</si>
  <si>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</si>
  <si>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</si>
  <si>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</si>
  <si>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</si>
  <si>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</si>
  <si>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</si>
  <si>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</si>
  <si>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</si>
  <si>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</si>
  <si>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</si>
  <si>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</si>
  <si>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</si>
  <si>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</si>
  <si>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</si>
  <si>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</si>
  <si>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</si>
  <si>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</si>
  <si>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</si>
  <si>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</si>
  <si>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</si>
  <si>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</si>
  <si>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</si>
  <si>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</si>
  <si>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</si>
  <si>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</si>
  <si>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</si>
  <si>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</si>
  <si>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</si>
  <si>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</si>
  <si>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</si>
  <si>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</si>
  <si>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</si>
  <si>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</si>
  <si>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</si>
  <si>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</si>
  <si>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</si>
  <si>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</si>
  <si>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</si>
  <si>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</si>
  <si>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</si>
  <si>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</si>
  <si>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</si>
  <si>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</si>
  <si>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</si>
  <si>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</si>
  <si>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</si>
  <si>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</si>
  <si>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</si>
  <si>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</si>
  <si>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</si>
  <si>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</si>
  <si>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</si>
  <si>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</si>
  <si>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</si>
  <si>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</si>
  <si>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</si>
  <si>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</si>
  <si>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</si>
  <si>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</si>
  <si>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</si>
  <si>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</si>
  <si>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</si>
  <si>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</si>
  <si>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</si>
  <si>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</si>
  <si>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</si>
  <si>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</si>
  <si>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</si>
  <si>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</si>
  <si>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</si>
  <si>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</si>
  <si>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</si>
  <si>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</si>
  <si>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</si>
  <si>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</si>
  <si>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</si>
  <si>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</si>
  <si>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</si>
  <si>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</si>
  <si>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</si>
  <si>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</si>
  <si>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</si>
  <si>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</si>
  <si>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</si>
  <si>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</si>
  <si>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</si>
  <si>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</si>
  <si>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</si>
  <si>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</si>
  <si>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</si>
  <si>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</si>
  <si>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</si>
  <si>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</si>
  <si>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</si>
  <si>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</si>
  <si>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</si>
  <si>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</si>
  <si>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</si>
  <si>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</si>
  <si>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</si>
  <si>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</si>
  <si>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</si>
  <si>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</si>
  <si>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</si>
  <si>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</si>
  <si>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</si>
  <si>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</si>
  <si>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</si>
  <si>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</si>
  <si>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</si>
  <si>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</si>
  <si>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</si>
  <si>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</si>
  <si>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</si>
  <si>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</si>
  <si>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</si>
  <si>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</si>
  <si>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</si>
  <si>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</si>
  <si>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</si>
  <si>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</si>
  <si>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</si>
  <si>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</si>
  <si>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</si>
  <si>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</si>
  <si>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</si>
  <si>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</si>
  <si>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</si>
  <si>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</si>
  <si>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</si>
  <si>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</si>
  <si>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</si>
  <si>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</si>
  <si>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</si>
  <si>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</si>
  <si>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</si>
  <si>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</si>
  <si>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</si>
  <si>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</si>
  <si>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</si>
  <si>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</si>
  <si>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</si>
  <si>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</si>
  <si>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</si>
  <si>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</si>
  <si>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</si>
  <si>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</si>
  <si>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</si>
  <si>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</si>
  <si>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</si>
  <si>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</si>
  <si>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</si>
  <si>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</si>
  <si>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</si>
  <si>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</si>
  <si>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</si>
  <si>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</si>
  <si>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</si>
  <si>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</si>
  <si>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</si>
  <si>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</si>
  <si>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</si>
  <si>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</si>
  <si>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</si>
  <si>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</si>
  <si>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</si>
  <si>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</si>
  <si>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</si>
  <si>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</si>
  <si>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</si>
  <si>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</si>
  <si>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</si>
  <si>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</si>
  <si>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</si>
  <si>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</si>
  <si>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</si>
  <si>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</si>
  <si>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</si>
  <si>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</si>
  <si>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</si>
  <si>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</si>
  <si>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</si>
  <si>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</si>
  <si>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</si>
  <si>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</si>
  <si>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</si>
  <si>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</si>
  <si>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</si>
  <si>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</si>
  <si>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</si>
  <si>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</si>
  <si>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</si>
  <si>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</si>
  <si>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</si>
  <si>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</si>
  <si>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</si>
  <si>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</si>
  <si>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</si>
  <si>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</si>
  <si>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</si>
  <si>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</si>
  <si>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</si>
  <si>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</si>
  <si>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</si>
  <si>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</si>
  <si>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</si>
  <si>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</si>
  <si>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</si>
  <si>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</si>
  <si>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</si>
  <si>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</si>
  <si>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</si>
  <si>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</si>
  <si>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</si>
  <si>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</si>
  <si>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</si>
  <si>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</si>
  <si>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</si>
  <si>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</si>
  <si>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</si>
  <si>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</si>
  <si>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</si>
  <si>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</si>
  <si>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</si>
  <si>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</si>
  <si>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</si>
  <si>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</si>
  <si>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</si>
  <si>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</si>
  <si>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</si>
  <si>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</si>
  <si>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</si>
  <si>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</si>
  <si>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</si>
  <si>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</si>
  <si>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</si>
  <si>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</si>
  <si>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</si>
  <si>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</si>
  <si>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</si>
  <si>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</si>
  <si>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</si>
  <si>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</si>
  <si>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</si>
  <si>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</si>
  <si>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</si>
  <si>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</si>
  <si>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</si>
  <si>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</si>
  <si>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</si>
  <si>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</si>
  <si>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</si>
  <si>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</si>
  <si>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</si>
  <si>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</si>
  <si>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</si>
  <si>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</si>
  <si>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</si>
  <si>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</si>
  <si>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</si>
  <si>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</si>
  <si>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</si>
  <si>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</si>
  <si>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</si>
  <si>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</si>
  <si>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</si>
  <si>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</si>
  <si>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</si>
  <si>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</si>
  <si>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</si>
  <si>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</si>
  <si>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</si>
  <si>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</si>
  <si>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</si>
  <si>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</si>
  <si>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</si>
  <si>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</si>
  <si>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</si>
  <si>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</si>
  <si>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</si>
  <si>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</si>
  <si>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</si>
  <si>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</si>
  <si>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</si>
  <si>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</si>
  <si>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</si>
  <si>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</si>
  <si>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</si>
  <si>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</si>
  <si>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</si>
  <si>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</si>
  <si>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</si>
  <si>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</si>
  <si>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</si>
  <si>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</si>
  <si>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</si>
  <si>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</si>
  <si>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</si>
  <si>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</si>
  <si>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</si>
  <si>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</si>
  <si>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</si>
  <si>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</si>
  <si>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</si>
  <si>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</si>
  <si>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</si>
  <si>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</si>
  <si>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</si>
  <si>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</si>
  <si>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</si>
  <si>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</si>
  <si>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</si>
  <si>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</si>
  <si>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</si>
  <si>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</si>
  <si>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</si>
  <si>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</si>
  <si>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</si>
  <si>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</si>
  <si>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</si>
  <si>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</si>
  <si>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</si>
  <si>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</si>
  <si>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</si>
  <si>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</si>
  <si>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</si>
  <si>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</si>
  <si>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</si>
  <si>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</si>
  <si>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</si>
  <si>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</si>
  <si>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</si>
  <si>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</si>
  <si>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</si>
  <si>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</si>
  <si>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</si>
  <si>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</si>
  <si>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</si>
  <si>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</si>
  <si>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</si>
  <si>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</si>
  <si>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</si>
  <si>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</si>
  <si>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</si>
  <si>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</si>
  <si>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</si>
  <si>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</si>
  <si>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</si>
  <si>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</si>
  <si>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</si>
  <si>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</si>
  <si>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</si>
  <si>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</si>
  <si>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</si>
  <si>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</si>
  <si>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</si>
  <si>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</si>
  <si>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</si>
  <si>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</si>
  <si>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</si>
  <si>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</si>
  <si>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</si>
  <si>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</si>
  <si>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</si>
  <si>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</si>
  <si>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</si>
  <si>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</si>
  <si>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</si>
  <si>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</si>
  <si>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</si>
  <si>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</si>
  <si>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</si>
  <si>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</si>
  <si>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</si>
  <si>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</si>
  <si>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</si>
  <si>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</si>
  <si>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</si>
  <si>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</si>
  <si>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</si>
  <si>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</si>
  <si>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</si>
  <si>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</si>
  <si>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</si>
  <si>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</si>
  <si>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</si>
  <si>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</si>
  <si>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</si>
  <si>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</si>
  <si>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</si>
  <si>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</si>
  <si>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</si>
  <si>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</si>
  <si>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</si>
  <si>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</si>
  <si>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</si>
  <si>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</si>
  <si>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</si>
  <si>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</si>
  <si>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</si>
  <si>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</si>
  <si>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</si>
  <si>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</si>
  <si>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</si>
  <si>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</si>
  <si>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</si>
  <si>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</si>
  <si>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</si>
  <si>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</si>
  <si>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</si>
  <si>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</si>
  <si>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</si>
  <si>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</si>
  <si>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</si>
  <si>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</si>
  <si>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</si>
  <si>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</si>
  <si>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</si>
  <si>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</si>
  <si>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</si>
  <si>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</si>
  <si>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</si>
  <si>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</si>
  <si>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</si>
  <si>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</si>
  <si>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</si>
  <si>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</si>
  <si>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</si>
  <si>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</si>
  <si>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</si>
  <si>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</si>
  <si>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</si>
  <si>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</si>
  <si>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</si>
  <si>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</si>
  <si>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</si>
  <si>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</si>
  <si>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</si>
  <si>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</si>
  <si>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</si>
  <si>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</si>
  <si>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</si>
  <si>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</si>
  <si>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</si>
  <si>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</si>
  <si>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</si>
  <si>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</si>
  <si>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</si>
  <si>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</si>
  <si>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</si>
  <si>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</si>
  <si>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</si>
  <si>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</si>
  <si>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</si>
  <si>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</si>
  <si>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</si>
  <si>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</si>
  <si>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</si>
  <si>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</si>
  <si>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</si>
  <si>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</si>
  <si>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</si>
  <si>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</si>
  <si>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</si>
  <si>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</si>
  <si>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</si>
  <si>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</si>
  <si>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</si>
  <si>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</si>
  <si>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</si>
  <si>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</si>
  <si>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</si>
  <si>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</si>
  <si>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</si>
  <si>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</si>
  <si>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</si>
  <si>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</si>
  <si>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</si>
  <si>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</si>
  <si>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</si>
  <si>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</si>
  <si>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</si>
  <si>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</si>
  <si>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</si>
  <si>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</si>
  <si>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</si>
  <si>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</si>
  <si>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</si>
  <si>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</si>
  <si>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</si>
  <si>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</si>
  <si>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</si>
  <si>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</si>
  <si>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</si>
  <si>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</si>
  <si>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</si>
  <si>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</si>
  <si>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</si>
  <si>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</si>
  <si>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</si>
  <si>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</si>
  <si>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</si>
  <si>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</si>
  <si>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</si>
  <si>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</si>
  <si>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</si>
  <si>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</si>
  <si>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</si>
  <si>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</si>
  <si>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</si>
  <si>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</si>
  <si>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</si>
  <si>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</si>
  <si>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</si>
  <si>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</si>
  <si>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</si>
  <si>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</si>
  <si>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</si>
  <si>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</si>
  <si>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</si>
  <si>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</si>
  <si>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</si>
  <si>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</si>
  <si>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</si>
  <si>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</si>
  <si>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</si>
  <si>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</si>
  <si>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</si>
  <si>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</si>
  <si>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</si>
  <si>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</si>
  <si>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</si>
  <si>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</si>
  <si>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</si>
  <si>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</si>
  <si>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</si>
  <si>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</si>
  <si>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</si>
  <si>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</si>
  <si>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</si>
  <si>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</si>
  <si>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</si>
  <si>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</si>
  <si>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</si>
  <si>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</si>
  <si>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</si>
  <si>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</si>
  <si>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</si>
  <si>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</si>
  <si>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</si>
  <si>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</si>
  <si>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</si>
  <si>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</si>
  <si>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</si>
  <si>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</si>
  <si>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</si>
  <si>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</si>
  <si>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</si>
  <si>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</si>
  <si>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</si>
  <si>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</si>
  <si>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</si>
  <si>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</si>
  <si>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</si>
  <si>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</si>
  <si>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</si>
  <si>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</si>
  <si>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</si>
  <si>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</si>
  <si>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</si>
  <si>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</si>
  <si>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</si>
  <si>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</si>
  <si>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</si>
  <si>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</si>
  <si>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</si>
  <si>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</si>
  <si>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</si>
  <si>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</si>
  <si>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</si>
  <si>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</si>
  <si>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</si>
  <si>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</si>
  <si>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</si>
  <si>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</si>
  <si>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</si>
  <si>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</si>
  <si>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</si>
  <si>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</si>
  <si>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</si>
  <si>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</si>
  <si>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</si>
  <si>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</si>
  <si>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</si>
  <si>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</si>
  <si>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</si>
  <si>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</si>
  <si>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</si>
  <si>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</si>
  <si>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</si>
  <si>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</si>
  <si>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</si>
  <si>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</si>
  <si>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</si>
  <si>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</si>
  <si>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</si>
  <si>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</si>
  <si>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</si>
  <si>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</si>
  <si>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</si>
  <si>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</si>
  <si>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</si>
  <si>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</si>
  <si>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</si>
  <si>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</si>
  <si>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</si>
  <si>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</si>
  <si>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</si>
  <si>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</si>
  <si>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</si>
  <si>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</si>
  <si>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</si>
  <si>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</si>
  <si>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</si>
  <si>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</si>
  <si>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</si>
  <si>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</si>
  <si>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</si>
  <si>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</si>
  <si>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</si>
  <si>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</si>
  <si>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</si>
  <si>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</si>
  <si>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</si>
  <si>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</si>
  <si>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</si>
  <si>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</si>
  <si>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</si>
  <si>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</si>
  <si>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</si>
  <si>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</si>
  <si>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</si>
  <si>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</si>
  <si>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</si>
  <si>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</si>
  <si>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</si>
  <si>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</si>
  <si>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</si>
  <si>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</si>
  <si>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</si>
  <si>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</si>
  <si>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</si>
  <si>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</si>
  <si>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</si>
  <si>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</si>
  <si>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</si>
  <si>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</si>
  <si>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</si>
  <si>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</si>
  <si>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</si>
  <si>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</si>
  <si>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</si>
  <si>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</si>
  <si>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</si>
  <si>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</si>
  <si>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</si>
  <si>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</si>
  <si>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</si>
  <si>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</si>
  <si>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</si>
  <si>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</si>
  <si>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</si>
  <si>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</si>
  <si>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</si>
  <si>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</si>
  <si>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</si>
  <si>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</si>
  <si>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</si>
  <si>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</si>
  <si>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</si>
  <si>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</si>
  <si>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</si>
  <si>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</si>
  <si>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</si>
  <si>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</si>
  <si>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</si>
  <si>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</si>
  <si>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</si>
  <si>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</si>
  <si>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</si>
  <si>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</si>
  <si>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</si>
  <si>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</si>
  <si>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</si>
  <si>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</si>
  <si>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</si>
  <si>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</si>
  <si>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</si>
  <si>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</si>
  <si>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</si>
  <si>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</si>
  <si>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</si>
  <si>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</si>
  <si>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</si>
  <si>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</si>
  <si>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</si>
  <si>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</si>
  <si>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</si>
  <si>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</si>
  <si>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</si>
  <si>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</si>
  <si>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</si>
  <si>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</si>
  <si>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</si>
  <si>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</si>
  <si>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</si>
  <si>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</si>
  <si>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</si>
  <si>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</si>
  <si>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</si>
  <si>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</si>
  <si>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</si>
  <si>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</si>
  <si>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</si>
  <si>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</si>
  <si>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</si>
  <si>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</si>
  <si>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</si>
  <si>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</si>
  <si>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SAMPAI DENGAN 29 JUNI 2022</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</si>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</sst>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0">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264">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183"/>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1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1.799124305559"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3">
    <format dxfId="1174">
      <pivotArea outline="0" collapsedLevelsAreSubtotals="1" fieldPosition="0">
        <references count="1">
          <reference field="4294967294" count="1" selected="0">
            <x v="2"/>
          </reference>
        </references>
      </pivotArea>
    </format>
    <format dxfId="1173">
      <pivotArea outline="0" collapsedLevelsAreSubtotals="1" fieldPosition="0">
        <references count="1">
          <reference field="4294967294" count="1" selected="0">
            <x v="4"/>
          </reference>
        </references>
      </pivotArea>
    </format>
    <format dxfId="1172">
      <pivotArea outline="0" collapsedLevelsAreSubtotals="1" fieldPosition="0">
        <references count="1">
          <reference field="4294967294" count="1" selected="0">
            <x v="3"/>
          </reference>
        </references>
      </pivotArea>
    </format>
    <format dxfId="1171">
      <pivotArea outline="0" collapsedLevelsAreSubtotals="1" fieldPosition="0">
        <references count="1">
          <reference field="4294967294" count="1" selected="0">
            <x v="1"/>
          </reference>
        </references>
      </pivotArea>
    </format>
    <format dxfId="1170">
      <pivotArea outline="0" collapsedLevelsAreSubtotals="1" fieldPosition="0">
        <references count="1">
          <reference field="4294967294" count="1" selected="0">
            <x v="0"/>
          </reference>
        </references>
      </pivotArea>
    </format>
    <format dxfId="1169">
      <pivotArea dataOnly="0" labelOnly="1" fieldPosition="0">
        <references count="1">
          <reference field="3" count="0"/>
        </references>
      </pivotArea>
    </format>
    <format dxfId="1168">
      <pivotArea dataOnly="0" labelOnly="1" fieldPosition="0">
        <references count="1">
          <reference field="5" count="0"/>
        </references>
      </pivotArea>
    </format>
    <format dxfId="1167">
      <pivotArea dataOnly="0" labelOnly="1" fieldPosition="0">
        <references count="1">
          <reference field="9" count="0"/>
        </references>
      </pivotArea>
    </format>
    <format dxfId="1166">
      <pivotArea dataOnly="0" labelOnly="1" fieldPosition="0">
        <references count="1">
          <reference field="11" count="0"/>
        </references>
      </pivotArea>
    </format>
    <format dxfId="1165">
      <pivotArea dataOnly="0" labelOnly="1" fieldPosition="0">
        <references count="1">
          <reference field="13" count="0"/>
        </references>
      </pivotArea>
    </format>
    <format dxfId="1164">
      <pivotArea dataOnly="0" labelOnly="1" outline="0" fieldPosition="0">
        <references count="1">
          <reference field="4294967294" count="5">
            <x v="0"/>
            <x v="1"/>
            <x v="2"/>
            <x v="3"/>
            <x v="4"/>
          </reference>
        </references>
      </pivotArea>
    </format>
    <format dxfId="1163">
      <pivotArea type="all" dataOnly="0" outline="0" fieldPosition="0"/>
    </format>
    <format dxfId="1162">
      <pivotArea outline="0" collapsedLevelsAreSubtotals="1" fieldPosition="0"/>
    </format>
    <format dxfId="1161">
      <pivotArea field="3" type="button" dataOnly="0" labelOnly="1" outline="0" axis="axisRow" fieldPosition="1"/>
    </format>
    <format dxfId="1160">
      <pivotArea dataOnly="0" labelOnly="1" fieldPosition="0">
        <references count="1">
          <reference field="3" count="0"/>
        </references>
      </pivotArea>
    </format>
    <format dxfId="1159">
      <pivotArea dataOnly="0" labelOnly="1" grandRow="1" outline="0" fieldPosition="0"/>
    </format>
    <format dxfId="1158">
      <pivotArea dataOnly="0" labelOnly="1" fieldPosition="0">
        <references count="2">
          <reference field="3" count="1" selected="0">
            <x v="0"/>
          </reference>
          <reference field="5" count="1">
            <x v="0"/>
          </reference>
        </references>
      </pivotArea>
    </format>
    <format dxfId="1157">
      <pivotArea dataOnly="0" labelOnly="1" fieldPosition="0">
        <references count="2">
          <reference field="3" count="1" selected="0">
            <x v="1"/>
          </reference>
          <reference field="5" count="2">
            <x v="1"/>
            <x v="2"/>
          </reference>
        </references>
      </pivotArea>
    </format>
    <format dxfId="1156">
      <pivotArea dataOnly="0" labelOnly="1" fieldPosition="0">
        <references count="3">
          <reference field="3" count="1" selected="0">
            <x v="0"/>
          </reference>
          <reference field="5" count="1" selected="0">
            <x v="0"/>
          </reference>
          <reference field="9" count="1">
            <x v="0"/>
          </reference>
        </references>
      </pivotArea>
    </format>
    <format dxfId="1155">
      <pivotArea dataOnly="0" labelOnly="1" fieldPosition="0">
        <references count="3">
          <reference field="3" count="1" selected="0">
            <x v="1"/>
          </reference>
          <reference field="5" count="1" selected="0">
            <x v="1"/>
          </reference>
          <reference field="9" count="8">
            <x v="1"/>
            <x v="2"/>
            <x v="3"/>
            <x v="4"/>
            <x v="5"/>
            <x v="6"/>
            <x v="7"/>
            <x v="8"/>
          </reference>
        </references>
      </pivotArea>
    </format>
    <format dxfId="1154">
      <pivotArea dataOnly="0" labelOnly="1" fieldPosition="0">
        <references count="3">
          <reference field="3" count="1" selected="0">
            <x v="1"/>
          </reference>
          <reference field="5" count="1" selected="0">
            <x v="2"/>
          </reference>
          <reference field="9" count="1">
            <x v="9"/>
          </reference>
        </references>
      </pivotArea>
    </format>
    <format dxfId="115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5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5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5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4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4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4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4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4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4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4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4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4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4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3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3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3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3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3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3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3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3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3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3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2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28">
      <pivotArea dataOnly="0" labelOnly="1" outline="0" fieldPosition="0">
        <references count="1">
          <reference field="4294967294" count="5">
            <x v="0"/>
            <x v="1"/>
            <x v="2"/>
            <x v="3"/>
            <x v="4"/>
          </reference>
        </references>
      </pivotArea>
    </format>
    <format dxfId="1127">
      <pivotArea type="all" dataOnly="0" outline="0" fieldPosition="0"/>
    </format>
    <format dxfId="1126">
      <pivotArea outline="0" collapsedLevelsAreSubtotals="1" fieldPosition="0"/>
    </format>
    <format dxfId="1125">
      <pivotArea field="3" type="button" dataOnly="0" labelOnly="1" outline="0" axis="axisRow" fieldPosition="1"/>
    </format>
    <format dxfId="1124">
      <pivotArea dataOnly="0" labelOnly="1" fieldPosition="0">
        <references count="1">
          <reference field="3" count="0"/>
        </references>
      </pivotArea>
    </format>
    <format dxfId="1123">
      <pivotArea dataOnly="0" labelOnly="1" grandRow="1" outline="0" fieldPosition="0"/>
    </format>
    <format dxfId="1122">
      <pivotArea dataOnly="0" labelOnly="1" fieldPosition="0">
        <references count="2">
          <reference field="3" count="1" selected="0">
            <x v="0"/>
          </reference>
          <reference field="5" count="1">
            <x v="0"/>
          </reference>
        </references>
      </pivotArea>
    </format>
    <format dxfId="1121">
      <pivotArea dataOnly="0" labelOnly="1" fieldPosition="0">
        <references count="2">
          <reference field="3" count="1" selected="0">
            <x v="1"/>
          </reference>
          <reference field="5" count="2">
            <x v="1"/>
            <x v="2"/>
          </reference>
        </references>
      </pivotArea>
    </format>
    <format dxfId="1120">
      <pivotArea dataOnly="0" labelOnly="1" fieldPosition="0">
        <references count="3">
          <reference field="3" count="1" selected="0">
            <x v="0"/>
          </reference>
          <reference field="5" count="1" selected="0">
            <x v="0"/>
          </reference>
          <reference field="9" count="1">
            <x v="0"/>
          </reference>
        </references>
      </pivotArea>
    </format>
    <format dxfId="1119">
      <pivotArea dataOnly="0" labelOnly="1" fieldPosition="0">
        <references count="3">
          <reference field="3" count="1" selected="0">
            <x v="1"/>
          </reference>
          <reference field="5" count="1" selected="0">
            <x v="1"/>
          </reference>
          <reference field="9" count="8">
            <x v="1"/>
            <x v="2"/>
            <x v="3"/>
            <x v="4"/>
            <x v="5"/>
            <x v="6"/>
            <x v="7"/>
            <x v="8"/>
          </reference>
        </references>
      </pivotArea>
    </format>
    <format dxfId="1118">
      <pivotArea dataOnly="0" labelOnly="1" fieldPosition="0">
        <references count="3">
          <reference field="3" count="1" selected="0">
            <x v="1"/>
          </reference>
          <reference field="5" count="1" selected="0">
            <x v="2"/>
          </reference>
          <reference field="9" count="1">
            <x v="9"/>
          </reference>
        </references>
      </pivotArea>
    </format>
    <format dxfId="111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1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1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1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1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1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1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1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0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0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0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0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0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0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0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0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0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0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09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9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09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09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9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09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09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92">
      <pivotArea dataOnly="0" labelOnly="1" outline="0" fieldPosition="0">
        <references count="1">
          <reference field="4294967294" count="5">
            <x v="0"/>
            <x v="1"/>
            <x v="2"/>
            <x v="3"/>
            <x v="4"/>
          </reference>
        </references>
      </pivotArea>
    </format>
    <format dxfId="1091">
      <pivotArea collapsedLevelsAreSubtotals="1" fieldPosition="0">
        <references count="1">
          <reference field="3" count="1">
            <x v="0"/>
          </reference>
        </references>
      </pivotArea>
    </format>
    <format dxfId="1090">
      <pivotArea collapsedLevelsAreSubtotals="1" fieldPosition="0">
        <references count="1">
          <reference field="3" count="1">
            <x v="1"/>
          </reference>
        </references>
      </pivotArea>
    </format>
    <format dxfId="1089">
      <pivotArea collapsedLevelsAreSubtotals="1" fieldPosition="0">
        <references count="3">
          <reference field="3" count="1" selected="0">
            <x v="0"/>
          </reference>
          <reference field="5" count="1" selected="0">
            <x v="0"/>
          </reference>
          <reference field="9" count="1">
            <x v="0"/>
          </reference>
        </references>
      </pivotArea>
    </format>
    <format dxfId="1088">
      <pivotArea collapsedLevelsAreSubtotals="1" fieldPosition="0">
        <references count="3">
          <reference field="3" count="1" selected="0">
            <x v="1"/>
          </reference>
          <reference field="5" count="1" selected="0">
            <x v="1"/>
          </reference>
          <reference field="9" count="1">
            <x v="1"/>
          </reference>
        </references>
      </pivotArea>
    </format>
    <format dxfId="1087">
      <pivotArea collapsedLevelsAreSubtotals="1" fieldPosition="0">
        <references count="3">
          <reference field="3" count="1" selected="0">
            <x v="1"/>
          </reference>
          <reference field="5" count="1" selected="0">
            <x v="1"/>
          </reference>
          <reference field="9" count="1">
            <x v="2"/>
          </reference>
        </references>
      </pivotArea>
    </format>
    <format dxfId="1086">
      <pivotArea collapsedLevelsAreSubtotals="1" fieldPosition="0">
        <references count="3">
          <reference field="3" count="1" selected="0">
            <x v="1"/>
          </reference>
          <reference field="5" count="1" selected="0">
            <x v="1"/>
          </reference>
          <reference field="9" count="1">
            <x v="3"/>
          </reference>
        </references>
      </pivotArea>
    </format>
    <format dxfId="1085">
      <pivotArea collapsedLevelsAreSubtotals="1" fieldPosition="0">
        <references count="3">
          <reference field="3" count="1" selected="0">
            <x v="1"/>
          </reference>
          <reference field="5" count="1" selected="0">
            <x v="1"/>
          </reference>
          <reference field="9" count="1">
            <x v="4"/>
          </reference>
        </references>
      </pivotArea>
    </format>
    <format dxfId="1084">
      <pivotArea collapsedLevelsAreSubtotals="1" fieldPosition="0">
        <references count="3">
          <reference field="3" count="1" selected="0">
            <x v="1"/>
          </reference>
          <reference field="5" count="1" selected="0">
            <x v="1"/>
          </reference>
          <reference field="9" count="1">
            <x v="5"/>
          </reference>
        </references>
      </pivotArea>
    </format>
    <format dxfId="1083">
      <pivotArea collapsedLevelsAreSubtotals="1" fieldPosition="0">
        <references count="3">
          <reference field="3" count="1" selected="0">
            <x v="1"/>
          </reference>
          <reference field="5" count="1" selected="0">
            <x v="1"/>
          </reference>
          <reference field="9" count="1">
            <x v="6"/>
          </reference>
        </references>
      </pivotArea>
    </format>
    <format dxfId="1082">
      <pivotArea collapsedLevelsAreSubtotals="1" fieldPosition="0">
        <references count="3">
          <reference field="3" count="1" selected="0">
            <x v="1"/>
          </reference>
          <reference field="5" count="1" selected="0">
            <x v="1"/>
          </reference>
          <reference field="9" count="1">
            <x v="7"/>
          </reference>
        </references>
      </pivotArea>
    </format>
    <format dxfId="1081">
      <pivotArea collapsedLevelsAreSubtotals="1" fieldPosition="0">
        <references count="3">
          <reference field="3" count="1" selected="0">
            <x v="1"/>
          </reference>
          <reference field="5" count="1" selected="0">
            <x v="1"/>
          </reference>
          <reference field="9" count="1">
            <x v="8"/>
          </reference>
        </references>
      </pivotArea>
    </format>
    <format dxfId="1080">
      <pivotArea collapsedLevelsAreSubtotals="1" fieldPosition="0">
        <references count="3">
          <reference field="3" count="1" selected="0">
            <x v="1"/>
          </reference>
          <reference field="5" count="1" selected="0">
            <x v="2"/>
          </reference>
          <reference field="9" count="1">
            <x v="9"/>
          </reference>
        </references>
      </pivotArea>
    </format>
    <format dxfId="107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07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07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07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07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07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07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07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07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07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06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06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06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06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06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06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06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06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06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06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05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05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05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05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05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05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05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05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05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05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04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04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04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04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04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04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04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04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04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4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03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03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03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03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03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3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03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03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03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03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02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02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02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02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02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02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23">
      <pivotArea collapsedLevelsAreSubtotals="1" fieldPosition="0">
        <references count="2">
          <reference field="3" count="1" selected="0">
            <x v="1"/>
          </reference>
          <reference field="5" count="1">
            <x v="1"/>
          </reference>
        </references>
      </pivotArea>
    </format>
    <format dxfId="1022">
      <pivotArea field="3" type="button" dataOnly="0" labelOnly="1" outline="0" axis="axisRow" fieldPosition="1"/>
    </format>
    <format dxfId="1021">
      <pivotArea collapsedLevelsAreSubtotals="1" fieldPosition="0">
        <references count="2">
          <reference field="3" count="1" selected="0">
            <x v="1"/>
          </reference>
          <reference field="5" count="1">
            <x v="2"/>
          </reference>
        </references>
      </pivotArea>
    </format>
    <format dxfId="1020">
      <pivotArea collapsedLevelsAreSubtotals="1" fieldPosition="0">
        <references count="2">
          <reference field="3" count="1" selected="0">
            <x v="0"/>
          </reference>
          <reference field="5" count="1">
            <x v="0"/>
          </reference>
        </references>
      </pivotArea>
    </format>
    <format dxfId="1019">
      <pivotArea field="3" type="button" dataOnly="0" labelOnly="1" outline="0" axis="axisRow" fieldPosition="1"/>
    </format>
    <format dxfId="1018">
      <pivotArea dataOnly="0" labelOnly="1" outline="0" fieldPosition="0">
        <references count="1">
          <reference field="4294967294" count="5">
            <x v="0"/>
            <x v="1"/>
            <x v="2"/>
            <x v="3"/>
            <x v="4"/>
          </reference>
        </references>
      </pivotArea>
    </format>
    <format dxfId="1017">
      <pivotArea field="3" type="button" dataOnly="0" labelOnly="1" outline="0" axis="axisRow" fieldPosition="1"/>
    </format>
    <format dxfId="1016">
      <pivotArea dataOnly="0" labelOnly="1" outline="0" fieldPosition="0">
        <references count="1">
          <reference field="4294967294" count="5">
            <x v="0"/>
            <x v="1"/>
            <x v="2"/>
            <x v="3"/>
            <x v="4"/>
          </reference>
        </references>
      </pivotArea>
    </format>
    <format dxfId="1015">
      <pivotArea field="3" type="button" dataOnly="0" labelOnly="1" outline="0" axis="axisRow" fieldPosition="1"/>
    </format>
    <format dxfId="1014">
      <pivotArea dataOnly="0" labelOnly="1" fieldPosition="0">
        <references count="1">
          <reference field="3" count="0"/>
        </references>
      </pivotArea>
    </format>
    <format dxfId="1013">
      <pivotArea dataOnly="0" labelOnly="1" grandRow="1" outline="0" fieldPosition="0"/>
    </format>
    <format dxfId="1012">
      <pivotArea dataOnly="0" labelOnly="1" fieldPosition="0">
        <references count="2">
          <reference field="3" count="1" selected="0">
            <x v="0"/>
          </reference>
          <reference field="5" count="1">
            <x v="0"/>
          </reference>
        </references>
      </pivotArea>
    </format>
    <format dxfId="1011">
      <pivotArea dataOnly="0" labelOnly="1" fieldPosition="0">
        <references count="2">
          <reference field="3" count="1" selected="0">
            <x v="1"/>
          </reference>
          <reference field="5" count="2">
            <x v="1"/>
            <x v="2"/>
          </reference>
        </references>
      </pivotArea>
    </format>
    <format dxfId="1010">
      <pivotArea dataOnly="0" labelOnly="1" fieldPosition="0">
        <references count="3">
          <reference field="3" count="1" selected="0">
            <x v="0"/>
          </reference>
          <reference field="5" count="1" selected="0">
            <x v="0"/>
          </reference>
          <reference field="9" count="1">
            <x v="0"/>
          </reference>
        </references>
      </pivotArea>
    </format>
    <format dxfId="1009">
      <pivotArea dataOnly="0" labelOnly="1" fieldPosition="0">
        <references count="3">
          <reference field="3" count="1" selected="0">
            <x v="1"/>
          </reference>
          <reference field="5" count="1" selected="0">
            <x v="1"/>
          </reference>
          <reference field="9" count="8">
            <x v="1"/>
            <x v="2"/>
            <x v="3"/>
            <x v="4"/>
            <x v="5"/>
            <x v="6"/>
            <x v="7"/>
            <x v="8"/>
          </reference>
        </references>
      </pivotArea>
    </format>
    <format dxfId="1008">
      <pivotArea dataOnly="0" labelOnly="1" fieldPosition="0">
        <references count="3">
          <reference field="3" count="1" selected="0">
            <x v="1"/>
          </reference>
          <reference field="5" count="1" selected="0">
            <x v="2"/>
          </reference>
          <reference field="9" count="1">
            <x v="9"/>
          </reference>
        </references>
      </pivotArea>
    </format>
    <format dxfId="100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00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00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00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00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00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00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00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99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9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9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9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9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9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99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99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99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99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98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98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98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98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98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98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98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982">
      <pivotArea dataOnly="0" labelOnly="1" fieldPosition="0">
        <references count="1">
          <reference field="13" count="0"/>
        </references>
      </pivotArea>
    </format>
    <format dxfId="981">
      <pivotArea dataOnly="0" labelOnly="1" fieldPosition="0">
        <references count="1">
          <reference field="13" count="0"/>
        </references>
      </pivotArea>
    </format>
    <format dxfId="980">
      <pivotArea type="all" dataOnly="0" outline="0" fieldPosition="0"/>
    </format>
    <format dxfId="979">
      <pivotArea outline="0" collapsedLevelsAreSubtotals="1" fieldPosition="0"/>
    </format>
    <format dxfId="978">
      <pivotArea field="32" type="button" dataOnly="0" labelOnly="1" outline="0" axis="axisRow" fieldPosition="0"/>
    </format>
    <format dxfId="977">
      <pivotArea dataOnly="0" labelOnly="1" grandRow="1" outline="0" fieldPosition="0"/>
    </format>
    <format dxfId="976">
      <pivotArea dataOnly="0" labelOnly="1" fieldPosition="0">
        <references count="2">
          <reference field="3" count="0"/>
          <reference field="32" count="0" selected="0"/>
        </references>
      </pivotArea>
    </format>
    <format dxfId="975">
      <pivotArea dataOnly="0" labelOnly="1" fieldPosition="0">
        <references count="3">
          <reference field="3" count="1" selected="0">
            <x v="0"/>
          </reference>
          <reference field="5" count="1">
            <x v="0"/>
          </reference>
          <reference field="32" count="0" selected="0"/>
        </references>
      </pivotArea>
    </format>
    <format dxfId="974">
      <pivotArea dataOnly="0" labelOnly="1" fieldPosition="0">
        <references count="3">
          <reference field="3" count="1" selected="0">
            <x v="1"/>
          </reference>
          <reference field="5" count="2">
            <x v="1"/>
            <x v="2"/>
          </reference>
          <reference field="32" count="0" selected="0"/>
        </references>
      </pivotArea>
    </format>
    <format dxfId="97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972">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97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970">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969">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96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967">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966">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965">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964">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963">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962">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96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6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5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5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5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5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54">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953">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5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5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5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4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48">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94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46">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945">
      <pivotArea dataOnly="0" labelOnly="1" outline="0" fieldPosition="0">
        <references count="1">
          <reference field="4294967294" count="5">
            <x v="0"/>
            <x v="1"/>
            <x v="2"/>
            <x v="3"/>
            <x v="4"/>
          </reference>
        </references>
      </pivotArea>
    </format>
    <format dxfId="944">
      <pivotArea dataOnly="0" labelOnly="1" fieldPosition="0">
        <references count="1">
          <reference field="33" count="0"/>
        </references>
      </pivotArea>
    </format>
    <format dxfId="943">
      <pivotArea dataOnly="0" labelOnly="1" fieldPosition="0">
        <references count="1">
          <reference field="34" count="0"/>
        </references>
      </pivotArea>
    </format>
    <format dxfId="942">
      <pivotArea dataOnly="0" labelOnly="1" fieldPosition="0">
        <references count="1">
          <reference field="34" count="0"/>
        </references>
      </pivotArea>
    </format>
    <format dxfId="941">
      <pivotArea dataOnly="0" labelOnly="1" fieldPosition="0">
        <references count="1">
          <reference field="34" count="0"/>
        </references>
      </pivotArea>
    </format>
    <format dxfId="940">
      <pivotArea dataOnly="0" labelOnly="1" fieldPosition="0">
        <references count="1">
          <reference field="34" count="0"/>
        </references>
      </pivotArea>
    </format>
    <format dxfId="939">
      <pivotArea dataOnly="0" labelOnly="1" fieldPosition="0">
        <references count="1">
          <reference field="33" count="0"/>
        </references>
      </pivotArea>
    </format>
    <format dxfId="938">
      <pivotArea dataOnly="0" labelOnly="1" fieldPosition="0">
        <references count="1">
          <reference field="33" count="0"/>
        </references>
      </pivotArea>
    </format>
    <format dxfId="937">
      <pivotArea dataOnly="0" labelOnly="1" fieldPosition="0">
        <references count="1">
          <reference field="33" count="0"/>
        </references>
      </pivotArea>
    </format>
    <format dxfId="936">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935">
      <pivotArea dataOnly="0" labelOnly="1" fieldPosition="0">
        <references count="4">
          <reference field="3" count="1" selected="0">
            <x v="0"/>
          </reference>
          <reference field="5" count="1" selected="0">
            <x v="0"/>
          </reference>
          <reference field="32" count="0" selected="0"/>
          <reference field="33" count="1">
            <x v="0"/>
          </reference>
        </references>
      </pivotArea>
    </format>
    <format dxfId="934">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933">
      <pivotArea dataOnly="0" labelOnly="1" fieldPosition="0">
        <references count="4">
          <reference field="3" count="1" selected="0">
            <x v="0"/>
          </reference>
          <reference field="5" count="1" selected="0">
            <x v="0"/>
          </reference>
          <reference field="32" count="0" selected="0"/>
          <reference field="33" count="1">
            <x v="1"/>
          </reference>
        </references>
      </pivotArea>
    </format>
    <format dxfId="932">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931">
      <pivotArea dataOnly="0" labelOnly="1" fieldPosition="0">
        <references count="4">
          <reference field="3" count="1" selected="0">
            <x v="1"/>
          </reference>
          <reference field="5" count="1" selected="0">
            <x v="1"/>
          </reference>
          <reference field="32" count="0" selected="0"/>
          <reference field="33" count="1">
            <x v="0"/>
          </reference>
        </references>
      </pivotArea>
    </format>
    <format dxfId="930">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929">
      <pivotArea dataOnly="0" labelOnly="1" fieldPosition="0">
        <references count="4">
          <reference field="3" count="1" selected="0">
            <x v="1"/>
          </reference>
          <reference field="5" count="1" selected="0">
            <x v="1"/>
          </reference>
          <reference field="32" count="0" selected="0"/>
          <reference field="33" count="1">
            <x v="1"/>
          </reference>
        </references>
      </pivotArea>
    </format>
    <format dxfId="928">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927">
      <pivotArea dataOnly="0" labelOnly="1" fieldPosition="0">
        <references count="4">
          <reference field="3" count="1" selected="0">
            <x v="1"/>
          </reference>
          <reference field="5" count="1" selected="0">
            <x v="1"/>
          </reference>
          <reference field="32" count="0" selected="0"/>
          <reference field="33" count="1">
            <x v="2"/>
          </reference>
        </references>
      </pivotArea>
    </format>
    <format dxfId="926">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925">
      <pivotArea dataOnly="0" labelOnly="1" fieldPosition="0">
        <references count="4">
          <reference field="3" count="1" selected="0">
            <x v="1"/>
          </reference>
          <reference field="5" count="1" selected="0">
            <x v="1"/>
          </reference>
          <reference field="32" count="0" selected="0"/>
          <reference field="33" count="1">
            <x v="3"/>
          </reference>
        </references>
      </pivotArea>
    </format>
    <format dxfId="924">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923">
      <pivotArea dataOnly="0" labelOnly="1" fieldPosition="0">
        <references count="4">
          <reference field="3" count="1" selected="0">
            <x v="1"/>
          </reference>
          <reference field="5" count="1" selected="0">
            <x v="2"/>
          </reference>
          <reference field="32" count="0" selected="0"/>
          <reference field="33" count="1">
            <x v="2"/>
          </reference>
        </references>
      </pivotArea>
    </format>
    <format dxfId="922">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921">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920">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919">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918">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917">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916">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15">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14">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13">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12">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11">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10">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909">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908">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907">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906">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905">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904">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903">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902">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901">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900">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99">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898">
      <pivotArea dataOnly="0" labelOnly="1" fieldPosition="0">
        <references count="1">
          <reference field="32" count="0"/>
        </references>
      </pivotArea>
    </format>
    <format dxfId="897">
      <pivotArea collapsedLevelsAreSubtotals="1" fieldPosition="0">
        <references count="1">
          <reference field="32" count="0"/>
        </references>
      </pivotArea>
    </format>
    <format dxfId="896">
      <pivotArea dataOnly="0" labelOnly="1" fieldPosition="0">
        <references count="1">
          <reference field="32" count="0"/>
        </references>
      </pivotArea>
    </format>
    <format dxfId="895">
      <pivotArea dataOnly="0" labelOnly="1" fieldPosition="0">
        <references count="1">
          <reference field="13" count="0"/>
        </references>
      </pivotArea>
    </format>
    <format dxfId="89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9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89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9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89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8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88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8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88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8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88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8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88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8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88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7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87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7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87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7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87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7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87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7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87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6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6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6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6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6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6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6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6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6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6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5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5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5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5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5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5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5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5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5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5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4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4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4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4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4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4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4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4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3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3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3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3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3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3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3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3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3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2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2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2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2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2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2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2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2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2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2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1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1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1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1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1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1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1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12">
      <pivotArea dataOnly="0" labelOnly="1" fieldPosition="0">
        <references count="1">
          <reference field="11" count="0"/>
        </references>
      </pivotArea>
    </format>
    <format dxfId="811">
      <pivotArea dataOnly="0" labelOnly="1" fieldPosition="0">
        <references count="1">
          <reference field="11" count="0"/>
        </references>
      </pivotArea>
    </format>
    <format dxfId="810">
      <pivotArea dataOnly="0" labelOnly="1" fieldPosition="0">
        <references count="1">
          <reference field="13" count="0"/>
        </references>
      </pivotArea>
    </format>
    <format dxfId="809">
      <pivotArea dataOnly="0" labelOnly="1" fieldPosition="0">
        <references count="1">
          <reference field="13" count="0"/>
        </references>
      </pivotArea>
    </format>
    <format dxfId="808">
      <pivotArea dataOnly="0" labelOnly="1" fieldPosition="0">
        <references count="1">
          <reference field="34" count="0"/>
        </references>
      </pivotArea>
    </format>
    <format dxfId="807">
      <pivotArea dataOnly="0" labelOnly="1" fieldPosition="0">
        <references count="1">
          <reference field="34" count="0"/>
        </references>
      </pivotArea>
    </format>
    <format dxfId="8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7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7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7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7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77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7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76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76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76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76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76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760">
      <pivotArea dataOnly="0" labelOnly="1" fieldPosition="0">
        <references count="1">
          <reference field="11" count="0"/>
        </references>
      </pivotArea>
    </format>
    <format dxfId="759">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5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57">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56">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55">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5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53">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5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5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5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4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4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4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4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45">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44">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43">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42">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41">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4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39">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3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37">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36">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35">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3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3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3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31">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3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29">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2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27">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26">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25">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24">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23">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2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21">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2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19">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18">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17">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16">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1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1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1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1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1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1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09">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08">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07">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06">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05">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0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03">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0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01">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0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699">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98">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69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9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695">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69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693">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9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691">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690">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689">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688">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687">
      <pivotArea outline="0" collapsedLevelsAreSubtotals="1" fieldPosition="0"/>
    </format>
    <format dxfId="68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68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68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68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682">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681">
      <pivotArea outline="0" collapsedLevelsAreSubtotals="1" fieldPosition="0"/>
    </format>
    <format dxfId="680">
      <pivotArea type="all" dataOnly="0" outline="0" fieldPosition="0"/>
    </format>
    <format dxfId="679">
      <pivotArea outline="0" collapsedLevelsAreSubtotals="1" fieldPosition="0"/>
    </format>
    <format dxfId="678">
      <pivotArea field="30" type="button" dataOnly="0" labelOnly="1" outline="0" axis="axisRow" fieldPosition="0"/>
    </format>
    <format dxfId="677">
      <pivotArea dataOnly="0" labelOnly="1" grandRow="1" outline="0" fieldPosition="0"/>
    </format>
    <format dxfId="676">
      <pivotArea dataOnly="0" labelOnly="1" outline="0" fieldPosition="0">
        <references count="1">
          <reference field="4294967294" count="4">
            <x v="0"/>
            <x v="1"/>
            <x v="2"/>
            <x v="3"/>
          </reference>
        </references>
      </pivotArea>
    </format>
    <format dxfId="675">
      <pivotArea dataOnly="0" labelOnly="1" fieldPosition="0">
        <references count="1">
          <reference field="30" count="0"/>
        </references>
      </pivotArea>
    </format>
    <format dxfId="674">
      <pivotArea collapsedLevelsAreSubtotals="1" fieldPosition="0">
        <references count="1">
          <reference field="30" count="1">
            <x v="0"/>
          </reference>
        </references>
      </pivotArea>
    </format>
    <format dxfId="673">
      <pivotArea dataOnly="0" labelOnly="1" fieldPosition="0">
        <references count="1">
          <reference field="30" count="1">
            <x v="0"/>
          </reference>
        </references>
      </pivotArea>
    </format>
    <format dxfId="672">
      <pivotArea collapsedLevelsAreSubtotals="1" fieldPosition="0">
        <references count="1">
          <reference field="30" count="1">
            <x v="1"/>
          </reference>
        </references>
      </pivotArea>
    </format>
    <format dxfId="671">
      <pivotArea dataOnly="0" labelOnly="1" fieldPosition="0">
        <references count="1">
          <reference field="30" count="1">
            <x v="1"/>
          </reference>
        </references>
      </pivotArea>
    </format>
    <format dxfId="670">
      <pivotArea collapsedLevelsAreSubtotals="1" fieldPosition="0">
        <references count="1">
          <reference field="30" count="1">
            <x v="2"/>
          </reference>
        </references>
      </pivotArea>
    </format>
    <format dxfId="669">
      <pivotArea dataOnly="0" labelOnly="1" fieldPosition="0">
        <references count="1">
          <reference field="30" count="1">
            <x v="2"/>
          </reference>
        </references>
      </pivotArea>
    </format>
    <format dxfId="668">
      <pivotArea collapsedLevelsAreSubtotals="1" fieldPosition="0">
        <references count="1">
          <reference field="30" count="1">
            <x v="3"/>
          </reference>
        </references>
      </pivotArea>
    </format>
    <format dxfId="667">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211">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210">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209">
      <calculatedColumnFormula>_xlfn.TEXTJOIN(" - ",TRUE,Subkoord[[#This Row],[id]],Subkoord[[#This Row],[skrdklpk]])</calculatedColumnFormula>
    </tableColumn>
    <tableColumn id="7" xr3:uid="{BB0E08D1-7433-45E1-9A8E-F09478BEE345}" name="Koordinator" dataDxfId="1208">
      <calculatedColumnFormula array="1">INDEX(Koord[Koordinator],MATCH(1,(Subkoord[[#This Row],[id2]]=Koord[id2])*(Subkoord[[#This Row],[id3]]=Koord[id]),0))</calculatedColumnFormula>
    </tableColumn>
    <tableColumn id="8" xr3:uid="{CE9A8D26-5115-4AB0-A0D6-173532BAC073}" name="Eselon2" dataDxfId="1207">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81" totalsRowShown="0" headerRowDxfId="1203" dataDxfId="1202" tableBorderDxfId="1201">
  <autoFilter ref="B10:O181" xr:uid="{5439E600-4AE6-4A9C-BF96-1F8B4649EF5E}"/>
  <sortState xmlns:xlrd2="http://schemas.microsoft.com/office/spreadsheetml/2017/richdata2" ref="B11:O171">
    <sortCondition ref="C10:C171"/>
  </sortState>
  <tableColumns count="14">
    <tableColumn id="1" xr3:uid="{EA3EA993-E9B8-4175-AE78-56C2DE826084}" name="No" dataDxfId="1200" totalsRowDxfId="1199" dataCellStyle="Normal 4" totalsRowCellStyle="Normal 4"/>
    <tableColumn id="14" xr3:uid="{39BE1E11-4C0D-43C9-A7CF-CFD7B6D88EC1}" name="Urut" dataDxfId="1198" totalsRowDxfId="1197" dataCellStyle="Normal 4" totalsRowCellStyle="Normal 4"/>
    <tableColumn id="2" xr3:uid="{55765DF9-9B2D-49B2-8C10-51C6F4795A2B}" name="Nomor SP2D" dataDxfId="1196" totalsRowDxfId="1195" totalsRowCellStyle="Normal 4"/>
    <tableColumn id="3" xr3:uid="{95F2A4A6-178D-4D09-BEC2-A35DA9DD284C}" name="Tanggal SP2D" dataDxfId="1194" totalsRowDxfId="1193" totalsRowCellStyle="Normal 4"/>
    <tableColumn id="4" xr3:uid="{1BFC6E15-B107-44FC-880F-0FA398A70437}" name="Nilai SP2D" dataDxfId="1192" totalsRowDxfId="1191" dataCellStyle="Comma [0]" totalsRowCellStyle="Comma [0]"/>
    <tableColumn id="5" xr3:uid="{BA79B4B6-6D4D-4C40-A794-FBA956D546A8}" name="Jenis SPM" dataDxfId="1190" totalsRowDxfId="1189" totalsRowCellStyle="Normal 4"/>
    <tableColumn id="6" xr3:uid="{0728F6B3-877B-4801-849D-78A7FD394756}" name="Nomor Invoice" dataDxfId="1188" totalsRowDxfId="1187" totalsRowCellStyle="Normal 4"/>
    <tableColumn id="7" xr3:uid="{BC8C9A9E-906E-4F73-AA7C-36C21228DCD0}" name="Tanggal Invoice" dataDxfId="1186" totalsRowDxfId="1185" totalsRowCellStyle="Normal 4"/>
    <tableColumn id="8" xr3:uid="{4F370E97-CC92-41D4-B70A-C2C397F13E5F}" name="Jenis SP2D" dataDxfId="1184" totalsRowDxfId="1183" totalsRowCellStyle="Normal 4"/>
    <tableColumn id="9" xr3:uid="{5AB0F2BB-729E-4A36-99C2-531506F2E0D4}" name="Deskripsi" dataDxfId="1182" totalsRowDxfId="1181" totalsRowCellStyle="Normal 4"/>
    <tableColumn id="10" xr3:uid="{E9855FB4-726E-4E0F-A40E-89C5AF4CAAE7}" name="Bagian / Bidang" dataDxfId="1180" totalsRowDxfId="1179" dataCellStyle="Normal 4" totalsRowCellStyle="Normal 4"/>
    <tableColumn id="11" xr3:uid="{07CEE088-AC9A-406D-AECA-D9F23626D4D5}" name="Subbagian / Subbidang" dataDxfId="1178" totalsRowDxfId="1177" dataCellStyle="Normal 4" totalsRowCellStyle="Normal 4"/>
    <tableColumn id="13" xr3:uid="{7D701C80-B1AD-4D78-B3C3-525A71261916}" name="Status Realisasi" dataDxfId="1176" dataCellStyle="Normal 4"/>
    <tableColumn id="12" xr3:uid="{BE916C21-2F59-4DE9-9BDF-707A1C1956B2}" name="all" dataDxfId="1175"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666" dataDxfId="665">
  <autoFilter ref="A3:BA143" xr:uid="{0C46C9EE-53F2-428C-9BE4-AA19FA2987DF}"/>
  <tableColumns count="53">
    <tableColumn id="1" xr3:uid="{A2BC3788-B1CE-4A3F-B6F3-D1D27F201210}" name="kddept" dataDxfId="664"/>
    <tableColumn id="2" xr3:uid="{2DB0BCF7-353A-4057-BFD0-5A9AFD7AD377}" name="kdunit" dataDxfId="663"/>
    <tableColumn id="3" xr3:uid="{6BCC3689-465C-41AB-AA41-B61148952378}" name="kdprogram" dataDxfId="662"/>
    <tableColumn id="4" xr3:uid="{2A5A7B58-839E-4216-A115-BA31451747CC}" name="Program" dataDxfId="661"/>
    <tableColumn id="5" xr3:uid="{B90B5CFD-D8F4-48C4-81DF-60CCA43D8B33}" name="kdgiat" dataDxfId="660"/>
    <tableColumn id="6" xr3:uid="{665306DE-5004-4796-BA54-AF3E581B23DE}" name="Kegiatan" dataDxfId="659"/>
    <tableColumn id="7" xr3:uid="{896282BA-49FB-4172-920C-20AE0DBD436D}" name="kdoutput" dataDxfId="658"/>
    <tableColumn id="8" xr3:uid="{81ACE6BC-C81E-44B5-AC16-FA7339E6C95D}" name="Output" dataDxfId="657"/>
    <tableColumn id="9" xr3:uid="{B9A79FBA-908D-418C-864B-733536EBB6AD}" name="kdsoutput" dataDxfId="656"/>
    <tableColumn id="10" xr3:uid="{8730A0E5-24CD-4DD0-97C9-7EB5897F6937}" name="SubOutput" dataDxfId="655"/>
    <tableColumn id="11" xr3:uid="{A1213678-0772-43DE-9A68-4CCAC2CAB97F}" name="kdkmpnen" dataDxfId="654"/>
    <tableColumn id="12" xr3:uid="{13F01672-806F-47CD-8E7B-DBEF02211C49}" name="Komponen" dataDxfId="653"/>
    <tableColumn id="13" xr3:uid="{EE24777D-4C50-49CF-9D51-B1D10E6B59C5}" name="kdskmpnen" dataDxfId="652"/>
    <tableColumn id="14" xr3:uid="{6B16732C-65AB-40BC-9BE7-38F27B545CA4}" name="SubKomponen" dataDxfId="651"/>
    <tableColumn id="15" xr3:uid="{9DE11426-CAD6-4307-AF79-5BA31FE425C4}" name="kdakun" dataDxfId="650"/>
    <tableColumn id="16" xr3:uid="{95D2AD80-8C0A-4582-9C73-FCD7148568BD}" name="Akun" dataDxfId="649"/>
    <tableColumn id="17" xr3:uid="{1099A73B-6EFE-4758-9112-C98BE9AF6233}" name="Pagu" dataDxfId="648" dataCellStyle="Comma [0]">
      <calculatedColumnFormula array="1">SUM(_xlfn._xlws.FILTER(DIPA2[PaguRevisi],DIPA2[Akun]=SP2D[[#This Row],[Kode Akun]],0))</calculatedColumnFormula>
    </tableColumn>
    <tableColumn id="18" xr3:uid="{F5761B11-9E81-4F7C-BD95-CB52A5BA049C}" name="Pagu Semula" dataDxfId="647" dataCellStyle="Comma [0]"/>
    <tableColumn id="52" xr3:uid="{756AF1CD-7E6D-49D5-9982-55502306D24E}" name="Blokir AA ke 1" dataDxfId="646" dataCellStyle="Comma [0]"/>
    <tableColumn id="53" xr3:uid="{6DF30DE6-28F7-4458-802A-BCB387ECC2BB}" name="Blokir AA ke 2" dataDxfId="645" dataCellStyle="Comma [0]">
      <calculatedColumnFormula>SP2D[[#This Row],[Pagu Semula]]-SP2D[[#This Row],[Pagu]]</calculatedColumnFormula>
    </tableColumn>
    <tableColumn id="19" xr3:uid="{D85464D1-34A4-4D62-B202-AA5B44380AE8}" name="Jan" dataDxfId="644">
      <calculatedColumnFormula>SUM('PER BULAN'!J92:L92)</calculatedColumnFormula>
    </tableColumn>
    <tableColumn id="20" xr3:uid="{59AFB7C3-9561-4F72-BA75-233CA8574E0E}" name="Feb" dataDxfId="643"/>
    <tableColumn id="21" xr3:uid="{339941D9-EB6A-4D9E-AAFD-8BC87914D9CD}" name="Mar" dataDxfId="642"/>
    <tableColumn id="22" xr3:uid="{4DB8271D-A562-4BDB-AF86-6803F5A0D6B6}" name="Apr" dataDxfId="641"/>
    <tableColumn id="23" xr3:uid="{A6296B83-2C3A-4B7B-B349-C7B81EF82E20}" name="Mei" dataDxfId="640"/>
    <tableColumn id="24" xr3:uid="{E35B9BB8-2C59-4938-BD17-AB6DA6D49836}" name="Jun" dataDxfId="639"/>
    <tableColumn id="25" xr3:uid="{0B56CE2F-22F5-4935-B179-82B908FFA45C}" name="Jul" dataDxfId="638"/>
    <tableColumn id="26" xr3:uid="{C5C2C340-1544-4521-9059-33AEBE3423A8}" name="Ags" dataDxfId="637"/>
    <tableColumn id="27" xr3:uid="{86511B91-6FBB-44C6-BFE0-FC75035E6D40}" name="Sep" dataDxfId="636"/>
    <tableColumn id="28" xr3:uid="{2C0763CA-B0D1-4434-BD74-3778A7A332E6}" name="Okt" dataDxfId="635"/>
    <tableColumn id="29" xr3:uid="{1D2AE206-2433-4713-B023-179D69FA3E25}" name="Nov" dataDxfId="634"/>
    <tableColumn id="30" xr3:uid="{C1E5584B-01F1-4175-8FA8-D285D3701F44}" name="Des" dataDxfId="633"/>
    <tableColumn id="31" xr3:uid="{3BEE2055-AE9D-40FE-AE62-8E331B1816BF}" name="eselon2" dataDxfId="632"/>
    <tableColumn id="32" xr3:uid="{A002471B-4101-4577-BC3A-704405B733FB}" name="koordinator" dataDxfId="631"/>
    <tableColumn id="33" xr3:uid="{D023DF90-D6C9-428C-971B-7DDF8C7D5F03}" name="Subkoordinator" dataDxfId="630"/>
    <tableColumn id="34" xr3:uid="{FE48F7A1-0956-4644-89C0-EA36C183F595}" name="Jns_Belanja" dataDxfId="629"/>
    <tableColumn id="35" xr3:uid="{BE3FC102-4A2C-4D3D-B515-5052A70FFDEB}" name="satker" dataDxfId="628"/>
    <tableColumn id="36" xr3:uid="{C44DBFA7-2D15-465C-8D00-F06B638B5ED4}" name="Realisasi" dataDxfId="627" dataCellStyle="Comma [0]">
      <calculatedColumnFormula>SUM(U4:AF4)</calculatedColumnFormula>
    </tableColumn>
    <tableColumn id="37" xr3:uid="{DE361282-2992-4D2B-992E-4096AF6D8E40}" name="Real %" dataDxfId="626">
      <calculatedColumnFormula>IFERROR(AL4/Q4*100,0)</calculatedColumnFormula>
    </tableColumn>
    <tableColumn id="38" xr3:uid="{EEF961EF-FF6A-40D5-A0B6-ED634EBADFBC}" name="Sisa" dataDxfId="625" dataCellStyle="Comma [0]">
      <calculatedColumnFormula>Q4-AL4</calculatedColumnFormula>
    </tableColumn>
    <tableColumn id="39" xr3:uid="{85643851-7A65-42C2-A08E-B6A7A8DA03F0}" name="Real %2" dataDxfId="624">
      <calculatedColumnFormula>IFERROR(AN4/Q4*100,0)</calculatedColumnFormula>
    </tableColumn>
    <tableColumn id="40" xr3:uid="{9E4F31F6-8A80-4410-976A-8EEA7368EA20}" name="Kode Akun" dataDxfId="623">
      <calculatedColumnFormula>_xlfn.TEXTJOIN(".",TRUE,C4,E4,G4,I4,K4,M4,O4)</calculatedColumnFormula>
    </tableColumn>
    <tableColumn id="41" xr3:uid="{0FDDBC90-1CC8-4C07-8122-50D2362EF739}" name="Status Covid" dataDxfId="622">
      <calculatedColumnFormula>IF(ISNUMBER(SEARCH("COVID",SP2D[[#This Row],[Akun]])),"COVID","Non COVID")</calculatedColumnFormula>
    </tableColumn>
    <tableColumn id="42" xr3:uid="{3D9BDB80-A0C7-4422-BA12-733AF91AF0E5}" name="Status Realisasi" dataDxfId="62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62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619"/>
    <tableColumn id="45" xr3:uid="{4B827D21-BED7-493A-98C2-BF92D20ACB6E}" name="TUP 1" dataDxfId="618"/>
    <tableColumn id="46" xr3:uid="{1A108E85-F9A8-4C5A-B9B2-E8E733C3D3EB}" name="GUP 2" dataDxfId="617"/>
    <tableColumn id="47" xr3:uid="{197D7FA7-EA56-478F-AC63-0B5D47D9765B}" name="GUP 3" dataDxfId="616"/>
    <tableColumn id="48" xr3:uid="{4614C9FA-2AB0-4D2D-AA55-13680C8EE8C5}" name="GUP 4" dataDxfId="615"/>
    <tableColumn id="49" xr3:uid="{9B9C7D3C-BD3B-413C-9633-5B1476894793}" name="GUP 5" dataDxfId="614"/>
    <tableColumn id="50" xr3:uid="{7F81D278-F155-4728-BD7E-4DD553D05EAC}" name="TUP 2 (1)" dataDxfId="613"/>
    <tableColumn id="51" xr3:uid="{40F6E74E-B62F-4684-A934-E1FBCD0EDECE}" name="TUP 2 (2)" dataDxfId="6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11" dataDxfId="610">
  <autoFilter ref="A3:BA15" xr:uid="{0218787B-FAFB-4E31-BAF7-C07090CCABB5}"/>
  <tableColumns count="53">
    <tableColumn id="1" xr3:uid="{80105D8C-B6CC-4C67-A0D5-A51108634790}" name="kddept" dataDxfId="609"/>
    <tableColumn id="2" xr3:uid="{79F788C4-BE24-4442-B4A5-787846FC3242}" name="kdunit" dataDxfId="608"/>
    <tableColumn id="3" xr3:uid="{F5607343-B1C5-442F-9F62-66DAB70DF978}" name="kdprogram" dataDxfId="607"/>
    <tableColumn id="4" xr3:uid="{67275D4D-383A-492A-9FB0-586605819489}" name="Program" dataDxfId="606"/>
    <tableColumn id="5" xr3:uid="{7E089115-5279-4639-B5C8-B5B142691A5E}" name="kdgiat" dataDxfId="605"/>
    <tableColumn id="6" xr3:uid="{86B452FA-0999-4C13-97B6-34303305E62C}" name="Kegiatan" dataDxfId="604"/>
    <tableColumn id="7" xr3:uid="{098073A3-0D75-44F5-98F3-9D58ABD0F494}" name="kdoutput" dataDxfId="603"/>
    <tableColumn id="8" xr3:uid="{DD29FD42-F6B4-48DB-ABD5-0B9035D7350B}" name="Output" dataDxfId="602"/>
    <tableColumn id="9" xr3:uid="{DD7BECAC-0FA2-4D83-AFED-EA1423BBAE3B}" name="kdsoutput" dataDxfId="601"/>
    <tableColumn id="10" xr3:uid="{41EDA2EB-4FE5-485A-9A85-BC1CF6F808E6}" name="SubOutput" dataDxfId="600"/>
    <tableColumn id="11" xr3:uid="{0C0092F1-3B9A-4262-87F2-DF8809ADB48A}" name="kdkmpnen" dataDxfId="599"/>
    <tableColumn id="12" xr3:uid="{7F02E6EE-4073-428C-A01E-C7F9404E22AB}" name="Komponen" dataDxfId="598"/>
    <tableColumn id="13" xr3:uid="{D5E22675-8A73-40C8-BA6D-4D22AD4BD880}" name="kdskmpnen" dataDxfId="597"/>
    <tableColumn id="14" xr3:uid="{21C5F2BB-4B18-41F3-8B47-CA7C999E1D95}" name="SubKomponen" dataDxfId="596"/>
    <tableColumn id="15" xr3:uid="{7EF6CEAB-DE31-4DEA-B8DF-BDD5AD5C3604}" name="kdakun" dataDxfId="595"/>
    <tableColumn id="16" xr3:uid="{897A6630-15AA-4E92-AF17-989B50249F0B}" name="Akun" dataDxfId="594"/>
    <tableColumn id="17" xr3:uid="{F469B670-C97B-4C45-BFA1-11EC2F3BBE30}" name="Pagu" dataDxfId="593" dataCellStyle="Comma [0]">
      <calculatedColumnFormula array="1">SUM(_xlfn._xlws.FILTER(DIPA2[PaguRevisi],DIPA2[Akun]=SP2D_GAJI[[#This Row],[Kode Akun]],0))</calculatedColumnFormula>
    </tableColumn>
    <tableColumn id="18" xr3:uid="{331F462C-70B7-43E1-8F2C-778E95ACAEA1}" name="Pagu Semula" dataDxfId="592" dataCellStyle="Comma [0]"/>
    <tableColumn id="52" xr3:uid="{2F016D06-D133-47D7-B695-4667F3490729}" name="Blokir AA ke 1" dataDxfId="591" dataCellStyle="Comma [0]"/>
    <tableColumn id="53" xr3:uid="{165EF6BA-1776-4571-B8AD-920C3A030766}" name="Blokir AA ke 2" dataDxfId="590" dataCellStyle="Comma [0]"/>
    <tableColumn id="19" xr3:uid="{D0C2276A-7026-4576-85D7-919441521A6C}" name="Jan" dataDxfId="589">
      <calculatedColumnFormula>SUM('PER BULAN'!J238:L238)</calculatedColumnFormula>
    </tableColumn>
    <tableColumn id="20" xr3:uid="{A9EF8502-8C6E-4766-AD68-658B4D1E747D}" name="Feb" dataDxfId="588">
      <calculatedColumnFormula>SUM('PER BULAN'!M238:O238)</calculatedColumnFormula>
    </tableColumn>
    <tableColumn id="21" xr3:uid="{746DC00C-C89E-4DDA-BBC9-1D134830D029}" name="Mar" dataDxfId="587">
      <calculatedColumnFormula>SUM('PER BULAN'!P238:R238)</calculatedColumnFormula>
    </tableColumn>
    <tableColumn id="22" xr3:uid="{05F5FC17-0CBB-4151-889F-60CFCD7C34DD}" name="Apr" dataDxfId="586">
      <calculatedColumnFormula>SUM('PER BULAN'!S238:U238)</calculatedColumnFormula>
    </tableColumn>
    <tableColumn id="23" xr3:uid="{C42FB8F4-7097-4474-A778-F18CBF2B07B1}" name="Mei" dataDxfId="585">
      <calculatedColumnFormula>SUM('PER BULAN'!V238:X238)</calculatedColumnFormula>
    </tableColumn>
    <tableColumn id="24" xr3:uid="{F4454E89-E22D-410A-82EB-5F0DC627F170}" name="Jun" dataDxfId="584">
      <calculatedColumnFormula>SUM('PER BULAN'!Y238:AA238)</calculatedColumnFormula>
    </tableColumn>
    <tableColumn id="25" xr3:uid="{2AA6CCE9-FDEE-48C4-8B21-D75DF41DA271}" name="Jul" dataDxfId="583">
      <calculatedColumnFormula>SUM('PER BULAN'!AB238:AD238)</calculatedColumnFormula>
    </tableColumn>
    <tableColumn id="26" xr3:uid="{7FACB806-C5A3-48BA-9D07-F51AF74D0E09}" name="Ags" dataDxfId="582">
      <calculatedColumnFormula>SUM('PER BULAN'!AE238:AG238)</calculatedColumnFormula>
    </tableColumn>
    <tableColumn id="27" xr3:uid="{C4B9A446-705C-463E-B7DA-7A0740B8C905}" name="Sep" dataDxfId="581">
      <calculatedColumnFormula>SUM('PER BULAN'!AH238:AJ238)</calculatedColumnFormula>
    </tableColumn>
    <tableColumn id="28" xr3:uid="{5AAFBEBC-03FC-4E4A-83F9-E67BEB3D5981}" name="Okt" dataDxfId="580">
      <calculatedColumnFormula>SUM('PER BULAN'!AK238:AM238)</calculatedColumnFormula>
    </tableColumn>
    <tableColumn id="29" xr3:uid="{4906B5CD-CEE5-4A98-B22E-AC637B561A64}" name="Nov" dataDxfId="579">
      <calculatedColumnFormula>SUM('PER BULAN'!AN238:AP238)</calculatedColumnFormula>
    </tableColumn>
    <tableColumn id="30" xr3:uid="{CE67CAFB-1501-4D81-9EF9-85B2D20132C0}" name="Des" dataDxfId="578">
      <calculatedColumnFormula>SUM('PER BULAN'!AQ238:AS238)</calculatedColumnFormula>
    </tableColumn>
    <tableColumn id="31" xr3:uid="{68D2BC5B-AA42-4205-92C2-22EE6E2A455F}" name="eselon2" dataDxfId="577"/>
    <tableColumn id="32" xr3:uid="{BA84A518-BE39-4F09-B013-2F165F75B2C4}" name="koordinator" dataDxfId="576"/>
    <tableColumn id="33" xr3:uid="{056A603E-AF28-4BB5-BFC3-BCB9B9C999CA}" name="Subkoordinator" dataDxfId="575"/>
    <tableColumn id="34" xr3:uid="{D4673DE9-E399-427A-A7FA-55224584489E}" name="Jns_Belanja" dataDxfId="574"/>
    <tableColumn id="35" xr3:uid="{A8855799-45D2-43E8-83A2-AA11614A2AB5}" name="satker" dataDxfId="573"/>
    <tableColumn id="36" xr3:uid="{7FE40A5B-7697-4CF3-B532-E8DEA6942EA1}" name="Realisasi" dataDxfId="572" dataCellStyle="Comma [0]">
      <calculatedColumnFormula>SUM(U4:AF4)</calculatedColumnFormula>
    </tableColumn>
    <tableColumn id="37" xr3:uid="{485221C0-0D00-438E-BDE5-343CD7B9DEA0}" name="Real %" dataDxfId="571">
      <calculatedColumnFormula>IFERROR(AL4/Q4*100,0)</calculatedColumnFormula>
    </tableColumn>
    <tableColumn id="38" xr3:uid="{8B93FCA3-495B-49BB-8273-31AF01368B83}" name="Sisa" dataDxfId="570" dataCellStyle="Comma [0]">
      <calculatedColumnFormula>Q4-AL4</calculatedColumnFormula>
    </tableColumn>
    <tableColumn id="39" xr3:uid="{E92777FB-21B0-4FEC-B74B-99E5CBE0B3F9}" name="Real %2" dataDxfId="569">
      <calculatedColumnFormula>IFERROR(AN4/Q4*100,0)</calculatedColumnFormula>
    </tableColumn>
    <tableColumn id="40" xr3:uid="{AF8769F5-B4D9-4C85-9DA8-FD27BDBB1A6C}" name="Kode Akun" dataDxfId="568">
      <calculatedColumnFormula>_xlfn.TEXTJOIN(".",TRUE,C4,E4,G4,I4,K4,M4,O4)</calculatedColumnFormula>
    </tableColumn>
    <tableColumn id="41" xr3:uid="{3D3B549A-EABA-490D-9DA6-37523724BE61}" name="Status Covid" dataDxfId="567">
      <calculatedColumnFormula>IF(ISNUMBER(SEARCH("COVID",SP2D_GAJI[[#This Row],[Akun]])),"COVID","Non COVID")</calculatedColumnFormula>
    </tableColumn>
    <tableColumn id="42" xr3:uid="{184FBB69-68B1-4E38-891F-51917E4DC587}" name="Status Realisasi" dataDxfId="566">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56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564"/>
    <tableColumn id="45" xr3:uid="{9C1934D8-99CF-4988-9800-1BFA557120E5}" name="TUP 1" dataDxfId="563"/>
    <tableColumn id="46" xr3:uid="{A4CF8F3D-CD3D-44F3-9820-88903E09EF80}" name="GUP 2" dataDxfId="562"/>
    <tableColumn id="47" xr3:uid="{099E42CD-67D0-44DB-B845-55EC12EB7D6E}" name="GUP 3" dataDxfId="561"/>
    <tableColumn id="48" xr3:uid="{B5E0BACE-F6DB-4087-90C7-B2D17ED966B6}" name="GUP 4" dataDxfId="560"/>
    <tableColumn id="49" xr3:uid="{BDAA27ED-0F52-48FE-B061-0279E351DC40}" name="GUP 5" dataDxfId="559"/>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52" headerRowBorderDxfId="551" tableBorderDxfId="550">
  <autoFilter ref="B234:BH250" xr:uid="{A3F03F6D-6A59-461B-A929-C35C787407F3}"/>
  <tableColumns count="59">
    <tableColumn id="1" xr3:uid="{006731C9-F32D-4A40-8CDB-A1548E10C0D4}" name="KODE" dataDxfId="549"/>
    <tableColumn id="2" xr3:uid="{A9307D7A-2701-4752-B274-B25BEF4C5078}" name="URAIAN" dataDxfId="548"/>
    <tableColumn id="3" xr3:uid="{FCCF3154-C285-471C-AC86-6DCF2BB5907D}" name="VOL" dataDxfId="547"/>
    <tableColumn id="4" xr3:uid="{C6A127B2-6CDD-4E0C-AF9D-730F6DDD09BC}" name="SATUAN" dataDxfId="546"/>
    <tableColumn id="5" xr3:uid="{3F90CE26-DF36-4D37-9C47-12A1CEB8D773}" name="Pagu Revisi" dataDxfId="545" dataCellStyle="Comma [0]"/>
    <tableColumn id="6" xr3:uid="{A2F11568-8A8E-4AFC-9F99-BFB17EAEEC9C}" name="Pagu Semula" dataDxfId="544" dataCellStyle="Comma [0]"/>
    <tableColumn id="7" xr3:uid="{B7EE8BCB-D0ED-4450-8EBB-6FD673560D7C}" name="Blokir AA ke 1" dataDxfId="543" dataCellStyle="Comma [0]"/>
    <tableColumn id="8" xr3:uid="{9EDAF3A8-6D97-400A-848D-D47BF571F43E}" name="Blokir AA ke 2" dataDxfId="542" dataCellStyle="Comma [0]">
      <calculatedColumnFormula>G235-F235</calculatedColumnFormula>
    </tableColumn>
    <tableColumn id="9" xr3:uid="{63315451-3A2B-4613-A63E-C9450FC73D6C}" name="JANUARI" dataDxfId="541" dataCellStyle="Comma [0]"/>
    <tableColumn id="10" xr3:uid="{16EC35FF-13CF-4870-920C-AAB913E770C7}" name="Column4" dataDxfId="540" dataCellStyle="Comma [0]"/>
    <tableColumn id="11" xr3:uid="{729D99E3-0A52-4B2E-A9C0-DE02E05ED840}" name="Column5" dataDxfId="539" dataCellStyle="Comma [0]"/>
    <tableColumn id="12" xr3:uid="{AB374DB6-7598-4C30-A85F-F63F132B7BA1}" name="FEBRUARI" dataDxfId="538" dataCellStyle="Normal 5"/>
    <tableColumn id="13" xr3:uid="{2D1151EC-AD11-4F11-9D1D-698FBA569F26}" name="Column6" dataDxfId="537" dataCellStyle="Comma [0]"/>
    <tableColumn id="14" xr3:uid="{C25F446B-37CA-4C46-8DE3-5CBDF83F99DF}" name="Column7" dataDxfId="536" dataCellStyle="Comma [0]"/>
    <tableColumn id="15" xr3:uid="{2B771376-C41A-4F53-BC5F-03146D6453D2}" name="MARET" dataDxfId="535" dataCellStyle="Normal 5"/>
    <tableColumn id="16" xr3:uid="{26AE15C1-AF2B-46A7-ADBC-F20B8677DE0D}" name="Column8" dataDxfId="534" dataCellStyle="Comma [0]"/>
    <tableColumn id="17" xr3:uid="{DFBDA772-EF7F-41E6-9DFB-E477C75E4388}" name="Column9" dataDxfId="533" dataCellStyle="Comma [0]"/>
    <tableColumn id="18" xr3:uid="{041FDBBB-13D6-40FC-B497-A1E84A4034E8}" name="APRIL" dataDxfId="532" dataCellStyle="Normal 5"/>
    <tableColumn id="19" xr3:uid="{6168E056-C134-418C-BAA8-73541257F097}" name="Column10" dataDxfId="531" dataCellStyle="Comma [0]"/>
    <tableColumn id="20" xr3:uid="{ECE7E801-4FE3-4CB0-B83E-AEDB75DF320F}" name="Column11" dataDxfId="530" dataCellStyle="Comma [0]"/>
    <tableColumn id="21" xr3:uid="{44FEDD28-091B-4680-A5C6-30F0F745EBBE}" name="MEI" dataDxfId="529"/>
    <tableColumn id="22" xr3:uid="{34244EC1-125A-49F5-8D4B-77C41595EB78}" name="Column12" dataDxfId="528" dataCellStyle="Comma [0]"/>
    <tableColumn id="23" xr3:uid="{695AAE0C-3DE2-4C12-A556-529DF387A4B7}" name="Column13" dataDxfId="527" dataCellStyle="Comma [0]"/>
    <tableColumn id="24" xr3:uid="{EE45409D-1AE3-4403-87A9-813634308CF5}" name="JUNI" dataDxfId="526" dataCellStyle="Comma [0]"/>
    <tableColumn id="25" xr3:uid="{5F933D02-7432-46D2-889E-A346FBEB81C1}" name="Column14" dataDxfId="525" dataCellStyle="Comma [0]"/>
    <tableColumn id="26" xr3:uid="{E340073A-FA27-4696-9028-62785F671D51}" name="Column15" dataDxfId="524" dataCellStyle="Comma [0]"/>
    <tableColumn id="27" xr3:uid="{3C80F9B3-4335-4BCB-A2DB-8F873DB578A1}" name="JULI" dataDxfId="523" dataCellStyle="Comma [0]"/>
    <tableColumn id="28" xr3:uid="{0B52D128-430F-4AE8-AF42-C77BCC1DE967}" name="Column16" dataDxfId="522" dataCellStyle="Comma [0]"/>
    <tableColumn id="29" xr3:uid="{9AA400AA-D217-47D3-8A29-9AD35366E1E5}" name="Column17" dataDxfId="521" dataCellStyle="Comma [0]"/>
    <tableColumn id="30" xr3:uid="{7A16243F-CC4F-4632-957C-54DF727D1493}" name="AGUSTUS" dataDxfId="520" dataCellStyle="Comma [0]"/>
    <tableColumn id="31" xr3:uid="{F53FA9C1-6878-4D23-96E5-3E23407112F3}" name="Column18" dataDxfId="519" dataCellStyle="Comma [0]"/>
    <tableColumn id="32" xr3:uid="{56226304-FD99-45E9-B47F-4A0989BC4182}" name="Column19" dataDxfId="518" dataCellStyle="Comma [0]"/>
    <tableColumn id="33" xr3:uid="{918328DE-54FE-4538-8A7A-0C76AA1E939A}" name="SEPTEMBER" dataDxfId="517" dataCellStyle="Comma [0]"/>
    <tableColumn id="34" xr3:uid="{D961E510-3ED4-4CF9-A7AF-9649B976EA3E}" name="Column20" dataDxfId="516" dataCellStyle="Comma [0]"/>
    <tableColumn id="35" xr3:uid="{91DB1DE3-8092-461D-A09A-AE460872B6BA}" name="Column21" dataDxfId="515" dataCellStyle="Comma [0]"/>
    <tableColumn id="36" xr3:uid="{CE58699D-2136-4257-BAD1-7398B982526B}" name="OKTOBER" dataDxfId="514" dataCellStyle="Comma [0]"/>
    <tableColumn id="37" xr3:uid="{1F4E6F0B-F4F1-4921-A7D5-72862BF6A622}" name="Column22" dataDxfId="513" dataCellStyle="Comma [0]"/>
    <tableColumn id="38" xr3:uid="{B76BAD65-739D-4E3A-852D-D26916987757}" name="Column23" dataDxfId="512" dataCellStyle="Comma [0]"/>
    <tableColumn id="39" xr3:uid="{12105BE2-33F4-4402-9A97-62E8F6987E7A}" name="NOVEMBER" dataDxfId="511" dataCellStyle="Comma [0]"/>
    <tableColumn id="40" xr3:uid="{C58384D0-120F-4BEC-B941-E06587266945}" name="Column24" dataDxfId="510" dataCellStyle="Comma [0]"/>
    <tableColumn id="41" xr3:uid="{A058820D-F058-4589-9874-D1A00D172D60}" name="Column25" dataDxfId="509" dataCellStyle="Comma [0]"/>
    <tableColumn id="42" xr3:uid="{CE32C95C-C534-407E-B4B0-C5BE507ACC7B}" name="DESEMBER" dataDxfId="508" dataCellStyle="Comma [0]"/>
    <tableColumn id="43" xr3:uid="{4AA20C6C-166D-40D3-B153-84B32F3DA47E}" name="Column26" dataDxfId="507" dataCellStyle="Comma [0]"/>
    <tableColumn id="44" xr3:uid="{B6199075-DD1D-4379-9C80-D5E0E5D4086B}" name="Column27" dataDxfId="506" dataCellStyle="Comma [0]"/>
    <tableColumn id="45" xr3:uid="{025D8148-41D1-493D-8F91-43A4491832E5}" name="REALISASI" dataDxfId="505" dataCellStyle="Comma [0]">
      <calculatedColumnFormula>SUM(J235:AS235)</calculatedColumnFormula>
    </tableColumn>
    <tableColumn id="46" xr3:uid="{EB91123A-1AE6-419C-99DE-3A8BFD669434}" name="%" dataDxfId="504">
      <calculatedColumnFormula>IFERROR(AT235/F235*100,0)</calculatedColumnFormula>
    </tableColumn>
    <tableColumn id="47" xr3:uid="{B367B8B8-4A10-4559-8042-C79AD776D92F}" name="SISA PAGU" dataDxfId="503">
      <calculatedColumnFormula>F235-AT235</calculatedColumnFormula>
    </tableColumn>
    <tableColumn id="48" xr3:uid="{4447787F-4DC2-4E59-B3FB-02DC54A3FEB4}" name="%28" dataDxfId="502">
      <calculatedColumnFormula>AV235/F235*100</calculatedColumnFormula>
    </tableColumn>
    <tableColumn id="49" xr3:uid="{C7CC6506-6ABE-4181-9F4B-FEC5B702B017}" name="KOORDINATOR" dataDxfId="501"/>
    <tableColumn id="50" xr3:uid="{048FA016-E7FA-4ECE-BABA-429AD0AEF890}" name="Subkoordinator"/>
    <tableColumn id="51" xr3:uid="{B38F358A-82BF-496A-A23D-71F2B98B29E5}" name="Jenis Belanja Barang"/>
    <tableColumn id="52" xr3:uid="{DB80BE10-1DFD-4F7D-BB32-35C9FE353EFD}" name="SPBy" dataDxfId="500" dataCellStyle="Comma [0]"/>
    <tableColumn id="53" xr3:uid="{078C675B-A0F3-404E-848C-5D5DFFD077BC}" name="Column29"/>
    <tableColumn id="54" xr3:uid="{434FFD64-27FE-4383-9669-FEE5F6BE4180}" name="Column30" dataDxfId="499"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494" totalsRowDxfId="493"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7" t="s">
        <v>598</v>
      </c>
      <c r="C1" s="447"/>
      <c r="D1" s="447"/>
      <c r="E1" s="447"/>
      <c r="F1" s="447"/>
      <c r="G1" s="447"/>
      <c r="I1" s="9"/>
    </row>
    <row r="2" spans="1:10" ht="15" x14ac:dyDescent="0.25">
      <c r="B2" s="448" t="s">
        <v>614</v>
      </c>
      <c r="C2" s="448"/>
      <c r="D2" s="448"/>
      <c r="E2" s="448"/>
      <c r="F2" s="448"/>
      <c r="G2" s="448"/>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9" t="s">
        <v>606</v>
      </c>
      <c r="C9" s="451" t="s">
        <v>607</v>
      </c>
      <c r="D9" s="452" t="s">
        <v>608</v>
      </c>
      <c r="E9" s="449" t="s">
        <v>609</v>
      </c>
      <c r="F9" s="452" t="s">
        <v>610</v>
      </c>
      <c r="G9" s="452" t="s">
        <v>611</v>
      </c>
      <c r="I9" s="14"/>
    </row>
    <row r="10" spans="1:10" s="16" customFormat="1" ht="15" x14ac:dyDescent="0.25">
      <c r="A10" s="15" t="s">
        <v>499</v>
      </c>
      <c r="B10" s="450"/>
      <c r="C10" s="450"/>
      <c r="D10" s="450"/>
      <c r="E10" s="453"/>
      <c r="F10" s="450"/>
      <c r="G10" s="450"/>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4" t="s">
        <v>596</v>
      </c>
      <c r="J13" s="445" t="s">
        <v>597</v>
      </c>
    </row>
    <row r="14" spans="1:10" x14ac:dyDescent="0.2">
      <c r="A14" s="7" t="s">
        <v>199</v>
      </c>
      <c r="B14" s="25" t="s">
        <v>194</v>
      </c>
      <c r="C14" s="26" t="s">
        <v>2</v>
      </c>
      <c r="D14" s="25"/>
      <c r="E14" s="55"/>
      <c r="F14" s="27"/>
      <c r="G14" s="27">
        <v>1500000000</v>
      </c>
      <c r="I14" s="444"/>
      <c r="J14" s="445"/>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6"/>
      <c r="J22" s="446"/>
    </row>
    <row r="23" spans="1:10" x14ac:dyDescent="0.2">
      <c r="A23" s="7" t="s">
        <v>208</v>
      </c>
      <c r="B23" s="43" t="s">
        <v>195</v>
      </c>
      <c r="C23" s="44" t="s">
        <v>620</v>
      </c>
      <c r="D23" s="47">
        <v>1</v>
      </c>
      <c r="E23" s="61" t="s">
        <v>9</v>
      </c>
      <c r="F23" s="45">
        <v>1000000</v>
      </c>
      <c r="G23" s="45">
        <v>1000000</v>
      </c>
      <c r="I23" s="446"/>
      <c r="J23" s="446"/>
    </row>
    <row r="24" spans="1:10" x14ac:dyDescent="0.2">
      <c r="A24" s="7" t="s">
        <v>209</v>
      </c>
      <c r="B24" s="40" t="s">
        <v>516</v>
      </c>
      <c r="C24" s="41" t="s">
        <v>11</v>
      </c>
      <c r="D24" s="40"/>
      <c r="E24" s="60"/>
      <c r="F24" s="42"/>
      <c r="G24" s="42">
        <v>9000000</v>
      </c>
      <c r="I24" s="446"/>
      <c r="J24" s="446"/>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7" t="s">
        <v>598</v>
      </c>
      <c r="C1" s="447"/>
      <c r="D1" s="447"/>
      <c r="E1" s="447"/>
      <c r="F1" s="447"/>
      <c r="G1" s="455"/>
      <c r="H1" s="269"/>
      <c r="I1" s="269"/>
      <c r="J1" s="269"/>
      <c r="K1" s="269"/>
    </row>
    <row r="2" spans="1:13" ht="15.75" x14ac:dyDescent="0.25">
      <c r="B2" s="456" t="s">
        <v>4186</v>
      </c>
      <c r="C2" s="456"/>
      <c r="D2" s="456"/>
      <c r="E2" s="456"/>
      <c r="F2" s="456"/>
      <c r="G2" s="457"/>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8" t="s">
        <v>606</v>
      </c>
      <c r="C9" s="459" t="s">
        <v>607</v>
      </c>
      <c r="D9" s="460" t="s">
        <v>608</v>
      </c>
      <c r="E9" s="458" t="s">
        <v>609</v>
      </c>
      <c r="F9" s="460" t="s">
        <v>610</v>
      </c>
      <c r="G9" s="454" t="s">
        <v>3848</v>
      </c>
      <c r="H9" s="454" t="s">
        <v>3849</v>
      </c>
      <c r="I9" s="454" t="s">
        <v>3846</v>
      </c>
      <c r="J9" s="454" t="s">
        <v>3850</v>
      </c>
      <c r="K9" s="454" t="s">
        <v>3846</v>
      </c>
    </row>
    <row r="10" spans="1:13" s="133" customFormat="1" ht="14.25" customHeight="1" x14ac:dyDescent="0.2">
      <c r="A10" s="132" t="s">
        <v>499</v>
      </c>
      <c r="B10" s="450"/>
      <c r="C10" s="450"/>
      <c r="D10" s="453"/>
      <c r="E10" s="453"/>
      <c r="F10" s="450"/>
      <c r="G10" s="450"/>
      <c r="H10" s="454"/>
      <c r="I10" s="454"/>
      <c r="J10" s="454"/>
      <c r="K10" s="454"/>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263" priority="18">
      <formula>NOT(_xlfn.ISFORMULA(G12))</formula>
    </cfRule>
  </conditionalFormatting>
  <conditionalFormatting sqref="B11:K12 K56:K57">
    <cfRule type="expression" dxfId="1262" priority="19">
      <formula>AND(#REF!="Ya",#REF!=ROW())</formula>
    </cfRule>
  </conditionalFormatting>
  <conditionalFormatting sqref="B13:J57">
    <cfRule type="expression" dxfId="1261" priority="22">
      <formula>AND(#REF!="Ya",#REF!=ROW())</formula>
    </cfRule>
  </conditionalFormatting>
  <conditionalFormatting sqref="K13:K56">
    <cfRule type="expression" dxfId="1260" priority="4">
      <formula>AND(#REF!="Ya",#REF!=ROW())</formula>
    </cfRule>
  </conditionalFormatting>
  <conditionalFormatting sqref="I55:I56 I53 I49 I47 I45 I41 I37 I33 I29 I25 I21 I13:I17">
    <cfRule type="expression" dxfId="1259" priority="3">
      <formula>AND(#REF!="Ya",#REF!=ROW())</formula>
    </cfRule>
  </conditionalFormatting>
  <conditionalFormatting sqref="J55:J56 J53 J49 J47 J45 J41 J37 J33 J29 J25 J21 J13:J17">
    <cfRule type="expression" dxfId="1258" priority="2">
      <formula>AND(#REF!="Ya",#REF!=ROW())</formula>
    </cfRule>
  </conditionalFormatting>
  <conditionalFormatting sqref="K55 K53 K49 K47 K45 K41 K37 K33 K29 K25 K21 K13:K17">
    <cfRule type="expression" dxfId="1257"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7" t="s">
        <v>598</v>
      </c>
      <c r="C1" s="447"/>
      <c r="D1" s="447"/>
      <c r="E1" s="447"/>
      <c r="F1" s="447"/>
      <c r="G1" s="455"/>
      <c r="H1" s="234"/>
      <c r="I1" s="234"/>
      <c r="J1" s="234"/>
    </row>
    <row r="2" spans="1:24" ht="15.75" x14ac:dyDescent="0.25">
      <c r="B2" s="456" t="s">
        <v>4012</v>
      </c>
      <c r="C2" s="456"/>
      <c r="D2" s="456"/>
      <c r="E2" s="456"/>
      <c r="F2" s="456"/>
      <c r="G2" s="457"/>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0"/>
      <c r="C10" s="450"/>
      <c r="D10" s="453"/>
      <c r="E10" s="453"/>
      <c r="F10" s="450"/>
      <c r="G10" s="450"/>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14.2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14.2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1256" priority="14">
      <formula>NOT(_xlfn.ISFORMULA(G12))</formula>
    </cfRule>
  </conditionalFormatting>
  <conditionalFormatting sqref="B11:J12 H13:J545">
    <cfRule type="expression" dxfId="1255" priority="15">
      <formula>AND(#REF!="Ya",#REF!=ROW())</formula>
    </cfRule>
  </conditionalFormatting>
  <conditionalFormatting sqref="B517:F517 G542:G543 G539:G540 G535 G532 G530 G526:G528 G522:G523 G520 G517:G518 B13:G516">
    <cfRule type="expression" dxfId="1254" priority="13">
      <formula>AND($R$4="Ya",$Q$2=ROW())</formula>
    </cfRule>
  </conditionalFormatting>
  <conditionalFormatting sqref="G545">
    <cfRule type="expression" dxfId="1253" priority="12">
      <formula>AND($R$4="Ya",$Q$2=ROW())</formula>
    </cfRule>
  </conditionalFormatting>
  <conditionalFormatting sqref="G545 G542:G543 G539:G540 G535 G532 G530 G526:G528 G522:G523 G520 G517:G518">
    <cfRule type="expression" dxfId="1252" priority="11">
      <formula>NOT(_xlfn.ISFORMULA(G517))</formula>
    </cfRule>
  </conditionalFormatting>
  <conditionalFormatting sqref="G529">
    <cfRule type="expression" dxfId="1251" priority="10">
      <formula>NOT(_xlfn.ISFORMULA(G529))</formula>
    </cfRule>
  </conditionalFormatting>
  <conditionalFormatting sqref="G529">
    <cfRule type="expression" dxfId="1250" priority="9">
      <formula>AND($R$4="Ya",$Q$2=ROW())</formula>
    </cfRule>
  </conditionalFormatting>
  <conditionalFormatting sqref="G519">
    <cfRule type="expression" dxfId="1249" priority="8">
      <formula>NOT(_xlfn.ISFORMULA(G519))</formula>
    </cfRule>
  </conditionalFormatting>
  <conditionalFormatting sqref="G519">
    <cfRule type="expression" dxfId="1248" priority="7">
      <formula>AND($R$4="Ya",$Q$2=ROW())</formula>
    </cfRule>
  </conditionalFormatting>
  <conditionalFormatting sqref="G544">
    <cfRule type="expression" dxfId="1247" priority="6">
      <formula>NOT(_xlfn.ISFORMULA(G544))</formula>
    </cfRule>
  </conditionalFormatting>
  <conditionalFormatting sqref="G544">
    <cfRule type="expression" dxfId="1246" priority="5">
      <formula>AND($R$4="Ya",$Q$2=ROW())</formula>
    </cfRule>
  </conditionalFormatting>
  <conditionalFormatting sqref="G541">
    <cfRule type="expression" dxfId="1245" priority="4">
      <formula>NOT(_xlfn.ISFORMULA(G541))</formula>
    </cfRule>
  </conditionalFormatting>
  <conditionalFormatting sqref="G541">
    <cfRule type="expression" dxfId="1244" priority="3">
      <formula>AND($R$4="Ya",$Q$2=ROW())</formula>
    </cfRule>
  </conditionalFormatting>
  <conditionalFormatting sqref="G538">
    <cfRule type="expression" dxfId="1243" priority="2">
      <formula>NOT(_xlfn.ISFORMULA(G538))</formula>
    </cfRule>
  </conditionalFormatting>
  <conditionalFormatting sqref="G538">
    <cfRule type="expression" dxfId="1242"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7" t="s">
        <v>598</v>
      </c>
      <c r="C1" s="447"/>
      <c r="D1" s="447"/>
      <c r="E1" s="447"/>
      <c r="F1" s="447"/>
      <c r="G1" s="455"/>
      <c r="H1" s="158"/>
      <c r="I1" s="177"/>
      <c r="J1" s="177"/>
    </row>
    <row r="2" spans="1:24" ht="15.75" x14ac:dyDescent="0.25">
      <c r="B2" s="456" t="s">
        <v>3826</v>
      </c>
      <c r="C2" s="456"/>
      <c r="D2" s="456"/>
      <c r="E2" s="456"/>
      <c r="F2" s="456"/>
      <c r="G2" s="457"/>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0"/>
      <c r="C10" s="450"/>
      <c r="D10" s="453"/>
      <c r="E10" s="453"/>
      <c r="F10" s="450"/>
      <c r="G10" s="450"/>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241" priority="14">
      <formula>NOT(_xlfn.ISFORMULA(G12))</formula>
    </cfRule>
  </conditionalFormatting>
  <conditionalFormatting sqref="B11:J12 H13:J589">
    <cfRule type="expression" dxfId="1240" priority="15">
      <formula>AND(#REF!="Ya",#REF!=ROW())</formula>
    </cfRule>
  </conditionalFormatting>
  <conditionalFormatting sqref="B561:F561 G586:G587 G583:G584 G579 G576 G574 G570:G572 G566:G567 G564 G561:G562 B13:G560">
    <cfRule type="expression" dxfId="1239" priority="13">
      <formula>AND($R$4="Ya",$Q$2=ROW())</formula>
    </cfRule>
  </conditionalFormatting>
  <conditionalFormatting sqref="G589">
    <cfRule type="expression" dxfId="1238" priority="12">
      <formula>AND($R$4="Ya",$Q$2=ROW())</formula>
    </cfRule>
  </conditionalFormatting>
  <conditionalFormatting sqref="G589 G586:G587 G583:G584 G579 G576 G574 G570:G572 G566:G567 G564 G561:G562">
    <cfRule type="expression" dxfId="1237" priority="11">
      <formula>NOT(_xlfn.ISFORMULA(G561))</formula>
    </cfRule>
  </conditionalFormatting>
  <conditionalFormatting sqref="G573">
    <cfRule type="expression" dxfId="1236" priority="10">
      <formula>NOT(_xlfn.ISFORMULA(G573))</formula>
    </cfRule>
  </conditionalFormatting>
  <conditionalFormatting sqref="G573">
    <cfRule type="expression" dxfId="1235" priority="9">
      <formula>AND($R$4="Ya",$Q$2=ROW())</formula>
    </cfRule>
  </conditionalFormatting>
  <conditionalFormatting sqref="G563">
    <cfRule type="expression" dxfId="1234" priority="8">
      <formula>NOT(_xlfn.ISFORMULA(G563))</formula>
    </cfRule>
  </conditionalFormatting>
  <conditionalFormatting sqref="G563">
    <cfRule type="expression" dxfId="1233" priority="7">
      <formula>AND($R$4="Ya",$Q$2=ROW())</formula>
    </cfRule>
  </conditionalFormatting>
  <conditionalFormatting sqref="G588">
    <cfRule type="expression" dxfId="1232" priority="6">
      <formula>NOT(_xlfn.ISFORMULA(G588))</formula>
    </cfRule>
  </conditionalFormatting>
  <conditionalFormatting sqref="G588">
    <cfRule type="expression" dxfId="1231" priority="5">
      <formula>AND($R$4="Ya",$Q$2=ROW())</formula>
    </cfRule>
  </conditionalFormatting>
  <conditionalFormatting sqref="G585">
    <cfRule type="expression" dxfId="1230" priority="4">
      <formula>NOT(_xlfn.ISFORMULA(G585))</formula>
    </cfRule>
  </conditionalFormatting>
  <conditionalFormatting sqref="G585">
    <cfRule type="expression" dxfId="1229" priority="3">
      <formula>AND($R$4="Ya",$Q$2=ROW())</formula>
    </cfRule>
  </conditionalFormatting>
  <conditionalFormatting sqref="G582">
    <cfRule type="expression" dxfId="1228" priority="2">
      <formula>NOT(_xlfn.ISFORMULA(G582))</formula>
    </cfRule>
  </conditionalFormatting>
  <conditionalFormatting sqref="G582">
    <cfRule type="expression" dxfId="1227"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7" t="s">
        <v>598</v>
      </c>
      <c r="C1" s="447"/>
      <c r="D1" s="447"/>
      <c r="E1" s="447"/>
      <c r="F1" s="447"/>
      <c r="G1" s="455"/>
      <c r="H1" s="150"/>
    </row>
    <row r="2" spans="1:22" ht="15.75" x14ac:dyDescent="0.25">
      <c r="B2" s="456" t="s">
        <v>3826</v>
      </c>
      <c r="C2" s="456"/>
      <c r="D2" s="456"/>
      <c r="E2" s="456"/>
      <c r="F2" s="456"/>
      <c r="G2" s="457"/>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8" t="s">
        <v>606</v>
      </c>
      <c r="C9" s="459" t="s">
        <v>607</v>
      </c>
      <c r="D9" s="460" t="s">
        <v>608</v>
      </c>
      <c r="E9" s="458" t="s">
        <v>609</v>
      </c>
      <c r="F9" s="460" t="s">
        <v>610</v>
      </c>
      <c r="G9" s="454" t="s">
        <v>611</v>
      </c>
      <c r="H9" s="152"/>
      <c r="I9" s="461" t="s">
        <v>3827</v>
      </c>
      <c r="J9" s="461"/>
      <c r="K9" s="461"/>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0"/>
      <c r="C10" s="450"/>
      <c r="D10" s="453"/>
      <c r="E10" s="453"/>
      <c r="F10" s="450"/>
      <c r="G10" s="450"/>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14.2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226" priority="15">
      <formula>NOT(_xlfn.ISFORMULA(G12))</formula>
    </cfRule>
  </conditionalFormatting>
  <conditionalFormatting sqref="B11:H12 H13:H589">
    <cfRule type="expression" dxfId="1225" priority="17">
      <formula>AND(#REF!="Ya",#REF!=ROW())</formula>
    </cfRule>
  </conditionalFormatting>
  <conditionalFormatting sqref="B561:F561 G586:G587 G583:G584 G579 G576 G574 G570:G572 G566:G567 G564 G561:G562 B13:G560">
    <cfRule type="expression" dxfId="1224" priority="14">
      <formula>AND($P$4="Ya",$O$2=ROW())</formula>
    </cfRule>
  </conditionalFormatting>
  <conditionalFormatting sqref="G589">
    <cfRule type="expression" dxfId="1223" priority="12">
      <formula>AND($P$4="Ya",$O$2=ROW())</formula>
    </cfRule>
  </conditionalFormatting>
  <conditionalFormatting sqref="G589 G586:G587 G583:G584 G579 G576 G574 G570:G572 G566:G567 G564 G561:G562">
    <cfRule type="expression" dxfId="1222" priority="11">
      <formula>NOT(_xlfn.ISFORMULA(G561))</formula>
    </cfRule>
  </conditionalFormatting>
  <conditionalFormatting sqref="G573">
    <cfRule type="expression" dxfId="1221" priority="10">
      <formula>NOT(_xlfn.ISFORMULA(G573))</formula>
    </cfRule>
  </conditionalFormatting>
  <conditionalFormatting sqref="G573">
    <cfRule type="expression" dxfId="1220" priority="9">
      <formula>AND($P$4="Ya",$O$2=ROW())</formula>
    </cfRule>
  </conditionalFormatting>
  <conditionalFormatting sqref="G563">
    <cfRule type="expression" dxfId="1219" priority="8">
      <formula>NOT(_xlfn.ISFORMULA(G563))</formula>
    </cfRule>
  </conditionalFormatting>
  <conditionalFormatting sqref="G563">
    <cfRule type="expression" dxfId="1218" priority="7">
      <formula>AND($P$4="Ya",$O$2=ROW())</formula>
    </cfRule>
  </conditionalFormatting>
  <conditionalFormatting sqref="G588">
    <cfRule type="expression" dxfId="1217" priority="6">
      <formula>NOT(_xlfn.ISFORMULA(G588))</formula>
    </cfRule>
  </conditionalFormatting>
  <conditionalFormatting sqref="G588">
    <cfRule type="expression" dxfId="1216" priority="5">
      <formula>AND($P$4="Ya",$O$2=ROW())</formula>
    </cfRule>
  </conditionalFormatting>
  <conditionalFormatting sqref="G585">
    <cfRule type="expression" dxfId="1215" priority="4">
      <formula>NOT(_xlfn.ISFORMULA(G585))</formula>
    </cfRule>
  </conditionalFormatting>
  <conditionalFormatting sqref="G585">
    <cfRule type="expression" dxfId="1214" priority="3">
      <formula>AND($P$4="Ya",$O$2=ROW())</formula>
    </cfRule>
  </conditionalFormatting>
  <conditionalFormatting sqref="G582">
    <cfRule type="expression" dxfId="1213" priority="2">
      <formula>NOT(_xlfn.ISFORMULA(G582))</formula>
    </cfRule>
  </conditionalFormatting>
  <conditionalFormatting sqref="G582">
    <cfRule type="expression" dxfId="1212"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81"/>
  <sheetViews>
    <sheetView zoomScale="60" zoomScaleNormal="60" workbookViewId="0">
      <pane ySplit="10" topLeftCell="A174" activePane="bottomLeft" state="frozen"/>
      <selection pane="bottomLeft" activeCell="F174" sqref="F174:F181"/>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5828772032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5605</v>
      </c>
      <c r="E174" s="292" t="s">
        <v>5606</v>
      </c>
      <c r="F174" s="257">
        <v>11000000</v>
      </c>
      <c r="G174" s="319" t="s">
        <v>4307</v>
      </c>
      <c r="H174" s="256" t="s">
        <v>5607</v>
      </c>
      <c r="I174" s="256" t="s">
        <v>5597</v>
      </c>
      <c r="J174" s="256" t="s">
        <v>4039</v>
      </c>
      <c r="K174" s="259" t="s">
        <v>5608</v>
      </c>
      <c r="L174" s="313" t="s">
        <v>542</v>
      </c>
      <c r="M174" s="313" t="s">
        <v>4339</v>
      </c>
      <c r="N174" s="333"/>
      <c r="O174" s="333">
        <v>52</v>
      </c>
    </row>
    <row r="175" spans="2:15" ht="69.95" customHeight="1" x14ac:dyDescent="0.2">
      <c r="B175" s="443">
        <v>165</v>
      </c>
      <c r="C175" s="333">
        <v>6</v>
      </c>
      <c r="D175" s="256" t="s">
        <v>5609</v>
      </c>
      <c r="E175" s="292" t="s">
        <v>5606</v>
      </c>
      <c r="F175" s="257">
        <v>23400000</v>
      </c>
      <c r="G175" s="319" t="s">
        <v>4307</v>
      </c>
      <c r="H175" s="256" t="s">
        <v>5610</v>
      </c>
      <c r="I175" s="256" t="s">
        <v>5597</v>
      </c>
      <c r="J175" s="256" t="s">
        <v>4039</v>
      </c>
      <c r="K175" s="259" t="s">
        <v>5611</v>
      </c>
      <c r="L175" s="313" t="s">
        <v>542</v>
      </c>
      <c r="M175" s="313" t="s">
        <v>4339</v>
      </c>
      <c r="N175" s="333"/>
      <c r="O175" s="333">
        <v>52</v>
      </c>
    </row>
    <row r="176" spans="2:15" ht="69.95" customHeight="1" x14ac:dyDescent="0.2">
      <c r="B176" s="260">
        <v>166</v>
      </c>
      <c r="C176" s="333">
        <v>6</v>
      </c>
      <c r="D176" s="256" t="s">
        <v>5612</v>
      </c>
      <c r="E176" s="292" t="s">
        <v>5606</v>
      </c>
      <c r="F176" s="257">
        <v>233000000</v>
      </c>
      <c r="G176" s="319" t="s">
        <v>4307</v>
      </c>
      <c r="H176" s="256" t="s">
        <v>5613</v>
      </c>
      <c r="I176" s="256" t="s">
        <v>5597</v>
      </c>
      <c r="J176" s="256" t="s">
        <v>4039</v>
      </c>
      <c r="K176" s="259" t="s">
        <v>5614</v>
      </c>
      <c r="L176" s="313" t="s">
        <v>542</v>
      </c>
      <c r="M176" s="313" t="s">
        <v>4339</v>
      </c>
      <c r="N176" s="333"/>
      <c r="O176" s="333">
        <v>52</v>
      </c>
    </row>
    <row r="177" spans="2:15" ht="69.95" customHeight="1" x14ac:dyDescent="0.2">
      <c r="B177" s="443">
        <v>167</v>
      </c>
      <c r="C177" s="333">
        <v>6</v>
      </c>
      <c r="D177" s="256" t="s">
        <v>5615</v>
      </c>
      <c r="E177" s="292" t="s">
        <v>5606</v>
      </c>
      <c r="F177" s="257">
        <v>59950000</v>
      </c>
      <c r="G177" s="319" t="s">
        <v>4307</v>
      </c>
      <c r="H177" s="256" t="s">
        <v>5616</v>
      </c>
      <c r="I177" s="256" t="s">
        <v>5597</v>
      </c>
      <c r="J177" s="256" t="s">
        <v>4039</v>
      </c>
      <c r="K177" s="259" t="s">
        <v>5617</v>
      </c>
      <c r="L177" s="313" t="s">
        <v>542</v>
      </c>
      <c r="M177" s="313" t="s">
        <v>4339</v>
      </c>
      <c r="N177" s="333"/>
      <c r="O177" s="333">
        <v>52</v>
      </c>
    </row>
    <row r="178" spans="2:15" ht="69.95" customHeight="1" x14ac:dyDescent="0.2">
      <c r="B178" s="260">
        <v>168</v>
      </c>
      <c r="C178" s="333">
        <v>6</v>
      </c>
      <c r="D178" s="256" t="s">
        <v>5618</v>
      </c>
      <c r="E178" s="292" t="s">
        <v>5606</v>
      </c>
      <c r="F178" s="257">
        <v>33000000</v>
      </c>
      <c r="G178" s="319" t="s">
        <v>4307</v>
      </c>
      <c r="H178" s="256" t="s">
        <v>5619</v>
      </c>
      <c r="I178" s="256" t="s">
        <v>5597</v>
      </c>
      <c r="J178" s="256" t="s">
        <v>4039</v>
      </c>
      <c r="K178" s="259" t="s">
        <v>5620</v>
      </c>
      <c r="L178" s="313" t="s">
        <v>542</v>
      </c>
      <c r="M178" s="313" t="s">
        <v>4339</v>
      </c>
      <c r="N178" s="333"/>
      <c r="O178" s="333">
        <v>52</v>
      </c>
    </row>
    <row r="179" spans="2:15" ht="69.95" customHeight="1" x14ac:dyDescent="0.2">
      <c r="B179" s="443">
        <v>169</v>
      </c>
      <c r="C179" s="333">
        <v>6</v>
      </c>
      <c r="D179" s="256" t="s">
        <v>5621</v>
      </c>
      <c r="E179" s="292" t="s">
        <v>5606</v>
      </c>
      <c r="F179" s="257">
        <v>12705000</v>
      </c>
      <c r="G179" s="319" t="s">
        <v>4307</v>
      </c>
      <c r="H179" s="256" t="s">
        <v>5622</v>
      </c>
      <c r="I179" s="256" t="s">
        <v>5597</v>
      </c>
      <c r="J179" s="256" t="s">
        <v>4039</v>
      </c>
      <c r="K179" s="259" t="s">
        <v>5623</v>
      </c>
      <c r="L179" s="313" t="s">
        <v>542</v>
      </c>
      <c r="M179" s="313" t="s">
        <v>4339</v>
      </c>
      <c r="N179" s="333"/>
      <c r="O179" s="333">
        <v>52</v>
      </c>
    </row>
    <row r="180" spans="2:15" ht="69.95" customHeight="1" x14ac:dyDescent="0.2">
      <c r="B180" s="260">
        <v>170</v>
      </c>
      <c r="C180" s="333">
        <v>6</v>
      </c>
      <c r="D180" s="256" t="s">
        <v>5624</v>
      </c>
      <c r="E180" s="292" t="s">
        <v>5606</v>
      </c>
      <c r="F180" s="257">
        <v>11500000</v>
      </c>
      <c r="G180" s="319" t="s">
        <v>4307</v>
      </c>
      <c r="H180" s="256" t="s">
        <v>5625</v>
      </c>
      <c r="I180" s="256" t="s">
        <v>5597</v>
      </c>
      <c r="J180" s="256" t="s">
        <v>4039</v>
      </c>
      <c r="K180" s="259" t="s">
        <v>5626</v>
      </c>
      <c r="L180" s="313" t="s">
        <v>542</v>
      </c>
      <c r="M180" s="313" t="s">
        <v>4339</v>
      </c>
      <c r="N180" s="333"/>
      <c r="O180" s="333">
        <v>52</v>
      </c>
    </row>
    <row r="181" spans="2:15" ht="69.95" customHeight="1" x14ac:dyDescent="0.2">
      <c r="B181" s="443">
        <v>171</v>
      </c>
      <c r="C181" s="333">
        <v>6</v>
      </c>
      <c r="D181" s="336" t="s">
        <v>5627</v>
      </c>
      <c r="E181" s="337" t="s">
        <v>5606</v>
      </c>
      <c r="F181" s="338">
        <v>20000000</v>
      </c>
      <c r="G181" s="319" t="s">
        <v>4307</v>
      </c>
      <c r="H181" s="336" t="s">
        <v>5628</v>
      </c>
      <c r="I181" s="336" t="s">
        <v>5597</v>
      </c>
      <c r="J181" s="336" t="s">
        <v>4039</v>
      </c>
      <c r="K181" s="341" t="s">
        <v>5629</v>
      </c>
      <c r="L181" s="313" t="s">
        <v>542</v>
      </c>
      <c r="M181" s="313" t="s">
        <v>4339</v>
      </c>
      <c r="N181" s="335"/>
      <c r="O181" s="333">
        <v>52</v>
      </c>
    </row>
  </sheetData>
  <sortState xmlns:xlrd2="http://schemas.microsoft.com/office/spreadsheetml/2017/richdata2" ref="B11:K51">
    <sortCondition ref="H11:H51"/>
  </sortState>
  <conditionalFormatting sqref="D113:D116">
    <cfRule type="duplicateValues" dxfId="1206" priority="3"/>
  </conditionalFormatting>
  <conditionalFormatting sqref="D11:D171">
    <cfRule type="duplicateValues" dxfId="1205" priority="28"/>
    <cfRule type="duplicateValues" dxfId="1204"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L11:L181</xm:sqref>
        </x14:dataValidation>
        <x14:dataValidation type="list" allowBlank="1" showInputMessage="1" showErrorMessage="1" xr:uid="{1D7AA939-12B2-4A2A-99CA-5C400ED59A4C}">
          <x14:formula1>
            <xm:f>Eselon2!$R$2:$R$9</xm:f>
          </x14:formula1>
          <xm:sqref>M11:M181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I19" sqref="I19"/>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2" t="str">
        <f>'PERSUBBID - Gaji'!A1</f>
        <v>REALISASI TANPA GAJI (BERDASARKAN PAGU SETELAH BLOKIR)</v>
      </c>
      <c r="D1" s="462"/>
      <c r="E1" s="462"/>
      <c r="F1" s="462"/>
      <c r="G1" s="462"/>
      <c r="H1" s="462"/>
    </row>
    <row r="2" spans="3:18" ht="19.5" x14ac:dyDescent="0.4">
      <c r="C2" s="462" t="str">
        <f>'PER BULAN'!B5</f>
        <v>Berdasarkan DIPA Revisi 2 TA. 2022 (Tanggal 9 Juni 2022)</v>
      </c>
      <c r="D2" s="462"/>
      <c r="E2" s="462"/>
      <c r="F2" s="462"/>
      <c r="G2" s="462"/>
      <c r="H2" s="462"/>
    </row>
    <row r="3" spans="3:18" ht="19.5" x14ac:dyDescent="0.4">
      <c r="C3" s="462" t="str">
        <f>'PER BULAN'!B6</f>
        <v>SAMPAI DENGAN 29 JUNI 2022</v>
      </c>
      <c r="D3" s="462"/>
      <c r="E3" s="462"/>
      <c r="F3" s="462"/>
      <c r="G3" s="462"/>
      <c r="H3" s="462"/>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6482972032</v>
      </c>
      <c r="F6" s="350">
        <v>56.989132653832641</v>
      </c>
      <c r="G6" s="349">
        <v>4892831968</v>
      </c>
      <c r="H6" s="350">
        <v>43.010867346167359</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6114449932</v>
      </c>
      <c r="F60" s="352">
        <v>58.929890464391967</v>
      </c>
      <c r="G60" s="351">
        <v>4261354068</v>
      </c>
      <c r="H60" s="352">
        <v>41.070109535608033</v>
      </c>
    </row>
    <row r="61" spans="3:8" x14ac:dyDescent="0.25">
      <c r="C61" s="309" t="s">
        <v>3914</v>
      </c>
      <c r="D61" s="351">
        <v>4293304000</v>
      </c>
      <c r="E61" s="351">
        <v>2233181020</v>
      </c>
      <c r="F61" s="352">
        <v>52.015441254567577</v>
      </c>
      <c r="G61" s="351">
        <v>2060122980</v>
      </c>
      <c r="H61" s="352">
        <v>47.984558745432423</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663321641</v>
      </c>
      <c r="F181" s="352">
        <v>31.652189479390241</v>
      </c>
      <c r="G181" s="351">
        <v>1432336359</v>
      </c>
      <c r="H181" s="352">
        <v>68.347810520609755</v>
      </c>
    </row>
    <row r="182" spans="3:8" ht="17.100000000000001" customHeight="1" x14ac:dyDescent="0.25">
      <c r="C182" s="440" t="s">
        <v>3851</v>
      </c>
      <c r="D182" s="441">
        <v>2095658000</v>
      </c>
      <c r="E182" s="441">
        <v>663321641</v>
      </c>
      <c r="F182" s="442">
        <v>31.652189479390241</v>
      </c>
      <c r="G182" s="441">
        <v>1432336359</v>
      </c>
      <c r="H182" s="442">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3881268912</v>
      </c>
      <c r="F195" s="352">
        <v>63.810421898890255</v>
      </c>
      <c r="G195" s="351">
        <v>2201231088</v>
      </c>
      <c r="H195" s="352">
        <v>36.189578101109745</v>
      </c>
    </row>
    <row r="196" spans="3:8" x14ac:dyDescent="0.25">
      <c r="C196" s="310" t="s">
        <v>542</v>
      </c>
      <c r="D196" s="353">
        <v>6082500000</v>
      </c>
      <c r="E196" s="353">
        <v>3881268912</v>
      </c>
      <c r="F196" s="354">
        <v>63.810421898890255</v>
      </c>
      <c r="G196" s="353">
        <v>2201231088</v>
      </c>
      <c r="H196" s="354">
        <v>36.189578101109745</v>
      </c>
    </row>
    <row r="197" spans="3:8" x14ac:dyDescent="0.25">
      <c r="C197" s="170" t="s">
        <v>543</v>
      </c>
      <c r="D197" s="355">
        <v>6082500000</v>
      </c>
      <c r="E197" s="355">
        <v>3881268912</v>
      </c>
      <c r="F197" s="356">
        <v>63.810421898890255</v>
      </c>
      <c r="G197" s="355">
        <v>2201231088</v>
      </c>
      <c r="H197" s="356">
        <v>36.189578101109745</v>
      </c>
    </row>
    <row r="198" spans="3:8" x14ac:dyDescent="0.25">
      <c r="C198" s="309" t="s">
        <v>3980</v>
      </c>
      <c r="D198" s="351">
        <v>6082500000</v>
      </c>
      <c r="E198" s="351">
        <v>3881268912</v>
      </c>
      <c r="F198" s="352">
        <v>63.810421898890255</v>
      </c>
      <c r="G198" s="351">
        <v>2201231088</v>
      </c>
      <c r="H198" s="352">
        <v>36.189578101109745</v>
      </c>
    </row>
    <row r="199" spans="3:8" x14ac:dyDescent="0.25">
      <c r="C199" s="325" t="s">
        <v>3981</v>
      </c>
      <c r="D199" s="357">
        <v>5973300000</v>
      </c>
      <c r="E199" s="357">
        <v>3873462912</v>
      </c>
      <c r="F199" s="358">
        <v>64.846281151122497</v>
      </c>
      <c r="G199" s="357">
        <v>2099837088</v>
      </c>
      <c r="H199" s="358">
        <v>35.15371884887751</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3848072912</v>
      </c>
      <c r="F207" s="360">
        <v>94.184047316307257</v>
      </c>
      <c r="G207" s="359">
        <v>237622088</v>
      </c>
      <c r="H207" s="360">
        <v>5.8159526836927373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6482972032</v>
      </c>
      <c r="F222" s="352">
        <v>56.989132653832641</v>
      </c>
      <c r="G222" s="351">
        <v>4892831968</v>
      </c>
      <c r="H222" s="352">
        <v>43.010867346167359</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5916661120</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0</v>
      </c>
      <c r="AB144" s="237">
        <f t="shared" si="17"/>
        <v>0</v>
      </c>
      <c r="AC144" s="237">
        <f t="shared" si="17"/>
        <v>0</v>
      </c>
      <c r="AD144" s="237">
        <f t="shared" si="17"/>
        <v>0</v>
      </c>
      <c r="AE144" s="237">
        <f t="shared" si="17"/>
        <v>0</v>
      </c>
      <c r="AF144" s="237">
        <f t="shared" si="17"/>
        <v>0</v>
      </c>
      <c r="AL144" s="237">
        <f>SUM(AL4:AL143)</f>
        <v>6482972032</v>
      </c>
      <c r="AM144" s="238">
        <f>AL144/Q144*100</f>
        <v>56.989132653832641</v>
      </c>
      <c r="AN144" s="237">
        <f>SUM(AN4:AN143)</f>
        <v>4892831968</v>
      </c>
      <c r="AO144" s="238">
        <f>AN144/Q144*100</f>
        <v>43.010867346167359</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T210" activePane="bottomRight" state="frozen"/>
      <selection pane="topRight" activeCell="D1" sqref="D1"/>
      <selection pane="bottomLeft" activeCell="A15" sqref="A15"/>
      <selection pane="bottomRight" activeCell="Y218" sqref="Y218"/>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5595</v>
      </c>
      <c r="C5" s="189"/>
    </row>
    <row r="6" spans="2:60" x14ac:dyDescent="0.25">
      <c r="B6" s="189" t="s">
        <v>5604</v>
      </c>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5413</v>
      </c>
      <c r="G12" s="342" t="s">
        <v>5414</v>
      </c>
      <c r="H12" s="363" t="s">
        <v>5543</v>
      </c>
      <c r="I12" s="363" t="s">
        <v>5544</v>
      </c>
      <c r="J12" s="463" t="s">
        <v>3827</v>
      </c>
      <c r="K12" s="463"/>
      <c r="L12" s="463"/>
      <c r="M12" s="463" t="s">
        <v>3828</v>
      </c>
      <c r="N12" s="463"/>
      <c r="O12" s="463"/>
      <c r="P12" s="463" t="s">
        <v>3829</v>
      </c>
      <c r="Q12" s="463"/>
      <c r="R12" s="463"/>
      <c r="S12" s="463" t="s">
        <v>3830</v>
      </c>
      <c r="T12" s="463"/>
      <c r="U12" s="463"/>
      <c r="V12" s="463" t="s">
        <v>3831</v>
      </c>
      <c r="W12" s="463"/>
      <c r="X12" s="463"/>
      <c r="Y12" s="463" t="s">
        <v>3832</v>
      </c>
      <c r="Z12" s="463"/>
      <c r="AA12" s="463"/>
      <c r="AB12" s="463" t="s">
        <v>3833</v>
      </c>
      <c r="AC12" s="463"/>
      <c r="AD12" s="463"/>
      <c r="AE12" s="463" t="s">
        <v>3834</v>
      </c>
      <c r="AF12" s="463"/>
      <c r="AG12" s="463"/>
      <c r="AH12" s="463" t="s">
        <v>3835</v>
      </c>
      <c r="AI12" s="463"/>
      <c r="AJ12" s="463"/>
      <c r="AK12" s="463" t="s">
        <v>3836</v>
      </c>
      <c r="AL12" s="463"/>
      <c r="AM12" s="463"/>
      <c r="AN12" s="463" t="s">
        <v>3837</v>
      </c>
      <c r="AO12" s="463"/>
      <c r="AP12" s="463"/>
      <c r="AQ12" s="463" t="s">
        <v>3838</v>
      </c>
      <c r="AR12" s="463"/>
      <c r="AS12" s="463"/>
      <c r="AT12" s="465" t="s">
        <v>3845</v>
      </c>
      <c r="AU12" s="466" t="s">
        <v>3846</v>
      </c>
      <c r="AV12" s="464" t="s">
        <v>3847</v>
      </c>
      <c r="AW12" s="464"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5"/>
      <c r="AU13" s="466"/>
      <c r="AV13" s="464"/>
      <c r="AW13" s="464"/>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6482972032</v>
      </c>
      <c r="AU14" s="250">
        <f>IFERROR(AT14/F14*100,0)</f>
        <v>56.492530126865184</v>
      </c>
      <c r="AV14" s="251">
        <f>F14-AT14</f>
        <v>4992831968</v>
      </c>
      <c r="AW14" s="250">
        <f>AV14/F14*100</f>
        <v>43.507469873134816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2450337081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6114449932</v>
      </c>
      <c r="AU60" s="193">
        <f t="shared" si="6"/>
        <v>58.36735712122907</v>
      </c>
      <c r="AV60" s="194">
        <f t="shared" ref="AV60:AV64" si="86">F60-AT60</f>
        <v>4361354068</v>
      </c>
      <c r="AW60" s="193">
        <f t="shared" ref="AW60:AW65" si="87">AV60/F60*100</f>
        <v>41.632642878770923</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Y62+Y67+Y141+Y146</f>
        <v>165545658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2233181020</v>
      </c>
      <c r="AU61" s="187">
        <f t="shared" si="6"/>
        <v>50.831470346691233</v>
      </c>
      <c r="AV61" s="188">
        <f t="shared" si="86"/>
        <v>2160122980</v>
      </c>
      <c r="AW61" s="187">
        <f t="shared" si="87"/>
        <v>49.168529653308759</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Y68+Y76+Y123</f>
        <v>104503027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1224699658</v>
      </c>
      <c r="AU67" s="182">
        <f t="shared" si="6"/>
        <v>38.382044769767212</v>
      </c>
      <c r="AV67" s="183">
        <f>F67-AT67</f>
        <v>1966114342</v>
      </c>
      <c r="AW67" s="182">
        <f>AV67/F67*100</f>
        <v>61.617955230232788</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Y69</f>
        <v>4977000</v>
      </c>
      <c r="Z68" s="172">
        <f t="shared" ref="J68:AS69" si="110">Z69</f>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4977000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4977000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61042631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354281362</v>
      </c>
      <c r="AU146" s="182">
        <f t="shared" si="261"/>
        <v>64.61568914260701</v>
      </c>
      <c r="AV146" s="183">
        <f>F146-AT146</f>
        <v>194008638</v>
      </c>
      <c r="AW146" s="182">
        <f>AV146/F146*100</f>
        <v>35.38431085739299</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20457100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111936545</v>
      </c>
      <c r="AU147" s="173">
        <f t="shared" si="261"/>
        <v>61.98997906652194</v>
      </c>
      <c r="AV147" s="174">
        <f t="shared" ref="AV147:AV148" si="275">F147-AT147</f>
        <v>68635455</v>
      </c>
      <c r="AW147" s="173">
        <f t="shared" ref="AW147:AW148" si="276">AV147/F147*100</f>
        <v>38.010020933478053</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20457100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111936545</v>
      </c>
      <c r="AU148" s="173">
        <f t="shared" si="261"/>
        <v>61.98997906652194</v>
      </c>
      <c r="AV148" s="174">
        <f t="shared" si="275"/>
        <v>68635455</v>
      </c>
      <c r="AW148" s="173">
        <f t="shared" si="276"/>
        <v>38.010020933478053</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9957100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30108100</v>
      </c>
      <c r="AU154" s="175">
        <f t="shared" si="261"/>
        <v>38.6001282051282</v>
      </c>
      <c r="AV154" s="176">
        <f t="shared" si="29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14386100</v>
      </c>
      <c r="AU159" s="168">
        <f t="shared" si="261"/>
        <v>31.969111111111108</v>
      </c>
      <c r="AV159" s="169">
        <f t="shared" si="303"/>
        <v>30613900</v>
      </c>
      <c r="AW159" s="168">
        <f t="shared" si="243"/>
        <v>68.030888888888882</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2284791423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3881268912</v>
      </c>
      <c r="AU204" s="173">
        <f t="shared" si="261"/>
        <v>63.810421898890255</v>
      </c>
      <c r="AV204" s="174">
        <f t="shared" si="382"/>
        <v>2201231088</v>
      </c>
      <c r="AW204" s="173">
        <f t="shared" si="383"/>
        <v>36.189578101109745</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2284791423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3881268912</v>
      </c>
      <c r="AU205" s="173">
        <f t="shared" si="261"/>
        <v>63.810421898890255</v>
      </c>
      <c r="AV205" s="174">
        <f t="shared" si="382"/>
        <v>2201231088</v>
      </c>
      <c r="AW205" s="173">
        <f t="shared" si="383"/>
        <v>36.189578101109745</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2284791423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3881268912</v>
      </c>
      <c r="AU206" s="173">
        <f t="shared" si="261"/>
        <v>63.810421898890255</v>
      </c>
      <c r="AV206" s="174">
        <f t="shared" si="382"/>
        <v>2201231088</v>
      </c>
      <c r="AW206" s="173">
        <f t="shared" si="383"/>
        <v>36.189578101109745</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2284791423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3873462912</v>
      </c>
      <c r="AU207" s="173">
        <f t="shared" ref="AU207:AU231" si="423">IFERROR(AT207/F207*100,0)</f>
        <v>64.846281151122497</v>
      </c>
      <c r="AV207" s="174">
        <f t="shared" si="382"/>
        <v>2099837088</v>
      </c>
      <c r="AW207" s="173">
        <f t="shared" si="383"/>
        <v>35.15371884887751</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2270156423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3848072912</v>
      </c>
      <c r="AU215" s="175">
        <f t="shared" si="423"/>
        <v>94.184047316307257</v>
      </c>
      <c r="AV215" s="176">
        <f t="shared" si="382"/>
        <v>237622088</v>
      </c>
      <c r="AW215" s="175">
        <f t="shared" si="383"/>
        <v>5.8159526836927373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3797621206</v>
      </c>
      <c r="AU217" s="168">
        <f t="shared" si="423"/>
        <v>99.709249651127223</v>
      </c>
      <c r="AV217" s="169">
        <f t="shared" si="382"/>
        <v>11073794</v>
      </c>
      <c r="AW217" s="168">
        <f t="shared" si="383"/>
        <v>0.29075034887277662</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558" priority="7">
      <formula>ROW()=CELL("ROW")</formula>
    </cfRule>
  </conditionalFormatting>
  <conditionalFormatting sqref="AS236:AS237">
    <cfRule type="expression" dxfId="557" priority="5">
      <formula>ROW()=CELL("ROW")</formula>
    </cfRule>
  </conditionalFormatting>
  <conditionalFormatting sqref="B237:C237">
    <cfRule type="expression" dxfId="556" priority="4">
      <formula>AND($R$4="Ya",$Q$2=ROW())</formula>
    </cfRule>
  </conditionalFormatting>
  <conditionalFormatting sqref="AT238:AT248">
    <cfRule type="expression" dxfId="555" priority="3">
      <formula>ROW()=CELL("ROW")</formula>
    </cfRule>
  </conditionalFormatting>
  <conditionalFormatting sqref="AS249">
    <cfRule type="expression" dxfId="554" priority="2">
      <formula>ROW()=CELL("ROW")</formula>
    </cfRule>
  </conditionalFormatting>
  <conditionalFormatting sqref="B249:C249">
    <cfRule type="expression" dxfId="553"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498" priority="3"/>
    <cfRule type="duplicateValues" dxfId="497" priority="4"/>
  </conditionalFormatting>
  <conditionalFormatting sqref="D3">
    <cfRule type="duplicateValues" dxfId="496" priority="1"/>
    <cfRule type="duplicateValues" dxfId="495"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7" activePane="bottomRight" state="frozen"/>
      <selection pane="topRight" activeCell="C1" sqref="C1"/>
      <selection pane="bottomLeft" activeCell="A4" sqref="A4"/>
      <selection pane="bottomRight" activeCell="L31" sqref="L31"/>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9" t="str">
        <f>IF(L8=TRUE,"REALISASI TANPA GAJI (BERDASARKAN PAGU SEBELUM BLOKIR)","REALISASI TANPA GAJI (BERDASARKAN PAGU SETELAH BLOKIR)")</f>
        <v>REALISASI TANPA GAJI (BERDASARKAN PAGU SETELAH BLOKIR)</v>
      </c>
      <c r="B1" s="479"/>
      <c r="C1" s="479"/>
      <c r="D1" s="479"/>
      <c r="E1" s="479"/>
      <c r="F1" s="479"/>
      <c r="G1" s="479"/>
      <c r="H1" s="479"/>
      <c r="I1" s="479"/>
      <c r="J1" s="479"/>
      <c r="L1" s="431" t="s">
        <v>5584</v>
      </c>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29 JUNI 2022</v>
      </c>
      <c r="B3" s="480"/>
      <c r="C3" s="480"/>
      <c r="D3" s="480"/>
      <c r="E3" s="480"/>
      <c r="F3" s="480"/>
      <c r="G3" s="480"/>
      <c r="H3" s="480"/>
      <c r="I3" s="480"/>
      <c r="J3" s="480"/>
    </row>
    <row r="4" spans="1:13" x14ac:dyDescent="0.25">
      <c r="A4" s="201"/>
      <c r="B4" s="201"/>
      <c r="C4" s="201"/>
      <c r="D4" s="365"/>
      <c r="E4" s="405"/>
      <c r="F4" s="405"/>
      <c r="G4" s="201"/>
      <c r="H4" s="201"/>
      <c r="I4" s="201"/>
      <c r="J4" s="253"/>
    </row>
    <row r="5" spans="1:13" ht="15.75" x14ac:dyDescent="0.25">
      <c r="A5" s="433" t="s">
        <v>3995</v>
      </c>
    </row>
    <row r="6" spans="1:13" x14ac:dyDescent="0.25">
      <c r="A6" s="469" t="s">
        <v>592</v>
      </c>
      <c r="B6" s="469" t="s">
        <v>500</v>
      </c>
      <c r="C6" s="469" t="s">
        <v>5580</v>
      </c>
      <c r="D6" s="469" t="s">
        <v>5577</v>
      </c>
      <c r="E6" s="469" t="s">
        <v>5579</v>
      </c>
      <c r="F6" s="469" t="s">
        <v>5581</v>
      </c>
      <c r="G6" s="471" t="str">
        <f>IF($L$8=TRUE,"Realisasi vs Pagu+Blokir","Realisasi vs Pagu-Blokir")</f>
        <v>Realisasi vs Pagu-Blokir</v>
      </c>
      <c r="H6" s="471"/>
      <c r="I6" s="471" t="str">
        <f>IF($L$8=TRUE,"Sisa vs Pagu+Blokir","Sisa vs Pagu-Blokir")</f>
        <v>Sisa vs Pagu-Blokir</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6"/>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4"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5"/>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25">
      <c r="A15" s="475"/>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6"/>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25">
      <c r="A17" s="474"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5"/>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6"/>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4"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5"/>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6"/>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7" t="s">
        <v>3852</v>
      </c>
      <c r="B23" s="467"/>
      <c r="C23" s="176">
        <f>C12++C16+C19+C22</f>
        <v>16863164000</v>
      </c>
      <c r="D23" s="176">
        <f t="shared" ref="D23:E23" si="6">D12++D16+D19+D22</f>
        <v>100000000</v>
      </c>
      <c r="E23" s="176">
        <f t="shared" si="6"/>
        <v>5387360000</v>
      </c>
      <c r="F23" s="176">
        <f>F12++F16+F19+F22</f>
        <v>11375804000</v>
      </c>
      <c r="G23" s="176">
        <f>G12++G16+G19+G22</f>
        <v>6482972032</v>
      </c>
      <c r="H23" s="425">
        <f t="shared" si="0"/>
        <v>56.989132653832641</v>
      </c>
      <c r="I23" s="176">
        <f t="shared" si="1"/>
        <v>4892831968</v>
      </c>
      <c r="J23" s="265">
        <f t="shared" si="2"/>
        <v>43.010867346167359</v>
      </c>
      <c r="M23" s="215"/>
    </row>
    <row r="24" spans="1:13" x14ac:dyDescent="0.25">
      <c r="A24" s="481" t="s">
        <v>5583</v>
      </c>
      <c r="B24" s="482"/>
      <c r="C24" s="415">
        <f>C23</f>
        <v>16863164000</v>
      </c>
      <c r="D24" s="483">
        <f>SUM(D23,E23)</f>
        <v>5487360000</v>
      </c>
      <c r="E24" s="484"/>
      <c r="F24" s="415">
        <f>F23</f>
        <v>11375804000</v>
      </c>
      <c r="G24" s="176">
        <f>G23</f>
        <v>6482972032</v>
      </c>
      <c r="H24" s="425">
        <f t="shared" si="0"/>
        <v>56.989132653832641</v>
      </c>
      <c r="I24" s="176">
        <f t="shared" si="1"/>
        <v>4892831968</v>
      </c>
      <c r="J24" s="265">
        <f t="shared" si="2"/>
        <v>43.010867346167359</v>
      </c>
      <c r="M24" s="217"/>
    </row>
    <row r="26" spans="1:13" x14ac:dyDescent="0.25">
      <c r="J26" s="278"/>
    </row>
    <row r="27" spans="1:13" ht="15.75" x14ac:dyDescent="0.25">
      <c r="A27" s="433" t="s">
        <v>4002</v>
      </c>
    </row>
    <row r="28" spans="1:13" ht="14.45" customHeight="1" x14ac:dyDescent="0.25">
      <c r="A28" s="477" t="s">
        <v>3988</v>
      </c>
      <c r="B28" s="477" t="s">
        <v>3989</v>
      </c>
      <c r="C28" s="477" t="s">
        <v>5580</v>
      </c>
      <c r="D28" s="485" t="s">
        <v>5577</v>
      </c>
      <c r="E28" s="485" t="s">
        <v>5579</v>
      </c>
      <c r="F28" s="477" t="s">
        <v>5581</v>
      </c>
      <c r="G28" s="471" t="str">
        <f>IF($L$8=TRUE,"Realisasi vs Pagu+Blokir","Realisasi vs Pagu-Blokir")</f>
        <v>Realisasi vs Pagu-Blokir</v>
      </c>
      <c r="H28" s="471"/>
      <c r="I28" s="471" t="str">
        <f>IF($L$8=TRUE,"Sisa vs Pagu+Blokir","Sisa vs Pagu-Blokir")</f>
        <v>Sisa vs Pagu-Blokir</v>
      </c>
      <c r="J28" s="471"/>
    </row>
    <row r="29" spans="1:13" x14ac:dyDescent="0.25">
      <c r="A29" s="478"/>
      <c r="B29" s="478"/>
      <c r="C29" s="478"/>
      <c r="D29" s="486"/>
      <c r="E29" s="486"/>
      <c r="F29" s="478"/>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5828772032</v>
      </c>
      <c r="H30" s="205">
        <f t="shared" ref="H30:H37" si="8">IFERROR(IF($L$8=TRUE,G30/C30*100,G30/F30*100),0)</f>
        <v>54.364739007335096</v>
      </c>
      <c r="I30" s="206">
        <f t="shared" ref="I30:I37" si="9">IF($L$8=TRUE,C30-G30,F30-G30)</f>
        <v>4892831968</v>
      </c>
      <c r="J30" s="205">
        <f t="shared" ref="J30:J37" si="10">IFERROR(IF($L$8=TRUE,I30/C30*100,I30/F30*100),0)</f>
        <v>45.635260992664904</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5165450391</v>
      </c>
      <c r="H32" s="209">
        <f t="shared" si="8"/>
        <v>59.882711890382801</v>
      </c>
      <c r="I32" s="210">
        <f t="shared" si="9"/>
        <v>3460495609</v>
      </c>
      <c r="J32" s="209">
        <f t="shared" si="10"/>
        <v>40.117288109617192</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6482972032</v>
      </c>
      <c r="H35" s="214">
        <f t="shared" si="8"/>
        <v>56.989132653832641</v>
      </c>
      <c r="I35" s="213">
        <f t="shared" si="9"/>
        <v>4892831968</v>
      </c>
      <c r="J35" s="214">
        <f t="shared" si="10"/>
        <v>43.010867346167359</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7">
        <f>SUM(D35:E35)</f>
        <v>5487360000</v>
      </c>
      <c r="E37" s="488"/>
      <c r="F37" s="213">
        <f>F35</f>
        <v>11375804000</v>
      </c>
      <c r="G37" s="213">
        <f>G35-G36</f>
        <v>6482972032</v>
      </c>
      <c r="H37" s="214">
        <f t="shared" si="8"/>
        <v>56.989132653832641</v>
      </c>
      <c r="I37" s="213">
        <f t="shared" si="9"/>
        <v>4892831968</v>
      </c>
      <c r="J37" s="214">
        <f t="shared" si="10"/>
        <v>43.010867346167359</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9" t="s">
        <v>592</v>
      </c>
      <c r="B41" s="469" t="s">
        <v>500</v>
      </c>
      <c r="C41" s="469" t="s">
        <v>5580</v>
      </c>
      <c r="D41" s="469" t="s">
        <v>5577</v>
      </c>
      <c r="E41" s="469" t="s">
        <v>5579</v>
      </c>
      <c r="F41" s="469" t="s">
        <v>5581</v>
      </c>
      <c r="G41" s="471" t="str">
        <f>IF($L$8=TRUE,"Realisasi vs Pagu+Blokir","Realisasi vs Pagu-Blokir")</f>
        <v>Realisasi vs Pagu-Blokir</v>
      </c>
      <c r="H41" s="471"/>
      <c r="I41" s="471" t="str">
        <f>IF($L$8=TRUE,"Sisa vs Pagu+Blokir","Sisa vs Pagu-Blokir")</f>
        <v>Sisa vs Pagu-Blokir</v>
      </c>
      <c r="J41" s="471"/>
    </row>
    <row r="42" spans="1:12" x14ac:dyDescent="0.25">
      <c r="A42" s="469"/>
      <c r="B42" s="469"/>
      <c r="C42" s="469"/>
      <c r="D42" s="469"/>
      <c r="E42" s="469"/>
      <c r="F42" s="469"/>
      <c r="G42" s="417" t="s">
        <v>5589</v>
      </c>
      <c r="H42" s="417" t="s">
        <v>3846</v>
      </c>
      <c r="I42" s="417" t="s">
        <v>5589</v>
      </c>
      <c r="J42" s="417" t="s">
        <v>3846</v>
      </c>
    </row>
    <row r="43" spans="1:12" x14ac:dyDescent="0.25">
      <c r="A43" s="470"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0"/>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0"/>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0"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0"/>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0"/>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0"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0"/>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0"/>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0"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0"/>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0"/>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67" t="s">
        <v>3852</v>
      </c>
      <c r="B55" s="467"/>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7" t="s">
        <v>5583</v>
      </c>
      <c r="B56" s="467"/>
      <c r="C56" s="415">
        <f>C55</f>
        <v>348880000</v>
      </c>
      <c r="D56" s="468">
        <f>SUM(D55:E55)</f>
        <v>247069000</v>
      </c>
      <c r="E56" s="468"/>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13" sqref="L13"/>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9" t="str">
        <f>IF(L8=TRUE,"REALISASI TANPA GAJI (BERDASARKAN PAGU SEBELUM BLOKIR)","REALISASI TANPA GAJI (BERDASARKAN PAGU SETELAH BLOKIR)")</f>
        <v>REALISASI TANPA GAJI (BERDASARKAN PAGU SETELAH BLOKIR)</v>
      </c>
      <c r="B1" s="479"/>
      <c r="C1" s="479"/>
      <c r="D1" s="479"/>
      <c r="E1" s="479"/>
      <c r="F1" s="479"/>
      <c r="G1" s="479"/>
      <c r="H1" s="479"/>
      <c r="I1" s="479"/>
      <c r="J1" s="479"/>
      <c r="L1" s="431" t="s">
        <v>5584</v>
      </c>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29 JUNI 2022</v>
      </c>
      <c r="B3" s="480"/>
      <c r="C3" s="480"/>
      <c r="D3" s="480"/>
      <c r="E3" s="480"/>
      <c r="F3" s="480"/>
      <c r="G3" s="480"/>
      <c r="H3" s="480"/>
      <c r="I3" s="480"/>
      <c r="J3" s="480"/>
    </row>
    <row r="4" spans="1:13" x14ac:dyDescent="0.25">
      <c r="A4" s="436"/>
      <c r="B4" s="436"/>
      <c r="C4" s="436"/>
      <c r="D4" s="436"/>
      <c r="E4" s="436"/>
      <c r="F4" s="436"/>
      <c r="G4" s="436"/>
      <c r="H4" s="436"/>
      <c r="I4" s="436"/>
      <c r="J4" s="436"/>
    </row>
    <row r="5" spans="1:13" ht="15.75" x14ac:dyDescent="0.25">
      <c r="A5" s="433" t="s">
        <v>3995</v>
      </c>
    </row>
    <row r="6" spans="1:13" x14ac:dyDescent="0.25">
      <c r="A6" s="469" t="s">
        <v>592</v>
      </c>
      <c r="B6" s="469" t="s">
        <v>500</v>
      </c>
      <c r="C6" s="469" t="s">
        <v>5580</v>
      </c>
      <c r="D6" s="469" t="s">
        <v>5577</v>
      </c>
      <c r="E6" s="469" t="s">
        <v>5579</v>
      </c>
      <c r="F6" s="469" t="s">
        <v>3848</v>
      </c>
      <c r="G6" s="471" t="s">
        <v>3849</v>
      </c>
      <c r="H6" s="471"/>
      <c r="I6" s="471" t="s">
        <v>3850</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76"/>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74"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5"/>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3881268912</v>
      </c>
      <c r="H14" s="423">
        <f t="shared" si="0"/>
        <v>63.810421898890255</v>
      </c>
      <c r="I14" s="169">
        <f t="shared" si="1"/>
        <v>2201231088</v>
      </c>
      <c r="J14" s="263">
        <f t="shared" si="2"/>
        <v>36.189578101109745</v>
      </c>
      <c r="M14" s="217"/>
    </row>
    <row r="15" spans="1:13" x14ac:dyDescent="0.25">
      <c r="A15" s="475"/>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6"/>
      <c r="B16" s="296" t="s">
        <v>5586</v>
      </c>
      <c r="C16" s="194">
        <f>SUM(C13:C15)</f>
        <v>9985150000</v>
      </c>
      <c r="D16" s="194">
        <f t="shared" ref="D16:E16" si="3">SUM(D13:D15)</f>
        <v>0</v>
      </c>
      <c r="E16" s="194">
        <f t="shared" si="3"/>
        <v>3438934000</v>
      </c>
      <c r="F16" s="194">
        <f>SUM(F13:F15)</f>
        <v>6546216000</v>
      </c>
      <c r="G16" s="194">
        <f>SUM(G13:G15)</f>
        <v>4128836604</v>
      </c>
      <c r="H16" s="424">
        <f t="shared" si="0"/>
        <v>63.072110727785336</v>
      </c>
      <c r="I16" s="194">
        <f t="shared" si="1"/>
        <v>2417379396</v>
      </c>
      <c r="J16" s="264">
        <f t="shared" si="2"/>
        <v>36.927889272214664</v>
      </c>
    </row>
    <row r="17" spans="1:13" ht="15" customHeight="1" x14ac:dyDescent="0.25">
      <c r="A17" s="474"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75"/>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76"/>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74"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5"/>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76"/>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67" t="s">
        <v>3852</v>
      </c>
      <c r="B23" s="467"/>
      <c r="C23" s="176">
        <f>C12++C16+C19+C22</f>
        <v>16863164000</v>
      </c>
      <c r="D23" s="176">
        <f t="shared" ref="D23:E23" si="6">D12++D16+D19+D22</f>
        <v>100000000</v>
      </c>
      <c r="E23" s="176">
        <f t="shared" si="6"/>
        <v>5387360000</v>
      </c>
      <c r="F23" s="176">
        <f>F12++F16+F19+F22</f>
        <v>11375804000</v>
      </c>
      <c r="G23" s="176">
        <f>G12++G16+G19+G22</f>
        <v>6482972032</v>
      </c>
      <c r="H23" s="425">
        <f t="shared" si="0"/>
        <v>56.989132653832641</v>
      </c>
      <c r="I23" s="176">
        <f t="shared" si="1"/>
        <v>4892831968</v>
      </c>
      <c r="J23" s="265">
        <f t="shared" si="2"/>
        <v>43.010867346167359</v>
      </c>
      <c r="M23" s="215"/>
    </row>
    <row r="24" spans="1:13" x14ac:dyDescent="0.25">
      <c r="A24" s="481" t="s">
        <v>5583</v>
      </c>
      <c r="B24" s="482"/>
      <c r="C24" s="415">
        <f>C23</f>
        <v>16863164000</v>
      </c>
      <c r="D24" s="483">
        <f>SUM(D23,E23)</f>
        <v>5487360000</v>
      </c>
      <c r="E24" s="484"/>
      <c r="F24" s="415">
        <f>F23</f>
        <v>11375804000</v>
      </c>
      <c r="G24" s="176">
        <f>G23</f>
        <v>6482972032</v>
      </c>
      <c r="H24" s="425">
        <f t="shared" si="0"/>
        <v>56.989132653832641</v>
      </c>
      <c r="I24" s="176">
        <f t="shared" si="1"/>
        <v>4892831968</v>
      </c>
      <c r="J24" s="265">
        <f t="shared" si="2"/>
        <v>43.010867346167359</v>
      </c>
      <c r="M24" s="217"/>
    </row>
    <row r="27" spans="1:13" ht="15.75" x14ac:dyDescent="0.25">
      <c r="A27" s="433" t="s">
        <v>4002</v>
      </c>
    </row>
    <row r="28" spans="1:13" ht="14.45" customHeight="1" x14ac:dyDescent="0.25">
      <c r="A28" s="477" t="s">
        <v>3988</v>
      </c>
      <c r="B28" s="477" t="s">
        <v>3989</v>
      </c>
      <c r="C28" s="477" t="s">
        <v>5580</v>
      </c>
      <c r="D28" s="485" t="s">
        <v>5577</v>
      </c>
      <c r="E28" s="485" t="s">
        <v>5579</v>
      </c>
      <c r="F28" s="469" t="s">
        <v>3848</v>
      </c>
      <c r="G28" s="471" t="s">
        <v>3849</v>
      </c>
      <c r="H28" s="471"/>
      <c r="I28" s="471" t="s">
        <v>3850</v>
      </c>
      <c r="J28" s="471"/>
    </row>
    <row r="29" spans="1:13" x14ac:dyDescent="0.25">
      <c r="A29" s="478"/>
      <c r="B29" s="478"/>
      <c r="C29" s="478"/>
      <c r="D29" s="486"/>
      <c r="E29" s="486"/>
      <c r="F29" s="469"/>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5828772032</v>
      </c>
      <c r="H30" s="205">
        <f t="shared" ref="H30:H37" si="8">IFERROR(IF($L$8=TRUE,G30/C30*100,G30/F30*100),0)</f>
        <v>54.364739007335096</v>
      </c>
      <c r="I30" s="206">
        <f t="shared" ref="I30:I37" si="9">IF($L$8=TRUE,C30-G30,F30-G30)</f>
        <v>4892831968</v>
      </c>
      <c r="J30" s="205">
        <f t="shared" ref="J30:J37" si="10">IFERROR(IF($L$8=TRUE,I30/C30*100,I30/F30*100),0)</f>
        <v>45.635260992664904</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5165450391</v>
      </c>
      <c r="H32" s="209">
        <f t="shared" si="8"/>
        <v>59.882711890382801</v>
      </c>
      <c r="I32" s="210">
        <f t="shared" si="9"/>
        <v>3460495609</v>
      </c>
      <c r="J32" s="209">
        <f t="shared" si="10"/>
        <v>40.117288109617192</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6482972032</v>
      </c>
      <c r="H35" s="214">
        <f t="shared" si="8"/>
        <v>56.989132653832641</v>
      </c>
      <c r="I35" s="213">
        <f t="shared" si="9"/>
        <v>4892831968</v>
      </c>
      <c r="J35" s="214">
        <f t="shared" si="10"/>
        <v>43.010867346167359</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7">
        <f>SUM(D35:E35)</f>
        <v>5487360000</v>
      </c>
      <c r="E37" s="488"/>
      <c r="F37" s="213">
        <f>F35</f>
        <v>11375804000</v>
      </c>
      <c r="G37" s="213">
        <f>G35-G36</f>
        <v>6482972032</v>
      </c>
      <c r="H37" s="214">
        <f t="shared" si="8"/>
        <v>56.989132653832641</v>
      </c>
      <c r="I37" s="213">
        <f t="shared" si="9"/>
        <v>4892831968</v>
      </c>
      <c r="J37" s="214">
        <f t="shared" si="10"/>
        <v>43.010867346167359</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69" t="s">
        <v>592</v>
      </c>
      <c r="B41" s="469" t="s">
        <v>500</v>
      </c>
      <c r="C41" s="469" t="s">
        <v>5580</v>
      </c>
      <c r="D41" s="469" t="s">
        <v>5577</v>
      </c>
      <c r="E41" s="469" t="s">
        <v>5579</v>
      </c>
      <c r="F41" s="469" t="s">
        <v>3848</v>
      </c>
      <c r="G41" s="471" t="s">
        <v>3849</v>
      </c>
      <c r="H41" s="471"/>
      <c r="I41" s="471" t="s">
        <v>3850</v>
      </c>
      <c r="J41" s="471"/>
    </row>
    <row r="42" spans="1:12" x14ac:dyDescent="0.25">
      <c r="A42" s="469"/>
      <c r="B42" s="469"/>
      <c r="C42" s="469"/>
      <c r="D42" s="469"/>
      <c r="E42" s="469"/>
      <c r="F42" s="469"/>
      <c r="G42" s="417" t="s">
        <v>5589</v>
      </c>
      <c r="H42" s="417" t="s">
        <v>3846</v>
      </c>
      <c r="I42" s="417" t="s">
        <v>5589</v>
      </c>
      <c r="J42" s="417" t="s">
        <v>3846</v>
      </c>
    </row>
    <row r="43" spans="1:12" x14ac:dyDescent="0.25">
      <c r="A43" s="470"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0"/>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0"/>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0"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0"/>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0"/>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0"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0"/>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0"/>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0"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0"/>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0"/>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67" t="s">
        <v>3852</v>
      </c>
      <c r="B55" s="467"/>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7" t="s">
        <v>5583</v>
      </c>
      <c r="B56" s="467"/>
      <c r="C56" s="415">
        <f>C55</f>
        <v>348880000</v>
      </c>
      <c r="D56" s="468">
        <f>SUM(D55:E55)</f>
        <v>247069000</v>
      </c>
      <c r="E56" s="468"/>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3" sqref="V33"/>
    </sheetView>
  </sheetViews>
  <sheetFormatPr defaultRowHeight="15" x14ac:dyDescent="0.25"/>
  <sheetData>
    <row r="1" spans="2:16" x14ac:dyDescent="0.25">
      <c r="B1" s="489" t="str">
        <f>'PERSUBBID - Gaji'!A1</f>
        <v>REALISASI TANPA GAJI (BERDASARKAN PAGU SETELAH BLOKIR)</v>
      </c>
      <c r="C1" s="489"/>
      <c r="D1" s="489"/>
      <c r="E1" s="489"/>
      <c r="F1" s="489"/>
      <c r="G1" s="489"/>
      <c r="H1" s="489"/>
      <c r="I1" s="489"/>
      <c r="J1" s="489"/>
      <c r="K1" s="489"/>
      <c r="L1" s="489"/>
      <c r="M1" s="489"/>
      <c r="N1" s="489"/>
      <c r="O1" s="489"/>
      <c r="P1" s="489"/>
    </row>
    <row r="2" spans="2:16" ht="15.75" x14ac:dyDescent="0.25">
      <c r="B2" s="480" t="str">
        <f>'PERSUBBID - Gaji'!A2</f>
        <v>Berdasarkan DIPA Revisi 2 TA. 2022 (Tanggal 9 Juni 2022)</v>
      </c>
      <c r="C2" s="480"/>
      <c r="D2" s="480"/>
      <c r="E2" s="480"/>
      <c r="F2" s="480"/>
      <c r="G2" s="480"/>
      <c r="H2" s="480"/>
      <c r="I2" s="480"/>
      <c r="J2" s="480"/>
      <c r="K2" s="480"/>
      <c r="L2" s="480"/>
      <c r="M2" s="480"/>
      <c r="N2" s="480"/>
      <c r="O2" s="480"/>
      <c r="P2" s="480"/>
    </row>
    <row r="3" spans="2:16" ht="15.75" x14ac:dyDescent="0.25">
      <c r="B3" s="480" t="str">
        <f>'PERSUBBID - Gaji'!A3</f>
        <v>SAMPAI DENGAN 29 JUNI 2022</v>
      </c>
      <c r="C3" s="480"/>
      <c r="D3" s="480"/>
      <c r="E3" s="480"/>
      <c r="F3" s="480"/>
      <c r="G3" s="480"/>
      <c r="H3" s="480"/>
      <c r="I3" s="480"/>
      <c r="J3" s="480"/>
      <c r="K3" s="480"/>
      <c r="L3" s="480"/>
      <c r="M3" s="480"/>
      <c r="N3" s="480"/>
      <c r="O3" s="480"/>
      <c r="P3" s="480"/>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32" sqref="M32"/>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9" t="str">
        <f>IF(L8=TRUE,"REALISASI DENGAN GAJI (BERDASARKAN PAGU SEBELUM BLOKIR)","REALISASI DENGAN GAJI (BERDASARKAN PAGU SETELAH BLOKIR)")</f>
        <v>REALISASI DENGAN GAJI (BERDASARKAN PAGU SETELAH BLOKIR)</v>
      </c>
      <c r="B1" s="479"/>
      <c r="C1" s="479"/>
      <c r="D1" s="479"/>
      <c r="E1" s="479"/>
      <c r="F1" s="479"/>
      <c r="G1" s="479"/>
      <c r="H1" s="479"/>
      <c r="I1" s="479"/>
      <c r="J1" s="479"/>
      <c r="L1" s="431"/>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29 JUNI 2022</v>
      </c>
      <c r="B3" s="480"/>
      <c r="C3" s="480"/>
      <c r="D3" s="480"/>
      <c r="E3" s="480"/>
      <c r="F3" s="480"/>
      <c r="G3" s="480"/>
      <c r="H3" s="480"/>
      <c r="I3" s="480"/>
      <c r="J3" s="480"/>
    </row>
    <row r="4" spans="1:13" x14ac:dyDescent="0.25">
      <c r="A4" s="405"/>
      <c r="B4" s="405"/>
      <c r="C4" s="405"/>
      <c r="D4" s="405"/>
      <c r="E4" s="405"/>
      <c r="F4" s="405"/>
      <c r="G4" s="405"/>
      <c r="H4" s="405"/>
      <c r="I4" s="405"/>
      <c r="J4" s="405"/>
    </row>
    <row r="5" spans="1:13" ht="15.75" x14ac:dyDescent="0.25">
      <c r="A5" s="433" t="s">
        <v>3995</v>
      </c>
    </row>
    <row r="6" spans="1:13" x14ac:dyDescent="0.25">
      <c r="A6" s="469" t="s">
        <v>592</v>
      </c>
      <c r="B6" s="469" t="s">
        <v>500</v>
      </c>
      <c r="C6" s="469" t="s">
        <v>5580</v>
      </c>
      <c r="D6" s="469" t="s">
        <v>5577</v>
      </c>
      <c r="E6" s="469" t="s">
        <v>5579</v>
      </c>
      <c r="F6" s="469" t="s">
        <v>5581</v>
      </c>
      <c r="G6" s="471" t="str">
        <f>IF($L$8=TRUE,"Realisasi vs Pagu+Blokir","Realisasi vs Pagu-Blokir")</f>
        <v>Realisasi vs Pagu-Blokir</v>
      </c>
      <c r="H6" s="471"/>
      <c r="I6" s="471" t="str">
        <f>IF($L$8=TRUE,"Sisa vs Pagu+Blokir","Sisa vs Pagu-Blokir")</f>
        <v>Sisa vs Pagu-Blokir</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5"/>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76"/>
      <c r="B13" s="296" t="s">
        <v>5585</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74"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5"/>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25">
      <c r="A16" s="475"/>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6"/>
      <c r="B17" s="296" t="s">
        <v>5586</v>
      </c>
      <c r="C17" s="194">
        <f>SUM(C14:C16)</f>
        <v>9985150000</v>
      </c>
      <c r="D17" s="194">
        <f t="shared" ref="D17:E17" si="7">SUM(D14:D16)</f>
        <v>0</v>
      </c>
      <c r="E17" s="194">
        <f t="shared" si="7"/>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25">
      <c r="A18" s="474"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5"/>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6"/>
      <c r="B20" s="296" t="s">
        <v>5587</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4"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5"/>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6"/>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7" t="s">
        <v>3852</v>
      </c>
      <c r="B24" s="467"/>
      <c r="C24" s="176">
        <f>C13++C17+C20+C23</f>
        <v>23342160000</v>
      </c>
      <c r="D24" s="176">
        <f t="shared" ref="D24:E24" si="10">D13++D17+D20+D23</f>
        <v>423949000</v>
      </c>
      <c r="E24" s="176">
        <f t="shared" si="10"/>
        <v>5387360000</v>
      </c>
      <c r="F24" s="176">
        <f>F13++F17+F20+F23</f>
        <v>17530851000</v>
      </c>
      <c r="G24" s="176">
        <f>G13++G17+G20+G23</f>
        <v>9423354336</v>
      </c>
      <c r="H24" s="425">
        <f t="shared" si="0"/>
        <v>53.752977171501826</v>
      </c>
      <c r="I24" s="176">
        <f t="shared" si="1"/>
        <v>8107496664</v>
      </c>
      <c r="J24" s="265">
        <f t="shared" si="2"/>
        <v>46.247022828498174</v>
      </c>
      <c r="K24" s="434"/>
      <c r="M24" s="215"/>
    </row>
    <row r="25" spans="1:13" x14ac:dyDescent="0.25">
      <c r="A25" s="481" t="s">
        <v>5583</v>
      </c>
      <c r="B25" s="482"/>
      <c r="C25" s="415">
        <f>C24</f>
        <v>23342160000</v>
      </c>
      <c r="D25" s="483">
        <f>SUM(D24,E24)</f>
        <v>5811309000</v>
      </c>
      <c r="E25" s="484"/>
      <c r="F25" s="415">
        <f>F24</f>
        <v>17530851000</v>
      </c>
      <c r="G25" s="176">
        <f>G24</f>
        <v>9423354336</v>
      </c>
      <c r="H25" s="425">
        <f t="shared" si="0"/>
        <v>53.752977171501826</v>
      </c>
      <c r="I25" s="176">
        <f t="shared" si="1"/>
        <v>8107496664</v>
      </c>
      <c r="J25" s="265">
        <f t="shared" si="2"/>
        <v>46.247022828498174</v>
      </c>
      <c r="K25" s="434"/>
      <c r="M25" s="217"/>
    </row>
    <row r="29" spans="1:13" ht="15.75" x14ac:dyDescent="0.25">
      <c r="A29" s="433" t="s">
        <v>4002</v>
      </c>
    </row>
    <row r="30" spans="1:13" ht="14.45" customHeight="1" x14ac:dyDescent="0.25">
      <c r="A30" s="477" t="s">
        <v>3988</v>
      </c>
      <c r="B30" s="477" t="s">
        <v>3989</v>
      </c>
      <c r="C30" s="477" t="s">
        <v>5580</v>
      </c>
      <c r="D30" s="485" t="s">
        <v>5577</v>
      </c>
      <c r="E30" s="485" t="s">
        <v>5579</v>
      </c>
      <c r="F30" s="477" t="s">
        <v>5581</v>
      </c>
      <c r="G30" s="471" t="str">
        <f>IF($L$8=TRUE,"Realisasi vs Pagu+Blokir","Realisasi vs Pagu-Blokir")</f>
        <v>Realisasi vs Pagu-Blokir</v>
      </c>
      <c r="H30" s="471"/>
      <c r="I30" s="471" t="str">
        <f>IF($L$8=TRUE,"Sisa vs Pagu+Blokir","Sisa vs Pagu-Blokir")</f>
        <v>Sisa vs Pagu-Blokir</v>
      </c>
      <c r="J30" s="471"/>
    </row>
    <row r="31" spans="1:13" x14ac:dyDescent="0.25">
      <c r="A31" s="478"/>
      <c r="B31" s="478"/>
      <c r="C31" s="478"/>
      <c r="D31" s="486"/>
      <c r="E31" s="486"/>
      <c r="F31" s="478"/>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5828772032</v>
      </c>
      <c r="H33" s="205">
        <f t="shared" ref="H33:H40" si="16">IFERROR(IF($L$8=TRUE,G33/C33*100,G33/F33*100),0)</f>
        <v>54.364739007335096</v>
      </c>
      <c r="I33" s="206">
        <f t="shared" ref="I33:I40" si="17">IF($L$8=TRUE,C33-G33,F33-G33)</f>
        <v>4892831968</v>
      </c>
      <c r="J33" s="205">
        <f t="shared" ref="J33:J40" si="18">IFERROR(IF($L$8=TRUE,I33/C33*100,I33/F33*100),0)</f>
        <v>45.635260992664904</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5165450391</v>
      </c>
      <c r="H35" s="209">
        <f t="shared" si="16"/>
        <v>59.882711890382801</v>
      </c>
      <c r="I35" s="210">
        <f t="shared" si="17"/>
        <v>3460495609</v>
      </c>
      <c r="J35" s="209">
        <f t="shared" si="18"/>
        <v>40.117288109617192</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9">SUM(D32,D33,D36)</f>
        <v>423949000</v>
      </c>
      <c r="E38" s="213">
        <f t="shared" si="19"/>
        <v>5387360000</v>
      </c>
      <c r="F38" s="213">
        <f t="shared" si="19"/>
        <v>17530851000</v>
      </c>
      <c r="G38" s="213">
        <f t="shared" si="19"/>
        <v>9423354336</v>
      </c>
      <c r="H38" s="214">
        <f t="shared" si="16"/>
        <v>53.752977171501826</v>
      </c>
      <c r="I38" s="213">
        <f t="shared" si="17"/>
        <v>8107496664</v>
      </c>
      <c r="J38" s="214">
        <f t="shared" si="18"/>
        <v>46.247022828498174</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7">
        <f>SUM(D38:E38)</f>
        <v>5811309000</v>
      </c>
      <c r="E40" s="488"/>
      <c r="F40" s="213">
        <f>F38</f>
        <v>17530851000</v>
      </c>
      <c r="G40" s="213">
        <f>G38-G39</f>
        <v>9423354336</v>
      </c>
      <c r="H40" s="214">
        <f t="shared" si="16"/>
        <v>53.752977171501826</v>
      </c>
      <c r="I40" s="213">
        <f t="shared" si="17"/>
        <v>8107496664</v>
      </c>
      <c r="J40" s="214">
        <f t="shared" si="18"/>
        <v>46.247022828498174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9" t="s">
        <v>592</v>
      </c>
      <c r="B45" s="469" t="s">
        <v>500</v>
      </c>
      <c r="C45" s="469" t="s">
        <v>5580</v>
      </c>
      <c r="D45" s="469" t="s">
        <v>5577</v>
      </c>
      <c r="E45" s="469" t="s">
        <v>5579</v>
      </c>
      <c r="F45" s="469" t="s">
        <v>5581</v>
      </c>
      <c r="G45" s="471" t="str">
        <f>IF($L$8=TRUE,"Realisasi vs Pagu+Blokir","Realisasi vs Pagu-Blokir")</f>
        <v>Realisasi vs Pagu-Blokir</v>
      </c>
      <c r="H45" s="471"/>
      <c r="I45" s="471" t="str">
        <f>IF($L$8=TRUE,"Sisa vs Pagu+Blokir","Sisa vs Pagu-Blokir")</f>
        <v>Sisa vs Pagu-Blokir</v>
      </c>
      <c r="J45" s="471"/>
    </row>
    <row r="46" spans="1:12" x14ac:dyDescent="0.25">
      <c r="A46" s="469"/>
      <c r="B46" s="469"/>
      <c r="C46" s="469"/>
      <c r="D46" s="469"/>
      <c r="E46" s="469"/>
      <c r="F46" s="469"/>
      <c r="G46" s="417" t="s">
        <v>5589</v>
      </c>
      <c r="H46" s="417" t="s">
        <v>3846</v>
      </c>
      <c r="I46" s="417" t="s">
        <v>5589</v>
      </c>
      <c r="J46" s="417" t="s">
        <v>3846</v>
      </c>
    </row>
    <row r="47" spans="1:12" x14ac:dyDescent="0.25">
      <c r="A47" s="470"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0"/>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0"/>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0"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0"/>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0"/>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0"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0"/>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0"/>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0"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0"/>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0"/>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67" t="s">
        <v>3852</v>
      </c>
      <c r="B59" s="467"/>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67" t="s">
        <v>5583</v>
      </c>
      <c r="B60" s="467"/>
      <c r="C60" s="415">
        <f>C59</f>
        <v>348880000</v>
      </c>
      <c r="D60" s="468">
        <f>SUM(D59:E59)</f>
        <v>247069000</v>
      </c>
      <c r="E60" s="468"/>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tabSelected="1" zoomScale="85" zoomScaleNormal="85" workbookViewId="0">
      <pane xSplit="2" ySplit="3" topLeftCell="C4" activePane="bottomRight" state="frozen"/>
      <selection activeCell="L10" sqref="L10"/>
      <selection pane="topRight" activeCell="L10" sqref="L10"/>
      <selection pane="bottomLeft" activeCell="L10" sqref="L10"/>
      <selection pane="bottomRight" activeCell="L33" sqref="L33"/>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9" t="str">
        <f>IF(L8=TRUE,"REALISASI DENGAN GAJI (BERDASARKAN PAGU SEBELUM BLOKIR)","REALISASI DENGAN GAJI (BERDASARKAN PAGU SETELAH BLOKIR)")</f>
        <v>REALISASI DENGAN GAJI (BERDASARKAN PAGU SETELAH BLOKIR)</v>
      </c>
      <c r="B1" s="479"/>
      <c r="C1" s="479"/>
      <c r="D1" s="479"/>
      <c r="E1" s="479"/>
      <c r="F1" s="479"/>
      <c r="G1" s="479"/>
      <c r="H1" s="479"/>
      <c r="I1" s="479"/>
      <c r="J1" s="479"/>
      <c r="L1" s="431"/>
    </row>
    <row r="2" spans="1:13" ht="15.75" x14ac:dyDescent="0.25">
      <c r="A2" s="480" t="str">
        <f>'PER BULAN'!B5</f>
        <v>Berdasarkan DIPA Revisi 2 TA. 2022 (Tanggal 9 Juni 2022)</v>
      </c>
      <c r="B2" s="480"/>
      <c r="C2" s="480"/>
      <c r="D2" s="480"/>
      <c r="E2" s="480"/>
      <c r="F2" s="480"/>
      <c r="G2" s="480"/>
      <c r="H2" s="480"/>
      <c r="I2" s="480"/>
      <c r="J2" s="480"/>
    </row>
    <row r="3" spans="1:13" ht="15.75" x14ac:dyDescent="0.25">
      <c r="A3" s="480" t="str">
        <f>'PER BULAN'!B6</f>
        <v>SAMPAI DENGAN 29 JUNI 2022</v>
      </c>
      <c r="B3" s="480"/>
      <c r="C3" s="480"/>
      <c r="D3" s="480"/>
      <c r="E3" s="480"/>
      <c r="F3" s="480"/>
      <c r="G3" s="480"/>
      <c r="H3" s="480"/>
      <c r="I3" s="480"/>
      <c r="J3" s="480"/>
    </row>
    <row r="4" spans="1:13" x14ac:dyDescent="0.25">
      <c r="A4" s="436"/>
      <c r="B4" s="436"/>
      <c r="C4" s="436"/>
      <c r="D4" s="436"/>
      <c r="E4" s="436"/>
      <c r="F4" s="436"/>
      <c r="G4" s="436"/>
      <c r="H4" s="436"/>
      <c r="I4" s="436"/>
      <c r="J4" s="436"/>
    </row>
    <row r="5" spans="1:13" ht="15.75" x14ac:dyDescent="0.25">
      <c r="A5" s="433" t="s">
        <v>3995</v>
      </c>
    </row>
    <row r="6" spans="1:13" x14ac:dyDescent="0.25">
      <c r="A6" s="469" t="s">
        <v>592</v>
      </c>
      <c r="B6" s="469" t="s">
        <v>500</v>
      </c>
      <c r="C6" s="469" t="s">
        <v>5580</v>
      </c>
      <c r="D6" s="469" t="s">
        <v>5577</v>
      </c>
      <c r="E6" s="469" t="s">
        <v>5579</v>
      </c>
      <c r="F6" s="469" t="s">
        <v>3848</v>
      </c>
      <c r="G6" s="471" t="s">
        <v>3849</v>
      </c>
      <c r="H6" s="471"/>
      <c r="I6" s="471" t="s">
        <v>3850</v>
      </c>
      <c r="J6" s="471"/>
    </row>
    <row r="7" spans="1:13" x14ac:dyDescent="0.25">
      <c r="A7" s="469"/>
      <c r="B7" s="469"/>
      <c r="C7" s="469"/>
      <c r="D7" s="469"/>
      <c r="E7" s="469"/>
      <c r="F7" s="469"/>
      <c r="G7" s="417" t="s">
        <v>5589</v>
      </c>
      <c r="H7" s="417" t="s">
        <v>3846</v>
      </c>
      <c r="I7" s="417" t="s">
        <v>5589</v>
      </c>
      <c r="J7" s="417" t="s">
        <v>3846</v>
      </c>
    </row>
    <row r="8" spans="1:13" x14ac:dyDescent="0.25">
      <c r="A8" s="474"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75"/>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75"/>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5"/>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75"/>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76"/>
      <c r="B13" s="296" t="s">
        <v>5585</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74"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5"/>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3881268912</v>
      </c>
      <c r="H15" s="423">
        <f t="shared" si="0"/>
        <v>63.810421898890255</v>
      </c>
      <c r="I15" s="169">
        <f t="shared" si="1"/>
        <v>2201231088</v>
      </c>
      <c r="J15" s="263">
        <f t="shared" si="2"/>
        <v>36.189578101109745</v>
      </c>
      <c r="K15" s="434"/>
      <c r="M15" s="217"/>
    </row>
    <row r="16" spans="1:13" x14ac:dyDescent="0.25">
      <c r="A16" s="475"/>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6"/>
      <c r="B17" s="296" t="s">
        <v>5586</v>
      </c>
      <c r="C17" s="194">
        <f>SUM(C14:C16)</f>
        <v>9985150000</v>
      </c>
      <c r="D17" s="194">
        <f t="shared" ref="D17:E17" si="4">SUM(D14:D16)</f>
        <v>0</v>
      </c>
      <c r="E17" s="194">
        <f t="shared" si="4"/>
        <v>3438934000</v>
      </c>
      <c r="F17" s="194">
        <f>SUM(F14:F16)</f>
        <v>6546216000</v>
      </c>
      <c r="G17" s="194">
        <f>SUM(G14:G16)</f>
        <v>4128836604</v>
      </c>
      <c r="H17" s="424">
        <f t="shared" si="0"/>
        <v>63.072110727785336</v>
      </c>
      <c r="I17" s="194">
        <f t="shared" si="1"/>
        <v>2417379396</v>
      </c>
      <c r="J17" s="264">
        <f t="shared" si="2"/>
        <v>36.927889272214664</v>
      </c>
      <c r="K17" s="434"/>
    </row>
    <row r="18" spans="1:13" ht="15" customHeight="1" x14ac:dyDescent="0.25">
      <c r="A18" s="474"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75"/>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76"/>
      <c r="B20" s="296" t="s">
        <v>5587</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74"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5"/>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76"/>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67" t="s">
        <v>3852</v>
      </c>
      <c r="B24" s="467"/>
      <c r="C24" s="176">
        <f>C13++C17+C20+C23</f>
        <v>23342160000</v>
      </c>
      <c r="D24" s="176">
        <f t="shared" ref="D24:E24" si="7">D13++D17+D20+D23</f>
        <v>423949000</v>
      </c>
      <c r="E24" s="176">
        <f t="shared" si="7"/>
        <v>5387360000</v>
      </c>
      <c r="F24" s="176">
        <f>F13++F17+F20+F23</f>
        <v>17530851000</v>
      </c>
      <c r="G24" s="176">
        <f>G13++G17+G20+G23</f>
        <v>9423354336</v>
      </c>
      <c r="H24" s="425">
        <f t="shared" si="0"/>
        <v>53.752977171501826</v>
      </c>
      <c r="I24" s="176">
        <f t="shared" si="1"/>
        <v>8107496664</v>
      </c>
      <c r="J24" s="265">
        <f t="shared" si="2"/>
        <v>46.247022828498174</v>
      </c>
      <c r="K24" s="434"/>
      <c r="M24" s="215"/>
    </row>
    <row r="25" spans="1:13" x14ac:dyDescent="0.25">
      <c r="A25" s="481" t="s">
        <v>5583</v>
      </c>
      <c r="B25" s="482"/>
      <c r="C25" s="415">
        <f>C24</f>
        <v>23342160000</v>
      </c>
      <c r="D25" s="483">
        <f>SUM(D24,E24)</f>
        <v>5811309000</v>
      </c>
      <c r="E25" s="484"/>
      <c r="F25" s="415">
        <f>F24</f>
        <v>17530851000</v>
      </c>
      <c r="G25" s="176">
        <f>G24</f>
        <v>9423354336</v>
      </c>
      <c r="H25" s="425">
        <f t="shared" si="0"/>
        <v>53.752977171501826</v>
      </c>
      <c r="I25" s="176">
        <f t="shared" si="1"/>
        <v>8107496664</v>
      </c>
      <c r="J25" s="265">
        <f t="shared" si="2"/>
        <v>46.247022828498174</v>
      </c>
      <c r="K25" s="434"/>
      <c r="M25" s="217"/>
    </row>
    <row r="29" spans="1:13" ht="15.75" x14ac:dyDescent="0.25">
      <c r="A29" s="433" t="s">
        <v>4002</v>
      </c>
    </row>
    <row r="30" spans="1:13" ht="14.45" customHeight="1" x14ac:dyDescent="0.25">
      <c r="A30" s="477" t="s">
        <v>3988</v>
      </c>
      <c r="B30" s="477" t="s">
        <v>3989</v>
      </c>
      <c r="C30" s="477" t="s">
        <v>5580</v>
      </c>
      <c r="D30" s="485" t="s">
        <v>5577</v>
      </c>
      <c r="E30" s="485" t="s">
        <v>5579</v>
      </c>
      <c r="F30" s="469" t="s">
        <v>3848</v>
      </c>
      <c r="G30" s="471" t="s">
        <v>3849</v>
      </c>
      <c r="H30" s="471"/>
      <c r="I30" s="471" t="s">
        <v>3850</v>
      </c>
      <c r="J30" s="471"/>
    </row>
    <row r="31" spans="1:13" x14ac:dyDescent="0.25">
      <c r="A31" s="478"/>
      <c r="B31" s="478"/>
      <c r="C31" s="478"/>
      <c r="D31" s="486"/>
      <c r="E31" s="486"/>
      <c r="F31" s="469"/>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5828772032</v>
      </c>
      <c r="H33" s="205">
        <f t="shared" si="9"/>
        <v>54.364739007335096</v>
      </c>
      <c r="I33" s="206">
        <f t="shared" si="10"/>
        <v>4892831968</v>
      </c>
      <c r="J33" s="205">
        <f t="shared" si="11"/>
        <v>45.635260992664904</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5165450391</v>
      </c>
      <c r="H35" s="209">
        <f t="shared" si="9"/>
        <v>59.882711890382801</v>
      </c>
      <c r="I35" s="210">
        <f t="shared" si="10"/>
        <v>3460495609</v>
      </c>
      <c r="J35" s="209">
        <f t="shared" si="11"/>
        <v>40.117288109617192</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3">SUM(D32,D33,D36)</f>
        <v>423949000</v>
      </c>
      <c r="E38" s="213">
        <f t="shared" si="13"/>
        <v>5387360000</v>
      </c>
      <c r="F38" s="213">
        <f t="shared" si="13"/>
        <v>17530851000</v>
      </c>
      <c r="G38" s="213">
        <f t="shared" si="13"/>
        <v>9423354336</v>
      </c>
      <c r="H38" s="214">
        <f t="shared" si="9"/>
        <v>53.752977171501826</v>
      </c>
      <c r="I38" s="213">
        <f t="shared" si="10"/>
        <v>8107496664</v>
      </c>
      <c r="J38" s="214">
        <f t="shared" si="11"/>
        <v>46.247022828498174</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7">
        <f>SUM(D38:E38)</f>
        <v>5811309000</v>
      </c>
      <c r="E40" s="488"/>
      <c r="F40" s="213">
        <f>F38</f>
        <v>17530851000</v>
      </c>
      <c r="G40" s="213">
        <f>G38-G39</f>
        <v>9423354336</v>
      </c>
      <c r="H40" s="214">
        <f t="shared" si="9"/>
        <v>53.752977171501826</v>
      </c>
      <c r="I40" s="213">
        <f t="shared" si="10"/>
        <v>8107496664</v>
      </c>
      <c r="J40" s="214">
        <f t="shared" si="11"/>
        <v>46.247022828498174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69" t="s">
        <v>592</v>
      </c>
      <c r="B45" s="469" t="s">
        <v>500</v>
      </c>
      <c r="C45" s="469" t="s">
        <v>5580</v>
      </c>
      <c r="D45" s="469" t="s">
        <v>5577</v>
      </c>
      <c r="E45" s="469" t="s">
        <v>5579</v>
      </c>
      <c r="F45" s="469" t="s">
        <v>3848</v>
      </c>
      <c r="G45" s="471" t="s">
        <v>3849</v>
      </c>
      <c r="H45" s="471"/>
      <c r="I45" s="471" t="s">
        <v>3850</v>
      </c>
      <c r="J45" s="471"/>
    </row>
    <row r="46" spans="1:12" x14ac:dyDescent="0.25">
      <c r="A46" s="469"/>
      <c r="B46" s="469"/>
      <c r="C46" s="469"/>
      <c r="D46" s="469"/>
      <c r="E46" s="469"/>
      <c r="F46" s="469"/>
      <c r="G46" s="417" t="s">
        <v>5589</v>
      </c>
      <c r="H46" s="417" t="s">
        <v>3846</v>
      </c>
      <c r="I46" s="417" t="s">
        <v>5589</v>
      </c>
      <c r="J46" s="417" t="s">
        <v>3846</v>
      </c>
    </row>
    <row r="47" spans="1:12" x14ac:dyDescent="0.25">
      <c r="A47" s="470"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0"/>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0"/>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0"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0"/>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0"/>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0"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0"/>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0"/>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0"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0"/>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0"/>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67" t="s">
        <v>3852</v>
      </c>
      <c r="B59" s="467"/>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67" t="s">
        <v>5583</v>
      </c>
      <c r="B60" s="467"/>
      <c r="C60" s="415">
        <f>C59</f>
        <v>348880000</v>
      </c>
      <c r="D60" s="468">
        <f>SUM(D59:E59)</f>
        <v>247069000</v>
      </c>
      <c r="E60" s="468"/>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R3" sqref="R3"/>
    </sheetView>
  </sheetViews>
  <sheetFormatPr defaultRowHeight="15" x14ac:dyDescent="0.25"/>
  <cols>
    <col min="16" max="16" width="7" customWidth="1"/>
    <col min="17" max="17" width="5.5703125" customWidth="1"/>
    <col min="21" max="21" width="4.7109375" customWidth="1"/>
  </cols>
  <sheetData>
    <row r="1" spans="2:16" x14ac:dyDescent="0.25">
      <c r="B1" s="489" t="str">
        <f>'PERSUBBID - Gaji'!A1</f>
        <v>REALISASI TANPA GAJI (BERDASARKAN PAGU SETELAH BLOKIR)</v>
      </c>
      <c r="C1" s="489"/>
      <c r="D1" s="489"/>
      <c r="E1" s="489"/>
      <c r="F1" s="489"/>
      <c r="G1" s="489"/>
      <c r="H1" s="489"/>
      <c r="I1" s="489"/>
      <c r="J1" s="489"/>
      <c r="K1" s="489"/>
      <c r="L1" s="489"/>
      <c r="M1" s="489"/>
      <c r="N1" s="489"/>
      <c r="O1" s="489"/>
      <c r="P1" s="489"/>
    </row>
    <row r="2" spans="2:16" ht="15.75" x14ac:dyDescent="0.25">
      <c r="B2" s="480" t="str">
        <f>'PERSUBBID - Gaji'!A2</f>
        <v>Berdasarkan DIPA Revisi 2 TA. 2022 (Tanggal 9 Juni 2022)</v>
      </c>
      <c r="C2" s="480"/>
      <c r="D2" s="480"/>
      <c r="E2" s="480"/>
      <c r="F2" s="480"/>
      <c r="G2" s="480"/>
      <c r="H2" s="480"/>
      <c r="I2" s="480"/>
      <c r="J2" s="480"/>
      <c r="K2" s="480"/>
      <c r="L2" s="480"/>
      <c r="M2" s="480"/>
      <c r="N2" s="480"/>
      <c r="O2" s="480"/>
      <c r="P2" s="480"/>
    </row>
    <row r="3" spans="2:16" ht="15.75" x14ac:dyDescent="0.25">
      <c r="B3" s="480" t="str">
        <f>'PERSUBBID - Gaji'!A3</f>
        <v>SAMPAI DENGAN 29 JUNI 2022</v>
      </c>
      <c r="C3" s="480"/>
      <c r="D3" s="480"/>
      <c r="E3" s="480"/>
      <c r="F3" s="480"/>
      <c r="G3" s="480"/>
      <c r="H3" s="480"/>
      <c r="I3" s="480"/>
      <c r="J3" s="480"/>
      <c r="K3" s="480"/>
      <c r="L3" s="480"/>
      <c r="M3" s="480"/>
      <c r="N3" s="480"/>
      <c r="O3" s="480"/>
      <c r="P3" s="48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27" sqref="F27"/>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2022-06-29T12:13:16Z</cp:lastPrinted>
  <dcterms:created xsi:type="dcterms:W3CDTF">2021-07-27T04:05:22Z</dcterms:created>
  <dcterms:modified xsi:type="dcterms:W3CDTF">2022-06-29T12:38:40Z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