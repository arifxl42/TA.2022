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omments1.xml" ContentType="application/vnd.openxmlformats-officedocument.spreadsheetml.comments+xml"/>
  <Override PartName="/xl/pivotTables/pivotTable3.xml" ContentType="application/vnd.openxmlformats-officedocument.spreadsheetml.pivotTable+xml"/>
  <Override PartName="/xl/tables/table8.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drawings/drawing6.xml" ContentType="application/vnd.openxmlformats-officedocument.drawing+xml"/>
  <Override PartName="/xl/tables/table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D:\2022\RKAKL DIPA REVISI 2\TA.2022\"/>
    </mc:Choice>
  </mc:AlternateContent>
  <xr:revisionPtr revIDLastSave="0" documentId="13_ncr:1_{249C36AA-1D04-497E-8D6E-E5F0BB4A4581}" xr6:coauthVersionLast="47" xr6:coauthVersionMax="47" xr10:uidLastSave="{00000000-0000-0000-0000-000000000000}"/>
  <bookViews>
    <workbookView xWindow="-120" yWindow="-120" windowWidth="29040" windowHeight="15840" tabRatio="872" firstSheet="4" activeTab="6" xr2:uid="{61C84AEA-A539-4D70-AFD9-121B78DC1838}"/>
  </bookViews>
  <sheets>
    <sheet name="DIPA4_PUSDIK (2)" sheetId="6" state="hidden" r:id="rId1"/>
    <sheet name="GAJI" sheetId="24" r:id="rId2"/>
    <sheet name="non 51" sheetId="21" r:id="rId3"/>
    <sheet name="Cetak_Pusdik (2)" sheetId="11" r:id="rId4"/>
    <sheet name="Cetak_Pusdik" sheetId="10" r:id="rId5"/>
    <sheet name="Eselon2" sheetId="7" r:id="rId6"/>
    <sheet name="SP2D ON" sheetId="23" r:id="rId7"/>
    <sheet name="PERAKUN" sheetId="20" r:id="rId8"/>
    <sheet name="GUP TUP" sheetId="22" r:id="rId9"/>
    <sheet name="SP2D" sheetId="16" r:id="rId10"/>
    <sheet name="SP2D Gaji" sheetId="32" r:id="rId11"/>
    <sheet name="PER BULAN" sheetId="13" r:id="rId12"/>
    <sheet name="Sheet2" sheetId="29" r:id="rId13"/>
    <sheet name="PERSUBBID - Gaji" sheetId="14" r:id="rId14"/>
    <sheet name="TANPA GAJI" sheetId="17" r:id="rId15"/>
    <sheet name="PERSUBBID + GAJI" sheetId="33" r:id="rId16"/>
    <sheet name="DENGAN GAJI" sheetId="27" r:id="rId17"/>
    <sheet name="DIPA2" sheetId="28" r:id="rId18"/>
  </sheets>
  <functionGroups builtInGroupCount="19"/>
  <externalReferences>
    <externalReference r:id="rId19"/>
    <externalReference r:id="rId20"/>
    <externalReference r:id="rId21"/>
    <externalReference r:id="rId22"/>
    <externalReference r:id="rId23"/>
  </externalReferences>
  <definedNames>
    <definedName name="_xlnm._FilterDatabase" localSheetId="4" hidden="1">Cetak_Pusdik!$A$11:$H$589</definedName>
    <definedName name="_xlnm._FilterDatabase" localSheetId="3" hidden="1">'Cetak_Pusdik (2)'!$A$11:$H$589</definedName>
    <definedName name="_xlnm._FilterDatabase" localSheetId="0" hidden="1">'DIPA4_PUSDIK (2)'!$A$10:$G$587</definedName>
    <definedName name="_xlnm._FilterDatabase" localSheetId="1" hidden="1">GAJI!$A$11:$K$57</definedName>
    <definedName name="_xlnm._FilterDatabase" localSheetId="8" hidden="1">'GUP TUP'!$B$5:$I$20</definedName>
    <definedName name="_xlnm._FilterDatabase" localSheetId="2" hidden="1">'non 51'!$A$11:$H$546</definedName>
    <definedName name="_xlnm._FilterDatabase" localSheetId="11" hidden="1">'PER BULAN'!$B$12:$BH$231</definedName>
    <definedName name="_xlnm._FilterDatabase" localSheetId="7" hidden="1">PERAKUN!$C$1:$H$246</definedName>
    <definedName name="_xlnm._FilterDatabase" localSheetId="9" hidden="1">'SP2D'!$A$3:$AW$144</definedName>
    <definedName name="_xlnm._FilterDatabase" localSheetId="10" hidden="1">'SP2D Gaji'!#REF!</definedName>
    <definedName name="_xlnm._FilterDatabase" localSheetId="6" hidden="1">'SP2D ON'!$B$10:$K$100</definedName>
    <definedName name="Belanja_Perjalanan_Dinas_Paket_Meeting_Dalam_Kota._Uang_Saku_RDK_dalam__Verifikasi_dan_Pembuatan_Format_Standart_Data_BKU_Satker_Pusat_Pendidikan_KP___tgl.__27__Februari__2020">#REF!</definedName>
    <definedName name="cAkun" localSheetId="4">Cetak_Pusdik!#REF!</definedName>
    <definedName name="cAkun" localSheetId="3">'Cetak_Pusdik (2)'!#REF!</definedName>
    <definedName name="cAkun" localSheetId="17">#REF!</definedName>
    <definedName name="cAkun" localSheetId="0">'DIPA4_PUSDIK (2)'!$I$21</definedName>
    <definedName name="cAkun" localSheetId="1">GAJI!#REF!</definedName>
    <definedName name="cAkun" localSheetId="2">'non 51'!#REF!</definedName>
    <definedName name="cAkun">#REF!</definedName>
    <definedName name="Cetak_dinamis">OFFSET('[1]DASHBOARD SP2D'!$B$1,0,0,COUNTA('[1]DASHBOARD SP2D'!$G:$G),6)</definedName>
    <definedName name="chkAkun" localSheetId="4">Cetak_Pusdik!#REF!</definedName>
    <definedName name="chkAkun" localSheetId="3">'Cetak_Pusdik (2)'!#REF!</definedName>
    <definedName name="chkAkun" localSheetId="17">#REF!</definedName>
    <definedName name="chkAkun" localSheetId="0">'DIPA4_PUSDIK (2)'!$J$21</definedName>
    <definedName name="chkAkun" localSheetId="1">GAJI!#REF!</definedName>
    <definedName name="chkAkun" localSheetId="2">'non 51'!#REF!</definedName>
    <definedName name="chkAkun">#REF!</definedName>
    <definedName name="chkKegiatan" localSheetId="4">Cetak_Pusdik!#REF!</definedName>
    <definedName name="chkKegiatan" localSheetId="3">'Cetak_Pusdik (2)'!#REF!</definedName>
    <definedName name="chkKegiatan" localSheetId="17">#REF!</definedName>
    <definedName name="chkKegiatan" localSheetId="0">'DIPA4_PUSDIK (2)'!$J$16</definedName>
    <definedName name="chkKegiatan" localSheetId="1">GAJI!#REF!</definedName>
    <definedName name="chkKegiatan" localSheetId="2">'non 51'!#REF!</definedName>
    <definedName name="chkKegiatan">#REF!</definedName>
    <definedName name="chkKomponen" localSheetId="4">Cetak_Pusdik!#REF!</definedName>
    <definedName name="chkKomponen" localSheetId="3">'Cetak_Pusdik (2)'!#REF!</definedName>
    <definedName name="chkKomponen" localSheetId="17">#REF!</definedName>
    <definedName name="chkKomponen" localSheetId="0">'DIPA4_PUSDIK (2)'!$J$19</definedName>
    <definedName name="chkKomponen" localSheetId="1">GAJI!#REF!</definedName>
    <definedName name="chkKomponen" localSheetId="2">'non 51'!#REF!</definedName>
    <definedName name="chkKomponen">#REF!</definedName>
    <definedName name="chkKRO" localSheetId="4">Cetak_Pusdik!#REF!</definedName>
    <definedName name="chkKRO" localSheetId="3">'Cetak_Pusdik (2)'!#REF!</definedName>
    <definedName name="chkKRO" localSheetId="17">#REF!</definedName>
    <definedName name="chkKRO" localSheetId="0">'DIPA4_PUSDIK (2)'!$J$17</definedName>
    <definedName name="chkKRO" localSheetId="1">GAJI!#REF!</definedName>
    <definedName name="chkKRO" localSheetId="2">'non 51'!#REF!</definedName>
    <definedName name="chkKRO">#REF!</definedName>
    <definedName name="chkProgram" localSheetId="4">Cetak_Pusdik!#REF!</definedName>
    <definedName name="chkProgram" localSheetId="3">'Cetak_Pusdik (2)'!#REF!</definedName>
    <definedName name="chkProgram" localSheetId="17">#REF!</definedName>
    <definedName name="chkProgram" localSheetId="0">'DIPA4_PUSDIK (2)'!$J$15</definedName>
    <definedName name="chkProgram" localSheetId="1">GAJI!#REF!</definedName>
    <definedName name="chkProgram" localSheetId="2">'non 51'!#REF!</definedName>
    <definedName name="chkProgram">#REF!</definedName>
    <definedName name="chkRO" localSheetId="4">Cetak_Pusdik!#REF!</definedName>
    <definedName name="chkRO" localSheetId="3">'Cetak_Pusdik (2)'!#REF!</definedName>
    <definedName name="chkRO" localSheetId="17">#REF!</definedName>
    <definedName name="chkRO" localSheetId="0">'DIPA4_PUSDIK (2)'!$J$18</definedName>
    <definedName name="chkRO" localSheetId="1">GAJI!#REF!</definedName>
    <definedName name="chkRO" localSheetId="2">'non 51'!#REF!</definedName>
    <definedName name="chkRO">#REF!</definedName>
    <definedName name="chksKomponen" localSheetId="4">Cetak_Pusdik!#REF!</definedName>
    <definedName name="chksKomponen" localSheetId="3">'Cetak_Pusdik (2)'!#REF!</definedName>
    <definedName name="chksKomponen" localSheetId="17">#REF!</definedName>
    <definedName name="chksKomponen" localSheetId="0">'DIPA4_PUSDIK (2)'!$J$20</definedName>
    <definedName name="chksKomponen" localSheetId="1">GAJI!#REF!</definedName>
    <definedName name="chksKomponen" localSheetId="2">'non 51'!#REF!</definedName>
    <definedName name="chksKomponen">#REF!</definedName>
    <definedName name="cKegiatan" localSheetId="4">Cetak_Pusdik!#REF!</definedName>
    <definedName name="cKegiatan" localSheetId="3">'Cetak_Pusdik (2)'!#REF!</definedName>
    <definedName name="cKegiatan" localSheetId="17">#REF!</definedName>
    <definedName name="cKegiatan" localSheetId="0">'DIPA4_PUSDIK (2)'!$I$16</definedName>
    <definedName name="cKegiatan" localSheetId="1">GAJI!#REF!</definedName>
    <definedName name="cKegiatan" localSheetId="2">'non 51'!#REF!</definedName>
    <definedName name="cKegiatan">#REF!</definedName>
    <definedName name="cKomponen" localSheetId="4">Cetak_Pusdik!#REF!</definedName>
    <definedName name="cKomponen" localSheetId="3">'Cetak_Pusdik (2)'!#REF!</definedName>
    <definedName name="cKomponen" localSheetId="17">#REF!</definedName>
    <definedName name="cKomponen" localSheetId="0">'DIPA4_PUSDIK (2)'!$I$19</definedName>
    <definedName name="cKomponen" localSheetId="1">GAJI!#REF!</definedName>
    <definedName name="cKomponen" localSheetId="2">'non 51'!#REF!</definedName>
    <definedName name="cKomponen">#REF!</definedName>
    <definedName name="cKRO" localSheetId="4">Cetak_Pusdik!#REF!</definedName>
    <definedName name="cKRO" localSheetId="3">'Cetak_Pusdik (2)'!#REF!</definedName>
    <definedName name="cKRO" localSheetId="17">#REF!</definedName>
    <definedName name="cKRO" localSheetId="0">'DIPA4_PUSDIK (2)'!$I$17</definedName>
    <definedName name="cKRO" localSheetId="1">GAJI!#REF!</definedName>
    <definedName name="cKRO" localSheetId="2">'non 51'!#REF!</definedName>
    <definedName name="cKRO">#REF!</definedName>
    <definedName name="cProgram" localSheetId="4">Cetak_Pusdik!#REF!</definedName>
    <definedName name="cProgram" localSheetId="3">'Cetak_Pusdik (2)'!#REF!</definedName>
    <definedName name="cProgram" localSheetId="17">#REF!</definedName>
    <definedName name="cProgram" localSheetId="0">'DIPA4_PUSDIK (2)'!$I$15</definedName>
    <definedName name="cProgram" localSheetId="1">GAJI!#REF!</definedName>
    <definedName name="cProgram" localSheetId="2">'non 51'!#REF!</definedName>
    <definedName name="cProgram">#REF!</definedName>
    <definedName name="cRO" localSheetId="4">Cetak_Pusdik!#REF!</definedName>
    <definedName name="cRO" localSheetId="3">'Cetak_Pusdik (2)'!#REF!</definedName>
    <definedName name="cRO" localSheetId="17">#REF!</definedName>
    <definedName name="cRO" localSheetId="0">'DIPA4_PUSDIK (2)'!$I$18</definedName>
    <definedName name="cRO" localSheetId="1">GAJI!#REF!</definedName>
    <definedName name="cRO" localSheetId="2">'non 51'!#REF!</definedName>
    <definedName name="cRO">#REF!</definedName>
    <definedName name="cSKomponen" localSheetId="4">Cetak_Pusdik!#REF!</definedName>
    <definedName name="cSKomponen" localSheetId="3">'Cetak_Pusdik (2)'!#REF!</definedName>
    <definedName name="cSKomponen" localSheetId="17">#REF!</definedName>
    <definedName name="cSKomponen" localSheetId="0">'DIPA4_PUSDIK (2)'!$I$20</definedName>
    <definedName name="cSKomponen" localSheetId="1">GAJI!#REF!</definedName>
    <definedName name="cSKomponen" localSheetId="2">'non 51'!#REF!</definedName>
    <definedName name="cSKomponen">#REF!</definedName>
    <definedName name="Entri_Es2" localSheetId="4">Cetak_Pusdik!#REF!</definedName>
    <definedName name="Entri_Es2" localSheetId="3">'Cetak_Pusdik (2)'!#REF!</definedName>
    <definedName name="Entri_Es2" localSheetId="17">#REF!</definedName>
    <definedName name="Entri_Es2" localSheetId="1">GAJI!#REF!</definedName>
    <definedName name="Entri_Es2" localSheetId="2">'non 51'!#REF!</definedName>
    <definedName name="Entri_Es2">#REF!</definedName>
    <definedName name="Entri_Es3" localSheetId="4">Cetak_Pusdik!#REF!</definedName>
    <definedName name="Entri_Es3" localSheetId="3">'Cetak_Pusdik (2)'!#REF!</definedName>
    <definedName name="Entri_Es3" localSheetId="17">#REF!</definedName>
    <definedName name="Entri_Es3" localSheetId="1">GAJI!#REF!</definedName>
    <definedName name="Entri_Es3" localSheetId="2">'non 51'!#REF!</definedName>
    <definedName name="Entri_Es3">#REF!</definedName>
    <definedName name="Entri_Es4" localSheetId="4">Cetak_Pusdik!#REF!</definedName>
    <definedName name="Entri_Es4" localSheetId="3">'Cetak_Pusdik (2)'!#REF!</definedName>
    <definedName name="Entri_Es4" localSheetId="17">#REF!</definedName>
    <definedName name="Entri_Es4" localSheetId="1">GAJI!#REF!</definedName>
    <definedName name="Entri_Es4" localSheetId="2">'non 51'!#REF!</definedName>
    <definedName name="Entri_Es4">#REF!</definedName>
    <definedName name="Eselon3">[2]eselon3_4!$A$2:$A$7</definedName>
    <definedName name="Eselon4">[2]eselon3_4!$B$2:$B$11</definedName>
    <definedName name="ExternalData_1" localSheetId="17" hidden="1">DIPA2!$A$1:$Q$276</definedName>
    <definedName name="FILTER_LAP" localSheetId="17">'[1]DASHBOARD SP2D'!#REF!</definedName>
    <definedName name="FILTER_LAP">'[1]DASHBOARD SP2D'!#REF!</definedName>
    <definedName name="kegiatan" localSheetId="4">Cetak_Pusdik!#REF!</definedName>
    <definedName name="kegiatan" localSheetId="3">'Cetak_Pusdik (2)'!#REF!</definedName>
    <definedName name="kegiatan" localSheetId="17">[3]DIPA_AWAL!$T$2:$T$2</definedName>
    <definedName name="kegiatan" localSheetId="1">GAJI!#REF!</definedName>
    <definedName name="kegiatan" localSheetId="2">'non 51'!#REF!</definedName>
    <definedName name="kegiatan">#REF!</definedName>
    <definedName name="_xlnm.Print_Area" localSheetId="4">Cetak_Pusdik!$B$1:$G$589</definedName>
    <definedName name="_xlnm.Print_Area" localSheetId="3">'Cetak_Pusdik (2)'!$B$1:$G$589</definedName>
    <definedName name="_xlnm.Print_Area" localSheetId="16">'DENGAN GAJI'!$A$1:$U$61</definedName>
    <definedName name="_xlnm.Print_Area" localSheetId="0">'DIPA4_PUSDIK (2)'!$B$1:$G$2221</definedName>
    <definedName name="_xlnm.Print_Area" localSheetId="1">GAJI!$B$1:$K$57</definedName>
    <definedName name="_xlnm.Print_Area" localSheetId="8">'GUP TUP'!$B$7:$F$20</definedName>
    <definedName name="_xlnm.Print_Area" localSheetId="2">'non 51'!$A$1:$G$546</definedName>
    <definedName name="_xlnm.Print_Area" localSheetId="11">'PER BULAN'!$B$4:$AW$231</definedName>
    <definedName name="_xlnm.Print_Area" localSheetId="7">PERAKUN!$C$1:$H$246</definedName>
    <definedName name="_xlnm.Print_Area" localSheetId="13">'PERSUBBID - Gaji'!$A$1:$J$56</definedName>
    <definedName name="_xlnm.Print_Area" localSheetId="15">'PERSUBBID + GAJI'!$A$1:$J$60</definedName>
    <definedName name="_xlnm.Print_Area" localSheetId="14">'TANPA GAJI'!$A$1:$T$61</definedName>
    <definedName name="_xlnm.Print_Titles" localSheetId="4">Cetak_Pusdik!$1:$11</definedName>
    <definedName name="_xlnm.Print_Titles" localSheetId="3">'Cetak_Pusdik (2)'!$1:$11</definedName>
    <definedName name="_xlnm.Print_Titles" localSheetId="0">'DIPA4_PUSDIK (2)'!$1:$11</definedName>
    <definedName name="_xlnm.Print_Titles" localSheetId="1">GAJI!$1:$11</definedName>
    <definedName name="_xlnm.Print_Titles" localSheetId="2">'non 51'!$1:$11</definedName>
    <definedName name="_xlnm.Print_Titles" localSheetId="11">'PER BULAN'!$12:$14</definedName>
    <definedName name="_xlnm.Print_Titles" localSheetId="7">PERAKUN!$5:$5</definedName>
    <definedName name="rngSP2D" localSheetId="17">'[4]Tambahan Realisasi'!$C$2</definedName>
    <definedName name="rngSP2D">'[5]Tambahan Realisasi'!$C$2</definedName>
    <definedName name="rowEselon2" localSheetId="4">Cetak_Pusdik!#REF!</definedName>
    <definedName name="rowEselon2" localSheetId="3">'Cetak_Pusdik (2)'!#REF!</definedName>
    <definedName name="rowEselon2" localSheetId="17">#REF!</definedName>
    <definedName name="rowEselon2" localSheetId="1">GAJI!#REF!</definedName>
    <definedName name="rowEselon2" localSheetId="2">'non 51'!#REF!</definedName>
    <definedName name="rowEselon2">#REF!</definedName>
    <definedName name="rowKoord" localSheetId="4">Cetak_Pusdik!#REF!</definedName>
    <definedName name="rowKoord" localSheetId="3">'Cetak_Pusdik (2)'!#REF!</definedName>
    <definedName name="rowKoord" localSheetId="17">#REF!</definedName>
    <definedName name="rowKoord" localSheetId="1">GAJI!#REF!</definedName>
    <definedName name="rowKoord" localSheetId="2">'non 51'!#REF!</definedName>
    <definedName name="rowKoord">#REF!</definedName>
    <definedName name="rowSelect" localSheetId="4">Cetak_Pusdik!#REF!</definedName>
    <definedName name="rowSelect" localSheetId="3">'Cetak_Pusdik (2)'!#REF!</definedName>
    <definedName name="rowSelect" localSheetId="17">#REF!</definedName>
    <definedName name="rowSelect" localSheetId="1">GAJI!#REF!</definedName>
    <definedName name="rowSelect" localSheetId="2">'non 51'!#REF!</definedName>
    <definedName name="rowSelect">#REF!</definedName>
    <definedName name="rowSubKoord" localSheetId="4">Cetak_Pusdik!#REF!</definedName>
    <definedName name="rowSubKoord" localSheetId="3">'Cetak_Pusdik (2)'!#REF!</definedName>
    <definedName name="rowSubKoord" localSheetId="17">#REF!</definedName>
    <definedName name="rowSubKoord" localSheetId="1">GAJI!#REF!</definedName>
    <definedName name="rowSubKoord" localSheetId="2">'non 51'!#REF!</definedName>
    <definedName name="rowSubKoord">#REF!</definedName>
    <definedName name="Slicer_Jenis_SPM">#N/A</definedName>
    <definedName name="Slicer_koordinator">#N/A</definedName>
    <definedName name="Slicer_Pagu">#N/A</definedName>
    <definedName name="Slicer_Subkoordinator">#N/A</definedName>
    <definedName name="SSBP" localSheetId="17">[1]SSBP!#REF!</definedName>
    <definedName name="SSBP">[1]SSBP!#REF!</definedName>
    <definedName name="Start_Jadi" localSheetId="4">Cetak_Pusdik!$B$13</definedName>
    <definedName name="Start_Jadi" localSheetId="3">'Cetak_Pusdik (2)'!$B$13</definedName>
    <definedName name="Start_Jadi" localSheetId="17">#REF!</definedName>
    <definedName name="Start_Jadi" localSheetId="0">'DIPA4_PUSDIK (2)'!$B$13</definedName>
    <definedName name="Start_Jadi" localSheetId="1">GAJI!$B$13</definedName>
    <definedName name="Start_Jadi" localSheetId="2">'non 51'!$B$13</definedName>
    <definedName name="Start_Jadi">#REF!</definedName>
    <definedName name="TGL_SP2D">[1]DASHBOARD!$I$1</definedName>
  </definedNames>
  <calcPr calcId="191029"/>
  <pivotCaches>
    <pivotCache cacheId="0" r:id="rId24"/>
    <pivotCache cacheId="1" r:id="rId25"/>
    <pivotCache cacheId="2" r:id="rId26"/>
  </pivotCaches>
  <extLst>
    <ext xmlns:x14="http://schemas.microsoft.com/office/spreadsheetml/2009/9/main" uri="{BBE1A952-AA13-448e-AADC-164F8A28A991}">
      <x14:slicerCaches>
        <x14:slicerCache r:id="rId27"/>
        <x14:slicerCache r:id="rId28"/>
        <x14:slicerCache r:id="rId29"/>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0"/>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33" l="1"/>
  <c r="A1" i="14"/>
  <c r="Y142" i="16" l="1"/>
  <c r="B3" i="27"/>
  <c r="B1" i="27"/>
  <c r="D38" i="33"/>
  <c r="E38" i="33"/>
  <c r="F38" i="33"/>
  <c r="C38" i="33"/>
  <c r="D32" i="33"/>
  <c r="E32" i="33"/>
  <c r="F32" i="33"/>
  <c r="G32" i="33"/>
  <c r="C32" i="33"/>
  <c r="G12" i="33" a="1"/>
  <c r="G12" i="33" s="1"/>
  <c r="H12" i="33" s="1"/>
  <c r="F12" i="33" a="1"/>
  <c r="F12" i="33" s="1"/>
  <c r="E12" i="33" a="1"/>
  <c r="E12" i="33" s="1"/>
  <c r="D12" i="33" a="1"/>
  <c r="D12" i="33" s="1"/>
  <c r="C12" i="33" a="1"/>
  <c r="C12" i="33" s="1"/>
  <c r="I12" i="33" s="1"/>
  <c r="J12" i="33" s="1"/>
  <c r="G57" i="33" a="1"/>
  <c r="G57" i="33" s="1"/>
  <c r="F57" i="33" a="1"/>
  <c r="F57" i="33" s="1"/>
  <c r="E57" i="33" a="1"/>
  <c r="E57" i="33" s="1"/>
  <c r="D57" i="33" a="1"/>
  <c r="D57" i="33" s="1"/>
  <c r="C57" i="33" a="1"/>
  <c r="C57" i="33" s="1"/>
  <c r="G56" i="33" a="1"/>
  <c r="G56" i="33" s="1"/>
  <c r="G58" i="33" s="1"/>
  <c r="F56" i="33" a="1"/>
  <c r="F56" i="33" s="1"/>
  <c r="E56" i="33" a="1"/>
  <c r="E56" i="33" s="1"/>
  <c r="D56" i="33" a="1"/>
  <c r="D56" i="33" s="1"/>
  <c r="D58" i="33" s="1"/>
  <c r="C56" i="33" a="1"/>
  <c r="C56" i="33" s="1"/>
  <c r="C58" i="33" s="1"/>
  <c r="G54" i="33" a="1"/>
  <c r="G54" i="33" s="1"/>
  <c r="F54" i="33" a="1"/>
  <c r="F54" i="33" s="1"/>
  <c r="E54" i="33" a="1"/>
  <c r="E54" i="33" s="1"/>
  <c r="D54" i="33" a="1"/>
  <c r="D54" i="33" s="1"/>
  <c r="C54" i="33" a="1"/>
  <c r="C54" i="33" s="1"/>
  <c r="G53" i="33" a="1"/>
  <c r="G53" i="33" s="1"/>
  <c r="F53" i="33" a="1"/>
  <c r="F53" i="33" s="1"/>
  <c r="F55" i="33" s="1"/>
  <c r="E53" i="33"/>
  <c r="E53" i="33" a="1"/>
  <c r="D53" i="33" a="1"/>
  <c r="D53" i="33" s="1"/>
  <c r="C53" i="33" a="1"/>
  <c r="C53" i="33" s="1"/>
  <c r="G51" i="33" a="1"/>
  <c r="G51" i="33" s="1"/>
  <c r="F51" i="33" a="1"/>
  <c r="F51" i="33" s="1"/>
  <c r="E51" i="33" a="1"/>
  <c r="E51" i="33" s="1"/>
  <c r="D51" i="33" a="1"/>
  <c r="D51" i="33" s="1"/>
  <c r="C51" i="33" a="1"/>
  <c r="C51" i="33" s="1"/>
  <c r="G50" i="33" a="1"/>
  <c r="G50" i="33" s="1"/>
  <c r="F50" i="33" a="1"/>
  <c r="F50" i="33" s="1"/>
  <c r="E50" i="33" a="1"/>
  <c r="E50" i="33" s="1"/>
  <c r="D50" i="33" a="1"/>
  <c r="D50" i="33" s="1"/>
  <c r="C50" i="33" a="1"/>
  <c r="C50" i="33" s="1"/>
  <c r="C52" i="33" s="1"/>
  <c r="G48" i="33" a="1"/>
  <c r="G48" i="33" s="1"/>
  <c r="F48" i="33" a="1"/>
  <c r="F48" i="33" s="1"/>
  <c r="E48" i="33" a="1"/>
  <c r="E48" i="33" s="1"/>
  <c r="D48" i="33" a="1"/>
  <c r="D48" i="33" s="1"/>
  <c r="C48" i="33" a="1"/>
  <c r="C48" i="33" s="1"/>
  <c r="G47" i="33" a="1"/>
  <c r="G47" i="33" s="1"/>
  <c r="F47" i="33" a="1"/>
  <c r="F47" i="33" s="1"/>
  <c r="E47" i="33" a="1"/>
  <c r="E47" i="33" s="1"/>
  <c r="E49" i="33" s="1"/>
  <c r="D47" i="33" a="1"/>
  <c r="D47" i="33" s="1"/>
  <c r="C47" i="33" a="1"/>
  <c r="C47" i="33" s="1"/>
  <c r="I45" i="33"/>
  <c r="G45" i="33"/>
  <c r="G36" i="33" a="1"/>
  <c r="G36" i="33" s="1"/>
  <c r="F35" i="33" a="1"/>
  <c r="F35" i="33" s="1"/>
  <c r="E35" i="33" a="1"/>
  <c r="E35" i="33" s="1"/>
  <c r="D35" i="33" a="1"/>
  <c r="D35" i="33" s="1"/>
  <c r="C35" i="33" a="1"/>
  <c r="C35" i="33" s="1"/>
  <c r="G34" i="33" a="1"/>
  <c r="G34" i="33" s="1"/>
  <c r="F34" i="33" a="1"/>
  <c r="F34" i="33" s="1"/>
  <c r="E34" i="33" a="1"/>
  <c r="E34" i="33" s="1"/>
  <c r="D34" i="33" a="1"/>
  <c r="D34" i="33" s="1"/>
  <c r="D33" i="33" s="1"/>
  <c r="C34" i="33" a="1"/>
  <c r="C34" i="33" s="1"/>
  <c r="C33" i="33" s="1"/>
  <c r="I30" i="33"/>
  <c r="G30" i="33"/>
  <c r="G22" i="33" a="1"/>
  <c r="G22" i="33" s="1"/>
  <c r="F22" i="33" a="1"/>
  <c r="F22" i="33" s="1"/>
  <c r="E22" i="33" a="1"/>
  <c r="E22" i="33" s="1"/>
  <c r="D22" i="33" a="1"/>
  <c r="D22" i="33" s="1"/>
  <c r="C22" i="33" a="1"/>
  <c r="C22" i="33" s="1"/>
  <c r="G21" i="33" a="1"/>
  <c r="G21" i="33" s="1"/>
  <c r="F21" i="33" a="1"/>
  <c r="F21" i="33" s="1"/>
  <c r="E21" i="33" a="1"/>
  <c r="E21" i="33" s="1"/>
  <c r="D21" i="33" a="1"/>
  <c r="D21" i="33" s="1"/>
  <c r="C21" i="33" a="1"/>
  <c r="C21" i="33" s="1"/>
  <c r="G19" i="33" a="1"/>
  <c r="G19" i="33" s="1"/>
  <c r="F19" i="33" a="1"/>
  <c r="F19" i="33" s="1"/>
  <c r="E19" i="33" a="1"/>
  <c r="E19" i="33" s="1"/>
  <c r="D19" i="33" a="1"/>
  <c r="D19" i="33" s="1"/>
  <c r="C19" i="33" a="1"/>
  <c r="C19" i="33" s="1"/>
  <c r="G18" i="33" a="1"/>
  <c r="G18" i="33" s="1"/>
  <c r="F18" i="33" a="1"/>
  <c r="F18" i="33" s="1"/>
  <c r="F20" i="33" s="1"/>
  <c r="E18" i="33" a="1"/>
  <c r="E18" i="33" s="1"/>
  <c r="D18" i="33" a="1"/>
  <c r="D18" i="33" s="1"/>
  <c r="D20" i="33" s="1"/>
  <c r="C18" i="33" a="1"/>
  <c r="C18" i="33" s="1"/>
  <c r="G16" i="33" a="1"/>
  <c r="G16" i="33" s="1"/>
  <c r="F16" i="33" a="1"/>
  <c r="F16" i="33" s="1"/>
  <c r="E16" i="33" a="1"/>
  <c r="E16" i="33" s="1"/>
  <c r="D16" i="33" a="1"/>
  <c r="D16" i="33" s="1"/>
  <c r="C16" i="33" a="1"/>
  <c r="C16" i="33" s="1"/>
  <c r="F15" i="33" a="1"/>
  <c r="F15" i="33" s="1"/>
  <c r="E15" i="33" a="1"/>
  <c r="E15" i="33" s="1"/>
  <c r="E14" i="33" s="1" a="1"/>
  <c r="E14" i="33" s="1"/>
  <c r="D15" i="33" a="1"/>
  <c r="D15" i="33" s="1"/>
  <c r="C15" i="33"/>
  <c r="C14" i="33" s="1" a="1"/>
  <c r="C14" i="33" s="1"/>
  <c r="C17" i="33" s="1"/>
  <c r="C15" i="33" a="1"/>
  <c r="D14" i="33" a="1"/>
  <c r="D14" i="33" s="1"/>
  <c r="G11" i="33" a="1"/>
  <c r="G11" i="33" s="1"/>
  <c r="I11" i="33" s="1"/>
  <c r="J11" i="33" s="1"/>
  <c r="F11" i="33" a="1"/>
  <c r="F11" i="33" s="1"/>
  <c r="E11" i="33" a="1"/>
  <c r="E11" i="33" s="1"/>
  <c r="D11" i="33" a="1"/>
  <c r="D11" i="33" s="1"/>
  <c r="C11" i="33" a="1"/>
  <c r="C11" i="33" s="1"/>
  <c r="G10" i="33" a="1"/>
  <c r="G10" i="33" s="1"/>
  <c r="F10" i="33" a="1"/>
  <c r="F10" i="33" s="1"/>
  <c r="E10" i="33" a="1"/>
  <c r="E10" i="33" s="1"/>
  <c r="E36" i="33" s="1"/>
  <c r="D10" i="33" a="1"/>
  <c r="D10" i="33" s="1"/>
  <c r="D36" i="33" s="1"/>
  <c r="C10" i="33" a="1"/>
  <c r="C10" i="33" s="1"/>
  <c r="C36" i="33" s="1"/>
  <c r="G9" i="33" a="1"/>
  <c r="G9" i="33" s="1"/>
  <c r="F9" i="33" a="1"/>
  <c r="F9" i="33" s="1"/>
  <c r="F8" i="33" s="1" a="1"/>
  <c r="F8" i="33" s="1"/>
  <c r="F13" i="33" s="1"/>
  <c r="E9" i="33" a="1"/>
  <c r="E9" i="33" s="1"/>
  <c r="D9" i="33" a="1"/>
  <c r="D9" i="33" s="1"/>
  <c r="D8" i="33" s="1" a="1"/>
  <c r="D8" i="33" s="1"/>
  <c r="D13" i="33" s="1"/>
  <c r="C9" i="33" a="1"/>
  <c r="C9" i="33" s="1"/>
  <c r="C8" i="33" s="1" a="1"/>
  <c r="C8" i="33" s="1"/>
  <c r="C13" i="33" s="1"/>
  <c r="I6" i="33"/>
  <c r="G6" i="33"/>
  <c r="A2" i="33"/>
  <c r="G53" i="14" a="1"/>
  <c r="G53" i="14" s="1"/>
  <c r="G52" i="14" a="1"/>
  <c r="G52" i="14" s="1"/>
  <c r="G50" i="14" a="1"/>
  <c r="G50" i="14" s="1"/>
  <c r="G49" i="14" a="1"/>
  <c r="G49" i="14" s="1"/>
  <c r="G47" i="14" a="1"/>
  <c r="G47" i="14" s="1"/>
  <c r="G46" i="14" a="1"/>
  <c r="G46" i="14" s="1"/>
  <c r="G44" i="14" a="1"/>
  <c r="G44" i="14" s="1"/>
  <c r="F53" i="14" a="1"/>
  <c r="F53" i="14" s="1"/>
  <c r="I53" i="14" s="1"/>
  <c r="J53" i="14" s="1"/>
  <c r="F52" i="14" a="1"/>
  <c r="F52" i="14" s="1"/>
  <c r="F50" i="14" a="1"/>
  <c r="F50" i="14" s="1"/>
  <c r="F49" i="14" a="1"/>
  <c r="F49" i="14" s="1"/>
  <c r="F47" i="14" a="1"/>
  <c r="F47" i="14" s="1"/>
  <c r="F46" i="14" a="1"/>
  <c r="F46" i="14" s="1"/>
  <c r="F44" i="14" a="1"/>
  <c r="F44" i="14" s="1"/>
  <c r="E53" i="14" a="1"/>
  <c r="E53" i="14" s="1"/>
  <c r="E52" i="14" a="1"/>
  <c r="E52" i="14" s="1"/>
  <c r="E50" i="14" a="1"/>
  <c r="E50" i="14" s="1"/>
  <c r="E49" i="14" a="1"/>
  <c r="E49" i="14" s="1"/>
  <c r="E47" i="14" a="1"/>
  <c r="E47" i="14" s="1"/>
  <c r="E46" i="14" a="1"/>
  <c r="E46" i="14" s="1"/>
  <c r="E44" i="14" a="1"/>
  <c r="E44" i="14" s="1"/>
  <c r="E43" i="14" a="1"/>
  <c r="E43" i="14" s="1"/>
  <c r="D53" i="14" a="1"/>
  <c r="D53" i="14" s="1"/>
  <c r="D52" i="14" a="1"/>
  <c r="D52" i="14" s="1"/>
  <c r="D50" i="14" a="1"/>
  <c r="D50" i="14" s="1"/>
  <c r="D49" i="14" a="1"/>
  <c r="D49" i="14" s="1"/>
  <c r="D47" i="14" a="1"/>
  <c r="D47" i="14" s="1"/>
  <c r="D46" i="14" a="1"/>
  <c r="D46" i="14" s="1"/>
  <c r="D44" i="14" a="1"/>
  <c r="D44" i="14" s="1"/>
  <c r="D43" i="14" a="1"/>
  <c r="D43" i="14" s="1"/>
  <c r="I41" i="14"/>
  <c r="G41" i="14"/>
  <c r="I6" i="14"/>
  <c r="G6" i="14"/>
  <c r="I28" i="14"/>
  <c r="G28" i="14"/>
  <c r="E32" i="14" a="1"/>
  <c r="E32" i="14" s="1"/>
  <c r="D32" i="14" a="1"/>
  <c r="D32" i="14" s="1"/>
  <c r="E31" i="14" a="1"/>
  <c r="E31" i="14" s="1"/>
  <c r="D31" i="14" a="1"/>
  <c r="D31" i="14" s="1"/>
  <c r="E21" i="14" a="1"/>
  <c r="E21" i="14" s="1"/>
  <c r="D21" i="14" a="1"/>
  <c r="D21" i="14" s="1"/>
  <c r="E20" i="14" a="1"/>
  <c r="E20" i="14" s="1"/>
  <c r="D20" i="14" a="1"/>
  <c r="D20" i="14" s="1"/>
  <c r="E18" i="14" a="1"/>
  <c r="E18" i="14" s="1"/>
  <c r="D18" i="14" a="1"/>
  <c r="D18" i="14" s="1"/>
  <c r="E17" i="14" a="1"/>
  <c r="E17" i="14" s="1"/>
  <c r="D17" i="14" a="1"/>
  <c r="D17" i="14" s="1"/>
  <c r="E14" i="14" a="1"/>
  <c r="E14" i="14" s="1"/>
  <c r="E13" i="14" s="1" a="1"/>
  <c r="E13" i="14" s="1"/>
  <c r="D14" i="14" a="1"/>
  <c r="D14" i="14" s="1"/>
  <c r="D13" i="14" a="1"/>
  <c r="D13" i="14" s="1"/>
  <c r="C53" i="14" a="1"/>
  <c r="C53" i="14" s="1"/>
  <c r="C52" i="14" a="1"/>
  <c r="C52" i="14" s="1"/>
  <c r="C50" i="14" a="1"/>
  <c r="C50" i="14" s="1"/>
  <c r="C49" i="14" a="1"/>
  <c r="C49" i="14" s="1"/>
  <c r="C47" i="14" a="1"/>
  <c r="C47" i="14" s="1"/>
  <c r="C46" i="14" a="1"/>
  <c r="C46" i="14" s="1"/>
  <c r="C44" i="14" a="1"/>
  <c r="C44" i="14" s="1"/>
  <c r="C43" i="14" a="1"/>
  <c r="C43" i="14" s="1"/>
  <c r="C32" i="14" a="1"/>
  <c r="C32" i="14" s="1"/>
  <c r="C31" i="14" a="1"/>
  <c r="C31" i="14" s="1"/>
  <c r="C21" i="14" a="1"/>
  <c r="C21" i="14" s="1"/>
  <c r="C20" i="14" a="1"/>
  <c r="C20" i="14" s="1"/>
  <c r="C18" i="14" a="1"/>
  <c r="C18" i="14" s="1"/>
  <c r="C17" i="14" a="1"/>
  <c r="C17" i="14" s="1"/>
  <c r="C15" i="14" a="1"/>
  <c r="C15" i="14" s="1"/>
  <c r="C14" i="14" a="1"/>
  <c r="C14" i="14" s="1"/>
  <c r="C13" i="14" s="1" a="1"/>
  <c r="C13" i="14" s="1"/>
  <c r="C11" i="14" a="1"/>
  <c r="C11" i="14" s="1"/>
  <c r="C10" i="14" a="1"/>
  <c r="C10" i="14" s="1"/>
  <c r="C9" i="14" a="1"/>
  <c r="C9" i="14" s="1"/>
  <c r="F43" i="14" a="1"/>
  <c r="F43" i="14" s="1"/>
  <c r="F21" i="14" a="1"/>
  <c r="F21" i="14" s="1"/>
  <c r="F20" i="14" a="1"/>
  <c r="F20" i="14" s="1"/>
  <c r="F18" i="14" a="1"/>
  <c r="F18" i="14" s="1"/>
  <c r="F17" i="14" a="1"/>
  <c r="F17" i="14" s="1"/>
  <c r="F15" i="14" a="1"/>
  <c r="F15" i="14" s="1"/>
  <c r="F14" i="14" a="1"/>
  <c r="F14" i="14" s="1"/>
  <c r="F13" i="14" s="1" a="1"/>
  <c r="F13" i="14" s="1"/>
  <c r="F11" i="14" a="1"/>
  <c r="F11" i="14" s="1"/>
  <c r="F9" i="14" a="1"/>
  <c r="F9" i="14" s="1"/>
  <c r="F32" i="14" a="1"/>
  <c r="F32" i="14" s="1"/>
  <c r="F31" i="14" a="1"/>
  <c r="F31" i="14" s="1"/>
  <c r="F10" i="14" a="1"/>
  <c r="F10" i="14" s="1"/>
  <c r="E15" i="14" a="1"/>
  <c r="E15" i="14" s="1"/>
  <c r="D15" i="14" a="1"/>
  <c r="D15" i="14" s="1"/>
  <c r="E11" i="14" a="1"/>
  <c r="E11" i="14" s="1"/>
  <c r="D11" i="14" a="1"/>
  <c r="D11" i="14" s="1"/>
  <c r="E10" i="14" a="1"/>
  <c r="E10" i="14" s="1"/>
  <c r="E33" i="14" s="1"/>
  <c r="E9" i="14" a="1"/>
  <c r="E9" i="14" s="1"/>
  <c r="D10" i="14" a="1"/>
  <c r="D10" i="14" s="1"/>
  <c r="D33" i="14" s="1"/>
  <c r="D9" i="14" a="1"/>
  <c r="D9" i="14" s="1"/>
  <c r="Q15" i="32" a="1"/>
  <c r="Q15" i="32" s="1"/>
  <c r="U15" i="32"/>
  <c r="V15" i="32"/>
  <c r="AL15" i="32" s="1"/>
  <c r="W15" i="32"/>
  <c r="X15" i="32"/>
  <c r="Y15" i="32"/>
  <c r="Z15" i="32"/>
  <c r="AA15" i="32"/>
  <c r="AB15" i="32"/>
  <c r="AC15" i="32"/>
  <c r="AD15" i="32"/>
  <c r="AE15" i="32"/>
  <c r="AF15" i="32"/>
  <c r="AP15" i="32"/>
  <c r="AQ15" i="32"/>
  <c r="AR15" i="32"/>
  <c r="AS15" i="32"/>
  <c r="T4" i="16"/>
  <c r="T5" i="16"/>
  <c r="T6" i="16"/>
  <c r="T7" i="16"/>
  <c r="T8" i="16"/>
  <c r="T9" i="16"/>
  <c r="T10" i="16"/>
  <c r="T11" i="16"/>
  <c r="T12" i="16"/>
  <c r="T13" i="16"/>
  <c r="T14" i="16"/>
  <c r="T15" i="16"/>
  <c r="T16" i="16"/>
  <c r="T17" i="16"/>
  <c r="T18" i="16"/>
  <c r="T19" i="16"/>
  <c r="T20" i="16"/>
  <c r="T21" i="16"/>
  <c r="T22" i="16"/>
  <c r="T23" i="16"/>
  <c r="T24" i="16"/>
  <c r="T25" i="16"/>
  <c r="T26" i="16"/>
  <c r="T27" i="16"/>
  <c r="T28" i="16"/>
  <c r="T29" i="16"/>
  <c r="T30" i="16"/>
  <c r="T31" i="16"/>
  <c r="T32" i="16"/>
  <c r="T33" i="16"/>
  <c r="T34" i="16"/>
  <c r="T35" i="16"/>
  <c r="T36" i="16"/>
  <c r="T37" i="16"/>
  <c r="T38" i="16"/>
  <c r="T39" i="16"/>
  <c r="T40" i="16"/>
  <c r="T41" i="16"/>
  <c r="T42" i="16"/>
  <c r="T43" i="16"/>
  <c r="T44" i="16"/>
  <c r="T45" i="16"/>
  <c r="T46" i="16"/>
  <c r="T47" i="16"/>
  <c r="T48" i="16"/>
  <c r="T49" i="16"/>
  <c r="T50" i="16"/>
  <c r="T51" i="16"/>
  <c r="T52" i="16"/>
  <c r="T53" i="16"/>
  <c r="T54" i="16"/>
  <c r="T55" i="16"/>
  <c r="T56" i="16"/>
  <c r="T57" i="16"/>
  <c r="T58" i="16"/>
  <c r="T59" i="16"/>
  <c r="T60" i="16"/>
  <c r="T61" i="16"/>
  <c r="T62" i="16"/>
  <c r="T63" i="16"/>
  <c r="T64" i="16"/>
  <c r="T65" i="16"/>
  <c r="T66" i="16"/>
  <c r="T67" i="16"/>
  <c r="T68" i="16"/>
  <c r="T69" i="16"/>
  <c r="T70" i="16"/>
  <c r="T71" i="16"/>
  <c r="T72" i="16"/>
  <c r="T73" i="16"/>
  <c r="T74" i="16"/>
  <c r="T75" i="16"/>
  <c r="T76" i="16"/>
  <c r="T77" i="16"/>
  <c r="T78" i="16"/>
  <c r="T79" i="16"/>
  <c r="T80" i="16"/>
  <c r="T81" i="16"/>
  <c r="T82" i="16"/>
  <c r="T83" i="16"/>
  <c r="T87" i="16"/>
  <c r="T88" i="16"/>
  <c r="T89" i="16"/>
  <c r="T90" i="16"/>
  <c r="T91" i="16"/>
  <c r="T92" i="16"/>
  <c r="T93" i="16"/>
  <c r="T94" i="16"/>
  <c r="T95" i="16"/>
  <c r="T96" i="16"/>
  <c r="T97" i="16"/>
  <c r="T98" i="16"/>
  <c r="T99" i="16"/>
  <c r="T100" i="16"/>
  <c r="T101" i="16"/>
  <c r="T102" i="16"/>
  <c r="T103" i="16"/>
  <c r="T104" i="16"/>
  <c r="T105" i="16"/>
  <c r="T106" i="16"/>
  <c r="T107" i="16"/>
  <c r="T108" i="16"/>
  <c r="T109" i="16"/>
  <c r="T110" i="16"/>
  <c r="T111" i="16"/>
  <c r="T112" i="16"/>
  <c r="T113" i="16"/>
  <c r="T114" i="16"/>
  <c r="T115" i="16"/>
  <c r="T116" i="16"/>
  <c r="T117" i="16"/>
  <c r="T118" i="16"/>
  <c r="T119" i="16"/>
  <c r="T120" i="16"/>
  <c r="T121" i="16"/>
  <c r="T122" i="16"/>
  <c r="T123" i="16"/>
  <c r="T124" i="16"/>
  <c r="T125" i="16"/>
  <c r="T126" i="16"/>
  <c r="T127" i="16"/>
  <c r="T128" i="16"/>
  <c r="T129" i="16"/>
  <c r="T130" i="16"/>
  <c r="T131" i="16"/>
  <c r="T132" i="16"/>
  <c r="T133" i="16"/>
  <c r="T134" i="16"/>
  <c r="T135" i="16"/>
  <c r="T136" i="16"/>
  <c r="T137" i="16"/>
  <c r="T138" i="16"/>
  <c r="T139" i="16"/>
  <c r="T140" i="16"/>
  <c r="T141" i="16"/>
  <c r="T142" i="16"/>
  <c r="T143" i="16"/>
  <c r="S144" i="16"/>
  <c r="T144" i="16"/>
  <c r="U144" i="16"/>
  <c r="AS14" i="32"/>
  <c r="AR14" i="32"/>
  <c r="AQ14" i="32"/>
  <c r="AP14" i="32"/>
  <c r="Q14" i="32" s="1" a="1"/>
  <c r="Q14" i="32" s="1"/>
  <c r="AF14" i="32"/>
  <c r="AE14" i="32"/>
  <c r="AD14" i="32"/>
  <c r="AC14" i="32"/>
  <c r="AB14" i="32"/>
  <c r="AA14" i="32"/>
  <c r="Z14" i="32"/>
  <c r="Y14" i="32"/>
  <c r="X14" i="32"/>
  <c r="W14" i="32"/>
  <c r="V14" i="32"/>
  <c r="U14" i="32"/>
  <c r="AS13" i="32"/>
  <c r="AR13" i="32"/>
  <c r="AQ13" i="32"/>
  <c r="AP13" i="32"/>
  <c r="Q13" i="32" s="1" a="1"/>
  <c r="Q13" i="32" s="1"/>
  <c r="AF13" i="32"/>
  <c r="AE13" i="32"/>
  <c r="AD13" i="32"/>
  <c r="AC13" i="32"/>
  <c r="AB13" i="32"/>
  <c r="AA13" i="32"/>
  <c r="Z13" i="32"/>
  <c r="Y13" i="32"/>
  <c r="X13" i="32"/>
  <c r="W13" i="32"/>
  <c r="V13" i="32"/>
  <c r="U13" i="32"/>
  <c r="AS12" i="32"/>
  <c r="AR12" i="32"/>
  <c r="AQ12" i="32"/>
  <c r="AP12" i="32"/>
  <c r="Q12" i="32" s="1" a="1"/>
  <c r="Q12" i="32" s="1"/>
  <c r="AF12" i="32"/>
  <c r="AE12" i="32"/>
  <c r="AD12" i="32"/>
  <c r="AC12" i="32"/>
  <c r="AB12" i="32"/>
  <c r="AA12" i="32"/>
  <c r="Z12" i="32"/>
  <c r="Y12" i="32"/>
  <c r="X12" i="32"/>
  <c r="W12" i="32"/>
  <c r="V12" i="32"/>
  <c r="U12" i="32"/>
  <c r="AS11" i="32"/>
  <c r="AR11" i="32"/>
  <c r="AQ11" i="32"/>
  <c r="AP11" i="32"/>
  <c r="Q11" i="32" s="1" a="1"/>
  <c r="Q11" i="32" s="1"/>
  <c r="AF11" i="32"/>
  <c r="AE11" i="32"/>
  <c r="AD11" i="32"/>
  <c r="AC11" i="32"/>
  <c r="AB11" i="32"/>
  <c r="AA11" i="32"/>
  <c r="Z11" i="32"/>
  <c r="Y11" i="32"/>
  <c r="X11" i="32"/>
  <c r="W11" i="32"/>
  <c r="V11" i="32"/>
  <c r="U11" i="32"/>
  <c r="AS10" i="32"/>
  <c r="AR10" i="32"/>
  <c r="AQ10" i="32"/>
  <c r="AP10" i="32"/>
  <c r="Q10" i="32" s="1" a="1"/>
  <c r="Q10" i="32" s="1"/>
  <c r="AF10" i="32"/>
  <c r="AE10" i="32"/>
  <c r="AD10" i="32"/>
  <c r="AC10" i="32"/>
  <c r="AB10" i="32"/>
  <c r="AA10" i="32"/>
  <c r="Z10" i="32"/>
  <c r="Y10" i="32"/>
  <c r="X10" i="32"/>
  <c r="W10" i="32"/>
  <c r="V10" i="32"/>
  <c r="U10" i="32"/>
  <c r="AS9" i="32"/>
  <c r="AR9" i="32"/>
  <c r="AQ9" i="32"/>
  <c r="AP9" i="32"/>
  <c r="Q9" i="32" s="1" a="1"/>
  <c r="Q9" i="32" s="1"/>
  <c r="AF9" i="32"/>
  <c r="AE9" i="32"/>
  <c r="AD9" i="32"/>
  <c r="AC9" i="32"/>
  <c r="AB9" i="32"/>
  <c r="AA9" i="32"/>
  <c r="Z9" i="32"/>
  <c r="Y9" i="32"/>
  <c r="X9" i="32"/>
  <c r="W9" i="32"/>
  <c r="V9" i="32"/>
  <c r="U9" i="32"/>
  <c r="AS8" i="32"/>
  <c r="AR8" i="32"/>
  <c r="AQ8" i="32"/>
  <c r="AP8" i="32"/>
  <c r="Q8" i="32" s="1" a="1"/>
  <c r="Q8" i="32" s="1"/>
  <c r="AF8" i="32"/>
  <c r="AE8" i="32"/>
  <c r="AD8" i="32"/>
  <c r="AC8" i="32"/>
  <c r="AB8" i="32"/>
  <c r="AA8" i="32"/>
  <c r="Z8" i="32"/>
  <c r="Y8" i="32"/>
  <c r="X8" i="32"/>
  <c r="W8" i="32"/>
  <c r="V8" i="32"/>
  <c r="U8" i="32"/>
  <c r="AS7" i="32"/>
  <c r="AR7" i="32"/>
  <c r="AQ7" i="32"/>
  <c r="AP7" i="32"/>
  <c r="Q7" i="32" s="1" a="1"/>
  <c r="Q7" i="32" s="1"/>
  <c r="AF7" i="32"/>
  <c r="AE7" i="32"/>
  <c r="AD7" i="32"/>
  <c r="AC7" i="32"/>
  <c r="AB7" i="32"/>
  <c r="AA7" i="32"/>
  <c r="Z7" i="32"/>
  <c r="Y7" i="32"/>
  <c r="X7" i="32"/>
  <c r="W7" i="32"/>
  <c r="V7" i="32"/>
  <c r="U7" i="32"/>
  <c r="AS6" i="32"/>
  <c r="AR6" i="32"/>
  <c r="AQ6" i="32"/>
  <c r="AP6" i="32"/>
  <c r="Q6" i="32" s="1" a="1"/>
  <c r="Q6" i="32" s="1"/>
  <c r="AF6" i="32"/>
  <c r="AE6" i="32"/>
  <c r="AD6" i="32"/>
  <c r="AC6" i="32"/>
  <c r="AB6" i="32"/>
  <c r="AA6" i="32"/>
  <c r="Z6" i="32"/>
  <c r="Y6" i="32"/>
  <c r="X6" i="32"/>
  <c r="W6" i="32"/>
  <c r="V6" i="32"/>
  <c r="U6" i="32"/>
  <c r="AS5" i="32"/>
  <c r="AR5" i="32"/>
  <c r="AQ5" i="32"/>
  <c r="AP5" i="32"/>
  <c r="Q5" i="32" s="1" a="1"/>
  <c r="Q5" i="32" s="1"/>
  <c r="AF5" i="32"/>
  <c r="AE5" i="32"/>
  <c r="AD5" i="32"/>
  <c r="AC5" i="32"/>
  <c r="AB5" i="32"/>
  <c r="AA5" i="32"/>
  <c r="Z5" i="32"/>
  <c r="Y5" i="32"/>
  <c r="X5" i="32"/>
  <c r="W5" i="32"/>
  <c r="V5" i="32"/>
  <c r="U5" i="32"/>
  <c r="AS4" i="32"/>
  <c r="AR4" i="32"/>
  <c r="AQ4" i="32"/>
  <c r="AP4" i="32"/>
  <c r="Q4" i="32" s="1" a="1"/>
  <c r="Q4" i="32" s="1"/>
  <c r="AF4" i="32"/>
  <c r="AE4" i="32"/>
  <c r="AD4" i="32"/>
  <c r="AC4" i="32"/>
  <c r="AB4" i="32"/>
  <c r="AA4" i="32"/>
  <c r="Z4" i="32"/>
  <c r="Y4" i="32"/>
  <c r="X4" i="32"/>
  <c r="W4" i="32"/>
  <c r="V4" i="32"/>
  <c r="U4" i="32"/>
  <c r="I235" i="13"/>
  <c r="I236" i="13"/>
  <c r="I237" i="13"/>
  <c r="I238" i="13"/>
  <c r="I239" i="13"/>
  <c r="I240" i="13"/>
  <c r="I241" i="13"/>
  <c r="I242" i="13"/>
  <c r="I243" i="13"/>
  <c r="I244" i="13"/>
  <c r="I245" i="13"/>
  <c r="I246" i="13"/>
  <c r="I247" i="13"/>
  <c r="I248" i="13"/>
  <c r="I249" i="13"/>
  <c r="I250" i="13"/>
  <c r="I231" i="13"/>
  <c r="I230" i="13"/>
  <c r="I229" i="13"/>
  <c r="I226" i="13"/>
  <c r="I225" i="13" s="1"/>
  <c r="I224" i="13"/>
  <c r="I223" i="13"/>
  <c r="I222" i="13"/>
  <c r="I220" i="13"/>
  <c r="I219" i="13"/>
  <c r="I218" i="13"/>
  <c r="I217" i="13"/>
  <c r="I216" i="13"/>
  <c r="I214" i="13"/>
  <c r="I213" i="13"/>
  <c r="I212" i="13"/>
  <c r="I211" i="13"/>
  <c r="I208" i="13" s="1"/>
  <c r="I210" i="13"/>
  <c r="I209" i="13"/>
  <c r="I203" i="13"/>
  <c r="I202" i="13"/>
  <c r="I200" i="13" s="1"/>
  <c r="I201" i="13"/>
  <c r="I199" i="13"/>
  <c r="I198" i="13"/>
  <c r="I196" i="13"/>
  <c r="I193" i="13" s="1"/>
  <c r="I195" i="13"/>
  <c r="I194" i="13"/>
  <c r="I192" i="13"/>
  <c r="I191" i="13"/>
  <c r="I190" i="13" s="1"/>
  <c r="I189" i="13"/>
  <c r="I188" i="13"/>
  <c r="I186" i="13"/>
  <c r="I185" i="13"/>
  <c r="I184" i="13" s="1"/>
  <c r="I181" i="13"/>
  <c r="I180" i="13"/>
  <c r="I179" i="13"/>
  <c r="I176" i="13"/>
  <c r="I175" i="13"/>
  <c r="I174" i="13"/>
  <c r="I173" i="13"/>
  <c r="I172" i="13"/>
  <c r="I171" i="13" s="1"/>
  <c r="I170" i="13"/>
  <c r="I169" i="13"/>
  <c r="I167" i="13" s="1"/>
  <c r="I168" i="13"/>
  <c r="I164" i="13"/>
  <c r="I160" i="13" s="1"/>
  <c r="I163" i="13"/>
  <c r="I162" i="13"/>
  <c r="I161" i="13"/>
  <c r="I159" i="13"/>
  <c r="I158" i="13"/>
  <c r="I157" i="13"/>
  <c r="I156" i="13"/>
  <c r="I155" i="13"/>
  <c r="I154" i="13" s="1"/>
  <c r="I153" i="13"/>
  <c r="I152" i="13"/>
  <c r="I151" i="13"/>
  <c r="I150" i="13"/>
  <c r="I149" i="13" s="1"/>
  <c r="I145" i="13"/>
  <c r="I136" i="13"/>
  <c r="I135" i="13"/>
  <c r="I133" i="13"/>
  <c r="I131" i="13" s="1"/>
  <c r="I132" i="13"/>
  <c r="I130" i="13"/>
  <c r="I129" i="13"/>
  <c r="I127" i="13"/>
  <c r="I126" i="13"/>
  <c r="I122" i="13"/>
  <c r="I121" i="13"/>
  <c r="I120" i="13"/>
  <c r="I118" i="13" s="1"/>
  <c r="I119" i="13"/>
  <c r="I117" i="13"/>
  <c r="I116" i="13"/>
  <c r="I115" i="13"/>
  <c r="I114" i="13"/>
  <c r="I112" i="13"/>
  <c r="I111" i="13"/>
  <c r="I110" i="13"/>
  <c r="I109" i="13"/>
  <c r="I107" i="13"/>
  <c r="I106" i="13"/>
  <c r="I105" i="13"/>
  <c r="I104" i="13"/>
  <c r="I103" i="13"/>
  <c r="I101" i="13"/>
  <c r="I100" i="13"/>
  <c r="I99" i="13"/>
  <c r="I98" i="13"/>
  <c r="I97" i="13"/>
  <c r="I96" i="13"/>
  <c r="I95" i="13" s="1"/>
  <c r="I94" i="13"/>
  <c r="I93" i="13"/>
  <c r="I92" i="13"/>
  <c r="I90" i="13"/>
  <c r="I89" i="13"/>
  <c r="I88" i="13"/>
  <c r="I87" i="13"/>
  <c r="I85" i="13"/>
  <c r="I84" i="13"/>
  <c r="I83" i="13"/>
  <c r="I81" i="13"/>
  <c r="I80" i="13"/>
  <c r="I78" i="13" s="1"/>
  <c r="I79" i="13"/>
  <c r="I75" i="13"/>
  <c r="I74" i="13"/>
  <c r="I73" i="13"/>
  <c r="I72" i="13"/>
  <c r="I71" i="13"/>
  <c r="I66" i="13"/>
  <c r="I59" i="13"/>
  <c r="I58" i="13"/>
  <c r="I57" i="13"/>
  <c r="I56" i="13"/>
  <c r="I55" i="13"/>
  <c r="I54" i="13" s="1"/>
  <c r="I53" i="13" s="1"/>
  <c r="I52" i="13"/>
  <c r="I51" i="13"/>
  <c r="I50" i="13"/>
  <c r="I49" i="13"/>
  <c r="I47" i="13"/>
  <c r="I46" i="13"/>
  <c r="I45" i="13"/>
  <c r="I44" i="13"/>
  <c r="I43" i="13"/>
  <c r="I42" i="13"/>
  <c r="I40" i="13"/>
  <c r="I39" i="13"/>
  <c r="I38" i="13"/>
  <c r="I37" i="13"/>
  <c r="I36" i="13"/>
  <c r="I35" i="13"/>
  <c r="I34" i="13"/>
  <c r="I31" i="13"/>
  <c r="I30" i="13"/>
  <c r="I27" i="13"/>
  <c r="I24" i="13" s="1"/>
  <c r="I26" i="13"/>
  <c r="I25" i="13"/>
  <c r="I23" i="13"/>
  <c r="I22" i="13"/>
  <c r="I21" i="13"/>
  <c r="I228" i="13"/>
  <c r="I227" i="13" s="1"/>
  <c r="I221" i="13"/>
  <c r="I197" i="13"/>
  <c r="I187" i="13"/>
  <c r="I144" i="13"/>
  <c r="I143" i="13" s="1"/>
  <c r="I142" i="13" s="1"/>
  <c r="I141" i="13" s="1"/>
  <c r="I137" i="13"/>
  <c r="I134" i="13"/>
  <c r="I128" i="13"/>
  <c r="I70" i="13"/>
  <c r="I69" i="13" s="1"/>
  <c r="I68" i="13" s="1"/>
  <c r="I65" i="13"/>
  <c r="I64" i="13" s="1"/>
  <c r="I63" i="13" s="1"/>
  <c r="I62" i="13" s="1"/>
  <c r="I29" i="13"/>
  <c r="I28" i="13" s="1"/>
  <c r="E48" i="14" l="1"/>
  <c r="C48" i="14"/>
  <c r="C54" i="14"/>
  <c r="G52" i="33"/>
  <c r="E20" i="33"/>
  <c r="I47" i="33"/>
  <c r="J47" i="33" s="1"/>
  <c r="D55" i="33"/>
  <c r="D23" i="33"/>
  <c r="I22" i="33"/>
  <c r="J22" i="33" s="1"/>
  <c r="D52" i="33"/>
  <c r="E23" i="33"/>
  <c r="D49" i="33"/>
  <c r="E58" i="33"/>
  <c r="E33" i="33"/>
  <c r="H48" i="33"/>
  <c r="H54" i="33"/>
  <c r="I56" i="33"/>
  <c r="J56" i="33" s="1"/>
  <c r="D17" i="33"/>
  <c r="D24" i="33" s="1"/>
  <c r="E17" i="33"/>
  <c r="H16" i="33"/>
  <c r="G20" i="33"/>
  <c r="I19" i="33"/>
  <c r="J19" i="33" s="1"/>
  <c r="H51" i="33"/>
  <c r="I9" i="33"/>
  <c r="J9" i="33" s="1"/>
  <c r="I50" i="33"/>
  <c r="J50" i="33" s="1"/>
  <c r="E8" i="33" a="1"/>
  <c r="E8" i="33" s="1"/>
  <c r="G8" i="33" a="1"/>
  <c r="G8" i="33" s="1"/>
  <c r="H9" i="33"/>
  <c r="I10" i="33"/>
  <c r="J10" i="33" s="1"/>
  <c r="F36" i="33"/>
  <c r="I36" i="33" s="1"/>
  <c r="J36" i="33" s="1"/>
  <c r="F14" i="33" a="1"/>
  <c r="F14" i="33" s="1"/>
  <c r="H22" i="33"/>
  <c r="D59" i="33"/>
  <c r="E52" i="33"/>
  <c r="H52" i="33"/>
  <c r="I51" i="33"/>
  <c r="J51" i="33" s="1"/>
  <c r="F52" i="33"/>
  <c r="I52" i="33" s="1"/>
  <c r="J52" i="33" s="1"/>
  <c r="G23" i="33"/>
  <c r="H21" i="33"/>
  <c r="H36" i="33"/>
  <c r="H10" i="33"/>
  <c r="I16" i="33"/>
  <c r="J16" i="33" s="1"/>
  <c r="H19" i="33"/>
  <c r="C23" i="33"/>
  <c r="F23" i="33"/>
  <c r="I21" i="33"/>
  <c r="J21" i="33" s="1"/>
  <c r="C40" i="33"/>
  <c r="H34" i="33"/>
  <c r="I34" i="33"/>
  <c r="J34" i="33" s="1"/>
  <c r="F33" i="33"/>
  <c r="H58" i="33"/>
  <c r="I57" i="33"/>
  <c r="J57" i="33" s="1"/>
  <c r="F58" i="33"/>
  <c r="I58" i="33" s="1"/>
  <c r="J58" i="33" s="1"/>
  <c r="C20" i="33"/>
  <c r="I20" i="33" s="1"/>
  <c r="J20" i="33" s="1"/>
  <c r="I18" i="33"/>
  <c r="J18" i="33" s="1"/>
  <c r="C49" i="33"/>
  <c r="G49" i="33"/>
  <c r="I48" i="33"/>
  <c r="J48" i="33" s="1"/>
  <c r="C55" i="33"/>
  <c r="E55" i="33"/>
  <c r="E59" i="33" s="1"/>
  <c r="G55" i="33"/>
  <c r="H55" i="33" s="1"/>
  <c r="I54" i="33"/>
  <c r="J54" i="33" s="1"/>
  <c r="H57" i="33"/>
  <c r="H50" i="33"/>
  <c r="H56" i="33"/>
  <c r="I53" i="33"/>
  <c r="J53" i="33" s="1"/>
  <c r="F49" i="33"/>
  <c r="H11" i="33"/>
  <c r="H18" i="33"/>
  <c r="H47" i="33"/>
  <c r="H53" i="33"/>
  <c r="D45" i="14"/>
  <c r="D51" i="14"/>
  <c r="E51" i="14"/>
  <c r="H50" i="14"/>
  <c r="D48" i="14"/>
  <c r="D54" i="14"/>
  <c r="E54" i="14"/>
  <c r="F48" i="14"/>
  <c r="F54" i="14"/>
  <c r="E45" i="14"/>
  <c r="I44" i="14"/>
  <c r="J44" i="14" s="1"/>
  <c r="I50" i="14"/>
  <c r="J50" i="14" s="1"/>
  <c r="H52" i="14"/>
  <c r="H47" i="14"/>
  <c r="H53" i="14"/>
  <c r="C45" i="14"/>
  <c r="C51" i="14"/>
  <c r="G51" i="14"/>
  <c r="H46" i="14"/>
  <c r="I47" i="14"/>
  <c r="J47" i="14" s="1"/>
  <c r="D19" i="14"/>
  <c r="I52" i="14"/>
  <c r="J52" i="14" s="1"/>
  <c r="F51" i="14"/>
  <c r="H44" i="14"/>
  <c r="I49" i="14"/>
  <c r="J49" i="14" s="1"/>
  <c r="F45" i="14"/>
  <c r="G48" i="14"/>
  <c r="H48" i="14" s="1"/>
  <c r="G54" i="14"/>
  <c r="H49" i="14"/>
  <c r="I46" i="14"/>
  <c r="J46" i="14" s="1"/>
  <c r="D16" i="14"/>
  <c r="E19" i="14"/>
  <c r="E22" i="14"/>
  <c r="F19" i="14"/>
  <c r="C8" i="14" a="1"/>
  <c r="C8" i="14" s="1"/>
  <c r="F33" i="14"/>
  <c r="D22" i="14"/>
  <c r="D8" i="14" a="1"/>
  <c r="D8" i="14" s="1"/>
  <c r="D12" i="14" s="1"/>
  <c r="E16" i="14"/>
  <c r="E8" i="14" a="1"/>
  <c r="E8" i="14" s="1"/>
  <c r="E12" i="14" s="1"/>
  <c r="F16" i="14"/>
  <c r="E30" i="14"/>
  <c r="E35" i="14" s="1"/>
  <c r="D30" i="14"/>
  <c r="D35" i="14" s="1"/>
  <c r="F30" i="14"/>
  <c r="F35" i="14" s="1"/>
  <c r="F37" i="14" s="1"/>
  <c r="F8" i="14" a="1"/>
  <c r="F8" i="14" s="1"/>
  <c r="F22" i="14"/>
  <c r="AM15" i="32"/>
  <c r="AN15" i="32"/>
  <c r="AO15" i="32" s="1"/>
  <c r="AL13" i="32"/>
  <c r="AM13" i="32" s="1"/>
  <c r="AL14" i="32"/>
  <c r="AL5" i="32"/>
  <c r="AM5" i="32" s="1"/>
  <c r="AL6" i="32"/>
  <c r="AM6" i="32" s="1"/>
  <c r="AL7" i="32"/>
  <c r="AM7" i="32" s="1"/>
  <c r="AM14" i="32"/>
  <c r="AL8" i="32"/>
  <c r="AM8" i="32" s="1"/>
  <c r="AL9" i="32"/>
  <c r="AM9" i="32" s="1"/>
  <c r="AL11" i="32"/>
  <c r="AM11" i="32" s="1"/>
  <c r="AN5" i="32"/>
  <c r="AO5" i="32" s="1"/>
  <c r="AN13" i="32"/>
  <c r="AO13" i="32" s="1"/>
  <c r="AN14" i="32"/>
  <c r="AO14" i="32" s="1"/>
  <c r="AL4" i="32"/>
  <c r="AM4" i="32" s="1"/>
  <c r="AN9" i="32"/>
  <c r="AO9" i="32" s="1"/>
  <c r="AL12" i="32"/>
  <c r="AM12" i="32" s="1"/>
  <c r="AL10" i="32"/>
  <c r="AM10" i="32" s="1"/>
  <c r="I48" i="13"/>
  <c r="I91" i="13"/>
  <c r="I215" i="13"/>
  <c r="I33" i="13"/>
  <c r="I41" i="13"/>
  <c r="I86" i="13"/>
  <c r="I77" i="13" s="1"/>
  <c r="I76" i="13" s="1"/>
  <c r="I178" i="13"/>
  <c r="I177" i="13" s="1"/>
  <c r="I20" i="13"/>
  <c r="I19" i="13" s="1"/>
  <c r="I82" i="13"/>
  <c r="I102" i="13"/>
  <c r="I108" i="13"/>
  <c r="I113" i="13"/>
  <c r="I125" i="13"/>
  <c r="I124" i="13"/>
  <c r="I123" i="13" s="1"/>
  <c r="I166" i="13"/>
  <c r="I165" i="13" s="1"/>
  <c r="I148" i="13"/>
  <c r="I147" i="13" s="1"/>
  <c r="I183" i="13"/>
  <c r="I182" i="13" s="1"/>
  <c r="I207" i="13"/>
  <c r="I206" i="13" s="1"/>
  <c r="I205" i="13" s="1"/>
  <c r="I204" i="13" s="1"/>
  <c r="I32" i="13"/>
  <c r="H54" i="14" l="1"/>
  <c r="E55" i="14"/>
  <c r="I51" i="14"/>
  <c r="J51" i="14" s="1"/>
  <c r="I8" i="33"/>
  <c r="J8" i="33" s="1"/>
  <c r="G13" i="33"/>
  <c r="H20" i="33"/>
  <c r="E24" i="33"/>
  <c r="D25" i="33" s="1"/>
  <c r="E13" i="33"/>
  <c r="D40" i="33"/>
  <c r="I23" i="33"/>
  <c r="J23" i="33" s="1"/>
  <c r="I49" i="33"/>
  <c r="J49" i="33" s="1"/>
  <c r="F59" i="33"/>
  <c r="C59" i="33"/>
  <c r="C60" i="33" s="1"/>
  <c r="I55" i="33"/>
  <c r="J55" i="33" s="1"/>
  <c r="I13" i="33"/>
  <c r="J13" i="33" s="1"/>
  <c r="H8" i="33"/>
  <c r="H49" i="33"/>
  <c r="G59" i="33"/>
  <c r="D60" i="33"/>
  <c r="F17" i="33"/>
  <c r="C24" i="33"/>
  <c r="C25" i="33" s="1"/>
  <c r="H23" i="33"/>
  <c r="D55" i="14"/>
  <c r="D56" i="14" s="1"/>
  <c r="D23" i="14"/>
  <c r="I54" i="14"/>
  <c r="J54" i="14" s="1"/>
  <c r="H51" i="14"/>
  <c r="I48" i="14"/>
  <c r="J48" i="14" s="1"/>
  <c r="F55" i="14"/>
  <c r="D37" i="14"/>
  <c r="E23" i="14"/>
  <c r="F12" i="14"/>
  <c r="AN8" i="32"/>
  <c r="AO8" i="32" s="1"/>
  <c r="AN6" i="32"/>
  <c r="AO6" i="32" s="1"/>
  <c r="AN7" i="32"/>
  <c r="AO7" i="32" s="1"/>
  <c r="AN11" i="32"/>
  <c r="AO11" i="32" s="1"/>
  <c r="AN4" i="32"/>
  <c r="AO4" i="32" s="1"/>
  <c r="AN12" i="32"/>
  <c r="AO12" i="32" s="1"/>
  <c r="AN10" i="32"/>
  <c r="AO10" i="32" s="1"/>
  <c r="I18" i="13"/>
  <c r="I17" i="13" s="1"/>
  <c r="I16" i="13" s="1"/>
  <c r="I15" i="13" s="1"/>
  <c r="I146" i="13"/>
  <c r="I67" i="13"/>
  <c r="F24" i="33" l="1"/>
  <c r="F25" i="33" s="1"/>
  <c r="F40" i="33"/>
  <c r="H13" i="33"/>
  <c r="H59" i="33"/>
  <c r="G60" i="33"/>
  <c r="F60" i="33"/>
  <c r="I59" i="33"/>
  <c r="J59" i="33" s="1"/>
  <c r="D24" i="14"/>
  <c r="F56" i="14"/>
  <c r="F23" i="14"/>
  <c r="I61" i="13"/>
  <c r="I60" i="13" s="1"/>
  <c r="I14" i="13" s="1"/>
  <c r="H32" i="33" l="1"/>
  <c r="I32" i="33"/>
  <c r="J32" i="33" s="1"/>
  <c r="I60" i="33"/>
  <c r="J60" i="33" s="1"/>
  <c r="H60" i="33"/>
  <c r="F24" i="14"/>
  <c r="F249" i="13"/>
  <c r="G249" i="13"/>
  <c r="H249" i="13"/>
  <c r="AR249" i="13"/>
  <c r="AQ249" i="13"/>
  <c r="AP249" i="13"/>
  <c r="AO249" i="13"/>
  <c r="AN249" i="13"/>
  <c r="AM249" i="13"/>
  <c r="AL249" i="13"/>
  <c r="AK249" i="13"/>
  <c r="AJ249" i="13"/>
  <c r="AI249" i="13"/>
  <c r="AH249" i="13"/>
  <c r="AG249" i="13"/>
  <c r="AF249" i="13"/>
  <c r="AE249" i="13"/>
  <c r="AD249" i="13"/>
  <c r="AC249" i="13"/>
  <c r="AB249" i="13"/>
  <c r="AA249" i="13"/>
  <c r="Z249" i="13"/>
  <c r="Y249" i="13"/>
  <c r="X249" i="13"/>
  <c r="W249" i="13"/>
  <c r="V249" i="13"/>
  <c r="U249" i="13"/>
  <c r="T249" i="13"/>
  <c r="S249" i="13"/>
  <c r="R249" i="13"/>
  <c r="Q249" i="13"/>
  <c r="P249" i="13"/>
  <c r="O249" i="13"/>
  <c r="N249" i="13"/>
  <c r="M249" i="13"/>
  <c r="AT249" i="13" s="1"/>
  <c r="AU249" i="13" s="1"/>
  <c r="L249" i="13"/>
  <c r="K249" i="13"/>
  <c r="J249" i="13"/>
  <c r="AT250" i="13"/>
  <c r="AU250" i="13" s="1"/>
  <c r="H237" i="13"/>
  <c r="H236" i="13" s="1"/>
  <c r="H228" i="13"/>
  <c r="H227" i="13" s="1"/>
  <c r="H225" i="13"/>
  <c r="H221" i="13"/>
  <c r="H215" i="13"/>
  <c r="H208" i="13"/>
  <c r="H200" i="13"/>
  <c r="H197" i="13"/>
  <c r="H193" i="13"/>
  <c r="H190" i="13"/>
  <c r="H187" i="13"/>
  <c r="H184" i="13"/>
  <c r="H178" i="13"/>
  <c r="H177" i="13" s="1"/>
  <c r="H171" i="13"/>
  <c r="H167" i="13"/>
  <c r="H160" i="13"/>
  <c r="H154" i="13"/>
  <c r="H149" i="13"/>
  <c r="H144" i="13"/>
  <c r="H143" i="13" s="1"/>
  <c r="H142" i="13" s="1"/>
  <c r="H141" i="13" s="1"/>
  <c r="H137" i="13"/>
  <c r="H134" i="13"/>
  <c r="H131" i="13"/>
  <c r="H128" i="13"/>
  <c r="H125" i="13"/>
  <c r="H118" i="13"/>
  <c r="H113" i="13"/>
  <c r="H108" i="13"/>
  <c r="H102" i="13"/>
  <c r="H95" i="13"/>
  <c r="H91" i="13"/>
  <c r="H86" i="13"/>
  <c r="H82" i="13"/>
  <c r="H78" i="13"/>
  <c r="H70" i="13"/>
  <c r="H69" i="13" s="1"/>
  <c r="H68" i="13" s="1"/>
  <c r="H65" i="13"/>
  <c r="H64" i="13" s="1"/>
  <c r="H63" i="13" s="1"/>
  <c r="H62" i="13" s="1"/>
  <c r="H54" i="13"/>
  <c r="H53" i="13" s="1"/>
  <c r="H48" i="13"/>
  <c r="H41" i="13"/>
  <c r="H33" i="13"/>
  <c r="H29" i="13"/>
  <c r="H28" i="13" s="1"/>
  <c r="H24" i="13"/>
  <c r="H20" i="13"/>
  <c r="AV249" i="13" l="1"/>
  <c r="AW249" i="13" s="1"/>
  <c r="H19" i="13"/>
  <c r="AV250" i="13"/>
  <c r="AW250" i="13" s="1"/>
  <c r="H124" i="13"/>
  <c r="H123" i="13" s="1"/>
  <c r="H148" i="13"/>
  <c r="H147" i="13" s="1"/>
  <c r="H183" i="13"/>
  <c r="H182" i="13" s="1"/>
  <c r="H207" i="13"/>
  <c r="H206" i="13" s="1"/>
  <c r="H205" i="13" s="1"/>
  <c r="H204" i="13" s="1"/>
  <c r="H32" i="13"/>
  <c r="H18" i="13" s="1"/>
  <c r="H17" i="13" s="1"/>
  <c r="H16" i="13" s="1"/>
  <c r="H15" i="13" s="1"/>
  <c r="H77" i="13"/>
  <c r="H76" i="13" s="1"/>
  <c r="H166" i="13"/>
  <c r="H165" i="13" s="1"/>
  <c r="H67" i="13" l="1"/>
  <c r="H146" i="13"/>
  <c r="H61" i="13" s="1"/>
  <c r="H60" i="13" s="1"/>
  <c r="H14" i="13" s="1"/>
  <c r="AT247" i="13" l="1"/>
  <c r="AV247" i="13" s="1"/>
  <c r="AW247" i="13" s="1"/>
  <c r="AT246" i="13"/>
  <c r="AT242" i="13"/>
  <c r="AV242" i="13" s="1"/>
  <c r="AW242" i="13" s="1"/>
  <c r="AU98" i="13"/>
  <c r="Y248" i="13"/>
  <c r="V248" i="13"/>
  <c r="AT248" i="13" s="1"/>
  <c r="AU248" i="13" s="1"/>
  <c r="Y245" i="13"/>
  <c r="S245" i="13"/>
  <c r="AT245" i="13" s="1"/>
  <c r="AU245" i="13" s="1"/>
  <c r="V244" i="13"/>
  <c r="AT244" i="13" s="1"/>
  <c r="AU244" i="13" s="1"/>
  <c r="Y243" i="13"/>
  <c r="AT243" i="13" s="1"/>
  <c r="Y241" i="13"/>
  <c r="AT241" i="13" s="1"/>
  <c r="AU241" i="13" s="1"/>
  <c r="Y240" i="13"/>
  <c r="AT240" i="13" s="1"/>
  <c r="Y239" i="13"/>
  <c r="V239" i="13"/>
  <c r="Y238" i="13"/>
  <c r="V238" i="13"/>
  <c r="AT238" i="13" s="1"/>
  <c r="X237" i="13"/>
  <c r="X236" i="13" s="1"/>
  <c r="AR237" i="13"/>
  <c r="AR236" i="13" s="1"/>
  <c r="AQ237" i="13"/>
  <c r="AP237" i="13"/>
  <c r="AO237" i="13"/>
  <c r="AO236" i="13" s="1"/>
  <c r="AN237" i="13"/>
  <c r="AN236" i="13" s="1"/>
  <c r="AM237" i="13"/>
  <c r="AM236" i="13" s="1"/>
  <c r="AL237" i="13"/>
  <c r="AK237" i="13"/>
  <c r="AK236" i="13" s="1"/>
  <c r="AJ237" i="13"/>
  <c r="AJ236" i="13" s="1"/>
  <c r="AI237" i="13"/>
  <c r="AI236" i="13" s="1"/>
  <c r="AH237" i="13"/>
  <c r="AH236" i="13" s="1"/>
  <c r="AG237" i="13"/>
  <c r="AG236" i="13" s="1"/>
  <c r="AF237" i="13"/>
  <c r="AF236" i="13" s="1"/>
  <c r="AE237" i="13"/>
  <c r="AE236" i="13" s="1"/>
  <c r="AD237" i="13"/>
  <c r="AD236" i="13" s="1"/>
  <c r="AC237" i="13"/>
  <c r="AC236" i="13" s="1"/>
  <c r="AB237" i="13"/>
  <c r="AB236" i="13" s="1"/>
  <c r="AA237" i="13"/>
  <c r="Z237" i="13"/>
  <c r="Z236" i="13" s="1"/>
  <c r="W237" i="13"/>
  <c r="W236" i="13" s="1"/>
  <c r="U237" i="13"/>
  <c r="U236" i="13" s="1"/>
  <c r="T237" i="13"/>
  <c r="T236" i="13" s="1"/>
  <c r="S237" i="13"/>
  <c r="S236" i="13" s="1"/>
  <c r="Q237" i="13"/>
  <c r="Q236" i="13" s="1"/>
  <c r="P237" i="13"/>
  <c r="P236" i="13" s="1"/>
  <c r="O237" i="13"/>
  <c r="N237" i="13"/>
  <c r="N236" i="13" s="1"/>
  <c r="M237" i="13"/>
  <c r="M236" i="13" s="1"/>
  <c r="L237" i="13"/>
  <c r="L236" i="13" s="1"/>
  <c r="K237" i="13"/>
  <c r="K236" i="13" s="1"/>
  <c r="J237" i="13"/>
  <c r="G237" i="13"/>
  <c r="G236" i="13" s="1"/>
  <c r="F237" i="13"/>
  <c r="F236" i="13" s="1"/>
  <c r="AQ236" i="13"/>
  <c r="AP236" i="13"/>
  <c r="AL236" i="13"/>
  <c r="AA236" i="13"/>
  <c r="O236" i="13"/>
  <c r="AU247" i="13" l="1"/>
  <c r="AV243" i="13"/>
  <c r="AW243" i="13" s="1"/>
  <c r="AU243" i="13"/>
  <c r="AT239" i="13"/>
  <c r="AU239" i="13" s="1"/>
  <c r="AU242" i="13"/>
  <c r="AU238" i="13"/>
  <c r="AV238" i="13"/>
  <c r="AW238" i="13" s="1"/>
  <c r="AV246" i="13"/>
  <c r="AW246" i="13" s="1"/>
  <c r="AU246" i="13"/>
  <c r="AV240" i="13"/>
  <c r="AW240" i="13" s="1"/>
  <c r="AU240" i="13"/>
  <c r="AV248" i="13"/>
  <c r="AW248" i="13" s="1"/>
  <c r="J236" i="13"/>
  <c r="AV244" i="13"/>
  <c r="AW244" i="13" s="1"/>
  <c r="AV239" i="13"/>
  <c r="AW239" i="13" s="1"/>
  <c r="AV241" i="13"/>
  <c r="AW241" i="13" s="1"/>
  <c r="AV245" i="13"/>
  <c r="AW245" i="13" s="1"/>
  <c r="Y237" i="13"/>
  <c r="Y236" i="13" s="1"/>
  <c r="V237" i="13"/>
  <c r="V236" i="13" s="1"/>
  <c r="R237" i="13"/>
  <c r="R236" i="13" s="1"/>
  <c r="AT236" i="13" l="1"/>
  <c r="AU236" i="13" s="1"/>
  <c r="AT237" i="13"/>
  <c r="AV236" i="13"/>
  <c r="AW236" i="13" s="1"/>
  <c r="AU237" i="13" l="1"/>
  <c r="AV237" i="13"/>
  <c r="AW237" i="13" s="1"/>
  <c r="AQ5" i="16" l="1"/>
  <c r="AQ6" i="16"/>
  <c r="AQ7" i="16"/>
  <c r="AQ8" i="16"/>
  <c r="AQ9" i="16"/>
  <c r="AQ10" i="16"/>
  <c r="AQ11" i="16"/>
  <c r="AQ12" i="16"/>
  <c r="AQ13" i="16"/>
  <c r="AQ14" i="16"/>
  <c r="AQ15" i="16"/>
  <c r="AQ16" i="16"/>
  <c r="AQ17" i="16"/>
  <c r="AQ18" i="16"/>
  <c r="AQ19" i="16"/>
  <c r="AQ20" i="16"/>
  <c r="AQ21" i="16"/>
  <c r="AQ22" i="16"/>
  <c r="AQ23" i="16"/>
  <c r="AQ24" i="16"/>
  <c r="AQ25" i="16"/>
  <c r="AQ26" i="16"/>
  <c r="AQ27" i="16"/>
  <c r="AQ28" i="16"/>
  <c r="AQ29" i="16"/>
  <c r="AQ30" i="16"/>
  <c r="AQ31" i="16"/>
  <c r="AQ32" i="16"/>
  <c r="AQ33" i="16"/>
  <c r="AQ34" i="16"/>
  <c r="AQ35" i="16"/>
  <c r="AQ36" i="16"/>
  <c r="AQ37" i="16"/>
  <c r="AQ38" i="16"/>
  <c r="AQ39" i="16"/>
  <c r="AQ40" i="16"/>
  <c r="AQ41" i="16"/>
  <c r="AQ42" i="16"/>
  <c r="AQ43" i="16"/>
  <c r="AQ44" i="16"/>
  <c r="AQ45" i="16"/>
  <c r="AQ46" i="16"/>
  <c r="AQ47" i="16"/>
  <c r="AQ48" i="16"/>
  <c r="AQ49" i="16"/>
  <c r="AQ50" i="16"/>
  <c r="AQ51" i="16"/>
  <c r="AQ52" i="16"/>
  <c r="AQ53" i="16"/>
  <c r="AQ54" i="16"/>
  <c r="AQ55" i="16"/>
  <c r="AQ56" i="16"/>
  <c r="AQ57" i="16"/>
  <c r="AQ58" i="16"/>
  <c r="AQ59" i="16"/>
  <c r="AQ60" i="16"/>
  <c r="AQ61" i="16"/>
  <c r="AQ62" i="16"/>
  <c r="AQ63" i="16"/>
  <c r="AQ64" i="16"/>
  <c r="AQ65" i="16"/>
  <c r="AQ66" i="16"/>
  <c r="AQ67" i="16"/>
  <c r="AQ68" i="16"/>
  <c r="AQ69" i="16"/>
  <c r="AQ70" i="16"/>
  <c r="AQ71" i="16"/>
  <c r="AQ72" i="16"/>
  <c r="AQ73" i="16"/>
  <c r="AQ74" i="16"/>
  <c r="AQ75" i="16"/>
  <c r="AQ76" i="16"/>
  <c r="AQ77" i="16"/>
  <c r="AQ78" i="16"/>
  <c r="AQ79" i="16"/>
  <c r="AQ80" i="16"/>
  <c r="AQ81" i="16"/>
  <c r="AQ82" i="16"/>
  <c r="AQ83" i="16"/>
  <c r="AQ84" i="16"/>
  <c r="AQ85" i="16"/>
  <c r="AQ86" i="16"/>
  <c r="AQ87" i="16"/>
  <c r="AQ88" i="16"/>
  <c r="AQ89" i="16"/>
  <c r="AQ90" i="16"/>
  <c r="AQ91" i="16"/>
  <c r="AQ92" i="16"/>
  <c r="AQ93" i="16"/>
  <c r="AQ94" i="16"/>
  <c r="AQ95" i="16"/>
  <c r="AQ96" i="16"/>
  <c r="AQ97" i="16"/>
  <c r="AQ98" i="16"/>
  <c r="AQ99" i="16"/>
  <c r="AQ100" i="16"/>
  <c r="AQ101" i="16"/>
  <c r="AQ102" i="16"/>
  <c r="AQ103" i="16"/>
  <c r="AQ104" i="16"/>
  <c r="AQ105" i="16"/>
  <c r="AQ106" i="16"/>
  <c r="AQ107" i="16"/>
  <c r="AQ108" i="16"/>
  <c r="AQ109" i="16"/>
  <c r="AQ110" i="16"/>
  <c r="AQ111" i="16"/>
  <c r="AQ112" i="16"/>
  <c r="AQ113" i="16"/>
  <c r="AQ114" i="16"/>
  <c r="AQ115" i="16"/>
  <c r="AQ116" i="16"/>
  <c r="AQ117" i="16"/>
  <c r="AQ118" i="16"/>
  <c r="AQ119" i="16"/>
  <c r="AQ120" i="16"/>
  <c r="AQ121" i="16"/>
  <c r="AQ122" i="16"/>
  <c r="AQ123" i="16"/>
  <c r="AQ124" i="16"/>
  <c r="AQ125" i="16"/>
  <c r="AQ126" i="16"/>
  <c r="AQ127" i="16"/>
  <c r="AQ128" i="16"/>
  <c r="AQ129" i="16"/>
  <c r="AQ130" i="16"/>
  <c r="AQ131" i="16"/>
  <c r="AQ132" i="16"/>
  <c r="AQ133" i="16"/>
  <c r="AQ134" i="16"/>
  <c r="AQ135" i="16"/>
  <c r="AQ136" i="16"/>
  <c r="AQ137" i="16"/>
  <c r="AQ138" i="16"/>
  <c r="AQ139" i="16"/>
  <c r="AQ140" i="16"/>
  <c r="AQ141" i="16"/>
  <c r="AQ142" i="16"/>
  <c r="AQ143" i="16"/>
  <c r="AQ4" i="16"/>
  <c r="AS4" i="16" l="1"/>
  <c r="AS5"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55" i="16"/>
  <c r="AS56" i="16"/>
  <c r="AS57" i="16"/>
  <c r="AS58" i="16"/>
  <c r="AS59" i="16"/>
  <c r="AS60" i="16"/>
  <c r="AS61" i="16"/>
  <c r="AS62" i="16"/>
  <c r="AS63" i="16"/>
  <c r="AS64" i="16"/>
  <c r="AS65" i="16"/>
  <c r="AS66" i="16"/>
  <c r="AS67" i="16"/>
  <c r="AS68" i="16"/>
  <c r="AS69" i="16"/>
  <c r="AS70" i="16"/>
  <c r="AS71" i="16"/>
  <c r="AS72" i="16"/>
  <c r="AS73" i="16"/>
  <c r="AS74" i="16"/>
  <c r="AS75" i="16"/>
  <c r="AS76" i="16"/>
  <c r="AS77" i="16"/>
  <c r="AS78" i="16"/>
  <c r="AS79" i="16"/>
  <c r="AS80" i="16"/>
  <c r="AS81" i="16"/>
  <c r="AS82" i="16"/>
  <c r="AS83" i="16"/>
  <c r="AS84" i="16"/>
  <c r="AS85" i="16"/>
  <c r="AS86" i="16"/>
  <c r="AS87" i="16"/>
  <c r="AS88" i="16"/>
  <c r="AS89" i="16"/>
  <c r="AS90" i="16"/>
  <c r="AS91" i="16"/>
  <c r="AS92" i="16"/>
  <c r="AS93" i="16"/>
  <c r="AS94" i="16"/>
  <c r="AS95" i="16"/>
  <c r="AS96" i="16"/>
  <c r="AS97" i="16"/>
  <c r="AS98" i="16"/>
  <c r="AS99" i="16"/>
  <c r="AS100" i="16"/>
  <c r="AS101" i="16"/>
  <c r="AS102" i="16"/>
  <c r="AS103" i="16"/>
  <c r="AS104" i="16"/>
  <c r="AS105" i="16"/>
  <c r="AS106" i="16"/>
  <c r="AS107" i="16"/>
  <c r="AS108" i="16"/>
  <c r="AS109" i="16"/>
  <c r="AS110" i="16"/>
  <c r="AS111" i="16"/>
  <c r="AS112" i="16"/>
  <c r="AS113" i="16"/>
  <c r="AS114" i="16"/>
  <c r="AS115" i="16"/>
  <c r="AS116" i="16"/>
  <c r="AS117" i="16"/>
  <c r="AS118" i="16"/>
  <c r="AS119" i="16"/>
  <c r="AS120" i="16"/>
  <c r="AS121" i="16"/>
  <c r="AS122" i="16"/>
  <c r="AS123" i="16"/>
  <c r="AS124" i="16"/>
  <c r="AS125" i="16"/>
  <c r="AS126" i="16"/>
  <c r="AS127" i="16"/>
  <c r="AS128" i="16"/>
  <c r="AS129" i="16"/>
  <c r="AS130" i="16"/>
  <c r="AS131" i="16"/>
  <c r="AS132" i="16"/>
  <c r="AS133" i="16"/>
  <c r="AS134" i="16"/>
  <c r="AS135" i="16"/>
  <c r="AS136" i="16"/>
  <c r="AS137" i="16"/>
  <c r="AS138" i="16"/>
  <c r="AS139" i="16"/>
  <c r="AS140" i="16"/>
  <c r="AS141" i="16"/>
  <c r="AS142" i="16"/>
  <c r="AS143" i="16"/>
  <c r="AR5" i="16"/>
  <c r="AR6" i="16"/>
  <c r="AR7" i="16"/>
  <c r="AR8" i="16"/>
  <c r="AR9" i="16"/>
  <c r="AR10" i="16"/>
  <c r="AR11" i="16"/>
  <c r="AR12" i="16"/>
  <c r="AR13" i="16"/>
  <c r="AR14" i="16"/>
  <c r="AR15" i="16"/>
  <c r="AR16" i="16"/>
  <c r="AR17" i="16"/>
  <c r="AR18" i="16"/>
  <c r="AR19" i="16"/>
  <c r="AR20" i="16"/>
  <c r="AR21" i="16"/>
  <c r="AR22" i="16"/>
  <c r="AR23" i="16"/>
  <c r="AR24" i="16"/>
  <c r="AR25" i="16"/>
  <c r="AR26" i="16"/>
  <c r="AR27" i="16"/>
  <c r="AR28" i="16"/>
  <c r="AR29" i="16"/>
  <c r="AR30" i="16"/>
  <c r="AR31" i="16"/>
  <c r="AR32" i="16"/>
  <c r="AR33" i="16"/>
  <c r="AR34" i="16"/>
  <c r="AR35" i="16"/>
  <c r="AR36" i="16"/>
  <c r="AR37" i="16"/>
  <c r="AR38" i="16"/>
  <c r="AR39" i="16"/>
  <c r="AR40" i="16"/>
  <c r="AR41" i="16"/>
  <c r="AR42" i="16"/>
  <c r="AR43" i="16"/>
  <c r="AR44" i="16"/>
  <c r="AR45" i="16"/>
  <c r="AR46" i="16"/>
  <c r="AR47" i="16"/>
  <c r="AR48" i="16"/>
  <c r="AR49" i="16"/>
  <c r="AR50" i="16"/>
  <c r="AR51" i="16"/>
  <c r="AR52" i="16"/>
  <c r="AR53" i="16"/>
  <c r="AR54" i="16"/>
  <c r="AR55" i="16"/>
  <c r="AR56" i="16"/>
  <c r="AR57" i="16"/>
  <c r="AR58" i="16"/>
  <c r="AR59" i="16"/>
  <c r="AR60" i="16"/>
  <c r="AR61" i="16"/>
  <c r="AR62" i="16"/>
  <c r="AR63" i="16"/>
  <c r="AR64" i="16"/>
  <c r="AR65" i="16"/>
  <c r="AR66" i="16"/>
  <c r="AR67" i="16"/>
  <c r="AR68" i="16"/>
  <c r="AR69" i="16"/>
  <c r="AR70" i="16"/>
  <c r="AR71" i="16"/>
  <c r="AR72" i="16"/>
  <c r="AR73" i="16"/>
  <c r="AR74" i="16"/>
  <c r="AR75" i="16"/>
  <c r="AR76" i="16"/>
  <c r="AR77" i="16"/>
  <c r="AR78" i="16"/>
  <c r="AR79" i="16"/>
  <c r="AR80" i="16"/>
  <c r="AR81" i="16"/>
  <c r="AR82" i="16"/>
  <c r="AR83" i="16"/>
  <c r="AR84" i="16"/>
  <c r="AR85" i="16"/>
  <c r="AR86" i="16"/>
  <c r="AR87" i="16"/>
  <c r="AR88" i="16"/>
  <c r="AR89" i="16"/>
  <c r="AR90" i="16"/>
  <c r="AR91" i="16"/>
  <c r="AR92" i="16"/>
  <c r="AR93" i="16"/>
  <c r="AR94" i="16"/>
  <c r="AR95" i="16"/>
  <c r="AR96" i="16"/>
  <c r="AR97" i="16"/>
  <c r="AR98" i="16"/>
  <c r="AR99" i="16"/>
  <c r="AR100" i="16"/>
  <c r="AR101" i="16"/>
  <c r="AR102" i="16"/>
  <c r="AR103" i="16"/>
  <c r="AR104" i="16"/>
  <c r="AR105" i="16"/>
  <c r="AR106" i="16"/>
  <c r="AR107" i="16"/>
  <c r="AR108" i="16"/>
  <c r="AR109" i="16"/>
  <c r="AR110" i="16"/>
  <c r="AR111" i="16"/>
  <c r="AR112" i="16"/>
  <c r="AR113" i="16"/>
  <c r="AR114" i="16"/>
  <c r="AR115" i="16"/>
  <c r="AR116" i="16"/>
  <c r="AR117" i="16"/>
  <c r="AR118" i="16"/>
  <c r="AR119" i="16"/>
  <c r="AR120" i="16"/>
  <c r="AR121" i="16"/>
  <c r="AR122" i="16"/>
  <c r="AR123" i="16"/>
  <c r="AR124" i="16"/>
  <c r="AR125" i="16"/>
  <c r="AR126" i="16"/>
  <c r="AR127" i="16"/>
  <c r="AR128" i="16"/>
  <c r="AR129" i="16"/>
  <c r="AR130" i="16"/>
  <c r="AR131" i="16"/>
  <c r="AR132" i="16"/>
  <c r="AR133" i="16"/>
  <c r="AR134" i="16"/>
  <c r="AR135" i="16"/>
  <c r="AR136" i="16"/>
  <c r="AR137" i="16"/>
  <c r="AR138" i="16"/>
  <c r="AR139" i="16"/>
  <c r="AR140" i="16"/>
  <c r="AR141" i="16"/>
  <c r="AR142" i="16"/>
  <c r="AR143" i="16"/>
  <c r="AR4" i="16"/>
  <c r="Y175" i="13" l="1"/>
  <c r="I75" i="29"/>
  <c r="I76" i="29"/>
  <c r="I77" i="29"/>
  <c r="I78" i="29"/>
  <c r="I79" i="29"/>
  <c r="I80" i="29"/>
  <c r="I81" i="29"/>
  <c r="I82" i="29"/>
  <c r="I83" i="29"/>
  <c r="I84" i="29"/>
  <c r="I85" i="29"/>
  <c r="I86" i="29"/>
  <c r="I87" i="29"/>
  <c r="I88" i="29"/>
  <c r="I89" i="29"/>
  <c r="I90" i="29"/>
  <c r="I91" i="29"/>
  <c r="I92" i="29"/>
  <c r="I93" i="29"/>
  <c r="I94" i="29"/>
  <c r="I95" i="29"/>
  <c r="I96" i="29"/>
  <c r="I97" i="29"/>
  <c r="I98" i="29"/>
  <c r="I99" i="29"/>
  <c r="I100" i="29"/>
  <c r="I101" i="29"/>
  <c r="I102" i="29"/>
  <c r="I103" i="29"/>
  <c r="I104" i="29"/>
  <c r="I105" i="29"/>
  <c r="I106" i="29"/>
  <c r="I107" i="29"/>
  <c r="I108" i="29"/>
  <c r="I109" i="29"/>
  <c r="I110" i="29"/>
  <c r="I111" i="29"/>
  <c r="I112" i="29"/>
  <c r="I113" i="29"/>
  <c r="I114" i="29"/>
  <c r="I115" i="29"/>
  <c r="I116" i="29"/>
  <c r="I117" i="29"/>
  <c r="I118" i="29"/>
  <c r="I119" i="29"/>
  <c r="I120" i="29"/>
  <c r="I121" i="29"/>
  <c r="I122" i="29"/>
  <c r="I123" i="29"/>
  <c r="I124" i="29"/>
  <c r="I125" i="29"/>
  <c r="I126" i="29"/>
  <c r="I127" i="29"/>
  <c r="I128" i="29"/>
  <c r="I129" i="29"/>
  <c r="I130" i="29"/>
  <c r="I131" i="29"/>
  <c r="I132" i="29"/>
  <c r="I133" i="29"/>
  <c r="I134" i="29"/>
  <c r="I135" i="29"/>
  <c r="I136" i="29"/>
  <c r="I137" i="29"/>
  <c r="I138" i="29"/>
  <c r="I139" i="29"/>
  <c r="I140" i="29"/>
  <c r="I141" i="29"/>
  <c r="I142" i="29"/>
  <c r="I143" i="29"/>
  <c r="I144" i="29"/>
  <c r="I145" i="29"/>
  <c r="I146" i="29"/>
  <c r="I147" i="29"/>
  <c r="I148" i="29"/>
  <c r="I149" i="29"/>
  <c r="I150" i="29"/>
  <c r="I151" i="29"/>
  <c r="I152" i="29"/>
  <c r="I153" i="29"/>
  <c r="I154" i="29"/>
  <c r="I155" i="29"/>
  <c r="I156" i="29"/>
  <c r="I157" i="29"/>
  <c r="I158" i="29"/>
  <c r="I159" i="29"/>
  <c r="I160" i="29"/>
  <c r="I161" i="29"/>
  <c r="I162" i="29"/>
  <c r="I163" i="29"/>
  <c r="I164" i="29"/>
  <c r="I165" i="29"/>
  <c r="I166" i="29"/>
  <c r="I167" i="29"/>
  <c r="I168" i="29"/>
  <c r="I169" i="29"/>
  <c r="I170" i="29"/>
  <c r="I171" i="29"/>
  <c r="I172" i="29"/>
  <c r="I173" i="29"/>
  <c r="I174" i="29"/>
  <c r="I175" i="29"/>
  <c r="I176" i="29"/>
  <c r="I177" i="29"/>
  <c r="I178" i="29"/>
  <c r="I179" i="29"/>
  <c r="I180" i="29"/>
  <c r="I181" i="29"/>
  <c r="I182" i="29"/>
  <c r="I183" i="29"/>
  <c r="I184" i="29"/>
  <c r="I185" i="29"/>
  <c r="I186" i="29"/>
  <c r="I187" i="29"/>
  <c r="I188" i="29"/>
  <c r="I189" i="29"/>
  <c r="I190" i="29"/>
  <c r="I191" i="29"/>
  <c r="I192" i="29"/>
  <c r="I193" i="29"/>
  <c r="I194" i="29"/>
  <c r="I195" i="29"/>
  <c r="I196" i="29"/>
  <c r="I197" i="29"/>
  <c r="I198" i="29"/>
  <c r="I199" i="29"/>
  <c r="I200" i="29"/>
  <c r="I201" i="29"/>
  <c r="I202" i="29"/>
  <c r="I203" i="29"/>
  <c r="I204" i="29"/>
  <c r="I205" i="29"/>
  <c r="I206" i="29"/>
  <c r="I207" i="29"/>
  <c r="I208" i="29"/>
  <c r="I209" i="29"/>
  <c r="I210" i="29"/>
  <c r="I211" i="29"/>
  <c r="I212" i="29"/>
  <c r="I213" i="29"/>
  <c r="I214" i="29"/>
  <c r="I215" i="29"/>
  <c r="I216" i="29"/>
  <c r="I217" i="29"/>
  <c r="I218" i="29"/>
  <c r="I219" i="29"/>
  <c r="I220" i="29"/>
  <c r="I221" i="29"/>
  <c r="I222" i="29"/>
  <c r="I223" i="29"/>
  <c r="I224" i="29"/>
  <c r="I225" i="29"/>
  <c r="I226" i="29"/>
  <c r="I227" i="29"/>
  <c r="I228" i="29"/>
  <c r="I229" i="29"/>
  <c r="I230" i="29"/>
  <c r="I231" i="29"/>
  <c r="I232" i="29"/>
  <c r="I74" i="29"/>
  <c r="I5" i="29"/>
  <c r="I6" i="29"/>
  <c r="I7" i="29"/>
  <c r="I8" i="29"/>
  <c r="I9" i="29"/>
  <c r="I10" i="29"/>
  <c r="I11" i="29"/>
  <c r="I12" i="29"/>
  <c r="I13" i="29"/>
  <c r="I14" i="29"/>
  <c r="I15" i="29"/>
  <c r="I16" i="29"/>
  <c r="I17" i="29"/>
  <c r="I18" i="29"/>
  <c r="I19" i="29"/>
  <c r="I20" i="29"/>
  <c r="I21" i="29"/>
  <c r="I22" i="29"/>
  <c r="I23" i="29"/>
  <c r="I24" i="29"/>
  <c r="I25" i="29"/>
  <c r="I26" i="29"/>
  <c r="I27" i="29"/>
  <c r="I28" i="29"/>
  <c r="I29" i="29"/>
  <c r="I30" i="29"/>
  <c r="I31" i="29"/>
  <c r="I32" i="29"/>
  <c r="I33" i="29"/>
  <c r="I34" i="29"/>
  <c r="I35" i="29"/>
  <c r="I36" i="29"/>
  <c r="I37" i="29"/>
  <c r="I38" i="29"/>
  <c r="I39" i="29"/>
  <c r="I40" i="29"/>
  <c r="I41" i="29"/>
  <c r="I42" i="29"/>
  <c r="I43" i="29"/>
  <c r="I44" i="29"/>
  <c r="I45" i="29"/>
  <c r="I46" i="29"/>
  <c r="I47" i="29"/>
  <c r="I48" i="29"/>
  <c r="I49" i="29"/>
  <c r="I50" i="29"/>
  <c r="I51" i="29"/>
  <c r="I52" i="29"/>
  <c r="I53" i="29"/>
  <c r="I54" i="29"/>
  <c r="I55" i="29"/>
  <c r="I56" i="29"/>
  <c r="I57" i="29"/>
  <c r="I58" i="29"/>
  <c r="I59" i="29"/>
  <c r="I60" i="29"/>
  <c r="I61" i="29"/>
  <c r="I62" i="29"/>
  <c r="I63" i="29"/>
  <c r="I64" i="29"/>
  <c r="I65" i="29"/>
  <c r="I4" i="29"/>
  <c r="E5" i="29"/>
  <c r="E6" i="29"/>
  <c r="E7" i="29"/>
  <c r="E8" i="29"/>
  <c r="E9" i="29"/>
  <c r="E10" i="29"/>
  <c r="E11" i="29"/>
  <c r="E12" i="29"/>
  <c r="E13" i="29"/>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4" i="29"/>
  <c r="G5" i="29"/>
  <c r="G6" i="29"/>
  <c r="G7" i="29"/>
  <c r="G8" i="29"/>
  <c r="G9" i="29"/>
  <c r="G10" i="29"/>
  <c r="G11" i="29"/>
  <c r="G12" i="29"/>
  <c r="G13" i="29"/>
  <c r="G14" i="29"/>
  <c r="G15" i="29"/>
  <c r="G16" i="29"/>
  <c r="G17" i="29"/>
  <c r="G18" i="29"/>
  <c r="G19" i="29"/>
  <c r="G20" i="29"/>
  <c r="G21" i="29"/>
  <c r="G22" i="29"/>
  <c r="G23" i="29"/>
  <c r="G24" i="29"/>
  <c r="G25" i="29"/>
  <c r="G26" i="29"/>
  <c r="G27" i="29"/>
  <c r="G28" i="29"/>
  <c r="G29" i="29"/>
  <c r="G30" i="29"/>
  <c r="G31" i="29"/>
  <c r="G32" i="29"/>
  <c r="G33" i="29"/>
  <c r="G34" i="29"/>
  <c r="G35" i="29"/>
  <c r="G36" i="29"/>
  <c r="G37" i="29"/>
  <c r="G38" i="29"/>
  <c r="G39" i="29"/>
  <c r="G40" i="29"/>
  <c r="G41" i="29"/>
  <c r="G42" i="29"/>
  <c r="G43" i="29"/>
  <c r="G44" i="29"/>
  <c r="G45" i="29"/>
  <c r="G46" i="29"/>
  <c r="G47" i="29"/>
  <c r="G48" i="29"/>
  <c r="G49" i="29"/>
  <c r="G50" i="29"/>
  <c r="G51" i="29"/>
  <c r="G52" i="29"/>
  <c r="G53" i="29"/>
  <c r="G54" i="29"/>
  <c r="G55" i="29"/>
  <c r="G56" i="29"/>
  <c r="G57" i="29"/>
  <c r="G58" i="29"/>
  <c r="G59" i="29"/>
  <c r="G60" i="29"/>
  <c r="G61" i="29"/>
  <c r="G62" i="29"/>
  <c r="G63" i="29"/>
  <c r="G64" i="29"/>
  <c r="G65" i="29"/>
  <c r="G66" i="29"/>
  <c r="G67" i="29"/>
  <c r="G68" i="29"/>
  <c r="G69" i="29"/>
  <c r="G70" i="29"/>
  <c r="G71" i="29"/>
  <c r="G72" i="29"/>
  <c r="G73" i="29"/>
  <c r="G74" i="29"/>
  <c r="G75" i="29"/>
  <c r="G76" i="29"/>
  <c r="G77" i="29"/>
  <c r="G78" i="29"/>
  <c r="G79" i="29"/>
  <c r="G80" i="29"/>
  <c r="G81" i="29"/>
  <c r="G82" i="29"/>
  <c r="G83" i="29"/>
  <c r="G84" i="29"/>
  <c r="G85" i="29"/>
  <c r="G86" i="29"/>
  <c r="G87" i="29"/>
  <c r="G88" i="29"/>
  <c r="G89" i="29"/>
  <c r="G90" i="29"/>
  <c r="G91" i="29"/>
  <c r="G92" i="29"/>
  <c r="G93" i="29"/>
  <c r="G94" i="29"/>
  <c r="G95" i="29"/>
  <c r="G96" i="29"/>
  <c r="G97" i="29"/>
  <c r="G98" i="29"/>
  <c r="G99" i="29"/>
  <c r="G100" i="29"/>
  <c r="G101" i="29"/>
  <c r="G102" i="29"/>
  <c r="G103" i="29"/>
  <c r="G104" i="29"/>
  <c r="G105" i="29"/>
  <c r="G106" i="29"/>
  <c r="G107" i="29"/>
  <c r="G108" i="29"/>
  <c r="G109" i="29"/>
  <c r="G110" i="29"/>
  <c r="G111" i="29"/>
  <c r="G112" i="29"/>
  <c r="G113" i="29"/>
  <c r="G114" i="29"/>
  <c r="G115" i="29"/>
  <c r="G116" i="29"/>
  <c r="G117" i="29"/>
  <c r="G118" i="29"/>
  <c r="G119" i="29"/>
  <c r="G120" i="29"/>
  <c r="G121" i="29"/>
  <c r="G122" i="29"/>
  <c r="G123" i="29"/>
  <c r="G124" i="29"/>
  <c r="G125" i="29"/>
  <c r="G126" i="29"/>
  <c r="G127" i="29"/>
  <c r="G128" i="29"/>
  <c r="G129" i="29"/>
  <c r="G130" i="29"/>
  <c r="G131" i="29"/>
  <c r="G132" i="29"/>
  <c r="G133" i="29"/>
  <c r="G134" i="29"/>
  <c r="G135" i="29"/>
  <c r="G136" i="29"/>
  <c r="G137" i="29"/>
  <c r="G138" i="29"/>
  <c r="G139" i="29"/>
  <c r="G140" i="29"/>
  <c r="G141" i="29"/>
  <c r="G142" i="29"/>
  <c r="G143" i="29"/>
  <c r="G144" i="29"/>
  <c r="G145" i="29"/>
  <c r="G146" i="29"/>
  <c r="G147" i="29"/>
  <c r="G148" i="29"/>
  <c r="G149" i="29"/>
  <c r="G150" i="29"/>
  <c r="G151" i="29"/>
  <c r="G152" i="29"/>
  <c r="G153" i="29"/>
  <c r="G154" i="29"/>
  <c r="G155" i="29"/>
  <c r="G156" i="29"/>
  <c r="G157" i="29"/>
  <c r="G158" i="29"/>
  <c r="G159" i="29"/>
  <c r="G160" i="29"/>
  <c r="G161" i="29"/>
  <c r="G162" i="29"/>
  <c r="G163" i="29"/>
  <c r="G164" i="29"/>
  <c r="G165" i="29"/>
  <c r="G166" i="29"/>
  <c r="G167" i="29"/>
  <c r="G168" i="29"/>
  <c r="G169" i="29"/>
  <c r="G170" i="29"/>
  <c r="G171" i="29"/>
  <c r="G172" i="29"/>
  <c r="G173" i="29"/>
  <c r="G174" i="29"/>
  <c r="G175" i="29"/>
  <c r="G176" i="29"/>
  <c r="G177" i="29"/>
  <c r="G178" i="29"/>
  <c r="G179" i="29"/>
  <c r="G180" i="29"/>
  <c r="G181" i="29"/>
  <c r="G182" i="29"/>
  <c r="G183" i="29"/>
  <c r="G184" i="29"/>
  <c r="G185" i="29"/>
  <c r="G186" i="29"/>
  <c r="G187" i="29"/>
  <c r="G188" i="29"/>
  <c r="G189" i="29"/>
  <c r="G190" i="29"/>
  <c r="G191" i="29"/>
  <c r="G192" i="29"/>
  <c r="G193" i="29"/>
  <c r="G194" i="29"/>
  <c r="G195" i="29"/>
  <c r="G196" i="29"/>
  <c r="G197" i="29"/>
  <c r="G198" i="29"/>
  <c r="G199" i="29"/>
  <c r="G200" i="29"/>
  <c r="G201" i="29"/>
  <c r="G202" i="29"/>
  <c r="G203" i="29"/>
  <c r="G204" i="29"/>
  <c r="G205" i="29"/>
  <c r="G206" i="29"/>
  <c r="G207" i="29"/>
  <c r="G208" i="29"/>
  <c r="G209" i="29"/>
  <c r="G210" i="29"/>
  <c r="G211" i="29"/>
  <c r="G212" i="29"/>
  <c r="G213" i="29"/>
  <c r="G214" i="29"/>
  <c r="G215" i="29"/>
  <c r="G216" i="29"/>
  <c r="G217" i="29"/>
  <c r="G218" i="29"/>
  <c r="G219" i="29"/>
  <c r="G220" i="29"/>
  <c r="G221" i="29"/>
  <c r="G222" i="29"/>
  <c r="G223" i="29"/>
  <c r="G224" i="29"/>
  <c r="AP5" i="16"/>
  <c r="Q5" i="16" s="1" a="1"/>
  <c r="Q5" i="16" s="1"/>
  <c r="AP6" i="16"/>
  <c r="Q6" i="16" s="1" a="1"/>
  <c r="Q6" i="16" s="1"/>
  <c r="AP7" i="16"/>
  <c r="Q7" i="16" s="1" a="1"/>
  <c r="Q7" i="16" s="1"/>
  <c r="AP8" i="16"/>
  <c r="Q8" i="16" s="1" a="1"/>
  <c r="Q8" i="16" s="1"/>
  <c r="AP9" i="16"/>
  <c r="Q9" i="16" s="1" a="1"/>
  <c r="Q9" i="16" s="1"/>
  <c r="AP10" i="16"/>
  <c r="Q10" i="16" s="1" a="1"/>
  <c r="Q10" i="16" s="1"/>
  <c r="AP11" i="16"/>
  <c r="Q11" i="16" s="1" a="1"/>
  <c r="Q11" i="16" s="1"/>
  <c r="AP12" i="16"/>
  <c r="Q12" i="16" s="1" a="1"/>
  <c r="Q12" i="16" s="1"/>
  <c r="AP13" i="16"/>
  <c r="Q13" i="16" s="1" a="1"/>
  <c r="Q13" i="16" s="1"/>
  <c r="AP14" i="16"/>
  <c r="Q14" i="16" s="1" a="1"/>
  <c r="Q14" i="16" s="1"/>
  <c r="AP15" i="16"/>
  <c r="Q15" i="16" s="1" a="1"/>
  <c r="Q15" i="16" s="1"/>
  <c r="AP16" i="16"/>
  <c r="Q16" i="16" s="1" a="1"/>
  <c r="Q16" i="16" s="1"/>
  <c r="AP17" i="16"/>
  <c r="Q17" i="16" s="1" a="1"/>
  <c r="Q17" i="16" s="1"/>
  <c r="AP18" i="16"/>
  <c r="Q18" i="16" s="1" a="1"/>
  <c r="Q18" i="16" s="1"/>
  <c r="AP19" i="16"/>
  <c r="Q19" i="16" s="1" a="1"/>
  <c r="Q19" i="16" s="1"/>
  <c r="AP20" i="16"/>
  <c r="Q20" i="16" s="1" a="1"/>
  <c r="Q20" i="16" s="1"/>
  <c r="AP21" i="16"/>
  <c r="Q21" i="16" s="1" a="1"/>
  <c r="Q21" i="16" s="1"/>
  <c r="AP22" i="16"/>
  <c r="Q22" i="16" s="1" a="1"/>
  <c r="Q22" i="16" s="1"/>
  <c r="AP23" i="16"/>
  <c r="Q23" i="16" s="1" a="1"/>
  <c r="Q23" i="16" s="1"/>
  <c r="AP24" i="16"/>
  <c r="Q24" i="16" s="1" a="1"/>
  <c r="Q24" i="16" s="1"/>
  <c r="AP25" i="16"/>
  <c r="Q25" i="16" s="1" a="1"/>
  <c r="Q25" i="16" s="1"/>
  <c r="AP26" i="16"/>
  <c r="Q26" i="16" s="1" a="1"/>
  <c r="Q26" i="16" s="1"/>
  <c r="AP27" i="16"/>
  <c r="Q27" i="16" s="1" a="1"/>
  <c r="Q27" i="16" s="1"/>
  <c r="AP28" i="16"/>
  <c r="Q28" i="16" s="1" a="1"/>
  <c r="Q28" i="16" s="1"/>
  <c r="AP29" i="16"/>
  <c r="Q29" i="16" s="1" a="1"/>
  <c r="Q29" i="16" s="1"/>
  <c r="AP30" i="16"/>
  <c r="Q30" i="16" s="1" a="1"/>
  <c r="Q30" i="16" s="1"/>
  <c r="AP31" i="16"/>
  <c r="Q31" i="16" s="1" a="1"/>
  <c r="Q31" i="16" s="1"/>
  <c r="AP32" i="16"/>
  <c r="Q32" i="16" s="1" a="1"/>
  <c r="Q32" i="16" s="1"/>
  <c r="AP33" i="16"/>
  <c r="Q33" i="16" s="1" a="1"/>
  <c r="Q33" i="16" s="1"/>
  <c r="AP34" i="16"/>
  <c r="Q34" i="16" s="1" a="1"/>
  <c r="Q34" i="16" s="1"/>
  <c r="AP35" i="16"/>
  <c r="Q35" i="16" s="1" a="1"/>
  <c r="Q35" i="16" s="1"/>
  <c r="AP36" i="16"/>
  <c r="Q36" i="16" s="1" a="1"/>
  <c r="Q36" i="16" s="1"/>
  <c r="AP37" i="16"/>
  <c r="Q37" i="16" s="1" a="1"/>
  <c r="Q37" i="16" s="1"/>
  <c r="AP38" i="16"/>
  <c r="Q38" i="16" s="1" a="1"/>
  <c r="Q38" i="16" s="1"/>
  <c r="AP39" i="16"/>
  <c r="Q39" i="16" s="1" a="1"/>
  <c r="Q39" i="16" s="1"/>
  <c r="AP40" i="16"/>
  <c r="Q40" i="16" s="1" a="1"/>
  <c r="Q40" i="16" s="1"/>
  <c r="AP41" i="16"/>
  <c r="Q41" i="16" s="1" a="1"/>
  <c r="Q41" i="16" s="1"/>
  <c r="AP42" i="16"/>
  <c r="Q42" i="16" s="1" a="1"/>
  <c r="Q42" i="16" s="1"/>
  <c r="AP43" i="16"/>
  <c r="Q43" i="16" s="1" a="1"/>
  <c r="Q43" i="16" s="1"/>
  <c r="AP44" i="16"/>
  <c r="Q44" i="16" s="1" a="1"/>
  <c r="Q44" i="16" s="1"/>
  <c r="AP45" i="16"/>
  <c r="Q45" i="16" s="1" a="1"/>
  <c r="Q45" i="16" s="1"/>
  <c r="AP46" i="16"/>
  <c r="Q46" i="16" s="1" a="1"/>
  <c r="Q46" i="16" s="1"/>
  <c r="AP47" i="16"/>
  <c r="Q47" i="16" s="1" a="1"/>
  <c r="Q47" i="16" s="1"/>
  <c r="AP48" i="16"/>
  <c r="Q48" i="16" s="1" a="1"/>
  <c r="Q48" i="16" s="1"/>
  <c r="AP49" i="16"/>
  <c r="Q49" i="16" s="1" a="1"/>
  <c r="Q49" i="16" s="1"/>
  <c r="AP50" i="16"/>
  <c r="Q50" i="16" s="1" a="1"/>
  <c r="Q50" i="16" s="1"/>
  <c r="AP51" i="16"/>
  <c r="Q51" i="16" s="1" a="1"/>
  <c r="Q51" i="16" s="1"/>
  <c r="AP52" i="16"/>
  <c r="Q52" i="16" s="1" a="1"/>
  <c r="Q52" i="16" s="1"/>
  <c r="AP53" i="16"/>
  <c r="Q53" i="16" s="1" a="1"/>
  <c r="Q53" i="16" s="1"/>
  <c r="AP54" i="16"/>
  <c r="Q54" i="16" s="1" a="1"/>
  <c r="Q54" i="16" s="1"/>
  <c r="AP55" i="16"/>
  <c r="Q55" i="16" s="1" a="1"/>
  <c r="Q55" i="16" s="1"/>
  <c r="AP56" i="16"/>
  <c r="Q56" i="16" s="1" a="1"/>
  <c r="Q56" i="16" s="1"/>
  <c r="AP57" i="16"/>
  <c r="Q57" i="16" s="1" a="1"/>
  <c r="Q57" i="16" s="1"/>
  <c r="AP58" i="16"/>
  <c r="Q58" i="16" s="1" a="1"/>
  <c r="Q58" i="16" s="1"/>
  <c r="AP59" i="16"/>
  <c r="Q59" i="16" s="1" a="1"/>
  <c r="Q59" i="16" s="1"/>
  <c r="AP60" i="16"/>
  <c r="Q60" i="16" s="1" a="1"/>
  <c r="Q60" i="16" s="1"/>
  <c r="AP61" i="16"/>
  <c r="Q61" i="16" s="1" a="1"/>
  <c r="Q61" i="16" s="1"/>
  <c r="AP62" i="16"/>
  <c r="Q62" i="16" s="1" a="1"/>
  <c r="Q62" i="16" s="1"/>
  <c r="AP63" i="16"/>
  <c r="Q63" i="16" s="1" a="1"/>
  <c r="Q63" i="16" s="1"/>
  <c r="AP64" i="16"/>
  <c r="Q64" i="16" s="1" a="1"/>
  <c r="Q64" i="16" s="1"/>
  <c r="AP65" i="16"/>
  <c r="Q65" i="16" s="1" a="1"/>
  <c r="Q65" i="16" s="1"/>
  <c r="AP66" i="16"/>
  <c r="Q66" i="16" s="1" a="1"/>
  <c r="Q66" i="16" s="1"/>
  <c r="AP67" i="16"/>
  <c r="Q67" i="16" s="1" a="1"/>
  <c r="Q67" i="16" s="1"/>
  <c r="AP68" i="16"/>
  <c r="Q68" i="16" s="1" a="1"/>
  <c r="Q68" i="16" s="1"/>
  <c r="AP69" i="16"/>
  <c r="Q69" i="16" s="1" a="1"/>
  <c r="Q69" i="16" s="1"/>
  <c r="AP70" i="16"/>
  <c r="Q70" i="16" s="1" a="1"/>
  <c r="Q70" i="16" s="1"/>
  <c r="AP71" i="16"/>
  <c r="Q71" i="16" s="1" a="1"/>
  <c r="Q71" i="16" s="1"/>
  <c r="AP72" i="16"/>
  <c r="Q72" i="16" s="1" a="1"/>
  <c r="Q72" i="16" s="1"/>
  <c r="AP73" i="16"/>
  <c r="Q73" i="16" s="1" a="1"/>
  <c r="Q73" i="16" s="1"/>
  <c r="AP74" i="16"/>
  <c r="Q74" i="16" s="1" a="1"/>
  <c r="Q74" i="16" s="1"/>
  <c r="AP75" i="16"/>
  <c r="Q75" i="16" s="1" a="1"/>
  <c r="Q75" i="16" s="1"/>
  <c r="AP76" i="16"/>
  <c r="Q76" i="16" s="1" a="1"/>
  <c r="Q76" i="16" s="1"/>
  <c r="AP77" i="16"/>
  <c r="Q77" i="16" s="1" a="1"/>
  <c r="Q77" i="16" s="1"/>
  <c r="AP78" i="16"/>
  <c r="Q78" i="16" s="1" a="1"/>
  <c r="Q78" i="16" s="1"/>
  <c r="AP79" i="16"/>
  <c r="Q79" i="16" s="1" a="1"/>
  <c r="Q79" i="16" s="1"/>
  <c r="AP80" i="16"/>
  <c r="Q80" i="16" s="1" a="1"/>
  <c r="Q80" i="16" s="1"/>
  <c r="AP81" i="16"/>
  <c r="Q81" i="16" s="1" a="1"/>
  <c r="Q81" i="16" s="1"/>
  <c r="AP82" i="16"/>
  <c r="Q82" i="16" s="1" a="1"/>
  <c r="Q82" i="16" s="1"/>
  <c r="AP83" i="16"/>
  <c r="Q83" i="16" s="1" a="1"/>
  <c r="Q83" i="16" s="1"/>
  <c r="AP84" i="16"/>
  <c r="Q84" i="16" s="1" a="1"/>
  <c r="Q84" i="16" s="1"/>
  <c r="AP85" i="16"/>
  <c r="Q85" i="16" s="1" a="1"/>
  <c r="Q85" i="16" s="1"/>
  <c r="AP86" i="16"/>
  <c r="Q86" i="16" s="1" a="1"/>
  <c r="Q86" i="16" s="1"/>
  <c r="AP87" i="16"/>
  <c r="Q87" i="16" s="1" a="1"/>
  <c r="Q87" i="16" s="1"/>
  <c r="AP88" i="16"/>
  <c r="Q88" i="16" s="1" a="1"/>
  <c r="Q88" i="16" s="1"/>
  <c r="AP89" i="16"/>
  <c r="Q89" i="16" s="1" a="1"/>
  <c r="Q89" i="16" s="1"/>
  <c r="AP90" i="16"/>
  <c r="Q90" i="16" s="1" a="1"/>
  <c r="Q90" i="16" s="1"/>
  <c r="AP91" i="16"/>
  <c r="Q91" i="16" s="1" a="1"/>
  <c r="Q91" i="16" s="1"/>
  <c r="AP92" i="16"/>
  <c r="Q92" i="16" s="1" a="1"/>
  <c r="Q92" i="16" s="1"/>
  <c r="AP93" i="16"/>
  <c r="Q93" i="16" s="1" a="1"/>
  <c r="Q93" i="16" s="1"/>
  <c r="AP94" i="16"/>
  <c r="Q94" i="16" s="1" a="1"/>
  <c r="Q94" i="16" s="1"/>
  <c r="AP95" i="16"/>
  <c r="Q95" i="16" s="1" a="1"/>
  <c r="Q95" i="16" s="1"/>
  <c r="AP96" i="16"/>
  <c r="Q96" i="16" s="1" a="1"/>
  <c r="Q96" i="16" s="1"/>
  <c r="AP97" i="16"/>
  <c r="Q97" i="16" s="1" a="1"/>
  <c r="Q97" i="16" s="1"/>
  <c r="AP98" i="16"/>
  <c r="Q98" i="16" s="1" a="1"/>
  <c r="Q98" i="16" s="1"/>
  <c r="AP99" i="16"/>
  <c r="Q99" i="16" s="1" a="1"/>
  <c r="Q99" i="16" s="1"/>
  <c r="AP100" i="16"/>
  <c r="Q100" i="16" s="1" a="1"/>
  <c r="Q100" i="16" s="1"/>
  <c r="AP101" i="16"/>
  <c r="Q101" i="16" s="1" a="1"/>
  <c r="Q101" i="16" s="1"/>
  <c r="AP102" i="16"/>
  <c r="Q102" i="16" s="1" a="1"/>
  <c r="Q102" i="16" s="1"/>
  <c r="AP103" i="16"/>
  <c r="Q103" i="16" s="1" a="1"/>
  <c r="Q103" i="16" s="1"/>
  <c r="AP104" i="16"/>
  <c r="Q104" i="16" s="1" a="1"/>
  <c r="Q104" i="16" s="1"/>
  <c r="AP105" i="16"/>
  <c r="Q105" i="16" s="1" a="1"/>
  <c r="Q105" i="16" s="1"/>
  <c r="AP106" i="16"/>
  <c r="Q106" i="16" s="1" a="1"/>
  <c r="Q106" i="16" s="1"/>
  <c r="AP107" i="16"/>
  <c r="Q107" i="16" s="1" a="1"/>
  <c r="Q107" i="16" s="1"/>
  <c r="AP108" i="16"/>
  <c r="Q108" i="16" s="1" a="1"/>
  <c r="Q108" i="16" s="1"/>
  <c r="AP109" i="16"/>
  <c r="Q109" i="16" s="1" a="1"/>
  <c r="Q109" i="16" s="1"/>
  <c r="AP110" i="16"/>
  <c r="Q110" i="16" s="1" a="1"/>
  <c r="Q110" i="16" s="1"/>
  <c r="AP111" i="16"/>
  <c r="Q111" i="16" s="1" a="1"/>
  <c r="Q111" i="16" s="1"/>
  <c r="AP112" i="16"/>
  <c r="Q112" i="16" s="1" a="1"/>
  <c r="Q112" i="16" s="1"/>
  <c r="AP113" i="16"/>
  <c r="Q113" i="16" s="1" a="1"/>
  <c r="Q113" i="16" s="1"/>
  <c r="AP114" i="16"/>
  <c r="Q114" i="16" s="1" a="1"/>
  <c r="Q114" i="16" s="1"/>
  <c r="AP115" i="16"/>
  <c r="Q115" i="16" s="1" a="1"/>
  <c r="Q115" i="16" s="1"/>
  <c r="AP116" i="16"/>
  <c r="Q116" i="16" s="1" a="1"/>
  <c r="Q116" i="16" s="1"/>
  <c r="AP117" i="16"/>
  <c r="Q117" i="16" s="1" a="1"/>
  <c r="Q117" i="16" s="1"/>
  <c r="AP118" i="16"/>
  <c r="Q118" i="16" s="1" a="1"/>
  <c r="Q118" i="16" s="1"/>
  <c r="AP119" i="16"/>
  <c r="Q119" i="16" s="1" a="1"/>
  <c r="Q119" i="16" s="1"/>
  <c r="AP120" i="16"/>
  <c r="Q120" i="16" s="1" a="1"/>
  <c r="Q120" i="16" s="1"/>
  <c r="AP121" i="16"/>
  <c r="Q121" i="16" s="1" a="1"/>
  <c r="Q121" i="16" s="1"/>
  <c r="AP122" i="16"/>
  <c r="Q122" i="16" s="1" a="1"/>
  <c r="Q122" i="16" s="1"/>
  <c r="AP123" i="16"/>
  <c r="Q123" i="16" s="1" a="1"/>
  <c r="Q123" i="16" s="1"/>
  <c r="AP124" i="16"/>
  <c r="Q124" i="16" s="1" a="1"/>
  <c r="Q124" i="16" s="1"/>
  <c r="AP125" i="16"/>
  <c r="Q125" i="16" s="1" a="1"/>
  <c r="Q125" i="16" s="1"/>
  <c r="AP126" i="16"/>
  <c r="Q126" i="16" s="1" a="1"/>
  <c r="Q126" i="16" s="1"/>
  <c r="AP127" i="16"/>
  <c r="Q127" i="16" s="1" a="1"/>
  <c r="Q127" i="16" s="1"/>
  <c r="AP128" i="16"/>
  <c r="Q128" i="16" s="1" a="1"/>
  <c r="Q128" i="16" s="1"/>
  <c r="AP129" i="16"/>
  <c r="Q129" i="16" s="1" a="1"/>
  <c r="Q129" i="16" s="1"/>
  <c r="AP130" i="16"/>
  <c r="Q130" i="16" s="1" a="1"/>
  <c r="Q130" i="16" s="1"/>
  <c r="AP131" i="16"/>
  <c r="Q131" i="16" s="1" a="1"/>
  <c r="Q131" i="16" s="1"/>
  <c r="AP132" i="16"/>
  <c r="Q132" i="16" s="1" a="1"/>
  <c r="Q132" i="16" s="1"/>
  <c r="AP133" i="16"/>
  <c r="Q133" i="16" s="1" a="1"/>
  <c r="Q133" i="16" s="1"/>
  <c r="AP134" i="16"/>
  <c r="Q134" i="16" s="1" a="1"/>
  <c r="Q134" i="16" s="1"/>
  <c r="AP135" i="16"/>
  <c r="Q135" i="16" s="1" a="1"/>
  <c r="Q135" i="16" s="1"/>
  <c r="AP136" i="16"/>
  <c r="Q136" i="16" s="1" a="1"/>
  <c r="Q136" i="16" s="1"/>
  <c r="AP137" i="16"/>
  <c r="Q137" i="16" s="1" a="1"/>
  <c r="Q137" i="16" s="1"/>
  <c r="AP138" i="16"/>
  <c r="Q138" i="16" s="1" a="1"/>
  <c r="Q138" i="16" s="1"/>
  <c r="AP139" i="16"/>
  <c r="Q139" i="16" s="1" a="1"/>
  <c r="Q139" i="16" s="1"/>
  <c r="AP140" i="16"/>
  <c r="AP141" i="16"/>
  <c r="Q141" i="16" s="1" a="1"/>
  <c r="Q141" i="16" s="1"/>
  <c r="AP142" i="16"/>
  <c r="Q142" i="16" s="1" a="1"/>
  <c r="Q142" i="16" s="1"/>
  <c r="AP143" i="16"/>
  <c r="Q143" i="16" s="1" a="1"/>
  <c r="Q143" i="16" s="1"/>
  <c r="AP4" i="16"/>
  <c r="Q4" i="16" s="1" a="1"/>
  <c r="Q4" i="16" s="1"/>
  <c r="G4" i="29"/>
  <c r="R9" i="16"/>
  <c r="R8" i="16"/>
  <c r="R7" i="16"/>
  <c r="R6" i="16"/>
  <c r="R5" i="16"/>
  <c r="G228" i="13"/>
  <c r="G227" i="13" s="1"/>
  <c r="G225" i="13"/>
  <c r="G221" i="13"/>
  <c r="G215" i="13"/>
  <c r="G208" i="13"/>
  <c r="G200" i="13"/>
  <c r="G197" i="13"/>
  <c r="G193" i="13"/>
  <c r="G190" i="13"/>
  <c r="G187" i="13"/>
  <c r="G184" i="13"/>
  <c r="G178" i="13"/>
  <c r="G177" i="13" s="1"/>
  <c r="G171" i="13"/>
  <c r="G167" i="13"/>
  <c r="G160" i="13"/>
  <c r="G154" i="13"/>
  <c r="G149" i="13"/>
  <c r="G144" i="13"/>
  <c r="G143" i="13" s="1"/>
  <c r="G142" i="13" s="1"/>
  <c r="G141" i="13" s="1"/>
  <c r="G137" i="13"/>
  <c r="G134" i="13"/>
  <c r="G131" i="13"/>
  <c r="G128" i="13"/>
  <c r="G125" i="13"/>
  <c r="G118" i="13"/>
  <c r="G113" i="13"/>
  <c r="G108" i="13"/>
  <c r="G102" i="13"/>
  <c r="G95" i="13"/>
  <c r="G91" i="13"/>
  <c r="G86" i="13"/>
  <c r="G82" i="13"/>
  <c r="G78" i="13"/>
  <c r="G70" i="13"/>
  <c r="G69" i="13" s="1"/>
  <c r="G68" i="13" s="1"/>
  <c r="G65" i="13"/>
  <c r="G64" i="13" s="1"/>
  <c r="G63" i="13" s="1"/>
  <c r="G62" i="13" s="1"/>
  <c r="G54" i="13"/>
  <c r="G53" i="13" s="1"/>
  <c r="G48" i="13"/>
  <c r="G41" i="13"/>
  <c r="G33" i="13"/>
  <c r="G29" i="13"/>
  <c r="G28" i="13" s="1"/>
  <c r="G24" i="13"/>
  <c r="G20" i="13"/>
  <c r="Y217" i="13"/>
  <c r="H330" i="11"/>
  <c r="G32" i="13" l="1"/>
  <c r="G77" i="13"/>
  <c r="G76" i="13" s="1"/>
  <c r="G19" i="13"/>
  <c r="G148" i="13"/>
  <c r="G147" i="13" s="1"/>
  <c r="G124" i="13"/>
  <c r="G123" i="13" s="1"/>
  <c r="G183" i="13"/>
  <c r="G182" i="13" s="1"/>
  <c r="G166" i="13"/>
  <c r="G165" i="13" s="1"/>
  <c r="G207" i="13"/>
  <c r="G206" i="13" s="1"/>
  <c r="G205" i="13" s="1"/>
  <c r="G204" i="13" s="1"/>
  <c r="Q140" i="16" a="1"/>
  <c r="Q140" i="16" s="1"/>
  <c r="R144" i="16"/>
  <c r="E145" i="29"/>
  <c r="T10" i="23" a="1"/>
  <c r="T10" i="23" s="1"/>
  <c r="Y112" i="13"/>
  <c r="Y47" i="13"/>
  <c r="G18" i="13" l="1"/>
  <c r="G17" i="13" s="1"/>
  <c r="G16" i="13" s="1"/>
  <c r="G15" i="13" s="1"/>
  <c r="G146" i="13"/>
  <c r="G67" i="13"/>
  <c r="C33" i="14"/>
  <c r="O4" i="23"/>
  <c r="H511" i="10"/>
  <c r="M16" i="24"/>
  <c r="G61" i="13" l="1"/>
  <c r="G60" i="13" s="1"/>
  <c r="G14" i="13" s="1"/>
  <c r="O9" i="23"/>
  <c r="O7" i="23"/>
  <c r="O2" i="23"/>
  <c r="O5" i="23"/>
  <c r="BA4" i="16"/>
  <c r="BA5" i="16"/>
  <c r="BA6" i="16"/>
  <c r="BA7" i="16"/>
  <c r="BA8" i="16"/>
  <c r="BA9" i="16"/>
  <c r="BA10" i="16"/>
  <c r="BA11" i="16"/>
  <c r="BA12" i="16"/>
  <c r="BA13" i="16"/>
  <c r="BA14" i="16"/>
  <c r="BA15" i="16"/>
  <c r="BA16" i="16"/>
  <c r="BA17" i="16"/>
  <c r="BA18" i="16"/>
  <c r="BA19" i="16"/>
  <c r="BA20" i="16"/>
  <c r="BA21" i="16"/>
  <c r="BA22" i="16"/>
  <c r="BA23" i="16"/>
  <c r="BA24" i="16"/>
  <c r="BA25" i="16"/>
  <c r="BA26" i="16"/>
  <c r="BA27" i="16"/>
  <c r="BA28" i="16"/>
  <c r="BA29" i="16"/>
  <c r="BA30" i="16"/>
  <c r="BA31" i="16"/>
  <c r="BA32" i="16"/>
  <c r="BA33" i="16"/>
  <c r="BA34" i="16"/>
  <c r="BA35" i="16"/>
  <c r="BA36" i="16"/>
  <c r="BA37" i="16"/>
  <c r="BA38" i="16"/>
  <c r="BA39" i="16"/>
  <c r="BA40" i="16"/>
  <c r="BA41" i="16"/>
  <c r="BA42" i="16"/>
  <c r="BA43" i="16"/>
  <c r="BA44" i="16"/>
  <c r="BA45" i="16"/>
  <c r="BA46" i="16"/>
  <c r="BA47" i="16"/>
  <c r="BA48" i="16"/>
  <c r="BA49" i="16"/>
  <c r="BA50" i="16"/>
  <c r="BA51" i="16"/>
  <c r="BA52" i="16"/>
  <c r="BA53" i="16"/>
  <c r="BA54" i="16"/>
  <c r="BA56" i="16"/>
  <c r="BA57" i="16"/>
  <c r="BA58" i="16"/>
  <c r="BA59" i="16"/>
  <c r="BA60" i="16"/>
  <c r="BA61" i="16"/>
  <c r="BA62" i="16"/>
  <c r="BA63" i="16"/>
  <c r="BA64" i="16"/>
  <c r="BA65" i="16"/>
  <c r="BA66" i="16"/>
  <c r="BA67" i="16"/>
  <c r="BA68" i="16"/>
  <c r="BA69" i="16"/>
  <c r="BA70" i="16"/>
  <c r="BA71" i="16"/>
  <c r="BA72" i="16"/>
  <c r="BA73" i="16"/>
  <c r="BA74" i="16"/>
  <c r="BA75" i="16"/>
  <c r="BA76" i="16"/>
  <c r="BA77" i="16"/>
  <c r="BA78" i="16"/>
  <c r="BA79" i="16"/>
  <c r="BA80" i="16"/>
  <c r="BA81" i="16"/>
  <c r="BA82" i="16"/>
  <c r="BA83" i="16"/>
  <c r="BA84" i="16"/>
  <c r="BA85" i="16"/>
  <c r="BA86" i="16"/>
  <c r="BA87" i="16"/>
  <c r="BA88" i="16"/>
  <c r="BA89" i="16"/>
  <c r="BA90" i="16"/>
  <c r="BA91" i="16"/>
  <c r="BA92" i="16"/>
  <c r="BA93" i="16"/>
  <c r="BA94" i="16"/>
  <c r="BA95" i="16"/>
  <c r="BA96" i="16"/>
  <c r="BA97" i="16"/>
  <c r="BA98" i="16"/>
  <c r="BA99" i="16"/>
  <c r="BA100" i="16"/>
  <c r="BA101" i="16"/>
  <c r="BA102" i="16"/>
  <c r="BA103" i="16"/>
  <c r="BA104" i="16"/>
  <c r="BA105" i="16"/>
  <c r="BA106" i="16"/>
  <c r="BA107" i="16"/>
  <c r="BA108" i="16"/>
  <c r="BA109" i="16"/>
  <c r="BA110" i="16"/>
  <c r="BA111" i="16"/>
  <c r="BA112" i="16"/>
  <c r="BA113" i="16"/>
  <c r="BA114" i="16"/>
  <c r="BA115" i="16"/>
  <c r="BA116" i="16"/>
  <c r="BA117" i="16"/>
  <c r="BA118" i="16"/>
  <c r="BA119" i="16"/>
  <c r="BA120" i="16"/>
  <c r="BA121" i="16"/>
  <c r="BA122" i="16"/>
  <c r="BA123" i="16"/>
  <c r="BA124" i="16"/>
  <c r="BA125" i="16"/>
  <c r="BA126" i="16"/>
  <c r="BA127" i="16"/>
  <c r="BA128" i="16"/>
  <c r="BA129" i="16"/>
  <c r="BA130" i="16"/>
  <c r="BA131" i="16"/>
  <c r="BA132" i="16"/>
  <c r="BA133" i="16"/>
  <c r="BA134" i="16"/>
  <c r="BA135" i="16"/>
  <c r="BA136" i="16"/>
  <c r="BA137" i="16"/>
  <c r="BA138" i="16"/>
  <c r="BA139" i="16"/>
  <c r="BA140" i="16"/>
  <c r="BA141" i="16"/>
  <c r="BA142" i="16"/>
  <c r="BA143" i="16"/>
  <c r="AZ4" i="16"/>
  <c r="AZ5" i="16"/>
  <c r="AZ6" i="16"/>
  <c r="AZ7" i="16"/>
  <c r="AZ8" i="16"/>
  <c r="AZ9" i="16"/>
  <c r="AZ10" i="16"/>
  <c r="AZ11" i="16"/>
  <c r="AZ12" i="16"/>
  <c r="AZ13" i="16"/>
  <c r="AZ14" i="16"/>
  <c r="AZ15" i="16"/>
  <c r="AZ16" i="16"/>
  <c r="AZ17" i="16"/>
  <c r="AZ18" i="16"/>
  <c r="AZ19" i="16"/>
  <c r="AZ20" i="16"/>
  <c r="AZ21" i="16"/>
  <c r="AZ22" i="16"/>
  <c r="AZ23" i="16"/>
  <c r="AZ24" i="16"/>
  <c r="AZ25" i="16"/>
  <c r="AZ26" i="16"/>
  <c r="AZ27" i="16"/>
  <c r="AZ28" i="16"/>
  <c r="AZ29" i="16"/>
  <c r="AZ30" i="16"/>
  <c r="AZ31" i="16"/>
  <c r="AZ32" i="16"/>
  <c r="AZ33" i="16"/>
  <c r="AZ34" i="16"/>
  <c r="AZ35" i="16"/>
  <c r="AZ36" i="16"/>
  <c r="AZ37" i="16"/>
  <c r="AZ38" i="16"/>
  <c r="AZ39" i="16"/>
  <c r="AZ40" i="16"/>
  <c r="AZ41" i="16"/>
  <c r="AZ42" i="16"/>
  <c r="AZ43" i="16"/>
  <c r="AZ44" i="16"/>
  <c r="AZ45" i="16"/>
  <c r="AZ46" i="16"/>
  <c r="AZ47" i="16"/>
  <c r="AZ48" i="16"/>
  <c r="AZ49" i="16"/>
  <c r="AZ50" i="16"/>
  <c r="AZ51" i="16"/>
  <c r="AZ52" i="16"/>
  <c r="AZ53" i="16"/>
  <c r="AZ54" i="16"/>
  <c r="AZ56" i="16"/>
  <c r="AZ57" i="16"/>
  <c r="AZ58" i="16"/>
  <c r="AZ59" i="16"/>
  <c r="AZ60" i="16"/>
  <c r="AZ61" i="16"/>
  <c r="AZ62" i="16"/>
  <c r="AZ63" i="16"/>
  <c r="AZ64" i="16"/>
  <c r="AZ65" i="16"/>
  <c r="AZ66" i="16"/>
  <c r="AZ67" i="16"/>
  <c r="AZ68" i="16"/>
  <c r="AZ69" i="16"/>
  <c r="AZ70" i="16"/>
  <c r="AZ71" i="16"/>
  <c r="AZ72" i="16"/>
  <c r="AZ73" i="16"/>
  <c r="AZ74" i="16"/>
  <c r="AZ75" i="16"/>
  <c r="AZ76" i="16"/>
  <c r="AZ77" i="16"/>
  <c r="AZ78" i="16"/>
  <c r="AZ79" i="16"/>
  <c r="AZ80" i="16"/>
  <c r="AZ81" i="16"/>
  <c r="AZ82" i="16"/>
  <c r="AZ83" i="16"/>
  <c r="AZ84" i="16"/>
  <c r="AZ85" i="16"/>
  <c r="AZ86" i="16"/>
  <c r="AZ87" i="16"/>
  <c r="AZ88" i="16"/>
  <c r="AZ89" i="16"/>
  <c r="AZ90" i="16"/>
  <c r="AZ91" i="16"/>
  <c r="AZ92" i="16"/>
  <c r="AZ93" i="16"/>
  <c r="BA144" i="16" l="1"/>
  <c r="BH20" i="13"/>
  <c r="BH24" i="13"/>
  <c r="BH19" i="13" s="1"/>
  <c r="BH29" i="13"/>
  <c r="BH28" i="13" s="1"/>
  <c r="BH33" i="13"/>
  <c r="BH41" i="13"/>
  <c r="BH48" i="13"/>
  <c r="BH54" i="13"/>
  <c r="BH53" i="13" s="1"/>
  <c r="BH65" i="13"/>
  <c r="BH64" i="13" s="1"/>
  <c r="BH63" i="13" s="1"/>
  <c r="BH62" i="13" s="1"/>
  <c r="BH70" i="13"/>
  <c r="BH69" i="13" s="1"/>
  <c r="BH68" i="13" s="1"/>
  <c r="BH78" i="13"/>
  <c r="BH82" i="13"/>
  <c r="BH86" i="13"/>
  <c r="BH91" i="13"/>
  <c r="BH95" i="13"/>
  <c r="BH102" i="13"/>
  <c r="BH108" i="13"/>
  <c r="BH113" i="13"/>
  <c r="BH118" i="13"/>
  <c r="BH125" i="13"/>
  <c r="BH128" i="13"/>
  <c r="BH131" i="13"/>
  <c r="BH134" i="13"/>
  <c r="BH137" i="13"/>
  <c r="BH144" i="13"/>
  <c r="BH143" i="13" s="1"/>
  <c r="BH142" i="13" s="1"/>
  <c r="BH141" i="13" s="1"/>
  <c r="BH149" i="13"/>
  <c r="BH154" i="13"/>
  <c r="BH160" i="13"/>
  <c r="BH167" i="13"/>
  <c r="BH171" i="13"/>
  <c r="BH178" i="13"/>
  <c r="BH177" i="13" s="1"/>
  <c r="BH184" i="13"/>
  <c r="BH187" i="13"/>
  <c r="BH190" i="13"/>
  <c r="BH193" i="13"/>
  <c r="BH197" i="13"/>
  <c r="BH200" i="13"/>
  <c r="BH208" i="13"/>
  <c r="BH215" i="13"/>
  <c r="BH221" i="13"/>
  <c r="BH225" i="13"/>
  <c r="BH228" i="13"/>
  <c r="BH227" i="13" s="1"/>
  <c r="BH207" i="13" l="1"/>
  <c r="BH206" i="13" s="1"/>
  <c r="BH205" i="13" s="1"/>
  <c r="BH204" i="13" s="1"/>
  <c r="BH148" i="13"/>
  <c r="BH147" i="13" s="1"/>
  <c r="BH183" i="13"/>
  <c r="BH182" i="13" s="1"/>
  <c r="BH166" i="13"/>
  <c r="BH165" i="13" s="1"/>
  <c r="BH124" i="13"/>
  <c r="BH123" i="13" s="1"/>
  <c r="BH77" i="13"/>
  <c r="BH76" i="13" s="1"/>
  <c r="BH32" i="13"/>
  <c r="BH18" i="13" s="1"/>
  <c r="BH17" i="13" s="1"/>
  <c r="BH16" i="13" s="1"/>
  <c r="BH15" i="13" s="1"/>
  <c r="O3" i="23"/>
  <c r="Y107" i="13"/>
  <c r="J246" i="20"/>
  <c r="Y220" i="13"/>
  <c r="J247" i="20"/>
  <c r="BH146" i="13" l="1"/>
  <c r="BH67" i="13"/>
  <c r="Y59" i="13"/>
  <c r="F70" i="13"/>
  <c r="F69" i="13" s="1"/>
  <c r="W185" i="13"/>
  <c r="W135" i="13"/>
  <c r="AY4" i="16"/>
  <c r="AY5" i="16"/>
  <c r="AY6" i="16"/>
  <c r="AY7" i="16"/>
  <c r="AY8" i="16"/>
  <c r="AY9" i="16"/>
  <c r="AY10" i="16"/>
  <c r="AY11" i="16"/>
  <c r="AY12" i="16"/>
  <c r="AY13" i="16"/>
  <c r="AY14" i="16"/>
  <c r="AY15" i="16"/>
  <c r="AY16" i="16"/>
  <c r="AY17" i="16"/>
  <c r="AY18" i="16"/>
  <c r="AY19" i="16"/>
  <c r="AY20" i="16"/>
  <c r="AY21" i="16"/>
  <c r="AY22" i="16"/>
  <c r="AY23" i="16"/>
  <c r="AY24" i="16"/>
  <c r="AY25" i="16"/>
  <c r="AY26" i="16"/>
  <c r="AY27" i="16"/>
  <c r="AY28" i="16"/>
  <c r="AY29" i="16"/>
  <c r="AY30" i="16"/>
  <c r="AY31" i="16"/>
  <c r="AY32" i="16"/>
  <c r="AY33" i="16"/>
  <c r="AY34" i="16"/>
  <c r="AY35" i="16"/>
  <c r="AY36" i="16"/>
  <c r="AY37" i="16"/>
  <c r="AY38" i="16"/>
  <c r="AY39" i="16"/>
  <c r="AY40" i="16"/>
  <c r="AY41" i="16"/>
  <c r="AY42" i="16"/>
  <c r="AY43" i="16"/>
  <c r="AY44" i="16"/>
  <c r="AY45" i="16"/>
  <c r="AY46" i="16"/>
  <c r="AY47" i="16"/>
  <c r="AY48" i="16"/>
  <c r="AY49" i="16"/>
  <c r="AY50" i="16"/>
  <c r="AY51" i="16"/>
  <c r="AY52" i="16"/>
  <c r="AY53" i="16"/>
  <c r="AY54" i="16"/>
  <c r="AY56" i="16"/>
  <c r="AY57" i="16"/>
  <c r="AY58" i="16"/>
  <c r="AY59" i="16"/>
  <c r="AY60" i="16"/>
  <c r="AY61" i="16"/>
  <c r="AY62" i="16"/>
  <c r="AY63" i="16"/>
  <c r="AY64" i="16"/>
  <c r="AY65" i="16"/>
  <c r="AY66" i="16"/>
  <c r="AY67" i="16"/>
  <c r="AY68" i="16"/>
  <c r="AY69" i="16"/>
  <c r="AY70" i="16"/>
  <c r="AY71" i="16"/>
  <c r="AY72" i="16"/>
  <c r="AY73" i="16"/>
  <c r="AY74" i="16"/>
  <c r="AY75" i="16"/>
  <c r="AY76" i="16"/>
  <c r="AY77" i="16"/>
  <c r="AY78" i="16"/>
  <c r="AY79" i="16"/>
  <c r="AY80" i="16"/>
  <c r="AY81" i="16"/>
  <c r="AY82" i="16"/>
  <c r="AY83" i="16"/>
  <c r="AY84" i="16"/>
  <c r="AY85" i="16"/>
  <c r="AY86" i="16"/>
  <c r="AY87" i="16"/>
  <c r="AY88" i="16"/>
  <c r="AY89" i="16"/>
  <c r="AY90" i="16"/>
  <c r="AY91" i="16"/>
  <c r="AY92" i="16"/>
  <c r="AY93" i="16"/>
  <c r="AY94" i="16"/>
  <c r="AZ94" i="16"/>
  <c r="AY95" i="16"/>
  <c r="AZ95" i="16"/>
  <c r="AY96" i="16"/>
  <c r="AZ96" i="16"/>
  <c r="AY97" i="16"/>
  <c r="AZ97" i="16"/>
  <c r="AY98" i="16"/>
  <c r="AZ98" i="16"/>
  <c r="AY99" i="16"/>
  <c r="AZ99" i="16"/>
  <c r="AY100" i="16"/>
  <c r="AZ100" i="16"/>
  <c r="AY101" i="16"/>
  <c r="AZ101" i="16"/>
  <c r="AY102" i="16"/>
  <c r="AZ102" i="16"/>
  <c r="AY103" i="16"/>
  <c r="AZ103" i="16"/>
  <c r="AY104" i="16"/>
  <c r="AZ104" i="16"/>
  <c r="AY105" i="16"/>
  <c r="AZ105" i="16"/>
  <c r="AY106" i="16"/>
  <c r="AZ106" i="16"/>
  <c r="AY107" i="16"/>
  <c r="AZ107" i="16"/>
  <c r="AY108" i="16"/>
  <c r="AZ108" i="16"/>
  <c r="AY109" i="16"/>
  <c r="AZ109" i="16"/>
  <c r="AY110" i="16"/>
  <c r="AZ110" i="16"/>
  <c r="AY111" i="16"/>
  <c r="AZ111" i="16"/>
  <c r="AY112" i="16"/>
  <c r="AZ112" i="16"/>
  <c r="AY113" i="16"/>
  <c r="AZ113" i="16"/>
  <c r="AY114" i="16"/>
  <c r="AZ114" i="16"/>
  <c r="AY115" i="16"/>
  <c r="AZ115" i="16"/>
  <c r="AY116" i="16"/>
  <c r="AZ116" i="16"/>
  <c r="AY117" i="16"/>
  <c r="AZ117" i="16"/>
  <c r="AY118" i="16"/>
  <c r="AZ118" i="16"/>
  <c r="AY119" i="16"/>
  <c r="AZ119" i="16"/>
  <c r="AY120" i="16"/>
  <c r="AZ120" i="16"/>
  <c r="AY121" i="16"/>
  <c r="AZ121" i="16"/>
  <c r="AY122" i="16"/>
  <c r="AZ122" i="16"/>
  <c r="AY123" i="16"/>
  <c r="AZ123" i="16"/>
  <c r="AY124" i="16"/>
  <c r="AZ124" i="16"/>
  <c r="AY125" i="16"/>
  <c r="AZ125" i="16"/>
  <c r="AY126" i="16"/>
  <c r="AZ126" i="16"/>
  <c r="AY127" i="16"/>
  <c r="AZ127" i="16"/>
  <c r="AY128" i="16"/>
  <c r="AZ128" i="16"/>
  <c r="AY129" i="16"/>
  <c r="AZ129" i="16"/>
  <c r="AY130" i="16"/>
  <c r="AZ130" i="16"/>
  <c r="AY131" i="16"/>
  <c r="AZ131" i="16"/>
  <c r="AY132" i="16"/>
  <c r="AZ132" i="16"/>
  <c r="AY133" i="16"/>
  <c r="AZ133" i="16"/>
  <c r="AY134" i="16"/>
  <c r="AZ134" i="16"/>
  <c r="AY135" i="16"/>
  <c r="AZ135" i="16"/>
  <c r="AY136" i="16"/>
  <c r="AZ136" i="16"/>
  <c r="AY137" i="16"/>
  <c r="AZ137" i="16"/>
  <c r="AY138" i="16"/>
  <c r="AZ138" i="16"/>
  <c r="AY139" i="16"/>
  <c r="AZ139" i="16"/>
  <c r="AY140" i="16"/>
  <c r="AZ140" i="16"/>
  <c r="AY141" i="16"/>
  <c r="AZ141" i="16"/>
  <c r="AY142" i="16"/>
  <c r="AZ142" i="16"/>
  <c r="AY143" i="16"/>
  <c r="AZ143" i="16"/>
  <c r="V112" i="13"/>
  <c r="V159" i="13"/>
  <c r="V153" i="13"/>
  <c r="W194" i="13"/>
  <c r="W132" i="13"/>
  <c r="W129" i="13"/>
  <c r="W127" i="13"/>
  <c r="W126" i="13"/>
  <c r="W104" i="13"/>
  <c r="W100" i="13"/>
  <c r="W89" i="13"/>
  <c r="W85" i="13"/>
  <c r="BF20" i="13"/>
  <c r="BG20" i="13"/>
  <c r="BF24" i="13"/>
  <c r="BG24" i="13"/>
  <c r="BF29" i="13"/>
  <c r="BF28" i="13" s="1"/>
  <c r="BG29" i="13"/>
  <c r="BG28" i="13" s="1"/>
  <c r="BF33" i="13"/>
  <c r="BG33" i="13"/>
  <c r="BF41" i="13"/>
  <c r="BG41" i="13"/>
  <c r="BF48" i="13"/>
  <c r="BG48" i="13"/>
  <c r="BF54" i="13"/>
  <c r="BF53" i="13" s="1"/>
  <c r="BG54" i="13"/>
  <c r="BG53" i="13" s="1"/>
  <c r="BF65" i="13"/>
  <c r="BF64" i="13" s="1"/>
  <c r="BF63" i="13" s="1"/>
  <c r="BF62" i="13" s="1"/>
  <c r="BG65" i="13"/>
  <c r="BG64" i="13" s="1"/>
  <c r="BG63" i="13" s="1"/>
  <c r="BG62" i="13" s="1"/>
  <c r="BF70" i="13"/>
  <c r="BF69" i="13" s="1"/>
  <c r="BF68" i="13" s="1"/>
  <c r="BG70" i="13"/>
  <c r="BG69" i="13" s="1"/>
  <c r="BG68" i="13" s="1"/>
  <c r="BF78" i="13"/>
  <c r="BG78" i="13"/>
  <c r="BF82" i="13"/>
  <c r="BG82" i="13"/>
  <c r="BF86" i="13"/>
  <c r="BG86" i="13"/>
  <c r="BF91" i="13"/>
  <c r="BG91" i="13"/>
  <c r="BF95" i="13"/>
  <c r="BG95" i="13"/>
  <c r="BF102" i="13"/>
  <c r="BG102" i="13"/>
  <c r="BF108" i="13"/>
  <c r="BG108" i="13"/>
  <c r="BF113" i="13"/>
  <c r="BG113" i="13"/>
  <c r="BF118" i="13"/>
  <c r="BG118" i="13"/>
  <c r="BF125" i="13"/>
  <c r="BG125" i="13"/>
  <c r="BF128" i="13"/>
  <c r="BG128" i="13"/>
  <c r="BF131" i="13"/>
  <c r="BG131" i="13"/>
  <c r="BF134" i="13"/>
  <c r="BG134" i="13"/>
  <c r="BF137" i="13"/>
  <c r="BG137" i="13"/>
  <c r="BF144" i="13"/>
  <c r="BF143" i="13" s="1"/>
  <c r="BF142" i="13" s="1"/>
  <c r="BF141" i="13" s="1"/>
  <c r="BG144" i="13"/>
  <c r="BG143" i="13" s="1"/>
  <c r="BG142" i="13" s="1"/>
  <c r="BG141" i="13" s="1"/>
  <c r="BF149" i="13"/>
  <c r="BG149" i="13"/>
  <c r="BF154" i="13"/>
  <c r="BG154" i="13"/>
  <c r="BF160" i="13"/>
  <c r="BG160" i="13"/>
  <c r="BF167" i="13"/>
  <c r="BG167" i="13"/>
  <c r="BF171" i="13"/>
  <c r="BG171" i="13"/>
  <c r="BF178" i="13"/>
  <c r="BF177" i="13" s="1"/>
  <c r="BG178" i="13"/>
  <c r="BG177" i="13" s="1"/>
  <c r="BF184" i="13"/>
  <c r="BG184" i="13"/>
  <c r="BF187" i="13"/>
  <c r="BG187" i="13"/>
  <c r="BF190" i="13"/>
  <c r="BG190" i="13"/>
  <c r="BF193" i="13"/>
  <c r="BG193" i="13"/>
  <c r="BF197" i="13"/>
  <c r="BG197" i="13"/>
  <c r="BF200" i="13"/>
  <c r="BG200" i="13"/>
  <c r="BF208" i="13"/>
  <c r="BG208" i="13"/>
  <c r="BF215" i="13"/>
  <c r="BG215" i="13"/>
  <c r="BF221" i="13"/>
  <c r="BG221" i="13"/>
  <c r="BF225" i="13"/>
  <c r="BG225" i="13"/>
  <c r="BF228" i="13"/>
  <c r="BF227" i="13" s="1"/>
  <c r="BG228" i="13"/>
  <c r="BG227" i="13" s="1"/>
  <c r="BH61" i="13" l="1"/>
  <c r="BH60" i="13" s="1"/>
  <c r="BH14" i="13" s="1"/>
  <c r="AZ144" i="16"/>
  <c r="AY144" i="16"/>
  <c r="BF166" i="13"/>
  <c r="BG183" i="13"/>
  <c r="BG182" i="13" s="1"/>
  <c r="BF32" i="13"/>
  <c r="BG207" i="13"/>
  <c r="BG206" i="13" s="1"/>
  <c r="BG205" i="13" s="1"/>
  <c r="BG204" i="13" s="1"/>
  <c r="BG77" i="13"/>
  <c r="BG76" i="13" s="1"/>
  <c r="BG32" i="13"/>
  <c r="BG166" i="13"/>
  <c r="BG165" i="13" s="1"/>
  <c r="BG148" i="13"/>
  <c r="BG147" i="13" s="1"/>
  <c r="BG124" i="13"/>
  <c r="BG123" i="13" s="1"/>
  <c r="BG19" i="13"/>
  <c r="BF77" i="13"/>
  <c r="BF76" i="13" s="1"/>
  <c r="BF207" i="13"/>
  <c r="BF206" i="13" s="1"/>
  <c r="BF205" i="13" s="1"/>
  <c r="BF204" i="13" s="1"/>
  <c r="BF183" i="13"/>
  <c r="BF182" i="13" s="1"/>
  <c r="BF148" i="13"/>
  <c r="BF147" i="13" s="1"/>
  <c r="BF124" i="13"/>
  <c r="BF123" i="13" s="1"/>
  <c r="BF19" i="13"/>
  <c r="BF165" i="13"/>
  <c r="BF18" i="13" l="1"/>
  <c r="BF17" i="13" s="1"/>
  <c r="BF16" i="13" s="1"/>
  <c r="BF15" i="13" s="1"/>
  <c r="BG146" i="13"/>
  <c r="BG18" i="13"/>
  <c r="BG17" i="13" s="1"/>
  <c r="BG16" i="13" s="1"/>
  <c r="BG15" i="13" s="1"/>
  <c r="BF146" i="13"/>
  <c r="BF67" i="13"/>
  <c r="BG67" i="13"/>
  <c r="BF61" i="13" l="1"/>
  <c r="BF60" i="13" s="1"/>
  <c r="BF14" i="13" s="1"/>
  <c r="BG61" i="13"/>
  <c r="BG60" i="13" s="1"/>
  <c r="BG14" i="13" s="1"/>
  <c r="W86" i="13" l="1"/>
  <c r="X24" i="13"/>
  <c r="X29" i="13"/>
  <c r="X28" i="13" s="1"/>
  <c r="X33" i="13"/>
  <c r="X41" i="13"/>
  <c r="X48" i="13"/>
  <c r="X54" i="13"/>
  <c r="X53" i="13" s="1"/>
  <c r="X65" i="13"/>
  <c r="X64" i="13" s="1"/>
  <c r="X63" i="13" s="1"/>
  <c r="X62" i="13" s="1"/>
  <c r="X70" i="13"/>
  <c r="X69" i="13" s="1"/>
  <c r="X68" i="13" s="1"/>
  <c r="X78" i="13"/>
  <c r="X82" i="13"/>
  <c r="X86" i="13"/>
  <c r="X91" i="13"/>
  <c r="X95" i="13"/>
  <c r="X102" i="13"/>
  <c r="X108" i="13"/>
  <c r="X113" i="13"/>
  <c r="X118" i="13"/>
  <c r="X125" i="13"/>
  <c r="X128" i="13"/>
  <c r="X131" i="13"/>
  <c r="X134" i="13"/>
  <c r="X137" i="13"/>
  <c r="X144" i="13"/>
  <c r="X143" i="13" s="1"/>
  <c r="X142" i="13" s="1"/>
  <c r="X141" i="13" s="1"/>
  <c r="X149" i="13"/>
  <c r="X154" i="13"/>
  <c r="X160" i="13"/>
  <c r="X148" i="13" l="1"/>
  <c r="X147" i="13" s="1"/>
  <c r="X124" i="13"/>
  <c r="X123" i="13" s="1"/>
  <c r="X32" i="13"/>
  <c r="X77" i="13"/>
  <c r="X76" i="13" s="1"/>
  <c r="X67" i="13" l="1"/>
  <c r="AX143" i="16" l="1"/>
  <c r="AX142" i="16"/>
  <c r="AX141" i="16"/>
  <c r="AX140" i="16"/>
  <c r="AX139" i="16"/>
  <c r="AX138" i="16"/>
  <c r="AX137" i="16"/>
  <c r="AX136" i="16"/>
  <c r="AX135" i="16"/>
  <c r="AX134" i="16"/>
  <c r="AX133" i="16"/>
  <c r="AX132" i="16"/>
  <c r="AX131" i="16"/>
  <c r="AX130" i="16"/>
  <c r="AX129" i="16"/>
  <c r="AX128" i="16"/>
  <c r="AX127" i="16"/>
  <c r="AX126" i="16"/>
  <c r="AX125" i="16"/>
  <c r="AX124" i="16"/>
  <c r="AX123" i="16"/>
  <c r="AX122" i="16"/>
  <c r="AX121" i="16"/>
  <c r="AX120" i="16"/>
  <c r="AX119" i="16"/>
  <c r="AX118" i="16"/>
  <c r="AX117" i="16"/>
  <c r="AX116" i="16"/>
  <c r="AX115" i="16"/>
  <c r="AX114" i="16"/>
  <c r="AX113" i="16"/>
  <c r="AX112" i="16"/>
  <c r="AX111" i="16"/>
  <c r="AX110" i="16"/>
  <c r="AX109" i="16"/>
  <c r="AX108" i="16"/>
  <c r="AX107" i="16"/>
  <c r="AX106" i="16"/>
  <c r="AX105" i="16"/>
  <c r="AX104" i="16"/>
  <c r="AX103" i="16"/>
  <c r="AX102" i="16"/>
  <c r="AX101" i="16"/>
  <c r="AX100" i="16"/>
  <c r="AX99" i="16"/>
  <c r="AX98" i="16"/>
  <c r="AX97" i="16"/>
  <c r="AX96" i="16"/>
  <c r="AX95" i="16"/>
  <c r="AX94" i="16"/>
  <c r="AX93" i="16"/>
  <c r="AX92" i="16"/>
  <c r="AX91" i="16"/>
  <c r="AX90" i="16"/>
  <c r="AX89" i="16"/>
  <c r="AX88" i="16"/>
  <c r="AX87" i="16"/>
  <c r="AX86" i="16"/>
  <c r="AX85" i="16"/>
  <c r="AX84" i="16"/>
  <c r="AX83" i="16"/>
  <c r="AX82" i="16"/>
  <c r="AX81" i="16"/>
  <c r="AX80" i="16"/>
  <c r="AX79" i="16"/>
  <c r="AX78" i="16"/>
  <c r="AX77" i="16"/>
  <c r="AX76" i="16"/>
  <c r="AX75" i="16"/>
  <c r="AX74" i="16"/>
  <c r="AX73" i="16"/>
  <c r="AX72" i="16"/>
  <c r="AX71" i="16"/>
  <c r="AX70" i="16"/>
  <c r="AX69" i="16"/>
  <c r="AX68" i="16"/>
  <c r="AX67" i="16"/>
  <c r="AX66" i="16"/>
  <c r="AX65" i="16"/>
  <c r="AX64" i="16"/>
  <c r="AX63" i="16"/>
  <c r="AX62" i="16"/>
  <c r="AX61" i="16"/>
  <c r="AX60" i="16"/>
  <c r="AX59" i="16"/>
  <c r="AX58" i="16"/>
  <c r="AX57" i="16"/>
  <c r="AX56" i="16"/>
  <c r="AX54" i="16"/>
  <c r="AX53" i="16"/>
  <c r="AX52" i="16"/>
  <c r="AX51" i="16"/>
  <c r="AX50" i="16"/>
  <c r="AX49" i="16"/>
  <c r="AX48" i="16"/>
  <c r="AX47" i="16"/>
  <c r="AX46" i="16"/>
  <c r="AX45" i="16"/>
  <c r="AX44" i="16"/>
  <c r="AX43" i="16"/>
  <c r="AX42" i="16"/>
  <c r="AX41" i="16"/>
  <c r="AX40" i="16"/>
  <c r="AX39" i="16"/>
  <c r="AX38" i="16"/>
  <c r="AX37" i="16"/>
  <c r="AX36" i="16"/>
  <c r="AX35" i="16"/>
  <c r="AX34" i="16"/>
  <c r="AX33" i="16"/>
  <c r="AX32" i="16"/>
  <c r="AX31" i="16"/>
  <c r="AX30" i="16"/>
  <c r="AX29" i="16"/>
  <c r="AX28" i="16"/>
  <c r="AX27" i="16"/>
  <c r="AX26" i="16"/>
  <c r="AX25" i="16"/>
  <c r="AX24" i="16"/>
  <c r="AX23" i="16"/>
  <c r="AX22" i="16"/>
  <c r="AX21" i="16"/>
  <c r="AX20" i="16"/>
  <c r="AX19" i="16"/>
  <c r="AX18" i="16"/>
  <c r="AX17" i="16"/>
  <c r="AX16" i="16"/>
  <c r="AX15" i="16"/>
  <c r="AX14" i="16"/>
  <c r="AX13" i="16"/>
  <c r="AX12" i="16"/>
  <c r="AX11" i="16"/>
  <c r="AX10" i="16"/>
  <c r="AX9" i="16"/>
  <c r="AX8" i="16"/>
  <c r="AX7" i="16"/>
  <c r="AX6" i="16"/>
  <c r="AX5" i="16"/>
  <c r="AX4" i="16"/>
  <c r="AX144" i="16" l="1"/>
  <c r="BE20" i="13"/>
  <c r="BE24" i="13"/>
  <c r="BE29" i="13"/>
  <c r="BE28" i="13" s="1"/>
  <c r="BE33" i="13"/>
  <c r="BE41" i="13"/>
  <c r="BE48" i="13"/>
  <c r="BE54" i="13"/>
  <c r="BE53" i="13" s="1"/>
  <c r="BE65" i="13"/>
  <c r="BE64" i="13" s="1"/>
  <c r="BE63" i="13" s="1"/>
  <c r="BE62" i="13" s="1"/>
  <c r="BE70" i="13"/>
  <c r="BE69" i="13" s="1"/>
  <c r="BE68" i="13" s="1"/>
  <c r="BE78" i="13"/>
  <c r="BE82" i="13"/>
  <c r="BE86" i="13"/>
  <c r="BE91" i="13"/>
  <c r="BE95" i="13"/>
  <c r="BE102" i="13"/>
  <c r="BE108" i="13"/>
  <c r="BE113" i="13"/>
  <c r="BE118" i="13"/>
  <c r="BE125" i="13"/>
  <c r="BE128" i="13"/>
  <c r="BE131" i="13"/>
  <c r="BE134" i="13"/>
  <c r="BE137" i="13"/>
  <c r="BE144" i="13"/>
  <c r="BE143" i="13" s="1"/>
  <c r="BE142" i="13" s="1"/>
  <c r="BE141" i="13" s="1"/>
  <c r="BE149" i="13"/>
  <c r="BE154" i="13"/>
  <c r="BE160" i="13"/>
  <c r="BE167" i="13"/>
  <c r="BE171" i="13"/>
  <c r="BE178" i="13"/>
  <c r="BE177" i="13" s="1"/>
  <c r="BE184" i="13"/>
  <c r="BE187" i="13"/>
  <c r="BE190" i="13"/>
  <c r="BE193" i="13"/>
  <c r="BE197" i="13"/>
  <c r="BE200" i="13"/>
  <c r="BE208" i="13"/>
  <c r="BE215" i="13"/>
  <c r="BE221" i="13"/>
  <c r="BE225" i="13"/>
  <c r="BE228" i="13"/>
  <c r="BE227" i="13" s="1"/>
  <c r="BE166" i="13" l="1"/>
  <c r="BE165" i="13" s="1"/>
  <c r="BE77" i="13"/>
  <c r="BE76" i="13" s="1"/>
  <c r="BE148" i="13"/>
  <c r="BE147" i="13" s="1"/>
  <c r="BE19" i="13"/>
  <c r="BE32" i="13"/>
  <c r="BE207" i="13"/>
  <c r="BE206" i="13" s="1"/>
  <c r="BE205" i="13" s="1"/>
  <c r="BE204" i="13" s="1"/>
  <c r="BE183" i="13"/>
  <c r="BE182" i="13" s="1"/>
  <c r="BE124" i="13"/>
  <c r="BE123" i="13" s="1"/>
  <c r="S181" i="13"/>
  <c r="S217" i="13"/>
  <c r="BE18" i="13" l="1"/>
  <c r="BE17" i="13" s="1"/>
  <c r="BE16" i="13" s="1"/>
  <c r="BE15" i="13" s="1"/>
  <c r="BE67" i="13"/>
  <c r="BE146" i="13"/>
  <c r="BE61" i="13" l="1"/>
  <c r="BE60" i="13" s="1"/>
  <c r="BE14" i="13" s="1"/>
  <c r="H16" i="24" l="1"/>
  <c r="K56" i="24"/>
  <c r="K55" i="24"/>
  <c r="K53" i="24"/>
  <c r="K49" i="24"/>
  <c r="K47" i="24"/>
  <c r="K45" i="24"/>
  <c r="K41" i="24"/>
  <c r="K37" i="24"/>
  <c r="K33" i="24"/>
  <c r="K29" i="24"/>
  <c r="K25" i="24"/>
  <c r="K21" i="24"/>
  <c r="J56" i="24"/>
  <c r="J55" i="24"/>
  <c r="J53" i="24"/>
  <c r="J49" i="24"/>
  <c r="J47" i="24"/>
  <c r="J45" i="24"/>
  <c r="J41" i="24"/>
  <c r="J37" i="24"/>
  <c r="J33" i="24"/>
  <c r="J29" i="24"/>
  <c r="J25" i="24"/>
  <c r="J21" i="24"/>
  <c r="I56" i="24"/>
  <c r="I55" i="24"/>
  <c r="I53" i="24"/>
  <c r="I49" i="24"/>
  <c r="I47" i="24"/>
  <c r="I45" i="24"/>
  <c r="I41" i="24"/>
  <c r="I37" i="24"/>
  <c r="I33" i="24"/>
  <c r="I29" i="24"/>
  <c r="I25" i="24"/>
  <c r="I21" i="24"/>
  <c r="H55" i="24"/>
  <c r="K57" i="24"/>
  <c r="G57" i="24"/>
  <c r="G56" i="24" s="1"/>
  <c r="G55" i="24" s="1"/>
  <c r="G54" i="24"/>
  <c r="G53" i="24" s="1"/>
  <c r="G52" i="24"/>
  <c r="G51" i="24"/>
  <c r="G50" i="24"/>
  <c r="G48" i="24"/>
  <c r="G47" i="24" s="1"/>
  <c r="G46" i="24"/>
  <c r="G45" i="24" s="1"/>
  <c r="G44" i="24"/>
  <c r="G43" i="24"/>
  <c r="G42" i="24"/>
  <c r="G40" i="24"/>
  <c r="G39" i="24"/>
  <c r="G38" i="24"/>
  <c r="G36" i="24"/>
  <c r="G35" i="24"/>
  <c r="G34" i="24"/>
  <c r="G32" i="24"/>
  <c r="G31" i="24"/>
  <c r="G30" i="24"/>
  <c r="G28" i="24"/>
  <c r="G27" i="24"/>
  <c r="G26" i="24"/>
  <c r="G24" i="24"/>
  <c r="G23" i="24"/>
  <c r="G22" i="24"/>
  <c r="G20" i="24"/>
  <c r="G19" i="24"/>
  <c r="G18" i="24"/>
  <c r="G29" i="24" l="1"/>
  <c r="G25" i="24"/>
  <c r="G41" i="24"/>
  <c r="H15" i="24"/>
  <c r="H14" i="24" s="1"/>
  <c r="H13" i="24" s="1"/>
  <c r="H12" i="24" s="1"/>
  <c r="G21" i="24"/>
  <c r="G37" i="24"/>
  <c r="G49" i="24"/>
  <c r="G17" i="24"/>
  <c r="G33" i="24"/>
  <c r="I17" i="24" l="1"/>
  <c r="J17" i="24"/>
  <c r="K17" i="24" s="1"/>
  <c r="G16" i="24"/>
  <c r="G15" i="24" l="1"/>
  <c r="I16" i="24"/>
  <c r="J16" i="24"/>
  <c r="K16" i="24" s="1"/>
  <c r="G14" i="24" l="1"/>
  <c r="I15" i="24"/>
  <c r="J15" i="24"/>
  <c r="K15" i="24" s="1"/>
  <c r="S126" i="13"/>
  <c r="F65" i="23"/>
  <c r="S23" i="13"/>
  <c r="AW4" i="16"/>
  <c r="AW5" i="16"/>
  <c r="AW6" i="16"/>
  <c r="AW7" i="16"/>
  <c r="AW8" i="16"/>
  <c r="AW9" i="16"/>
  <c r="AW10" i="16"/>
  <c r="AW11" i="16"/>
  <c r="AW12" i="16"/>
  <c r="AW13" i="16"/>
  <c r="AW14" i="16"/>
  <c r="AW15" i="16"/>
  <c r="AW16" i="16"/>
  <c r="AW17" i="16"/>
  <c r="AW18" i="16"/>
  <c r="AW19" i="16"/>
  <c r="AW20" i="16"/>
  <c r="AW21" i="16"/>
  <c r="AW22" i="16"/>
  <c r="AW23" i="16"/>
  <c r="AW24" i="16"/>
  <c r="AW25" i="16"/>
  <c r="AW26" i="16"/>
  <c r="AW27" i="16"/>
  <c r="AW28" i="16"/>
  <c r="AW29" i="16"/>
  <c r="AW30" i="16"/>
  <c r="AW31" i="16"/>
  <c r="AW32" i="16"/>
  <c r="AW33" i="16"/>
  <c r="AW34" i="16"/>
  <c r="AW35" i="16"/>
  <c r="AW36" i="16"/>
  <c r="AW37" i="16"/>
  <c r="AW38" i="16"/>
  <c r="AW39" i="16"/>
  <c r="AW40" i="16"/>
  <c r="AW41" i="16"/>
  <c r="AW42" i="16"/>
  <c r="AW43" i="16"/>
  <c r="AW44" i="16"/>
  <c r="AW45" i="16"/>
  <c r="AW46" i="16"/>
  <c r="AW47" i="16"/>
  <c r="AW48" i="16"/>
  <c r="AW49" i="16"/>
  <c r="AW50" i="16"/>
  <c r="AW51" i="16"/>
  <c r="AW52" i="16"/>
  <c r="AW53" i="16"/>
  <c r="AW54" i="16"/>
  <c r="AW56" i="16"/>
  <c r="AW57" i="16"/>
  <c r="AW58" i="16"/>
  <c r="AW59" i="16"/>
  <c r="AW60" i="16"/>
  <c r="AW61" i="16"/>
  <c r="AW62" i="16"/>
  <c r="AW63" i="16"/>
  <c r="AW64" i="16"/>
  <c r="AW65" i="16"/>
  <c r="AW66" i="16"/>
  <c r="AW67" i="16"/>
  <c r="AW68" i="16"/>
  <c r="AW69" i="16"/>
  <c r="AW70" i="16"/>
  <c r="AW71" i="16"/>
  <c r="AW72" i="16"/>
  <c r="AW73" i="16"/>
  <c r="AW74" i="16"/>
  <c r="AW75" i="16"/>
  <c r="AW76" i="16"/>
  <c r="AW77" i="16"/>
  <c r="AW78" i="16"/>
  <c r="AW79" i="16"/>
  <c r="AW80" i="16"/>
  <c r="AW81" i="16"/>
  <c r="AW82" i="16"/>
  <c r="AW83" i="16"/>
  <c r="AW84" i="16"/>
  <c r="AW85" i="16"/>
  <c r="AW86" i="16"/>
  <c r="AW87" i="16"/>
  <c r="AW88" i="16"/>
  <c r="AW89" i="16"/>
  <c r="AW90" i="16"/>
  <c r="AW91" i="16"/>
  <c r="AW92" i="16"/>
  <c r="AW93" i="16"/>
  <c r="AW94" i="16"/>
  <c r="AW95" i="16"/>
  <c r="AW96" i="16"/>
  <c r="AW97" i="16"/>
  <c r="AW98" i="16"/>
  <c r="AW99" i="16"/>
  <c r="AW100" i="16"/>
  <c r="AW101" i="16"/>
  <c r="AW102" i="16"/>
  <c r="AW103" i="16"/>
  <c r="AW104" i="16"/>
  <c r="AW105" i="16"/>
  <c r="AW106" i="16"/>
  <c r="AW107" i="16"/>
  <c r="AW108" i="16"/>
  <c r="AW109" i="16"/>
  <c r="AW110" i="16"/>
  <c r="AW111" i="16"/>
  <c r="AW112" i="16"/>
  <c r="AW113" i="16"/>
  <c r="AW114" i="16"/>
  <c r="AW115" i="16"/>
  <c r="AW116" i="16"/>
  <c r="AW117" i="16"/>
  <c r="AW118" i="16"/>
  <c r="AW119" i="16"/>
  <c r="AW120" i="16"/>
  <c r="AW121" i="16"/>
  <c r="AW122" i="16"/>
  <c r="AW123" i="16"/>
  <c r="AW124" i="16"/>
  <c r="AW125" i="16"/>
  <c r="AW126" i="16"/>
  <c r="AW127" i="16"/>
  <c r="AW128" i="16"/>
  <c r="AW129" i="16"/>
  <c r="AW130" i="16"/>
  <c r="AW131" i="16"/>
  <c r="AW132" i="16"/>
  <c r="AW133" i="16"/>
  <c r="AW134" i="16"/>
  <c r="AW135" i="16"/>
  <c r="AW136" i="16"/>
  <c r="AW137" i="16"/>
  <c r="AW138" i="16"/>
  <c r="AW139" i="16"/>
  <c r="AW140" i="16"/>
  <c r="AW141" i="16"/>
  <c r="AW142" i="16"/>
  <c r="AW143" i="16"/>
  <c r="AV6" i="16"/>
  <c r="AV7" i="16"/>
  <c r="AV8" i="16"/>
  <c r="AV9" i="16"/>
  <c r="AV10" i="16"/>
  <c r="AV11" i="16"/>
  <c r="AV12" i="16"/>
  <c r="AV13" i="16"/>
  <c r="AV14" i="16"/>
  <c r="AV15" i="16"/>
  <c r="AV16" i="16"/>
  <c r="AV17" i="16"/>
  <c r="AV18" i="16"/>
  <c r="AV19" i="16"/>
  <c r="AV20" i="16"/>
  <c r="AV21" i="16"/>
  <c r="AV22" i="16"/>
  <c r="AV23" i="16"/>
  <c r="AV24" i="16"/>
  <c r="AV25" i="16"/>
  <c r="AV26" i="16"/>
  <c r="AV27" i="16"/>
  <c r="AV28" i="16"/>
  <c r="AV29" i="16"/>
  <c r="AV30" i="16"/>
  <c r="AV31" i="16"/>
  <c r="AV32" i="16"/>
  <c r="AV33" i="16"/>
  <c r="AV34" i="16"/>
  <c r="AV35" i="16"/>
  <c r="AV36" i="16"/>
  <c r="AV37" i="16"/>
  <c r="AV38" i="16"/>
  <c r="AV39" i="16"/>
  <c r="AV40" i="16"/>
  <c r="AV41" i="16"/>
  <c r="AV42" i="16"/>
  <c r="AV43" i="16"/>
  <c r="AV44" i="16"/>
  <c r="AV45" i="16"/>
  <c r="AV46" i="16"/>
  <c r="AV47" i="16"/>
  <c r="AV48" i="16"/>
  <c r="AV49" i="16"/>
  <c r="AV50" i="16"/>
  <c r="AV51" i="16"/>
  <c r="AV52" i="16"/>
  <c r="AV53" i="16"/>
  <c r="AV54" i="16"/>
  <c r="AV4" i="16"/>
  <c r="BD225" i="13"/>
  <c r="BD228" i="13"/>
  <c r="BD227" i="13" s="1"/>
  <c r="BD221" i="13"/>
  <c r="BD215" i="13"/>
  <c r="BD208" i="13"/>
  <c r="BD200" i="13"/>
  <c r="BD197" i="13"/>
  <c r="BD193" i="13"/>
  <c r="BD190" i="13"/>
  <c r="BD187" i="13"/>
  <c r="BD184" i="13"/>
  <c r="BD178" i="13"/>
  <c r="BD177" i="13" s="1"/>
  <c r="BD171" i="13"/>
  <c r="BD167" i="13"/>
  <c r="BD160" i="13"/>
  <c r="BD154" i="13"/>
  <c r="BD149" i="13"/>
  <c r="BD144" i="13"/>
  <c r="BD143" i="13" s="1"/>
  <c r="BD142" i="13" s="1"/>
  <c r="BD141" i="13" s="1"/>
  <c r="BD137" i="13"/>
  <c r="BD134" i="13"/>
  <c r="BD131" i="13"/>
  <c r="BD128" i="13"/>
  <c r="BD125" i="13"/>
  <c r="BD118" i="13"/>
  <c r="BD113" i="13"/>
  <c r="BD108" i="13"/>
  <c r="BD102" i="13"/>
  <c r="BD95" i="13"/>
  <c r="BD91" i="13"/>
  <c r="BD86" i="13"/>
  <c r="BD82" i="13"/>
  <c r="BD78" i="13"/>
  <c r="BD70" i="13"/>
  <c r="BD69" i="13" s="1"/>
  <c r="BD68" i="13" s="1"/>
  <c r="BD65" i="13"/>
  <c r="BD64" i="13" s="1"/>
  <c r="BD63" i="13" s="1"/>
  <c r="BD62" i="13" s="1"/>
  <c r="BD54" i="13"/>
  <c r="BD53" i="13" s="1"/>
  <c r="BD48" i="13"/>
  <c r="BD41" i="13"/>
  <c r="BD33" i="13"/>
  <c r="BD29" i="13"/>
  <c r="BD28" i="13" s="1"/>
  <c r="BD24" i="13"/>
  <c r="BD20" i="13"/>
  <c r="G13" i="24" l="1"/>
  <c r="J14" i="24"/>
  <c r="K14" i="24" s="1"/>
  <c r="I14" i="24"/>
  <c r="O8" i="23"/>
  <c r="BD166" i="13"/>
  <c r="BD124" i="13"/>
  <c r="BD123" i="13" s="1"/>
  <c r="BD183" i="13"/>
  <c r="BD182" i="13" s="1"/>
  <c r="AW144" i="16"/>
  <c r="BD207" i="13"/>
  <c r="BD206" i="13" s="1"/>
  <c r="BD205" i="13" s="1"/>
  <c r="BD204" i="13" s="1"/>
  <c r="BD148" i="13"/>
  <c r="BD147" i="13" s="1"/>
  <c r="BD77" i="13"/>
  <c r="BD76" i="13" s="1"/>
  <c r="BD67" i="13" s="1"/>
  <c r="BD165" i="13"/>
  <c r="BD32" i="13"/>
  <c r="BD19" i="13"/>
  <c r="S31" i="13"/>
  <c r="BC178" i="13"/>
  <c r="BC177" i="13" s="1"/>
  <c r="BC167" i="13"/>
  <c r="BB167" i="13"/>
  <c r="BC154" i="13"/>
  <c r="BB154" i="13"/>
  <c r="BA154" i="13"/>
  <c r="BC144" i="13"/>
  <c r="BB144" i="13"/>
  <c r="BB143" i="13" s="1"/>
  <c r="BB142" i="13" s="1"/>
  <c r="BB141" i="13" s="1"/>
  <c r="AT231" i="13"/>
  <c r="AU231" i="13" s="1"/>
  <c r="AT152" i="13"/>
  <c r="AU152" i="13" s="1"/>
  <c r="AT150" i="13"/>
  <c r="AT145" i="13"/>
  <c r="AT140" i="13"/>
  <c r="AT139" i="13"/>
  <c r="AU139" i="13" s="1"/>
  <c r="AT138" i="13"/>
  <c r="AT135" i="13"/>
  <c r="AT136" i="13"/>
  <c r="AT133" i="13"/>
  <c r="AT130" i="13"/>
  <c r="AU130" i="13" s="1"/>
  <c r="BA128" i="13"/>
  <c r="AT155" i="13"/>
  <c r="AU155" i="13" s="1"/>
  <c r="AT151" i="13"/>
  <c r="AU151" i="13" s="1"/>
  <c r="AT153" i="13"/>
  <c r="AU153" i="13" s="1"/>
  <c r="AF55" i="16"/>
  <c r="AE55" i="16"/>
  <c r="AD55" i="16"/>
  <c r="AC55" i="16"/>
  <c r="AB55" i="16"/>
  <c r="AA55" i="16"/>
  <c r="Z55" i="16"/>
  <c r="Y55" i="16"/>
  <c r="X55" i="16"/>
  <c r="W55" i="16"/>
  <c r="V55" i="16"/>
  <c r="U55" i="16"/>
  <c r="V54" i="16"/>
  <c r="U54" i="16"/>
  <c r="U53" i="16"/>
  <c r="U142" i="16"/>
  <c r="U141" i="16"/>
  <c r="U138" i="16"/>
  <c r="U137" i="16"/>
  <c r="U135" i="16"/>
  <c r="U134" i="16"/>
  <c r="U133" i="16"/>
  <c r="U132" i="16"/>
  <c r="U130" i="16"/>
  <c r="U129" i="16"/>
  <c r="U128" i="16"/>
  <c r="U127" i="16"/>
  <c r="U126" i="16"/>
  <c r="U124" i="16"/>
  <c r="U123" i="16"/>
  <c r="U121" i="16"/>
  <c r="U119" i="16"/>
  <c r="U118" i="16"/>
  <c r="U116" i="16"/>
  <c r="U114" i="16"/>
  <c r="U112" i="16"/>
  <c r="U110" i="16"/>
  <c r="U109" i="16"/>
  <c r="U107" i="16"/>
  <c r="U106" i="16"/>
  <c r="U105" i="16"/>
  <c r="U104" i="16"/>
  <c r="U102" i="16"/>
  <c r="U101" i="16"/>
  <c r="U99" i="16"/>
  <c r="U98" i="16"/>
  <c r="U97" i="16"/>
  <c r="U95" i="16"/>
  <c r="U94" i="16"/>
  <c r="U93" i="16"/>
  <c r="U92" i="16"/>
  <c r="U90" i="16"/>
  <c r="U89" i="16"/>
  <c r="U88" i="16"/>
  <c r="U85" i="16"/>
  <c r="U84" i="16"/>
  <c r="U82" i="16"/>
  <c r="U80" i="16"/>
  <c r="U78" i="16"/>
  <c r="U76" i="16"/>
  <c r="U74" i="16"/>
  <c r="U73" i="16"/>
  <c r="U72" i="16"/>
  <c r="U70" i="16"/>
  <c r="U69" i="16"/>
  <c r="U68" i="16"/>
  <c r="U66" i="16"/>
  <c r="U65" i="16"/>
  <c r="U64" i="16"/>
  <c r="U62" i="16"/>
  <c r="U61" i="16"/>
  <c r="U60" i="16"/>
  <c r="U59" i="16"/>
  <c r="U57" i="16"/>
  <c r="U56" i="16"/>
  <c r="AV143" i="16"/>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 i="16"/>
  <c r="AU143" i="16"/>
  <c r="AU142" i="16"/>
  <c r="AU141" i="16"/>
  <c r="AU140" i="16"/>
  <c r="AU139" i="16"/>
  <c r="AU138" i="16"/>
  <c r="AU137" i="16"/>
  <c r="AU136" i="16"/>
  <c r="AU135" i="16"/>
  <c r="AU134" i="16"/>
  <c r="AU133" i="16"/>
  <c r="AU132" i="16"/>
  <c r="AU131" i="16"/>
  <c r="AU130" i="16"/>
  <c r="AU129" i="16"/>
  <c r="AU128" i="16"/>
  <c r="AU127" i="16"/>
  <c r="AU126" i="16"/>
  <c r="AU125" i="16"/>
  <c r="AU124" i="16"/>
  <c r="AU123" i="16"/>
  <c r="AU122" i="16"/>
  <c r="AU121" i="16"/>
  <c r="AU120" i="16"/>
  <c r="AU119" i="16"/>
  <c r="AU118" i="16"/>
  <c r="AU117" i="16"/>
  <c r="AU116" i="16"/>
  <c r="AU115" i="16"/>
  <c r="AU114" i="16"/>
  <c r="AU113" i="16"/>
  <c r="AU112" i="16"/>
  <c r="AU111" i="16"/>
  <c r="AU110" i="16"/>
  <c r="AU109" i="16"/>
  <c r="AU108" i="16"/>
  <c r="AU107" i="16"/>
  <c r="AU106" i="16"/>
  <c r="AU105" i="16"/>
  <c r="AU104" i="16"/>
  <c r="AU103" i="16"/>
  <c r="AU102" i="16"/>
  <c r="AU101" i="16"/>
  <c r="AU100" i="16"/>
  <c r="AU99" i="16"/>
  <c r="AU98" i="16"/>
  <c r="AU97" i="16"/>
  <c r="AU96" i="16"/>
  <c r="AU95" i="16"/>
  <c r="AU94" i="16"/>
  <c r="AU93" i="16"/>
  <c r="AU92" i="16"/>
  <c r="AU91" i="16"/>
  <c r="AU90" i="16"/>
  <c r="AU89" i="16"/>
  <c r="AU88" i="16"/>
  <c r="AU87" i="16"/>
  <c r="AU86" i="16"/>
  <c r="AU85" i="16"/>
  <c r="AU84" i="16"/>
  <c r="AU83" i="16"/>
  <c r="AU82" i="16"/>
  <c r="AU81" i="16"/>
  <c r="AU80" i="16"/>
  <c r="AU79" i="16"/>
  <c r="AU78" i="16"/>
  <c r="AU77" i="16"/>
  <c r="AU76" i="16"/>
  <c r="AU75" i="16"/>
  <c r="AU74" i="16"/>
  <c r="AU73" i="16"/>
  <c r="AU72" i="16"/>
  <c r="AU71" i="16"/>
  <c r="AU70" i="16"/>
  <c r="AU69" i="16"/>
  <c r="AU68" i="16"/>
  <c r="AU67" i="16"/>
  <c r="AU66" i="16"/>
  <c r="AU65" i="16"/>
  <c r="AU64" i="16"/>
  <c r="AU63" i="16"/>
  <c r="AU62" i="16"/>
  <c r="AU61" i="16"/>
  <c r="AU60" i="16"/>
  <c r="AU59" i="16"/>
  <c r="AU58" i="16"/>
  <c r="AU57" i="16"/>
  <c r="AU56" i="16"/>
  <c r="AU54" i="16"/>
  <c r="AU53" i="16"/>
  <c r="AU52" i="16"/>
  <c r="AU51" i="16"/>
  <c r="AU50" i="16"/>
  <c r="AU49" i="16"/>
  <c r="AU48" i="16"/>
  <c r="AU47" i="16"/>
  <c r="AU46" i="16"/>
  <c r="AU45" i="16"/>
  <c r="AU44" i="16"/>
  <c r="AU43" i="16"/>
  <c r="AU42" i="16"/>
  <c r="AU41" i="16"/>
  <c r="AU40" i="16"/>
  <c r="AU39" i="16"/>
  <c r="AU38" i="16"/>
  <c r="AU37" i="16"/>
  <c r="AU36" i="16"/>
  <c r="AU35" i="16"/>
  <c r="AU34" i="16"/>
  <c r="AU33" i="16"/>
  <c r="AU32" i="16"/>
  <c r="AU31" i="16"/>
  <c r="AU30" i="16"/>
  <c r="AU29" i="16"/>
  <c r="AU28" i="16"/>
  <c r="AU27" i="16"/>
  <c r="AU26" i="16"/>
  <c r="AU25" i="16"/>
  <c r="AU24" i="16"/>
  <c r="AU23" i="16"/>
  <c r="AU22" i="16"/>
  <c r="AU21" i="16"/>
  <c r="AU20" i="16"/>
  <c r="AU19" i="16"/>
  <c r="AU18" i="16"/>
  <c r="AU17" i="16"/>
  <c r="AU16" i="16"/>
  <c r="AU15" i="16"/>
  <c r="AU14" i="16"/>
  <c r="AU13" i="16"/>
  <c r="AU12" i="16"/>
  <c r="AU11" i="16"/>
  <c r="AU10" i="16"/>
  <c r="AU9" i="16"/>
  <c r="AU8" i="16"/>
  <c r="AU7" i="16"/>
  <c r="AU6" i="16"/>
  <c r="AU5" i="16"/>
  <c r="AU4" i="16"/>
  <c r="AT143" i="16"/>
  <c r="AT142" i="16"/>
  <c r="AT141" i="16"/>
  <c r="AT140" i="16"/>
  <c r="AT139" i="16"/>
  <c r="AT138" i="16"/>
  <c r="AT137" i="16"/>
  <c r="AT136" i="16"/>
  <c r="AT135" i="16"/>
  <c r="AT134" i="16"/>
  <c r="AT133" i="16"/>
  <c r="AT132" i="16"/>
  <c r="AT131" i="16"/>
  <c r="AT130" i="16"/>
  <c r="AT129" i="16"/>
  <c r="AT128" i="16"/>
  <c r="AT127" i="16"/>
  <c r="AT126" i="16"/>
  <c r="AT125" i="16"/>
  <c r="AT124" i="16"/>
  <c r="AT123" i="16"/>
  <c r="AT122" i="16"/>
  <c r="AT121" i="16"/>
  <c r="AT120" i="16"/>
  <c r="AT119" i="16"/>
  <c r="AT118" i="16"/>
  <c r="AT117" i="16"/>
  <c r="AT116" i="16"/>
  <c r="AT115" i="16"/>
  <c r="AT114" i="16"/>
  <c r="AT113" i="16"/>
  <c r="AT112" i="16"/>
  <c r="AT111" i="16"/>
  <c r="AT110" i="16"/>
  <c r="AT109" i="16"/>
  <c r="AT108" i="16"/>
  <c r="AT107" i="16"/>
  <c r="AT106" i="16"/>
  <c r="AT105" i="16"/>
  <c r="AT104" i="16"/>
  <c r="AT103" i="16"/>
  <c r="AT102" i="16"/>
  <c r="AT101" i="16"/>
  <c r="AT100" i="16"/>
  <c r="AT99" i="16"/>
  <c r="AT98" i="16"/>
  <c r="AT97" i="16"/>
  <c r="AT96" i="16"/>
  <c r="AT95" i="16"/>
  <c r="AT94" i="16"/>
  <c r="AT93" i="16"/>
  <c r="AT92" i="16"/>
  <c r="AT91" i="16"/>
  <c r="AT90" i="16"/>
  <c r="AT89" i="16"/>
  <c r="AT88" i="16"/>
  <c r="AT87" i="16"/>
  <c r="AT86" i="16"/>
  <c r="AT85" i="16"/>
  <c r="AT84" i="16"/>
  <c r="AT83" i="16"/>
  <c r="AT82" i="16"/>
  <c r="AT81" i="16"/>
  <c r="AT80" i="16"/>
  <c r="AT79" i="16"/>
  <c r="AT78" i="16"/>
  <c r="AT77" i="16"/>
  <c r="AT76" i="16"/>
  <c r="AT75" i="16"/>
  <c r="AT74" i="16"/>
  <c r="AT73" i="16"/>
  <c r="AT72" i="16"/>
  <c r="AT71" i="16"/>
  <c r="AT70" i="16"/>
  <c r="AT69" i="16"/>
  <c r="AT68" i="16"/>
  <c r="AT67" i="16"/>
  <c r="AT66" i="16"/>
  <c r="AT65" i="16"/>
  <c r="AT64" i="16"/>
  <c r="AT63" i="16"/>
  <c r="AT62" i="16"/>
  <c r="AT61" i="16"/>
  <c r="AT60" i="16"/>
  <c r="AT59" i="16"/>
  <c r="AT58" i="16"/>
  <c r="AT57" i="16"/>
  <c r="AT56" i="16"/>
  <c r="AT54" i="16"/>
  <c r="AT53" i="16"/>
  <c r="AT52" i="16"/>
  <c r="AT51" i="16"/>
  <c r="AT50" i="16"/>
  <c r="AT49" i="16"/>
  <c r="AT48" i="16"/>
  <c r="AT47" i="16"/>
  <c r="AT46" i="16"/>
  <c r="AT45" i="16"/>
  <c r="AT44" i="16"/>
  <c r="AT43" i="16"/>
  <c r="AT42" i="16"/>
  <c r="AT41" i="16"/>
  <c r="AT40" i="16"/>
  <c r="AT39" i="16"/>
  <c r="AT38" i="16"/>
  <c r="AT37" i="16"/>
  <c r="AT36" i="16"/>
  <c r="AT35" i="16"/>
  <c r="AT34" i="16"/>
  <c r="AT33" i="16"/>
  <c r="AT32" i="16"/>
  <c r="AT31" i="16"/>
  <c r="AT30" i="16"/>
  <c r="AT29" i="16"/>
  <c r="AT28" i="16"/>
  <c r="AT27" i="16"/>
  <c r="AT26" i="16"/>
  <c r="AT25" i="16"/>
  <c r="AT18" i="16"/>
  <c r="AT17" i="16"/>
  <c r="AT16" i="16"/>
  <c r="AT15" i="16"/>
  <c r="AT14" i="16"/>
  <c r="AT13" i="16"/>
  <c r="AT12" i="16"/>
  <c r="AT11" i="16"/>
  <c r="AT10" i="16"/>
  <c r="AT9" i="16"/>
  <c r="AT8" i="16"/>
  <c r="AT7" i="16"/>
  <c r="AT6" i="16"/>
  <c r="AT5" i="16"/>
  <c r="AT4" i="16"/>
  <c r="AT20" i="16"/>
  <c r="AT21" i="16"/>
  <c r="AT22" i="16"/>
  <c r="AT23" i="16"/>
  <c r="AT24" i="16"/>
  <c r="AT19" i="16"/>
  <c r="BB225" i="13"/>
  <c r="BC225" i="13"/>
  <c r="BB228" i="13"/>
  <c r="BB227" i="13" s="1"/>
  <c r="BC228" i="13"/>
  <c r="BC227" i="13" s="1"/>
  <c r="BB221" i="13"/>
  <c r="BC221" i="13"/>
  <c r="BB215" i="13"/>
  <c r="BC215" i="13"/>
  <c r="BB208" i="13"/>
  <c r="BC208" i="13"/>
  <c r="BB200" i="13"/>
  <c r="BC200" i="13"/>
  <c r="BB197" i="13"/>
  <c r="BC197" i="13"/>
  <c r="BB193" i="13"/>
  <c r="BC193" i="13"/>
  <c r="BB190" i="13"/>
  <c r="BC190" i="13"/>
  <c r="BB187" i="13"/>
  <c r="BC187" i="13"/>
  <c r="BB184" i="13"/>
  <c r="BC184" i="13"/>
  <c r="BB178" i="13"/>
  <c r="BB177" i="13" s="1"/>
  <c r="BB171" i="13"/>
  <c r="BC171" i="13"/>
  <c r="BB160" i="13"/>
  <c r="BC160" i="13"/>
  <c r="BC143" i="13"/>
  <c r="BC142" i="13" s="1"/>
  <c r="BC141" i="13" s="1"/>
  <c r="BB149" i="13"/>
  <c r="BC149" i="13"/>
  <c r="BB137" i="13"/>
  <c r="BC137" i="13"/>
  <c r="BB134" i="13"/>
  <c r="BC134" i="13"/>
  <c r="BB131" i="13"/>
  <c r="BC131" i="13"/>
  <c r="BB128" i="13"/>
  <c r="BC128" i="13"/>
  <c r="BB125" i="13"/>
  <c r="BC125" i="13"/>
  <c r="BB118" i="13"/>
  <c r="BC118" i="13"/>
  <c r="BB113" i="13"/>
  <c r="BC113" i="13"/>
  <c r="BB108" i="13"/>
  <c r="BC108" i="13"/>
  <c r="BB102" i="13"/>
  <c r="BC102" i="13"/>
  <c r="BB95" i="13"/>
  <c r="BC95" i="13"/>
  <c r="BB91" i="13"/>
  <c r="BC91" i="13"/>
  <c r="BB86" i="13"/>
  <c r="BC86" i="13"/>
  <c r="BB82" i="13"/>
  <c r="BC82" i="13"/>
  <c r="BB78" i="13"/>
  <c r="BC78" i="13"/>
  <c r="BB70" i="13"/>
  <c r="BB69" i="13" s="1"/>
  <c r="BB68" i="13" s="1"/>
  <c r="BC70" i="13"/>
  <c r="BC69" i="13" s="1"/>
  <c r="BC68" i="13" s="1"/>
  <c r="BB65" i="13"/>
  <c r="BB64" i="13" s="1"/>
  <c r="BB63" i="13" s="1"/>
  <c r="BB62" i="13" s="1"/>
  <c r="BC65" i="13"/>
  <c r="BC64" i="13" s="1"/>
  <c r="BC63" i="13" s="1"/>
  <c r="BC62" i="13" s="1"/>
  <c r="BB54" i="13"/>
  <c r="BB53" i="13" s="1"/>
  <c r="BC54" i="13"/>
  <c r="BC53" i="13" s="1"/>
  <c r="BB48" i="13"/>
  <c r="BC48" i="13"/>
  <c r="BC41" i="13"/>
  <c r="BB33" i="13"/>
  <c r="BC33" i="13"/>
  <c r="BB29" i="13"/>
  <c r="BB28" i="13" s="1"/>
  <c r="BC29" i="13"/>
  <c r="BC28" i="13" s="1"/>
  <c r="BB24" i="13"/>
  <c r="BC24" i="13"/>
  <c r="BC20" i="13"/>
  <c r="BB41" i="13"/>
  <c r="BB20" i="13"/>
  <c r="BA228" i="13"/>
  <c r="BA227" i="13" s="1"/>
  <c r="BA225" i="13"/>
  <c r="BA221" i="13"/>
  <c r="BA215" i="13"/>
  <c r="BA208" i="13"/>
  <c r="BA200" i="13"/>
  <c r="BA197" i="13"/>
  <c r="BA193" i="13"/>
  <c r="BA190" i="13"/>
  <c r="BA187" i="13"/>
  <c r="BA184" i="13"/>
  <c r="BA178" i="13"/>
  <c r="BA177" i="13" s="1"/>
  <c r="BA171" i="13"/>
  <c r="BA167" i="13"/>
  <c r="BA160" i="13"/>
  <c r="K154" i="13"/>
  <c r="L154" i="13"/>
  <c r="M154" i="13"/>
  <c r="N154" i="13"/>
  <c r="O154" i="13"/>
  <c r="P154" i="13"/>
  <c r="Q154" i="13"/>
  <c r="R154" i="13"/>
  <c r="S154" i="13"/>
  <c r="T154" i="13"/>
  <c r="U154" i="13"/>
  <c r="V154" i="13"/>
  <c r="W154" i="13"/>
  <c r="Y154" i="13"/>
  <c r="Z154" i="13"/>
  <c r="AA154" i="13"/>
  <c r="AB154" i="13"/>
  <c r="AC154" i="13"/>
  <c r="AD154" i="13"/>
  <c r="AE154" i="13"/>
  <c r="AF154" i="13"/>
  <c r="AG154" i="13"/>
  <c r="AH154" i="13"/>
  <c r="AI154" i="13"/>
  <c r="AJ154" i="13"/>
  <c r="AK154" i="13"/>
  <c r="AL154" i="13"/>
  <c r="AM154" i="13"/>
  <c r="AN154" i="13"/>
  <c r="AO154" i="13"/>
  <c r="AP154" i="13"/>
  <c r="AQ154" i="13"/>
  <c r="AR154" i="13"/>
  <c r="AS154" i="13"/>
  <c r="K149" i="13"/>
  <c r="L149" i="13"/>
  <c r="M149" i="13"/>
  <c r="N149" i="13"/>
  <c r="O149" i="13"/>
  <c r="P149" i="13"/>
  <c r="Q149" i="13"/>
  <c r="R149" i="13"/>
  <c r="S149" i="13"/>
  <c r="T149" i="13"/>
  <c r="U149" i="13"/>
  <c r="V149" i="13"/>
  <c r="W149" i="13"/>
  <c r="Y149" i="13"/>
  <c r="Z149" i="13"/>
  <c r="AA149" i="13"/>
  <c r="AB149" i="13"/>
  <c r="AC149" i="13"/>
  <c r="AD149" i="13"/>
  <c r="AE149" i="13"/>
  <c r="AF149" i="13"/>
  <c r="AG149" i="13"/>
  <c r="AH149" i="13"/>
  <c r="AI149" i="13"/>
  <c r="AJ149" i="13"/>
  <c r="AK149" i="13"/>
  <c r="AL149" i="13"/>
  <c r="AM149" i="13"/>
  <c r="AN149" i="13"/>
  <c r="AO149" i="13"/>
  <c r="AP149" i="13"/>
  <c r="AQ149" i="13"/>
  <c r="AR149" i="13"/>
  <c r="AS149" i="13"/>
  <c r="BA149" i="13"/>
  <c r="K144" i="13"/>
  <c r="K143" i="13" s="1"/>
  <c r="K142" i="13" s="1"/>
  <c r="K141" i="13" s="1"/>
  <c r="L144" i="13"/>
  <c r="L143" i="13" s="1"/>
  <c r="L142" i="13" s="1"/>
  <c r="L141" i="13" s="1"/>
  <c r="M144" i="13"/>
  <c r="M143" i="13" s="1"/>
  <c r="M142" i="13" s="1"/>
  <c r="M141" i="13" s="1"/>
  <c r="N144" i="13"/>
  <c r="N143" i="13" s="1"/>
  <c r="N142" i="13" s="1"/>
  <c r="N141" i="13" s="1"/>
  <c r="O144" i="13"/>
  <c r="O143" i="13" s="1"/>
  <c r="O142" i="13" s="1"/>
  <c r="O141" i="13" s="1"/>
  <c r="P144" i="13"/>
  <c r="P143" i="13" s="1"/>
  <c r="P142" i="13" s="1"/>
  <c r="P141" i="13" s="1"/>
  <c r="Q144" i="13"/>
  <c r="Q143" i="13" s="1"/>
  <c r="Q142" i="13" s="1"/>
  <c r="Q141" i="13" s="1"/>
  <c r="R144" i="13"/>
  <c r="R143" i="13" s="1"/>
  <c r="R142" i="13" s="1"/>
  <c r="R141" i="13" s="1"/>
  <c r="S144" i="13"/>
  <c r="S143" i="13" s="1"/>
  <c r="S142" i="13" s="1"/>
  <c r="S141" i="13" s="1"/>
  <c r="T144" i="13"/>
  <c r="T143" i="13" s="1"/>
  <c r="T142" i="13" s="1"/>
  <c r="T141" i="13" s="1"/>
  <c r="U144" i="13"/>
  <c r="U143" i="13" s="1"/>
  <c r="U142" i="13" s="1"/>
  <c r="U141" i="13" s="1"/>
  <c r="V144" i="13"/>
  <c r="V143" i="13" s="1"/>
  <c r="V142" i="13" s="1"/>
  <c r="V141" i="13" s="1"/>
  <c r="W144" i="13"/>
  <c r="W143" i="13" s="1"/>
  <c r="W142" i="13" s="1"/>
  <c r="W141" i="13" s="1"/>
  <c r="Y144" i="13"/>
  <c r="Y143" i="13" s="1"/>
  <c r="Y142" i="13" s="1"/>
  <c r="Y141" i="13" s="1"/>
  <c r="Z144" i="13"/>
  <c r="Z143" i="13" s="1"/>
  <c r="Z142" i="13" s="1"/>
  <c r="Z141" i="13" s="1"/>
  <c r="AA144" i="13"/>
  <c r="AA143" i="13" s="1"/>
  <c r="AA142" i="13" s="1"/>
  <c r="AA141" i="13" s="1"/>
  <c r="AB144" i="13"/>
  <c r="AB143" i="13" s="1"/>
  <c r="AB142" i="13" s="1"/>
  <c r="AB141" i="13" s="1"/>
  <c r="AC144" i="13"/>
  <c r="AC143" i="13" s="1"/>
  <c r="AC142" i="13" s="1"/>
  <c r="AC141" i="13" s="1"/>
  <c r="AD144" i="13"/>
  <c r="AD143" i="13" s="1"/>
  <c r="AD142" i="13" s="1"/>
  <c r="AD141" i="13" s="1"/>
  <c r="AE144" i="13"/>
  <c r="AE143" i="13" s="1"/>
  <c r="AE142" i="13" s="1"/>
  <c r="AE141" i="13" s="1"/>
  <c r="AF144" i="13"/>
  <c r="AF143" i="13" s="1"/>
  <c r="AF142" i="13" s="1"/>
  <c r="AF141" i="13" s="1"/>
  <c r="AG144" i="13"/>
  <c r="AG143" i="13" s="1"/>
  <c r="AG142" i="13" s="1"/>
  <c r="AG141" i="13" s="1"/>
  <c r="AH144" i="13"/>
  <c r="AH143" i="13" s="1"/>
  <c r="AH142" i="13" s="1"/>
  <c r="AH141" i="13" s="1"/>
  <c r="AI144" i="13"/>
  <c r="AI143" i="13" s="1"/>
  <c r="AI142" i="13" s="1"/>
  <c r="AI141" i="13" s="1"/>
  <c r="AJ144" i="13"/>
  <c r="AJ143" i="13" s="1"/>
  <c r="AJ142" i="13" s="1"/>
  <c r="AJ141" i="13" s="1"/>
  <c r="AK144" i="13"/>
  <c r="AK143" i="13" s="1"/>
  <c r="AK142" i="13" s="1"/>
  <c r="AK141" i="13" s="1"/>
  <c r="AL144" i="13"/>
  <c r="AL143" i="13" s="1"/>
  <c r="AL142" i="13" s="1"/>
  <c r="AL141" i="13" s="1"/>
  <c r="AM144" i="13"/>
  <c r="AM143" i="13" s="1"/>
  <c r="AM142" i="13" s="1"/>
  <c r="AM141" i="13" s="1"/>
  <c r="AN144" i="13"/>
  <c r="AN143" i="13" s="1"/>
  <c r="AN142" i="13" s="1"/>
  <c r="AN141" i="13" s="1"/>
  <c r="AO144" i="13"/>
  <c r="AO143" i="13" s="1"/>
  <c r="AO142" i="13" s="1"/>
  <c r="AO141" i="13" s="1"/>
  <c r="AP144" i="13"/>
  <c r="AP143" i="13" s="1"/>
  <c r="AP142" i="13" s="1"/>
  <c r="AP141" i="13" s="1"/>
  <c r="AQ144" i="13"/>
  <c r="AQ143" i="13" s="1"/>
  <c r="AQ142" i="13" s="1"/>
  <c r="AQ141" i="13" s="1"/>
  <c r="AR144" i="13"/>
  <c r="AR143" i="13" s="1"/>
  <c r="AR142" i="13" s="1"/>
  <c r="AR141" i="13" s="1"/>
  <c r="AS144" i="13"/>
  <c r="AS143" i="13" s="1"/>
  <c r="AS142" i="13" s="1"/>
  <c r="AS141" i="13" s="1"/>
  <c r="BA144" i="13"/>
  <c r="BA143" i="13" s="1"/>
  <c r="BA142" i="13" s="1"/>
  <c r="BA141" i="13" s="1"/>
  <c r="K137" i="13"/>
  <c r="L137" i="13"/>
  <c r="M137" i="13"/>
  <c r="N137" i="13"/>
  <c r="O137" i="13"/>
  <c r="P137" i="13"/>
  <c r="Q137" i="13"/>
  <c r="R137" i="13"/>
  <c r="S137" i="13"/>
  <c r="T137" i="13"/>
  <c r="U137" i="13"/>
  <c r="V137" i="13"/>
  <c r="W137" i="13"/>
  <c r="Y137" i="13"/>
  <c r="Z137" i="13"/>
  <c r="AA137" i="13"/>
  <c r="AB137" i="13"/>
  <c r="AC137" i="13"/>
  <c r="AD137" i="13"/>
  <c r="AE137" i="13"/>
  <c r="AF137" i="13"/>
  <c r="AG137" i="13"/>
  <c r="AH137" i="13"/>
  <c r="AI137" i="13"/>
  <c r="AJ137" i="13"/>
  <c r="AK137" i="13"/>
  <c r="AL137" i="13"/>
  <c r="AM137" i="13"/>
  <c r="AN137" i="13"/>
  <c r="AO137" i="13"/>
  <c r="AP137" i="13"/>
  <c r="AQ137" i="13"/>
  <c r="AR137" i="13"/>
  <c r="AS137" i="13"/>
  <c r="BA137" i="13"/>
  <c r="K134" i="13"/>
  <c r="L134" i="13"/>
  <c r="M134" i="13"/>
  <c r="N134" i="13"/>
  <c r="O134" i="13"/>
  <c r="P134" i="13"/>
  <c r="Q134" i="13"/>
  <c r="R134" i="13"/>
  <c r="S134" i="13"/>
  <c r="T134" i="13"/>
  <c r="U134" i="13"/>
  <c r="V134" i="13"/>
  <c r="W134" i="13"/>
  <c r="Y134" i="13"/>
  <c r="Z134" i="13"/>
  <c r="AA134" i="13"/>
  <c r="AB134" i="13"/>
  <c r="AC134" i="13"/>
  <c r="AD134" i="13"/>
  <c r="AE134" i="13"/>
  <c r="AF134" i="13"/>
  <c r="AG134" i="13"/>
  <c r="AH134" i="13"/>
  <c r="AI134" i="13"/>
  <c r="AJ134" i="13"/>
  <c r="AK134" i="13"/>
  <c r="AL134" i="13"/>
  <c r="AM134" i="13"/>
  <c r="AN134" i="13"/>
  <c r="AO134" i="13"/>
  <c r="AP134" i="13"/>
  <c r="AQ134" i="13"/>
  <c r="AR134" i="13"/>
  <c r="AS134" i="13"/>
  <c r="BA134" i="13"/>
  <c r="K131" i="13"/>
  <c r="L131" i="13"/>
  <c r="M131" i="13"/>
  <c r="N131" i="13"/>
  <c r="O131" i="13"/>
  <c r="P131" i="13"/>
  <c r="R131" i="13"/>
  <c r="S131" i="13"/>
  <c r="T131" i="13"/>
  <c r="U131" i="13"/>
  <c r="V131" i="13"/>
  <c r="W131" i="13"/>
  <c r="Y131" i="13"/>
  <c r="Z131" i="13"/>
  <c r="AA131" i="13"/>
  <c r="AB131" i="13"/>
  <c r="AC131" i="13"/>
  <c r="AD131" i="13"/>
  <c r="AE131" i="13"/>
  <c r="AF131" i="13"/>
  <c r="AG131" i="13"/>
  <c r="AH131" i="13"/>
  <c r="AI131" i="13"/>
  <c r="AJ131" i="13"/>
  <c r="AK131" i="13"/>
  <c r="AL131" i="13"/>
  <c r="AM131" i="13"/>
  <c r="AN131" i="13"/>
  <c r="AO131" i="13"/>
  <c r="AP131" i="13"/>
  <c r="AQ131" i="13"/>
  <c r="AR131" i="13"/>
  <c r="AS131" i="13"/>
  <c r="BA131" i="13"/>
  <c r="Q132" i="13"/>
  <c r="AT132" i="13" s="1"/>
  <c r="K128" i="13"/>
  <c r="L128" i="13"/>
  <c r="M128" i="13"/>
  <c r="N128" i="13"/>
  <c r="O128" i="13"/>
  <c r="P128" i="13"/>
  <c r="R128" i="13"/>
  <c r="S128" i="13"/>
  <c r="T128" i="13"/>
  <c r="U128" i="13"/>
  <c r="V128" i="13"/>
  <c r="W128" i="13"/>
  <c r="Y128" i="13"/>
  <c r="Z128" i="13"/>
  <c r="AA128" i="13"/>
  <c r="AB128" i="13"/>
  <c r="AC128" i="13"/>
  <c r="AD128" i="13"/>
  <c r="AE128" i="13"/>
  <c r="AF128" i="13"/>
  <c r="AG128" i="13"/>
  <c r="AH128" i="13"/>
  <c r="AI128" i="13"/>
  <c r="AJ128" i="13"/>
  <c r="AK128" i="13"/>
  <c r="AL128" i="13"/>
  <c r="AM128" i="13"/>
  <c r="AN128" i="13"/>
  <c r="AO128" i="13"/>
  <c r="AP128" i="13"/>
  <c r="AQ128" i="13"/>
  <c r="AR128" i="13"/>
  <c r="AS128" i="13"/>
  <c r="BA125" i="13"/>
  <c r="BA118" i="13"/>
  <c r="BA113" i="13"/>
  <c r="BA108" i="13"/>
  <c r="BA102" i="13"/>
  <c r="BA95" i="13"/>
  <c r="BA91" i="13"/>
  <c r="BA86" i="13"/>
  <c r="BA82" i="13"/>
  <c r="BA78" i="13"/>
  <c r="BA70" i="13"/>
  <c r="BA69" i="13" s="1"/>
  <c r="BA68" i="13" s="1"/>
  <c r="BA65" i="13"/>
  <c r="BA64" i="13" s="1"/>
  <c r="BA63" i="13" s="1"/>
  <c r="BA62" i="13" s="1"/>
  <c r="BA54" i="13"/>
  <c r="BA53" i="13" s="1"/>
  <c r="BA48" i="13"/>
  <c r="BA41" i="13"/>
  <c r="BA33" i="13"/>
  <c r="BA29" i="13"/>
  <c r="BA28" i="13" s="1"/>
  <c r="BA24" i="13"/>
  <c r="BA20" i="13"/>
  <c r="J20" i="13"/>
  <c r="AV136" i="13" l="1"/>
  <c r="AW136" i="13" s="1"/>
  <c r="AU136" i="13"/>
  <c r="AV140" i="13"/>
  <c r="AW140" i="13" s="1"/>
  <c r="AU140" i="13"/>
  <c r="AV135" i="13"/>
  <c r="AW135" i="13" s="1"/>
  <c r="AU135" i="13"/>
  <c r="AV145" i="13"/>
  <c r="AW145" i="13" s="1"/>
  <c r="AU145" i="13"/>
  <c r="AV132" i="13"/>
  <c r="AW132" i="13" s="1"/>
  <c r="AU132" i="13"/>
  <c r="AV138" i="13"/>
  <c r="AW138" i="13" s="1"/>
  <c r="AU138" i="13"/>
  <c r="AV150" i="13"/>
  <c r="AW150" i="13" s="1"/>
  <c r="AU150" i="13"/>
  <c r="AV133" i="13"/>
  <c r="AW133" i="13" s="1"/>
  <c r="AU133" i="13"/>
  <c r="G12" i="24"/>
  <c r="J13" i="24"/>
  <c r="K13" i="24" s="1"/>
  <c r="I13" i="24"/>
  <c r="BD146" i="13"/>
  <c r="BD61" i="13" s="1"/>
  <c r="BD60" i="13" s="1"/>
  <c r="AV151" i="13"/>
  <c r="AW151" i="13" s="1"/>
  <c r="BD18" i="13"/>
  <c r="BD17" i="13" s="1"/>
  <c r="BD16" i="13" s="1"/>
  <c r="BD15" i="13" s="1"/>
  <c r="AV153" i="13"/>
  <c r="AW153" i="13" s="1"/>
  <c r="AV152" i="13"/>
  <c r="AW152" i="13" s="1"/>
  <c r="AV139" i="13"/>
  <c r="AW139" i="13" s="1"/>
  <c r="AV130" i="13"/>
  <c r="AW130" i="13" s="1"/>
  <c r="AL55" i="16"/>
  <c r="AM55" i="16" s="1"/>
  <c r="BB166" i="13"/>
  <c r="BB165" i="13" s="1"/>
  <c r="BC124" i="13"/>
  <c r="BC123" i="13" s="1"/>
  <c r="BA166" i="13"/>
  <c r="BA165" i="13" s="1"/>
  <c r="BB77" i="13"/>
  <c r="BB76" i="13" s="1"/>
  <c r="BC148" i="13"/>
  <c r="BC147" i="13" s="1"/>
  <c r="BC166" i="13"/>
  <c r="BC165" i="13" s="1"/>
  <c r="BB207" i="13"/>
  <c r="BC77" i="13"/>
  <c r="BC76" i="13" s="1"/>
  <c r="BB148" i="13"/>
  <c r="BB147" i="13" s="1"/>
  <c r="BB32" i="13"/>
  <c r="Q131" i="13"/>
  <c r="BA124" i="13"/>
  <c r="BA123" i="13" s="1"/>
  <c r="BB124" i="13"/>
  <c r="BB123" i="13" s="1"/>
  <c r="BC183" i="13"/>
  <c r="BC182" i="13" s="1"/>
  <c r="BC207" i="13"/>
  <c r="BC206" i="13" s="1"/>
  <c r="BC205" i="13" s="1"/>
  <c r="BC204" i="13" s="1"/>
  <c r="AU144" i="16"/>
  <c r="AV144" i="16"/>
  <c r="AT144" i="16"/>
  <c r="BB206" i="13"/>
  <c r="BB205" i="13" s="1"/>
  <c r="BB204" i="13" s="1"/>
  <c r="BB183" i="13"/>
  <c r="BB182" i="13" s="1"/>
  <c r="BC32" i="13"/>
  <c r="BC19" i="13"/>
  <c r="BA148" i="13"/>
  <c r="BA147" i="13" s="1"/>
  <c r="BA19" i="13"/>
  <c r="BA183" i="13"/>
  <c r="BA182" i="13" s="1"/>
  <c r="BA207" i="13"/>
  <c r="BA206" i="13" s="1"/>
  <c r="BA205" i="13" s="1"/>
  <c r="BA204" i="13" s="1"/>
  <c r="BB19" i="13"/>
  <c r="BA77" i="13"/>
  <c r="BA76" i="13" s="1"/>
  <c r="BA32" i="13"/>
  <c r="I12" i="24" l="1"/>
  <c r="J12" i="24"/>
  <c r="K12" i="24" s="1"/>
  <c r="C7" i="24"/>
  <c r="BD14" i="13"/>
  <c r="AN55" i="16"/>
  <c r="AO55" i="16" s="1"/>
  <c r="BA67" i="13"/>
  <c r="BC67" i="13"/>
  <c r="BB67" i="13"/>
  <c r="BC146" i="13"/>
  <c r="BB146" i="13"/>
  <c r="BA18" i="13"/>
  <c r="BA17" i="13" s="1"/>
  <c r="BA16" i="13" s="1"/>
  <c r="BA15" i="13" s="1"/>
  <c r="BB18" i="13"/>
  <c r="BB17" i="13" s="1"/>
  <c r="BB16" i="13" s="1"/>
  <c r="BB15" i="13" s="1"/>
  <c r="BA146" i="13"/>
  <c r="BC18" i="13"/>
  <c r="BC17" i="13" s="1"/>
  <c r="BC16" i="13" s="1"/>
  <c r="BC15" i="13" s="1"/>
  <c r="BA61" i="13" l="1"/>
  <c r="BA60" i="13" s="1"/>
  <c r="BA14" i="13" s="1"/>
  <c r="BC61" i="13"/>
  <c r="BC60" i="13" s="1"/>
  <c r="BC14" i="13" s="1"/>
  <c r="BB61" i="13"/>
  <c r="BB60" i="13" s="1"/>
  <c r="BB14" i="13" s="1"/>
  <c r="Q129" i="13"/>
  <c r="Q126" i="13"/>
  <c r="AT126" i="13" s="1"/>
  <c r="Q84" i="13"/>
  <c r="AV126" i="13" l="1"/>
  <c r="AW126" i="13" s="1"/>
  <c r="AU126" i="13"/>
  <c r="Q128" i="13"/>
  <c r="AT129" i="13"/>
  <c r="AU129" i="13" s="1"/>
  <c r="W4" i="16"/>
  <c r="AS48" i="13"/>
  <c r="W54" i="16"/>
  <c r="X54" i="16"/>
  <c r="Y54" i="16"/>
  <c r="Z54" i="16"/>
  <c r="AA54" i="16"/>
  <c r="AB54" i="16"/>
  <c r="AC54" i="16"/>
  <c r="AD54" i="16"/>
  <c r="AE54" i="16"/>
  <c r="AF54" i="16"/>
  <c r="W56" i="16"/>
  <c r="X56" i="16"/>
  <c r="Y56" i="16"/>
  <c r="Z56" i="16"/>
  <c r="AA56" i="16"/>
  <c r="AB56" i="16"/>
  <c r="AC56" i="16"/>
  <c r="AD56" i="16"/>
  <c r="AE56" i="16"/>
  <c r="AF56" i="16"/>
  <c r="W57" i="16"/>
  <c r="X57" i="16"/>
  <c r="Y57" i="16"/>
  <c r="Z57" i="16"/>
  <c r="AA57" i="16"/>
  <c r="AB57" i="16"/>
  <c r="AC57" i="16"/>
  <c r="AD57" i="16"/>
  <c r="AE57" i="16"/>
  <c r="AF57" i="16"/>
  <c r="W58" i="16"/>
  <c r="X58" i="16"/>
  <c r="Y58" i="16"/>
  <c r="Z58" i="16"/>
  <c r="AA58" i="16"/>
  <c r="AB58" i="16"/>
  <c r="AC58" i="16"/>
  <c r="AD58" i="16"/>
  <c r="AE58" i="16"/>
  <c r="AF58" i="16"/>
  <c r="AF53" i="16"/>
  <c r="AE53" i="16"/>
  <c r="AD53" i="16"/>
  <c r="AC53" i="16"/>
  <c r="AB53" i="16"/>
  <c r="AA53" i="16"/>
  <c r="Z53" i="16"/>
  <c r="Y53" i="16"/>
  <c r="X53" i="16"/>
  <c r="W53" i="16"/>
  <c r="J228" i="13"/>
  <c r="K228" i="13"/>
  <c r="K227" i="13" s="1"/>
  <c r="L228" i="13"/>
  <c r="L227" i="13" s="1"/>
  <c r="M228" i="13"/>
  <c r="M227" i="13" s="1"/>
  <c r="N228" i="13"/>
  <c r="N227" i="13" s="1"/>
  <c r="O228" i="13"/>
  <c r="O227" i="13" s="1"/>
  <c r="P228" i="13"/>
  <c r="P227" i="13" s="1"/>
  <c r="Q228" i="13"/>
  <c r="Q227" i="13" s="1"/>
  <c r="R228" i="13"/>
  <c r="R227" i="13" s="1"/>
  <c r="S228" i="13"/>
  <c r="S227" i="13" s="1"/>
  <c r="T228" i="13"/>
  <c r="T227" i="13" s="1"/>
  <c r="U228" i="13"/>
  <c r="U227" i="13" s="1"/>
  <c r="V228" i="13"/>
  <c r="V227" i="13" s="1"/>
  <c r="W228" i="13"/>
  <c r="W227" i="13" s="1"/>
  <c r="X228" i="13"/>
  <c r="X227" i="13" s="1"/>
  <c r="Y228" i="13"/>
  <c r="Y227" i="13" s="1"/>
  <c r="Z228" i="13"/>
  <c r="Z227" i="13" s="1"/>
  <c r="AA228" i="13"/>
  <c r="AA227" i="13" s="1"/>
  <c r="AB228" i="13"/>
  <c r="AB227" i="13" s="1"/>
  <c r="AC228" i="13"/>
  <c r="AC227" i="13" s="1"/>
  <c r="AD228" i="13"/>
  <c r="AD227" i="13" s="1"/>
  <c r="AE228" i="13"/>
  <c r="AE227" i="13" s="1"/>
  <c r="AF228" i="13"/>
  <c r="AF227" i="13" s="1"/>
  <c r="AG228" i="13"/>
  <c r="AG227" i="13" s="1"/>
  <c r="AH228" i="13"/>
  <c r="AH227" i="13" s="1"/>
  <c r="AI228" i="13"/>
  <c r="AI227" i="13" s="1"/>
  <c r="AJ228" i="13"/>
  <c r="AJ227" i="13" s="1"/>
  <c r="AK228" i="13"/>
  <c r="AK227" i="13" s="1"/>
  <c r="AL228" i="13"/>
  <c r="AL227" i="13" s="1"/>
  <c r="AM228" i="13"/>
  <c r="AM227" i="13" s="1"/>
  <c r="AN228" i="13"/>
  <c r="AN227" i="13" s="1"/>
  <c r="AO228" i="13"/>
  <c r="AO227" i="13" s="1"/>
  <c r="AP228" i="13"/>
  <c r="AP227" i="13" s="1"/>
  <c r="AQ228" i="13"/>
  <c r="AQ227" i="13" s="1"/>
  <c r="AR228" i="13"/>
  <c r="AR227" i="13" s="1"/>
  <c r="AS228" i="13"/>
  <c r="AS227" i="13" s="1"/>
  <c r="J208" i="13"/>
  <c r="K208" i="13"/>
  <c r="L208" i="13"/>
  <c r="M208" i="13"/>
  <c r="N208" i="13"/>
  <c r="O208" i="13"/>
  <c r="P208" i="13"/>
  <c r="Q208" i="13"/>
  <c r="R208" i="13"/>
  <c r="S208" i="13"/>
  <c r="T208" i="13"/>
  <c r="U208" i="13"/>
  <c r="V208" i="13"/>
  <c r="W208" i="13"/>
  <c r="X208" i="13"/>
  <c r="Y208" i="13"/>
  <c r="Z208" i="13"/>
  <c r="AA208" i="13"/>
  <c r="AB208" i="13"/>
  <c r="AC208" i="13"/>
  <c r="AD208" i="13"/>
  <c r="AE208" i="13"/>
  <c r="AF208" i="13"/>
  <c r="AG208" i="13"/>
  <c r="AH208" i="13"/>
  <c r="AI208" i="13"/>
  <c r="AJ208" i="13"/>
  <c r="AK208" i="13"/>
  <c r="AL208" i="13"/>
  <c r="AM208" i="13"/>
  <c r="AN208" i="13"/>
  <c r="AO208" i="13"/>
  <c r="AP208" i="13"/>
  <c r="AQ208" i="13"/>
  <c r="AR208" i="13"/>
  <c r="AS208" i="13"/>
  <c r="J184" i="13"/>
  <c r="K184" i="13"/>
  <c r="L184" i="13"/>
  <c r="M184" i="13"/>
  <c r="N184" i="13"/>
  <c r="O184" i="13"/>
  <c r="P184" i="13"/>
  <c r="Q184" i="13"/>
  <c r="R184" i="13"/>
  <c r="S184" i="13"/>
  <c r="T184" i="13"/>
  <c r="U184" i="13"/>
  <c r="V184" i="13"/>
  <c r="W184" i="13"/>
  <c r="X184" i="13"/>
  <c r="Y184" i="13"/>
  <c r="Z184" i="13"/>
  <c r="AA184" i="13"/>
  <c r="AB184" i="13"/>
  <c r="AC184" i="13"/>
  <c r="AD184" i="13"/>
  <c r="AE184" i="13"/>
  <c r="AF184" i="13"/>
  <c r="AG184" i="13"/>
  <c r="AH184" i="13"/>
  <c r="AI184" i="13"/>
  <c r="AJ184" i="13"/>
  <c r="AK184" i="13"/>
  <c r="AL184" i="13"/>
  <c r="AM184" i="13"/>
  <c r="AN184" i="13"/>
  <c r="AO184" i="13"/>
  <c r="AP184" i="13"/>
  <c r="AQ184" i="13"/>
  <c r="AR184" i="13"/>
  <c r="AS184" i="13"/>
  <c r="J167" i="13"/>
  <c r="K167" i="13"/>
  <c r="L167" i="13"/>
  <c r="M167" i="13"/>
  <c r="N167" i="13"/>
  <c r="O167" i="13"/>
  <c r="P167" i="13"/>
  <c r="Q167" i="13"/>
  <c r="R167" i="13"/>
  <c r="S167" i="13"/>
  <c r="T167" i="13"/>
  <c r="U167" i="13"/>
  <c r="V167" i="13"/>
  <c r="W167" i="13"/>
  <c r="X167" i="13"/>
  <c r="Y167" i="13"/>
  <c r="Z167" i="13"/>
  <c r="AA167" i="13"/>
  <c r="AB167" i="13"/>
  <c r="AC167" i="13"/>
  <c r="AD167" i="13"/>
  <c r="AE167" i="13"/>
  <c r="AF167" i="13"/>
  <c r="AG167" i="13"/>
  <c r="AH167" i="13"/>
  <c r="AI167" i="13"/>
  <c r="AJ167" i="13"/>
  <c r="AK167" i="13"/>
  <c r="AL167" i="13"/>
  <c r="AM167" i="13"/>
  <c r="AN167" i="13"/>
  <c r="AO167" i="13"/>
  <c r="AP167" i="13"/>
  <c r="AQ167" i="13"/>
  <c r="AR167" i="13"/>
  <c r="AS167" i="13"/>
  <c r="J149" i="13"/>
  <c r="J144" i="13"/>
  <c r="AT144" i="13" s="1"/>
  <c r="J128" i="13"/>
  <c r="J125" i="13"/>
  <c r="K125" i="13"/>
  <c r="L125" i="13"/>
  <c r="M125" i="13"/>
  <c r="N125" i="13"/>
  <c r="O125" i="13"/>
  <c r="P125" i="13"/>
  <c r="Q125" i="13"/>
  <c r="R125" i="13"/>
  <c r="S125" i="13"/>
  <c r="T125" i="13"/>
  <c r="U125" i="13"/>
  <c r="V125" i="13"/>
  <c r="W125" i="13"/>
  <c r="Y125" i="13"/>
  <c r="Z125" i="13"/>
  <c r="AA125" i="13"/>
  <c r="AB125" i="13"/>
  <c r="AC125" i="13"/>
  <c r="AD125" i="13"/>
  <c r="AE125" i="13"/>
  <c r="AF125" i="13"/>
  <c r="AG125" i="13"/>
  <c r="AH125" i="13"/>
  <c r="AI125" i="13"/>
  <c r="AJ125" i="13"/>
  <c r="AK125" i="13"/>
  <c r="AL125" i="13"/>
  <c r="AM125" i="13"/>
  <c r="AN125" i="13"/>
  <c r="AO125" i="13"/>
  <c r="AP125" i="13"/>
  <c r="AQ125" i="13"/>
  <c r="AR125" i="13"/>
  <c r="AS125" i="13"/>
  <c r="J118" i="13"/>
  <c r="K118" i="13"/>
  <c r="L118" i="13"/>
  <c r="M118" i="13"/>
  <c r="N118" i="13"/>
  <c r="O118" i="13"/>
  <c r="P118" i="13"/>
  <c r="Q118" i="13"/>
  <c r="R118" i="13"/>
  <c r="S118" i="13"/>
  <c r="T118" i="13"/>
  <c r="U118" i="13"/>
  <c r="V118" i="13"/>
  <c r="W118" i="13"/>
  <c r="Y118" i="13"/>
  <c r="Z118" i="13"/>
  <c r="AA118" i="13"/>
  <c r="AB118" i="13"/>
  <c r="AC118" i="13"/>
  <c r="AD118" i="13"/>
  <c r="AE118" i="13"/>
  <c r="AF118" i="13"/>
  <c r="AG118" i="13"/>
  <c r="AH118" i="13"/>
  <c r="AI118" i="13"/>
  <c r="AJ118" i="13"/>
  <c r="AK118" i="13"/>
  <c r="AL118" i="13"/>
  <c r="AM118" i="13"/>
  <c r="AN118" i="13"/>
  <c r="AO118" i="13"/>
  <c r="AP118" i="13"/>
  <c r="AQ118" i="13"/>
  <c r="AR118" i="13"/>
  <c r="AS118" i="13"/>
  <c r="AS113" i="13"/>
  <c r="AR113" i="13"/>
  <c r="AQ113" i="13"/>
  <c r="AP113" i="13"/>
  <c r="AO113" i="13"/>
  <c r="AN113" i="13"/>
  <c r="AM113" i="13"/>
  <c r="AL113" i="13"/>
  <c r="AK113" i="13"/>
  <c r="AJ113" i="13"/>
  <c r="AI113" i="13"/>
  <c r="AH113" i="13"/>
  <c r="AG113" i="13"/>
  <c r="AF113" i="13"/>
  <c r="AE113" i="13"/>
  <c r="AD113" i="13"/>
  <c r="AC113" i="13"/>
  <c r="AB113" i="13"/>
  <c r="AA113" i="13"/>
  <c r="Z113" i="13"/>
  <c r="Y113" i="13"/>
  <c r="W113" i="13"/>
  <c r="V113" i="13"/>
  <c r="U113" i="13"/>
  <c r="T113" i="13"/>
  <c r="S113" i="13"/>
  <c r="R113" i="13"/>
  <c r="Q113" i="13"/>
  <c r="P113" i="13"/>
  <c r="O113" i="13"/>
  <c r="N113" i="13"/>
  <c r="M113" i="13"/>
  <c r="L113" i="13"/>
  <c r="K113" i="13"/>
  <c r="J113" i="13"/>
  <c r="AS108" i="13"/>
  <c r="AR108" i="13"/>
  <c r="AQ108" i="13"/>
  <c r="AP108" i="13"/>
  <c r="AO108" i="13"/>
  <c r="AN108" i="13"/>
  <c r="AM108" i="13"/>
  <c r="AL108" i="13"/>
  <c r="AK108" i="13"/>
  <c r="AJ108" i="13"/>
  <c r="AI108" i="13"/>
  <c r="AH108" i="13"/>
  <c r="AG108" i="13"/>
  <c r="AF108" i="13"/>
  <c r="AE108" i="13"/>
  <c r="AD108" i="13"/>
  <c r="AC108" i="13"/>
  <c r="AB108" i="13"/>
  <c r="AA108" i="13"/>
  <c r="Z108" i="13"/>
  <c r="Y108" i="13"/>
  <c r="W108" i="13"/>
  <c r="V108" i="13"/>
  <c r="U108" i="13"/>
  <c r="T108" i="13"/>
  <c r="S108" i="13"/>
  <c r="R108" i="13"/>
  <c r="Q108" i="13"/>
  <c r="P108" i="13"/>
  <c r="O108" i="13"/>
  <c r="N108" i="13"/>
  <c r="M108" i="13"/>
  <c r="L108" i="13"/>
  <c r="K108" i="13"/>
  <c r="J108" i="13"/>
  <c r="AS102" i="13"/>
  <c r="AR102" i="13"/>
  <c r="AQ102" i="13"/>
  <c r="AP102" i="13"/>
  <c r="AO102" i="13"/>
  <c r="AN102" i="13"/>
  <c r="AM102" i="13"/>
  <c r="AL102" i="13"/>
  <c r="AK102" i="13"/>
  <c r="AJ102" i="13"/>
  <c r="AI102" i="13"/>
  <c r="AH102" i="13"/>
  <c r="AG102" i="13"/>
  <c r="AF102" i="13"/>
  <c r="AE102" i="13"/>
  <c r="AD102" i="13"/>
  <c r="AC102" i="13"/>
  <c r="AB102" i="13"/>
  <c r="AA102" i="13"/>
  <c r="Z102" i="13"/>
  <c r="Y102" i="13"/>
  <c r="W102" i="13"/>
  <c r="V102" i="13"/>
  <c r="U102" i="13"/>
  <c r="T102" i="13"/>
  <c r="S102" i="13"/>
  <c r="R102" i="13"/>
  <c r="Q102" i="13"/>
  <c r="P102" i="13"/>
  <c r="O102" i="13"/>
  <c r="N102" i="13"/>
  <c r="M102" i="13"/>
  <c r="L102" i="13"/>
  <c r="K102" i="13"/>
  <c r="J102" i="13"/>
  <c r="AS95" i="13"/>
  <c r="AR95" i="13"/>
  <c r="AQ95" i="13"/>
  <c r="AP95" i="13"/>
  <c r="AO95" i="13"/>
  <c r="AN95" i="13"/>
  <c r="AM95" i="13"/>
  <c r="AL95" i="13"/>
  <c r="AK95" i="13"/>
  <c r="AJ95" i="13"/>
  <c r="AI95" i="13"/>
  <c r="AH95" i="13"/>
  <c r="AG95" i="13"/>
  <c r="AF95" i="13"/>
  <c r="AE95" i="13"/>
  <c r="AD95" i="13"/>
  <c r="AC95" i="13"/>
  <c r="AB95" i="13"/>
  <c r="AA95" i="13"/>
  <c r="Z95" i="13"/>
  <c r="Y95" i="13"/>
  <c r="W95" i="13"/>
  <c r="V95" i="13"/>
  <c r="U95" i="13"/>
  <c r="T95" i="13"/>
  <c r="S95" i="13"/>
  <c r="R95" i="13"/>
  <c r="Q95" i="13"/>
  <c r="P95" i="13"/>
  <c r="O95" i="13"/>
  <c r="N95" i="13"/>
  <c r="M95" i="13"/>
  <c r="L95" i="13"/>
  <c r="K95" i="13"/>
  <c r="J95" i="13"/>
  <c r="AS91" i="13"/>
  <c r="AR91" i="13"/>
  <c r="AQ91" i="13"/>
  <c r="AP91" i="13"/>
  <c r="AO91" i="13"/>
  <c r="AN91" i="13"/>
  <c r="AM91" i="13"/>
  <c r="AL91" i="13"/>
  <c r="AK91" i="13"/>
  <c r="AJ91" i="13"/>
  <c r="AI91" i="13"/>
  <c r="AH91" i="13"/>
  <c r="AG91" i="13"/>
  <c r="AF91" i="13"/>
  <c r="AE91" i="13"/>
  <c r="AD91" i="13"/>
  <c r="AC91" i="13"/>
  <c r="AB91" i="13"/>
  <c r="AA91" i="13"/>
  <c r="Z91" i="13"/>
  <c r="Y91" i="13"/>
  <c r="W91" i="13"/>
  <c r="V91" i="13"/>
  <c r="U91" i="13"/>
  <c r="T91" i="13"/>
  <c r="S91" i="13"/>
  <c r="R91" i="13"/>
  <c r="Q91" i="13"/>
  <c r="P91" i="13"/>
  <c r="O91" i="13"/>
  <c r="N91" i="13"/>
  <c r="M91" i="13"/>
  <c r="L91" i="13"/>
  <c r="K91" i="13"/>
  <c r="J91" i="13"/>
  <c r="AS86" i="13"/>
  <c r="AR86" i="13"/>
  <c r="AQ86" i="13"/>
  <c r="AP86" i="13"/>
  <c r="AO86" i="13"/>
  <c r="AN86" i="13"/>
  <c r="AM86" i="13"/>
  <c r="AL86" i="13"/>
  <c r="AK86" i="13"/>
  <c r="AJ86" i="13"/>
  <c r="AI86" i="13"/>
  <c r="AH86" i="13"/>
  <c r="AG86" i="13"/>
  <c r="AF86" i="13"/>
  <c r="AE86" i="13"/>
  <c r="AD86" i="13"/>
  <c r="AC86" i="13"/>
  <c r="AB86" i="13"/>
  <c r="AA86" i="13"/>
  <c r="Z86" i="13"/>
  <c r="Y86" i="13"/>
  <c r="V86" i="13"/>
  <c r="U86" i="13"/>
  <c r="T86" i="13"/>
  <c r="S86" i="13"/>
  <c r="R86" i="13"/>
  <c r="Q86" i="13"/>
  <c r="P86" i="13"/>
  <c r="O86" i="13"/>
  <c r="N86" i="13"/>
  <c r="M86" i="13"/>
  <c r="L86" i="13"/>
  <c r="K86" i="13"/>
  <c r="J86" i="13"/>
  <c r="AS82" i="13"/>
  <c r="AR82" i="13"/>
  <c r="AQ82" i="13"/>
  <c r="AP82" i="13"/>
  <c r="AO82" i="13"/>
  <c r="AN82" i="13"/>
  <c r="AM82" i="13"/>
  <c r="AL82" i="13"/>
  <c r="AK82" i="13"/>
  <c r="AJ82" i="13"/>
  <c r="AI82" i="13"/>
  <c r="AH82" i="13"/>
  <c r="AG82" i="13"/>
  <c r="AF82" i="13"/>
  <c r="AE82" i="13"/>
  <c r="AD82" i="13"/>
  <c r="AC82" i="13"/>
  <c r="AB82" i="13"/>
  <c r="AA82" i="13"/>
  <c r="Z82" i="13"/>
  <c r="Y82" i="13"/>
  <c r="W82" i="13"/>
  <c r="V82" i="13"/>
  <c r="U82" i="13"/>
  <c r="T82" i="13"/>
  <c r="S82" i="13"/>
  <c r="R82" i="13"/>
  <c r="Q82" i="13"/>
  <c r="P82" i="13"/>
  <c r="O82" i="13"/>
  <c r="N82" i="13"/>
  <c r="M82" i="13"/>
  <c r="L82" i="13"/>
  <c r="K82" i="13"/>
  <c r="J82" i="13"/>
  <c r="AS78" i="13"/>
  <c r="AR78" i="13"/>
  <c r="AQ78" i="13"/>
  <c r="AP78" i="13"/>
  <c r="AO78" i="13"/>
  <c r="AN78" i="13"/>
  <c r="AM78" i="13"/>
  <c r="AL78" i="13"/>
  <c r="AK78" i="13"/>
  <c r="AJ78" i="13"/>
  <c r="AI78" i="13"/>
  <c r="AH78" i="13"/>
  <c r="AG78" i="13"/>
  <c r="AF78" i="13"/>
  <c r="AE78" i="13"/>
  <c r="AD78" i="13"/>
  <c r="AC78" i="13"/>
  <c r="AB78" i="13"/>
  <c r="AA78" i="13"/>
  <c r="Z78" i="13"/>
  <c r="Y78" i="13"/>
  <c r="W78" i="13"/>
  <c r="V78" i="13"/>
  <c r="U78" i="13"/>
  <c r="T78" i="13"/>
  <c r="S78" i="13"/>
  <c r="R78" i="13"/>
  <c r="Q78" i="13"/>
  <c r="P78" i="13"/>
  <c r="O78" i="13"/>
  <c r="N78" i="13"/>
  <c r="M78" i="13"/>
  <c r="L78" i="13"/>
  <c r="K78" i="13"/>
  <c r="J78" i="13"/>
  <c r="AS70" i="13"/>
  <c r="AS69" i="13" s="1"/>
  <c r="AS68" i="13" s="1"/>
  <c r="AR70" i="13"/>
  <c r="AR69" i="13" s="1"/>
  <c r="AR68" i="13" s="1"/>
  <c r="AQ70" i="13"/>
  <c r="AQ69" i="13" s="1"/>
  <c r="AQ68" i="13" s="1"/>
  <c r="AP70" i="13"/>
  <c r="AP69" i="13" s="1"/>
  <c r="AP68" i="13" s="1"/>
  <c r="AO70" i="13"/>
  <c r="AO69" i="13" s="1"/>
  <c r="AO68" i="13" s="1"/>
  <c r="AN70" i="13"/>
  <c r="AN69" i="13" s="1"/>
  <c r="AN68" i="13" s="1"/>
  <c r="AM70" i="13"/>
  <c r="AM69" i="13" s="1"/>
  <c r="AM68" i="13" s="1"/>
  <c r="AL70" i="13"/>
  <c r="AK70" i="13"/>
  <c r="AK69" i="13" s="1"/>
  <c r="AK68" i="13" s="1"/>
  <c r="AJ70" i="13"/>
  <c r="AJ69" i="13" s="1"/>
  <c r="AJ68" i="13" s="1"/>
  <c r="AI70" i="13"/>
  <c r="AI69" i="13" s="1"/>
  <c r="AI68" i="13" s="1"/>
  <c r="AH70" i="13"/>
  <c r="AH69" i="13" s="1"/>
  <c r="AH68" i="13" s="1"/>
  <c r="AG70" i="13"/>
  <c r="AG69" i="13" s="1"/>
  <c r="AG68" i="13" s="1"/>
  <c r="AF70" i="13"/>
  <c r="AF69" i="13" s="1"/>
  <c r="AF68" i="13" s="1"/>
  <c r="AE70" i="13"/>
  <c r="AE69" i="13" s="1"/>
  <c r="AE68" i="13" s="1"/>
  <c r="AD70" i="13"/>
  <c r="AD69" i="13" s="1"/>
  <c r="AD68" i="13" s="1"/>
  <c r="AC70" i="13"/>
  <c r="AC69" i="13" s="1"/>
  <c r="AC68" i="13" s="1"/>
  <c r="AB70" i="13"/>
  <c r="AB69" i="13" s="1"/>
  <c r="AB68" i="13" s="1"/>
  <c r="AA70" i="13"/>
  <c r="AA69" i="13" s="1"/>
  <c r="AA68" i="13" s="1"/>
  <c r="Z70" i="13"/>
  <c r="Z69" i="13" s="1"/>
  <c r="Z68" i="13" s="1"/>
  <c r="Y70" i="13"/>
  <c r="Y69" i="13" s="1"/>
  <c r="Y68" i="13" s="1"/>
  <c r="W70" i="13"/>
  <c r="W69" i="13" s="1"/>
  <c r="W68" i="13" s="1"/>
  <c r="V70" i="13"/>
  <c r="V69" i="13" s="1"/>
  <c r="V68" i="13" s="1"/>
  <c r="U70" i="13"/>
  <c r="U69" i="13" s="1"/>
  <c r="U68" i="13" s="1"/>
  <c r="T70" i="13"/>
  <c r="T69" i="13" s="1"/>
  <c r="T68" i="13" s="1"/>
  <c r="S70" i="13"/>
  <c r="S69" i="13" s="1"/>
  <c r="S68" i="13" s="1"/>
  <c r="R70" i="13"/>
  <c r="R69" i="13" s="1"/>
  <c r="R68" i="13" s="1"/>
  <c r="Q70" i="13"/>
  <c r="Q69" i="13" s="1"/>
  <c r="Q68" i="13" s="1"/>
  <c r="P70" i="13"/>
  <c r="P69" i="13" s="1"/>
  <c r="P68" i="13" s="1"/>
  <c r="O70" i="13"/>
  <c r="O69" i="13" s="1"/>
  <c r="O68" i="13" s="1"/>
  <c r="N70" i="13"/>
  <c r="N69" i="13" s="1"/>
  <c r="N68" i="13" s="1"/>
  <c r="M70" i="13"/>
  <c r="M69" i="13" s="1"/>
  <c r="M68" i="13" s="1"/>
  <c r="L70" i="13"/>
  <c r="L69" i="13" s="1"/>
  <c r="L68" i="13" s="1"/>
  <c r="K70" i="13"/>
  <c r="K69" i="13" s="1"/>
  <c r="K68" i="13" s="1"/>
  <c r="J70" i="13"/>
  <c r="J69" i="13" s="1"/>
  <c r="J68" i="13" s="1"/>
  <c r="AL69" i="13"/>
  <c r="AL68" i="13" s="1"/>
  <c r="AS65" i="13"/>
  <c r="AS64" i="13" s="1"/>
  <c r="AS63" i="13" s="1"/>
  <c r="AS62" i="13" s="1"/>
  <c r="AR65" i="13"/>
  <c r="AR64" i="13" s="1"/>
  <c r="AR63" i="13" s="1"/>
  <c r="AR62" i="13" s="1"/>
  <c r="AQ65" i="13"/>
  <c r="AQ64" i="13" s="1"/>
  <c r="AQ63" i="13" s="1"/>
  <c r="AQ62" i="13" s="1"/>
  <c r="AP65" i="13"/>
  <c r="AP64" i="13" s="1"/>
  <c r="AP63" i="13" s="1"/>
  <c r="AP62" i="13" s="1"/>
  <c r="AO65" i="13"/>
  <c r="AO64" i="13" s="1"/>
  <c r="AO63" i="13" s="1"/>
  <c r="AO62" i="13" s="1"/>
  <c r="AN65" i="13"/>
  <c r="AN64" i="13" s="1"/>
  <c r="AN63" i="13" s="1"/>
  <c r="AN62" i="13" s="1"/>
  <c r="AM65" i="13"/>
  <c r="AM64" i="13" s="1"/>
  <c r="AM63" i="13" s="1"/>
  <c r="AM62" i="13" s="1"/>
  <c r="AL65" i="13"/>
  <c r="AL64" i="13" s="1"/>
  <c r="AL63" i="13" s="1"/>
  <c r="AL62" i="13" s="1"/>
  <c r="AK65" i="13"/>
  <c r="AK64" i="13" s="1"/>
  <c r="AK63" i="13" s="1"/>
  <c r="AK62" i="13" s="1"/>
  <c r="AJ65" i="13"/>
  <c r="AJ64" i="13" s="1"/>
  <c r="AJ63" i="13" s="1"/>
  <c r="AJ62" i="13" s="1"/>
  <c r="AI65" i="13"/>
  <c r="AI64" i="13" s="1"/>
  <c r="AI63" i="13" s="1"/>
  <c r="AI62" i="13" s="1"/>
  <c r="AH65" i="13"/>
  <c r="AH64" i="13" s="1"/>
  <c r="AH63" i="13" s="1"/>
  <c r="AH62" i="13" s="1"/>
  <c r="AG65" i="13"/>
  <c r="AG64" i="13" s="1"/>
  <c r="AG63" i="13" s="1"/>
  <c r="AG62" i="13" s="1"/>
  <c r="AF65" i="13"/>
  <c r="AF64" i="13" s="1"/>
  <c r="AF63" i="13" s="1"/>
  <c r="AF62" i="13" s="1"/>
  <c r="AE65" i="13"/>
  <c r="AE64" i="13" s="1"/>
  <c r="AE63" i="13" s="1"/>
  <c r="AE62" i="13" s="1"/>
  <c r="AD65" i="13"/>
  <c r="AD64" i="13" s="1"/>
  <c r="AD63" i="13" s="1"/>
  <c r="AD62" i="13" s="1"/>
  <c r="AC65" i="13"/>
  <c r="AC64" i="13" s="1"/>
  <c r="AC63" i="13" s="1"/>
  <c r="AC62" i="13" s="1"/>
  <c r="AB65" i="13"/>
  <c r="AB64" i="13" s="1"/>
  <c r="AB63" i="13" s="1"/>
  <c r="AB62" i="13" s="1"/>
  <c r="AA65" i="13"/>
  <c r="AA64" i="13" s="1"/>
  <c r="AA63" i="13" s="1"/>
  <c r="AA62" i="13" s="1"/>
  <c r="Z65" i="13"/>
  <c r="Z64" i="13" s="1"/>
  <c r="Z63" i="13" s="1"/>
  <c r="Z62" i="13" s="1"/>
  <c r="Y65" i="13"/>
  <c r="Y64" i="13" s="1"/>
  <c r="Y63" i="13" s="1"/>
  <c r="Y62" i="13" s="1"/>
  <c r="W65" i="13"/>
  <c r="W64" i="13" s="1"/>
  <c r="W63" i="13" s="1"/>
  <c r="W62" i="13" s="1"/>
  <c r="V65" i="13"/>
  <c r="V64" i="13" s="1"/>
  <c r="V63" i="13" s="1"/>
  <c r="V62" i="13" s="1"/>
  <c r="U65" i="13"/>
  <c r="U64" i="13" s="1"/>
  <c r="U63" i="13" s="1"/>
  <c r="U62" i="13" s="1"/>
  <c r="T65" i="13"/>
  <c r="T64" i="13" s="1"/>
  <c r="T63" i="13" s="1"/>
  <c r="T62" i="13" s="1"/>
  <c r="S65" i="13"/>
  <c r="S64" i="13" s="1"/>
  <c r="S63" i="13" s="1"/>
  <c r="S62" i="13" s="1"/>
  <c r="R65" i="13"/>
  <c r="R64" i="13" s="1"/>
  <c r="R63" i="13" s="1"/>
  <c r="R62" i="13" s="1"/>
  <c r="Q65" i="13"/>
  <c r="Q64" i="13" s="1"/>
  <c r="Q63" i="13" s="1"/>
  <c r="Q62" i="13" s="1"/>
  <c r="P65" i="13"/>
  <c r="P64" i="13" s="1"/>
  <c r="P63" i="13" s="1"/>
  <c r="P62" i="13" s="1"/>
  <c r="O65" i="13"/>
  <c r="O64" i="13" s="1"/>
  <c r="O63" i="13" s="1"/>
  <c r="O62" i="13" s="1"/>
  <c r="N65" i="13"/>
  <c r="N64" i="13" s="1"/>
  <c r="N63" i="13" s="1"/>
  <c r="N62" i="13" s="1"/>
  <c r="M65" i="13"/>
  <c r="M64" i="13" s="1"/>
  <c r="M63" i="13" s="1"/>
  <c r="M62" i="13" s="1"/>
  <c r="L65" i="13"/>
  <c r="L64" i="13" s="1"/>
  <c r="L63" i="13" s="1"/>
  <c r="L62" i="13" s="1"/>
  <c r="K65" i="13"/>
  <c r="K64" i="13" s="1"/>
  <c r="K63" i="13" s="1"/>
  <c r="K62" i="13" s="1"/>
  <c r="J65" i="13"/>
  <c r="J64" i="13" s="1"/>
  <c r="AS54" i="13"/>
  <c r="AS53" i="13" s="1"/>
  <c r="AR54" i="13"/>
  <c r="AR53" i="13" s="1"/>
  <c r="AQ54" i="13"/>
  <c r="AQ53"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C54" i="13"/>
  <c r="AC53" i="13" s="1"/>
  <c r="AB54" i="13"/>
  <c r="AB53" i="13" s="1"/>
  <c r="AA54" i="13"/>
  <c r="AA53" i="13" s="1"/>
  <c r="Z54" i="13"/>
  <c r="Z53" i="13" s="1"/>
  <c r="Y54" i="13"/>
  <c r="Y53" i="13" s="1"/>
  <c r="W54" i="13"/>
  <c r="W53" i="13" s="1"/>
  <c r="V54" i="13"/>
  <c r="V53" i="13" s="1"/>
  <c r="U54" i="13"/>
  <c r="U53" i="13" s="1"/>
  <c r="T54" i="13"/>
  <c r="T53" i="13" s="1"/>
  <c r="S54" i="13"/>
  <c r="S53" i="13" s="1"/>
  <c r="R54" i="13"/>
  <c r="R53" i="13" s="1"/>
  <c r="Q54" i="13"/>
  <c r="Q53" i="13" s="1"/>
  <c r="P54" i="13"/>
  <c r="P53" i="13" s="1"/>
  <c r="O54" i="13"/>
  <c r="O53" i="13" s="1"/>
  <c r="N54" i="13"/>
  <c r="N53" i="13" s="1"/>
  <c r="M54" i="13"/>
  <c r="M53" i="13" s="1"/>
  <c r="L54" i="13"/>
  <c r="L53" i="13" s="1"/>
  <c r="K54" i="13"/>
  <c r="K53" i="13" s="1"/>
  <c r="J54" i="13"/>
  <c r="AR48" i="13"/>
  <c r="AQ48" i="13"/>
  <c r="AP48" i="13"/>
  <c r="AO48" i="13"/>
  <c r="AN48" i="13"/>
  <c r="AM48" i="13"/>
  <c r="AL48" i="13"/>
  <c r="AK48" i="13"/>
  <c r="AJ48" i="13"/>
  <c r="AI48" i="13"/>
  <c r="AH48" i="13"/>
  <c r="AG48" i="13"/>
  <c r="AF48" i="13"/>
  <c r="AE48" i="13"/>
  <c r="AD48" i="13"/>
  <c r="AC48" i="13"/>
  <c r="AB48" i="13"/>
  <c r="AA48" i="13"/>
  <c r="Z48" i="13"/>
  <c r="Y48" i="13"/>
  <c r="W48" i="13"/>
  <c r="V48" i="13"/>
  <c r="U48" i="13"/>
  <c r="T48" i="13"/>
  <c r="S48" i="13"/>
  <c r="R48" i="13"/>
  <c r="Q48" i="13"/>
  <c r="P48" i="13"/>
  <c r="O48" i="13"/>
  <c r="N48" i="13"/>
  <c r="M48" i="13"/>
  <c r="L48" i="13"/>
  <c r="K48" i="13"/>
  <c r="J48" i="13"/>
  <c r="AS41" i="13"/>
  <c r="AR41" i="13"/>
  <c r="AQ41" i="13"/>
  <c r="AP41" i="13"/>
  <c r="AO41" i="13"/>
  <c r="AN41" i="13"/>
  <c r="AM41" i="13"/>
  <c r="AL41" i="13"/>
  <c r="AK41" i="13"/>
  <c r="AJ41" i="13"/>
  <c r="AI41" i="13"/>
  <c r="AH41" i="13"/>
  <c r="AG41" i="13"/>
  <c r="AF41" i="13"/>
  <c r="AE41" i="13"/>
  <c r="AD41" i="13"/>
  <c r="AC41" i="13"/>
  <c r="AB41" i="13"/>
  <c r="AA41" i="13"/>
  <c r="Z41" i="13"/>
  <c r="Y41" i="13"/>
  <c r="W41" i="13"/>
  <c r="V41" i="13"/>
  <c r="U41" i="13"/>
  <c r="T41" i="13"/>
  <c r="S41" i="13"/>
  <c r="R41" i="13"/>
  <c r="Q41" i="13"/>
  <c r="P41" i="13"/>
  <c r="O41" i="13"/>
  <c r="N41" i="13"/>
  <c r="M41" i="13"/>
  <c r="L41" i="13"/>
  <c r="K41" i="13"/>
  <c r="J41" i="13"/>
  <c r="AS33" i="13"/>
  <c r="AR33" i="13"/>
  <c r="AQ33" i="13"/>
  <c r="AP33" i="13"/>
  <c r="AO33" i="13"/>
  <c r="AN33" i="13"/>
  <c r="AM33" i="13"/>
  <c r="AL33" i="13"/>
  <c r="AK33" i="13"/>
  <c r="AJ33" i="13"/>
  <c r="AI33" i="13"/>
  <c r="AH33" i="13"/>
  <c r="AG33" i="13"/>
  <c r="AF33" i="13"/>
  <c r="AE33" i="13"/>
  <c r="AD33" i="13"/>
  <c r="AC33" i="13"/>
  <c r="AB33" i="13"/>
  <c r="AA33" i="13"/>
  <c r="Z33" i="13"/>
  <c r="Y33" i="13"/>
  <c r="W33" i="13"/>
  <c r="V33" i="13"/>
  <c r="U33" i="13"/>
  <c r="T33" i="13"/>
  <c r="S33" i="13"/>
  <c r="R33" i="13"/>
  <c r="Q33" i="13"/>
  <c r="P33" i="13"/>
  <c r="O33" i="13"/>
  <c r="N33" i="13"/>
  <c r="M33" i="13"/>
  <c r="L33" i="13"/>
  <c r="K33" i="13"/>
  <c r="J33" i="13"/>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V29" i="13"/>
  <c r="V28" i="13" s="1"/>
  <c r="W29" i="13"/>
  <c r="W28" i="13" s="1"/>
  <c r="Y29" i="13"/>
  <c r="Y28" i="13" s="1"/>
  <c r="Z29" i="13"/>
  <c r="Z28" i="13" s="1"/>
  <c r="AA29" i="13"/>
  <c r="AA28" i="13" s="1"/>
  <c r="AB29" i="13"/>
  <c r="AB28" i="13" s="1"/>
  <c r="AC29" i="13"/>
  <c r="AC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AQ29" i="13"/>
  <c r="AQ28" i="13" s="1"/>
  <c r="AR29" i="13"/>
  <c r="AR28" i="13" s="1"/>
  <c r="AS29" i="13"/>
  <c r="AS28" i="13" s="1"/>
  <c r="J24" i="13"/>
  <c r="K24" i="13"/>
  <c r="L24" i="13"/>
  <c r="M24" i="13"/>
  <c r="N24" i="13"/>
  <c r="O24" i="13"/>
  <c r="P24" i="13"/>
  <c r="Q24" i="13"/>
  <c r="R24" i="13"/>
  <c r="S24" i="13"/>
  <c r="T24" i="13"/>
  <c r="U24" i="13"/>
  <c r="V24" i="13"/>
  <c r="W24" i="13"/>
  <c r="Y24" i="13"/>
  <c r="Z24" i="13"/>
  <c r="AA24" i="13"/>
  <c r="AB24" i="13"/>
  <c r="AC24" i="13"/>
  <c r="AD24" i="13"/>
  <c r="AE24" i="13"/>
  <c r="AF24" i="13"/>
  <c r="AG24" i="13"/>
  <c r="AH24" i="13"/>
  <c r="AI24" i="13"/>
  <c r="AJ24" i="13"/>
  <c r="AK24" i="13"/>
  <c r="AL24" i="13"/>
  <c r="AM24" i="13"/>
  <c r="AN24" i="13"/>
  <c r="AO24" i="13"/>
  <c r="AP24" i="13"/>
  <c r="AQ24" i="13"/>
  <c r="AR24" i="13"/>
  <c r="AS24"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AS20" i="13"/>
  <c r="F24" i="13"/>
  <c r="J154" i="13"/>
  <c r="J134" i="13"/>
  <c r="J131" i="13"/>
  <c r="J178" i="13"/>
  <c r="K178" i="13"/>
  <c r="K177" i="13" s="1"/>
  <c r="L178" i="13"/>
  <c r="L177" i="13" s="1"/>
  <c r="M178" i="13"/>
  <c r="M177" i="13" s="1"/>
  <c r="N178" i="13"/>
  <c r="N177" i="13" s="1"/>
  <c r="O178" i="13"/>
  <c r="O177" i="13" s="1"/>
  <c r="P178" i="13"/>
  <c r="P177" i="13" s="1"/>
  <c r="Q178" i="13"/>
  <c r="Q177" i="13" s="1"/>
  <c r="R178" i="13"/>
  <c r="R177" i="13" s="1"/>
  <c r="S178" i="13"/>
  <c r="S177" i="13" s="1"/>
  <c r="T178" i="13"/>
  <c r="T177" i="13" s="1"/>
  <c r="U178" i="13"/>
  <c r="U177" i="13" s="1"/>
  <c r="V178" i="13"/>
  <c r="V177" i="13" s="1"/>
  <c r="W178" i="13"/>
  <c r="W177" i="13" s="1"/>
  <c r="X178" i="13"/>
  <c r="X177" i="13" s="1"/>
  <c r="Y178" i="13"/>
  <c r="Y177" i="13" s="1"/>
  <c r="Z178" i="13"/>
  <c r="Z177" i="13" s="1"/>
  <c r="AA178" i="13"/>
  <c r="AA177" i="13" s="1"/>
  <c r="AB178" i="13"/>
  <c r="AB177" i="13" s="1"/>
  <c r="AC178" i="13"/>
  <c r="AC177" i="13" s="1"/>
  <c r="AD178" i="13"/>
  <c r="AD177" i="13" s="1"/>
  <c r="AE178" i="13"/>
  <c r="AE177" i="13" s="1"/>
  <c r="AF178" i="13"/>
  <c r="AF177" i="13" s="1"/>
  <c r="AG178" i="13"/>
  <c r="AG177" i="13" s="1"/>
  <c r="AH178" i="13"/>
  <c r="AH177" i="13" s="1"/>
  <c r="AI178" i="13"/>
  <c r="AI177" i="13" s="1"/>
  <c r="AJ178" i="13"/>
  <c r="AJ177" i="13" s="1"/>
  <c r="AK178" i="13"/>
  <c r="AK177" i="13" s="1"/>
  <c r="AL178" i="13"/>
  <c r="AL177" i="13" s="1"/>
  <c r="AM178" i="13"/>
  <c r="AM177" i="13" s="1"/>
  <c r="AN178" i="13"/>
  <c r="AN177" i="13" s="1"/>
  <c r="AO178" i="13"/>
  <c r="AO177" i="13" s="1"/>
  <c r="AP178" i="13"/>
  <c r="AP177" i="13" s="1"/>
  <c r="AQ178" i="13"/>
  <c r="AQ177" i="13" s="1"/>
  <c r="AR178" i="13"/>
  <c r="AR177" i="13" s="1"/>
  <c r="AS178" i="13"/>
  <c r="AS177" i="13" s="1"/>
  <c r="J171" i="13"/>
  <c r="K171" i="13"/>
  <c r="L171" i="13"/>
  <c r="M171" i="13"/>
  <c r="N171" i="13"/>
  <c r="O171" i="13"/>
  <c r="P171" i="13"/>
  <c r="Q171" i="13"/>
  <c r="R171" i="13"/>
  <c r="S171" i="13"/>
  <c r="T171" i="13"/>
  <c r="U171" i="13"/>
  <c r="V171" i="13"/>
  <c r="W171" i="13"/>
  <c r="X171" i="13"/>
  <c r="Y171" i="13"/>
  <c r="Z171" i="13"/>
  <c r="AA171" i="13"/>
  <c r="AB171" i="13"/>
  <c r="AC171" i="13"/>
  <c r="AD171" i="13"/>
  <c r="AE171" i="13"/>
  <c r="AF171" i="13"/>
  <c r="AG171" i="13"/>
  <c r="AH171" i="13"/>
  <c r="AI171" i="13"/>
  <c r="AJ171" i="13"/>
  <c r="AK171" i="13"/>
  <c r="AL171" i="13"/>
  <c r="AM171" i="13"/>
  <c r="AN171" i="13"/>
  <c r="AO171" i="13"/>
  <c r="AP171" i="13"/>
  <c r="AQ171" i="13"/>
  <c r="AR171" i="13"/>
  <c r="AS171" i="13"/>
  <c r="J160" i="13"/>
  <c r="K160" i="13"/>
  <c r="K148" i="13" s="1"/>
  <c r="K147" i="13" s="1"/>
  <c r="L160" i="13"/>
  <c r="L148" i="13" s="1"/>
  <c r="L147" i="13" s="1"/>
  <c r="M160" i="13"/>
  <c r="M148" i="13" s="1"/>
  <c r="M147" i="13" s="1"/>
  <c r="N160" i="13"/>
  <c r="N148" i="13" s="1"/>
  <c r="N147" i="13" s="1"/>
  <c r="O160" i="13"/>
  <c r="O148" i="13" s="1"/>
  <c r="O147" i="13" s="1"/>
  <c r="P160" i="13"/>
  <c r="P148" i="13" s="1"/>
  <c r="P147" i="13" s="1"/>
  <c r="Q160" i="13"/>
  <c r="Q148" i="13" s="1"/>
  <c r="Q147" i="13" s="1"/>
  <c r="R160" i="13"/>
  <c r="R148" i="13" s="1"/>
  <c r="R147" i="13" s="1"/>
  <c r="F29" i="13"/>
  <c r="H546" i="21"/>
  <c r="G546" i="21"/>
  <c r="G545" i="21" s="1"/>
  <c r="H545" i="21"/>
  <c r="H544" i="21"/>
  <c r="G544" i="21"/>
  <c r="H543" i="21"/>
  <c r="G543" i="21"/>
  <c r="H542" i="21"/>
  <c r="G542" i="21"/>
  <c r="H541" i="21"/>
  <c r="G541" i="21"/>
  <c r="H540" i="21"/>
  <c r="G540" i="21"/>
  <c r="G539" i="21" s="1"/>
  <c r="H539" i="21"/>
  <c r="H538" i="21"/>
  <c r="H537" i="21"/>
  <c r="H536" i="21"/>
  <c r="G536" i="21"/>
  <c r="G535" i="21" s="1"/>
  <c r="G534" i="21" s="1"/>
  <c r="H535" i="21"/>
  <c r="H534" i="21"/>
  <c r="H533" i="21"/>
  <c r="G533" i="21"/>
  <c r="G532" i="21" s="1"/>
  <c r="H532" i="21"/>
  <c r="H531" i="21"/>
  <c r="G531" i="21"/>
  <c r="G530" i="21" s="1"/>
  <c r="H530" i="21"/>
  <c r="H529" i="21"/>
  <c r="G529" i="21"/>
  <c r="H528" i="21"/>
  <c r="G528" i="21"/>
  <c r="H527" i="21"/>
  <c r="G527" i="21"/>
  <c r="H526" i="21"/>
  <c r="H525" i="21"/>
  <c r="H524" i="21"/>
  <c r="G524" i="21"/>
  <c r="H523" i="21"/>
  <c r="G523" i="21"/>
  <c r="H522" i="21"/>
  <c r="H521" i="21"/>
  <c r="G521" i="21"/>
  <c r="G520" i="21" s="1"/>
  <c r="H520" i="21"/>
  <c r="H519" i="21"/>
  <c r="G519" i="21"/>
  <c r="H518" i="21"/>
  <c r="G518" i="21"/>
  <c r="H517" i="21"/>
  <c r="H516" i="21"/>
  <c r="G516" i="21"/>
  <c r="H515" i="21"/>
  <c r="G515" i="21"/>
  <c r="H514" i="21"/>
  <c r="G514" i="21"/>
  <c r="H513" i="21"/>
  <c r="H512" i="21"/>
  <c r="G512" i="21"/>
  <c r="H511" i="21"/>
  <c r="G511" i="21"/>
  <c r="H510" i="21"/>
  <c r="H509" i="21"/>
  <c r="H508" i="21"/>
  <c r="G508" i="21"/>
  <c r="H507" i="21"/>
  <c r="G507" i="21"/>
  <c r="H506" i="21"/>
  <c r="H505" i="21"/>
  <c r="G505" i="21"/>
  <c r="G504" i="21" s="1"/>
  <c r="H504" i="21"/>
  <c r="H503" i="21"/>
  <c r="G503" i="21"/>
  <c r="G502" i="21" s="1"/>
  <c r="H502" i="21"/>
  <c r="H501" i="21"/>
  <c r="G501" i="21"/>
  <c r="H500" i="21"/>
  <c r="G500" i="21"/>
  <c r="H499" i="21"/>
  <c r="G499" i="21"/>
  <c r="H498" i="21"/>
  <c r="G498" i="21"/>
  <c r="H497" i="21"/>
  <c r="G497" i="21"/>
  <c r="G496" i="21" s="1"/>
  <c r="H496" i="21"/>
  <c r="H495" i="21"/>
  <c r="G495" i="21"/>
  <c r="H494" i="21"/>
  <c r="G494" i="21"/>
  <c r="H493" i="21"/>
  <c r="G493" i="21"/>
  <c r="H492" i="21"/>
  <c r="G492" i="21"/>
  <c r="H491" i="21"/>
  <c r="H490" i="21"/>
  <c r="H489" i="21"/>
  <c r="H488" i="21"/>
  <c r="H487" i="21"/>
  <c r="H486" i="21"/>
  <c r="H485" i="21"/>
  <c r="G485" i="21"/>
  <c r="G484" i="21" s="1"/>
  <c r="H484" i="21"/>
  <c r="H483" i="21"/>
  <c r="G483" i="21"/>
  <c r="G482" i="21" s="1"/>
  <c r="H482" i="21"/>
  <c r="H481" i="21"/>
  <c r="G481" i="21"/>
  <c r="H480" i="21"/>
  <c r="G480" i="21"/>
  <c r="H479" i="21"/>
  <c r="H478" i="21"/>
  <c r="G478" i="21"/>
  <c r="G477" i="21" s="1"/>
  <c r="H477" i="21"/>
  <c r="H476" i="21"/>
  <c r="H475" i="21"/>
  <c r="G475" i="21"/>
  <c r="G474" i="21" s="1"/>
  <c r="H474" i="21"/>
  <c r="H473" i="21"/>
  <c r="G473" i="21"/>
  <c r="G472" i="21" s="1"/>
  <c r="H472" i="21"/>
  <c r="H471" i="21"/>
  <c r="G471" i="21"/>
  <c r="H470" i="21"/>
  <c r="G470" i="21"/>
  <c r="G469" i="21" s="1"/>
  <c r="H469" i="21"/>
  <c r="H468" i="21"/>
  <c r="H467" i="21"/>
  <c r="G467" i="21"/>
  <c r="G466" i="21" s="1"/>
  <c r="H466" i="21"/>
  <c r="H465" i="21"/>
  <c r="G465" i="21"/>
  <c r="G464" i="21" s="1"/>
  <c r="H464" i="21"/>
  <c r="H463" i="21"/>
  <c r="G463" i="21"/>
  <c r="G462" i="21" s="1"/>
  <c r="H462" i="21"/>
  <c r="H461" i="21"/>
  <c r="G461" i="21"/>
  <c r="H460" i="21"/>
  <c r="G460" i="21"/>
  <c r="H459" i="21"/>
  <c r="G459" i="21"/>
  <c r="H458" i="21"/>
  <c r="G458" i="21"/>
  <c r="H457" i="21"/>
  <c r="G457" i="21"/>
  <c r="H456" i="21"/>
  <c r="H455" i="21"/>
  <c r="H454" i="21"/>
  <c r="G454" i="21"/>
  <c r="G453" i="21" s="1"/>
  <c r="H453" i="21"/>
  <c r="H452" i="21"/>
  <c r="G452" i="21"/>
  <c r="G451" i="21" s="1"/>
  <c r="H451" i="21"/>
  <c r="H450" i="21"/>
  <c r="G450" i="21"/>
  <c r="H449" i="21"/>
  <c r="G449" i="21"/>
  <c r="H448" i="21"/>
  <c r="H447" i="21"/>
  <c r="H446" i="21"/>
  <c r="G446" i="21"/>
  <c r="G445" i="21" s="1"/>
  <c r="H445" i="21"/>
  <c r="H444" i="21"/>
  <c r="G444" i="21"/>
  <c r="G443" i="21" s="1"/>
  <c r="H443" i="21"/>
  <c r="H442" i="21"/>
  <c r="G442" i="21"/>
  <c r="H441" i="21"/>
  <c r="G441" i="21"/>
  <c r="H440" i="21"/>
  <c r="G440" i="21"/>
  <c r="G439" i="21" s="1"/>
  <c r="H439" i="21"/>
  <c r="H438" i="21"/>
  <c r="H437" i="21"/>
  <c r="G437" i="21"/>
  <c r="G436" i="21" s="1"/>
  <c r="H436" i="21"/>
  <c r="H435" i="21"/>
  <c r="G435" i="21"/>
  <c r="G434" i="21" s="1"/>
  <c r="H434" i="21"/>
  <c r="H433" i="21"/>
  <c r="G433" i="21"/>
  <c r="H432" i="21"/>
  <c r="G432" i="21"/>
  <c r="H431" i="21"/>
  <c r="G431" i="21"/>
  <c r="H430" i="21"/>
  <c r="G430" i="21"/>
  <c r="H429" i="21"/>
  <c r="H428" i="21"/>
  <c r="H427" i="21"/>
  <c r="H426" i="21"/>
  <c r="H425" i="21"/>
  <c r="G425" i="21"/>
  <c r="G424" i="21" s="1"/>
  <c r="H424" i="21"/>
  <c r="H423" i="21"/>
  <c r="G423" i="21"/>
  <c r="G422" i="21" s="1"/>
  <c r="H422" i="21"/>
  <c r="H421" i="21"/>
  <c r="G421" i="21"/>
  <c r="H420" i="21"/>
  <c r="G420" i="21"/>
  <c r="H419" i="21"/>
  <c r="G419" i="21"/>
  <c r="H418" i="21"/>
  <c r="G418" i="21"/>
  <c r="H417" i="21"/>
  <c r="G417" i="21"/>
  <c r="G416" i="21" s="1"/>
  <c r="G415" i="21" s="1"/>
  <c r="G414" i="21" s="1"/>
  <c r="H416" i="21"/>
  <c r="H415" i="21"/>
  <c r="H414" i="21"/>
  <c r="H413" i="21"/>
  <c r="G413" i="21"/>
  <c r="G412" i="21" s="1"/>
  <c r="H412" i="21"/>
  <c r="H411" i="21"/>
  <c r="G411" i="21"/>
  <c r="G410" i="21" s="1"/>
  <c r="H410" i="21"/>
  <c r="H409" i="21"/>
  <c r="G409" i="21"/>
  <c r="G408" i="21" s="1"/>
  <c r="H408" i="21"/>
  <c r="H407" i="21"/>
  <c r="G407" i="21"/>
  <c r="H406" i="21"/>
  <c r="G406" i="21"/>
  <c r="G405" i="21" s="1"/>
  <c r="H405" i="21"/>
  <c r="H404" i="21"/>
  <c r="G404" i="21"/>
  <c r="H403" i="21"/>
  <c r="G403" i="21"/>
  <c r="H402" i="21"/>
  <c r="G402" i="21"/>
  <c r="H401" i="21"/>
  <c r="G401" i="21"/>
  <c r="H400" i="21"/>
  <c r="G400" i="21"/>
  <c r="H399" i="21"/>
  <c r="G399" i="21"/>
  <c r="H398" i="21"/>
  <c r="H397" i="21"/>
  <c r="H396" i="21"/>
  <c r="G396" i="21"/>
  <c r="H395" i="21"/>
  <c r="G395" i="21"/>
  <c r="H394" i="21"/>
  <c r="G394" i="21"/>
  <c r="H393" i="21"/>
  <c r="G393" i="21"/>
  <c r="H392" i="21"/>
  <c r="G392" i="21"/>
  <c r="H391" i="21"/>
  <c r="G391" i="21"/>
  <c r="G387" i="21" s="1"/>
  <c r="G386" i="21" s="1"/>
  <c r="H390" i="21"/>
  <c r="G390" i="21"/>
  <c r="H389" i="21"/>
  <c r="G389" i="21"/>
  <c r="H388" i="21"/>
  <c r="G388" i="21"/>
  <c r="H387" i="21"/>
  <c r="H386" i="21"/>
  <c r="H385" i="21"/>
  <c r="H384" i="21"/>
  <c r="H383" i="21"/>
  <c r="G383" i="21"/>
  <c r="G382" i="21" s="1"/>
  <c r="H382" i="21"/>
  <c r="H381" i="21"/>
  <c r="G381" i="21"/>
  <c r="G380" i="21" s="1"/>
  <c r="H380" i="21"/>
  <c r="H379" i="21"/>
  <c r="G379" i="21"/>
  <c r="H378" i="21"/>
  <c r="G378" i="21"/>
  <c r="H377" i="21"/>
  <c r="H376" i="21"/>
  <c r="G376" i="21"/>
  <c r="H375" i="21"/>
  <c r="G375" i="21"/>
  <c r="H374" i="21"/>
  <c r="G374" i="21"/>
  <c r="H373" i="21"/>
  <c r="H372" i="21"/>
  <c r="H371" i="21"/>
  <c r="G371" i="21"/>
  <c r="G370" i="21" s="1"/>
  <c r="H370" i="21"/>
  <c r="H369" i="21"/>
  <c r="G369" i="21"/>
  <c r="G368" i="21" s="1"/>
  <c r="H368" i="21"/>
  <c r="H367" i="21"/>
  <c r="G367" i="21"/>
  <c r="H366" i="21"/>
  <c r="G366" i="21"/>
  <c r="H365" i="21"/>
  <c r="H364" i="21"/>
  <c r="G364" i="21"/>
  <c r="G363" i="21" s="1"/>
  <c r="H363" i="21"/>
  <c r="H362" i="21"/>
  <c r="G362" i="21"/>
  <c r="H361" i="21"/>
  <c r="G361" i="21"/>
  <c r="H360" i="21"/>
  <c r="G360" i="21"/>
  <c r="H359" i="21"/>
  <c r="H358" i="21"/>
  <c r="H357" i="21"/>
  <c r="G357" i="21"/>
  <c r="G356" i="21" s="1"/>
  <c r="H356" i="21"/>
  <c r="H355" i="21"/>
  <c r="G355" i="21"/>
  <c r="H354" i="21"/>
  <c r="G354" i="21"/>
  <c r="H353" i="21"/>
  <c r="H352" i="21"/>
  <c r="G352" i="21"/>
  <c r="G351" i="21" s="1"/>
  <c r="H351" i="21"/>
  <c r="H350" i="21"/>
  <c r="G350" i="21"/>
  <c r="H349" i="21"/>
  <c r="G349" i="21"/>
  <c r="H348" i="21"/>
  <c r="G348" i="21"/>
  <c r="H347" i="21"/>
  <c r="H346" i="21"/>
  <c r="H345" i="21"/>
  <c r="H344" i="21"/>
  <c r="H343" i="21"/>
  <c r="H342" i="21"/>
  <c r="G342" i="21"/>
  <c r="G341" i="21" s="1"/>
  <c r="G340" i="21" s="1"/>
  <c r="G339" i="21" s="1"/>
  <c r="G338" i="21" s="1"/>
  <c r="G337" i="21" s="1"/>
  <c r="H341" i="21"/>
  <c r="H340" i="21"/>
  <c r="H339" i="21"/>
  <c r="H338" i="21"/>
  <c r="H337" i="21"/>
  <c r="H336" i="21"/>
  <c r="G336" i="21"/>
  <c r="H335" i="21"/>
  <c r="G335" i="21"/>
  <c r="H334" i="21"/>
  <c r="G334" i="21"/>
  <c r="H333" i="21"/>
  <c r="G333" i="21"/>
  <c r="G331" i="21" s="1"/>
  <c r="H332" i="21"/>
  <c r="G332" i="21"/>
  <c r="H331" i="21"/>
  <c r="H330" i="21"/>
  <c r="G330" i="21"/>
  <c r="H329" i="21"/>
  <c r="G329" i="21"/>
  <c r="H328" i="21"/>
  <c r="G328" i="21"/>
  <c r="H327" i="21"/>
  <c r="G327" i="21"/>
  <c r="G326" i="21" s="1"/>
  <c r="H326" i="21"/>
  <c r="H325" i="21"/>
  <c r="G325" i="21"/>
  <c r="H324" i="21"/>
  <c r="G324" i="21"/>
  <c r="H323" i="21"/>
  <c r="G323" i="21"/>
  <c r="H322" i="21"/>
  <c r="G322" i="21"/>
  <c r="G321" i="21" s="1"/>
  <c r="G320" i="21" s="1"/>
  <c r="H321" i="21"/>
  <c r="H320" i="21"/>
  <c r="H319" i="21"/>
  <c r="G319" i="21"/>
  <c r="H318" i="21"/>
  <c r="G318" i="21"/>
  <c r="H317" i="21"/>
  <c r="G317" i="21"/>
  <c r="H316" i="21"/>
  <c r="G316" i="21"/>
  <c r="H315" i="21"/>
  <c r="G315" i="21"/>
  <c r="H314" i="21"/>
  <c r="G314" i="21"/>
  <c r="H313" i="21"/>
  <c r="G313" i="21"/>
  <c r="H312" i="21"/>
  <c r="G312" i="21"/>
  <c r="H311" i="21"/>
  <c r="G311" i="21"/>
  <c r="H310" i="21"/>
  <c r="G310" i="21"/>
  <c r="H309" i="21"/>
  <c r="H308" i="21"/>
  <c r="G308" i="21"/>
  <c r="H307" i="21"/>
  <c r="G307" i="21"/>
  <c r="H306" i="21"/>
  <c r="H305" i="21"/>
  <c r="H304" i="21"/>
  <c r="G304" i="21"/>
  <c r="G303" i="21" s="1"/>
  <c r="H303" i="21"/>
  <c r="H302" i="21"/>
  <c r="G302" i="21"/>
  <c r="H301" i="21"/>
  <c r="G301" i="21"/>
  <c r="H300" i="21"/>
  <c r="G300" i="21"/>
  <c r="H299" i="21"/>
  <c r="G299" i="21"/>
  <c r="H298" i="21"/>
  <c r="G298" i="21"/>
  <c r="H297" i="21"/>
  <c r="G297" i="21"/>
  <c r="H296" i="21"/>
  <c r="G296" i="21"/>
  <c r="H295" i="21"/>
  <c r="G295" i="21"/>
  <c r="H294" i="21"/>
  <c r="G294" i="21"/>
  <c r="H293" i="21"/>
  <c r="H292" i="21"/>
  <c r="H291" i="21"/>
  <c r="G291" i="21"/>
  <c r="H290" i="21"/>
  <c r="G290" i="21"/>
  <c r="H289" i="21"/>
  <c r="H288" i="21"/>
  <c r="G288" i="21"/>
  <c r="G287" i="21" s="1"/>
  <c r="H287" i="21"/>
  <c r="H286" i="21"/>
  <c r="H285" i="21"/>
  <c r="G285" i="21"/>
  <c r="H284" i="21"/>
  <c r="G284" i="21"/>
  <c r="H283" i="21"/>
  <c r="G283" i="21"/>
  <c r="H282" i="21"/>
  <c r="G282" i="21"/>
  <c r="H281" i="21"/>
  <c r="G281" i="21"/>
  <c r="H280" i="21"/>
  <c r="G280" i="21"/>
  <c r="H279" i="21"/>
  <c r="G279" i="21"/>
  <c r="H278" i="21"/>
  <c r="G278" i="21"/>
  <c r="H277" i="21"/>
  <c r="G277" i="21"/>
  <c r="H276" i="21"/>
  <c r="H275" i="21"/>
  <c r="G275" i="21"/>
  <c r="H274" i="21"/>
  <c r="G274" i="21"/>
  <c r="H273" i="21"/>
  <c r="G273" i="21"/>
  <c r="H272" i="21"/>
  <c r="G272" i="21"/>
  <c r="H271" i="21"/>
  <c r="G271" i="21"/>
  <c r="H270" i="21"/>
  <c r="G270" i="21"/>
  <c r="H269" i="21"/>
  <c r="G269" i="21"/>
  <c r="H268" i="21"/>
  <c r="G268" i="21"/>
  <c r="H267" i="21"/>
  <c r="G267" i="21"/>
  <c r="H266" i="21"/>
  <c r="H265" i="21"/>
  <c r="H264" i="21"/>
  <c r="H263" i="21"/>
  <c r="H262" i="21"/>
  <c r="G262" i="21"/>
  <c r="G261" i="21" s="1"/>
  <c r="H261" i="21"/>
  <c r="H260" i="21"/>
  <c r="G260" i="21"/>
  <c r="G259" i="21" s="1"/>
  <c r="H259" i="21"/>
  <c r="H258" i="21"/>
  <c r="G258" i="21"/>
  <c r="G257" i="21" s="1"/>
  <c r="H257" i="21"/>
  <c r="H256" i="21"/>
  <c r="G256" i="21"/>
  <c r="H255" i="21"/>
  <c r="G255" i="21"/>
  <c r="H254" i="21"/>
  <c r="G254" i="21"/>
  <c r="H253" i="21"/>
  <c r="G253" i="21"/>
  <c r="H252" i="21"/>
  <c r="G252" i="21"/>
  <c r="H251" i="21"/>
  <c r="G251" i="21"/>
  <c r="H250" i="21"/>
  <c r="G250" i="21"/>
  <c r="H249" i="21"/>
  <c r="H248" i="21"/>
  <c r="H247" i="21"/>
  <c r="G247" i="21"/>
  <c r="G246" i="21" s="1"/>
  <c r="H246" i="21"/>
  <c r="H245" i="21"/>
  <c r="G245" i="21"/>
  <c r="H244" i="21"/>
  <c r="G244" i="21"/>
  <c r="H243" i="21"/>
  <c r="G243" i="21"/>
  <c r="H242" i="21"/>
  <c r="H241" i="21"/>
  <c r="G241" i="21"/>
  <c r="H240" i="21"/>
  <c r="G240" i="21"/>
  <c r="H239" i="21"/>
  <c r="H238" i="21"/>
  <c r="G238" i="21"/>
  <c r="H237" i="21"/>
  <c r="G237" i="21"/>
  <c r="H236" i="21"/>
  <c r="G236" i="21"/>
  <c r="H235" i="21"/>
  <c r="G235" i="21"/>
  <c r="H234" i="21"/>
  <c r="G234" i="21"/>
  <c r="H233" i="21"/>
  <c r="G233" i="21"/>
  <c r="H232" i="21"/>
  <c r="G232" i="21"/>
  <c r="H231" i="21"/>
  <c r="G231" i="21"/>
  <c r="H230" i="21"/>
  <c r="G230" i="21"/>
  <c r="H229" i="21"/>
  <c r="H228" i="21"/>
  <c r="H227" i="21"/>
  <c r="G227" i="21"/>
  <c r="G226" i="21" s="1"/>
  <c r="H226" i="21"/>
  <c r="H225" i="21"/>
  <c r="G225" i="21"/>
  <c r="G224" i="21" s="1"/>
  <c r="H224" i="21"/>
  <c r="H223" i="21"/>
  <c r="G223" i="21"/>
  <c r="G222" i="21" s="1"/>
  <c r="H222" i="21"/>
  <c r="H221" i="21"/>
  <c r="G221" i="21"/>
  <c r="H220" i="21"/>
  <c r="G220" i="21"/>
  <c r="H219" i="21"/>
  <c r="G219" i="21"/>
  <c r="H218" i="21"/>
  <c r="G218" i="21"/>
  <c r="H217" i="21"/>
  <c r="H216" i="21"/>
  <c r="H215" i="21"/>
  <c r="G215" i="21"/>
  <c r="G214" i="21" s="1"/>
  <c r="H214" i="21"/>
  <c r="H213" i="21"/>
  <c r="G213" i="21"/>
  <c r="G212" i="21" s="1"/>
  <c r="H212" i="21"/>
  <c r="H211" i="21"/>
  <c r="G211" i="21"/>
  <c r="G210" i="21" s="1"/>
  <c r="H210" i="21"/>
  <c r="H209" i="21"/>
  <c r="G209" i="21"/>
  <c r="H208" i="21"/>
  <c r="G208" i="21"/>
  <c r="H207" i="21"/>
  <c r="G207" i="21"/>
  <c r="H206" i="21"/>
  <c r="G206" i="21"/>
  <c r="H205" i="21"/>
  <c r="H204" i="21"/>
  <c r="G204" i="21"/>
  <c r="H203" i="21"/>
  <c r="G203" i="21"/>
  <c r="H202" i="21"/>
  <c r="G202" i="21"/>
  <c r="H201" i="21"/>
  <c r="H200" i="21"/>
  <c r="H199" i="21"/>
  <c r="G199" i="21"/>
  <c r="G198" i="21" s="1"/>
  <c r="H198" i="21"/>
  <c r="H197" i="21"/>
  <c r="G197" i="21"/>
  <c r="G196" i="21" s="1"/>
  <c r="H196" i="21"/>
  <c r="H195" i="21"/>
  <c r="G195" i="21"/>
  <c r="G194" i="21" s="1"/>
  <c r="H194" i="21"/>
  <c r="H193" i="21"/>
  <c r="G193" i="21"/>
  <c r="H192" i="21"/>
  <c r="G192" i="21"/>
  <c r="H191" i="21"/>
  <c r="G191" i="21"/>
  <c r="H190" i="21"/>
  <c r="H189" i="21"/>
  <c r="G189" i="21"/>
  <c r="H188" i="21"/>
  <c r="G188" i="21"/>
  <c r="H187" i="21"/>
  <c r="G187" i="21"/>
  <c r="H186" i="21"/>
  <c r="G186" i="21"/>
  <c r="H185" i="21"/>
  <c r="H184" i="21"/>
  <c r="H183" i="21"/>
  <c r="G183" i="21"/>
  <c r="G182" i="21" s="1"/>
  <c r="H182" i="21"/>
  <c r="H181" i="21"/>
  <c r="G181" i="21"/>
  <c r="G180" i="21" s="1"/>
  <c r="H180" i="21"/>
  <c r="H179" i="21"/>
  <c r="G179" i="21"/>
  <c r="H178" i="21"/>
  <c r="G178" i="21"/>
  <c r="H177" i="21"/>
  <c r="G177" i="21"/>
  <c r="H176" i="21"/>
  <c r="G176" i="21"/>
  <c r="H175" i="21"/>
  <c r="H174" i="21"/>
  <c r="H173" i="21"/>
  <c r="G173" i="21"/>
  <c r="G172" i="21" s="1"/>
  <c r="H172" i="21"/>
  <c r="H171" i="21"/>
  <c r="G171" i="21"/>
  <c r="G170" i="21" s="1"/>
  <c r="H170" i="21"/>
  <c r="H169" i="21"/>
  <c r="G169" i="21"/>
  <c r="G168" i="21" s="1"/>
  <c r="H168" i="21"/>
  <c r="H167" i="21"/>
  <c r="G167" i="21"/>
  <c r="H166" i="21"/>
  <c r="G166" i="21"/>
  <c r="H165" i="21"/>
  <c r="G165" i="21"/>
  <c r="H164" i="21"/>
  <c r="G164" i="21"/>
  <c r="H163" i="21"/>
  <c r="G163" i="21"/>
  <c r="H162" i="21"/>
  <c r="H161" i="21"/>
  <c r="H160" i="21"/>
  <c r="G160" i="21"/>
  <c r="H159" i="21"/>
  <c r="G159" i="21"/>
  <c r="H158" i="21"/>
  <c r="H157" i="21"/>
  <c r="G157" i="21"/>
  <c r="G156" i="21" s="1"/>
  <c r="H156" i="21"/>
  <c r="H155" i="21"/>
  <c r="G155" i="21"/>
  <c r="G154" i="21" s="1"/>
  <c r="H154" i="21"/>
  <c r="H153" i="21"/>
  <c r="G153" i="21"/>
  <c r="H152" i="21"/>
  <c r="G152" i="21"/>
  <c r="H151" i="21"/>
  <c r="H150" i="21"/>
  <c r="H149" i="21"/>
  <c r="G149" i="21"/>
  <c r="G148" i="21" s="1"/>
  <c r="H148" i="21"/>
  <c r="H147" i="21"/>
  <c r="G147" i="21"/>
  <c r="G146" i="21" s="1"/>
  <c r="H146" i="21"/>
  <c r="H145" i="21"/>
  <c r="G145" i="21"/>
  <c r="H144" i="21"/>
  <c r="G144" i="21"/>
  <c r="H143" i="21"/>
  <c r="G143" i="21"/>
  <c r="H142" i="21"/>
  <c r="G142" i="21"/>
  <c r="H141" i="21"/>
  <c r="H140" i="21"/>
  <c r="H139" i="21"/>
  <c r="H138" i="21"/>
  <c r="H137" i="21"/>
  <c r="G137" i="21"/>
  <c r="G136" i="21" s="1"/>
  <c r="H136" i="21"/>
  <c r="H135" i="21"/>
  <c r="G135" i="21"/>
  <c r="G134" i="21" s="1"/>
  <c r="H134" i="21"/>
  <c r="H133" i="21"/>
  <c r="G133" i="21"/>
  <c r="H132" i="21"/>
  <c r="G132" i="21"/>
  <c r="H131" i="21"/>
  <c r="H130" i="21"/>
  <c r="G130" i="21"/>
  <c r="G129" i="21" s="1"/>
  <c r="H129" i="21"/>
  <c r="H128" i="21"/>
  <c r="G128" i="21"/>
  <c r="H127" i="21"/>
  <c r="G127" i="21"/>
  <c r="H126" i="21"/>
  <c r="H125" i="21"/>
  <c r="H124" i="21"/>
  <c r="H123" i="21"/>
  <c r="H122" i="21"/>
  <c r="H121" i="21"/>
  <c r="G121" i="21"/>
  <c r="G120" i="21" s="1"/>
  <c r="G119" i="21" s="1"/>
  <c r="G118" i="21" s="1"/>
  <c r="G117" i="21" s="1"/>
  <c r="G116" i="21" s="1"/>
  <c r="H120" i="21"/>
  <c r="H119" i="21"/>
  <c r="H118" i="21"/>
  <c r="H117" i="21"/>
  <c r="H116" i="21"/>
  <c r="H115" i="21"/>
  <c r="H114" i="21"/>
  <c r="H113" i="21"/>
  <c r="G113" i="21"/>
  <c r="G112" i="21" s="1"/>
  <c r="H112" i="21"/>
  <c r="H111" i="21"/>
  <c r="G111" i="21"/>
  <c r="G110" i="21" s="1"/>
  <c r="H110" i="21"/>
  <c r="H109" i="21"/>
  <c r="G109" i="21"/>
  <c r="G108" i="21" s="1"/>
  <c r="H108" i="21"/>
  <c r="H107" i="21"/>
  <c r="G107" i="21"/>
  <c r="G106" i="21" s="1"/>
  <c r="H106" i="21"/>
  <c r="H105" i="21"/>
  <c r="G105" i="21"/>
  <c r="H104" i="21"/>
  <c r="G104" i="21"/>
  <c r="H103" i="21"/>
  <c r="G103" i="21"/>
  <c r="H102" i="21"/>
  <c r="G102" i="21"/>
  <c r="H101" i="21"/>
  <c r="G101" i="21"/>
  <c r="H100" i="21"/>
  <c r="H99" i="21"/>
  <c r="H98" i="21"/>
  <c r="H97" i="21"/>
  <c r="G97" i="21"/>
  <c r="G96" i="21" s="1"/>
  <c r="H96" i="21"/>
  <c r="H95" i="21"/>
  <c r="G95" i="21"/>
  <c r="G94" i="21" s="1"/>
  <c r="H94" i="21"/>
  <c r="H93" i="21"/>
  <c r="G93" i="21"/>
  <c r="G92" i="21" s="1"/>
  <c r="H92" i="21"/>
  <c r="H91" i="21"/>
  <c r="G91" i="21"/>
  <c r="H90" i="21"/>
  <c r="G90" i="21"/>
  <c r="H89" i="21"/>
  <c r="G89" i="21"/>
  <c r="H88" i="21"/>
  <c r="G88" i="21"/>
  <c r="H87" i="21"/>
  <c r="H86" i="21"/>
  <c r="H85" i="21"/>
  <c r="G85" i="21"/>
  <c r="G84" i="21" s="1"/>
  <c r="H84" i="21"/>
  <c r="H83" i="21"/>
  <c r="G83" i="21"/>
  <c r="G82" i="21" s="1"/>
  <c r="H82" i="21"/>
  <c r="H81" i="21"/>
  <c r="G81" i="21"/>
  <c r="G80" i="21" s="1"/>
  <c r="H80" i="21"/>
  <c r="H79" i="21"/>
  <c r="G79" i="21"/>
  <c r="H78" i="21"/>
  <c r="G78" i="21"/>
  <c r="H77" i="21"/>
  <c r="H76" i="21"/>
  <c r="G76" i="21"/>
  <c r="H75" i="21"/>
  <c r="G75" i="21"/>
  <c r="H74" i="21"/>
  <c r="H73" i="21"/>
  <c r="G73" i="21"/>
  <c r="H72" i="21"/>
  <c r="G72" i="21"/>
  <c r="H71" i="21"/>
  <c r="G71" i="21"/>
  <c r="H70" i="21"/>
  <c r="H69" i="21"/>
  <c r="H68" i="21"/>
  <c r="G68" i="21"/>
  <c r="H67" i="21"/>
  <c r="G67" i="21"/>
  <c r="H66" i="21"/>
  <c r="G66" i="21"/>
  <c r="H65" i="21"/>
  <c r="G65" i="21"/>
  <c r="H64" i="21"/>
  <c r="G64" i="21"/>
  <c r="H63" i="21"/>
  <c r="G63" i="21"/>
  <c r="H62" i="21"/>
  <c r="G62" i="21"/>
  <c r="H61" i="21"/>
  <c r="G61" i="21"/>
  <c r="H60" i="21"/>
  <c r="G60" i="21"/>
  <c r="H59" i="21"/>
  <c r="G59" i="21"/>
  <c r="G58" i="21" s="1"/>
  <c r="H58" i="21"/>
  <c r="H57" i="21"/>
  <c r="G57" i="21"/>
  <c r="H56" i="21"/>
  <c r="G56" i="21"/>
  <c r="H55" i="21"/>
  <c r="H54" i="21"/>
  <c r="G54" i="21"/>
  <c r="H53" i="21"/>
  <c r="G53" i="21"/>
  <c r="H52" i="21"/>
  <c r="G52" i="21"/>
  <c r="H51" i="21"/>
  <c r="H50" i="21"/>
  <c r="H49" i="21"/>
  <c r="H48" i="21"/>
  <c r="G48" i="21"/>
  <c r="G47" i="21" s="1"/>
  <c r="H47" i="21"/>
  <c r="H46" i="21"/>
  <c r="G46" i="21"/>
  <c r="H45" i="21"/>
  <c r="G45" i="21"/>
  <c r="H44" i="21"/>
  <c r="G44" i="21"/>
  <c r="H43" i="21"/>
  <c r="G43" i="21"/>
  <c r="H42" i="21"/>
  <c r="G42" i="21"/>
  <c r="H41" i="21"/>
  <c r="G41" i="21"/>
  <c r="H40" i="21"/>
  <c r="H39" i="21"/>
  <c r="H38" i="21"/>
  <c r="H37" i="21"/>
  <c r="G37" i="21"/>
  <c r="G36" i="21" s="1"/>
  <c r="H36" i="21"/>
  <c r="H35" i="21"/>
  <c r="G35" i="21"/>
  <c r="G34" i="21" s="1"/>
  <c r="H34" i="21"/>
  <c r="H33" i="21"/>
  <c r="G33" i="21"/>
  <c r="H32" i="21"/>
  <c r="G32" i="21"/>
  <c r="H31" i="21"/>
  <c r="G31" i="21"/>
  <c r="H30" i="21"/>
  <c r="G30" i="21"/>
  <c r="G29" i="21" s="1"/>
  <c r="G28" i="21" s="1"/>
  <c r="H29" i="21"/>
  <c r="H28" i="21"/>
  <c r="H27" i="21"/>
  <c r="G27" i="21"/>
  <c r="G26" i="21" s="1"/>
  <c r="H26" i="21"/>
  <c r="H25" i="21"/>
  <c r="G25" i="21"/>
  <c r="G24" i="21" s="1"/>
  <c r="H24" i="21"/>
  <c r="H23" i="21"/>
  <c r="G23" i="21"/>
  <c r="H22" i="21"/>
  <c r="G22" i="21"/>
  <c r="H21" i="21"/>
  <c r="G21" i="21"/>
  <c r="H20" i="21"/>
  <c r="G20" i="21"/>
  <c r="H19" i="21"/>
  <c r="H18" i="21"/>
  <c r="H17" i="21"/>
  <c r="H16" i="21"/>
  <c r="H15" i="21"/>
  <c r="H14" i="21"/>
  <c r="H13" i="21"/>
  <c r="H12" i="21"/>
  <c r="C1" i="20"/>
  <c r="C3" i="20"/>
  <c r="AF143" i="16"/>
  <c r="AF142" i="16"/>
  <c r="AF141" i="16"/>
  <c r="AF140" i="16"/>
  <c r="AF139" i="16"/>
  <c r="AF138" i="16"/>
  <c r="AF137" i="16"/>
  <c r="AF136" i="16"/>
  <c r="AF135" i="16"/>
  <c r="AF134" i="16"/>
  <c r="AF133" i="16"/>
  <c r="AF132" i="16"/>
  <c r="AF131" i="16"/>
  <c r="AF130" i="16"/>
  <c r="AF129" i="16"/>
  <c r="AF128" i="16"/>
  <c r="AF127" i="16"/>
  <c r="AF126" i="16"/>
  <c r="AF125" i="16"/>
  <c r="AF124" i="16"/>
  <c r="AF123" i="16"/>
  <c r="AF122" i="16"/>
  <c r="AF121" i="16"/>
  <c r="AF120" i="16"/>
  <c r="AF119" i="16"/>
  <c r="AF118" i="16"/>
  <c r="AF117" i="16"/>
  <c r="AF116" i="16"/>
  <c r="AF115" i="16"/>
  <c r="AF114" i="16"/>
  <c r="AF113" i="16"/>
  <c r="AF112" i="16"/>
  <c r="AF111" i="16"/>
  <c r="AF110" i="16"/>
  <c r="AF109" i="16"/>
  <c r="AF108" i="16"/>
  <c r="AF107" i="16"/>
  <c r="AF106" i="16"/>
  <c r="AF105" i="16"/>
  <c r="AF104" i="16"/>
  <c r="AF103" i="16"/>
  <c r="AF102" i="16"/>
  <c r="AF101" i="16"/>
  <c r="AF100" i="16"/>
  <c r="AF99" i="16"/>
  <c r="AF98" i="16"/>
  <c r="AF97" i="16"/>
  <c r="AF96" i="16"/>
  <c r="AF95" i="16"/>
  <c r="AF94" i="16"/>
  <c r="AF93" i="16"/>
  <c r="AF92" i="16"/>
  <c r="AF91" i="16"/>
  <c r="AF90" i="16"/>
  <c r="AF89" i="16"/>
  <c r="AF88" i="16"/>
  <c r="AF87" i="16"/>
  <c r="AF86" i="16"/>
  <c r="AF85" i="16"/>
  <c r="AF84" i="16"/>
  <c r="AF83" i="16"/>
  <c r="AF82" i="16"/>
  <c r="AF81" i="16"/>
  <c r="AF80" i="16"/>
  <c r="AF79" i="16"/>
  <c r="AF78" i="16"/>
  <c r="AF77" i="16"/>
  <c r="AF76" i="16"/>
  <c r="AF75" i="16"/>
  <c r="AF74" i="16"/>
  <c r="AF73" i="16"/>
  <c r="AF72" i="16"/>
  <c r="AF71" i="16"/>
  <c r="AF70" i="16"/>
  <c r="AF69" i="16"/>
  <c r="AF68" i="16"/>
  <c r="AF67" i="16"/>
  <c r="AF66" i="16"/>
  <c r="AF65" i="16"/>
  <c r="AF64" i="16"/>
  <c r="AF63" i="16"/>
  <c r="AF62" i="16"/>
  <c r="AF61" i="16"/>
  <c r="AF60" i="16"/>
  <c r="AF59" i="16"/>
  <c r="AF52" i="16"/>
  <c r="AF51" i="16"/>
  <c r="AF50" i="16"/>
  <c r="AF49" i="16"/>
  <c r="AF48" i="16"/>
  <c r="AF47" i="16"/>
  <c r="AF46" i="16"/>
  <c r="AF45" i="16"/>
  <c r="AF44" i="16"/>
  <c r="AF43" i="16"/>
  <c r="AF42" i="16"/>
  <c r="AF41" i="16"/>
  <c r="AF40" i="16"/>
  <c r="AF39" i="16"/>
  <c r="AF38" i="16"/>
  <c r="AF37" i="16"/>
  <c r="AF36" i="16"/>
  <c r="AF35" i="16"/>
  <c r="AF34" i="16"/>
  <c r="AF33" i="16"/>
  <c r="AF32" i="16"/>
  <c r="AF31" i="16"/>
  <c r="AF30" i="16"/>
  <c r="AF29" i="16"/>
  <c r="AF28" i="16"/>
  <c r="AF27" i="16"/>
  <c r="AF26" i="16"/>
  <c r="AF25" i="16"/>
  <c r="AF24" i="16"/>
  <c r="AF23" i="16"/>
  <c r="AF22" i="16"/>
  <c r="AF21" i="16"/>
  <c r="AF20" i="16"/>
  <c r="AF19" i="16"/>
  <c r="AF18" i="16"/>
  <c r="AF17" i="16"/>
  <c r="AF16" i="16"/>
  <c r="AF15" i="16"/>
  <c r="AF14" i="16"/>
  <c r="AF13" i="16"/>
  <c r="AF12" i="16"/>
  <c r="AF11" i="16"/>
  <c r="AF10" i="16"/>
  <c r="AF9" i="16"/>
  <c r="AF8" i="16"/>
  <c r="AF7" i="16"/>
  <c r="AF6" i="16"/>
  <c r="AF5" i="16"/>
  <c r="AF4" i="16"/>
  <c r="AE143" i="16"/>
  <c r="AE142" i="16"/>
  <c r="AE141" i="16"/>
  <c r="AE140" i="16"/>
  <c r="AE139" i="16"/>
  <c r="AE138" i="16"/>
  <c r="AE137" i="16"/>
  <c r="AE136" i="16"/>
  <c r="AE135" i="16"/>
  <c r="AE134" i="16"/>
  <c r="AE133" i="16"/>
  <c r="AE132" i="16"/>
  <c r="AE131" i="16"/>
  <c r="AE130" i="16"/>
  <c r="AE129" i="16"/>
  <c r="AE128" i="16"/>
  <c r="AE127" i="16"/>
  <c r="AE126" i="16"/>
  <c r="AE125" i="16"/>
  <c r="AE124" i="16"/>
  <c r="AE123" i="16"/>
  <c r="AE122" i="16"/>
  <c r="AE121" i="16"/>
  <c r="AE120" i="16"/>
  <c r="AE119" i="16"/>
  <c r="AE118" i="16"/>
  <c r="AE117" i="16"/>
  <c r="AE116" i="16"/>
  <c r="AE115" i="16"/>
  <c r="AE114" i="16"/>
  <c r="AE113" i="16"/>
  <c r="AE112" i="16"/>
  <c r="AE111" i="16"/>
  <c r="AE110" i="16"/>
  <c r="AE109" i="16"/>
  <c r="AE108" i="16"/>
  <c r="AE107" i="16"/>
  <c r="AE106" i="16"/>
  <c r="AE105" i="16"/>
  <c r="AE104" i="16"/>
  <c r="AE103" i="16"/>
  <c r="AE102" i="16"/>
  <c r="AE101" i="16"/>
  <c r="AE100" i="16"/>
  <c r="AE99" i="16"/>
  <c r="AE98" i="16"/>
  <c r="AE97" i="16"/>
  <c r="AE96" i="16"/>
  <c r="AE95" i="16"/>
  <c r="AE94" i="16"/>
  <c r="AE93" i="16"/>
  <c r="AE92" i="16"/>
  <c r="AE91" i="16"/>
  <c r="AE90" i="16"/>
  <c r="AE89" i="16"/>
  <c r="AE88" i="16"/>
  <c r="AE87" i="16"/>
  <c r="AE86" i="16"/>
  <c r="AE85" i="16"/>
  <c r="AE84" i="16"/>
  <c r="AE83" i="16"/>
  <c r="AE82" i="16"/>
  <c r="AE81" i="16"/>
  <c r="AE80" i="16"/>
  <c r="AE79" i="16"/>
  <c r="AE78" i="16"/>
  <c r="AE77" i="16"/>
  <c r="AE76" i="16"/>
  <c r="AE75" i="16"/>
  <c r="AE74" i="16"/>
  <c r="AE73" i="16"/>
  <c r="AE72" i="16"/>
  <c r="AE71" i="16"/>
  <c r="AE70" i="16"/>
  <c r="AE69" i="16"/>
  <c r="AE68" i="16"/>
  <c r="AE67" i="16"/>
  <c r="AE66" i="16"/>
  <c r="AE65" i="16"/>
  <c r="AE64" i="16"/>
  <c r="AE63" i="16"/>
  <c r="AE62" i="16"/>
  <c r="AE61" i="16"/>
  <c r="AE60" i="16"/>
  <c r="AE59" i="16"/>
  <c r="AE52" i="16"/>
  <c r="AE51" i="16"/>
  <c r="AE50" i="16"/>
  <c r="AE49" i="16"/>
  <c r="AE48" i="16"/>
  <c r="AE47" i="16"/>
  <c r="AE46" i="16"/>
  <c r="AE45" i="16"/>
  <c r="AE44" i="16"/>
  <c r="AE43" i="16"/>
  <c r="AE42" i="16"/>
  <c r="AE41" i="16"/>
  <c r="AE40" i="16"/>
  <c r="AE39" i="16"/>
  <c r="AE38" i="16"/>
  <c r="AE37" i="16"/>
  <c r="AE36" i="16"/>
  <c r="AE35" i="16"/>
  <c r="AE34" i="16"/>
  <c r="AE33" i="16"/>
  <c r="AE32" i="16"/>
  <c r="AE31" i="16"/>
  <c r="AE30" i="16"/>
  <c r="AE29" i="16"/>
  <c r="AE28" i="16"/>
  <c r="AE27" i="16"/>
  <c r="AE26" i="16"/>
  <c r="AE25" i="16"/>
  <c r="AE24" i="16"/>
  <c r="AE23" i="16"/>
  <c r="AE22" i="16"/>
  <c r="AE21" i="16"/>
  <c r="AE20" i="16"/>
  <c r="AE19" i="16"/>
  <c r="AE18" i="16"/>
  <c r="AE17" i="16"/>
  <c r="AE16" i="16"/>
  <c r="AE15" i="16"/>
  <c r="AE14" i="16"/>
  <c r="AE13" i="16"/>
  <c r="AE12" i="16"/>
  <c r="AE11" i="16"/>
  <c r="AE10" i="16"/>
  <c r="AE9" i="16"/>
  <c r="AE8" i="16"/>
  <c r="AE7" i="16"/>
  <c r="AE6" i="16"/>
  <c r="AE5" i="16"/>
  <c r="AE4" i="16"/>
  <c r="AD143" i="16"/>
  <c r="AD142" i="16"/>
  <c r="AD141" i="16"/>
  <c r="AD140" i="16"/>
  <c r="AD139" i="16"/>
  <c r="AD138" i="16"/>
  <c r="AD137" i="16"/>
  <c r="AD136" i="16"/>
  <c r="AD135" i="16"/>
  <c r="AD134" i="16"/>
  <c r="AD133" i="16"/>
  <c r="AD132" i="16"/>
  <c r="AD131" i="16"/>
  <c r="AD130" i="16"/>
  <c r="AD129" i="16"/>
  <c r="AD128" i="16"/>
  <c r="AD127" i="16"/>
  <c r="AD126" i="16"/>
  <c r="AD125" i="16"/>
  <c r="AD124" i="16"/>
  <c r="AD123" i="16"/>
  <c r="AD122" i="16"/>
  <c r="AD121" i="16"/>
  <c r="AD120" i="16"/>
  <c r="AD119" i="16"/>
  <c r="AD118" i="16"/>
  <c r="AD117" i="16"/>
  <c r="AD116" i="16"/>
  <c r="AD115" i="16"/>
  <c r="AD114" i="16"/>
  <c r="AD113" i="16"/>
  <c r="AD112" i="16"/>
  <c r="AD111" i="16"/>
  <c r="AD110" i="16"/>
  <c r="AD109" i="16"/>
  <c r="AD108" i="16"/>
  <c r="AD107" i="16"/>
  <c r="AD106" i="16"/>
  <c r="AD105" i="16"/>
  <c r="AD104" i="16"/>
  <c r="AD103" i="16"/>
  <c r="AD102"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Y32" i="13" l="1"/>
  <c r="AG32" i="13"/>
  <c r="AK32" i="13"/>
  <c r="AO32" i="13"/>
  <c r="K32" i="13"/>
  <c r="O32" i="13"/>
  <c r="S32" i="13"/>
  <c r="AN32" i="13"/>
  <c r="M32" i="13"/>
  <c r="U32" i="13"/>
  <c r="AI32" i="13"/>
  <c r="AM32" i="13"/>
  <c r="U71" i="16"/>
  <c r="AV129" i="13"/>
  <c r="AW129" i="13" s="1"/>
  <c r="U63" i="16"/>
  <c r="U75" i="16"/>
  <c r="U67" i="16"/>
  <c r="U58" i="16"/>
  <c r="AQ19" i="13"/>
  <c r="AI19" i="13"/>
  <c r="AA19" i="13"/>
  <c r="W19" i="13"/>
  <c r="K19" i="13"/>
  <c r="J143" i="13"/>
  <c r="U86" i="16"/>
  <c r="AT134" i="13"/>
  <c r="U81" i="16"/>
  <c r="AT154" i="13"/>
  <c r="U91" i="16"/>
  <c r="AM19" i="13"/>
  <c r="AE19" i="13"/>
  <c r="S19" i="13"/>
  <c r="O19" i="13"/>
  <c r="AT128" i="13"/>
  <c r="U77" i="16"/>
  <c r="U96" i="16"/>
  <c r="U103" i="16"/>
  <c r="U108" i="16"/>
  <c r="U79" i="16"/>
  <c r="AT131" i="13"/>
  <c r="AT125" i="13"/>
  <c r="AT149" i="13"/>
  <c r="U87" i="16"/>
  <c r="U100" i="16"/>
  <c r="U111" i="16"/>
  <c r="U125" i="16"/>
  <c r="J227" i="13"/>
  <c r="AT228" i="13"/>
  <c r="U140" i="16"/>
  <c r="AC32" i="13"/>
  <c r="Q32" i="13"/>
  <c r="AR19" i="13"/>
  <c r="AN19" i="13"/>
  <c r="AJ19" i="13"/>
  <c r="AF19" i="13"/>
  <c r="AB19" i="13"/>
  <c r="X19" i="13"/>
  <c r="T19" i="13"/>
  <c r="P19" i="13"/>
  <c r="L19" i="13"/>
  <c r="AP19" i="13"/>
  <c r="AH19" i="13"/>
  <c r="Z19" i="13"/>
  <c r="N19" i="13"/>
  <c r="AH77" i="13"/>
  <c r="AH76" i="13" s="1"/>
  <c r="AD19" i="13"/>
  <c r="V19" i="13"/>
  <c r="R19" i="13"/>
  <c r="AS19" i="13"/>
  <c r="AO19" i="13"/>
  <c r="AK19" i="13"/>
  <c r="AK18" i="13" s="1"/>
  <c r="AK17" i="13" s="1"/>
  <c r="AK16" i="13" s="1"/>
  <c r="AK15" i="13" s="1"/>
  <c r="AG19" i="13"/>
  <c r="AC19" i="13"/>
  <c r="Y19" i="13"/>
  <c r="U19" i="13"/>
  <c r="Q19" i="13"/>
  <c r="J19" i="13"/>
  <c r="AT20" i="13"/>
  <c r="AA32" i="13"/>
  <c r="AQ32" i="13"/>
  <c r="AS32" i="13"/>
  <c r="AL19" i="13"/>
  <c r="M19" i="13"/>
  <c r="W32" i="13"/>
  <c r="AE32" i="13"/>
  <c r="AF77" i="13"/>
  <c r="AF76" i="13" s="1"/>
  <c r="L77" i="13"/>
  <c r="L76" i="13" s="1"/>
  <c r="P77" i="13"/>
  <c r="P76" i="13" s="1"/>
  <c r="T77" i="13"/>
  <c r="T76" i="13" s="1"/>
  <c r="AB77" i="13"/>
  <c r="AB76" i="13" s="1"/>
  <c r="AJ77" i="13"/>
  <c r="AJ76" i="13" s="1"/>
  <c r="AN77" i="13"/>
  <c r="AN76" i="13" s="1"/>
  <c r="AR77" i="13"/>
  <c r="AR76" i="13" s="1"/>
  <c r="M77" i="13"/>
  <c r="M76" i="13" s="1"/>
  <c r="AP77" i="13"/>
  <c r="AP76" i="13" s="1"/>
  <c r="AL77" i="13"/>
  <c r="AL76" i="13" s="1"/>
  <c r="AD77" i="13"/>
  <c r="AD76" i="13" s="1"/>
  <c r="Z77" i="13"/>
  <c r="Z76" i="13" s="1"/>
  <c r="V77" i="13"/>
  <c r="V76" i="13" s="1"/>
  <c r="R77" i="13"/>
  <c r="R76" i="13" s="1"/>
  <c r="AT65" i="13"/>
  <c r="AT70" i="13"/>
  <c r="AU70" i="13" s="1"/>
  <c r="L32" i="13"/>
  <c r="P32" i="13"/>
  <c r="T32" i="13"/>
  <c r="AB32" i="13"/>
  <c r="AF32" i="13"/>
  <c r="AJ32" i="13"/>
  <c r="AR32" i="13"/>
  <c r="AQ77" i="13"/>
  <c r="AQ76" i="13" s="1"/>
  <c r="AM77" i="13"/>
  <c r="AM76" i="13" s="1"/>
  <c r="AI77" i="13"/>
  <c r="AI76" i="13" s="1"/>
  <c r="AE77" i="13"/>
  <c r="AE76" i="13" s="1"/>
  <c r="AA77" i="13"/>
  <c r="AA76" i="13" s="1"/>
  <c r="W77" i="13"/>
  <c r="W76" i="13" s="1"/>
  <c r="S77" i="13"/>
  <c r="S76" i="13" s="1"/>
  <c r="O77" i="13"/>
  <c r="O76" i="13" s="1"/>
  <c r="AT41" i="13"/>
  <c r="AT54" i="13"/>
  <c r="J53" i="13"/>
  <c r="AT53" i="13" s="1"/>
  <c r="AT64" i="13"/>
  <c r="J63" i="13"/>
  <c r="AQ166" i="13"/>
  <c r="AQ165" i="13" s="1"/>
  <c r="AM166" i="13"/>
  <c r="AM165" i="13" s="1"/>
  <c r="AI166" i="13"/>
  <c r="AI165" i="13" s="1"/>
  <c r="AE166" i="13"/>
  <c r="AE165" i="13" s="1"/>
  <c r="AA166" i="13"/>
  <c r="AA165" i="13" s="1"/>
  <c r="W166" i="13"/>
  <c r="W165" i="13" s="1"/>
  <c r="S166" i="13"/>
  <c r="S165" i="13" s="1"/>
  <c r="O166" i="13"/>
  <c r="O165" i="13" s="1"/>
  <c r="K166" i="13"/>
  <c r="K165" i="13" s="1"/>
  <c r="AT24" i="13"/>
  <c r="AU24" i="13" s="1"/>
  <c r="AT28" i="13"/>
  <c r="AT171" i="13"/>
  <c r="AP166" i="13"/>
  <c r="AP165" i="13" s="1"/>
  <c r="AH166" i="13"/>
  <c r="AH165" i="13" s="1"/>
  <c r="Z166" i="13"/>
  <c r="Z165" i="13" s="1"/>
  <c r="R166" i="13"/>
  <c r="R165" i="13" s="1"/>
  <c r="J166" i="13"/>
  <c r="AT167" i="13"/>
  <c r="J32" i="13"/>
  <c r="AT48" i="13"/>
  <c r="N32" i="13"/>
  <c r="R32" i="13"/>
  <c r="V32" i="13"/>
  <c r="Z32" i="13"/>
  <c r="AD32" i="13"/>
  <c r="AH32" i="13"/>
  <c r="AL32" i="13"/>
  <c r="AP32" i="13"/>
  <c r="J177" i="13"/>
  <c r="AT177" i="13" s="1"/>
  <c r="AT178" i="13"/>
  <c r="J148" i="13"/>
  <c r="AL166" i="13"/>
  <c r="AL165" i="13" s="1"/>
  <c r="AD166" i="13"/>
  <c r="AD165" i="13" s="1"/>
  <c r="V166" i="13"/>
  <c r="V165" i="13" s="1"/>
  <c r="N166" i="13"/>
  <c r="N165" i="13" s="1"/>
  <c r="N77" i="13"/>
  <c r="N76" i="13" s="1"/>
  <c r="J77" i="13"/>
  <c r="J76" i="13" s="1"/>
  <c r="AS77" i="13"/>
  <c r="AS76" i="13" s="1"/>
  <c r="AO77" i="13"/>
  <c r="AO76" i="13" s="1"/>
  <c r="AK77" i="13"/>
  <c r="AK76" i="13" s="1"/>
  <c r="AG77" i="13"/>
  <c r="AG76" i="13" s="1"/>
  <c r="AC77" i="13"/>
  <c r="AC76" i="13" s="1"/>
  <c r="Y77" i="13"/>
  <c r="Y76" i="13" s="1"/>
  <c r="U77" i="13"/>
  <c r="U76" i="13" s="1"/>
  <c r="Q77" i="13"/>
  <c r="Q76" i="13" s="1"/>
  <c r="AS166" i="13"/>
  <c r="AS165" i="13" s="1"/>
  <c r="AO166" i="13"/>
  <c r="AO165" i="13" s="1"/>
  <c r="AK166" i="13"/>
  <c r="AK165" i="13" s="1"/>
  <c r="AG166" i="13"/>
  <c r="AG165" i="13" s="1"/>
  <c r="AC166" i="13"/>
  <c r="AC165" i="13" s="1"/>
  <c r="Y166" i="13"/>
  <c r="Y165" i="13" s="1"/>
  <c r="U166" i="13"/>
  <c r="U165" i="13" s="1"/>
  <c r="Q166" i="13"/>
  <c r="Q165" i="13" s="1"/>
  <c r="M166" i="13"/>
  <c r="M165" i="13" s="1"/>
  <c r="K77" i="13"/>
  <c r="K76" i="13" s="1"/>
  <c r="AR166" i="13"/>
  <c r="AR165" i="13" s="1"/>
  <c r="AN166" i="13"/>
  <c r="AN165" i="13" s="1"/>
  <c r="AJ166" i="13"/>
  <c r="AJ165" i="13" s="1"/>
  <c r="AF166" i="13"/>
  <c r="AF165" i="13" s="1"/>
  <c r="AB166" i="13"/>
  <c r="AB165" i="13" s="1"/>
  <c r="X166" i="13"/>
  <c r="X165" i="13" s="1"/>
  <c r="T166" i="13"/>
  <c r="T165" i="13" s="1"/>
  <c r="P166" i="13"/>
  <c r="P165" i="13" s="1"/>
  <c r="L166" i="13"/>
  <c r="L165" i="13" s="1"/>
  <c r="G229" i="21"/>
  <c r="G506" i="21"/>
  <c r="G55" i="21"/>
  <c r="G87" i="21"/>
  <c r="G86" i="21" s="1"/>
  <c r="G175" i="21"/>
  <c r="G185" i="21"/>
  <c r="G217" i="21"/>
  <c r="G510" i="21"/>
  <c r="G509" i="21" s="1"/>
  <c r="G40" i="21"/>
  <c r="G39" i="21" s="1"/>
  <c r="G38" i="21" s="1"/>
  <c r="G141" i="21"/>
  <c r="G151" i="21"/>
  <c r="G205" i="21"/>
  <c r="G242" i="21"/>
  <c r="G276" i="21"/>
  <c r="G306" i="21"/>
  <c r="G538" i="21"/>
  <c r="G537" i="21" s="1"/>
  <c r="G51" i="21"/>
  <c r="G162" i="21"/>
  <c r="G19" i="21"/>
  <c r="G77" i="21"/>
  <c r="G69" i="21" s="1"/>
  <c r="G239" i="21"/>
  <c r="G249" i="21"/>
  <c r="G248" i="21" s="1"/>
  <c r="G266" i="21"/>
  <c r="G265" i="21" s="1"/>
  <c r="G293" i="21"/>
  <c r="G292" i="21" s="1"/>
  <c r="G309" i="21"/>
  <c r="G377" i="21"/>
  <c r="G448" i="21"/>
  <c r="G447" i="21" s="1"/>
  <c r="G479" i="21"/>
  <c r="G476" i="21" s="1"/>
  <c r="G522" i="21"/>
  <c r="G526" i="21"/>
  <c r="G525" i="21" s="1"/>
  <c r="G74" i="21"/>
  <c r="G131" i="21"/>
  <c r="G158" i="21"/>
  <c r="G201" i="21"/>
  <c r="G353" i="21"/>
  <c r="G365" i="21"/>
  <c r="G373" i="21"/>
  <c r="G398" i="21"/>
  <c r="G429" i="21"/>
  <c r="G456" i="21"/>
  <c r="G455" i="21" s="1"/>
  <c r="G517" i="21"/>
  <c r="G70" i="21"/>
  <c r="G100" i="21"/>
  <c r="G99" i="21" s="1"/>
  <c r="G98" i="21" s="1"/>
  <c r="G126" i="21"/>
  <c r="G125" i="21" s="1"/>
  <c r="G124" i="21" s="1"/>
  <c r="G123" i="21" s="1"/>
  <c r="G190" i="21"/>
  <c r="G289" i="21"/>
  <c r="G347" i="21"/>
  <c r="G346" i="21" s="1"/>
  <c r="G359" i="21"/>
  <c r="G358" i="21" s="1"/>
  <c r="G491" i="21"/>
  <c r="G513" i="21"/>
  <c r="G286" i="21"/>
  <c r="G305" i="21"/>
  <c r="G438" i="21"/>
  <c r="G50" i="21"/>
  <c r="G161" i="21"/>
  <c r="G174" i="21"/>
  <c r="G184" i="21"/>
  <c r="G18" i="21"/>
  <c r="G17" i="21" s="1"/>
  <c r="G140" i="21"/>
  <c r="G150" i="21"/>
  <c r="G216" i="21"/>
  <c r="G228" i="21"/>
  <c r="G372" i="21"/>
  <c r="G397" i="21"/>
  <c r="G385" i="21" s="1"/>
  <c r="G384" i="21" s="1"/>
  <c r="G428" i="21"/>
  <c r="G468" i="21"/>
  <c r="G490" i="21"/>
  <c r="AB143" i="16"/>
  <c r="AB142" i="16"/>
  <c r="AB141" i="16"/>
  <c r="AB140" i="16"/>
  <c r="AB139" i="16"/>
  <c r="AB138" i="16"/>
  <c r="AB137" i="16"/>
  <c r="AB136"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2"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Y143"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1"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4" i="16"/>
  <c r="W71" i="16"/>
  <c r="V71" i="16"/>
  <c r="V58" i="16"/>
  <c r="V57" i="16"/>
  <c r="W143" i="16"/>
  <c r="W142" i="16"/>
  <c r="W141" i="16"/>
  <c r="W140" i="16"/>
  <c r="W139" i="16"/>
  <c r="W138" i="16"/>
  <c r="W137" i="16"/>
  <c r="W136" i="16"/>
  <c r="W135" i="16"/>
  <c r="W134" i="16"/>
  <c r="W133" i="16"/>
  <c r="W132" i="16"/>
  <c r="W131" i="16"/>
  <c r="W130" i="16"/>
  <c r="W129" i="16"/>
  <c r="W128" i="16"/>
  <c r="W127" i="16"/>
  <c r="W126" i="16"/>
  <c r="W125" i="16"/>
  <c r="W124" i="16"/>
  <c r="W123" i="16"/>
  <c r="W122" i="16"/>
  <c r="W121" i="16"/>
  <c r="W120" i="16"/>
  <c r="W119" i="16"/>
  <c r="W118" i="16"/>
  <c r="W117" i="16"/>
  <c r="W116" i="16"/>
  <c r="W115" i="16"/>
  <c r="W114" i="16"/>
  <c r="W113" i="16"/>
  <c r="W112" i="16"/>
  <c r="W111" i="16"/>
  <c r="W110" i="16"/>
  <c r="W109" i="16"/>
  <c r="W108" i="16"/>
  <c r="W107" i="16"/>
  <c r="W106" i="16"/>
  <c r="W105" i="16"/>
  <c r="W104" i="16"/>
  <c r="W103" i="16"/>
  <c r="W102" i="16"/>
  <c r="W101" i="16"/>
  <c r="W100" i="16"/>
  <c r="W99" i="16"/>
  <c r="W98" i="16"/>
  <c r="W97" i="16"/>
  <c r="W96" i="16"/>
  <c r="W95" i="16"/>
  <c r="W94" i="16"/>
  <c r="W93" i="16"/>
  <c r="W92" i="16"/>
  <c r="W91" i="16"/>
  <c r="W90" i="16"/>
  <c r="W89" i="16"/>
  <c r="W88" i="16"/>
  <c r="W87" i="16"/>
  <c r="W86" i="16"/>
  <c r="W85" i="16"/>
  <c r="W84" i="16"/>
  <c r="W83" i="16"/>
  <c r="W82" i="16"/>
  <c r="W81" i="16"/>
  <c r="W80" i="16"/>
  <c r="W79" i="16"/>
  <c r="W78" i="16"/>
  <c r="W77" i="16"/>
  <c r="W76" i="16"/>
  <c r="W75" i="16"/>
  <c r="W74" i="16"/>
  <c r="W73" i="16"/>
  <c r="W72" i="16"/>
  <c r="W70" i="16"/>
  <c r="W69" i="16"/>
  <c r="W68" i="16"/>
  <c r="W67" i="16"/>
  <c r="W66" i="16"/>
  <c r="W65" i="16"/>
  <c r="W64" i="16"/>
  <c r="W63" i="16"/>
  <c r="W62" i="16"/>
  <c r="W61" i="16"/>
  <c r="W60" i="16"/>
  <c r="W59" i="16"/>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O18" i="13" l="1"/>
  <c r="O17" i="13" s="1"/>
  <c r="O16" i="13" s="1"/>
  <c r="O15" i="13" s="1"/>
  <c r="AN18" i="13"/>
  <c r="AN17" i="13" s="1"/>
  <c r="AN16" i="13" s="1"/>
  <c r="AN15" i="13" s="1"/>
  <c r="M18" i="13"/>
  <c r="M17" i="13" s="1"/>
  <c r="M16" i="13" s="1"/>
  <c r="M15" i="13" s="1"/>
  <c r="U18" i="13"/>
  <c r="U17" i="13" s="1"/>
  <c r="U16" i="13" s="1"/>
  <c r="U15" i="13" s="1"/>
  <c r="K18" i="13"/>
  <c r="K17" i="13" s="1"/>
  <c r="K16" i="13" s="1"/>
  <c r="K15" i="13" s="1"/>
  <c r="AB18" i="13"/>
  <c r="AB17" i="13" s="1"/>
  <c r="AB16" i="13" s="1"/>
  <c r="AB15" i="13" s="1"/>
  <c r="Y18" i="13"/>
  <c r="Y17" i="13" s="1"/>
  <c r="Y16" i="13" s="1"/>
  <c r="Y15" i="13" s="1"/>
  <c r="AG18" i="13"/>
  <c r="AG17" i="13" s="1"/>
  <c r="AG16" i="13" s="1"/>
  <c r="AG15" i="13" s="1"/>
  <c r="S18" i="13"/>
  <c r="S17" i="13" s="1"/>
  <c r="S16" i="13" s="1"/>
  <c r="S15" i="13" s="1"/>
  <c r="AO18" i="13"/>
  <c r="AO17" i="13" s="1"/>
  <c r="AO16" i="13" s="1"/>
  <c r="AO15" i="13" s="1"/>
  <c r="AI18" i="13"/>
  <c r="AI17" i="13" s="1"/>
  <c r="AI16" i="13" s="1"/>
  <c r="AI15" i="13" s="1"/>
  <c r="AM18" i="13"/>
  <c r="AM17" i="13" s="1"/>
  <c r="AM16" i="13" s="1"/>
  <c r="AM15" i="13" s="1"/>
  <c r="V18" i="13"/>
  <c r="V17" i="13" s="1"/>
  <c r="V16" i="13" s="1"/>
  <c r="V15" i="13" s="1"/>
  <c r="AJ18" i="13"/>
  <c r="AJ17" i="13" s="1"/>
  <c r="AJ16" i="13" s="1"/>
  <c r="AJ15" i="13" s="1"/>
  <c r="AE18" i="13"/>
  <c r="AE17" i="13" s="1"/>
  <c r="AE16" i="13" s="1"/>
  <c r="AE15" i="13" s="1"/>
  <c r="AQ18" i="13"/>
  <c r="AQ17" i="13" s="1"/>
  <c r="AQ16" i="13" s="1"/>
  <c r="AQ15" i="13" s="1"/>
  <c r="Q18" i="13"/>
  <c r="Q17" i="13" s="1"/>
  <c r="Q16" i="13" s="1"/>
  <c r="Q15" i="13" s="1"/>
  <c r="AD18" i="13"/>
  <c r="AD17" i="13" s="1"/>
  <c r="AD16" i="13" s="1"/>
  <c r="AD15" i="13" s="1"/>
  <c r="T18" i="13"/>
  <c r="T17" i="13" s="1"/>
  <c r="T16" i="13" s="1"/>
  <c r="T15" i="13" s="1"/>
  <c r="L18" i="13"/>
  <c r="L17" i="13" s="1"/>
  <c r="L16" i="13" s="1"/>
  <c r="L15" i="13" s="1"/>
  <c r="AC18" i="13"/>
  <c r="AC17" i="13" s="1"/>
  <c r="AC16" i="13" s="1"/>
  <c r="AC15" i="13" s="1"/>
  <c r="AA18" i="13"/>
  <c r="AA17" i="13" s="1"/>
  <c r="AA16" i="13" s="1"/>
  <c r="AA15" i="13" s="1"/>
  <c r="J142" i="13"/>
  <c r="AT143" i="13"/>
  <c r="W18" i="13"/>
  <c r="W17" i="13" s="1"/>
  <c r="W16" i="13" s="1"/>
  <c r="W15" i="13" s="1"/>
  <c r="AR18" i="13"/>
  <c r="AR17" i="13" s="1"/>
  <c r="AR16" i="13" s="1"/>
  <c r="AR15" i="13" s="1"/>
  <c r="X18" i="13"/>
  <c r="X17" i="13" s="1"/>
  <c r="X16" i="13" s="1"/>
  <c r="X15" i="13" s="1"/>
  <c r="P18" i="13"/>
  <c r="P17" i="13" s="1"/>
  <c r="P16" i="13" s="1"/>
  <c r="P15" i="13" s="1"/>
  <c r="AF18" i="13"/>
  <c r="AF17" i="13" s="1"/>
  <c r="AF16" i="13" s="1"/>
  <c r="AF15" i="13" s="1"/>
  <c r="AS18" i="13"/>
  <c r="AS17" i="13" s="1"/>
  <c r="AS16" i="13" s="1"/>
  <c r="AS15" i="13" s="1"/>
  <c r="AP18" i="13"/>
  <c r="AP17" i="13" s="1"/>
  <c r="AP16" i="13" s="1"/>
  <c r="AP15" i="13" s="1"/>
  <c r="J18" i="13"/>
  <c r="J17" i="13" s="1"/>
  <c r="N18" i="13"/>
  <c r="N17" i="13" s="1"/>
  <c r="N16" i="13" s="1"/>
  <c r="N15" i="13" s="1"/>
  <c r="R18" i="13"/>
  <c r="R17" i="13" s="1"/>
  <c r="R16" i="13" s="1"/>
  <c r="R15" i="13" s="1"/>
  <c r="Z18" i="13"/>
  <c r="Z17" i="13" s="1"/>
  <c r="Z16" i="13" s="1"/>
  <c r="Z15" i="13" s="1"/>
  <c r="AH18" i="13"/>
  <c r="AH17" i="13" s="1"/>
  <c r="AH16" i="13" s="1"/>
  <c r="AH15" i="13" s="1"/>
  <c r="AL18" i="13"/>
  <c r="AL17" i="13" s="1"/>
  <c r="AL16" i="13" s="1"/>
  <c r="AL15" i="13" s="1"/>
  <c r="J165" i="13"/>
  <c r="J147" i="13"/>
  <c r="AT63" i="13"/>
  <c r="J62" i="13"/>
  <c r="AT62" i="13" s="1"/>
  <c r="G489" i="21"/>
  <c r="G488" i="21" s="1"/>
  <c r="G487" i="21" s="1"/>
  <c r="G486" i="21" s="1"/>
  <c r="G200" i="21"/>
  <c r="G345" i="21"/>
  <c r="G344" i="21" s="1"/>
  <c r="G139" i="21"/>
  <c r="G138" i="21" s="1"/>
  <c r="G427" i="21"/>
  <c r="G426" i="21" s="1"/>
  <c r="G264" i="21"/>
  <c r="G263" i="21" s="1"/>
  <c r="G49" i="21"/>
  <c r="G16" i="21" s="1"/>
  <c r="G15" i="21" s="1"/>
  <c r="G14" i="21" s="1"/>
  <c r="G13" i="21" s="1"/>
  <c r="J141" i="13" l="1"/>
  <c r="AT141" i="13" s="1"/>
  <c r="AT142" i="13"/>
  <c r="AT18" i="13"/>
  <c r="J16" i="13"/>
  <c r="AT17" i="13"/>
  <c r="G343" i="21"/>
  <c r="G122" i="21"/>
  <c r="G115" i="21" s="1"/>
  <c r="G114" i="21" s="1"/>
  <c r="G12" i="21" s="1"/>
  <c r="C7" i="21" s="1"/>
  <c r="X144" i="16"/>
  <c r="Y144" i="16"/>
  <c r="Z144" i="16"/>
  <c r="AA144" i="16"/>
  <c r="AB144" i="16"/>
  <c r="AC144" i="16"/>
  <c r="AD144" i="16"/>
  <c r="AE144" i="16"/>
  <c r="AF144" i="16"/>
  <c r="V143" i="16"/>
  <c r="V142" i="16"/>
  <c r="V141" i="16"/>
  <c r="V140" i="16"/>
  <c r="V139" i="16"/>
  <c r="V138" i="16"/>
  <c r="V137" i="16"/>
  <c r="V136" i="16"/>
  <c r="V135" i="16"/>
  <c r="V134" i="16"/>
  <c r="V133" i="16"/>
  <c r="V132" i="16"/>
  <c r="V131" i="16"/>
  <c r="V130" i="16"/>
  <c r="V129" i="16"/>
  <c r="V128" i="16"/>
  <c r="V127" i="16"/>
  <c r="AL127" i="16" s="1"/>
  <c r="V126" i="16"/>
  <c r="V125" i="16"/>
  <c r="V124" i="16"/>
  <c r="V123" i="16"/>
  <c r="V122" i="16"/>
  <c r="V121" i="16"/>
  <c r="AL121" i="16" s="1"/>
  <c r="V120" i="16"/>
  <c r="V119" i="16"/>
  <c r="V118" i="16"/>
  <c r="V117" i="16"/>
  <c r="V116" i="16"/>
  <c r="V115" i="16"/>
  <c r="V114" i="16"/>
  <c r="V113" i="16"/>
  <c r="V112" i="16"/>
  <c r="V111" i="16"/>
  <c r="V110" i="16"/>
  <c r="V109" i="16"/>
  <c r="V108" i="16"/>
  <c r="V107" i="16"/>
  <c r="V106" i="16"/>
  <c r="V105" i="16"/>
  <c r="V104" i="16"/>
  <c r="V103" i="16"/>
  <c r="V102" i="16"/>
  <c r="V101" i="16"/>
  <c r="AL101" i="16" s="1"/>
  <c r="V100" i="16"/>
  <c r="V99" i="16"/>
  <c r="V98" i="16"/>
  <c r="V97" i="16"/>
  <c r="AL97" i="16" s="1"/>
  <c r="V96" i="16"/>
  <c r="V95" i="16"/>
  <c r="V94" i="16"/>
  <c r="V93" i="16"/>
  <c r="V92" i="16"/>
  <c r="V91" i="16"/>
  <c r="V90" i="16"/>
  <c r="V89" i="16"/>
  <c r="V88" i="16"/>
  <c r="AL88" i="16" s="1"/>
  <c r="AM88" i="16" s="1"/>
  <c r="V87" i="16"/>
  <c r="V86" i="16"/>
  <c r="V85" i="16"/>
  <c r="V84" i="16"/>
  <c r="AL84" i="16" s="1"/>
  <c r="AM84" i="16" s="1"/>
  <c r="V83" i="16"/>
  <c r="V82" i="16"/>
  <c r="V81" i="16"/>
  <c r="V80" i="16"/>
  <c r="V79" i="16"/>
  <c r="V78" i="16"/>
  <c r="V77" i="16"/>
  <c r="AL77" i="16" s="1"/>
  <c r="V75" i="16"/>
  <c r="V74" i="16"/>
  <c r="V73" i="16"/>
  <c r="V72" i="16"/>
  <c r="V70" i="16"/>
  <c r="V69" i="16"/>
  <c r="V68" i="16"/>
  <c r="V67" i="16"/>
  <c r="V66" i="16"/>
  <c r="V65" i="16"/>
  <c r="V64" i="16"/>
  <c r="V63" i="16"/>
  <c r="V62" i="16"/>
  <c r="V61" i="16"/>
  <c r="V60" i="16"/>
  <c r="V59" i="16"/>
  <c r="V56" i="16"/>
  <c r="V53" i="16"/>
  <c r="V52" i="16"/>
  <c r="V51" i="16"/>
  <c r="V50" i="16"/>
  <c r="V49" i="16"/>
  <c r="V48" i="16"/>
  <c r="V47" i="16"/>
  <c r="V46" i="16"/>
  <c r="V45" i="16"/>
  <c r="V44" i="16"/>
  <c r="V43" i="16"/>
  <c r="V42" i="16"/>
  <c r="V41" i="16"/>
  <c r="V40" i="16"/>
  <c r="V39" i="16"/>
  <c r="V38" i="16"/>
  <c r="V37" i="16"/>
  <c r="V36" i="16"/>
  <c r="V35" i="16"/>
  <c r="V34" i="16"/>
  <c r="V33" i="16"/>
  <c r="V32" i="16"/>
  <c r="V31" i="16"/>
  <c r="V30" i="16"/>
  <c r="V29" i="16"/>
  <c r="V28" i="16"/>
  <c r="V27" i="16"/>
  <c r="V26" i="16"/>
  <c r="V25" i="16"/>
  <c r="V24" i="16"/>
  <c r="V23" i="16"/>
  <c r="V22" i="16"/>
  <c r="V21" i="16"/>
  <c r="V20" i="16"/>
  <c r="V19" i="16"/>
  <c r="V18" i="16"/>
  <c r="V17" i="16"/>
  <c r="V16" i="16"/>
  <c r="V15" i="16"/>
  <c r="V14" i="16"/>
  <c r="V13" i="16"/>
  <c r="V12" i="16"/>
  <c r="V11" i="16"/>
  <c r="V10" i="16"/>
  <c r="V9" i="16"/>
  <c r="V8" i="16"/>
  <c r="V7" i="16"/>
  <c r="V6" i="16"/>
  <c r="V5" i="16"/>
  <c r="V4" i="16"/>
  <c r="V76" i="16"/>
  <c r="AL57" i="16"/>
  <c r="AM57" i="16" s="1"/>
  <c r="U143" i="16"/>
  <c r="U51" i="16"/>
  <c r="U52" i="16"/>
  <c r="U50" i="16"/>
  <c r="U47" i="16"/>
  <c r="U48" i="16"/>
  <c r="U49" i="16"/>
  <c r="U46" i="16"/>
  <c r="U45" i="16"/>
  <c r="U44" i="16"/>
  <c r="U43" i="16"/>
  <c r="U41" i="16"/>
  <c r="U42" i="16"/>
  <c r="U40" i="16"/>
  <c r="U36" i="16"/>
  <c r="U37" i="16"/>
  <c r="U38" i="16"/>
  <c r="U39" i="16"/>
  <c r="U34" i="16"/>
  <c r="U35" i="16"/>
  <c r="U33" i="16"/>
  <c r="U30" i="16"/>
  <c r="U31" i="16"/>
  <c r="U32" i="16"/>
  <c r="U29" i="16"/>
  <c r="U26" i="16"/>
  <c r="U27" i="16"/>
  <c r="U28" i="16"/>
  <c r="U25" i="16"/>
  <c r="U24" i="16"/>
  <c r="U20" i="16"/>
  <c r="U21" i="16"/>
  <c r="U22" i="16"/>
  <c r="U23" i="16"/>
  <c r="U19" i="16"/>
  <c r="U18" i="16"/>
  <c r="U13" i="16"/>
  <c r="U14" i="16"/>
  <c r="U15" i="16"/>
  <c r="U16" i="16"/>
  <c r="U17" i="16"/>
  <c r="U12" i="16"/>
  <c r="U11" i="16"/>
  <c r="U10" i="16"/>
  <c r="U8" i="16"/>
  <c r="U9" i="16"/>
  <c r="U7" i="16"/>
  <c r="U5" i="16"/>
  <c r="U6" i="16"/>
  <c r="U4" i="16"/>
  <c r="AN127" i="16" l="1"/>
  <c r="AO127" i="16" s="1"/>
  <c r="AM127" i="16"/>
  <c r="AN77" i="16"/>
  <c r="AO77" i="16" s="1"/>
  <c r="AM77" i="16"/>
  <c r="AN97" i="16"/>
  <c r="AO97" i="16" s="1"/>
  <c r="AM97" i="16"/>
  <c r="AN101" i="16"/>
  <c r="AO101" i="16" s="1"/>
  <c r="AM101" i="16"/>
  <c r="AN121" i="16"/>
  <c r="AO121" i="16" s="1"/>
  <c r="AM121" i="16"/>
  <c r="AL51" i="16"/>
  <c r="AL8" i="16"/>
  <c r="AM8" i="16" s="1"/>
  <c r="AL37" i="16"/>
  <c r="AL138" i="16"/>
  <c r="AL142" i="16"/>
  <c r="J15" i="13"/>
  <c r="AT15" i="13" s="1"/>
  <c r="AT16" i="13"/>
  <c r="AL32" i="16"/>
  <c r="AL47" i="16"/>
  <c r="AM47" i="16" s="1"/>
  <c r="AL20" i="16"/>
  <c r="AM20" i="16" s="1"/>
  <c r="AL36" i="16"/>
  <c r="AM36" i="16" s="1"/>
  <c r="AL56" i="16"/>
  <c r="AM56" i="16" s="1"/>
  <c r="AL62" i="16"/>
  <c r="AL100" i="16"/>
  <c r="AL66" i="16"/>
  <c r="AL135" i="16"/>
  <c r="AL76" i="16"/>
  <c r="AL12" i="16"/>
  <c r="AL6" i="16"/>
  <c r="AM6" i="16" s="1"/>
  <c r="AL22" i="16"/>
  <c r="AM22" i="16" s="1"/>
  <c r="AL38" i="16"/>
  <c r="AL42" i="16"/>
  <c r="AM42" i="16" s="1"/>
  <c r="AL128" i="16"/>
  <c r="AM128" i="16" s="1"/>
  <c r="AL85" i="16"/>
  <c r="AL124" i="16"/>
  <c r="AL89" i="16"/>
  <c r="AM89" i="16" s="1"/>
  <c r="AL105" i="16"/>
  <c r="AM105" i="16" s="1"/>
  <c r="AL23" i="16"/>
  <c r="AL61" i="16"/>
  <c r="AM61" i="16" s="1"/>
  <c r="AL79" i="16"/>
  <c r="AL114" i="16"/>
  <c r="AL48" i="16"/>
  <c r="AL59" i="16"/>
  <c r="AL72" i="16"/>
  <c r="AM72" i="16" s="1"/>
  <c r="AL93" i="16"/>
  <c r="AL143" i="16"/>
  <c r="AL10" i="16"/>
  <c r="AL18" i="16"/>
  <c r="AL64" i="16"/>
  <c r="AM64" i="16" s="1"/>
  <c r="AL86" i="16"/>
  <c r="AM86" i="16" s="1"/>
  <c r="AL34" i="16"/>
  <c r="AL46" i="16"/>
  <c r="AL103" i="16"/>
  <c r="AL132" i="16"/>
  <c r="AM132" i="16" s="1"/>
  <c r="AL45" i="16"/>
  <c r="AM45" i="16" s="1"/>
  <c r="AL53" i="16"/>
  <c r="AM53" i="16" s="1"/>
  <c r="AL68" i="16"/>
  <c r="AL26" i="16"/>
  <c r="AM26" i="16" s="1"/>
  <c r="AL30" i="16"/>
  <c r="AL110" i="16"/>
  <c r="AL29" i="16"/>
  <c r="AL14" i="16"/>
  <c r="V144" i="16"/>
  <c r="AL74" i="16"/>
  <c r="AM74" i="16" s="1"/>
  <c r="AL129" i="16"/>
  <c r="AL24" i="16"/>
  <c r="AM24" i="16" s="1"/>
  <c r="AL134" i="16"/>
  <c r="AM134" i="16" s="1"/>
  <c r="AL87" i="16"/>
  <c r="AL40" i="16"/>
  <c r="AM40" i="16" s="1"/>
  <c r="AL5" i="16"/>
  <c r="AM5" i="16" s="1"/>
  <c r="AL13" i="16"/>
  <c r="AL21" i="16"/>
  <c r="AL25" i="16"/>
  <c r="AM25" i="16" s="1"/>
  <c r="AL41" i="16"/>
  <c r="AL44" i="16"/>
  <c r="AL78" i="16"/>
  <c r="AL90" i="16"/>
  <c r="AM90" i="16" s="1"/>
  <c r="AL94" i="16"/>
  <c r="AL98" i="16"/>
  <c r="AL102" i="16"/>
  <c r="AM102" i="16" s="1"/>
  <c r="AL106" i="16"/>
  <c r="AM106" i="16" s="1"/>
  <c r="AL116" i="16"/>
  <c r="AM116" i="16" s="1"/>
  <c r="AL125" i="16"/>
  <c r="AM125" i="16" s="1"/>
  <c r="AL140" i="16"/>
  <c r="AL104" i="16"/>
  <c r="AM104" i="16" s="1"/>
  <c r="AL9" i="16"/>
  <c r="AM9" i="16" s="1"/>
  <c r="AL33" i="16"/>
  <c r="AL112" i="16"/>
  <c r="AL123" i="16"/>
  <c r="AL126" i="16"/>
  <c r="AL80" i="16"/>
  <c r="AM80" i="16" s="1"/>
  <c r="AL108" i="16"/>
  <c r="AM108" i="16" s="1"/>
  <c r="AL17" i="16"/>
  <c r="AL92" i="16"/>
  <c r="AM92" i="16" s="1"/>
  <c r="AL54" i="16"/>
  <c r="AL50" i="16"/>
  <c r="AL137" i="16"/>
  <c r="AL141" i="16"/>
  <c r="AL19" i="16"/>
  <c r="AM19" i="16" s="1"/>
  <c r="AL91" i="16"/>
  <c r="AL95" i="16"/>
  <c r="AL99" i="16"/>
  <c r="AL39" i="16"/>
  <c r="AL49" i="16"/>
  <c r="AL63" i="16"/>
  <c r="AL27" i="16"/>
  <c r="AL31" i="16"/>
  <c r="AM31" i="16" s="1"/>
  <c r="AL35" i="16"/>
  <c r="AM35" i="16" s="1"/>
  <c r="AL67" i="16"/>
  <c r="AL71" i="16"/>
  <c r="AL75" i="16"/>
  <c r="AL107" i="16"/>
  <c r="AL111" i="16"/>
  <c r="AL7" i="16"/>
  <c r="AM7" i="16" s="1"/>
  <c r="AL133" i="16"/>
  <c r="AL52" i="16"/>
  <c r="AL65" i="16"/>
  <c r="AL73" i="16"/>
  <c r="AN57" i="16"/>
  <c r="AO57" i="16" s="1"/>
  <c r="AL70" i="16"/>
  <c r="AM70" i="16" s="1"/>
  <c r="AL96" i="16"/>
  <c r="AM96" i="16" s="1"/>
  <c r="AL118" i="16"/>
  <c r="AM118" i="16" s="1"/>
  <c r="AL16" i="16"/>
  <c r="AL28" i="16"/>
  <c r="AM28" i="16" s="1"/>
  <c r="AL69" i="16"/>
  <c r="AL82" i="16"/>
  <c r="AM82" i="16" s="1"/>
  <c r="AL130" i="16"/>
  <c r="AM130" i="16" s="1"/>
  <c r="AL81" i="16"/>
  <c r="AL109" i="16"/>
  <c r="AL11" i="16"/>
  <c r="AL15" i="16"/>
  <c r="AL43" i="16"/>
  <c r="AL60" i="16"/>
  <c r="AM60" i="16" s="1"/>
  <c r="AL119" i="16"/>
  <c r="AM119" i="16" s="1"/>
  <c r="AL4" i="16"/>
  <c r="AN88" i="16"/>
  <c r="AO88" i="16" s="1"/>
  <c r="AN84" i="16"/>
  <c r="AO84" i="16" s="1"/>
  <c r="AM142" i="16" l="1"/>
  <c r="G15" i="33" a="1"/>
  <c r="G15" i="33" s="1"/>
  <c r="G14" i="33" a="1"/>
  <c r="G14" i="33" s="1"/>
  <c r="G18" i="14" a="1"/>
  <c r="G18" i="14" s="1"/>
  <c r="AM4" i="16"/>
  <c r="G17" i="14" a="1"/>
  <c r="G17" i="14" s="1"/>
  <c r="AM112" i="16"/>
  <c r="G10" i="14" a="1"/>
  <c r="G10" i="14" s="1"/>
  <c r="AM126" i="16"/>
  <c r="G21" i="14" a="1"/>
  <c r="G21" i="14" s="1"/>
  <c r="AM12" i="16"/>
  <c r="G20" i="14" a="1"/>
  <c r="G20" i="14" s="1"/>
  <c r="G15" i="14" a="1"/>
  <c r="G15" i="14" s="1"/>
  <c r="G43" i="14" a="1"/>
  <c r="G43" i="14" s="1"/>
  <c r="AM16" i="16"/>
  <c r="G33" i="14" a="1"/>
  <c r="G33" i="14" s="1"/>
  <c r="AM76" i="16"/>
  <c r="AN43" i="16"/>
  <c r="AO43" i="16" s="1"/>
  <c r="AM43" i="16"/>
  <c r="AN81" i="16"/>
  <c r="AO81" i="16" s="1"/>
  <c r="AM81" i="16"/>
  <c r="AN52" i="16"/>
  <c r="AO52" i="16" s="1"/>
  <c r="AM52" i="16"/>
  <c r="AN49" i="16"/>
  <c r="AO49" i="16" s="1"/>
  <c r="AM49" i="16"/>
  <c r="AN50" i="16"/>
  <c r="AO50" i="16" s="1"/>
  <c r="AM50" i="16"/>
  <c r="AN140" i="16"/>
  <c r="AO140" i="16" s="1"/>
  <c r="AM140" i="16"/>
  <c r="AN133" i="16"/>
  <c r="AO133" i="16" s="1"/>
  <c r="AM133" i="16"/>
  <c r="AN39" i="16"/>
  <c r="AO39" i="16" s="1"/>
  <c r="AM39" i="16"/>
  <c r="AN54" i="16"/>
  <c r="AO54" i="16" s="1"/>
  <c r="AM54" i="16"/>
  <c r="AN98" i="16"/>
  <c r="AO98" i="16" s="1"/>
  <c r="AM98" i="16"/>
  <c r="AN44" i="16"/>
  <c r="AO44" i="16" s="1"/>
  <c r="AM44" i="16"/>
  <c r="AN13" i="16"/>
  <c r="AO13" i="16" s="1"/>
  <c r="AM13" i="16"/>
  <c r="AN30" i="16"/>
  <c r="AO30" i="16" s="1"/>
  <c r="AM30" i="16"/>
  <c r="AN34" i="16"/>
  <c r="AO34" i="16" s="1"/>
  <c r="AM34" i="16"/>
  <c r="AN10" i="16"/>
  <c r="AO10" i="16" s="1"/>
  <c r="AM10" i="16"/>
  <c r="AN59" i="16"/>
  <c r="AO59" i="16" s="1"/>
  <c r="AM59" i="16"/>
  <c r="AN124" i="16"/>
  <c r="AO124" i="16" s="1"/>
  <c r="AM124" i="16"/>
  <c r="AN38" i="16"/>
  <c r="AO38" i="16" s="1"/>
  <c r="AM38" i="16"/>
  <c r="AN62" i="16"/>
  <c r="AO62" i="16" s="1"/>
  <c r="AM62" i="16"/>
  <c r="AN51" i="16"/>
  <c r="AO51" i="16" s="1"/>
  <c r="AM51" i="16"/>
  <c r="AN91" i="16"/>
  <c r="AO91" i="16" s="1"/>
  <c r="AM91" i="16"/>
  <c r="AN78" i="16"/>
  <c r="AO78" i="16" s="1"/>
  <c r="AM78" i="16"/>
  <c r="AN87" i="16"/>
  <c r="AO87" i="16" s="1"/>
  <c r="AM87" i="16"/>
  <c r="AN110" i="16"/>
  <c r="AO110" i="16" s="1"/>
  <c r="AM110" i="16"/>
  <c r="AN46" i="16"/>
  <c r="AO46" i="16" s="1"/>
  <c r="AM46" i="16"/>
  <c r="AN79" i="16"/>
  <c r="AO79" i="16" s="1"/>
  <c r="AM79" i="16"/>
  <c r="AN100" i="16"/>
  <c r="AO100" i="16" s="1"/>
  <c r="AM100" i="16"/>
  <c r="AN75" i="16"/>
  <c r="AO75" i="16" s="1"/>
  <c r="AM75" i="16"/>
  <c r="AN33" i="16"/>
  <c r="AO33" i="16" s="1"/>
  <c r="AM33" i="16"/>
  <c r="AN11" i="16"/>
  <c r="AO11" i="16" s="1"/>
  <c r="AM11" i="16"/>
  <c r="AN73" i="16"/>
  <c r="AO73" i="16" s="1"/>
  <c r="AM73" i="16"/>
  <c r="AN71" i="16"/>
  <c r="AO71" i="16" s="1"/>
  <c r="AM71" i="16"/>
  <c r="AN27" i="16"/>
  <c r="AO27" i="16" s="1"/>
  <c r="AM27" i="16"/>
  <c r="AN99" i="16"/>
  <c r="AO99" i="16" s="1"/>
  <c r="AM99" i="16"/>
  <c r="AN141" i="16"/>
  <c r="AO141" i="16" s="1"/>
  <c r="AM141" i="16"/>
  <c r="AN94" i="16"/>
  <c r="AO94" i="16" s="1"/>
  <c r="AM94" i="16"/>
  <c r="AN41" i="16"/>
  <c r="AO41" i="16" s="1"/>
  <c r="AM41" i="16"/>
  <c r="AN14" i="16"/>
  <c r="AO14" i="16" s="1"/>
  <c r="AM14" i="16"/>
  <c r="AN143" i="16"/>
  <c r="AO143" i="16" s="1"/>
  <c r="AM143" i="16"/>
  <c r="AN48" i="16"/>
  <c r="AO48" i="16" s="1"/>
  <c r="AM48" i="16"/>
  <c r="AN23" i="16"/>
  <c r="AO23" i="16" s="1"/>
  <c r="AM23" i="16"/>
  <c r="AN85" i="16"/>
  <c r="AO85" i="16" s="1"/>
  <c r="AM85" i="16"/>
  <c r="AN135" i="16"/>
  <c r="AO135" i="16" s="1"/>
  <c r="AM135" i="16"/>
  <c r="AN32" i="16"/>
  <c r="AO32" i="16" s="1"/>
  <c r="AM32" i="16"/>
  <c r="AN138" i="16"/>
  <c r="AO138" i="16" s="1"/>
  <c r="AM138" i="16"/>
  <c r="AN107" i="16"/>
  <c r="AO107" i="16" s="1"/>
  <c r="AM107" i="16"/>
  <c r="AN21" i="16"/>
  <c r="AO21" i="16" s="1"/>
  <c r="AM21" i="16"/>
  <c r="AN18" i="16"/>
  <c r="AO18" i="16" s="1"/>
  <c r="AM18" i="16"/>
  <c r="AN15" i="16"/>
  <c r="AO15" i="16" s="1"/>
  <c r="AM15" i="16"/>
  <c r="AN109" i="16"/>
  <c r="AO109" i="16" s="1"/>
  <c r="AM109" i="16"/>
  <c r="AN69" i="16"/>
  <c r="AO69" i="16" s="1"/>
  <c r="AM69" i="16"/>
  <c r="AN65" i="16"/>
  <c r="AO65" i="16" s="1"/>
  <c r="AM65" i="16"/>
  <c r="AN111" i="16"/>
  <c r="AO111" i="16" s="1"/>
  <c r="AM111" i="16"/>
  <c r="AN67" i="16"/>
  <c r="AO67" i="16" s="1"/>
  <c r="AM67" i="16"/>
  <c r="AN63" i="16"/>
  <c r="AO63" i="16" s="1"/>
  <c r="AM63" i="16"/>
  <c r="AN95" i="16"/>
  <c r="AO95" i="16" s="1"/>
  <c r="AM95" i="16"/>
  <c r="AN137" i="16"/>
  <c r="AO137" i="16" s="1"/>
  <c r="AM137" i="16"/>
  <c r="AN17" i="16"/>
  <c r="AO17" i="16" s="1"/>
  <c r="AM17" i="16"/>
  <c r="AN123" i="16"/>
  <c r="AO123" i="16" s="1"/>
  <c r="AM123" i="16"/>
  <c r="AN129" i="16"/>
  <c r="AO129" i="16" s="1"/>
  <c r="AM129" i="16"/>
  <c r="AN29" i="16"/>
  <c r="AO29" i="16" s="1"/>
  <c r="AM29" i="16"/>
  <c r="AN68" i="16"/>
  <c r="AO68" i="16" s="1"/>
  <c r="AM68" i="16"/>
  <c r="AN103" i="16"/>
  <c r="AO103" i="16" s="1"/>
  <c r="AM103" i="16"/>
  <c r="AN93" i="16"/>
  <c r="AO93" i="16" s="1"/>
  <c r="AM93" i="16"/>
  <c r="AN114" i="16"/>
  <c r="AO114" i="16" s="1"/>
  <c r="AM114" i="16"/>
  <c r="AN66" i="16"/>
  <c r="AO66" i="16" s="1"/>
  <c r="AM66" i="16"/>
  <c r="AN37" i="16"/>
  <c r="AO37" i="16" s="1"/>
  <c r="AM37" i="16"/>
  <c r="AN142" i="16"/>
  <c r="AO142" i="16" s="1"/>
  <c r="AN47" i="16"/>
  <c r="AO47" i="16" s="1"/>
  <c r="AN56" i="16"/>
  <c r="AO56" i="16" s="1"/>
  <c r="AN22" i="16"/>
  <c r="AO22" i="16" s="1"/>
  <c r="AN20" i="16"/>
  <c r="AO20" i="16" s="1"/>
  <c r="AN76" i="16"/>
  <c r="AO76" i="16" s="1"/>
  <c r="AN36" i="16"/>
  <c r="AO36" i="16" s="1"/>
  <c r="AN12" i="16"/>
  <c r="AO12" i="16" s="1"/>
  <c r="AN72" i="16"/>
  <c r="AO72" i="16" s="1"/>
  <c r="AN45" i="16"/>
  <c r="AO45" i="16" s="1"/>
  <c r="AN128" i="16"/>
  <c r="AO128" i="16" s="1"/>
  <c r="AN61" i="16"/>
  <c r="AO61" i="16" s="1"/>
  <c r="AN26" i="16"/>
  <c r="AO26" i="16" s="1"/>
  <c r="AN53" i="16"/>
  <c r="AO53" i="16" s="1"/>
  <c r="AN89" i="16"/>
  <c r="AO89" i="16" s="1"/>
  <c r="AN134" i="16"/>
  <c r="AO134" i="16" s="1"/>
  <c r="AN105" i="16"/>
  <c r="AO105" i="16" s="1"/>
  <c r="AN74" i="16"/>
  <c r="AO74" i="16" s="1"/>
  <c r="AN42" i="16"/>
  <c r="AO42" i="16" s="1"/>
  <c r="AN64" i="16"/>
  <c r="AO64" i="16" s="1"/>
  <c r="AN24" i="16"/>
  <c r="AO24" i="16" s="1"/>
  <c r="AN132" i="16"/>
  <c r="AO132" i="16" s="1"/>
  <c r="AN86" i="16"/>
  <c r="AO86" i="16" s="1"/>
  <c r="AN40" i="16"/>
  <c r="AO40" i="16" s="1"/>
  <c r="AN25" i="16"/>
  <c r="AO25" i="16" s="1"/>
  <c r="AN125" i="16"/>
  <c r="AO125" i="16" s="1"/>
  <c r="AN108" i="16"/>
  <c r="AO108" i="16" s="1"/>
  <c r="AN4" i="16"/>
  <c r="AO4" i="16" s="1"/>
  <c r="AN90" i="16"/>
  <c r="AO90" i="16" s="1"/>
  <c r="AN106" i="16"/>
  <c r="AO106" i="16" s="1"/>
  <c r="AN102" i="16"/>
  <c r="AO102" i="16" s="1"/>
  <c r="AN35" i="16"/>
  <c r="AO35" i="16" s="1"/>
  <c r="AN16" i="16"/>
  <c r="AO16" i="16" s="1"/>
  <c r="AN92" i="16"/>
  <c r="AO92" i="16" s="1"/>
  <c r="AN126" i="16"/>
  <c r="AO126" i="16" s="1"/>
  <c r="AN112" i="16"/>
  <c r="AO112" i="16" s="1"/>
  <c r="AN116" i="16"/>
  <c r="AO116" i="16" s="1"/>
  <c r="AN104" i="16"/>
  <c r="AO104" i="16" s="1"/>
  <c r="AN19" i="16"/>
  <c r="AO19" i="16" s="1"/>
  <c r="AN80" i="16"/>
  <c r="AO80" i="16" s="1"/>
  <c r="AN31" i="16"/>
  <c r="AO31" i="16" s="1"/>
  <c r="AN130" i="16"/>
  <c r="AO130" i="16" s="1"/>
  <c r="AN28" i="16"/>
  <c r="AO28" i="16" s="1"/>
  <c r="AN118" i="16"/>
  <c r="AO118" i="16" s="1"/>
  <c r="AN82" i="16"/>
  <c r="AO82" i="16" s="1"/>
  <c r="AN119" i="16"/>
  <c r="AO119" i="16" s="1"/>
  <c r="AN70" i="16"/>
  <c r="AO70" i="16" s="1"/>
  <c r="AN96" i="16"/>
  <c r="AO96" i="16" s="1"/>
  <c r="AN60" i="16"/>
  <c r="AO60" i="16" s="1"/>
  <c r="AT23" i="13"/>
  <c r="AU23" i="13" s="1"/>
  <c r="AT22" i="13"/>
  <c r="AU22" i="13" s="1"/>
  <c r="AT21" i="13"/>
  <c r="AU21" i="13" s="1"/>
  <c r="H15" i="33" l="1"/>
  <c r="I15" i="33"/>
  <c r="J15" i="33" s="1"/>
  <c r="G35" i="33"/>
  <c r="G17" i="33"/>
  <c r="H14" i="33"/>
  <c r="I14" i="33"/>
  <c r="J14" i="33" s="1"/>
  <c r="I43" i="14"/>
  <c r="J43" i="14" s="1"/>
  <c r="H43" i="14"/>
  <c r="G45" i="14"/>
  <c r="H33" i="14"/>
  <c r="I33" i="14"/>
  <c r="J33" i="14" s="1"/>
  <c r="I20" i="14"/>
  <c r="J20" i="14" s="1"/>
  <c r="H20" i="14"/>
  <c r="H10" i="14"/>
  <c r="I10" i="14"/>
  <c r="J10" i="14" s="1"/>
  <c r="H18" i="14"/>
  <c r="I18" i="14"/>
  <c r="J18" i="14" s="1"/>
  <c r="H15" i="14"/>
  <c r="I15" i="14"/>
  <c r="J15" i="14" s="1"/>
  <c r="H21" i="14"/>
  <c r="I21" i="14"/>
  <c r="J21" i="14" s="1"/>
  <c r="H17" i="14"/>
  <c r="I17" i="14"/>
  <c r="J17" i="14" s="1"/>
  <c r="C30" i="14"/>
  <c r="F228" i="13"/>
  <c r="AU228" i="13" s="1"/>
  <c r="F225" i="13"/>
  <c r="F221" i="13"/>
  <c r="F215" i="13"/>
  <c r="F208" i="13"/>
  <c r="F200" i="13"/>
  <c r="F197" i="13"/>
  <c r="F193" i="13"/>
  <c r="F190" i="13"/>
  <c r="F187" i="13"/>
  <c r="F184" i="13"/>
  <c r="F178" i="13"/>
  <c r="AU178" i="13" s="1"/>
  <c r="F171" i="13"/>
  <c r="AU171" i="13" s="1"/>
  <c r="F167" i="13"/>
  <c r="AU167" i="13" s="1"/>
  <c r="F160" i="13"/>
  <c r="F154" i="13"/>
  <c r="AU154" i="13" s="1"/>
  <c r="F149" i="13"/>
  <c r="AU149" i="13" s="1"/>
  <c r="F144" i="13"/>
  <c r="AU144" i="13" s="1"/>
  <c r="F137" i="13"/>
  <c r="F134" i="13"/>
  <c r="AU134" i="13" s="1"/>
  <c r="F131" i="13"/>
  <c r="AU131" i="13" s="1"/>
  <c r="F128" i="13"/>
  <c r="AU128" i="13" s="1"/>
  <c r="F125" i="13"/>
  <c r="AU125" i="13" s="1"/>
  <c r="F118" i="13"/>
  <c r="F102" i="13"/>
  <c r="F108" i="13"/>
  <c r="F113" i="13"/>
  <c r="F95" i="13"/>
  <c r="F91" i="13"/>
  <c r="F86" i="13"/>
  <c r="F82" i="13"/>
  <c r="F78" i="13"/>
  <c r="F65" i="13"/>
  <c r="AU65" i="13" s="1"/>
  <c r="F54" i="13"/>
  <c r="AU54" i="13" s="1"/>
  <c r="F48" i="13"/>
  <c r="AU48" i="13" s="1"/>
  <c r="F41" i="13"/>
  <c r="AU41" i="13" s="1"/>
  <c r="F33" i="13"/>
  <c r="F28" i="13"/>
  <c r="AU28" i="13" s="1"/>
  <c r="F20" i="13"/>
  <c r="AU20" i="13" s="1"/>
  <c r="C35" i="14"/>
  <c r="B3" i="17"/>
  <c r="B1" i="17"/>
  <c r="I17" i="33" l="1"/>
  <c r="J17" i="33" s="1"/>
  <c r="G24" i="33"/>
  <c r="H17" i="33"/>
  <c r="H35" i="33"/>
  <c r="G33" i="33"/>
  <c r="I35" i="33"/>
  <c r="J35" i="33" s="1"/>
  <c r="H45" i="14"/>
  <c r="I45" i="14"/>
  <c r="J45" i="14" s="1"/>
  <c r="C37" i="14"/>
  <c r="AV125" i="13"/>
  <c r="AW125" i="13" s="1"/>
  <c r="F53" i="13"/>
  <c r="AU53" i="13" s="1"/>
  <c r="AV65" i="13"/>
  <c r="AW65" i="13" s="1"/>
  <c r="AV128" i="13"/>
  <c r="AW128" i="13" s="1"/>
  <c r="F68" i="13"/>
  <c r="AV131" i="13"/>
  <c r="AW131" i="13" s="1"/>
  <c r="AV149" i="13"/>
  <c r="AW149" i="13" s="1"/>
  <c r="F227" i="13"/>
  <c r="AV228" i="13"/>
  <c r="AV28" i="13"/>
  <c r="F143" i="13"/>
  <c r="AU143" i="13" s="1"/>
  <c r="AV144" i="13"/>
  <c r="AW144" i="13" s="1"/>
  <c r="F19" i="13"/>
  <c r="AV134" i="13"/>
  <c r="AW134" i="13" s="1"/>
  <c r="AV154" i="13"/>
  <c r="AW154" i="13" s="1"/>
  <c r="F124" i="13"/>
  <c r="F123" i="13" s="1"/>
  <c r="AN8" i="16"/>
  <c r="AO8" i="16" s="1"/>
  <c r="AN7" i="16"/>
  <c r="AO7" i="16" s="1"/>
  <c r="F148" i="13"/>
  <c r="AV171" i="13"/>
  <c r="AW171" i="13" s="1"/>
  <c r="AN9" i="16"/>
  <c r="AO9" i="16" s="1"/>
  <c r="AN5" i="16"/>
  <c r="AO5" i="16" s="1"/>
  <c r="F64" i="13"/>
  <c r="AU64" i="13" s="1"/>
  <c r="AN6" i="16"/>
  <c r="AO6" i="16" s="1"/>
  <c r="AV48" i="13"/>
  <c r="AW48" i="13" s="1"/>
  <c r="F77" i="13"/>
  <c r="F76" i="13" s="1"/>
  <c r="F177" i="13"/>
  <c r="AU177" i="13" s="1"/>
  <c r="AV178" i="13"/>
  <c r="AW178" i="13" s="1"/>
  <c r="F207" i="13"/>
  <c r="F32" i="13"/>
  <c r="F183" i="13"/>
  <c r="F182" i="13" s="1"/>
  <c r="F166" i="13"/>
  <c r="Q144" i="16"/>
  <c r="I24" i="33" l="1"/>
  <c r="J24" i="33" s="1"/>
  <c r="G25" i="33"/>
  <c r="H24" i="33"/>
  <c r="G38" i="33"/>
  <c r="H33" i="33"/>
  <c r="I33" i="33"/>
  <c r="J33" i="33" s="1"/>
  <c r="F206" i="13"/>
  <c r="F205" i="13" s="1"/>
  <c r="F204" i="13" s="1"/>
  <c r="F165" i="13"/>
  <c r="F18" i="13"/>
  <c r="AU18" i="13" s="1"/>
  <c r="F67" i="13"/>
  <c r="F142" i="13"/>
  <c r="AU142" i="13" s="1"/>
  <c r="AV143" i="13"/>
  <c r="AW143" i="13" s="1"/>
  <c r="F147" i="13"/>
  <c r="AV177" i="13"/>
  <c r="AW177" i="13" s="1"/>
  <c r="F63" i="13"/>
  <c r="AU63" i="13" s="1"/>
  <c r="AV64" i="13"/>
  <c r="AW64" i="13" s="1"/>
  <c r="G40" i="33" l="1"/>
  <c r="H38" i="33"/>
  <c r="I38" i="33"/>
  <c r="J38" i="33" s="1"/>
  <c r="H25" i="33"/>
  <c r="I25" i="33"/>
  <c r="J25" i="33" s="1"/>
  <c r="F17" i="13"/>
  <c r="F141" i="13"/>
  <c r="AU141" i="13" s="1"/>
  <c r="AV142" i="13"/>
  <c r="AW142" i="13" s="1"/>
  <c r="F146" i="13"/>
  <c r="F62" i="13"/>
  <c r="AU62" i="13" s="1"/>
  <c r="AV63" i="13"/>
  <c r="AW63" i="13" s="1"/>
  <c r="H40" i="33" l="1"/>
  <c r="I40" i="33"/>
  <c r="J40" i="33" s="1"/>
  <c r="F16" i="13"/>
  <c r="AU16" i="13" s="1"/>
  <c r="AU17" i="13"/>
  <c r="AV141" i="13"/>
  <c r="AW141" i="13" s="1"/>
  <c r="AV62" i="13"/>
  <c r="AW62" i="13" s="1"/>
  <c r="F61" i="13"/>
  <c r="F15" i="13" l="1"/>
  <c r="AU15" i="13" s="1"/>
  <c r="F60" i="13"/>
  <c r="A2" i="14"/>
  <c r="B2" i="27" s="1"/>
  <c r="F14" i="13" l="1"/>
  <c r="B2" i="17"/>
  <c r="C2" i="20"/>
  <c r="C22" i="14"/>
  <c r="C55" i="14" l="1"/>
  <c r="C56" i="14" s="1"/>
  <c r="C12" i="14"/>
  <c r="R7" i="7"/>
  <c r="R22" i="7"/>
  <c r="AS225" i="13"/>
  <c r="AR225" i="13"/>
  <c r="AQ225" i="13"/>
  <c r="AP225" i="13"/>
  <c r="AO225" i="13"/>
  <c r="AN225" i="13"/>
  <c r="AM225" i="13"/>
  <c r="AL225" i="13"/>
  <c r="AK225" i="13"/>
  <c r="AJ225" i="13"/>
  <c r="AI225" i="13"/>
  <c r="AH225" i="13"/>
  <c r="AG225" i="13"/>
  <c r="AF225" i="13"/>
  <c r="AE225" i="13"/>
  <c r="AD225" i="13"/>
  <c r="AC225" i="13"/>
  <c r="AB225" i="13"/>
  <c r="AA225" i="13"/>
  <c r="Z225" i="13"/>
  <c r="Y225" i="13"/>
  <c r="X225" i="13"/>
  <c r="W225" i="13"/>
  <c r="V225" i="13"/>
  <c r="U225" i="13"/>
  <c r="T225" i="13"/>
  <c r="S225" i="13"/>
  <c r="R225" i="13"/>
  <c r="Q225" i="13"/>
  <c r="P225" i="13"/>
  <c r="O225" i="13"/>
  <c r="N225" i="13"/>
  <c r="M225" i="13"/>
  <c r="AS221" i="13"/>
  <c r="AR221" i="13"/>
  <c r="AQ221" i="13"/>
  <c r="AP221" i="13"/>
  <c r="AO221" i="13"/>
  <c r="AN221" i="13"/>
  <c r="AM221" i="13"/>
  <c r="AL221" i="13"/>
  <c r="AK221" i="13"/>
  <c r="AJ221" i="13"/>
  <c r="AI221" i="13"/>
  <c r="AH221" i="13"/>
  <c r="AG221" i="13"/>
  <c r="AF221" i="13"/>
  <c r="AE221" i="13"/>
  <c r="AD221" i="13"/>
  <c r="AC221" i="13"/>
  <c r="AB221" i="13"/>
  <c r="AA221" i="13"/>
  <c r="Z221" i="13"/>
  <c r="Y221" i="13"/>
  <c r="X221" i="13"/>
  <c r="W221" i="13"/>
  <c r="V221" i="13"/>
  <c r="U221" i="13"/>
  <c r="T221" i="13"/>
  <c r="S221" i="13"/>
  <c r="R221" i="13"/>
  <c r="Q221" i="13"/>
  <c r="P221" i="13"/>
  <c r="O221" i="13"/>
  <c r="N221" i="13"/>
  <c r="M221" i="13"/>
  <c r="AS215" i="13"/>
  <c r="AR215" i="13"/>
  <c r="AQ215" i="13"/>
  <c r="AP215" i="13"/>
  <c r="AO215" i="13"/>
  <c r="AN215" i="13"/>
  <c r="AM215" i="13"/>
  <c r="AL215" i="13"/>
  <c r="AK215" i="13"/>
  <c r="AJ215" i="13"/>
  <c r="AI215" i="13"/>
  <c r="AH215" i="13"/>
  <c r="AG215" i="13"/>
  <c r="AF215" i="13"/>
  <c r="AE215" i="13"/>
  <c r="AD215" i="13"/>
  <c r="AC215" i="13"/>
  <c r="AB215" i="13"/>
  <c r="AA215" i="13"/>
  <c r="Z215" i="13"/>
  <c r="Y215" i="13"/>
  <c r="X215" i="13"/>
  <c r="W215" i="13"/>
  <c r="V215" i="13"/>
  <c r="U215" i="13"/>
  <c r="T215" i="13"/>
  <c r="S215" i="13"/>
  <c r="R215" i="13"/>
  <c r="Q215" i="13"/>
  <c r="P215" i="13"/>
  <c r="O215" i="13"/>
  <c r="N215" i="13"/>
  <c r="M215" i="13"/>
  <c r="AS200" i="13"/>
  <c r="AR200" i="13"/>
  <c r="AQ200" i="13"/>
  <c r="AP200" i="13"/>
  <c r="AO200" i="13"/>
  <c r="AN200" i="13"/>
  <c r="AM200" i="13"/>
  <c r="AL200" i="13"/>
  <c r="AK200" i="13"/>
  <c r="AJ200" i="13"/>
  <c r="AI200" i="13"/>
  <c r="AH200" i="13"/>
  <c r="AG200" i="13"/>
  <c r="AF200" i="13"/>
  <c r="AE200" i="13"/>
  <c r="AD200" i="13"/>
  <c r="AC200" i="13"/>
  <c r="AB200" i="13"/>
  <c r="AA200" i="13"/>
  <c r="Z200" i="13"/>
  <c r="Y200" i="13"/>
  <c r="X200" i="13"/>
  <c r="W200" i="13"/>
  <c r="V200" i="13"/>
  <c r="U200" i="13"/>
  <c r="T200" i="13"/>
  <c r="S200" i="13"/>
  <c r="R200" i="13"/>
  <c r="Q200" i="13"/>
  <c r="P200" i="13"/>
  <c r="O200" i="13"/>
  <c r="N200" i="13"/>
  <c r="M200" i="13"/>
  <c r="AS197" i="13"/>
  <c r="AR197" i="13"/>
  <c r="AQ197" i="13"/>
  <c r="AP197" i="13"/>
  <c r="AO197" i="13"/>
  <c r="AN197" i="13"/>
  <c r="AM197" i="13"/>
  <c r="AL197" i="13"/>
  <c r="AK197" i="13"/>
  <c r="AJ197" i="13"/>
  <c r="AI197" i="13"/>
  <c r="AH197" i="13"/>
  <c r="AG197" i="13"/>
  <c r="AF197" i="13"/>
  <c r="AE197" i="13"/>
  <c r="AD197" i="13"/>
  <c r="AC197" i="13"/>
  <c r="AB197" i="13"/>
  <c r="AA197" i="13"/>
  <c r="Z197" i="13"/>
  <c r="Y197" i="13"/>
  <c r="X197" i="13"/>
  <c r="W197" i="13"/>
  <c r="V197" i="13"/>
  <c r="U197" i="13"/>
  <c r="T197" i="13"/>
  <c r="S197" i="13"/>
  <c r="R197" i="13"/>
  <c r="Q197" i="13"/>
  <c r="P197" i="13"/>
  <c r="O197" i="13"/>
  <c r="N197" i="13"/>
  <c r="M197" i="13"/>
  <c r="AS193" i="13"/>
  <c r="AR193" i="13"/>
  <c r="AQ193"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AS190" i="13"/>
  <c r="AR190" i="13"/>
  <c r="AQ190" i="13"/>
  <c r="AP190" i="13"/>
  <c r="AO190" i="13"/>
  <c r="AN190" i="13"/>
  <c r="AM190" i="13"/>
  <c r="AL190" i="13"/>
  <c r="AK190" i="13"/>
  <c r="AJ190" i="13"/>
  <c r="AI190" i="13"/>
  <c r="AH190" i="13"/>
  <c r="AG190" i="13"/>
  <c r="AF190" i="13"/>
  <c r="AE190" i="13"/>
  <c r="AD190" i="13"/>
  <c r="AC190" i="13"/>
  <c r="AB190" i="13"/>
  <c r="AA190" i="13"/>
  <c r="Z190" i="13"/>
  <c r="Y190" i="13"/>
  <c r="X190" i="13"/>
  <c r="W190" i="13"/>
  <c r="V190" i="13"/>
  <c r="U190" i="13"/>
  <c r="T190" i="13"/>
  <c r="S190" i="13"/>
  <c r="R190" i="13"/>
  <c r="Q190" i="13"/>
  <c r="P190" i="13"/>
  <c r="O190" i="13"/>
  <c r="N190" i="13"/>
  <c r="M190" i="13"/>
  <c r="AS187" i="13"/>
  <c r="AR187" i="13"/>
  <c r="AQ187" i="13"/>
  <c r="AP187" i="13"/>
  <c r="AO187" i="13"/>
  <c r="AN187" i="13"/>
  <c r="AM187" i="13"/>
  <c r="AL187" i="13"/>
  <c r="AK187" i="13"/>
  <c r="AJ187" i="13"/>
  <c r="AI187" i="13"/>
  <c r="AH187" i="13"/>
  <c r="AG187" i="13"/>
  <c r="AF187" i="13"/>
  <c r="AE187" i="13"/>
  <c r="AD187" i="13"/>
  <c r="AC187" i="13"/>
  <c r="AB187" i="13"/>
  <c r="AA187" i="13"/>
  <c r="Z187" i="13"/>
  <c r="Y187" i="13"/>
  <c r="X187" i="13"/>
  <c r="W187" i="13"/>
  <c r="V187" i="13"/>
  <c r="U187" i="13"/>
  <c r="T187" i="13"/>
  <c r="S187" i="13"/>
  <c r="R187" i="13"/>
  <c r="Q187" i="13"/>
  <c r="P187" i="13"/>
  <c r="O187" i="13"/>
  <c r="N187" i="13"/>
  <c r="M187" i="13"/>
  <c r="AS160" i="13"/>
  <c r="AS148" i="13" s="1"/>
  <c r="AS147" i="13" s="1"/>
  <c r="AR160" i="13"/>
  <c r="AR148" i="13" s="1"/>
  <c r="AR147" i="13" s="1"/>
  <c r="AQ160" i="13"/>
  <c r="AQ148" i="13" s="1"/>
  <c r="AQ147" i="13" s="1"/>
  <c r="AP160" i="13"/>
  <c r="AP148" i="13" s="1"/>
  <c r="AP147" i="13" s="1"/>
  <c r="AO160" i="13"/>
  <c r="AO148" i="13" s="1"/>
  <c r="AO147" i="13" s="1"/>
  <c r="AN160" i="13"/>
  <c r="AN148" i="13" s="1"/>
  <c r="AN147" i="13" s="1"/>
  <c r="AM160" i="13"/>
  <c r="AM148" i="13" s="1"/>
  <c r="AM147" i="13" s="1"/>
  <c r="AL160" i="13"/>
  <c r="AL148" i="13" s="1"/>
  <c r="AL147" i="13" s="1"/>
  <c r="AK160" i="13"/>
  <c r="AK148" i="13" s="1"/>
  <c r="AK147" i="13" s="1"/>
  <c r="AJ160" i="13"/>
  <c r="AJ148" i="13" s="1"/>
  <c r="AJ147" i="13" s="1"/>
  <c r="AI160" i="13"/>
  <c r="AI148" i="13" s="1"/>
  <c r="AI147" i="13" s="1"/>
  <c r="AH160" i="13"/>
  <c r="AH148" i="13" s="1"/>
  <c r="AH147" i="13" s="1"/>
  <c r="AG160" i="13"/>
  <c r="AG148" i="13" s="1"/>
  <c r="AG147" i="13" s="1"/>
  <c r="AF160" i="13"/>
  <c r="AF148" i="13" s="1"/>
  <c r="AF147" i="13" s="1"/>
  <c r="AE160" i="13"/>
  <c r="AE148" i="13" s="1"/>
  <c r="AE147" i="13" s="1"/>
  <c r="AD160" i="13"/>
  <c r="AD148" i="13" s="1"/>
  <c r="AD147" i="13" s="1"/>
  <c r="AC160" i="13"/>
  <c r="AC148" i="13" s="1"/>
  <c r="AC147" i="13" s="1"/>
  <c r="AB160" i="13"/>
  <c r="AB148" i="13" s="1"/>
  <c r="AB147" i="13" s="1"/>
  <c r="AA160" i="13"/>
  <c r="AA148" i="13" s="1"/>
  <c r="AA147" i="13" s="1"/>
  <c r="Z160" i="13"/>
  <c r="Z148" i="13" s="1"/>
  <c r="Z147" i="13" s="1"/>
  <c r="Y160" i="13"/>
  <c r="Y148" i="13" s="1"/>
  <c r="Y147" i="13" s="1"/>
  <c r="W160" i="13"/>
  <c r="W148" i="13" s="1"/>
  <c r="W147" i="13" s="1"/>
  <c r="V160" i="13"/>
  <c r="V148" i="13" s="1"/>
  <c r="V147" i="13" s="1"/>
  <c r="U160" i="13"/>
  <c r="U148" i="13" s="1"/>
  <c r="U147" i="13" s="1"/>
  <c r="T160" i="13"/>
  <c r="T148" i="13" s="1"/>
  <c r="T147" i="13" s="1"/>
  <c r="S160" i="13"/>
  <c r="S148" i="13" s="1"/>
  <c r="AS124" i="13"/>
  <c r="AS123" i="13" s="1"/>
  <c r="AS67" i="13" s="1"/>
  <c r="AR124" i="13"/>
  <c r="AR123" i="13" s="1"/>
  <c r="AR67" i="13" s="1"/>
  <c r="AQ124" i="13"/>
  <c r="AQ123" i="13" s="1"/>
  <c r="AQ67" i="13" s="1"/>
  <c r="AP124" i="13"/>
  <c r="AP123" i="13" s="1"/>
  <c r="AP67" i="13" s="1"/>
  <c r="AO124" i="13"/>
  <c r="AO123" i="13" s="1"/>
  <c r="AO67" i="13" s="1"/>
  <c r="AN124" i="13"/>
  <c r="AN123" i="13" s="1"/>
  <c r="AN67" i="13" s="1"/>
  <c r="AM124" i="13"/>
  <c r="AM123" i="13" s="1"/>
  <c r="AM67" i="13" s="1"/>
  <c r="AL124" i="13"/>
  <c r="AL123" i="13" s="1"/>
  <c r="AL67" i="13" s="1"/>
  <c r="AK124" i="13"/>
  <c r="AK123" i="13" s="1"/>
  <c r="AK67" i="13" s="1"/>
  <c r="AJ124" i="13"/>
  <c r="AJ123" i="13" s="1"/>
  <c r="AJ67" i="13" s="1"/>
  <c r="AI124" i="13"/>
  <c r="AI123" i="13" s="1"/>
  <c r="AI67" i="13" s="1"/>
  <c r="AH124" i="13"/>
  <c r="AH123" i="13" s="1"/>
  <c r="AH67" i="13" s="1"/>
  <c r="AG124" i="13"/>
  <c r="AG123" i="13" s="1"/>
  <c r="AG67" i="13" s="1"/>
  <c r="AF124" i="13"/>
  <c r="AF123" i="13" s="1"/>
  <c r="AF67" i="13" s="1"/>
  <c r="AE124" i="13"/>
  <c r="AE123" i="13" s="1"/>
  <c r="AE67" i="13" s="1"/>
  <c r="AD124" i="13"/>
  <c r="AD123" i="13" s="1"/>
  <c r="AD67" i="13" s="1"/>
  <c r="AC124" i="13"/>
  <c r="AC123" i="13" s="1"/>
  <c r="AC67" i="13" s="1"/>
  <c r="AB124" i="13"/>
  <c r="AB123" i="13" s="1"/>
  <c r="AB67" i="13" s="1"/>
  <c r="AA124" i="13"/>
  <c r="AA123" i="13" s="1"/>
  <c r="AA67" i="13" s="1"/>
  <c r="Z124" i="13"/>
  <c r="Z123" i="13" s="1"/>
  <c r="Z67" i="13" s="1"/>
  <c r="Y124" i="13"/>
  <c r="Y123" i="13" s="1"/>
  <c r="Y67" i="13" s="1"/>
  <c r="W124" i="13"/>
  <c r="W123" i="13" s="1"/>
  <c r="W67" i="13" s="1"/>
  <c r="V124" i="13"/>
  <c r="V123" i="13" s="1"/>
  <c r="V67" i="13" s="1"/>
  <c r="U124" i="13"/>
  <c r="U123" i="13" s="1"/>
  <c r="U67" i="13" s="1"/>
  <c r="T124" i="13"/>
  <c r="T123" i="13" s="1"/>
  <c r="T67" i="13" s="1"/>
  <c r="S124" i="13"/>
  <c r="R124" i="13"/>
  <c r="R123" i="13" s="1"/>
  <c r="R67" i="13" s="1"/>
  <c r="Q124" i="13"/>
  <c r="Q123" i="13" s="1"/>
  <c r="Q67" i="13" s="1"/>
  <c r="P124" i="13"/>
  <c r="P123" i="13" s="1"/>
  <c r="P67" i="13" s="1"/>
  <c r="O124" i="13"/>
  <c r="O123" i="13" s="1"/>
  <c r="O67" i="13" s="1"/>
  <c r="N124" i="13"/>
  <c r="N123" i="13" s="1"/>
  <c r="N67" i="13" s="1"/>
  <c r="M124" i="13"/>
  <c r="M123" i="13" s="1"/>
  <c r="M67" i="13" s="1"/>
  <c r="L225" i="13"/>
  <c r="K225" i="13"/>
  <c r="L221" i="13"/>
  <c r="K221" i="13"/>
  <c r="L215" i="13"/>
  <c r="K215" i="13"/>
  <c r="L200" i="13"/>
  <c r="K200" i="13"/>
  <c r="L197" i="13"/>
  <c r="K197" i="13"/>
  <c r="L193" i="13"/>
  <c r="K193" i="13"/>
  <c r="L190" i="13"/>
  <c r="K190" i="13"/>
  <c r="L187" i="13"/>
  <c r="K187" i="13"/>
  <c r="L124" i="13"/>
  <c r="L123" i="13" s="1"/>
  <c r="L67" i="13" s="1"/>
  <c r="K124" i="13"/>
  <c r="K123" i="13" s="1"/>
  <c r="K67" i="13" s="1"/>
  <c r="J225" i="13"/>
  <c r="J221" i="13"/>
  <c r="J215" i="13"/>
  <c r="J200" i="13"/>
  <c r="J197" i="13"/>
  <c r="J193" i="13"/>
  <c r="J190" i="13"/>
  <c r="J187" i="13"/>
  <c r="J137" i="13"/>
  <c r="AV231" i="13"/>
  <c r="AW231" i="13" s="1"/>
  <c r="AV22" i="13"/>
  <c r="AW22" i="13" s="1"/>
  <c r="AV23" i="13"/>
  <c r="AW23" i="13" s="1"/>
  <c r="AT25" i="13"/>
  <c r="AU25" i="13" s="1"/>
  <c r="AT26" i="13"/>
  <c r="AU26" i="13" s="1"/>
  <c r="AT27" i="13"/>
  <c r="AU27" i="13" s="1"/>
  <c r="AT30" i="13"/>
  <c r="AU30" i="13" s="1"/>
  <c r="AT31" i="13"/>
  <c r="AU31" i="13" s="1"/>
  <c r="AT34" i="13"/>
  <c r="AU34" i="13" s="1"/>
  <c r="AT35" i="13"/>
  <c r="AU35" i="13" s="1"/>
  <c r="AT36" i="13"/>
  <c r="AU36" i="13" s="1"/>
  <c r="AT37" i="13"/>
  <c r="AU37" i="13" s="1"/>
  <c r="AT38" i="13"/>
  <c r="AU38" i="13" s="1"/>
  <c r="AT39" i="13"/>
  <c r="AU39" i="13" s="1"/>
  <c r="AT40" i="13"/>
  <c r="AU40" i="13" s="1"/>
  <c r="AT42" i="13"/>
  <c r="AU42" i="13" s="1"/>
  <c r="AT43" i="13"/>
  <c r="AU43" i="13" s="1"/>
  <c r="AT44" i="13"/>
  <c r="AU44" i="13" s="1"/>
  <c r="AT45" i="13"/>
  <c r="AU45" i="13" s="1"/>
  <c r="AT46" i="13"/>
  <c r="AU46" i="13" s="1"/>
  <c r="AT47" i="13"/>
  <c r="AU47" i="13" s="1"/>
  <c r="AT49" i="13"/>
  <c r="AU49" i="13" s="1"/>
  <c r="AT50" i="13"/>
  <c r="AU50" i="13" s="1"/>
  <c r="AT51" i="13"/>
  <c r="AU51" i="13" s="1"/>
  <c r="AT52" i="13"/>
  <c r="AU52" i="13" s="1"/>
  <c r="AT55" i="13"/>
  <c r="AU55" i="13" s="1"/>
  <c r="AT56" i="13"/>
  <c r="AU56" i="13" s="1"/>
  <c r="AT57" i="13"/>
  <c r="AU57" i="13" s="1"/>
  <c r="AT58" i="13"/>
  <c r="AU58" i="13" s="1"/>
  <c r="AT59" i="13"/>
  <c r="AU59" i="13" s="1"/>
  <c r="AT66" i="13"/>
  <c r="AU66" i="13" s="1"/>
  <c r="AT71" i="13"/>
  <c r="AU71" i="13" s="1"/>
  <c r="AT72" i="13"/>
  <c r="AU72" i="13" s="1"/>
  <c r="AT73" i="13"/>
  <c r="AU73" i="13" s="1"/>
  <c r="AT74" i="13"/>
  <c r="AU74" i="13" s="1"/>
  <c r="AT75" i="13"/>
  <c r="AU75" i="13" s="1"/>
  <c r="AT79" i="13"/>
  <c r="AU79" i="13" s="1"/>
  <c r="AT80" i="13"/>
  <c r="AU80" i="13" s="1"/>
  <c r="AT81" i="13"/>
  <c r="AU81" i="13" s="1"/>
  <c r="AT83" i="13"/>
  <c r="AU83" i="13" s="1"/>
  <c r="AT84" i="13"/>
  <c r="AU84" i="13" s="1"/>
  <c r="AT85" i="13"/>
  <c r="AU85" i="13" s="1"/>
  <c r="AT87" i="13"/>
  <c r="AU87" i="13" s="1"/>
  <c r="AT88" i="13"/>
  <c r="AU88" i="13" s="1"/>
  <c r="AT89" i="13"/>
  <c r="AU89" i="13" s="1"/>
  <c r="AT90" i="13"/>
  <c r="AU90" i="13" s="1"/>
  <c r="AT92" i="13"/>
  <c r="AU92" i="13" s="1"/>
  <c r="AT93" i="13"/>
  <c r="AU93" i="13" s="1"/>
  <c r="AT94" i="13"/>
  <c r="AU94" i="13" s="1"/>
  <c r="AT96" i="13"/>
  <c r="AU96" i="13" s="1"/>
  <c r="AT97" i="13"/>
  <c r="AU97" i="13" s="1"/>
  <c r="AT99" i="13"/>
  <c r="AU99" i="13" s="1"/>
  <c r="AT100" i="13"/>
  <c r="AU100" i="13" s="1"/>
  <c r="AT101" i="13"/>
  <c r="AU101" i="13" s="1"/>
  <c r="AT103" i="13"/>
  <c r="AT104" i="13"/>
  <c r="AT105" i="13"/>
  <c r="AU105" i="13" s="1"/>
  <c r="AT106" i="13"/>
  <c r="AT107" i="13"/>
  <c r="AT109" i="13"/>
  <c r="AU109" i="13" s="1"/>
  <c r="AT110" i="13"/>
  <c r="AU110" i="13" s="1"/>
  <c r="AT111" i="13"/>
  <c r="AT112" i="13"/>
  <c r="AT114" i="13"/>
  <c r="AT115" i="13"/>
  <c r="AT116" i="13"/>
  <c r="AU116" i="13" s="1"/>
  <c r="AT117" i="13"/>
  <c r="AU117" i="13" s="1"/>
  <c r="AT119" i="13"/>
  <c r="AT120" i="13"/>
  <c r="AT121" i="13"/>
  <c r="AT122" i="13"/>
  <c r="AT127" i="13"/>
  <c r="AU127" i="13" s="1"/>
  <c r="AT156" i="13"/>
  <c r="AT157" i="13"/>
  <c r="AT158" i="13"/>
  <c r="AU158" i="13" s="1"/>
  <c r="AT159" i="13"/>
  <c r="AT161" i="13"/>
  <c r="AT162" i="13"/>
  <c r="AU162" i="13" s="1"/>
  <c r="AT163" i="13"/>
  <c r="AT164" i="13"/>
  <c r="AT168" i="13"/>
  <c r="AT169" i="13"/>
  <c r="AT170" i="13"/>
  <c r="AU170" i="13" s="1"/>
  <c r="AT172" i="13"/>
  <c r="AT173" i="13"/>
  <c r="AT174" i="13"/>
  <c r="AU174" i="13" s="1"/>
  <c r="AT175" i="13"/>
  <c r="AT176" i="13"/>
  <c r="AT179" i="13"/>
  <c r="AT180" i="13"/>
  <c r="AT181" i="13"/>
  <c r="AT185" i="13"/>
  <c r="AT186" i="13"/>
  <c r="AU186" i="13" s="1"/>
  <c r="AT188" i="13"/>
  <c r="AT189" i="13"/>
  <c r="AU189" i="13" s="1"/>
  <c r="AT191" i="13"/>
  <c r="AT192" i="13"/>
  <c r="AU192" i="13" s="1"/>
  <c r="AT194" i="13"/>
  <c r="AT195" i="13"/>
  <c r="AU195" i="13" s="1"/>
  <c r="AT196" i="13"/>
  <c r="AT198" i="13"/>
  <c r="AU198" i="13" s="1"/>
  <c r="AT199" i="13"/>
  <c r="AU199" i="13" s="1"/>
  <c r="AT201" i="13"/>
  <c r="AU201" i="13" s="1"/>
  <c r="AT202" i="13"/>
  <c r="AT203" i="13"/>
  <c r="AT209" i="13"/>
  <c r="AT210" i="13"/>
  <c r="AT211" i="13"/>
  <c r="AT212" i="13"/>
  <c r="AU212" i="13" s="1"/>
  <c r="AT213" i="13"/>
  <c r="AU213" i="13" s="1"/>
  <c r="AT214" i="13"/>
  <c r="AT216" i="13"/>
  <c r="AU216" i="13" s="1"/>
  <c r="AT217" i="13"/>
  <c r="AT218" i="13"/>
  <c r="AT219" i="13"/>
  <c r="AT220" i="13"/>
  <c r="AU220" i="13" s="1"/>
  <c r="AT222" i="13"/>
  <c r="AT223" i="13"/>
  <c r="AT224" i="13"/>
  <c r="AU224" i="13" s="1"/>
  <c r="AT226" i="13"/>
  <c r="AT229" i="13"/>
  <c r="AT230" i="13"/>
  <c r="H589" i="11"/>
  <c r="G589" i="11"/>
  <c r="G588" i="11" s="1"/>
  <c r="H588" i="11"/>
  <c r="H587" i="11"/>
  <c r="G587" i="11"/>
  <c r="H586" i="11"/>
  <c r="G586" i="11"/>
  <c r="H585" i="11"/>
  <c r="H584" i="11"/>
  <c r="G584" i="11"/>
  <c r="H583" i="11"/>
  <c r="G583" i="11"/>
  <c r="H582" i="11"/>
  <c r="H581" i="11"/>
  <c r="H580" i="11"/>
  <c r="H579" i="11"/>
  <c r="G579" i="11"/>
  <c r="G578" i="11" s="1"/>
  <c r="G577" i="11" s="1"/>
  <c r="H578" i="11"/>
  <c r="H577" i="11"/>
  <c r="H576" i="11"/>
  <c r="G576" i="11"/>
  <c r="G575" i="11" s="1"/>
  <c r="H575" i="11"/>
  <c r="H574" i="11"/>
  <c r="G574" i="11"/>
  <c r="G573" i="11" s="1"/>
  <c r="H573" i="11"/>
  <c r="H572" i="11"/>
  <c r="G572" i="11"/>
  <c r="H571" i="11"/>
  <c r="G571" i="11"/>
  <c r="H570" i="11"/>
  <c r="G570" i="11"/>
  <c r="H569" i="11"/>
  <c r="H568" i="11"/>
  <c r="H567" i="11"/>
  <c r="G567" i="11"/>
  <c r="H566" i="11"/>
  <c r="G566" i="11"/>
  <c r="G565" i="11" s="1"/>
  <c r="H565" i="11"/>
  <c r="H564" i="11"/>
  <c r="G564" i="11"/>
  <c r="G563" i="11" s="1"/>
  <c r="H563" i="11"/>
  <c r="H562" i="11"/>
  <c r="G562" i="11"/>
  <c r="H561" i="11"/>
  <c r="G561" i="11"/>
  <c r="G560" i="11" s="1"/>
  <c r="H560" i="11"/>
  <c r="H559" i="11"/>
  <c r="G559" i="11"/>
  <c r="H558" i="11"/>
  <c r="G558" i="11"/>
  <c r="H557" i="11"/>
  <c r="G557" i="11"/>
  <c r="G556" i="11" s="1"/>
  <c r="H556" i="11"/>
  <c r="H555" i="11"/>
  <c r="G555" i="11"/>
  <c r="H554" i="11"/>
  <c r="G554" i="11"/>
  <c r="H553" i="11"/>
  <c r="H552" i="11"/>
  <c r="H551" i="11"/>
  <c r="G551" i="11"/>
  <c r="H550" i="11"/>
  <c r="G550" i="11"/>
  <c r="H549" i="11"/>
  <c r="H548" i="11"/>
  <c r="G548" i="11"/>
  <c r="G547" i="11" s="1"/>
  <c r="H547" i="11"/>
  <c r="H546" i="11"/>
  <c r="G546" i="11"/>
  <c r="G545" i="11" s="1"/>
  <c r="H545" i="11"/>
  <c r="H544" i="11"/>
  <c r="G544" i="11"/>
  <c r="H543" i="11"/>
  <c r="G543" i="11"/>
  <c r="H542" i="11"/>
  <c r="H541" i="11"/>
  <c r="G541" i="11"/>
  <c r="H540" i="11"/>
  <c r="G540" i="11"/>
  <c r="H539" i="11"/>
  <c r="H538" i="11"/>
  <c r="G538" i="11"/>
  <c r="H537" i="11"/>
  <c r="G537" i="11"/>
  <c r="H536" i="11"/>
  <c r="G536" i="11"/>
  <c r="H535" i="11"/>
  <c r="G535" i="11"/>
  <c r="G534" i="11" s="1"/>
  <c r="H534" i="11"/>
  <c r="H533" i="11"/>
  <c r="H532" i="11"/>
  <c r="H531" i="11"/>
  <c r="H530" i="11"/>
  <c r="H529" i="11"/>
  <c r="H528" i="11"/>
  <c r="G528" i="11"/>
  <c r="G527" i="11" s="1"/>
  <c r="H527" i="11"/>
  <c r="H526" i="11"/>
  <c r="G526" i="11"/>
  <c r="G525" i="11" s="1"/>
  <c r="H525" i="11"/>
  <c r="H524" i="11"/>
  <c r="G524" i="11"/>
  <c r="H523" i="11"/>
  <c r="G523" i="11"/>
  <c r="G522" i="11" s="1"/>
  <c r="H522" i="11"/>
  <c r="H521" i="11"/>
  <c r="G521" i="11"/>
  <c r="G520" i="11" s="1"/>
  <c r="H520" i="11"/>
  <c r="H519" i="11"/>
  <c r="H518" i="11"/>
  <c r="G518" i="11"/>
  <c r="G517" i="11" s="1"/>
  <c r="H517" i="11"/>
  <c r="H516" i="11"/>
  <c r="G516" i="11"/>
  <c r="G515" i="11" s="1"/>
  <c r="H515" i="11"/>
  <c r="H514" i="11"/>
  <c r="G514" i="11"/>
  <c r="H513" i="11"/>
  <c r="G513" i="11"/>
  <c r="H512" i="11"/>
  <c r="H511" i="11"/>
  <c r="H510" i="11"/>
  <c r="G510" i="11"/>
  <c r="G509" i="11" s="1"/>
  <c r="H509" i="11"/>
  <c r="H508" i="11"/>
  <c r="G508" i="11"/>
  <c r="G507" i="11" s="1"/>
  <c r="H507" i="11"/>
  <c r="H506" i="11"/>
  <c r="G506" i="11"/>
  <c r="G505" i="11" s="1"/>
  <c r="H505" i="11"/>
  <c r="H504" i="11"/>
  <c r="G504" i="11"/>
  <c r="H503" i="11"/>
  <c r="G503" i="11"/>
  <c r="H502" i="11"/>
  <c r="G502" i="11"/>
  <c r="H501" i="11"/>
  <c r="G501" i="11"/>
  <c r="H500" i="11"/>
  <c r="G500" i="11"/>
  <c r="H499" i="11"/>
  <c r="H498" i="11"/>
  <c r="H497" i="11"/>
  <c r="G497" i="11"/>
  <c r="G496" i="11" s="1"/>
  <c r="H496" i="11"/>
  <c r="H495" i="11"/>
  <c r="G495" i="11"/>
  <c r="G494" i="11" s="1"/>
  <c r="H494" i="11"/>
  <c r="H493" i="11"/>
  <c r="G493" i="11"/>
  <c r="H492" i="11"/>
  <c r="G492" i="11"/>
  <c r="H491" i="11"/>
  <c r="H490" i="11"/>
  <c r="H489" i="11"/>
  <c r="G489" i="11"/>
  <c r="G488" i="11" s="1"/>
  <c r="H488" i="11"/>
  <c r="H487" i="11"/>
  <c r="G487" i="11"/>
  <c r="G486" i="11" s="1"/>
  <c r="H486" i="11"/>
  <c r="H485" i="11"/>
  <c r="G485" i="11"/>
  <c r="H484" i="11"/>
  <c r="G484" i="11"/>
  <c r="H483" i="11"/>
  <c r="G483" i="11"/>
  <c r="H482" i="11"/>
  <c r="H481" i="11"/>
  <c r="H480" i="11"/>
  <c r="G480" i="11"/>
  <c r="G479" i="11" s="1"/>
  <c r="H479" i="11"/>
  <c r="H478" i="11"/>
  <c r="G478" i="11"/>
  <c r="G477" i="11" s="1"/>
  <c r="H477" i="11"/>
  <c r="H476" i="11"/>
  <c r="G476" i="11"/>
  <c r="H475" i="11"/>
  <c r="G475" i="11"/>
  <c r="H474" i="11"/>
  <c r="G474" i="11"/>
  <c r="H473" i="11"/>
  <c r="G473" i="11"/>
  <c r="H472" i="11"/>
  <c r="H471" i="11"/>
  <c r="H470" i="11"/>
  <c r="H469" i="11"/>
  <c r="H468" i="11"/>
  <c r="G468" i="11"/>
  <c r="G467" i="11" s="1"/>
  <c r="H467" i="11"/>
  <c r="H466" i="11"/>
  <c r="G466" i="11"/>
  <c r="G465" i="11" s="1"/>
  <c r="H465" i="11"/>
  <c r="H464" i="11"/>
  <c r="G464" i="11"/>
  <c r="H463" i="11"/>
  <c r="G463" i="11"/>
  <c r="H462" i="11"/>
  <c r="G462" i="11"/>
  <c r="H461" i="11"/>
  <c r="G461" i="11"/>
  <c r="H460" i="11"/>
  <c r="G460" i="11"/>
  <c r="H459" i="11"/>
  <c r="H458" i="11"/>
  <c r="H457" i="11"/>
  <c r="H456" i="11"/>
  <c r="G456" i="11"/>
  <c r="G455" i="11" s="1"/>
  <c r="H455" i="11"/>
  <c r="H454" i="11"/>
  <c r="G454" i="11"/>
  <c r="G453" i="11" s="1"/>
  <c r="H453" i="11"/>
  <c r="H452" i="11"/>
  <c r="G452" i="11"/>
  <c r="G451" i="11" s="1"/>
  <c r="H451" i="11"/>
  <c r="H450" i="11"/>
  <c r="G450" i="11"/>
  <c r="H449" i="11"/>
  <c r="G449" i="11"/>
  <c r="H448" i="11"/>
  <c r="H447" i="11"/>
  <c r="G447" i="11"/>
  <c r="H446" i="11"/>
  <c r="G446" i="11"/>
  <c r="H445" i="11"/>
  <c r="G445" i="11"/>
  <c r="H444" i="11"/>
  <c r="G444" i="11"/>
  <c r="H443" i="11"/>
  <c r="G443" i="11"/>
  <c r="H442" i="11"/>
  <c r="G442" i="11"/>
  <c r="H441" i="11"/>
  <c r="H440" i="11"/>
  <c r="H439" i="11"/>
  <c r="G439" i="11"/>
  <c r="G438" i="11" s="1"/>
  <c r="H438" i="11"/>
  <c r="H437" i="11"/>
  <c r="G437" i="11"/>
  <c r="G436" i="11" s="1"/>
  <c r="H436" i="11"/>
  <c r="H435" i="11"/>
  <c r="G435" i="11"/>
  <c r="H434" i="11"/>
  <c r="G434" i="11"/>
  <c r="H433" i="11"/>
  <c r="G433" i="11"/>
  <c r="H432" i="11"/>
  <c r="G432" i="11"/>
  <c r="H431" i="11"/>
  <c r="G431" i="11"/>
  <c r="H430" i="11"/>
  <c r="H429" i="11"/>
  <c r="H428" i="11"/>
  <c r="H427" i="11"/>
  <c r="H426" i="11"/>
  <c r="G426" i="11"/>
  <c r="G425" i="11" s="1"/>
  <c r="H425" i="11"/>
  <c r="H424" i="11"/>
  <c r="G424" i="11"/>
  <c r="G423" i="11" s="1"/>
  <c r="H423" i="11"/>
  <c r="H422" i="11"/>
  <c r="G422" i="11"/>
  <c r="H421" i="11"/>
  <c r="G421" i="11"/>
  <c r="H420" i="11"/>
  <c r="H419" i="11"/>
  <c r="G419" i="11"/>
  <c r="H418" i="11"/>
  <c r="G418" i="11"/>
  <c r="H417" i="11"/>
  <c r="G417" i="11"/>
  <c r="H416" i="11"/>
  <c r="H415" i="11"/>
  <c r="H414" i="11"/>
  <c r="G414" i="11"/>
  <c r="G413" i="11" s="1"/>
  <c r="H413" i="11"/>
  <c r="H412" i="11"/>
  <c r="G412" i="11"/>
  <c r="G411" i="11" s="1"/>
  <c r="H411" i="11"/>
  <c r="H410" i="11"/>
  <c r="G410" i="11"/>
  <c r="H409" i="11"/>
  <c r="G409" i="11"/>
  <c r="H408" i="11"/>
  <c r="H407" i="11"/>
  <c r="G407" i="11"/>
  <c r="G406" i="11" s="1"/>
  <c r="H406" i="11"/>
  <c r="H405" i="11"/>
  <c r="G405" i="11"/>
  <c r="H404" i="11"/>
  <c r="G404" i="11"/>
  <c r="H403" i="11"/>
  <c r="G403" i="11"/>
  <c r="H402" i="11"/>
  <c r="H401" i="11"/>
  <c r="H400" i="11"/>
  <c r="G400" i="11"/>
  <c r="G399" i="11" s="1"/>
  <c r="H399" i="11"/>
  <c r="H398" i="11"/>
  <c r="G398" i="11"/>
  <c r="H397" i="11"/>
  <c r="G397" i="11"/>
  <c r="H396" i="11"/>
  <c r="H395" i="11"/>
  <c r="G395" i="11"/>
  <c r="G394" i="11" s="1"/>
  <c r="H394" i="11"/>
  <c r="H393" i="11"/>
  <c r="G393" i="11"/>
  <c r="H392" i="11"/>
  <c r="G392" i="11"/>
  <c r="H391" i="11"/>
  <c r="G391" i="11"/>
  <c r="H390" i="11"/>
  <c r="H389" i="11"/>
  <c r="H388" i="11"/>
  <c r="H387" i="11"/>
  <c r="H386" i="11"/>
  <c r="H385" i="11"/>
  <c r="G385" i="11"/>
  <c r="G384" i="11" s="1"/>
  <c r="G383" i="11" s="1"/>
  <c r="G382" i="11" s="1"/>
  <c r="G381" i="11" s="1"/>
  <c r="G380" i="11" s="1"/>
  <c r="H384" i="11"/>
  <c r="H383" i="11"/>
  <c r="H382" i="11"/>
  <c r="H381" i="11"/>
  <c r="H380" i="11"/>
  <c r="H379" i="11"/>
  <c r="G379" i="11"/>
  <c r="H378" i="11"/>
  <c r="G378" i="11"/>
  <c r="H377" i="11"/>
  <c r="G377" i="11"/>
  <c r="H376" i="11"/>
  <c r="G376" i="11"/>
  <c r="H375" i="11"/>
  <c r="G375" i="11"/>
  <c r="H374" i="11"/>
  <c r="H373" i="11"/>
  <c r="G373" i="11"/>
  <c r="H372" i="11"/>
  <c r="G372" i="11"/>
  <c r="H371" i="11"/>
  <c r="G371" i="11"/>
  <c r="H370" i="11"/>
  <c r="G370" i="11"/>
  <c r="H369" i="11"/>
  <c r="H368" i="11"/>
  <c r="G368" i="11"/>
  <c r="H367" i="11"/>
  <c r="G367" i="11"/>
  <c r="H366" i="11"/>
  <c r="G366" i="11"/>
  <c r="H365" i="11"/>
  <c r="G365" i="11"/>
  <c r="H364" i="11"/>
  <c r="H363" i="11"/>
  <c r="H362" i="11"/>
  <c r="G362" i="11"/>
  <c r="H361" i="11"/>
  <c r="G361" i="11"/>
  <c r="H360" i="11"/>
  <c r="G360" i="11"/>
  <c r="H359" i="11"/>
  <c r="G359" i="11"/>
  <c r="H358" i="11"/>
  <c r="G358" i="11"/>
  <c r="H357" i="11"/>
  <c r="G357" i="11"/>
  <c r="H356" i="11"/>
  <c r="G356" i="11"/>
  <c r="H355" i="11"/>
  <c r="G355" i="11"/>
  <c r="H354" i="11"/>
  <c r="G354" i="11"/>
  <c r="H353" i="11"/>
  <c r="G353" i="11"/>
  <c r="H352" i="11"/>
  <c r="H351" i="11"/>
  <c r="G351" i="11"/>
  <c r="H350" i="11"/>
  <c r="G350" i="11"/>
  <c r="H349" i="11"/>
  <c r="H348" i="11"/>
  <c r="H347" i="11"/>
  <c r="G347" i="11"/>
  <c r="G346" i="11" s="1"/>
  <c r="H346" i="11"/>
  <c r="H345" i="11"/>
  <c r="G345" i="11"/>
  <c r="H344" i="11"/>
  <c r="G344" i="11"/>
  <c r="H343" i="11"/>
  <c r="G343" i="11"/>
  <c r="H342" i="11"/>
  <c r="G342" i="11"/>
  <c r="H341" i="11"/>
  <c r="G341" i="11"/>
  <c r="H340" i="11"/>
  <c r="G340" i="11"/>
  <c r="H339" i="11"/>
  <c r="G339" i="11"/>
  <c r="H338" i="11"/>
  <c r="G338" i="11"/>
  <c r="H337" i="11"/>
  <c r="G337" i="11"/>
  <c r="H336" i="11"/>
  <c r="H335" i="11"/>
  <c r="H334" i="11"/>
  <c r="G334" i="11"/>
  <c r="H333" i="11"/>
  <c r="G333" i="11"/>
  <c r="H332" i="11"/>
  <c r="H331" i="11"/>
  <c r="G331" i="11"/>
  <c r="G330" i="11" s="1"/>
  <c r="H329" i="11"/>
  <c r="H328" i="11"/>
  <c r="G328" i="11"/>
  <c r="H327" i="11"/>
  <c r="G327" i="11"/>
  <c r="H326" i="11"/>
  <c r="G326" i="11"/>
  <c r="H325" i="11"/>
  <c r="G325" i="11"/>
  <c r="H324" i="11"/>
  <c r="G324" i="11"/>
  <c r="H323" i="11"/>
  <c r="G323" i="11"/>
  <c r="H322" i="11"/>
  <c r="G322" i="11"/>
  <c r="H321" i="11"/>
  <c r="G321" i="11"/>
  <c r="H320" i="11"/>
  <c r="G320" i="11"/>
  <c r="H319" i="11"/>
  <c r="H318" i="11"/>
  <c r="G318" i="11"/>
  <c r="H317" i="11"/>
  <c r="G317" i="11"/>
  <c r="H316" i="11"/>
  <c r="G316" i="11"/>
  <c r="H315" i="11"/>
  <c r="G315" i="11"/>
  <c r="H314" i="11"/>
  <c r="G314" i="11"/>
  <c r="H313" i="11"/>
  <c r="G313" i="11"/>
  <c r="H312" i="11"/>
  <c r="G312" i="11"/>
  <c r="H311" i="11"/>
  <c r="G311" i="11"/>
  <c r="H310" i="11"/>
  <c r="G310" i="11"/>
  <c r="H309" i="11"/>
  <c r="H308" i="11"/>
  <c r="H307" i="11"/>
  <c r="H306" i="11"/>
  <c r="G306" i="11"/>
  <c r="G305" i="11" s="1"/>
  <c r="G304" i="11" s="1"/>
  <c r="H305" i="11"/>
  <c r="H304" i="11"/>
  <c r="H303" i="11"/>
  <c r="G303" i="11"/>
  <c r="G302" i="11" s="1"/>
  <c r="H302" i="11"/>
  <c r="H301" i="11"/>
  <c r="G301" i="11"/>
  <c r="H300" i="11"/>
  <c r="G300" i="11"/>
  <c r="H299" i="11"/>
  <c r="G299" i="11"/>
  <c r="H298" i="11"/>
  <c r="H297" i="11"/>
  <c r="G297" i="11"/>
  <c r="G296" i="11" s="1"/>
  <c r="H296" i="11"/>
  <c r="H295" i="11"/>
  <c r="G295" i="11"/>
  <c r="G294" i="11" s="1"/>
  <c r="H294" i="11"/>
  <c r="H293" i="11"/>
  <c r="G293" i="11"/>
  <c r="H292" i="11"/>
  <c r="G292" i="11"/>
  <c r="H291" i="11"/>
  <c r="G291" i="11"/>
  <c r="H290" i="11"/>
  <c r="H289" i="11"/>
  <c r="G289" i="11"/>
  <c r="H288" i="11"/>
  <c r="G288" i="11"/>
  <c r="H287" i="11"/>
  <c r="G287" i="11"/>
  <c r="H286" i="11"/>
  <c r="H285" i="11"/>
  <c r="G285" i="11"/>
  <c r="H284" i="11"/>
  <c r="G284" i="11"/>
  <c r="H283" i="11"/>
  <c r="G283" i="11"/>
  <c r="H282" i="11"/>
  <c r="H281" i="11"/>
  <c r="G281" i="11"/>
  <c r="H280" i="11"/>
  <c r="G280" i="11"/>
  <c r="H279" i="11"/>
  <c r="G279" i="11"/>
  <c r="H278" i="11"/>
  <c r="H277" i="11"/>
  <c r="G277" i="11"/>
  <c r="H276" i="11"/>
  <c r="G276" i="11"/>
  <c r="H275" i="11"/>
  <c r="G275" i="11"/>
  <c r="H274" i="11"/>
  <c r="H273" i="11"/>
  <c r="G273" i="11"/>
  <c r="H272" i="11"/>
  <c r="G272" i="11"/>
  <c r="H271" i="11"/>
  <c r="G271" i="11"/>
  <c r="H270" i="11"/>
  <c r="H269" i="11"/>
  <c r="G269" i="11"/>
  <c r="H268" i="11"/>
  <c r="G268" i="11"/>
  <c r="H267" i="11"/>
  <c r="G267" i="11"/>
  <c r="H266" i="11"/>
  <c r="H265" i="11"/>
  <c r="H264" i="11"/>
  <c r="H263" i="11"/>
  <c r="H262" i="11"/>
  <c r="G262" i="11"/>
  <c r="G261" i="11" s="1"/>
  <c r="H261" i="11"/>
  <c r="H260" i="11"/>
  <c r="G260" i="11"/>
  <c r="G259" i="11" s="1"/>
  <c r="H259" i="11"/>
  <c r="H258" i="11"/>
  <c r="G258" i="11"/>
  <c r="G257" i="11" s="1"/>
  <c r="H257" i="11"/>
  <c r="H256" i="11"/>
  <c r="G256" i="11"/>
  <c r="H255" i="11"/>
  <c r="G255" i="11"/>
  <c r="H254" i="11"/>
  <c r="G254" i="11"/>
  <c r="H253" i="11"/>
  <c r="G253" i="11"/>
  <c r="H252" i="11"/>
  <c r="G252" i="11"/>
  <c r="H251" i="11"/>
  <c r="G251" i="11"/>
  <c r="H250" i="11"/>
  <c r="G250" i="11"/>
  <c r="H249" i="11"/>
  <c r="H248" i="11"/>
  <c r="H247" i="11"/>
  <c r="G247" i="11"/>
  <c r="G246" i="11" s="1"/>
  <c r="H246" i="11"/>
  <c r="H245" i="11"/>
  <c r="G245" i="11"/>
  <c r="H244" i="11"/>
  <c r="G244" i="11"/>
  <c r="H243" i="11"/>
  <c r="G243" i="11"/>
  <c r="H242" i="11"/>
  <c r="H241" i="11"/>
  <c r="G241" i="11"/>
  <c r="H240" i="11"/>
  <c r="G240" i="11"/>
  <c r="H239" i="11"/>
  <c r="H238" i="11"/>
  <c r="G238" i="11"/>
  <c r="H237" i="11"/>
  <c r="G237" i="11"/>
  <c r="H236" i="11"/>
  <c r="G236" i="11"/>
  <c r="H235" i="11"/>
  <c r="G235" i="11"/>
  <c r="H234" i="11"/>
  <c r="G234" i="11"/>
  <c r="H233" i="11"/>
  <c r="G233" i="11"/>
  <c r="H232" i="11"/>
  <c r="G232" i="11"/>
  <c r="H231" i="11"/>
  <c r="G231" i="11"/>
  <c r="H230" i="11"/>
  <c r="G230" i="11"/>
  <c r="H229" i="11"/>
  <c r="H228" i="11"/>
  <c r="H227" i="11"/>
  <c r="G227" i="11"/>
  <c r="G226" i="11" s="1"/>
  <c r="H226" i="11"/>
  <c r="H225" i="11"/>
  <c r="G225" i="11"/>
  <c r="G224" i="11" s="1"/>
  <c r="H224" i="11"/>
  <c r="H223" i="11"/>
  <c r="G223" i="11"/>
  <c r="G222" i="11" s="1"/>
  <c r="H222" i="11"/>
  <c r="H221" i="11"/>
  <c r="G221" i="11"/>
  <c r="H220" i="11"/>
  <c r="G220" i="11"/>
  <c r="H219" i="11"/>
  <c r="G219" i="11"/>
  <c r="H218" i="11"/>
  <c r="G218" i="11"/>
  <c r="H217" i="11"/>
  <c r="H216" i="11"/>
  <c r="H215" i="11"/>
  <c r="G215" i="11"/>
  <c r="G214" i="11" s="1"/>
  <c r="H214" i="11"/>
  <c r="H213" i="11"/>
  <c r="G213" i="11"/>
  <c r="G212" i="11" s="1"/>
  <c r="H212" i="11"/>
  <c r="H211" i="11"/>
  <c r="G211" i="11"/>
  <c r="G210" i="11" s="1"/>
  <c r="H210" i="11"/>
  <c r="H209" i="11"/>
  <c r="G209" i="11"/>
  <c r="H208" i="11"/>
  <c r="G208" i="11"/>
  <c r="H207" i="11"/>
  <c r="G207" i="11"/>
  <c r="H206" i="11"/>
  <c r="G206" i="11"/>
  <c r="H205" i="11"/>
  <c r="H204" i="11"/>
  <c r="G204" i="11"/>
  <c r="H203" i="11"/>
  <c r="G203" i="11"/>
  <c r="H202" i="11"/>
  <c r="G202" i="11"/>
  <c r="H201" i="11"/>
  <c r="H200" i="11"/>
  <c r="H199" i="11"/>
  <c r="G199" i="11"/>
  <c r="G198" i="11" s="1"/>
  <c r="H198" i="11"/>
  <c r="H197" i="11"/>
  <c r="G197" i="11"/>
  <c r="G196" i="11" s="1"/>
  <c r="H196" i="11"/>
  <c r="H195" i="11"/>
  <c r="G195" i="11"/>
  <c r="G194" i="11" s="1"/>
  <c r="H194" i="11"/>
  <c r="H193" i="11"/>
  <c r="G193" i="11"/>
  <c r="H192" i="11"/>
  <c r="G192" i="11"/>
  <c r="H191" i="11"/>
  <c r="G191" i="11"/>
  <c r="H190" i="11"/>
  <c r="H189" i="11"/>
  <c r="G189" i="11"/>
  <c r="H188" i="11"/>
  <c r="G188" i="11"/>
  <c r="H187" i="11"/>
  <c r="G187" i="11"/>
  <c r="H186" i="11"/>
  <c r="G186" i="11"/>
  <c r="H185" i="11"/>
  <c r="H184" i="11"/>
  <c r="H183" i="11"/>
  <c r="G183" i="11"/>
  <c r="G182" i="11" s="1"/>
  <c r="H182" i="11"/>
  <c r="H181" i="11"/>
  <c r="G181" i="11"/>
  <c r="G180" i="11" s="1"/>
  <c r="H180" i="11"/>
  <c r="H179" i="11"/>
  <c r="G179" i="11"/>
  <c r="H178" i="11"/>
  <c r="G178" i="11"/>
  <c r="H177" i="11"/>
  <c r="G177" i="11"/>
  <c r="H176" i="11"/>
  <c r="G176" i="11"/>
  <c r="H175" i="11"/>
  <c r="H174" i="11"/>
  <c r="H173" i="11"/>
  <c r="G173" i="11"/>
  <c r="G172" i="11" s="1"/>
  <c r="H172" i="11"/>
  <c r="H171" i="11"/>
  <c r="G171" i="11"/>
  <c r="G170" i="11" s="1"/>
  <c r="H170" i="11"/>
  <c r="H169" i="11"/>
  <c r="G169" i="11"/>
  <c r="G168" i="11" s="1"/>
  <c r="H168" i="11"/>
  <c r="H167" i="11"/>
  <c r="G167" i="11"/>
  <c r="H166" i="11"/>
  <c r="G166" i="11"/>
  <c r="H165" i="11"/>
  <c r="G165" i="11"/>
  <c r="H164" i="11"/>
  <c r="G164" i="11"/>
  <c r="H163" i="11"/>
  <c r="G163" i="11"/>
  <c r="H162" i="11"/>
  <c r="H161" i="11"/>
  <c r="H160" i="11"/>
  <c r="G160" i="11"/>
  <c r="H159" i="11"/>
  <c r="G159" i="11"/>
  <c r="H158" i="11"/>
  <c r="H157" i="11"/>
  <c r="G157" i="11"/>
  <c r="G156" i="11" s="1"/>
  <c r="H156" i="11"/>
  <c r="H155" i="11"/>
  <c r="G155" i="11"/>
  <c r="G154" i="11" s="1"/>
  <c r="H154" i="11"/>
  <c r="H153" i="11"/>
  <c r="G153" i="11"/>
  <c r="H152" i="11"/>
  <c r="G152" i="11"/>
  <c r="H151" i="11"/>
  <c r="H150" i="11"/>
  <c r="H149" i="11"/>
  <c r="G149" i="11"/>
  <c r="G148" i="11" s="1"/>
  <c r="H148" i="11"/>
  <c r="H147" i="11"/>
  <c r="G147" i="11"/>
  <c r="G146" i="11" s="1"/>
  <c r="H146" i="11"/>
  <c r="H145" i="11"/>
  <c r="G145" i="11"/>
  <c r="H144" i="11"/>
  <c r="G144" i="11"/>
  <c r="H143" i="11"/>
  <c r="G143" i="11"/>
  <c r="H142" i="11"/>
  <c r="G142" i="11"/>
  <c r="H141" i="11"/>
  <c r="H140" i="11"/>
  <c r="H139" i="11"/>
  <c r="H138" i="11"/>
  <c r="H137" i="11"/>
  <c r="G137" i="11"/>
  <c r="G136" i="11" s="1"/>
  <c r="H136" i="11"/>
  <c r="H135" i="11"/>
  <c r="G135" i="11"/>
  <c r="G134" i="11" s="1"/>
  <c r="H134" i="11"/>
  <c r="H133" i="11"/>
  <c r="G133" i="11"/>
  <c r="H132" i="11"/>
  <c r="G132" i="11"/>
  <c r="H131" i="11"/>
  <c r="H130" i="11"/>
  <c r="G130" i="11"/>
  <c r="G129" i="11" s="1"/>
  <c r="H129" i="11"/>
  <c r="H128" i="11"/>
  <c r="G128" i="11"/>
  <c r="H127" i="11"/>
  <c r="G127" i="11"/>
  <c r="H126" i="11"/>
  <c r="H125" i="11"/>
  <c r="H124" i="11"/>
  <c r="H123" i="11"/>
  <c r="H122" i="11"/>
  <c r="H121" i="11"/>
  <c r="G121" i="11"/>
  <c r="G120" i="11" s="1"/>
  <c r="G119" i="11" s="1"/>
  <c r="G118" i="11" s="1"/>
  <c r="G117" i="11" s="1"/>
  <c r="G116" i="11" s="1"/>
  <c r="H120" i="11"/>
  <c r="H119" i="11"/>
  <c r="H118" i="11"/>
  <c r="H117" i="11"/>
  <c r="H116" i="11"/>
  <c r="H115" i="11"/>
  <c r="H114" i="11"/>
  <c r="H113" i="11"/>
  <c r="G113" i="11"/>
  <c r="G112" i="11" s="1"/>
  <c r="H112" i="11"/>
  <c r="H111" i="11"/>
  <c r="G111" i="11"/>
  <c r="G110" i="11" s="1"/>
  <c r="H110" i="11"/>
  <c r="H109" i="11"/>
  <c r="G109" i="11"/>
  <c r="G108" i="11" s="1"/>
  <c r="H108" i="11"/>
  <c r="H107" i="11"/>
  <c r="G107" i="11"/>
  <c r="G106" i="11" s="1"/>
  <c r="H106" i="11"/>
  <c r="H105" i="11"/>
  <c r="G105" i="11"/>
  <c r="H104" i="11"/>
  <c r="G104" i="11"/>
  <c r="H103" i="11"/>
  <c r="G103" i="11"/>
  <c r="H102" i="11"/>
  <c r="G102" i="11"/>
  <c r="H101" i="11"/>
  <c r="G101" i="11"/>
  <c r="H100" i="11"/>
  <c r="H99" i="11"/>
  <c r="H98" i="11"/>
  <c r="H97" i="11"/>
  <c r="G97" i="11"/>
  <c r="G96" i="11" s="1"/>
  <c r="H96" i="11"/>
  <c r="H95" i="11"/>
  <c r="G95" i="11"/>
  <c r="G94" i="11" s="1"/>
  <c r="H94" i="11"/>
  <c r="H93" i="11"/>
  <c r="G93" i="11"/>
  <c r="G92" i="11" s="1"/>
  <c r="H92" i="11"/>
  <c r="H91" i="11"/>
  <c r="G91" i="11"/>
  <c r="H90" i="11"/>
  <c r="G90" i="11"/>
  <c r="H89" i="11"/>
  <c r="G89" i="11"/>
  <c r="H88" i="11"/>
  <c r="G88" i="11"/>
  <c r="H87" i="11"/>
  <c r="H86" i="11"/>
  <c r="H85" i="11"/>
  <c r="G85" i="11"/>
  <c r="G84" i="11" s="1"/>
  <c r="H84" i="11"/>
  <c r="H83" i="11"/>
  <c r="G83" i="11"/>
  <c r="G82" i="11" s="1"/>
  <c r="H82" i="11"/>
  <c r="H81" i="11"/>
  <c r="G81" i="11"/>
  <c r="G80" i="11" s="1"/>
  <c r="H80" i="11"/>
  <c r="H79" i="11"/>
  <c r="G79" i="11"/>
  <c r="H78" i="11"/>
  <c r="G78" i="11"/>
  <c r="H77" i="11"/>
  <c r="H76" i="11"/>
  <c r="G76" i="11"/>
  <c r="H75" i="11"/>
  <c r="G75" i="11"/>
  <c r="H74" i="11"/>
  <c r="H73" i="11"/>
  <c r="G73" i="11"/>
  <c r="H72" i="11"/>
  <c r="G72" i="11"/>
  <c r="H71" i="11"/>
  <c r="G71" i="11"/>
  <c r="G70" i="11" s="1"/>
  <c r="H70" i="11"/>
  <c r="H69" i="11"/>
  <c r="H68" i="11"/>
  <c r="G68" i="11"/>
  <c r="G67" i="11" s="1"/>
  <c r="H67" i="11"/>
  <c r="H66" i="11"/>
  <c r="G66" i="11"/>
  <c r="G65" i="11" s="1"/>
  <c r="H65" i="11"/>
  <c r="H64" i="11"/>
  <c r="G64" i="11"/>
  <c r="G63" i="11" s="1"/>
  <c r="H63" i="11"/>
  <c r="H62" i="11"/>
  <c r="G62" i="11"/>
  <c r="G61" i="11" s="1"/>
  <c r="H61" i="11"/>
  <c r="H60" i="11"/>
  <c r="G60" i="11"/>
  <c r="H59" i="11"/>
  <c r="G59" i="11"/>
  <c r="H58" i="11"/>
  <c r="H57" i="11"/>
  <c r="G57" i="11"/>
  <c r="H56" i="11"/>
  <c r="G56" i="11"/>
  <c r="H55" i="11"/>
  <c r="H54" i="11"/>
  <c r="G54" i="11"/>
  <c r="H53" i="11"/>
  <c r="G53" i="11"/>
  <c r="H52" i="11"/>
  <c r="G52" i="11"/>
  <c r="H51" i="11"/>
  <c r="H50" i="11"/>
  <c r="H49" i="11"/>
  <c r="H48" i="11"/>
  <c r="G48" i="11"/>
  <c r="G47" i="11" s="1"/>
  <c r="H47" i="11"/>
  <c r="H46" i="11"/>
  <c r="G46" i="11"/>
  <c r="H45" i="11"/>
  <c r="G45" i="11"/>
  <c r="H44" i="11"/>
  <c r="G44" i="11"/>
  <c r="H43" i="11"/>
  <c r="G43" i="11"/>
  <c r="H42" i="11"/>
  <c r="G42" i="11"/>
  <c r="H41" i="11"/>
  <c r="G41" i="11"/>
  <c r="H40" i="11"/>
  <c r="H39" i="11"/>
  <c r="H38" i="11"/>
  <c r="H37" i="11"/>
  <c r="G37" i="11"/>
  <c r="G36" i="11" s="1"/>
  <c r="H36" i="11"/>
  <c r="H35" i="11"/>
  <c r="G35" i="11"/>
  <c r="G34" i="11" s="1"/>
  <c r="H34" i="11"/>
  <c r="H33" i="11"/>
  <c r="G33" i="11"/>
  <c r="H32" i="11"/>
  <c r="G32" i="11"/>
  <c r="H31" i="11"/>
  <c r="G31" i="11"/>
  <c r="H30" i="11"/>
  <c r="G30" i="11"/>
  <c r="H29" i="11"/>
  <c r="H28" i="11"/>
  <c r="H27" i="11"/>
  <c r="G27" i="11"/>
  <c r="H26" i="11"/>
  <c r="G26" i="11"/>
  <c r="H25" i="11"/>
  <c r="G25" i="11"/>
  <c r="H24" i="11"/>
  <c r="G24" i="11"/>
  <c r="H23" i="11"/>
  <c r="G23" i="11"/>
  <c r="H22" i="11"/>
  <c r="G22" i="11"/>
  <c r="H21" i="11"/>
  <c r="G21" i="11"/>
  <c r="H20" i="11"/>
  <c r="G20" i="11"/>
  <c r="G19" i="11" s="1"/>
  <c r="G18" i="11" s="1"/>
  <c r="H19" i="11"/>
  <c r="H18" i="11"/>
  <c r="H17" i="11"/>
  <c r="H16" i="11"/>
  <c r="H15" i="11"/>
  <c r="H14" i="11"/>
  <c r="H13" i="11"/>
  <c r="H12" i="11"/>
  <c r="H24" i="10"/>
  <c r="H12" i="10"/>
  <c r="H13" i="10"/>
  <c r="H14" i="10"/>
  <c r="H15" i="10"/>
  <c r="H16" i="10"/>
  <c r="H17" i="10"/>
  <c r="H18" i="10"/>
  <c r="H19" i="10"/>
  <c r="H20" i="10"/>
  <c r="H21" i="10"/>
  <c r="H22" i="10"/>
  <c r="H23"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H111" i="10"/>
  <c r="H112" i="10"/>
  <c r="H113" i="10"/>
  <c r="H114" i="10"/>
  <c r="H115" i="10"/>
  <c r="H116" i="10"/>
  <c r="H117" i="10"/>
  <c r="H118" i="10"/>
  <c r="H119" i="10"/>
  <c r="H120" i="10"/>
  <c r="H121" i="10"/>
  <c r="H122" i="10"/>
  <c r="H123" i="10"/>
  <c r="H124" i="10"/>
  <c r="H125" i="10"/>
  <c r="H126" i="10"/>
  <c r="H127"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H183" i="10"/>
  <c r="H184" i="10"/>
  <c r="H185" i="10"/>
  <c r="H186" i="10"/>
  <c r="H187" i="10"/>
  <c r="H188" i="10"/>
  <c r="H189" i="10"/>
  <c r="H190" i="10"/>
  <c r="H191" i="10"/>
  <c r="H192" i="10"/>
  <c r="H193" i="10"/>
  <c r="H194" i="10"/>
  <c r="H195" i="10"/>
  <c r="H196" i="10"/>
  <c r="H197" i="10"/>
  <c r="H198" i="10"/>
  <c r="H199" i="10"/>
  <c r="H200" i="10"/>
  <c r="H201" i="10"/>
  <c r="H202" i="10"/>
  <c r="H203" i="10"/>
  <c r="H204" i="10"/>
  <c r="H205" i="10"/>
  <c r="H206" i="10"/>
  <c r="H207" i="10"/>
  <c r="H208" i="10"/>
  <c r="H209" i="10"/>
  <c r="H210" i="10"/>
  <c r="H211" i="10"/>
  <c r="H212" i="10"/>
  <c r="H213" i="10"/>
  <c r="H214" i="10"/>
  <c r="H215" i="10"/>
  <c r="H216" i="10"/>
  <c r="H217" i="10"/>
  <c r="H218" i="10"/>
  <c r="H219" i="10"/>
  <c r="H220" i="10"/>
  <c r="H221" i="10"/>
  <c r="H222" i="10"/>
  <c r="H223" i="10"/>
  <c r="H224" i="10"/>
  <c r="H225" i="10"/>
  <c r="H226" i="10"/>
  <c r="H227" i="10"/>
  <c r="H228" i="10"/>
  <c r="H229" i="10"/>
  <c r="H230" i="10"/>
  <c r="H231" i="10"/>
  <c r="H232" i="10"/>
  <c r="H233" i="10"/>
  <c r="H234" i="10"/>
  <c r="H235" i="10"/>
  <c r="H236" i="10"/>
  <c r="H237" i="10"/>
  <c r="H238" i="10"/>
  <c r="H239" i="10"/>
  <c r="H240" i="10"/>
  <c r="H241" i="10"/>
  <c r="H242" i="10"/>
  <c r="H243" i="10"/>
  <c r="H244" i="10"/>
  <c r="H245" i="10"/>
  <c r="H246" i="10"/>
  <c r="H247" i="10"/>
  <c r="H248" i="10"/>
  <c r="H249" i="10"/>
  <c r="H250" i="10"/>
  <c r="H251" i="10"/>
  <c r="H252" i="10"/>
  <c r="H253" i="10"/>
  <c r="H254" i="10"/>
  <c r="H255" i="10"/>
  <c r="H256" i="10"/>
  <c r="H257" i="10"/>
  <c r="H258" i="10"/>
  <c r="H259" i="10"/>
  <c r="H260" i="10"/>
  <c r="H261" i="10"/>
  <c r="H262" i="10"/>
  <c r="H263" i="10"/>
  <c r="H264" i="10"/>
  <c r="H265" i="10"/>
  <c r="H266" i="10"/>
  <c r="H267" i="10"/>
  <c r="H268" i="10"/>
  <c r="H269" i="10"/>
  <c r="H270" i="10"/>
  <c r="H271" i="10"/>
  <c r="H272" i="10"/>
  <c r="H273" i="10"/>
  <c r="H274" i="10"/>
  <c r="H275" i="10"/>
  <c r="H276" i="10"/>
  <c r="H277" i="10"/>
  <c r="H278" i="10"/>
  <c r="H279" i="10"/>
  <c r="H280" i="10"/>
  <c r="H281" i="10"/>
  <c r="H282" i="10"/>
  <c r="H283" i="10"/>
  <c r="H284" i="10"/>
  <c r="H285" i="10"/>
  <c r="H286" i="10"/>
  <c r="H287" i="10"/>
  <c r="H288" i="10"/>
  <c r="H289" i="10"/>
  <c r="H290" i="10"/>
  <c r="H291" i="10"/>
  <c r="H292" i="10"/>
  <c r="H293" i="10"/>
  <c r="H294" i="10"/>
  <c r="H295" i="10"/>
  <c r="H296" i="10"/>
  <c r="H297" i="10"/>
  <c r="H298" i="10"/>
  <c r="H299" i="10"/>
  <c r="H300" i="10"/>
  <c r="H301" i="10"/>
  <c r="H302" i="10"/>
  <c r="H303" i="10"/>
  <c r="H304" i="10"/>
  <c r="H305" i="10"/>
  <c r="H306" i="10"/>
  <c r="H307" i="10"/>
  <c r="H308" i="10"/>
  <c r="H309" i="10"/>
  <c r="H310" i="10"/>
  <c r="H311" i="10"/>
  <c r="H312" i="10"/>
  <c r="H313" i="10"/>
  <c r="H314" i="10"/>
  <c r="H315" i="10"/>
  <c r="H316" i="10"/>
  <c r="H317" i="10"/>
  <c r="H318" i="10"/>
  <c r="H319" i="10"/>
  <c r="H320" i="10"/>
  <c r="H321" i="10"/>
  <c r="H322" i="10"/>
  <c r="H323" i="10"/>
  <c r="H324" i="10"/>
  <c r="H325" i="10"/>
  <c r="H326" i="10"/>
  <c r="H327" i="10"/>
  <c r="H328" i="10"/>
  <c r="H329" i="10"/>
  <c r="H330" i="10"/>
  <c r="H331" i="10"/>
  <c r="H332" i="10"/>
  <c r="H333" i="10"/>
  <c r="H334" i="10"/>
  <c r="H335" i="10"/>
  <c r="H336" i="10"/>
  <c r="H337" i="10"/>
  <c r="H338" i="10"/>
  <c r="H339" i="10"/>
  <c r="H340" i="10"/>
  <c r="H341" i="10"/>
  <c r="H342" i="10"/>
  <c r="H343" i="10"/>
  <c r="H344" i="10"/>
  <c r="H345" i="10"/>
  <c r="H346" i="10"/>
  <c r="H347" i="10"/>
  <c r="H348" i="10"/>
  <c r="H349" i="10"/>
  <c r="H350" i="10"/>
  <c r="H351" i="10"/>
  <c r="H352" i="10"/>
  <c r="H353" i="10"/>
  <c r="H354" i="10"/>
  <c r="H355" i="10"/>
  <c r="H356" i="10"/>
  <c r="H357" i="10"/>
  <c r="H358" i="10"/>
  <c r="H359" i="10"/>
  <c r="H360" i="10"/>
  <c r="H361" i="10"/>
  <c r="H362" i="10"/>
  <c r="H363" i="10"/>
  <c r="H364" i="10"/>
  <c r="H365" i="10"/>
  <c r="H366" i="10"/>
  <c r="H367" i="10"/>
  <c r="H368" i="10"/>
  <c r="H369" i="10"/>
  <c r="H370" i="10"/>
  <c r="H371" i="10"/>
  <c r="H372" i="10"/>
  <c r="H373" i="10"/>
  <c r="H374" i="10"/>
  <c r="H375" i="10"/>
  <c r="H376" i="10"/>
  <c r="H377" i="10"/>
  <c r="H378" i="10"/>
  <c r="H379" i="10"/>
  <c r="H380" i="10"/>
  <c r="H381" i="10"/>
  <c r="H382" i="10"/>
  <c r="H383" i="10"/>
  <c r="H384" i="10"/>
  <c r="H385" i="10"/>
  <c r="H386" i="10"/>
  <c r="H387" i="10"/>
  <c r="H388" i="10"/>
  <c r="H389" i="10"/>
  <c r="H390" i="10"/>
  <c r="H391" i="10"/>
  <c r="H392" i="10"/>
  <c r="H393" i="10"/>
  <c r="H394" i="10"/>
  <c r="H395" i="10"/>
  <c r="H396" i="10"/>
  <c r="H397" i="10"/>
  <c r="H398" i="10"/>
  <c r="H399" i="10"/>
  <c r="H400" i="10"/>
  <c r="H401" i="10"/>
  <c r="H402" i="10"/>
  <c r="H403" i="10"/>
  <c r="H404" i="10"/>
  <c r="H405" i="10"/>
  <c r="H406" i="10"/>
  <c r="H407" i="10"/>
  <c r="H408" i="10"/>
  <c r="H409" i="10"/>
  <c r="H410" i="10"/>
  <c r="H411" i="10"/>
  <c r="H412" i="10"/>
  <c r="H413" i="10"/>
  <c r="H414" i="10"/>
  <c r="H415" i="10"/>
  <c r="H416" i="10"/>
  <c r="H417" i="10"/>
  <c r="H418" i="10"/>
  <c r="H419" i="10"/>
  <c r="H420" i="10"/>
  <c r="H421" i="10"/>
  <c r="H422" i="10"/>
  <c r="H423" i="10"/>
  <c r="H424" i="10"/>
  <c r="H425" i="10"/>
  <c r="H426" i="10"/>
  <c r="H427" i="10"/>
  <c r="H428" i="10"/>
  <c r="H429" i="10"/>
  <c r="H430" i="10"/>
  <c r="H431" i="10"/>
  <c r="H432" i="10"/>
  <c r="H433" i="10"/>
  <c r="H434" i="10"/>
  <c r="H435" i="10"/>
  <c r="H436" i="10"/>
  <c r="H437" i="10"/>
  <c r="H438" i="10"/>
  <c r="H439" i="10"/>
  <c r="H440" i="10"/>
  <c r="H441" i="10"/>
  <c r="H442" i="10"/>
  <c r="H443" i="10"/>
  <c r="H444" i="10"/>
  <c r="H445" i="10"/>
  <c r="H446" i="10"/>
  <c r="H447" i="10"/>
  <c r="H448" i="10"/>
  <c r="H449" i="10"/>
  <c r="H450" i="10"/>
  <c r="H451" i="10"/>
  <c r="H452" i="10"/>
  <c r="H453" i="10"/>
  <c r="H454" i="10"/>
  <c r="H455" i="10"/>
  <c r="H456" i="10"/>
  <c r="H457" i="10"/>
  <c r="H458" i="10"/>
  <c r="H459" i="10"/>
  <c r="H460" i="10"/>
  <c r="H461" i="10"/>
  <c r="H462" i="10"/>
  <c r="H463" i="10"/>
  <c r="H464" i="10"/>
  <c r="H465" i="10"/>
  <c r="H466" i="10"/>
  <c r="H467" i="10"/>
  <c r="H468" i="10"/>
  <c r="H469" i="10"/>
  <c r="H470" i="10"/>
  <c r="H471" i="10"/>
  <c r="H472" i="10"/>
  <c r="H473" i="10"/>
  <c r="H474" i="10"/>
  <c r="H475" i="10"/>
  <c r="H476" i="10"/>
  <c r="H477" i="10"/>
  <c r="H478" i="10"/>
  <c r="H479" i="10"/>
  <c r="H480" i="10"/>
  <c r="H481" i="10"/>
  <c r="H482" i="10"/>
  <c r="H483" i="10"/>
  <c r="H484" i="10"/>
  <c r="H485" i="10"/>
  <c r="H486" i="10"/>
  <c r="H487" i="10"/>
  <c r="H488" i="10"/>
  <c r="H489" i="10"/>
  <c r="H490" i="10"/>
  <c r="H491" i="10"/>
  <c r="H492" i="10"/>
  <c r="H493" i="10"/>
  <c r="H494" i="10"/>
  <c r="H495" i="10"/>
  <c r="H496" i="10"/>
  <c r="H497" i="10"/>
  <c r="H498" i="10"/>
  <c r="H499" i="10"/>
  <c r="H500" i="10"/>
  <c r="H501" i="10"/>
  <c r="H502" i="10"/>
  <c r="H503" i="10"/>
  <c r="H504" i="10"/>
  <c r="H505" i="10"/>
  <c r="H506" i="10"/>
  <c r="H507" i="10"/>
  <c r="H508" i="10"/>
  <c r="H509" i="10"/>
  <c r="H510" i="10"/>
  <c r="H512" i="10"/>
  <c r="H513" i="10"/>
  <c r="H514" i="10"/>
  <c r="H515" i="10"/>
  <c r="H516" i="10"/>
  <c r="H517" i="10"/>
  <c r="H518" i="10"/>
  <c r="H519" i="10"/>
  <c r="H520" i="10"/>
  <c r="H521" i="10"/>
  <c r="H522" i="10"/>
  <c r="H523" i="10"/>
  <c r="H524" i="10"/>
  <c r="H525" i="10"/>
  <c r="H526" i="10"/>
  <c r="H527" i="10"/>
  <c r="H528" i="10"/>
  <c r="H529" i="10"/>
  <c r="H530" i="10"/>
  <c r="H531" i="10"/>
  <c r="H532" i="10"/>
  <c r="H533" i="10"/>
  <c r="H534" i="10"/>
  <c r="H535" i="10"/>
  <c r="H536" i="10"/>
  <c r="H537" i="10"/>
  <c r="H538" i="10"/>
  <c r="H539" i="10"/>
  <c r="H540" i="10"/>
  <c r="H541" i="10"/>
  <c r="H542" i="10"/>
  <c r="H543" i="10"/>
  <c r="H544" i="10"/>
  <c r="H545" i="10"/>
  <c r="H546" i="10"/>
  <c r="H547" i="10"/>
  <c r="H548" i="10"/>
  <c r="H549" i="10"/>
  <c r="H550" i="10"/>
  <c r="H551" i="10"/>
  <c r="H552" i="10"/>
  <c r="H553" i="10"/>
  <c r="H554" i="10"/>
  <c r="H555" i="10"/>
  <c r="H556" i="10"/>
  <c r="H557" i="10"/>
  <c r="H558" i="10"/>
  <c r="H559" i="10"/>
  <c r="H560" i="10"/>
  <c r="H561" i="10"/>
  <c r="H562" i="10"/>
  <c r="H563" i="10"/>
  <c r="H564" i="10"/>
  <c r="H565" i="10"/>
  <c r="H566" i="10"/>
  <c r="H567" i="10"/>
  <c r="H568" i="10"/>
  <c r="H569" i="10"/>
  <c r="H570" i="10"/>
  <c r="H571" i="10"/>
  <c r="H572" i="10"/>
  <c r="H573" i="10"/>
  <c r="H574" i="10"/>
  <c r="H575" i="10"/>
  <c r="H576" i="10"/>
  <c r="H577" i="10"/>
  <c r="H578" i="10"/>
  <c r="H579" i="10"/>
  <c r="H580" i="10"/>
  <c r="H581" i="10"/>
  <c r="H582" i="10"/>
  <c r="H583" i="10"/>
  <c r="H584" i="10"/>
  <c r="H585" i="10"/>
  <c r="H586" i="10"/>
  <c r="H587" i="10"/>
  <c r="H588" i="10"/>
  <c r="H589" i="10"/>
  <c r="AV223" i="13" l="1"/>
  <c r="AW223" i="13" s="1"/>
  <c r="AU223" i="13"/>
  <c r="AV218" i="13"/>
  <c r="AW218" i="13" s="1"/>
  <c r="AU218" i="13"/>
  <c r="AV209" i="13"/>
  <c r="AW209" i="13" s="1"/>
  <c r="AU209" i="13"/>
  <c r="AV194" i="13"/>
  <c r="AW194" i="13" s="1"/>
  <c r="AU194" i="13"/>
  <c r="AV121" i="13"/>
  <c r="AU121" i="13"/>
  <c r="AV111" i="13"/>
  <c r="AW111" i="13" s="1"/>
  <c r="AU111" i="13"/>
  <c r="AV229" i="13"/>
  <c r="AW229" i="13" s="1"/>
  <c r="AU229" i="13"/>
  <c r="AV222" i="13"/>
  <c r="AW222" i="13" s="1"/>
  <c r="AU222" i="13"/>
  <c r="AV217" i="13"/>
  <c r="AW217" i="13" s="1"/>
  <c r="AU217" i="13"/>
  <c r="AV203" i="13"/>
  <c r="AW203" i="13" s="1"/>
  <c r="AU203" i="13"/>
  <c r="AV179" i="13"/>
  <c r="AW179" i="13" s="1"/>
  <c r="AU179" i="13"/>
  <c r="AV173" i="13"/>
  <c r="AW173" i="13" s="1"/>
  <c r="AU173" i="13"/>
  <c r="AV168" i="13"/>
  <c r="AW168" i="13" s="1"/>
  <c r="AU168" i="13"/>
  <c r="AV161" i="13"/>
  <c r="AW161" i="13" s="1"/>
  <c r="AU161" i="13"/>
  <c r="AV156" i="13"/>
  <c r="AW156" i="13" s="1"/>
  <c r="AU156" i="13"/>
  <c r="AV120" i="13"/>
  <c r="AW120" i="13" s="1"/>
  <c r="AU120" i="13"/>
  <c r="AV115" i="13"/>
  <c r="AW115" i="13" s="1"/>
  <c r="AU115" i="13"/>
  <c r="AV202" i="13"/>
  <c r="AW202" i="13" s="1"/>
  <c r="AU202" i="13"/>
  <c r="AV191" i="13"/>
  <c r="AW191" i="13" s="1"/>
  <c r="AU191" i="13"/>
  <c r="AV176" i="13"/>
  <c r="AW176" i="13" s="1"/>
  <c r="AU176" i="13"/>
  <c r="AV164" i="13"/>
  <c r="AW164" i="13" s="1"/>
  <c r="AU164" i="13"/>
  <c r="AV114" i="13"/>
  <c r="AW114" i="13" s="1"/>
  <c r="AU114" i="13"/>
  <c r="AV104" i="13"/>
  <c r="AW104" i="13" s="1"/>
  <c r="AU104" i="13"/>
  <c r="AV226" i="13"/>
  <c r="AW226" i="13" s="1"/>
  <c r="AU226" i="13"/>
  <c r="AV211" i="13"/>
  <c r="AW211" i="13" s="1"/>
  <c r="AU211" i="13"/>
  <c r="AV196" i="13"/>
  <c r="AW196" i="13" s="1"/>
  <c r="AU196" i="13"/>
  <c r="AV185" i="13"/>
  <c r="AW185" i="13" s="1"/>
  <c r="AU185" i="13"/>
  <c r="AV172" i="13"/>
  <c r="AW172" i="13" s="1"/>
  <c r="AU172" i="13"/>
  <c r="AV159" i="13"/>
  <c r="AW159" i="13" s="1"/>
  <c r="AU159" i="13"/>
  <c r="AV119" i="13"/>
  <c r="AW119" i="13" s="1"/>
  <c r="AU119" i="13"/>
  <c r="AV219" i="13"/>
  <c r="AW219" i="13" s="1"/>
  <c r="AU219" i="13"/>
  <c r="AV214" i="13"/>
  <c r="AW214" i="13" s="1"/>
  <c r="AU214" i="13"/>
  <c r="AV210" i="13"/>
  <c r="AW210" i="13" s="1"/>
  <c r="AU210" i="13"/>
  <c r="AV181" i="13"/>
  <c r="AW181" i="13" s="1"/>
  <c r="AU181" i="13"/>
  <c r="AV175" i="13"/>
  <c r="AW175" i="13" s="1"/>
  <c r="AU175" i="13"/>
  <c r="AV163" i="13"/>
  <c r="AW163" i="13" s="1"/>
  <c r="AU163" i="13"/>
  <c r="AV122" i="13"/>
  <c r="AW122" i="13" s="1"/>
  <c r="AU122" i="13"/>
  <c r="AV112" i="13"/>
  <c r="AW112" i="13" s="1"/>
  <c r="AU112" i="13"/>
  <c r="AV107" i="13"/>
  <c r="AW107" i="13" s="1"/>
  <c r="AU107" i="13"/>
  <c r="AV103" i="13"/>
  <c r="AW103" i="13" s="1"/>
  <c r="AU103" i="13"/>
  <c r="AV230" i="13"/>
  <c r="AW230" i="13" s="1"/>
  <c r="AU230" i="13"/>
  <c r="AV188" i="13"/>
  <c r="AW188" i="13" s="1"/>
  <c r="AU188" i="13"/>
  <c r="AV180" i="13"/>
  <c r="AW180" i="13" s="1"/>
  <c r="AU180" i="13"/>
  <c r="AV169" i="13"/>
  <c r="AW169" i="13" s="1"/>
  <c r="AU169" i="13"/>
  <c r="AV157" i="13"/>
  <c r="AW157" i="13" s="1"/>
  <c r="AU157" i="13"/>
  <c r="AV106" i="13"/>
  <c r="AW106" i="13" s="1"/>
  <c r="AU106" i="13"/>
  <c r="L207" i="13"/>
  <c r="L206" i="13" s="1"/>
  <c r="L205" i="13" s="1"/>
  <c r="L204" i="13" s="1"/>
  <c r="U115" i="16"/>
  <c r="AL115" i="16" s="1"/>
  <c r="U131" i="16"/>
  <c r="AL131" i="16" s="1"/>
  <c r="P183" i="13"/>
  <c r="P182" i="13" s="1"/>
  <c r="P146" i="13" s="1"/>
  <c r="P61" i="13" s="1"/>
  <c r="T183" i="13"/>
  <c r="T182" i="13" s="1"/>
  <c r="T146" i="13" s="1"/>
  <c r="T61" i="13" s="1"/>
  <c r="X183" i="13"/>
  <c r="X182" i="13" s="1"/>
  <c r="X146" i="13" s="1"/>
  <c r="X61" i="13" s="1"/>
  <c r="AB183" i="13"/>
  <c r="AB182" i="13" s="1"/>
  <c r="AB146" i="13" s="1"/>
  <c r="AB61" i="13" s="1"/>
  <c r="AF183" i="13"/>
  <c r="AF182" i="13" s="1"/>
  <c r="AF146" i="13" s="1"/>
  <c r="AF61" i="13" s="1"/>
  <c r="AJ183" i="13"/>
  <c r="AJ182" i="13" s="1"/>
  <c r="AJ146" i="13" s="1"/>
  <c r="AJ61" i="13" s="1"/>
  <c r="AN183" i="13"/>
  <c r="AN182" i="13" s="1"/>
  <c r="AN146" i="13" s="1"/>
  <c r="AN61" i="13" s="1"/>
  <c r="O207" i="13"/>
  <c r="O206" i="13" s="1"/>
  <c r="O205" i="13" s="1"/>
  <c r="O204" i="13" s="1"/>
  <c r="S207" i="13"/>
  <c r="S206" i="13" s="1"/>
  <c r="S205" i="13" s="1"/>
  <c r="S204" i="13" s="1"/>
  <c r="W207" i="13"/>
  <c r="W206" i="13" s="1"/>
  <c r="W205" i="13" s="1"/>
  <c r="W204" i="13" s="1"/>
  <c r="AA207" i="13"/>
  <c r="AA206" i="13" s="1"/>
  <c r="AA205" i="13" s="1"/>
  <c r="AA204" i="13" s="1"/>
  <c r="AE207" i="13"/>
  <c r="AE206" i="13" s="1"/>
  <c r="AE205" i="13" s="1"/>
  <c r="AE204" i="13" s="1"/>
  <c r="AI207" i="13"/>
  <c r="AI206" i="13" s="1"/>
  <c r="AI205" i="13" s="1"/>
  <c r="AI204" i="13" s="1"/>
  <c r="AM207" i="13"/>
  <c r="AM206" i="13" s="1"/>
  <c r="AM205" i="13" s="1"/>
  <c r="AM204" i="13" s="1"/>
  <c r="AQ207" i="13"/>
  <c r="AQ206" i="13" s="1"/>
  <c r="AQ205" i="13" s="1"/>
  <c r="AQ204" i="13" s="1"/>
  <c r="U117" i="16"/>
  <c r="AL117" i="16" s="1"/>
  <c r="U136" i="16"/>
  <c r="AL136" i="16" s="1"/>
  <c r="AV94" i="13"/>
  <c r="AW94" i="13" s="1"/>
  <c r="AV72" i="13"/>
  <c r="AW72" i="13" s="1"/>
  <c r="AV52" i="13"/>
  <c r="AW52" i="13" s="1"/>
  <c r="AV43" i="13"/>
  <c r="AW43" i="13" s="1"/>
  <c r="AV38" i="13"/>
  <c r="AW38" i="13" s="1"/>
  <c r="AV26" i="13"/>
  <c r="AW26" i="13" s="1"/>
  <c r="AV87" i="13"/>
  <c r="AW87" i="13" s="1"/>
  <c r="AV74" i="13"/>
  <c r="AW74" i="13" s="1"/>
  <c r="AV66" i="13"/>
  <c r="AW66" i="13" s="1"/>
  <c r="AV56" i="13"/>
  <c r="AW56" i="13" s="1"/>
  <c r="AV50" i="13"/>
  <c r="AW50" i="13" s="1"/>
  <c r="AV40" i="13"/>
  <c r="AW40" i="13" s="1"/>
  <c r="AV36" i="13"/>
  <c r="AW36" i="13" s="1"/>
  <c r="AV30" i="13"/>
  <c r="AW30" i="13" s="1"/>
  <c r="J124" i="13"/>
  <c r="J123" i="13" s="1"/>
  <c r="J67" i="13" s="1"/>
  <c r="AT137" i="13"/>
  <c r="U83" i="16"/>
  <c r="U120" i="16"/>
  <c r="AL120" i="16" s="1"/>
  <c r="AM120" i="16" s="1"/>
  <c r="U139" i="16"/>
  <c r="AL139" i="16" s="1"/>
  <c r="AM139" i="16" s="1"/>
  <c r="S147" i="13"/>
  <c r="AT147" i="13" s="1"/>
  <c r="AU147" i="13" s="1"/>
  <c r="AT148" i="13"/>
  <c r="AU148" i="13" s="1"/>
  <c r="AV89" i="13"/>
  <c r="AW89" i="13" s="1"/>
  <c r="AV79" i="13"/>
  <c r="AW79" i="13" s="1"/>
  <c r="AV58" i="13"/>
  <c r="AW58" i="13" s="1"/>
  <c r="AV47" i="13"/>
  <c r="AW47" i="13" s="1"/>
  <c r="AV34" i="13"/>
  <c r="AW34" i="13" s="1"/>
  <c r="AV127" i="13"/>
  <c r="AW127" i="13" s="1"/>
  <c r="AV99" i="13"/>
  <c r="AW99" i="13" s="1"/>
  <c r="AV93" i="13"/>
  <c r="AW93" i="13" s="1"/>
  <c r="AV83" i="13"/>
  <c r="AW83" i="13" s="1"/>
  <c r="AV71" i="13"/>
  <c r="AW71" i="13" s="1"/>
  <c r="AV51" i="13"/>
  <c r="AW51" i="13" s="1"/>
  <c r="AV42" i="13"/>
  <c r="AW42" i="13" s="1"/>
  <c r="AV116" i="13"/>
  <c r="AW116" i="13" s="1"/>
  <c r="AV90" i="13"/>
  <c r="AW90" i="13" s="1"/>
  <c r="AV85" i="13"/>
  <c r="AW85" i="13" s="1"/>
  <c r="AV80" i="13"/>
  <c r="AW80" i="13" s="1"/>
  <c r="AV73" i="13"/>
  <c r="AW73" i="13" s="1"/>
  <c r="AV55" i="13"/>
  <c r="AW55" i="13" s="1"/>
  <c r="AV44" i="13"/>
  <c r="AW44" i="13" s="1"/>
  <c r="AV39" i="13"/>
  <c r="AW39" i="13" s="1"/>
  <c r="AV35" i="13"/>
  <c r="AW35" i="13" s="1"/>
  <c r="AV27" i="13"/>
  <c r="AW27" i="13" s="1"/>
  <c r="U113" i="16"/>
  <c r="AL113" i="16" s="1"/>
  <c r="U122" i="16"/>
  <c r="AL122" i="16" s="1"/>
  <c r="AM122" i="16" s="1"/>
  <c r="AV75" i="13"/>
  <c r="AW75" i="13" s="1"/>
  <c r="AV31" i="13"/>
  <c r="AW31" i="13" s="1"/>
  <c r="AV59" i="13"/>
  <c r="AW59" i="13" s="1"/>
  <c r="S123" i="13"/>
  <c r="J207" i="13"/>
  <c r="J206" i="13" s="1"/>
  <c r="J205" i="13" s="1"/>
  <c r="J204" i="13" s="1"/>
  <c r="AR183" i="13"/>
  <c r="AR182" i="13" s="1"/>
  <c r="AR146" i="13" s="1"/>
  <c r="AR61" i="13" s="1"/>
  <c r="P207" i="13"/>
  <c r="P206" i="13" s="1"/>
  <c r="P205" i="13" s="1"/>
  <c r="P204" i="13" s="1"/>
  <c r="T207" i="13"/>
  <c r="T206" i="13" s="1"/>
  <c r="T205" i="13" s="1"/>
  <c r="T204" i="13" s="1"/>
  <c r="X207" i="13"/>
  <c r="X206" i="13" s="1"/>
  <c r="X205" i="13" s="1"/>
  <c r="X204" i="13" s="1"/>
  <c r="AB207" i="13"/>
  <c r="AB206" i="13" s="1"/>
  <c r="AB205" i="13" s="1"/>
  <c r="AB204" i="13" s="1"/>
  <c r="AF207" i="13"/>
  <c r="AF206" i="13" s="1"/>
  <c r="AF205" i="13" s="1"/>
  <c r="AF204" i="13" s="1"/>
  <c r="AJ207" i="13"/>
  <c r="AJ206" i="13" s="1"/>
  <c r="AJ205" i="13" s="1"/>
  <c r="AJ204" i="13" s="1"/>
  <c r="AN207" i="13"/>
  <c r="AN206" i="13" s="1"/>
  <c r="AN205" i="13" s="1"/>
  <c r="AN204" i="13" s="1"/>
  <c r="AR207" i="13"/>
  <c r="AR206" i="13" s="1"/>
  <c r="AR205" i="13" s="1"/>
  <c r="AR204" i="13" s="1"/>
  <c r="K183" i="13"/>
  <c r="K182" i="13" s="1"/>
  <c r="L183" i="13"/>
  <c r="L182" i="13" s="1"/>
  <c r="N183" i="13"/>
  <c r="N182" i="13" s="1"/>
  <c r="R183" i="13"/>
  <c r="R182" i="13" s="1"/>
  <c r="V183" i="13"/>
  <c r="V182" i="13" s="1"/>
  <c r="V146" i="13" s="1"/>
  <c r="V61" i="13" s="1"/>
  <c r="Z183" i="13"/>
  <c r="Z182" i="13" s="1"/>
  <c r="Z146" i="13" s="1"/>
  <c r="Z61" i="13" s="1"/>
  <c r="AD183" i="13"/>
  <c r="AD182" i="13" s="1"/>
  <c r="AH183" i="13"/>
  <c r="AH182" i="13" s="1"/>
  <c r="AL183" i="13"/>
  <c r="AL182" i="13" s="1"/>
  <c r="AP183" i="13"/>
  <c r="AP182" i="13" s="1"/>
  <c r="M207" i="13"/>
  <c r="M206" i="13" s="1"/>
  <c r="M205" i="13" s="1"/>
  <c r="M204" i="13" s="1"/>
  <c r="Q207" i="13"/>
  <c r="Q206" i="13" s="1"/>
  <c r="Q205" i="13" s="1"/>
  <c r="Q204" i="13" s="1"/>
  <c r="U207" i="13"/>
  <c r="U206" i="13" s="1"/>
  <c r="U205" i="13" s="1"/>
  <c r="U204" i="13" s="1"/>
  <c r="Y207" i="13"/>
  <c r="Y206" i="13" s="1"/>
  <c r="Y205" i="13" s="1"/>
  <c r="Y204" i="13" s="1"/>
  <c r="AC207" i="13"/>
  <c r="AC206" i="13" s="1"/>
  <c r="AC205" i="13" s="1"/>
  <c r="AC204" i="13" s="1"/>
  <c r="AG207" i="13"/>
  <c r="AG206" i="13" s="1"/>
  <c r="AG205" i="13" s="1"/>
  <c r="AG204" i="13" s="1"/>
  <c r="AK207" i="13"/>
  <c r="AK206" i="13" s="1"/>
  <c r="AK205" i="13" s="1"/>
  <c r="AK204" i="13" s="1"/>
  <c r="AO207" i="13"/>
  <c r="AO206" i="13" s="1"/>
  <c r="AO205" i="13" s="1"/>
  <c r="AO204" i="13" s="1"/>
  <c r="AS207" i="13"/>
  <c r="AS206" i="13" s="1"/>
  <c r="AS205" i="13" s="1"/>
  <c r="AS204" i="13" s="1"/>
  <c r="M183" i="13"/>
  <c r="M182" i="13" s="1"/>
  <c r="Q183" i="13"/>
  <c r="Q182" i="13" s="1"/>
  <c r="U183" i="13"/>
  <c r="U182" i="13" s="1"/>
  <c r="Y183" i="13"/>
  <c r="Y182" i="13" s="1"/>
  <c r="Y146" i="13" s="1"/>
  <c r="AC183" i="13"/>
  <c r="AC182" i="13" s="1"/>
  <c r="AC146" i="13" s="1"/>
  <c r="AG183" i="13"/>
  <c r="AG182" i="13" s="1"/>
  <c r="AK183" i="13"/>
  <c r="AK182" i="13" s="1"/>
  <c r="AO183" i="13"/>
  <c r="AO182" i="13" s="1"/>
  <c r="AO146" i="13" s="1"/>
  <c r="AS183" i="13"/>
  <c r="AS182" i="13" s="1"/>
  <c r="AS146" i="13" s="1"/>
  <c r="J183" i="13"/>
  <c r="J182" i="13" s="1"/>
  <c r="J146" i="13" s="1"/>
  <c r="K207" i="13"/>
  <c r="K206" i="13" s="1"/>
  <c r="K205" i="13" s="1"/>
  <c r="K204" i="13" s="1"/>
  <c r="O183" i="13"/>
  <c r="O182" i="13" s="1"/>
  <c r="S183" i="13"/>
  <c r="S182" i="13" s="1"/>
  <c r="W183" i="13"/>
  <c r="W182" i="13" s="1"/>
  <c r="W146" i="13" s="1"/>
  <c r="AA183" i="13"/>
  <c r="AA182" i="13" s="1"/>
  <c r="AE183" i="13"/>
  <c r="AE182" i="13" s="1"/>
  <c r="AI183" i="13"/>
  <c r="AI182" i="13" s="1"/>
  <c r="AI146" i="13" s="1"/>
  <c r="AM183" i="13"/>
  <c r="AM182" i="13" s="1"/>
  <c r="AM146" i="13" s="1"/>
  <c r="AQ183" i="13"/>
  <c r="AQ182" i="13" s="1"/>
  <c r="N207" i="13"/>
  <c r="N206" i="13" s="1"/>
  <c r="N205" i="13" s="1"/>
  <c r="N204" i="13" s="1"/>
  <c r="R207" i="13"/>
  <c r="R206" i="13" s="1"/>
  <c r="R205" i="13" s="1"/>
  <c r="R204" i="13" s="1"/>
  <c r="V207" i="13"/>
  <c r="V206" i="13" s="1"/>
  <c r="V205" i="13" s="1"/>
  <c r="V204" i="13" s="1"/>
  <c r="Z207" i="13"/>
  <c r="Z206" i="13" s="1"/>
  <c r="Z205" i="13" s="1"/>
  <c r="Z204" i="13" s="1"/>
  <c r="AD207" i="13"/>
  <c r="AD206" i="13" s="1"/>
  <c r="AD205" i="13" s="1"/>
  <c r="AD204" i="13" s="1"/>
  <c r="AH207" i="13"/>
  <c r="AH206" i="13" s="1"/>
  <c r="AH205" i="13" s="1"/>
  <c r="AH204" i="13" s="1"/>
  <c r="AL207" i="13"/>
  <c r="AL206" i="13" s="1"/>
  <c r="AL205" i="13" s="1"/>
  <c r="AL204" i="13" s="1"/>
  <c r="AP207" i="13"/>
  <c r="AP206" i="13" s="1"/>
  <c r="AP205" i="13" s="1"/>
  <c r="AP204" i="13" s="1"/>
  <c r="W144" i="16"/>
  <c r="AL58" i="16"/>
  <c r="G420" i="11"/>
  <c r="G585" i="11"/>
  <c r="G286" i="11"/>
  <c r="G390" i="11"/>
  <c r="G408" i="11"/>
  <c r="G416" i="11"/>
  <c r="G415" i="11" s="1"/>
  <c r="G162" i="11"/>
  <c r="G161" i="11" s="1"/>
  <c r="G229" i="11"/>
  <c r="G242" i="11"/>
  <c r="G582" i="11"/>
  <c r="G581" i="11" s="1"/>
  <c r="G580" i="11" s="1"/>
  <c r="G100" i="11"/>
  <c r="G99" i="11" s="1"/>
  <c r="G98" i="11" s="1"/>
  <c r="G512" i="11"/>
  <c r="G336" i="11"/>
  <c r="G335" i="11" s="1"/>
  <c r="C19" i="14"/>
  <c r="C16" i="14"/>
  <c r="AT225" i="13"/>
  <c r="AU225" i="13" s="1"/>
  <c r="AT190" i="13"/>
  <c r="AT160" i="13"/>
  <c r="AT200" i="13"/>
  <c r="AU200" i="13" s="1"/>
  <c r="AT82" i="13"/>
  <c r="AU82" i="13" s="1"/>
  <c r="AT102" i="13"/>
  <c r="AU102" i="13" s="1"/>
  <c r="AT184" i="13"/>
  <c r="AU184" i="13" s="1"/>
  <c r="AT197" i="13"/>
  <c r="AW228" i="13"/>
  <c r="AT86" i="13"/>
  <c r="AU86" i="13" s="1"/>
  <c r="AT108" i="13"/>
  <c r="AU108" i="13" s="1"/>
  <c r="AT187" i="13"/>
  <c r="AT78" i="13"/>
  <c r="AU78" i="13" s="1"/>
  <c r="AT95" i="13"/>
  <c r="AU95" i="13" s="1"/>
  <c r="AT118" i="13"/>
  <c r="AT193" i="13"/>
  <c r="AT215" i="13"/>
  <c r="AU215" i="13" s="1"/>
  <c r="AT33" i="13"/>
  <c r="AU33" i="13" s="1"/>
  <c r="AT221" i="13"/>
  <c r="AT208" i="13"/>
  <c r="AU208" i="13" s="1"/>
  <c r="AT91" i="13"/>
  <c r="AU91" i="13" s="1"/>
  <c r="AT113" i="13"/>
  <c r="AU113" i="13" s="1"/>
  <c r="AT227" i="13"/>
  <c r="AV155" i="13"/>
  <c r="AT68" i="13"/>
  <c r="AU68" i="13" s="1"/>
  <c r="AT69" i="13"/>
  <c r="AU69" i="13" s="1"/>
  <c r="AV100" i="13"/>
  <c r="AW100" i="13" s="1"/>
  <c r="AV97" i="13"/>
  <c r="AW97" i="13" s="1"/>
  <c r="AV46" i="13"/>
  <c r="AW46" i="13" s="1"/>
  <c r="AV199" i="13"/>
  <c r="AW199" i="13" s="1"/>
  <c r="AV213" i="13"/>
  <c r="AW213" i="13" s="1"/>
  <c r="AV110" i="13"/>
  <c r="AW110" i="13" s="1"/>
  <c r="AV224" i="13"/>
  <c r="AW224" i="13" s="1"/>
  <c r="AV220" i="13"/>
  <c r="AW220" i="13" s="1"/>
  <c r="AV216" i="13"/>
  <c r="AW216" i="13" s="1"/>
  <c r="AV212" i="13"/>
  <c r="AW212" i="13" s="1"/>
  <c r="AV201" i="13"/>
  <c r="AW201" i="13" s="1"/>
  <c r="AV198" i="13"/>
  <c r="AW198" i="13" s="1"/>
  <c r="AV195" i="13"/>
  <c r="AW195" i="13" s="1"/>
  <c r="AV192" i="13"/>
  <c r="AW192" i="13" s="1"/>
  <c r="AV189" i="13"/>
  <c r="AW189" i="13" s="1"/>
  <c r="AV186" i="13"/>
  <c r="AW186" i="13" s="1"/>
  <c r="AV174" i="13"/>
  <c r="AW174" i="13" s="1"/>
  <c r="AV170" i="13"/>
  <c r="AW170" i="13" s="1"/>
  <c r="AV162" i="13"/>
  <c r="AW162" i="13" s="1"/>
  <c r="AV158" i="13"/>
  <c r="AW158" i="13" s="1"/>
  <c r="AW121" i="13"/>
  <c r="AV117" i="13"/>
  <c r="AW117" i="13" s="1"/>
  <c r="AV109" i="13"/>
  <c r="AW109" i="13" s="1"/>
  <c r="AV105" i="13"/>
  <c r="AW105" i="13" s="1"/>
  <c r="AV101" i="13"/>
  <c r="AW101" i="13" s="1"/>
  <c r="AV96" i="13"/>
  <c r="AW96" i="13" s="1"/>
  <c r="AV92" i="13"/>
  <c r="AW92" i="13" s="1"/>
  <c r="AV88" i="13"/>
  <c r="AW88" i="13" s="1"/>
  <c r="AV84" i="13"/>
  <c r="AW84" i="13" s="1"/>
  <c r="AV81" i="13"/>
  <c r="AW81" i="13" s="1"/>
  <c r="AV57" i="13"/>
  <c r="AW57" i="13" s="1"/>
  <c r="AV49" i="13"/>
  <c r="AW49" i="13" s="1"/>
  <c r="AV45" i="13"/>
  <c r="AW45" i="13" s="1"/>
  <c r="AV37" i="13"/>
  <c r="AW37" i="13" s="1"/>
  <c r="AV25" i="13"/>
  <c r="AW25" i="13" s="1"/>
  <c r="AV21" i="13"/>
  <c r="AW21" i="13" s="1"/>
  <c r="G40" i="11"/>
  <c r="G39" i="11" s="1"/>
  <c r="G38" i="11" s="1"/>
  <c r="G51" i="11"/>
  <c r="G58" i="11"/>
  <c r="G309" i="11"/>
  <c r="G374" i="11"/>
  <c r="G126" i="11"/>
  <c r="G201" i="11"/>
  <c r="G298" i="11"/>
  <c r="G491" i="11"/>
  <c r="G490" i="11" s="1"/>
  <c r="G542" i="11"/>
  <c r="G74" i="11"/>
  <c r="G217" i="11"/>
  <c r="G216" i="11" s="1"/>
  <c r="G274" i="11"/>
  <c r="G290" i="11"/>
  <c r="G369" i="11"/>
  <c r="G402" i="11"/>
  <c r="G401" i="11" s="1"/>
  <c r="G459" i="11"/>
  <c r="G458" i="11" s="1"/>
  <c r="G457" i="11" s="1"/>
  <c r="G77" i="11"/>
  <c r="G69" i="11" s="1"/>
  <c r="G158" i="11"/>
  <c r="G190" i="11"/>
  <c r="G249" i="11"/>
  <c r="G248" i="11" s="1"/>
  <c r="G270" i="11"/>
  <c r="G332" i="11"/>
  <c r="G329" i="11" s="1"/>
  <c r="G352" i="11"/>
  <c r="G364" i="11"/>
  <c r="G396" i="11"/>
  <c r="G389" i="11" s="1"/>
  <c r="G430" i="11"/>
  <c r="G429" i="11" s="1"/>
  <c r="G549" i="11"/>
  <c r="G131" i="11"/>
  <c r="G151" i="11"/>
  <c r="G150" i="11" s="1"/>
  <c r="G185" i="11"/>
  <c r="G184" i="11" s="1"/>
  <c r="G266" i="11"/>
  <c r="G282" i="11"/>
  <c r="G448" i="11"/>
  <c r="G472" i="11"/>
  <c r="G471" i="11" s="1"/>
  <c r="G482" i="11"/>
  <c r="G481" i="11" s="1"/>
  <c r="G499" i="11"/>
  <c r="G498" i="11" s="1"/>
  <c r="G553" i="11"/>
  <c r="G552" i="11" s="1"/>
  <c r="G569" i="11"/>
  <c r="G568" i="11" s="1"/>
  <c r="G55" i="11"/>
  <c r="G87" i="11"/>
  <c r="G86" i="11" s="1"/>
  <c r="G141" i="11"/>
  <c r="G140" i="11" s="1"/>
  <c r="G175" i="11"/>
  <c r="G174" i="11" s="1"/>
  <c r="G205" i="11"/>
  <c r="G239" i="11"/>
  <c r="G228" i="11" s="1"/>
  <c r="G278" i="11"/>
  <c r="G319" i="11"/>
  <c r="G308" i="11" s="1"/>
  <c r="G349" i="11"/>
  <c r="G441" i="11"/>
  <c r="G539" i="11"/>
  <c r="G29" i="11"/>
  <c r="G28" i="11" s="1"/>
  <c r="G17" i="11" s="1"/>
  <c r="G511" i="11"/>
  <c r="G519" i="11"/>
  <c r="G589" i="10"/>
  <c r="G588" i="10" s="1"/>
  <c r="G587" i="10"/>
  <c r="G586" i="10"/>
  <c r="G585" i="10" s="1"/>
  <c r="G584" i="10"/>
  <c r="G583" i="10"/>
  <c r="G579" i="10"/>
  <c r="G578" i="10" s="1"/>
  <c r="G577" i="10" s="1"/>
  <c r="G576" i="10"/>
  <c r="G575" i="10" s="1"/>
  <c r="G574" i="10"/>
  <c r="G573" i="10" s="1"/>
  <c r="G572" i="10"/>
  <c r="G571" i="10"/>
  <c r="G570" i="10"/>
  <c r="G567" i="10"/>
  <c r="G566" i="10"/>
  <c r="G564" i="10"/>
  <c r="G563" i="10" s="1"/>
  <c r="G562" i="10"/>
  <c r="G561" i="10"/>
  <c r="G559" i="10"/>
  <c r="G558" i="10"/>
  <c r="G557" i="10"/>
  <c r="G555" i="10"/>
  <c r="G554" i="10"/>
  <c r="G551" i="10"/>
  <c r="G550" i="10"/>
  <c r="G549" i="10" s="1"/>
  <c r="G548" i="10"/>
  <c r="G547" i="10" s="1"/>
  <c r="G546" i="10"/>
  <c r="G545" i="10" s="1"/>
  <c r="G544" i="10"/>
  <c r="G543" i="10"/>
  <c r="G542" i="10" s="1"/>
  <c r="G541" i="10"/>
  <c r="G540" i="10"/>
  <c r="G538" i="10"/>
  <c r="G537" i="10"/>
  <c r="G536" i="10"/>
  <c r="G535" i="10"/>
  <c r="G528" i="10"/>
  <c r="G527" i="10" s="1"/>
  <c r="G526" i="10"/>
  <c r="G525" i="10" s="1"/>
  <c r="G524" i="10"/>
  <c r="G523" i="10"/>
  <c r="G521" i="10"/>
  <c r="G520" i="10" s="1"/>
  <c r="G518" i="10"/>
  <c r="G517" i="10" s="1"/>
  <c r="G516" i="10"/>
  <c r="G515" i="10" s="1"/>
  <c r="G514" i="10"/>
  <c r="G513" i="10"/>
  <c r="G510" i="10"/>
  <c r="G509" i="10" s="1"/>
  <c r="G508" i="10"/>
  <c r="G507" i="10" s="1"/>
  <c r="G506" i="10"/>
  <c r="G505" i="10" s="1"/>
  <c r="G504" i="10"/>
  <c r="G503" i="10"/>
  <c r="G502" i="10"/>
  <c r="G501" i="10"/>
  <c r="G500" i="10"/>
  <c r="G497" i="10"/>
  <c r="G496" i="10" s="1"/>
  <c r="G495" i="10"/>
  <c r="G494" i="10" s="1"/>
  <c r="G493" i="10"/>
  <c r="G492" i="10"/>
  <c r="G489" i="10"/>
  <c r="G488" i="10" s="1"/>
  <c r="G487" i="10"/>
  <c r="G486" i="10" s="1"/>
  <c r="G485" i="10"/>
  <c r="G484" i="10"/>
  <c r="G483" i="10"/>
  <c r="G480" i="10"/>
  <c r="G479" i="10" s="1"/>
  <c r="G478" i="10"/>
  <c r="G477" i="10" s="1"/>
  <c r="G476" i="10"/>
  <c r="G475" i="10"/>
  <c r="G474" i="10"/>
  <c r="G473" i="10"/>
  <c r="G468" i="10"/>
  <c r="G467" i="10" s="1"/>
  <c r="G466" i="10"/>
  <c r="G465" i="10" s="1"/>
  <c r="G464" i="10"/>
  <c r="G463" i="10"/>
  <c r="G462" i="10"/>
  <c r="G461" i="10"/>
  <c r="G460" i="10"/>
  <c r="G456" i="10"/>
  <c r="G455" i="10" s="1"/>
  <c r="G454" i="10"/>
  <c r="G453" i="10" s="1"/>
  <c r="G452" i="10"/>
  <c r="G451" i="10" s="1"/>
  <c r="G450" i="10"/>
  <c r="G449" i="10"/>
  <c r="G447" i="10"/>
  <c r="G446" i="10"/>
  <c r="G445" i="10"/>
  <c r="G444" i="10"/>
  <c r="G443" i="10"/>
  <c r="G442" i="10"/>
  <c r="G439" i="10"/>
  <c r="G438" i="10" s="1"/>
  <c r="G437" i="10"/>
  <c r="G436" i="10" s="1"/>
  <c r="G435" i="10"/>
  <c r="G434" i="10"/>
  <c r="G433" i="10"/>
  <c r="G432" i="10"/>
  <c r="G431" i="10"/>
  <c r="G426" i="10"/>
  <c r="G425" i="10" s="1"/>
  <c r="G424" i="10"/>
  <c r="G423" i="10" s="1"/>
  <c r="G422" i="10"/>
  <c r="G421" i="10"/>
  <c r="G419" i="10"/>
  <c r="G418" i="10"/>
  <c r="G417" i="10"/>
  <c r="G414" i="10"/>
  <c r="G413" i="10" s="1"/>
  <c r="G412" i="10"/>
  <c r="G411" i="10" s="1"/>
  <c r="G410" i="10"/>
  <c r="G409" i="10"/>
  <c r="G407" i="10"/>
  <c r="G406" i="10" s="1"/>
  <c r="G405" i="10"/>
  <c r="G404" i="10"/>
  <c r="G403" i="10"/>
  <c r="G400" i="10"/>
  <c r="G399" i="10" s="1"/>
  <c r="G398" i="10"/>
  <c r="G397" i="10"/>
  <c r="G395" i="10"/>
  <c r="G394" i="10" s="1"/>
  <c r="G393" i="10"/>
  <c r="G392" i="10"/>
  <c r="G391" i="10"/>
  <c r="G385" i="10"/>
  <c r="G384" i="10" s="1"/>
  <c r="G383" i="10" s="1"/>
  <c r="G382" i="10" s="1"/>
  <c r="G381" i="10" s="1"/>
  <c r="G380" i="10" s="1"/>
  <c r="G379" i="10"/>
  <c r="G378" i="10"/>
  <c r="G377" i="10"/>
  <c r="G376" i="10"/>
  <c r="G375" i="10"/>
  <c r="G373" i="10"/>
  <c r="G372" i="10"/>
  <c r="G371" i="10"/>
  <c r="G370" i="10"/>
  <c r="G368" i="10"/>
  <c r="G367" i="10"/>
  <c r="G366" i="10"/>
  <c r="G365" i="10"/>
  <c r="G362" i="10"/>
  <c r="G361" i="10"/>
  <c r="G360" i="10"/>
  <c r="G359" i="10"/>
  <c r="G358" i="10"/>
  <c r="G357" i="10"/>
  <c r="G356" i="10"/>
  <c r="G355" i="10"/>
  <c r="G354" i="10"/>
  <c r="G353" i="10"/>
  <c r="G351" i="10"/>
  <c r="G350" i="10"/>
  <c r="G347" i="10"/>
  <c r="G346" i="10" s="1"/>
  <c r="G345" i="10"/>
  <c r="G344" i="10"/>
  <c r="G343" i="10"/>
  <c r="G342" i="10"/>
  <c r="G341" i="10"/>
  <c r="G340" i="10"/>
  <c r="G339" i="10"/>
  <c r="G338" i="10"/>
  <c r="G337" i="10"/>
  <c r="G334" i="10"/>
  <c r="G333" i="10"/>
  <c r="G331" i="10"/>
  <c r="G330" i="10" s="1"/>
  <c r="G328" i="10"/>
  <c r="G327" i="10"/>
  <c r="G326" i="10"/>
  <c r="G325" i="10"/>
  <c r="G324" i="10"/>
  <c r="G323" i="10"/>
  <c r="G322" i="10"/>
  <c r="G321" i="10"/>
  <c r="G320" i="10"/>
  <c r="G318" i="10"/>
  <c r="G317" i="10"/>
  <c r="G316" i="10"/>
  <c r="G315" i="10"/>
  <c r="G314" i="10"/>
  <c r="G313" i="10"/>
  <c r="G312" i="10"/>
  <c r="G311" i="10"/>
  <c r="G310" i="10"/>
  <c r="G306" i="10"/>
  <c r="G305" i="10" s="1"/>
  <c r="G304" i="10" s="1"/>
  <c r="G303" i="10"/>
  <c r="G302" i="10" s="1"/>
  <c r="G301" i="10"/>
  <c r="G300" i="10"/>
  <c r="G299" i="10"/>
  <c r="G297" i="10"/>
  <c r="G296" i="10" s="1"/>
  <c r="G295" i="10"/>
  <c r="G294" i="10" s="1"/>
  <c r="G293" i="10"/>
  <c r="G292" i="10"/>
  <c r="G291" i="10"/>
  <c r="G289" i="10"/>
  <c r="G288" i="10"/>
  <c r="G287" i="10"/>
  <c r="G285" i="10"/>
  <c r="G284" i="10"/>
  <c r="G283" i="10"/>
  <c r="G281" i="10"/>
  <c r="G280" i="10"/>
  <c r="G279" i="10"/>
  <c r="G277" i="10"/>
  <c r="G276" i="10"/>
  <c r="G275" i="10"/>
  <c r="G273" i="10"/>
  <c r="G272" i="10"/>
  <c r="G271" i="10"/>
  <c r="G269" i="10"/>
  <c r="G268" i="10"/>
  <c r="G267" i="10"/>
  <c r="G262" i="10"/>
  <c r="G261" i="10" s="1"/>
  <c r="G260" i="10"/>
  <c r="G259" i="10" s="1"/>
  <c r="G258" i="10"/>
  <c r="G257" i="10" s="1"/>
  <c r="G256" i="10"/>
  <c r="G255" i="10"/>
  <c r="G254" i="10"/>
  <c r="G253" i="10"/>
  <c r="G252" i="10"/>
  <c r="G251" i="10"/>
  <c r="G250" i="10"/>
  <c r="G247" i="10"/>
  <c r="G246" i="10" s="1"/>
  <c r="G245" i="10"/>
  <c r="G244" i="10"/>
  <c r="G243" i="10"/>
  <c r="G241" i="10"/>
  <c r="G240" i="10"/>
  <c r="G238" i="10"/>
  <c r="G237" i="10"/>
  <c r="G236" i="10"/>
  <c r="G235" i="10"/>
  <c r="G234" i="10"/>
  <c r="G233" i="10"/>
  <c r="G232" i="10"/>
  <c r="G231" i="10"/>
  <c r="G230" i="10"/>
  <c r="G227" i="10"/>
  <c r="G226" i="10" s="1"/>
  <c r="G225" i="10"/>
  <c r="G224" i="10" s="1"/>
  <c r="G223" i="10"/>
  <c r="G222" i="10" s="1"/>
  <c r="G221" i="10"/>
  <c r="G220" i="10"/>
  <c r="G219" i="10"/>
  <c r="G218" i="10"/>
  <c r="G215" i="10"/>
  <c r="G214" i="10" s="1"/>
  <c r="G213" i="10"/>
  <c r="G212" i="10" s="1"/>
  <c r="G211" i="10"/>
  <c r="G210" i="10" s="1"/>
  <c r="G209" i="10"/>
  <c r="G208" i="10"/>
  <c r="G207" i="10"/>
  <c r="G206" i="10"/>
  <c r="G204" i="10"/>
  <c r="G203" i="10"/>
  <c r="G202" i="10"/>
  <c r="G199" i="10"/>
  <c r="G198" i="10" s="1"/>
  <c r="G197" i="10"/>
  <c r="G196" i="10" s="1"/>
  <c r="G195" i="10"/>
  <c r="G194" i="10" s="1"/>
  <c r="G193" i="10"/>
  <c r="G192" i="10"/>
  <c r="G191" i="10"/>
  <c r="G189" i="10"/>
  <c r="G188" i="10"/>
  <c r="G187" i="10"/>
  <c r="G186" i="10"/>
  <c r="G183" i="10"/>
  <c r="G182" i="10" s="1"/>
  <c r="G181" i="10"/>
  <c r="G180" i="10" s="1"/>
  <c r="G179" i="10"/>
  <c r="G178" i="10"/>
  <c r="G177" i="10"/>
  <c r="G176" i="10"/>
  <c r="G173" i="10"/>
  <c r="G172" i="10" s="1"/>
  <c r="G171" i="10"/>
  <c r="G170" i="10" s="1"/>
  <c r="G169" i="10"/>
  <c r="G168" i="10" s="1"/>
  <c r="G167" i="10"/>
  <c r="G166" i="10"/>
  <c r="G165" i="10"/>
  <c r="G164" i="10"/>
  <c r="G163" i="10"/>
  <c r="G160" i="10"/>
  <c r="G159" i="10"/>
  <c r="G157" i="10"/>
  <c r="G156" i="10" s="1"/>
  <c r="G155" i="10"/>
  <c r="G154" i="10" s="1"/>
  <c r="G153" i="10"/>
  <c r="G152" i="10"/>
  <c r="G149" i="10"/>
  <c r="G148" i="10" s="1"/>
  <c r="G147" i="10"/>
  <c r="G146" i="10" s="1"/>
  <c r="G145" i="10"/>
  <c r="G144" i="10"/>
  <c r="G143" i="10"/>
  <c r="G142" i="10"/>
  <c r="G137" i="10"/>
  <c r="G136" i="10" s="1"/>
  <c r="G135" i="10"/>
  <c r="G134" i="10" s="1"/>
  <c r="G133" i="10"/>
  <c r="G132" i="10"/>
  <c r="G130" i="10"/>
  <c r="G129" i="10" s="1"/>
  <c r="G128" i="10"/>
  <c r="G127" i="10"/>
  <c r="G121" i="10"/>
  <c r="G120" i="10" s="1"/>
  <c r="G119" i="10" s="1"/>
  <c r="G118" i="10" s="1"/>
  <c r="G117" i="10" s="1"/>
  <c r="G116" i="10" s="1"/>
  <c r="G113" i="10"/>
  <c r="G112" i="10" s="1"/>
  <c r="G111" i="10"/>
  <c r="G110" i="10" s="1"/>
  <c r="G109" i="10"/>
  <c r="G108" i="10" s="1"/>
  <c r="G107" i="10"/>
  <c r="G106" i="10" s="1"/>
  <c r="G105" i="10"/>
  <c r="G104" i="10"/>
  <c r="G103" i="10"/>
  <c r="G102" i="10"/>
  <c r="G101" i="10"/>
  <c r="G97" i="10"/>
  <c r="G96" i="10" s="1"/>
  <c r="G95" i="10"/>
  <c r="G94" i="10" s="1"/>
  <c r="G93" i="10"/>
  <c r="G92" i="10" s="1"/>
  <c r="G91" i="10"/>
  <c r="G90" i="10"/>
  <c r="G89" i="10"/>
  <c r="G88" i="10"/>
  <c r="G85" i="10"/>
  <c r="G84" i="10" s="1"/>
  <c r="G83" i="10"/>
  <c r="G82" i="10" s="1"/>
  <c r="G81" i="10"/>
  <c r="G80" i="10" s="1"/>
  <c r="G79" i="10"/>
  <c r="G78" i="10"/>
  <c r="G76" i="10"/>
  <c r="G75" i="10"/>
  <c r="G73" i="10"/>
  <c r="G72" i="10"/>
  <c r="G71" i="10"/>
  <c r="G68" i="10"/>
  <c r="G67" i="10" s="1"/>
  <c r="G66" i="10"/>
  <c r="G65" i="10" s="1"/>
  <c r="G64" i="10"/>
  <c r="G63" i="10" s="1"/>
  <c r="G62" i="10"/>
  <c r="G61" i="10" s="1"/>
  <c r="G60" i="10"/>
  <c r="G59" i="10"/>
  <c r="G57" i="10"/>
  <c r="G56" i="10"/>
  <c r="G54" i="10"/>
  <c r="G53" i="10"/>
  <c r="G52" i="10"/>
  <c r="G48" i="10"/>
  <c r="G47" i="10" s="1"/>
  <c r="G46" i="10"/>
  <c r="G45" i="10"/>
  <c r="G44" i="10"/>
  <c r="G43" i="10"/>
  <c r="G42" i="10"/>
  <c r="G41" i="10"/>
  <c r="G37" i="10"/>
  <c r="G36" i="10" s="1"/>
  <c r="G35" i="10"/>
  <c r="G34" i="10" s="1"/>
  <c r="G33" i="10"/>
  <c r="G32" i="10"/>
  <c r="G31" i="10"/>
  <c r="G30" i="10"/>
  <c r="G27" i="10"/>
  <c r="G26" i="10" s="1"/>
  <c r="G25" i="10"/>
  <c r="G24" i="10" s="1"/>
  <c r="G23" i="10"/>
  <c r="G22" i="10"/>
  <c r="G21" i="10"/>
  <c r="G20" i="10"/>
  <c r="AV193" i="13" l="1"/>
  <c r="AW193" i="13" s="1"/>
  <c r="AU193" i="13"/>
  <c r="AV187" i="13"/>
  <c r="AW187" i="13" s="1"/>
  <c r="AU187" i="13"/>
  <c r="AV197" i="13"/>
  <c r="AW197" i="13" s="1"/>
  <c r="AU197" i="13"/>
  <c r="AV227" i="13"/>
  <c r="AW227" i="13" s="1"/>
  <c r="AU227" i="13"/>
  <c r="AV221" i="13"/>
  <c r="AW221" i="13" s="1"/>
  <c r="AU221" i="13"/>
  <c r="AV118" i="13"/>
  <c r="AW118" i="13" s="1"/>
  <c r="AU118" i="13"/>
  <c r="AU160" i="13"/>
  <c r="AV190" i="13"/>
  <c r="AW190" i="13" s="1"/>
  <c r="AU190" i="13"/>
  <c r="AU137" i="13"/>
  <c r="AM113" i="16"/>
  <c r="G11" i="14" a="1"/>
  <c r="G11" i="14" s="1"/>
  <c r="AM58" i="16"/>
  <c r="G14" i="14" a="1"/>
  <c r="G14" i="14" s="1"/>
  <c r="AN117" i="16"/>
  <c r="AO117" i="16" s="1"/>
  <c r="AM117" i="16"/>
  <c r="AN131" i="16"/>
  <c r="AO131" i="16" s="1"/>
  <c r="AM131" i="16"/>
  <c r="AN136" i="16"/>
  <c r="AO136" i="16" s="1"/>
  <c r="AM136" i="16"/>
  <c r="AN115" i="16"/>
  <c r="AO115" i="16" s="1"/>
  <c r="AM115" i="16"/>
  <c r="P60" i="13"/>
  <c r="P14" i="13" s="1"/>
  <c r="X60" i="13"/>
  <c r="X14" i="13" s="1"/>
  <c r="AV102" i="13"/>
  <c r="AW102" i="13" s="1"/>
  <c r="AV108" i="13"/>
  <c r="AW108" i="13" s="1"/>
  <c r="S146" i="13"/>
  <c r="AT124" i="13"/>
  <c r="AV91" i="13"/>
  <c r="AW91" i="13" s="1"/>
  <c r="AV82" i="13"/>
  <c r="AW82" i="13" s="1"/>
  <c r="AV148" i="13"/>
  <c r="AW148" i="13" s="1"/>
  <c r="AL83" i="16"/>
  <c r="AN122" i="16"/>
  <c r="AO122" i="16" s="1"/>
  <c r="AV147" i="13"/>
  <c r="AW147" i="13" s="1"/>
  <c r="AV137" i="13"/>
  <c r="AW137" i="13" s="1"/>
  <c r="J61" i="13"/>
  <c r="J60" i="13" s="1"/>
  <c r="J14" i="13" s="1"/>
  <c r="AN113" i="16"/>
  <c r="AO113" i="16" s="1"/>
  <c r="AN139" i="16"/>
  <c r="AO139" i="16" s="1"/>
  <c r="AV95" i="13"/>
  <c r="AW95" i="13" s="1"/>
  <c r="AV86" i="13"/>
  <c r="AW86" i="13" s="1"/>
  <c r="AN120" i="16"/>
  <c r="AO120" i="16" s="1"/>
  <c r="AV69" i="13"/>
  <c r="AW69" i="13" s="1"/>
  <c r="AV68" i="13"/>
  <c r="AW68" i="13" s="1"/>
  <c r="AV215" i="13"/>
  <c r="AW215" i="13" s="1"/>
  <c r="S67" i="13"/>
  <c r="AT67" i="13" s="1"/>
  <c r="AU67" i="13" s="1"/>
  <c r="AT123" i="13"/>
  <c r="O146" i="13"/>
  <c r="O61" i="13" s="1"/>
  <c r="O60" i="13" s="1"/>
  <c r="O14" i="13" s="1"/>
  <c r="R146" i="13"/>
  <c r="R61" i="13" s="1"/>
  <c r="R60" i="13" s="1"/>
  <c r="R14" i="13" s="1"/>
  <c r="AH146" i="13"/>
  <c r="AH61" i="13" s="1"/>
  <c r="AH60" i="13" s="1"/>
  <c r="AH14" i="13" s="1"/>
  <c r="AK146" i="13"/>
  <c r="AK61" i="13" s="1"/>
  <c r="AK60" i="13" s="1"/>
  <c r="AK14" i="13" s="1"/>
  <c r="Q146" i="13"/>
  <c r="Q61" i="13" s="1"/>
  <c r="Q60" i="13" s="1"/>
  <c r="Q14" i="13" s="1"/>
  <c r="N146" i="13"/>
  <c r="N61" i="13" s="1"/>
  <c r="N60" i="13" s="1"/>
  <c r="N14" i="13" s="1"/>
  <c r="AG146" i="13"/>
  <c r="AG61" i="13" s="1"/>
  <c r="AG60" i="13" s="1"/>
  <c r="AG14" i="13" s="1"/>
  <c r="AD146" i="13"/>
  <c r="AD61" i="13" s="1"/>
  <c r="AD60" i="13" s="1"/>
  <c r="AD14" i="13" s="1"/>
  <c r="AM61" i="13"/>
  <c r="AM60" i="13" s="1"/>
  <c r="AM14" i="13" s="1"/>
  <c r="W61" i="13"/>
  <c r="W60" i="13" s="1"/>
  <c r="W14" i="13" s="1"/>
  <c r="AS61" i="13"/>
  <c r="AS60" i="13" s="1"/>
  <c r="AS14" i="13" s="1"/>
  <c r="AC61" i="13"/>
  <c r="AC60" i="13" s="1"/>
  <c r="AC14" i="13" s="1"/>
  <c r="M146" i="13"/>
  <c r="M61" i="13" s="1"/>
  <c r="M60" i="13" s="1"/>
  <c r="M14" i="13" s="1"/>
  <c r="L146" i="13"/>
  <c r="L61" i="13" s="1"/>
  <c r="L60" i="13" s="1"/>
  <c r="L14" i="13" s="1"/>
  <c r="U146" i="13"/>
  <c r="U61" i="13" s="1"/>
  <c r="U60" i="13" s="1"/>
  <c r="U14" i="13" s="1"/>
  <c r="AE146" i="13"/>
  <c r="AE61" i="13" s="1"/>
  <c r="AE60" i="13" s="1"/>
  <c r="AE14" i="13" s="1"/>
  <c r="AP146" i="13"/>
  <c r="AP61" i="13" s="1"/>
  <c r="AP60" i="13" s="1"/>
  <c r="AP14" i="13" s="1"/>
  <c r="AW155" i="13"/>
  <c r="AI61" i="13"/>
  <c r="AI60" i="13" s="1"/>
  <c r="AI14" i="13" s="1"/>
  <c r="AO61" i="13"/>
  <c r="AO60" i="13" s="1"/>
  <c r="AO14" i="13" s="1"/>
  <c r="Y61" i="13"/>
  <c r="Y60" i="13" s="1"/>
  <c r="Y14" i="13" s="1"/>
  <c r="K146" i="13"/>
  <c r="K61" i="13" s="1"/>
  <c r="K60" i="13" s="1"/>
  <c r="K14" i="13" s="1"/>
  <c r="AQ146" i="13"/>
  <c r="AQ61" i="13" s="1"/>
  <c r="AQ60" i="13" s="1"/>
  <c r="AQ14" i="13" s="1"/>
  <c r="AA146" i="13"/>
  <c r="AA61" i="13" s="1"/>
  <c r="AA60" i="13" s="1"/>
  <c r="AA14" i="13" s="1"/>
  <c r="AL146" i="13"/>
  <c r="AL61" i="13" s="1"/>
  <c r="AL60" i="13" s="1"/>
  <c r="AL14" i="13" s="1"/>
  <c r="AJ60" i="13"/>
  <c r="AJ14" i="13" s="1"/>
  <c r="T60" i="13"/>
  <c r="T14" i="13" s="1"/>
  <c r="AF60" i="13"/>
  <c r="AF14" i="13" s="1"/>
  <c r="AN60" i="13"/>
  <c r="AN14" i="13" s="1"/>
  <c r="AR60" i="13"/>
  <c r="AR14" i="13" s="1"/>
  <c r="AB60" i="13"/>
  <c r="AB14" i="13" s="1"/>
  <c r="Z60" i="13"/>
  <c r="Z14" i="13" s="1"/>
  <c r="V60" i="13"/>
  <c r="V14" i="13" s="1"/>
  <c r="AV160" i="13"/>
  <c r="AN58" i="16"/>
  <c r="AO58" i="16" s="1"/>
  <c r="AV53" i="13"/>
  <c r="AW53" i="13" s="1"/>
  <c r="AT32" i="13"/>
  <c r="AU32" i="13" s="1"/>
  <c r="AT29" i="13"/>
  <c r="AU29" i="13" s="1"/>
  <c r="AV24" i="13"/>
  <c r="AW24" i="13" s="1"/>
  <c r="C23" i="14"/>
  <c r="C24" i="14" s="1"/>
  <c r="G533" i="11"/>
  <c r="G348" i="11"/>
  <c r="G363" i="11"/>
  <c r="G307" i="11" s="1"/>
  <c r="AV54" i="13"/>
  <c r="AW54" i="13" s="1"/>
  <c r="AV33" i="13"/>
  <c r="AW33" i="13" s="1"/>
  <c r="AV184" i="13"/>
  <c r="AW184" i="13" s="1"/>
  <c r="AV70" i="13"/>
  <c r="AW70" i="13" s="1"/>
  <c r="AV200" i="13"/>
  <c r="AW200" i="13" s="1"/>
  <c r="AV113" i="13"/>
  <c r="AW113" i="13" s="1"/>
  <c r="AV78" i="13"/>
  <c r="AW78" i="13" s="1"/>
  <c r="AV208" i="13"/>
  <c r="AW208" i="13" s="1"/>
  <c r="AV225" i="13"/>
  <c r="AW225" i="13" s="1"/>
  <c r="AV20" i="13"/>
  <c r="AW20" i="13" s="1"/>
  <c r="AV167" i="13"/>
  <c r="AW167" i="13" s="1"/>
  <c r="AT166" i="13"/>
  <c r="AU166" i="13" s="1"/>
  <c r="AV41" i="13"/>
  <c r="AW41" i="13" s="1"/>
  <c r="AT165" i="13"/>
  <c r="AU165" i="13" s="1"/>
  <c r="AT207" i="13"/>
  <c r="AT183" i="13"/>
  <c r="AU183" i="13" s="1"/>
  <c r="AT206" i="13"/>
  <c r="AT204" i="13"/>
  <c r="AU204" i="13" s="1"/>
  <c r="AT182" i="13"/>
  <c r="AU182" i="13" s="1"/>
  <c r="AT76" i="13"/>
  <c r="AU76" i="13" s="1"/>
  <c r="AT77" i="13"/>
  <c r="AU77" i="13" s="1"/>
  <c r="G125" i="11"/>
  <c r="G124" i="11" s="1"/>
  <c r="G123" i="11" s="1"/>
  <c r="G200" i="11"/>
  <c r="G139" i="11" s="1"/>
  <c r="G138" i="11" s="1"/>
  <c r="G50" i="11"/>
  <c r="G49" i="11" s="1"/>
  <c r="G16" i="11" s="1"/>
  <c r="G15" i="11" s="1"/>
  <c r="G14" i="11" s="1"/>
  <c r="G13" i="11" s="1"/>
  <c r="G265" i="11"/>
  <c r="G264" i="11" s="1"/>
  <c r="G532" i="11"/>
  <c r="G531" i="11" s="1"/>
  <c r="G530" i="11" s="1"/>
  <c r="G529" i="11" s="1"/>
  <c r="G440" i="11"/>
  <c r="G428" i="11" s="1"/>
  <c r="G427" i="11" s="1"/>
  <c r="G470" i="11"/>
  <c r="G469" i="11" s="1"/>
  <c r="G388" i="11"/>
  <c r="G387" i="11" s="1"/>
  <c r="G396" i="10"/>
  <c r="G58" i="10"/>
  <c r="G131" i="10"/>
  <c r="G29" i="10"/>
  <c r="G28" i="10" s="1"/>
  <c r="G55" i="10"/>
  <c r="G70" i="10"/>
  <c r="G151" i="10"/>
  <c r="G158" i="10"/>
  <c r="G185" i="10"/>
  <c r="G190" i="10"/>
  <c r="G217" i="10"/>
  <c r="G216" i="10" s="1"/>
  <c r="G239" i="10"/>
  <c r="G266" i="10"/>
  <c r="G282" i="10"/>
  <c r="G309" i="10"/>
  <c r="G402" i="10"/>
  <c r="G408" i="10"/>
  <c r="G416" i="10"/>
  <c r="G448" i="10"/>
  <c r="G472" i="10"/>
  <c r="G471" i="10" s="1"/>
  <c r="G522" i="10"/>
  <c r="G534" i="10"/>
  <c r="G539" i="10"/>
  <c r="G553" i="10"/>
  <c r="G565" i="10"/>
  <c r="G582" i="10"/>
  <c r="G581" i="10" s="1"/>
  <c r="G580" i="10" s="1"/>
  <c r="G533" i="10"/>
  <c r="G51" i="10"/>
  <c r="G77" i="10"/>
  <c r="G100" i="10"/>
  <c r="G99" i="10" s="1"/>
  <c r="G98" i="10" s="1"/>
  <c r="G205" i="10"/>
  <c r="G278" i="10"/>
  <c r="G319" i="10"/>
  <c r="G336" i="10"/>
  <c r="G335" i="10" s="1"/>
  <c r="G352" i="10"/>
  <c r="G390" i="10"/>
  <c r="G389" i="10" s="1"/>
  <c r="G459" i="10"/>
  <c r="G458" i="10" s="1"/>
  <c r="G457" i="10" s="1"/>
  <c r="G560" i="10"/>
  <c r="G87" i="10"/>
  <c r="G86" i="10" s="1"/>
  <c r="G141" i="10"/>
  <c r="G140" i="10" s="1"/>
  <c r="G162" i="10"/>
  <c r="G161" i="10" s="1"/>
  <c r="G175" i="10"/>
  <c r="G174" i="10" s="1"/>
  <c r="G201" i="10"/>
  <c r="G200" i="10" s="1"/>
  <c r="G242" i="10"/>
  <c r="G249" i="10"/>
  <c r="G248" i="10" s="1"/>
  <c r="G274" i="10"/>
  <c r="G290" i="10"/>
  <c r="G441" i="10"/>
  <c r="G482" i="10"/>
  <c r="G481" i="10" s="1"/>
  <c r="G556" i="10"/>
  <c r="G569" i="10"/>
  <c r="G568" i="10" s="1"/>
  <c r="G19" i="10"/>
  <c r="G18" i="10" s="1"/>
  <c r="G17" i="10" s="1"/>
  <c r="G40" i="10"/>
  <c r="G39" i="10" s="1"/>
  <c r="G38" i="10" s="1"/>
  <c r="G74" i="10"/>
  <c r="G126" i="10"/>
  <c r="G125" i="10" s="1"/>
  <c r="G124" i="10" s="1"/>
  <c r="G123" i="10" s="1"/>
  <c r="G229" i="10"/>
  <c r="G270" i="10"/>
  <c r="G286" i="10"/>
  <c r="G298" i="10"/>
  <c r="G332" i="10"/>
  <c r="G329" i="10" s="1"/>
  <c r="G349" i="10"/>
  <c r="G364" i="10"/>
  <c r="G369" i="10"/>
  <c r="G374" i="10"/>
  <c r="G420" i="10"/>
  <c r="G430" i="10"/>
  <c r="G429" i="10" s="1"/>
  <c r="G491" i="10"/>
  <c r="G490" i="10" s="1"/>
  <c r="G499" i="10"/>
  <c r="G498" i="10" s="1"/>
  <c r="G512" i="10"/>
  <c r="G511" i="10" s="1"/>
  <c r="G519" i="10"/>
  <c r="H11" i="14" l="1"/>
  <c r="I11" i="14"/>
  <c r="J11" i="14" s="1"/>
  <c r="G13" i="14" a="1"/>
  <c r="G13" i="14" s="1"/>
  <c r="G16" i="14" s="1"/>
  <c r="H14" i="14"/>
  <c r="I14" i="14"/>
  <c r="J14" i="14" s="1"/>
  <c r="AV207" i="13"/>
  <c r="AW207" i="13" s="1"/>
  <c r="AU207" i="13"/>
  <c r="AV124" i="13"/>
  <c r="AW124" i="13" s="1"/>
  <c r="AU124" i="13"/>
  <c r="AV123" i="13"/>
  <c r="AW123" i="13" s="1"/>
  <c r="AU123" i="13"/>
  <c r="AV206" i="13"/>
  <c r="AW206" i="13" s="1"/>
  <c r="AU206" i="13"/>
  <c r="G9" i="14" a="1"/>
  <c r="G9" i="14" s="1"/>
  <c r="AM83" i="16"/>
  <c r="G31" i="14" a="1"/>
  <c r="G31" i="14" s="1"/>
  <c r="S61" i="13"/>
  <c r="S60" i="13" s="1"/>
  <c r="S14" i="13" s="1"/>
  <c r="AT14" i="13" s="1"/>
  <c r="AU14" i="13" s="1"/>
  <c r="AT146" i="13"/>
  <c r="AU146" i="13" s="1"/>
  <c r="AN83" i="16"/>
  <c r="AO83" i="16" s="1"/>
  <c r="AL144" i="16"/>
  <c r="AM144" i="16" s="1"/>
  <c r="AV67" i="13"/>
  <c r="AW67" i="13" s="1"/>
  <c r="AW160" i="13"/>
  <c r="AT19" i="13"/>
  <c r="AU19" i="13" s="1"/>
  <c r="AV29" i="13"/>
  <c r="AW29" i="13" s="1"/>
  <c r="AV18" i="13"/>
  <c r="AW18" i="13" s="1"/>
  <c r="AV32" i="13"/>
  <c r="AW32" i="13" s="1"/>
  <c r="AW28" i="13"/>
  <c r="G263" i="11"/>
  <c r="G122" i="11" s="1"/>
  <c r="G55" i="14"/>
  <c r="G22" i="14"/>
  <c r="AV166" i="13"/>
  <c r="AW166" i="13" s="1"/>
  <c r="AT205" i="13"/>
  <c r="AU205" i="13" s="1"/>
  <c r="AV183" i="13"/>
  <c r="AW183" i="13" s="1"/>
  <c r="AV165" i="13"/>
  <c r="AW165" i="13" s="1"/>
  <c r="AV182" i="13"/>
  <c r="AW182" i="13" s="1"/>
  <c r="AV77" i="13"/>
  <c r="AW77" i="13" s="1"/>
  <c r="AV204" i="13"/>
  <c r="AW204" i="13" s="1"/>
  <c r="AV76" i="13"/>
  <c r="AW76" i="13" s="1"/>
  <c r="G386" i="11"/>
  <c r="G150" i="10"/>
  <c r="G50" i="10"/>
  <c r="G348" i="10"/>
  <c r="G308" i="10"/>
  <c r="G415" i="10"/>
  <c r="G552" i="10"/>
  <c r="G532" i="10" s="1"/>
  <c r="G531" i="10" s="1"/>
  <c r="G530" i="10" s="1"/>
  <c r="G529" i="10" s="1"/>
  <c r="G228" i="10"/>
  <c r="G363" i="10"/>
  <c r="G307" i="10" s="1"/>
  <c r="G69" i="10"/>
  <c r="G440" i="10"/>
  <c r="G428" i="10" s="1"/>
  <c r="G427" i="10" s="1"/>
  <c r="G184" i="10"/>
  <c r="G265" i="10"/>
  <c r="G264" i="10" s="1"/>
  <c r="G401" i="10"/>
  <c r="G470" i="10"/>
  <c r="G469" i="10" s="1"/>
  <c r="H55" i="14" l="1"/>
  <c r="I55" i="14"/>
  <c r="J55" i="14" s="1"/>
  <c r="H31" i="14"/>
  <c r="I31" i="14"/>
  <c r="J31" i="14" s="1"/>
  <c r="H9" i="14"/>
  <c r="I9" i="14"/>
  <c r="J9" i="14" s="1"/>
  <c r="H13" i="14"/>
  <c r="I13" i="14"/>
  <c r="J13" i="14" s="1"/>
  <c r="H22" i="14"/>
  <c r="I22" i="14"/>
  <c r="J22" i="14" s="1"/>
  <c r="H16" i="14"/>
  <c r="I16" i="14"/>
  <c r="J16" i="14" s="1"/>
  <c r="G8" i="14" a="1"/>
  <c r="G8" i="14" s="1"/>
  <c r="AT61" i="13"/>
  <c r="AU61" i="13" s="1"/>
  <c r="AT60" i="13"/>
  <c r="AU60" i="13" s="1"/>
  <c r="AN144" i="16"/>
  <c r="AO144" i="16" s="1"/>
  <c r="AV146" i="13"/>
  <c r="AW146" i="13" s="1"/>
  <c r="AV19" i="13"/>
  <c r="AW19" i="13" s="1"/>
  <c r="G19" i="14"/>
  <c r="G115" i="11"/>
  <c r="G114" i="11" s="1"/>
  <c r="G12" i="11" s="1"/>
  <c r="C7" i="11" s="1"/>
  <c r="G56" i="14"/>
  <c r="AV205" i="13"/>
  <c r="AW205" i="13" s="1"/>
  <c r="AV17" i="13"/>
  <c r="AW17" i="13" s="1"/>
  <c r="G49" i="10"/>
  <c r="G16" i="10" s="1"/>
  <c r="G15" i="10" s="1"/>
  <c r="G14" i="10" s="1"/>
  <c r="G13" i="10" s="1"/>
  <c r="G388" i="10"/>
  <c r="G387" i="10" s="1"/>
  <c r="G386" i="10" s="1"/>
  <c r="G139" i="10"/>
  <c r="G138" i="10" s="1"/>
  <c r="G263" i="10"/>
  <c r="G122" i="10" s="1"/>
  <c r="H56" i="14" l="1"/>
  <c r="I56" i="14"/>
  <c r="J56" i="14" s="1"/>
  <c r="H19" i="14"/>
  <c r="I19" i="14"/>
  <c r="J19" i="14" s="1"/>
  <c r="H8" i="14"/>
  <c r="I8" i="14"/>
  <c r="J8" i="14" s="1"/>
  <c r="G32" i="14"/>
  <c r="G12" i="14"/>
  <c r="AV61" i="13"/>
  <c r="AW61" i="13" s="1"/>
  <c r="AV60" i="13"/>
  <c r="AW60" i="13" s="1"/>
  <c r="AV15" i="13"/>
  <c r="AW15" i="13" s="1"/>
  <c r="AV16" i="13"/>
  <c r="AW16" i="13" s="1"/>
  <c r="G115" i="10"/>
  <c r="G114" i="10" s="1"/>
  <c r="G12" i="10" s="1"/>
  <c r="H32" i="14" l="1"/>
  <c r="I32" i="14"/>
  <c r="J32" i="14" s="1"/>
  <c r="G23" i="14"/>
  <c r="H12" i="14"/>
  <c r="I12" i="14"/>
  <c r="J12" i="14" s="1"/>
  <c r="G30" i="14"/>
  <c r="H30" i="14" l="1"/>
  <c r="I30" i="14"/>
  <c r="J30" i="14" s="1"/>
  <c r="G24" i="14"/>
  <c r="H23" i="14"/>
  <c r="I23" i="14"/>
  <c r="J23" i="14" s="1"/>
  <c r="G35" i="14"/>
  <c r="AV14" i="13"/>
  <c r="AW14" i="13" s="1"/>
  <c r="H35" i="14" l="1"/>
  <c r="I35" i="14"/>
  <c r="J35" i="14" s="1"/>
  <c r="H24" i="14"/>
  <c r="I24" i="14"/>
  <c r="J24" i="14" s="1"/>
  <c r="G37" i="14"/>
  <c r="H37" i="14" l="1"/>
  <c r="I37" i="14"/>
  <c r="J37" i="14" s="1"/>
  <c r="D2" i="7"/>
  <c r="T18" i="7" s="1"/>
  <c r="D3" i="7"/>
  <c r="T2" i="7" s="1"/>
  <c r="D4" i="7"/>
  <c r="T10" i="7" s="1"/>
  <c r="R2" i="7"/>
  <c r="R3" i="7"/>
  <c r="R4" i="7"/>
  <c r="R5" i="7"/>
  <c r="R6" i="7"/>
  <c r="R8" i="7"/>
  <c r="R9" i="7"/>
  <c r="R10" i="7"/>
  <c r="R11" i="7"/>
  <c r="R12" i="7"/>
  <c r="R13" i="7"/>
  <c r="R14" i="7"/>
  <c r="R15" i="7"/>
  <c r="R16" i="7"/>
  <c r="R17" i="7"/>
  <c r="R18" i="7"/>
  <c r="R19" i="7"/>
  <c r="R20" i="7"/>
  <c r="R21" i="7"/>
  <c r="R23" i="7"/>
  <c r="R24" i="7"/>
  <c r="R25" i="7"/>
  <c r="R26" i="7"/>
  <c r="R27" i="7"/>
  <c r="R28" i="7"/>
  <c r="R29" i="7"/>
  <c r="J2" i="7"/>
  <c r="S6" i="7" s="1" a="1"/>
  <c r="S6" i="7" s="1"/>
  <c r="J3" i="7"/>
  <c r="S2" i="7" s="1" a="1"/>
  <c r="S2" i="7" s="1"/>
  <c r="J4" i="7"/>
  <c r="S4" i="7" s="1" a="1"/>
  <c r="S4" i="7" s="1"/>
  <c r="J5" i="7"/>
  <c r="S8" i="7" s="1" a="1"/>
  <c r="S8" i="7" s="1"/>
  <c r="J6" i="7"/>
  <c r="S18" i="7" s="1" a="1"/>
  <c r="S18" i="7" s="1"/>
  <c r="J7" i="7"/>
  <c r="S22" i="7" s="1" a="1"/>
  <c r="S22" i="7" s="1"/>
  <c r="J8" i="7"/>
  <c r="S24" i="7" s="1" a="1"/>
  <c r="S24" i="7" s="1"/>
  <c r="J9" i="7"/>
  <c r="S29" i="7" s="1" a="1"/>
  <c r="S29" i="7" s="1"/>
  <c r="J10" i="7"/>
  <c r="S10" i="7" s="1" a="1"/>
  <c r="S10" i="7" s="1"/>
  <c r="J11" i="7"/>
  <c r="S11" i="7" s="1" a="1"/>
  <c r="S11" i="7" s="1"/>
  <c r="J12" i="7"/>
  <c r="S14" i="7" s="1" a="1"/>
  <c r="S14" i="7" s="1"/>
  <c r="J13" i="7"/>
  <c r="S16" i="7" s="1" a="1"/>
  <c r="S16" i="7" s="1"/>
  <c r="C7" i="10" l="1"/>
  <c r="S21" i="7" a="1"/>
  <c r="S21" i="7" s="1"/>
  <c r="T29" i="7"/>
  <c r="T25" i="7"/>
  <c r="T21" i="7"/>
  <c r="T17" i="7"/>
  <c r="T13" i="7"/>
  <c r="T9" i="7"/>
  <c r="T5" i="7"/>
  <c r="T28" i="7"/>
  <c r="T24" i="7"/>
  <c r="T20" i="7"/>
  <c r="T16" i="7"/>
  <c r="T12" i="7"/>
  <c r="T8" i="7"/>
  <c r="T4" i="7"/>
  <c r="T27" i="7"/>
  <c r="T23" i="7"/>
  <c r="T19" i="7"/>
  <c r="T15" i="7"/>
  <c r="T11" i="7"/>
  <c r="T7" i="7"/>
  <c r="T3" i="7"/>
  <c r="S28" i="7" a="1"/>
  <c r="S28" i="7" s="1"/>
  <c r="T26" i="7"/>
  <c r="T22" i="7"/>
  <c r="T14" i="7"/>
  <c r="T6" i="7"/>
  <c r="S27" i="7" a="1"/>
  <c r="S27" i="7" s="1"/>
  <c r="S17" i="7" a="1"/>
  <c r="S17" i="7" s="1"/>
  <c r="S23" i="7" a="1"/>
  <c r="S23" i="7" s="1"/>
  <c r="S13" i="7" a="1"/>
  <c r="S13" i="7" s="1"/>
  <c r="S26" i="7" a="1"/>
  <c r="S26" i="7" s="1"/>
  <c r="S25" i="7" a="1"/>
  <c r="S25" i="7" s="1"/>
  <c r="S15" i="7" a="1"/>
  <c r="S15" i="7" s="1"/>
  <c r="S9" i="7" a="1"/>
  <c r="S9" i="7" s="1"/>
  <c r="S7" i="7" a="1"/>
  <c r="S7" i="7" s="1"/>
  <c r="S5" i="7" a="1"/>
  <c r="S5" i="7" s="1"/>
  <c r="S3" i="7" a="1"/>
  <c r="S3" i="7" s="1"/>
  <c r="S19" i="7" a="1"/>
  <c r="S19" i="7" s="1"/>
  <c r="S20" i="7" a="1"/>
  <c r="S20" i="7" s="1"/>
  <c r="S12" i="7" a="1"/>
  <c r="S12" i="7" s="1"/>
  <c r="H133" i="6" l="1"/>
  <c r="C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Y112"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<sst xmlns="http://schemas.openxmlformats.org/spreadsheetml/2006/main" count="22382" uniqueCount="5592">
  <si>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</si>
  <si>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</si>
  <si>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</si>
  <si>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</si>
  <si>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</si>
  <si>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</si>
  <si>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</si>
  <si>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</si>
  <si>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</si>
  <si>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</si>
  <si>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</si>
  <si>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</si>
  <si>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</si>
  <si>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</si>
  <si>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</si>
  <si>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</si>
  <si>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</si>
  <si>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</si>
  <si>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</si>
  <si>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</si>
  <si>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</si>
  <si>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</si>
  <si>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</si>
  <si>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</si>
  <si>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</si>
  <si>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</si>
  <si>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</si>
  <si>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</si>
  <si>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</si>
  <si>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</si>
  <si>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</si>
  <si>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</si>
  <si>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</si>
  <si>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</si>
  <si>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</si>
  <si>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</si>
  <si>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</si>
  <si>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</si>
  <si>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</si>
  <si>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</si>
  <si>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</si>
  <si>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</si>
  <si>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</si>
  <si>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</si>
  <si>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</si>
  <si>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</si>
  <si>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</si>
  <si>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</si>
  <si>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</si>
  <si>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</si>
  <si>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</si>
  <si>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</si>
  <si>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</si>
  <si>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</si>
  <si>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</si>
  <si>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</si>
  <si>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</si>
  <si>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</si>
  <si>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</si>
  <si>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</si>
  <si>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</si>
  <si>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</si>
  <si>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</si>
  <si>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</si>
  <si>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</si>
  <si>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</si>
  <si>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</si>
  <si>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</si>
  <si>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</si>
  <si>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</si>
  <si>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</si>
  <si>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</si>
  <si>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</si>
  <si>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</si>
  <si>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</si>
  <si>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</si>
  <si>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</si>
  <si>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</si>
  <si>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</si>
  <si>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</si>
  <si>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</si>
  <si>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</si>
  <si>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</si>
  <si>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</si>
  <si>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</si>
  <si>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</si>
  <si>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</si>
  <si>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</si>
  <si>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</si>
  <si>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</si>
  <si>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</si>
  <si>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</si>
  <si>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</si>
  <si>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</si>
  <si>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</si>
  <si>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</si>
  <si>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</si>
  <si>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</si>
  <si>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</si>
  <si>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</si>
  <si>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</si>
  <si>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</si>
  <si>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</si>
  <si>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</si>
  <si>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</si>
  <si>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</si>
  <si>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</si>
  <si>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</si>
  <si>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</si>
  <si>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</si>
  <si>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</si>
  <si>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</si>
  <si>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</si>
  <si>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</si>
  <si>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</si>
  <si>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</si>
  <si>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</si>
  <si>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</si>
  <si>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</si>
  <si>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</si>
  <si>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</si>
  <si>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</si>
  <si>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</si>
  <si>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</si>
  <si>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</si>
  <si>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</si>
  <si>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</si>
  <si>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</si>
  <si>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</si>
  <si>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</si>
  <si>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</si>
  <si>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</si>
  <si>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</si>
  <si>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</si>
  <si>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</si>
  <si>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</si>
  <si>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</si>
  <si>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</si>
  <si>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</si>
  <si>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</si>
  <si>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</si>
  <si>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</si>
  <si>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</si>
  <si>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</si>
  <si>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</si>
  <si>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</si>
  <si>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</si>
  <si>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</si>
  <si>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</si>
  <si>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</si>
  <si>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</si>
  <si>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</si>
  <si>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</si>
  <si>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</si>
  <si>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</si>
  <si>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</si>
  <si>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</si>
  <si>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</si>
  <si>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</si>
  <si>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</si>
  <si>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</si>
  <si>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</si>
  <si>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</si>
  <si>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</si>
  <si>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</si>
  <si>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</si>
  <si>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</si>
  <si>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</si>
  <si>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</si>
  <si>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</si>
  <si>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</si>
  <si>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</si>
  <si>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</si>
  <si>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</si>
  <si>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</si>
  <si>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</si>
  <si>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</si>
  <si>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</si>
  <si>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</si>
  <si>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</si>
  <si>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</si>
  <si>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</si>
  <si>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</si>
  <si>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</si>
  <si>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</si>
  <si>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</si>
  <si>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</si>
  <si>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</si>
  <si>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</si>
  <si>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</si>
  <si>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</si>
  <si>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</si>
  <si>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</si>
  <si>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</si>
  <si>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</si>
  <si>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</si>
  <si>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</si>
  <si>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</si>
  <si>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</si>
  <si>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</si>
  <si>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</si>
  <si>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</si>
  <si>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</si>
  <si>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</si>
  <si>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</si>
  <si>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</si>
  <si>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</si>
  <si>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</si>
  <si>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</si>
  <si>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</si>
  <si>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</si>
  <si>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</si>
  <si>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</si>
  <si>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</si>
  <si>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</si>
  <si>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</si>
  <si>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</si>
  <si>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</si>
  <si>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</si>
  <si>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</si>
  <si>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</si>
  <si>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</si>
  <si>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</si>
  <si>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</si>
  <si>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</si>
  <si>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</si>
  <si>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</si>
  <si>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</si>
  <si>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</si>
  <si>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</si>
  <si>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</si>
  <si>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</si>
  <si>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</si>
  <si>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</si>
  <si>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</si>
  <si>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</si>
  <si>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</si>
  <si>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</si>
  <si>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</si>
  <si>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</si>
  <si>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</si>
  <si>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</si>
  <si>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</si>
  <si>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</si>
  <si>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</si>
  <si>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</si>
  <si>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</si>
  <si>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</si>
  <si>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</si>
  <si>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</si>
  <si>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</si>
  <si>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</si>
  <si>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</si>
  <si>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</si>
  <si>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</si>
  <si>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</si>
  <si>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</si>
  <si>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</si>
  <si>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</si>
  <si>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</si>
  <si>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</si>
  <si>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</si>
  <si>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</si>
  <si>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</si>
  <si>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</si>
  <si>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</si>
  <si>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</si>
  <si>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</si>
  <si>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</si>
  <si>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</si>
  <si>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</si>
  <si>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</si>
  <si>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</si>
  <si>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</si>
  <si>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</si>
  <si>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</si>
  <si>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</si>
  <si>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</si>
  <si>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</si>
  <si>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</si>
  <si>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</si>
  <si>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</si>
  <si>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</si>
  <si>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</si>
  <si>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</si>
  <si>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</si>
  <si>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</si>
  <si>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</si>
  <si>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</si>
  <si>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</si>
  <si>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</si>
  <si>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</si>
  <si>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</si>
  <si>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</si>
  <si>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</si>
  <si>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</si>
  <si>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</si>
  <si>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</si>
  <si>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</si>
  <si>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</si>
  <si>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</si>
  <si>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</si>
  <si>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</si>
  <si>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</si>
  <si>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</si>
  <si>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</si>
  <si>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</si>
  <si>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</si>
  <si>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</si>
  <si>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</si>
  <si>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</si>
  <si>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</si>
  <si>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</si>
  <si>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</si>
  <si>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</si>
  <si>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</si>
  <si>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</si>
  <si>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</si>
  <si>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</si>
  <si>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</si>
  <si>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</si>
  <si>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</si>
  <si>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</si>
  <si>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</si>
  <si>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</si>
  <si>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</si>
  <si>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</si>
  <si>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</si>
  <si>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</si>
  <si>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</si>
  <si>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</si>
  <si>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</si>
  <si>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</si>
  <si>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</si>
  <si>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</si>
  <si>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</si>
  <si>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</si>
  <si>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</si>
  <si>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</si>
  <si>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</si>
  <si>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</si>
  <si>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</si>
  <si>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</si>
  <si>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</si>
  <si>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</si>
  <si>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</si>
  <si>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</si>
  <si>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</si>
  <si>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</si>
  <si>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</si>
  <si>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</si>
  <si>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</si>
  <si>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</si>
  <si>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</si>
  <si>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</si>
  <si>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</si>
  <si>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</si>
  <si>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</si>
  <si>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</si>
  <si>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</si>
  <si>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</si>
  <si>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</si>
  <si>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</si>
  <si>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</si>
  <si>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</si>
  <si>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</si>
  <si>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</si>
  <si>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</si>
  <si>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</si>
  <si>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</si>
  <si>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</si>
  <si>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</si>
  <si>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</si>
  <si>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</si>
  <si>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</si>
  <si>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</si>
  <si>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</si>
  <si>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</si>
  <si>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</si>
  <si>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</si>
  <si>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</si>
  <si>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</si>
  <si>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</si>
  <si>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</si>
  <si>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</si>
  <si>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</si>
  <si>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</si>
  <si>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</si>
  <si>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</si>
  <si>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</si>
  <si>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</si>
  <si>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</si>
  <si>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</si>
  <si>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</si>
  <si>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</si>
  <si>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</si>
  <si>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</si>
  <si>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</si>
  <si>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</si>
  <si>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</si>
  <si>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</si>
  <si>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</si>
  <si>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</si>
  <si>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</si>
  <si>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</si>
  <si>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</si>
  <si>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</si>
  <si>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</si>
  <si>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</si>
  <si>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</si>
  <si>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</si>
  <si>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</si>
  <si>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</si>
  <si>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</si>
  <si>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</si>
  <si>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</si>
  <si>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</si>
  <si>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</si>
  <si>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</si>
  <si>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</si>
  <si>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</si>
  <si>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</si>
  <si>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</si>
  <si>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</si>
  <si>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</si>
  <si>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</si>
  <si>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</si>
  <si>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</si>
  <si>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</si>
  <si>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</si>
  <si>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</si>
  <si>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</si>
  <si>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</si>
  <si>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</si>
  <si>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</si>
  <si>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</si>
  <si>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</si>
  <si>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</si>
  <si>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</si>
  <si>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</si>
  <si>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</si>
  <si>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</si>
  <si>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</si>
  <si>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</si>
  <si>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</si>
  <si>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</si>
  <si>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</si>
  <si>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</si>
  <si>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</si>
  <si>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</si>
  <si>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</si>
  <si>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</si>
  <si>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</si>
  <si>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</si>
  <si>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</si>
  <si>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</si>
  <si>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</si>
  <si>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</si>
  <si>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</si>
  <si>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</si>
  <si>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</si>
  <si>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</si>
  <si>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</si>
  <si>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</si>
  <si>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</si>
  <si>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</si>
  <si>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</si>
  <si>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</si>
  <si>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</si>
  <si>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</si>
  <si>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</si>
  <si>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</si>
  <si>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</si>
  <si>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</si>
  <si>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</si>
  <si>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</si>
  <si>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</si>
  <si>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</si>
  <si>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</si>
  <si>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</si>
  <si>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</si>
  <si>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</si>
  <si>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</si>
  <si>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</si>
  <si>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</si>
  <si>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</si>
  <si>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</si>
  <si>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</si>
  <si>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</si>
  <si>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</si>
  <si>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</si>
  <si>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</si>
  <si>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</si>
  <si>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</si>
  <si>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</si>
  <si>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</si>
  <si>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</si>
  <si>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</si>
  <si>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</si>
  <si>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</si>
  <si>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</si>
  <si>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</si>
  <si>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</si>
  <si>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</si>
  <si>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Pusat Pelatihan dan Penyuluhan</t>
  </si>
  <si>
    <t>Pelatihan</t>
  </si>
  <si>
    <t>Standardisasi dan Sertifikasi</t>
  </si>
  <si>
    <t>524113</t>
  </si>
  <si>
    <t>524113. Belanja Perjalanan Dinas Dalam Kota</t>
  </si>
  <si>
    <t>524114</t>
  </si>
  <si>
    <t>524119</t>
  </si>
  <si>
    <t>B</t>
  </si>
  <si>
    <t>C</t>
  </si>
  <si>
    <t>524111</t>
  </si>
  <si>
    <t>D</t>
  </si>
  <si>
    <t>521241</t>
  </si>
  <si>
    <t>522151</t>
  </si>
  <si>
    <t>522191</t>
  </si>
  <si>
    <t>522192</t>
  </si>
  <si>
    <t>E</t>
  </si>
  <si>
    <t>052</t>
  </si>
  <si>
    <t>Penyelenggaraan Pelatihan</t>
  </si>
  <si>
    <t>521213</t>
  </si>
  <si>
    <t>053</t>
  </si>
  <si>
    <t>Penyuluhan</t>
  </si>
  <si>
    <t>Sarana, Prasarana dan Kelembagaan</t>
  </si>
  <si>
    <t>054</t>
  </si>
  <si>
    <t>Penyelenggaraan Penyuluhan</t>
  </si>
  <si>
    <t>532111</t>
  </si>
  <si>
    <t>533111</t>
  </si>
  <si>
    <t>Pusat Pendidikan KP</t>
  </si>
  <si>
    <t>Penyelenggaraan Pendidikan</t>
  </si>
  <si>
    <t>Metode dan Kurikulum</t>
  </si>
  <si>
    <t>521219</t>
  </si>
  <si>
    <t>Peserta Didik dan Sarana Prasarana</t>
  </si>
  <si>
    <t>Kelembagaan dan Ketenagaan</t>
  </si>
  <si>
    <t>Kelembagaan</t>
  </si>
  <si>
    <t>521811</t>
  </si>
  <si>
    <t>Ketenagaan</t>
  </si>
  <si>
    <t>Sekretariat Badan Riset dan SDM KP</t>
  </si>
  <si>
    <t>Kerjasama, Humas dan Data</t>
  </si>
  <si>
    <t>Kerjasama</t>
  </si>
  <si>
    <t>Perencanaan dan Evaluasi</t>
  </si>
  <si>
    <t>Perencanaan</t>
  </si>
  <si>
    <t>511111</t>
  </si>
  <si>
    <t>Keuangan dan Umum</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</si>
  <si>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</si>
  <si>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</si>
  <si>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</si>
  <si>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</si>
  <si>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</si>
  <si>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</si>
  <si>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</si>
  <si>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</si>
  <si>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</si>
  <si>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</si>
  <si>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</si>
  <si>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</si>
  <si>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</si>
  <si>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</si>
  <si>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</si>
  <si>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</si>
  <si>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</si>
  <si>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</si>
  <si>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</si>
  <si>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</si>
  <si>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</si>
  <si>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</si>
  <si>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</si>
  <si>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</si>
  <si>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</si>
  <si>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</si>
  <si>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</si>
  <si>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</si>
  <si>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</si>
  <si>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</si>
  <si>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</si>
  <si>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Perencanaan dan Penganggaran</t>
  </si>
  <si>
    <t>F</t>
  </si>
  <si>
    <t>G</t>
  </si>
  <si>
    <t>H</t>
  </si>
  <si>
    <t>I</t>
  </si>
  <si>
    <t>Pengelolaan BMN</t>
  </si>
  <si>
    <t>SDMA dan HO</t>
  </si>
  <si>
    <t>Perencanaan dan Pengembangan SDMA</t>
  </si>
  <si>
    <t>Jabatan Fungsional</t>
  </si>
  <si>
    <t>Hukum dan Organisasi</t>
  </si>
  <si>
    <t>Hubungan Masyarakat</t>
  </si>
  <si>
    <t>Data</t>
  </si>
  <si>
    <t>Monitoring dan Evaluasi</t>
  </si>
  <si>
    <t>Pelaporan</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</si>
  <si>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</si>
  <si>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</si>
  <si>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</si>
  <si>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</si>
  <si>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</si>
  <si>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</si>
  <si>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</si>
  <si>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</si>
  <si>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</si>
  <si>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</si>
  <si>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</si>
  <si>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</si>
  <si>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</si>
  <si>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</si>
  <si>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</si>
  <si>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</si>
  <si>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</si>
  <si>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</si>
  <si>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</si>
  <si>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</si>
  <si>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</si>
  <si>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</si>
  <si>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</si>
  <si>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</si>
  <si>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</si>
  <si>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</si>
  <si>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</si>
  <si>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</si>
  <si>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</si>
  <si>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</si>
  <si>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</si>
  <si>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</si>
  <si>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</si>
  <si>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</si>
  <si>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</si>
  <si>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</si>
  <si>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</si>
  <si>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</si>
  <si>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</si>
  <si>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</si>
  <si>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</si>
  <si>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</si>
  <si>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</si>
  <si>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</si>
  <si>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</si>
  <si>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</si>
  <si>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</si>
  <si>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</si>
  <si>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</si>
  <si>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</si>
  <si>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</si>
  <si>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</si>
  <si>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</si>
  <si>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</si>
  <si>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</si>
  <si>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</si>
  <si>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</si>
  <si>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</si>
  <si>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</si>
  <si>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</si>
  <si>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</si>
  <si>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</si>
  <si>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</si>
  <si>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</si>
  <si>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</si>
  <si>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</si>
  <si>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</si>
  <si>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</si>
  <si>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</si>
  <si>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</si>
  <si>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</si>
  <si>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</si>
  <si>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</si>
  <si>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</si>
  <si>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</si>
  <si>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</si>
  <si>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</si>
  <si>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</si>
  <si>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</si>
  <si>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</si>
  <si>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</si>
  <si>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</si>
  <si>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</si>
  <si>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</si>
  <si>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</si>
  <si>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</si>
  <si>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</si>
  <si>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</si>
  <si>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</si>
  <si>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</si>
  <si>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</si>
  <si>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</si>
  <si>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</si>
  <si>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</si>
  <si>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</si>
  <si>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</si>
  <si>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</si>
  <si>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</si>
  <si>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</si>
  <si>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</si>
  <si>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</si>
  <si>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</si>
  <si>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</si>
  <si>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</si>
  <si>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</si>
  <si>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</si>
  <si>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</si>
  <si>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</si>
  <si>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</si>
  <si>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</si>
  <si>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</si>
  <si>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</si>
  <si>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</si>
  <si>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</si>
  <si>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</si>
  <si>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</si>
  <si>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</si>
  <si>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</si>
  <si>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</si>
  <si>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</si>
  <si>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</si>
  <si>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</si>
  <si>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</si>
  <si>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</si>
  <si>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</si>
  <si>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</si>
  <si>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</si>
  <si>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</si>
  <si>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</si>
  <si>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</si>
  <si>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</si>
  <si>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</si>
  <si>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</si>
  <si>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</si>
  <si>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</si>
  <si>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</si>
  <si>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</si>
  <si>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</si>
  <si>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</si>
  <si>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</si>
  <si>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</si>
  <si>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</si>
  <si>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</si>
  <si>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</si>
  <si>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</si>
  <si>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</si>
  <si>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</si>
  <si>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</si>
  <si>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</si>
  <si>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</si>
  <si>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</si>
  <si>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</si>
  <si>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</si>
  <si>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</si>
  <si>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</si>
  <si>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</si>
  <si>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</si>
  <si>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</si>
  <si>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</si>
  <si>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</si>
  <si>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</si>
  <si>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</si>
  <si>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</si>
  <si>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</si>
  <si>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</si>
  <si>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</si>
  <si>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</si>
  <si>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</si>
  <si>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</si>
  <si>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</si>
  <si>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</si>
  <si>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</si>
  <si>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</si>
  <si>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</si>
  <si>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</si>
  <si>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</si>
  <si>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</si>
  <si>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</si>
  <si>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</si>
  <si>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</si>
  <si>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</si>
  <si>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</si>
  <si>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</si>
  <si>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</si>
  <si>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</si>
  <si>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</si>
  <si>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</si>
  <si>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</si>
  <si>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</si>
  <si>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</si>
  <si>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</si>
  <si>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</si>
  <si>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</si>
  <si>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</si>
  <si>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</si>
  <si>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</si>
  <si>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</si>
  <si>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</si>
  <si>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</si>
  <si>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</si>
  <si>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</si>
  <si>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</si>
  <si>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</si>
  <si>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</si>
  <si>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</si>
  <si>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</si>
  <si>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</si>
  <si>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</si>
  <si>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</si>
  <si>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</si>
  <si>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</si>
  <si>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</si>
  <si>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</si>
  <si>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</si>
  <si>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</si>
  <si>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</si>
  <si>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</si>
  <si>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</si>
  <si>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</si>
  <si>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</si>
  <si>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</si>
  <si>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</si>
  <si>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</si>
  <si>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</si>
  <si>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</si>
  <si>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</si>
  <si>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</si>
  <si>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</si>
  <si>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</si>
  <si>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</si>
  <si>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</si>
  <si>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</si>
  <si>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</si>
  <si>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</si>
  <si>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</si>
  <si>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</si>
  <si>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</si>
  <si>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</si>
  <si>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</si>
  <si>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</si>
  <si>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</si>
  <si>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</si>
  <si>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</si>
  <si>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</si>
  <si>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</si>
  <si>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</si>
  <si>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</si>
  <si>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</si>
  <si>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</si>
  <si>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</si>
  <si>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</si>
  <si>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</si>
  <si>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</si>
  <si>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</si>
  <si>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</si>
  <si>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</si>
  <si>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</si>
  <si>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</si>
  <si>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</si>
  <si>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</si>
  <si>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</si>
  <si>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</si>
  <si>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</si>
  <si>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</si>
  <si>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</si>
  <si>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</si>
  <si>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</si>
  <si>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</si>
  <si>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</si>
  <si>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</si>
  <si>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</si>
  <si>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</si>
  <si>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</si>
  <si>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</si>
  <si>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</si>
  <si>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</si>
  <si>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</si>
  <si>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</si>
  <si>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</si>
  <si>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</si>
  <si>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</si>
  <si>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</si>
  <si>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</si>
  <si>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</si>
  <si>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</si>
  <si>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</si>
  <si>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</si>
  <si>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</si>
  <si>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</si>
  <si>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</si>
  <si>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</si>
  <si>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</si>
  <si>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</si>
  <si>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</si>
  <si>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</si>
  <si>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</si>
  <si>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</si>
  <si>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</si>
  <si>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</si>
  <si>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</si>
  <si>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</si>
  <si>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</si>
  <si>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</si>
  <si>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</si>
  <si>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</si>
  <si>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</si>
  <si>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</si>
  <si>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</si>
  <si>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</si>
  <si>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</si>
  <si>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</si>
  <si>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</si>
  <si>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</si>
  <si>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</si>
  <si>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</si>
  <si>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</si>
  <si>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</si>
  <si>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</si>
  <si>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</si>
  <si>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</si>
  <si>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</si>
  <si>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</si>
  <si>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</si>
  <si>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</si>
  <si>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</si>
  <si>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</si>
  <si>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</si>
  <si>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</si>
  <si>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</si>
  <si>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</si>
  <si>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</si>
  <si>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</si>
  <si>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</si>
  <si>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</si>
  <si>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</si>
  <si>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</si>
  <si>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</si>
  <si>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</si>
  <si>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</si>
  <si>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</si>
  <si>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</si>
  <si>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</si>
  <si>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</si>
  <si>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</si>
  <si>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</si>
  <si>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</si>
  <si>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</si>
  <si>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</si>
  <si>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</si>
  <si>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</si>
  <si>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</si>
  <si>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</si>
  <si>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</si>
  <si>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</si>
  <si>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</si>
  <si>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</si>
  <si>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</si>
  <si>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</si>
  <si>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</si>
  <si>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</si>
  <si>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</si>
  <si>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</si>
  <si>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</si>
  <si>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</si>
  <si>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</si>
  <si>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</si>
  <si>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</si>
  <si>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</si>
  <si>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</si>
  <si>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</si>
  <si>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</si>
  <si>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</si>
  <si>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</si>
  <si>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</si>
  <si>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</si>
  <si>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</si>
  <si>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</si>
  <si>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</si>
  <si>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</si>
  <si>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</si>
  <si>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</si>
  <si>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</si>
  <si>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</si>
  <si>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</si>
  <si>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</si>
  <si>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</si>
  <si>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</si>
  <si>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</si>
  <si>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</si>
  <si>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</si>
  <si>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</si>
  <si>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</si>
  <si>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</si>
  <si>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</si>
  <si>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</si>
  <si>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</si>
  <si>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</si>
  <si>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</si>
  <si>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</si>
  <si>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</si>
  <si>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</si>
  <si>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</si>
  <si>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</si>
  <si>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</si>
  <si>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</si>
  <si>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</si>
  <si>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</si>
  <si>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</si>
  <si>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</si>
  <si>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</si>
  <si>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</si>
  <si>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</si>
  <si>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</si>
  <si>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</si>
  <si>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</si>
  <si>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</si>
  <si>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</si>
  <si>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</si>
  <si>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</si>
  <si>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</si>
  <si>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</si>
  <si>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</si>
  <si>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</si>
  <si>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</si>
  <si>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</si>
  <si>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</si>
  <si>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</si>
  <si>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</si>
  <si>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</si>
  <si>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</si>
  <si>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</si>
  <si>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</si>
  <si>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</si>
  <si>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</si>
  <si>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</si>
  <si>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</si>
  <si>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</si>
  <si>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</si>
  <si>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</si>
  <si>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</si>
  <si>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</si>
  <si>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</si>
  <si>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</si>
  <si>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</si>
  <si>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</si>
  <si>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</si>
  <si>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</si>
  <si>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</si>
  <si>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</si>
  <si>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</si>
  <si>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</si>
  <si>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</si>
  <si>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</si>
  <si>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</si>
  <si>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</si>
  <si>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</si>
  <si>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</si>
  <si>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</si>
  <si>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</si>
  <si>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</si>
  <si>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</si>
  <si>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</si>
  <si>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</si>
  <si>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</si>
  <si>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</si>
  <si>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</si>
  <si>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</si>
  <si>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</si>
  <si>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</si>
  <si>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</si>
  <si>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</si>
  <si>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</si>
  <si>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</si>
  <si>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</si>
  <si>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</si>
  <si>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</si>
  <si>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</si>
  <si>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</si>
  <si>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</si>
  <si>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</si>
  <si>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</si>
  <si>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</si>
  <si>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</si>
  <si>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</si>
  <si>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</si>
  <si>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</si>
  <si>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</si>
  <si>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</si>
  <si>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</si>
  <si>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</si>
  <si>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</si>
  <si>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</si>
  <si>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</si>
  <si>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</si>
  <si>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</si>
  <si>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</si>
  <si>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</si>
  <si>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</si>
  <si>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</si>
  <si>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</si>
  <si>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</si>
  <si>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</si>
  <si>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</si>
  <si>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</si>
  <si>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</si>
  <si>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</si>
  <si>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</si>
  <si>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</si>
  <si>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</si>
  <si>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</si>
  <si>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</si>
  <si>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</si>
  <si>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</si>
  <si>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</si>
  <si>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</si>
  <si>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</si>
  <si>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</si>
  <si>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</si>
  <si>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</si>
  <si>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</si>
  <si>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</si>
  <si>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</si>
  <si>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</si>
  <si>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</si>
  <si>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</si>
  <si>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</si>
  <si>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</si>
  <si>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</si>
  <si>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</si>
  <si>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</si>
  <si>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</si>
  <si>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</si>
  <si>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</si>
  <si>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</si>
  <si>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</si>
  <si>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</si>
  <si>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</si>
  <si>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</si>
  <si>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</si>
  <si>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</si>
  <si>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</si>
  <si>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</si>
  <si>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</si>
  <si>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</si>
  <si>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</si>
  <si>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</si>
  <si>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</si>
  <si>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</si>
  <si>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</si>
  <si>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</si>
  <si>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</si>
  <si>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</si>
  <si>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</si>
  <si>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</si>
  <si>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</si>
  <si>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</si>
  <si>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</si>
  <si>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</si>
  <si>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</si>
  <si>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</si>
  <si>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</si>
  <si>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</si>
  <si>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</si>
  <si>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</si>
  <si>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</si>
  <si>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</si>
  <si>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</si>
  <si>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</si>
  <si>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</si>
  <si>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</si>
  <si>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</si>
  <si>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</si>
  <si>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</si>
  <si>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</si>
  <si>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</si>
  <si>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</si>
  <si>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</si>
  <si>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</si>
  <si>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</si>
  <si>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</si>
  <si>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</si>
  <si>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</si>
  <si>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</si>
  <si>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</si>
  <si>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</si>
  <si>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</si>
  <si>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</si>
  <si>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</si>
  <si>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</si>
  <si>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</si>
  <si>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</si>
  <si>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</si>
  <si>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</si>
  <si>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</si>
  <si>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</si>
  <si>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</si>
  <si>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</si>
  <si>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</si>
  <si>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</si>
  <si>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</si>
  <si>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</si>
  <si>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</si>
  <si>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</si>
  <si>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</si>
  <si>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</si>
  <si>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</si>
  <si>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</si>
  <si>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</si>
  <si>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</si>
  <si>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</si>
  <si>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</si>
  <si>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</si>
  <si>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</si>
  <si>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</si>
  <si>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</si>
  <si>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</si>
  <si>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</si>
  <si>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</si>
  <si>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</si>
  <si>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</si>
  <si>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</si>
  <si>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</si>
  <si>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</si>
  <si>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</si>
  <si>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</si>
  <si>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</si>
  <si>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</si>
  <si>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</si>
  <si>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</si>
  <si>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</si>
  <si>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</si>
  <si>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</si>
  <si>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</si>
  <si>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</si>
  <si>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</si>
  <si>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</si>
  <si>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</si>
  <si>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</si>
  <si>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</si>
  <si>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</si>
  <si>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</si>
  <si>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</si>
  <si>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</si>
  <si>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</si>
  <si>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</si>
  <si>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</si>
  <si>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</si>
  <si>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</si>
  <si>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</si>
  <si>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</si>
  <si>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</si>
  <si>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</si>
  <si>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</si>
  <si>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</si>
  <si>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</si>
  <si>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</si>
  <si>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</si>
  <si>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</si>
  <si>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</si>
  <si>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</si>
  <si>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</si>
  <si>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</si>
  <si>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</si>
  <si>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</si>
  <si>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</si>
  <si>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</si>
  <si>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</si>
  <si>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</si>
  <si>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</si>
  <si>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</si>
  <si>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</si>
  <si>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</si>
  <si>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</si>
  <si>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</si>
  <si>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</si>
  <si>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</si>
  <si>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</si>
  <si>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</si>
  <si>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</si>
  <si>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</si>
  <si>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</si>
  <si>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</si>
  <si>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</si>
  <si>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</si>
  <si>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</si>
  <si>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</si>
  <si>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</si>
  <si>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</si>
  <si>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</si>
  <si>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</si>
  <si>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</si>
  <si>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</si>
  <si>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</si>
  <si>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</si>
  <si>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</si>
  <si>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</si>
  <si>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</si>
  <si>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</si>
  <si>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</si>
  <si>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</si>
  <si>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</si>
  <si>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</si>
  <si>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</si>
  <si>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</si>
  <si>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</si>
  <si>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</si>
  <si>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</si>
  <si>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</si>
  <si>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</si>
  <si>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</si>
  <si>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</si>
  <si>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</si>
  <si>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</si>
  <si>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</si>
  <si>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</si>
  <si>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</si>
  <si>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</si>
  <si>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</si>
  <si>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</si>
  <si>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</si>
  <si>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</si>
  <si>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</si>
  <si>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</si>
  <si>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</si>
  <si>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</si>
  <si>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</si>
  <si>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</si>
  <si>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</si>
  <si>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</si>
  <si>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</si>
  <si>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</si>
  <si>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</si>
  <si>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</si>
  <si>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</si>
  <si>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</si>
  <si>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</si>
  <si>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</si>
  <si>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</si>
  <si>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</si>
  <si>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</si>
  <si>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</si>
  <si>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</si>
  <si>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</si>
  <si>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</si>
  <si>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</si>
  <si>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</si>
  <si>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</si>
  <si>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</si>
  <si>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</si>
  <si>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</si>
  <si>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</si>
  <si>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</si>
  <si>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</si>
  <si>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</si>
  <si>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</si>
  <si>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</si>
  <si>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</si>
  <si>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</si>
  <si>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</si>
  <si>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</si>
  <si>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</si>
  <si>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</si>
  <si>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</si>
  <si>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</si>
  <si>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</si>
  <si>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</si>
  <si>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</si>
  <si>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</si>
  <si>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</si>
  <si>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</si>
  <si>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</si>
  <si>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</si>
  <si>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</si>
  <si>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</si>
  <si>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</si>
  <si>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</si>
  <si>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</si>
  <si>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</si>
  <si>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</si>
  <si>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</si>
  <si>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</si>
  <si>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</si>
  <si>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</si>
  <si>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</si>
  <si>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</si>
  <si>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</si>
  <si>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</si>
  <si>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</si>
  <si>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</si>
  <si>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</si>
  <si>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</si>
  <si>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</si>
  <si>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</si>
  <si>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</si>
  <si>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</si>
  <si>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</si>
  <si>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</si>
  <si>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</si>
  <si>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</si>
  <si>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</si>
  <si>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</si>
  <si>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</si>
  <si>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</si>
  <si>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</si>
  <si>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</si>
  <si>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</si>
  <si>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</si>
  <si>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</si>
  <si>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</si>
  <si>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</si>
  <si>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</si>
  <si>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</si>
  <si>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</si>
  <si>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</si>
  <si>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</si>
  <si>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</si>
  <si>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</si>
  <si>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</si>
  <si>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</si>
  <si>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</si>
  <si>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</si>
  <si>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</si>
  <si>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</si>
  <si>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</si>
  <si>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</si>
  <si>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</si>
  <si>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</si>
  <si>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</si>
  <si>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</si>
  <si>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</si>
  <si>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</si>
  <si>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</si>
  <si>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</si>
  <si>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</si>
  <si>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</si>
  <si>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</si>
  <si>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</si>
  <si>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</si>
  <si>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</si>
  <si>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</si>
  <si>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</si>
  <si>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</si>
  <si>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</si>
  <si>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</si>
  <si>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</si>
  <si>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</si>
  <si>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</si>
  <si>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</si>
  <si>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</si>
  <si>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</si>
  <si>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</si>
  <si>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</si>
  <si>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</si>
  <si>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</si>
  <si>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</si>
  <si>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</si>
  <si>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</si>
  <si>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</si>
  <si>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</si>
  <si>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</si>
  <si>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</si>
  <si>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</si>
  <si>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</si>
  <si>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</si>
  <si>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</si>
  <si>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</si>
  <si>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</si>
  <si>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</si>
  <si>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</si>
  <si>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</si>
  <si>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</si>
  <si>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</si>
  <si>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</si>
  <si>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</si>
  <si>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</si>
  <si>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</si>
  <si>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</si>
  <si>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</si>
  <si>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</si>
  <si>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</si>
  <si>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</si>
  <si>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</si>
  <si>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</si>
  <si>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</si>
  <si>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</si>
  <si>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</si>
  <si>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</si>
  <si>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</si>
  <si>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</si>
  <si>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</si>
  <si>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</si>
  <si>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</si>
  <si>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</si>
  <si>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</si>
  <si>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</si>
  <si>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</si>
  <si>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</si>
  <si>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</si>
  <si>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</si>
  <si>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</si>
  <si>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</si>
  <si>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</si>
  <si>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</si>
  <si>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</si>
  <si>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</si>
  <si>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</si>
  <si>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</si>
  <si>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</si>
  <si>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</si>
  <si>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</si>
  <si>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</si>
  <si>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</si>
  <si>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</si>
  <si>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</si>
  <si>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</si>
  <si>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</si>
  <si>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</si>
  <si>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</si>
  <si>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</si>
  <si>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</si>
  <si>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</si>
  <si>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</si>
  <si>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</si>
  <si>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</si>
  <si>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</si>
  <si>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</si>
  <si>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</si>
  <si>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</si>
  <si>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</si>
  <si>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</si>
  <si>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</si>
  <si>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</si>
  <si>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</si>
  <si>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</si>
  <si>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</si>
  <si>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</si>
  <si>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</si>
  <si>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</si>
  <si>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</si>
  <si>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</si>
  <si>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</si>
  <si>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</si>
  <si>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</si>
  <si>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</si>
  <si>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</si>
  <si>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</si>
  <si>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</si>
  <si>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</si>
  <si>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</si>
  <si>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</si>
  <si>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</si>
  <si>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</si>
  <si>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</si>
  <si>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</si>
  <si>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</si>
  <si>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</si>
  <si>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</si>
  <si>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</si>
  <si>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</si>
  <si>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</si>
  <si>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</si>
  <si>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</si>
  <si>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</si>
  <si>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</si>
  <si>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</si>
  <si>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</si>
  <si>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</si>
  <si>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</si>
  <si>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</si>
  <si>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</si>
  <si>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</si>
  <si>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</si>
  <si>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</si>
  <si>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</si>
  <si>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</si>
  <si>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</si>
  <si>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</si>
  <si>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</si>
  <si>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</si>
  <si>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</si>
  <si>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</si>
  <si>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</si>
  <si>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</si>
  <si>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</si>
  <si>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</si>
  <si>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</si>
  <si>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</si>
  <si>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</si>
  <si>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</si>
  <si>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</si>
  <si>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</si>
  <si>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</si>
  <si>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</si>
  <si>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</si>
  <si>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</si>
  <si>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</si>
  <si>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</si>
  <si>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</si>
  <si>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</si>
  <si>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</si>
  <si>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</si>
  <si>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</si>
  <si>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</si>
  <si>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</si>
  <si>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</si>
  <si>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</si>
  <si>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</si>
  <si>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</si>
  <si>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</si>
  <si>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</si>
  <si>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</si>
  <si>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</si>
  <si>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</si>
  <si>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</si>
  <si>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</si>
  <si>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</si>
  <si>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</si>
  <si>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</si>
  <si>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</si>
  <si>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</si>
  <si>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</si>
  <si>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</si>
  <si>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</si>
  <si>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</si>
  <si>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</si>
  <si>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</si>
  <si>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</si>
  <si>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</si>
  <si>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</si>
  <si>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</si>
  <si>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</si>
  <si>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</si>
  <si>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</si>
  <si>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</si>
  <si>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</si>
  <si>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</si>
  <si>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</si>
  <si>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</si>
  <si>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</si>
  <si>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</si>
  <si>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</si>
  <si>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</si>
  <si>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</si>
  <si>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</si>
  <si>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</si>
  <si>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</si>
  <si>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</si>
  <si>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</si>
  <si>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</si>
  <si>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</si>
  <si>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</si>
  <si>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</si>
  <si>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</si>
  <si>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</si>
  <si>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</si>
  <si>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</si>
  <si>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</si>
  <si>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</si>
  <si>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</si>
  <si>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</si>
  <si>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</si>
  <si>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</si>
  <si>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</si>
  <si>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</si>
  <si>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</si>
  <si>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</si>
  <si>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</si>
  <si>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</si>
  <si>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</si>
  <si>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</si>
  <si>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</si>
  <si>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</si>
  <si>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</si>
  <si>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</si>
  <si>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</si>
  <si>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</si>
  <si>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</si>
  <si>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</si>
  <si>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</si>
  <si>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</si>
  <si>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</si>
  <si>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</si>
  <si>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</si>
  <si>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</si>
  <si>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</si>
  <si>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</si>
  <si>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</si>
  <si>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</si>
  <si>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</si>
  <si>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</si>
  <si>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</si>
  <si>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</si>
  <si>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</si>
  <si>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</si>
  <si>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</si>
  <si>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</si>
  <si>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</si>
  <si>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</si>
  <si>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</si>
  <si>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</si>
  <si>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</si>
  <si>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</si>
  <si>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</si>
  <si>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</si>
  <si>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</si>
  <si>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</si>
  <si>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</si>
  <si>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</si>
  <si>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</si>
  <si>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</si>
  <si>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</si>
  <si>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</si>
  <si>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</si>
  <si>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</si>
  <si>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</si>
  <si>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</si>
  <si>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</si>
  <si>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</si>
  <si>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</si>
  <si>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</si>
  <si>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</si>
  <si>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</si>
  <si>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</si>
  <si>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</si>
  <si>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</si>
  <si>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</si>
  <si>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</si>
  <si>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</si>
  <si>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</si>
  <si>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</si>
  <si>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</si>
  <si>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</si>
  <si>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</si>
  <si>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</si>
  <si>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</si>
  <si>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</si>
  <si>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</si>
  <si>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</si>
  <si>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</si>
  <si>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</si>
  <si>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</si>
  <si>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</si>
  <si>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</si>
  <si>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</si>
  <si>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</si>
  <si>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</si>
  <si>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</si>
  <si>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</si>
  <si>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</si>
  <si>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</si>
  <si>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</si>
  <si>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</si>
  <si>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</si>
  <si>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</si>
  <si>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</si>
  <si>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</si>
  <si>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</si>
  <si>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</si>
  <si>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</si>
  <si>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</si>
  <si>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</si>
  <si>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</si>
  <si>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</si>
  <si>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</si>
  <si>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</si>
  <si>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</si>
  <si>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</si>
  <si>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</si>
  <si>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</si>
  <si>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</si>
  <si>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</si>
  <si>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</si>
  <si>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</si>
  <si>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</si>
  <si>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</si>
  <si>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</si>
  <si>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</si>
  <si>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</si>
  <si>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</si>
  <si>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</si>
  <si>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</si>
  <si>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</si>
  <si>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</si>
  <si>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</si>
  <si>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</si>
  <si>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</si>
  <si>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</si>
  <si>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</si>
  <si>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</si>
  <si>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</si>
  <si>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</si>
  <si>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</si>
  <si>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</si>
  <si>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</si>
  <si>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</si>
  <si>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</si>
  <si>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</si>
  <si>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</si>
  <si>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</si>
  <si>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</si>
  <si>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</si>
  <si>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</si>
  <si>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</si>
  <si>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</si>
  <si>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</si>
  <si>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</si>
  <si>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</si>
  <si>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</si>
  <si>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</si>
  <si>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</si>
  <si>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</si>
  <si>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</si>
  <si>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</si>
  <si>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</si>
  <si>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</si>
  <si>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</si>
  <si>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</si>
  <si>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</si>
  <si>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</si>
  <si>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</si>
  <si>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</si>
  <si>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</si>
  <si>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</si>
  <si>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</si>
  <si>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</si>
  <si>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</si>
  <si>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</si>
  <si>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</si>
  <si>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</si>
  <si>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</si>
  <si>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</si>
  <si>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</si>
  <si>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</si>
  <si>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</si>
  <si>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</si>
  <si>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</si>
  <si>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</si>
  <si>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</si>
  <si>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</si>
  <si>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</si>
  <si>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</si>
  <si>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</si>
  <si>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</si>
  <si>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</si>
  <si>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</si>
  <si>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</si>
  <si>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</si>
  <si>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</si>
  <si>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</si>
  <si>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</si>
  <si>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</si>
  <si>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</si>
  <si>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</si>
  <si>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</si>
  <si>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</si>
  <si>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</si>
  <si>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</si>
  <si>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</si>
  <si>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</si>
  <si>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</si>
  <si>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</si>
  <si>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</si>
  <si>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</si>
  <si>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</si>
  <si>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</si>
  <si>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</si>
  <si>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</si>
  <si>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</si>
  <si>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</si>
  <si>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</si>
  <si>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</si>
  <si>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</si>
  <si>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</si>
  <si>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</si>
  <si>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</si>
  <si>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</si>
  <si>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</si>
  <si>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</si>
  <si>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</si>
  <si>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</si>
  <si>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</si>
  <si>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</si>
  <si>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</si>
  <si>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</si>
  <si>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</si>
  <si>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</si>
  <si>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</si>
  <si>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</si>
  <si>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</si>
  <si>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</si>
  <si>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</si>
  <si>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</si>
  <si>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</si>
  <si>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</si>
  <si>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</si>
  <si>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</si>
  <si>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</si>
  <si>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</si>
  <si>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</si>
  <si>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</si>
  <si>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</si>
  <si>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</si>
  <si>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</si>
  <si>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</si>
  <si>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</si>
  <si>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</si>
  <si>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</si>
  <si>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</si>
  <si>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</si>
  <si>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</si>
  <si>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</si>
  <si>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</si>
  <si>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</si>
  <si>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</si>
  <si>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</si>
  <si>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</si>
  <si>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</si>
  <si>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</si>
  <si>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</si>
  <si>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</si>
  <si>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</si>
  <si>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</si>
  <si>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</si>
  <si>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</si>
  <si>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</si>
  <si>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</si>
  <si>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</si>
  <si>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</si>
  <si>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</si>
  <si>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</si>
  <si>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</si>
  <si>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</si>
  <si>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</si>
  <si>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</si>
  <si>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</si>
  <si>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</si>
  <si>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</si>
  <si>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</si>
  <si>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</si>
  <si>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</si>
  <si>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</si>
  <si>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</si>
  <si>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</si>
  <si>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</si>
  <si>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</si>
  <si>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</si>
  <si>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</si>
  <si>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</si>
  <si>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</si>
  <si>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</si>
  <si>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</si>
  <si>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</si>
  <si>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</si>
  <si>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</si>
  <si>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</si>
  <si>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</si>
  <si>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</si>
  <si>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</si>
  <si>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</si>
  <si>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</si>
  <si>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</si>
  <si>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</si>
  <si>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</si>
  <si>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</si>
  <si>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</si>
  <si>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</si>
  <si>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</si>
  <si>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</si>
  <si>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</si>
  <si>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</si>
  <si>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</si>
  <si>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</si>
  <si>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</si>
  <si>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</si>
  <si>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</si>
  <si>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</si>
  <si>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</si>
  <si>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</si>
  <si>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</si>
  <si>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</si>
  <si>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</si>
  <si>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</si>
  <si>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</si>
  <si>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</si>
  <si>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</si>
  <si>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</si>
  <si>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</si>
  <si>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</si>
  <si>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</si>
  <si>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</si>
  <si>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</si>
  <si>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</si>
  <si>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</si>
  <si>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</si>
  <si>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</si>
  <si>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</si>
  <si>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</si>
  <si>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</si>
  <si>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</si>
  <si>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</si>
  <si>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</si>
  <si>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</si>
  <si>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</si>
  <si>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</si>
  <si>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</si>
  <si>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</si>
  <si>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</si>
  <si>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</si>
  <si>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</si>
  <si>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</si>
  <si>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</si>
  <si>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</si>
  <si>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</si>
  <si>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</si>
  <si>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</si>
  <si>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</si>
  <si>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</si>
  <si>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</si>
  <si>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</si>
  <si>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</si>
  <si>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</si>
  <si>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</si>
  <si>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</si>
  <si>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</si>
  <si>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</si>
  <si>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</si>
  <si>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</si>
  <si>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</si>
  <si>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</si>
  <si>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</si>
  <si>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</si>
  <si>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</si>
  <si>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</si>
  <si>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</si>
  <si>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</si>
  <si>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</si>
  <si>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</si>
  <si>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</si>
  <si>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</si>
  <si>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</si>
  <si>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</si>
  <si>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</si>
  <si>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</si>
  <si>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</si>
  <si>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</si>
  <si>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</si>
  <si>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</si>
  <si>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</si>
  <si>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</si>
  <si>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</si>
  <si>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</si>
  <si>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</si>
  <si>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</si>
  <si>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</si>
  <si>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</si>
  <si>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</si>
  <si>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</si>
  <si>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</si>
  <si>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</si>
  <si>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</si>
  <si>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</si>
  <si>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</si>
  <si>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</si>
  <si>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</si>
  <si>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</si>
  <si>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</si>
  <si>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</si>
  <si>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</si>
  <si>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</si>
  <si>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</si>
  <si>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</si>
  <si>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</si>
  <si>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</si>
  <si>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</si>
  <si>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</si>
  <si>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</si>
  <si>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</si>
  <si>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</si>
  <si>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</si>
  <si>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</si>
  <si>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</si>
  <si>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</si>
  <si>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</si>
  <si>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</si>
  <si>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</si>
  <si>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</si>
  <si>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</si>
  <si>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</si>
  <si>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</si>
  <si>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</si>
  <si>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</si>
  <si>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</si>
  <si>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</si>
  <si>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</si>
  <si>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</si>
  <si>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</si>
  <si>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</si>
  <si>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</si>
  <si>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</si>
  <si>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</si>
  <si>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</si>
  <si>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</si>
  <si>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</si>
  <si>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</si>
  <si>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</si>
  <si>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</si>
  <si>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</si>
  <si>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</si>
  <si>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</si>
  <si>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</si>
  <si>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</si>
  <si>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</si>
  <si>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</si>
  <si>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</si>
  <si>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</si>
  <si>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</si>
  <si>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</si>
  <si>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</si>
  <si>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</si>
  <si>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</si>
  <si>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</si>
  <si>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</si>
  <si>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</si>
  <si>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</si>
  <si>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</si>
  <si>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</si>
  <si>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</si>
  <si>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</si>
  <si>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</si>
  <si>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</si>
  <si>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</si>
  <si>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</si>
  <si>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</si>
  <si>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</si>
  <si>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</si>
  <si>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</si>
  <si>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</si>
  <si>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</si>
  <si>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</si>
  <si>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</si>
  <si>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</si>
  <si>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</si>
  <si>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</si>
  <si>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</si>
  <si>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</si>
  <si>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</si>
  <si>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</si>
  <si>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</si>
  <si>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</si>
  <si>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</si>
  <si>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</si>
  <si>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</si>
  <si>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</si>
  <si>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</si>
  <si>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</si>
  <si>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</si>
  <si>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</si>
  <si>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</si>
  <si>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</si>
  <si>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</si>
  <si>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</si>
  <si>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</si>
  <si>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</si>
  <si>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</si>
  <si>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</si>
  <si>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</si>
  <si>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</si>
  <si>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</si>
  <si>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</si>
  <si>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</si>
  <si>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</si>
  <si>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</si>
  <si>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</si>
  <si>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</si>
  <si>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</si>
  <si>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</si>
  <si>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</si>
  <si>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</si>
  <si>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</si>
  <si>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</si>
  <si>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</si>
  <si>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</si>
  <si>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</si>
  <si>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</si>
  <si>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</si>
  <si>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</si>
  <si>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</si>
  <si>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</si>
  <si>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</si>
  <si>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</si>
  <si>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</si>
  <si>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</si>
  <si>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</si>
  <si>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</si>
  <si>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</si>
  <si>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</si>
  <si>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</si>
  <si>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</si>
  <si>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</si>
  <si>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</si>
  <si>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</si>
  <si>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</si>
  <si>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</si>
  <si>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</si>
  <si>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</si>
  <si>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</si>
  <si>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</si>
  <si>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</si>
  <si>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</si>
  <si>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</si>
  <si>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</si>
  <si>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</si>
  <si>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</si>
  <si>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</si>
  <si>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</si>
  <si>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</si>
  <si>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</si>
  <si>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</si>
  <si>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</si>
  <si>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</si>
  <si>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</si>
  <si>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</si>
  <si>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</si>
  <si>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</si>
  <si>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</si>
  <si>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</si>
  <si>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</si>
  <si>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</si>
  <si>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</si>
  <si>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</si>
  <si>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</si>
  <si>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</si>
  <si>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</si>
  <si>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</si>
  <si>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</si>
  <si>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</si>
  <si>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</si>
  <si>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</si>
  <si>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</si>
  <si>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</si>
  <si>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</si>
  <si>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</si>
  <si>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</si>
  <si>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</si>
  <si>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</si>
  <si>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</si>
  <si>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</si>
  <si>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</si>
  <si>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</si>
  <si>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</si>
  <si>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</si>
  <si>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</si>
  <si>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</si>
  <si>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</si>
  <si>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</si>
  <si>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</si>
  <si>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</si>
  <si>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</si>
  <si>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</si>
  <si>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</si>
  <si>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</si>
  <si>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</si>
  <si>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</si>
  <si>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</si>
  <si>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</si>
  <si>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</si>
  <si>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</si>
  <si>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</si>
  <si>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</si>
  <si>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</si>
  <si>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</si>
  <si>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</si>
  <si>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</si>
  <si>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</si>
  <si>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</si>
  <si>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</si>
  <si>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</si>
  <si>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</si>
  <si>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</si>
  <si>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</si>
  <si>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</si>
  <si>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</si>
  <si>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</si>
  <si>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</si>
  <si>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</si>
  <si>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</si>
  <si>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</si>
  <si>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</si>
  <si>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</si>
  <si>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</si>
  <si>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</si>
  <si>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</si>
  <si>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</si>
  <si>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</si>
  <si>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</si>
  <si>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</si>
  <si>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</si>
  <si>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</si>
  <si>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</si>
  <si>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</si>
  <si>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</si>
  <si>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</si>
  <si>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</si>
  <si>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</si>
  <si>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</si>
  <si>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</si>
  <si>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</si>
  <si>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</si>
  <si>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</si>
  <si>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</si>
  <si>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</si>
  <si>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</si>
  <si>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</si>
  <si>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</si>
  <si>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</si>
  <si>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</si>
  <si>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</si>
  <si>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</si>
  <si>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</si>
  <si>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</si>
  <si>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</si>
  <si>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</si>
  <si>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</si>
  <si>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</si>
  <si>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</si>
  <si>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</si>
  <si>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</si>
  <si>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</si>
  <si>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</si>
  <si>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</si>
  <si>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</si>
  <si>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</si>
  <si>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</si>
  <si>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</si>
  <si>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</si>
  <si>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</si>
  <si>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</si>
  <si>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</si>
  <si>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</si>
  <si>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</si>
  <si>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</si>
  <si>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</si>
  <si>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</si>
  <si>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</si>
  <si>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</si>
  <si>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</si>
  <si>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</si>
  <si>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</si>
  <si>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</si>
  <si>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</si>
  <si>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</si>
  <si>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</si>
  <si>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</si>
  <si>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</si>
  <si>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</si>
  <si>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</si>
  <si>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</si>
  <si>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</si>
  <si>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</si>
  <si>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</si>
  <si>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</si>
  <si>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</si>
  <si>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</si>
  <si>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</si>
  <si>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</si>
  <si>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</si>
  <si>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</si>
  <si>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</si>
  <si>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</si>
  <si>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</si>
  <si>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</si>
  <si>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</si>
  <si>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</si>
  <si>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</si>
  <si>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</si>
  <si>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</si>
  <si>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</si>
  <si>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</si>
  <si>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</si>
  <si>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</si>
  <si>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</si>
  <si>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</si>
  <si>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</si>
  <si>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</si>
  <si>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</si>
  <si>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</si>
  <si>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</si>
  <si>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</si>
  <si>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</si>
  <si>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</si>
  <si>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</si>
  <si>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</si>
  <si>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</si>
  <si>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</si>
  <si>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</si>
  <si>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</si>
  <si>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</si>
  <si>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</si>
  <si>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</si>
  <si>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</si>
  <si>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</si>
  <si>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</si>
  <si>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</si>
  <si>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</si>
  <si>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</si>
  <si>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</si>
  <si>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</si>
  <si>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</si>
  <si>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</si>
  <si>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</si>
  <si>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</si>
  <si>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</si>
  <si>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</si>
  <si>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</si>
  <si>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</si>
  <si>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</si>
  <si>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</si>
  <si>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</si>
  <si>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</si>
  <si>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</si>
  <si>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</si>
  <si>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</si>
  <si>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</si>
  <si>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</si>
  <si>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</si>
  <si>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</si>
  <si>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</si>
  <si>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</si>
  <si>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</si>
  <si>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</si>
  <si>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</si>
  <si>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</si>
  <si>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</si>
  <si>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</si>
  <si>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</si>
  <si>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</si>
  <si>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</si>
  <si>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</si>
  <si>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</si>
  <si>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</si>
  <si>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</si>
  <si>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</si>
  <si>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</si>
  <si>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</si>
  <si>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</si>
  <si>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</si>
  <si>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</si>
  <si>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</si>
  <si>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</si>
  <si>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</si>
  <si>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</si>
  <si>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</si>
  <si>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</si>
  <si>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</si>
  <si>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</si>
  <si>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</si>
  <si>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</si>
  <si>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</si>
  <si>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</si>
  <si>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</si>
  <si>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</si>
  <si>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</si>
  <si>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</si>
  <si>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</si>
  <si>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</si>
  <si>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</si>
  <si>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</si>
  <si>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</si>
  <si>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</si>
  <si>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</si>
  <si>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</si>
  <si>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</si>
  <si>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</si>
  <si>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</si>
  <si>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</si>
  <si>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</si>
  <si>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</si>
  <si>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</si>
  <si>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</si>
  <si>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</si>
  <si>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</si>
  <si>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</si>
  <si>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</si>
  <si>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</si>
  <si>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</si>
  <si>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</si>
  <si>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</si>
  <si>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</si>
  <si>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</si>
  <si>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</si>
  <si>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</si>
  <si>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</si>
  <si>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</si>
  <si>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</si>
  <si>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</si>
  <si>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</si>
  <si>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</si>
  <si>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</si>
  <si>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</si>
  <si>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</si>
  <si>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</si>
  <si>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</si>
  <si>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</si>
  <si>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</si>
  <si>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</si>
  <si>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</si>
  <si>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</si>
  <si>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</si>
  <si>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</si>
  <si>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</si>
  <si>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</si>
  <si>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</si>
  <si>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</si>
  <si>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</si>
  <si>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</si>
  <si>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</si>
  <si>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</si>
  <si>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</si>
  <si>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</si>
  <si>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</si>
  <si>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</si>
  <si>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</si>
  <si>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</si>
  <si>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</si>
  <si>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</si>
  <si>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</si>
  <si>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</si>
  <si>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</si>
  <si>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</si>
  <si>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</si>
  <si>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</si>
  <si>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</si>
  <si>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</si>
  <si>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</si>
  <si>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</si>
  <si>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</si>
  <si>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</si>
  <si>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</si>
  <si>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</si>
  <si>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</si>
  <si>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</si>
  <si>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</si>
  <si>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</si>
  <si>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</si>
  <si>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</si>
  <si>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</si>
  <si>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</si>
  <si>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</si>
  <si>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</si>
  <si>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</si>
  <si>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</si>
  <si>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</si>
  <si>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</si>
  <si>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</si>
  <si>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</si>
  <si>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</si>
  <si>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</si>
  <si>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</si>
  <si>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</si>
  <si>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</si>
  <si>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</si>
  <si>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</si>
  <si>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</si>
  <si>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</si>
  <si>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</si>
  <si>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</si>
  <si>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</si>
  <si>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</si>
  <si>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</si>
  <si>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</si>
  <si>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</si>
  <si>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</si>
  <si>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</si>
  <si>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</si>
  <si>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</si>
  <si>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</si>
  <si>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</si>
  <si>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</si>
  <si>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</si>
  <si>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</si>
  <si>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</si>
  <si>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</si>
  <si>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</si>
  <si>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</si>
  <si>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</si>
  <si>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</si>
  <si>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</si>
  <si>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</si>
  <si>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</si>
  <si>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</si>
  <si>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</si>
  <si>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</si>
  <si>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</si>
  <si>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</si>
  <si>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</si>
  <si>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</si>
  <si>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</si>
  <si>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</si>
  <si>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</si>
  <si>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</si>
  <si>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</si>
  <si>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</si>
  <si>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</si>
  <si>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</si>
  <si>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</si>
  <si>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</si>
  <si>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</si>
  <si>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</si>
  <si>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</si>
  <si>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</si>
  <si>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</si>
  <si>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</si>
  <si>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</si>
  <si>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</si>
  <si>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</si>
  <si>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</si>
  <si>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</si>
  <si>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</si>
  <si>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</si>
  <si>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</si>
  <si>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</si>
  <si>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</si>
  <si>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</si>
  <si>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</si>
  <si>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</si>
  <si>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</si>
  <si>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</si>
  <si>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</si>
  <si>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</si>
  <si>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</si>
  <si>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</si>
  <si>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</si>
  <si>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</si>
  <si>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</si>
  <si>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</si>
  <si>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</si>
  <si>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</si>
  <si>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</si>
  <si>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</si>
  <si>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</si>
  <si>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</si>
  <si>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</si>
  <si>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</si>
  <si>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</si>
  <si>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</si>
  <si>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</si>
  <si>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</si>
  <si>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</si>
  <si>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</si>
  <si>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</si>
  <si>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</si>
  <si>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</si>
  <si>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</si>
  <si>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</si>
  <si>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</si>
  <si>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</si>
  <si>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</si>
  <si>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</si>
  <si>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</si>
  <si>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</si>
  <si>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</si>
  <si>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</si>
  <si>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</si>
  <si>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</si>
  <si>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</si>
  <si>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</si>
  <si>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</si>
  <si>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</si>
  <si>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</si>
  <si>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</si>
  <si>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</si>
  <si>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</si>
  <si>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</si>
  <si>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</si>
  <si>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</si>
  <si>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</si>
  <si>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</si>
  <si>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</si>
  <si>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</si>
  <si>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</si>
  <si>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</si>
  <si>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</si>
  <si>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</si>
  <si>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</si>
  <si>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</si>
  <si>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</si>
  <si>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</si>
  <si>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</si>
  <si>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</si>
  <si>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</si>
  <si>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</si>
  <si>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</si>
  <si>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</si>
  <si>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</si>
  <si>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</si>
  <si>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</si>
  <si>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</si>
  <si>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</si>
  <si>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</si>
  <si>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</si>
  <si>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</si>
  <si>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</si>
  <si>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</si>
  <si>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</si>
  <si>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</si>
  <si>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</si>
  <si>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</si>
  <si>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</si>
  <si>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</si>
  <si>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</si>
  <si>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</si>
  <si>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</si>
  <si>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</si>
  <si>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</si>
  <si>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</si>
  <si>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</si>
  <si>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</si>
  <si>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</si>
  <si>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</si>
  <si>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</si>
  <si>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</si>
  <si>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</si>
  <si>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</si>
  <si>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</si>
  <si>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</si>
  <si>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</si>
  <si>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</si>
  <si>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</si>
  <si>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</si>
  <si>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</si>
  <si>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</si>
  <si>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</si>
  <si>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</si>
  <si>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</si>
  <si>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</si>
  <si>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</si>
  <si>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</si>
  <si>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</si>
  <si>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</si>
  <si>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</si>
  <si>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</si>
  <si>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</si>
  <si>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</si>
  <si>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</si>
  <si>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</si>
  <si>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</si>
  <si>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</si>
  <si>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</si>
  <si>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</si>
  <si>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</si>
  <si>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</si>
  <si>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</si>
  <si>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</si>
  <si>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</si>
  <si>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</si>
  <si>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</si>
  <si>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</si>
  <si>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</si>
  <si>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</si>
  <si>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</si>
  <si>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</si>
  <si>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</si>
  <si>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</si>
  <si>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</si>
  <si>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</si>
  <si>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</si>
  <si>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</si>
  <si>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</si>
  <si>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</si>
  <si>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</si>
  <si>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</si>
  <si>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</si>
  <si>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</si>
  <si>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</si>
  <si>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</si>
  <si>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</si>
  <si>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</si>
  <si>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</si>
  <si>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</si>
  <si>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</si>
  <si>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</si>
  <si>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</si>
  <si>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</si>
  <si>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</si>
  <si>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</si>
  <si>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</si>
  <si>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</si>
  <si>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</si>
  <si>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</si>
  <si>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</si>
  <si>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</si>
  <si>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</si>
  <si>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</si>
  <si>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</si>
  <si>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</si>
  <si>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</si>
  <si>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</si>
  <si>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</si>
  <si>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</si>
  <si>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</si>
  <si>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</si>
  <si>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</si>
  <si>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</si>
  <si>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</si>
  <si>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</si>
  <si>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</si>
  <si>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</si>
  <si>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</si>
  <si>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</si>
  <si>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</si>
  <si>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</si>
  <si>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</si>
  <si>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</si>
  <si>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</si>
  <si>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</si>
  <si>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</si>
  <si>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</si>
  <si>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</si>
  <si>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</si>
  <si>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</si>
  <si>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</si>
  <si>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</si>
  <si>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</si>
  <si>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</si>
  <si>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</si>
  <si>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</si>
  <si>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</si>
  <si>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</si>
  <si>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</si>
  <si>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</si>
  <si>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</si>
  <si>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</si>
  <si>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</si>
  <si>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</si>
  <si>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</si>
  <si>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</si>
  <si>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</si>
  <si>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</si>
  <si>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</si>
  <si>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</si>
  <si>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</si>
  <si>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</si>
  <si>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</si>
  <si>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</si>
  <si>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</si>
  <si>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</si>
  <si>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</si>
  <si>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</si>
  <si>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</si>
  <si>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</si>
  <si>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</si>
  <si>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</si>
  <si>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</si>
  <si>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</si>
  <si>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</si>
  <si>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</si>
  <si>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</si>
  <si>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</si>
  <si>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</si>
  <si>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</si>
  <si>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</si>
  <si>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</si>
  <si>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</si>
  <si>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</si>
  <si>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</si>
  <si>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</si>
  <si>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</si>
  <si>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</si>
  <si>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</si>
  <si>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</si>
  <si>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</si>
  <si>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</si>
  <si>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</si>
  <si>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</si>
  <si>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</si>
  <si>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</si>
  <si>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</si>
  <si>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</si>
  <si>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</si>
  <si>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</si>
  <si>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</si>
  <si>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</si>
  <si>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</si>
  <si>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</si>
  <si>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</si>
  <si>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</si>
  <si>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</si>
  <si>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</si>
  <si>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</si>
  <si>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</si>
  <si>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</si>
  <si>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</si>
  <si>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</si>
  <si>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</si>
  <si>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</si>
  <si>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</si>
  <si>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</si>
  <si>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</si>
  <si>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</si>
  <si>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</si>
  <si>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</si>
  <si>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</si>
  <si>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</si>
  <si>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</si>
  <si>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</si>
  <si>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</si>
  <si>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</si>
  <si>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</si>
  <si>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</si>
  <si>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</si>
  <si>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</si>
  <si>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</si>
  <si>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</si>
  <si>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</si>
  <si>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</si>
  <si>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</si>
  <si>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</si>
  <si>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</si>
  <si>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</si>
  <si>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</si>
  <si>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</si>
  <si>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</si>
  <si>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</si>
  <si>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</si>
  <si>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</si>
  <si>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</si>
  <si>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</si>
  <si>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</si>
  <si>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</si>
  <si>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</si>
  <si>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</si>
  <si>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</si>
  <si>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</si>
  <si>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</si>
  <si>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</si>
  <si>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</si>
  <si>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</si>
  <si>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</si>
  <si>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</si>
  <si>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</si>
  <si>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</si>
  <si>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</si>
  <si>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</si>
  <si>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</si>
  <si>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</si>
  <si>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</si>
  <si>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</si>
  <si>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</si>
  <si>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</si>
  <si>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</si>
  <si>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</si>
  <si>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</si>
  <si>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</si>
  <si>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</si>
  <si>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</si>
  <si>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</si>
  <si>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</si>
  <si>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</si>
  <si>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</si>
  <si>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</si>
  <si>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</si>
  <si>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</si>
  <si>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</si>
  <si>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</si>
  <si>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</si>
  <si>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</si>
  <si>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</si>
  <si>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</si>
  <si>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</si>
  <si>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</si>
  <si>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</si>
  <si>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</si>
  <si>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</si>
  <si>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</si>
  <si>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</si>
  <si>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</si>
  <si>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</si>
  <si>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</si>
  <si>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</si>
  <si>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</si>
  <si>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</si>
  <si>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</si>
  <si>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</si>
  <si>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</si>
  <si>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</si>
  <si>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</si>
  <si>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</si>
  <si>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</si>
  <si>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</si>
  <si>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</si>
  <si>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</si>
  <si>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</si>
  <si>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</si>
  <si>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</si>
  <si>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</si>
  <si>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</si>
  <si>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</si>
  <si>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</si>
  <si>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</si>
  <si>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</si>
  <si>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</si>
  <si>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</si>
  <si>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</si>
  <si>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</si>
  <si>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</si>
  <si>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</si>
  <si>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</si>
  <si>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</si>
  <si>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</si>
  <si>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</si>
  <si>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</si>
  <si>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</si>
  <si>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</si>
  <si>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</si>
  <si>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</si>
  <si>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</si>
  <si>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</si>
  <si>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</si>
  <si>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</si>
  <si>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</si>
  <si>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</si>
  <si>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</si>
  <si>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</si>
  <si>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</si>
  <si>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</si>
  <si>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</si>
  <si>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</si>
  <si>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</si>
  <si>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</si>
  <si>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</si>
  <si>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</si>
  <si>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</si>
  <si>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</si>
  <si>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</si>
  <si>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</si>
  <si>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</si>
  <si>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</si>
  <si>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</si>
  <si>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</si>
  <si>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</si>
  <si>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</si>
  <si>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</si>
  <si>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</si>
  <si>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</si>
  <si>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</si>
  <si>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</si>
  <si>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</si>
  <si>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</si>
  <si>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</si>
  <si>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</si>
  <si>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</si>
  <si>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</si>
  <si>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</si>
  <si>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</si>
  <si>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</si>
  <si>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</si>
  <si>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</si>
  <si>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</si>
  <si>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</si>
  <si>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</si>
  <si>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</si>
  <si>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</si>
  <si>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</si>
  <si>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</si>
  <si>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</si>
  <si>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</si>
  <si>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</si>
  <si>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</si>
  <si>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</si>
  <si>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</si>
  <si>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</si>
  <si>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</si>
  <si>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</si>
  <si>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</si>
  <si>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</si>
  <si>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</si>
  <si>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</si>
  <si>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</si>
  <si>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</si>
  <si>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</si>
  <si>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</si>
  <si>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</si>
  <si>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</si>
  <si>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</si>
  <si>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</si>
  <si>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</si>
  <si>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</si>
  <si>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</si>
  <si>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</si>
  <si>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</si>
  <si>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</si>
  <si>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</si>
  <si>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</si>
  <si>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</si>
  <si>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</si>
  <si>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</si>
  <si>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</si>
  <si>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</si>
  <si>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</si>
  <si>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</si>
  <si>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</si>
  <si>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</si>
  <si>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</si>
  <si>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</si>
  <si>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</si>
  <si>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</si>
  <si>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</si>
  <si>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</si>
  <si>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</si>
  <si>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</si>
  <si>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</si>
  <si>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</si>
  <si>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</si>
  <si>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</si>
  <si>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</si>
  <si>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</si>
  <si>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</si>
  <si>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</si>
  <si>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</si>
  <si>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</si>
  <si>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</si>
  <si>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</si>
  <si>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</si>
  <si>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</si>
  <si>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</si>
  <si>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</si>
  <si>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</si>
  <si>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</si>
  <si>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</si>
  <si>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</si>
  <si>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</si>
  <si>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</si>
  <si>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</si>
  <si>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</si>
  <si>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</si>
  <si>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</si>
  <si>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</si>
  <si>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</si>
  <si>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</si>
  <si>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</si>
  <si>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</si>
  <si>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</si>
  <si>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</si>
  <si>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</si>
  <si>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</si>
  <si>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</si>
  <si>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</si>
  <si>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</si>
  <si>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</si>
  <si>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</si>
  <si>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</si>
  <si>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</si>
  <si>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</si>
  <si>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</si>
  <si>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</si>
  <si>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</si>
  <si>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</si>
  <si>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</si>
  <si>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</si>
  <si>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</si>
  <si>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</si>
  <si>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</si>
  <si>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</si>
  <si>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</si>
  <si>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</si>
  <si>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</si>
  <si>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</si>
  <si>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</si>
  <si>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</si>
  <si>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</si>
  <si>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</si>
  <si>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</si>
  <si>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</si>
  <si>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</si>
  <si>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</si>
  <si>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</si>
  <si>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</si>
  <si>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</si>
  <si>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</si>
  <si>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</si>
  <si>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</si>
  <si>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</si>
  <si>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</si>
  <si>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</si>
  <si>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</si>
  <si>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</si>
  <si>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</si>
  <si>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</si>
  <si>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</si>
  <si>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</si>
  <si>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</si>
  <si>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</si>
  <si>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</si>
  <si>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</si>
  <si>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</si>
  <si>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</si>
  <si>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</si>
  <si>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</si>
  <si>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</si>
  <si>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</si>
  <si>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</si>
  <si>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</si>
  <si>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</si>
  <si>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</si>
  <si>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</si>
  <si>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</si>
  <si>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</si>
  <si>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</si>
  <si>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</si>
  <si>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</si>
  <si>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</si>
  <si>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</si>
  <si>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</si>
  <si>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</si>
  <si>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</si>
  <si>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</si>
  <si>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</si>
  <si>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</si>
  <si>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</si>
  <si>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</si>
  <si>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</si>
  <si>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</si>
  <si>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</si>
  <si>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</si>
  <si>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</si>
  <si>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</si>
  <si>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</si>
  <si>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</si>
  <si>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</si>
  <si>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</si>
  <si>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</si>
  <si>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</si>
  <si>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</si>
  <si>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</si>
  <si>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</si>
  <si>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</si>
  <si>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</si>
  <si>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</si>
  <si>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</si>
  <si>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</si>
  <si>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</si>
  <si>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</si>
  <si>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</si>
  <si>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</si>
  <si>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</si>
  <si>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</si>
  <si>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</si>
  <si>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</si>
  <si>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</si>
  <si>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</si>
  <si>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</si>
  <si>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</si>
  <si>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</si>
  <si>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</si>
  <si>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</si>
  <si>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</si>
  <si>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</si>
  <si>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</si>
  <si>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</si>
  <si>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</si>
  <si>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</si>
  <si>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</si>
  <si>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</si>
  <si>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</si>
  <si>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</si>
  <si>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</si>
  <si>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</si>
  <si>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</si>
  <si>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</si>
  <si>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</si>
  <si>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</si>
  <si>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</si>
  <si>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</si>
  <si>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</si>
  <si>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</si>
  <si>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</si>
  <si>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</si>
  <si>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</si>
  <si>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</si>
  <si>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</si>
  <si>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</si>
  <si>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</si>
  <si>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</si>
  <si>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</si>
  <si>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</si>
  <si>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</si>
  <si>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</si>
  <si>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</si>
  <si>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</si>
  <si>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</si>
  <si>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</si>
  <si>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</si>
  <si>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</si>
  <si>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</si>
  <si>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</si>
  <si>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</si>
  <si>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</si>
  <si>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</si>
  <si>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</si>
  <si>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</si>
  <si>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</si>
  <si>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</si>
  <si>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</si>
  <si>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</si>
  <si>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</si>
  <si>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</si>
  <si>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</si>
  <si>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</si>
  <si>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</si>
  <si>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</si>
  <si>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</si>
  <si>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</si>
  <si>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</si>
  <si>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</si>
  <si>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</si>
  <si>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</si>
  <si>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</si>
  <si>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</si>
  <si>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</si>
  <si>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</si>
  <si>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</si>
  <si>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</si>
  <si>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</si>
  <si>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</si>
  <si>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</si>
  <si>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</si>
  <si>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</si>
  <si>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</si>
  <si>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</si>
  <si>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</si>
  <si>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</si>
  <si>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</si>
  <si>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</si>
  <si>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</si>
  <si>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</si>
  <si>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</si>
  <si>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</si>
  <si>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</si>
  <si>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</si>
  <si>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</si>
  <si>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</si>
  <si>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</si>
  <si>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</si>
  <si>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</si>
  <si>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</si>
  <si>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</si>
  <si>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</si>
  <si>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</si>
  <si>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</si>
  <si>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</si>
  <si>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</si>
  <si>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</si>
  <si>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</si>
  <si>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</si>
  <si>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</si>
  <si>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</si>
  <si>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</si>
  <si>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</si>
  <si>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</si>
  <si>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</si>
  <si>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</si>
  <si>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</si>
  <si>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</si>
  <si>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</si>
  <si>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</si>
  <si>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</si>
  <si>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</si>
  <si>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</si>
  <si>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</si>
  <si>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</si>
  <si>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</si>
  <si>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</si>
  <si>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</si>
  <si>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</si>
  <si>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</si>
  <si>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</si>
  <si>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</si>
  <si>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</si>
  <si>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</si>
  <si>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</si>
  <si>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</si>
  <si>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</si>
  <si>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</si>
  <si>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</si>
  <si>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</si>
  <si>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</si>
  <si>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</si>
  <si>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</si>
  <si>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</si>
  <si>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</si>
  <si>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</si>
  <si>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</si>
  <si>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</si>
  <si>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</si>
  <si>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</si>
  <si>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</si>
  <si>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</si>
  <si>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</si>
  <si>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</si>
  <si>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</si>
  <si>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</si>
  <si>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</si>
  <si>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</si>
  <si>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</si>
  <si>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</si>
  <si>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</si>
  <si>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</si>
  <si>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</si>
  <si>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</si>
  <si>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</si>
  <si>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</si>
  <si>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</si>
  <si>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</si>
  <si>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</si>
  <si>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</si>
  <si>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</si>
  <si>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</si>
  <si>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</si>
  <si>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</si>
  <si>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</si>
  <si>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</si>
  <si>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</si>
  <si>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</si>
  <si>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</si>
  <si>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</si>
  <si>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</si>
  <si>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</si>
  <si>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</si>
  <si>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</si>
  <si>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</si>
  <si>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</si>
  <si>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</si>
  <si>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</si>
  <si>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</si>
  <si>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</si>
  <si>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</si>
  <si>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</si>
  <si>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</si>
  <si>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</si>
  <si>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</si>
  <si>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</si>
  <si>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</si>
  <si>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</si>
  <si>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</si>
  <si>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</si>
  <si>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</si>
  <si>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</si>
  <si>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</si>
  <si>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</si>
  <si>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</si>
  <si>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</si>
  <si>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</si>
  <si>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</si>
  <si>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</si>
  <si>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</si>
  <si>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</si>
  <si>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</si>
  <si>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</si>
  <si>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</si>
  <si>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</si>
  <si>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</si>
  <si>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</si>
  <si>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</si>
  <si>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</si>
  <si>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</si>
  <si>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</si>
  <si>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</si>
  <si>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</si>
  <si>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</si>
  <si>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</si>
  <si>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</si>
  <si>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</si>
  <si>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</si>
  <si>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</si>
  <si>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</si>
  <si>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</si>
  <si>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</si>
  <si>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</si>
  <si>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</si>
  <si>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</si>
  <si>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</si>
  <si>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</si>
  <si>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</si>
  <si>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</si>
  <si>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</si>
  <si>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</si>
  <si>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</si>
  <si>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</si>
  <si>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</si>
  <si>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</si>
  <si>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</si>
  <si>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</si>
  <si>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</si>
  <si>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</si>
  <si>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</si>
  <si>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</si>
  <si>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</si>
  <si>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</si>
  <si>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</si>
  <si>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</si>
  <si>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</si>
  <si>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</si>
  <si>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</si>
  <si>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</si>
  <si>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</si>
  <si>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</si>
  <si>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</si>
  <si>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</si>
  <si>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</si>
  <si>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</si>
  <si>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</si>
  <si>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</si>
  <si>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</si>
  <si>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</si>
  <si>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</si>
  <si>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</si>
  <si>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</si>
  <si>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</si>
  <si>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</si>
  <si>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</si>
  <si>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</si>
  <si>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</si>
  <si>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</si>
  <si>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</si>
  <si>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</si>
  <si>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</si>
  <si>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</si>
  <si>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</si>
  <si>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</si>
  <si>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</si>
  <si>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</si>
  <si>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</si>
  <si>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</si>
  <si>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</si>
  <si>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</si>
  <si>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</si>
  <si>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</si>
  <si>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</si>
  <si>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</si>
  <si>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</si>
  <si>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</si>
  <si>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</si>
  <si>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</si>
  <si>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</si>
  <si>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</si>
  <si>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</si>
  <si>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</si>
  <si>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</si>
  <si>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</si>
  <si>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</si>
  <si>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</si>
  <si>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</si>
  <si>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</si>
  <si>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</si>
  <si>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</si>
  <si>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</si>
  <si>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</si>
  <si>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</si>
  <si>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id</t>
  </si>
  <si>
    <t>nmes2</t>
  </si>
  <si>
    <t>nipes2</t>
  </si>
  <si>
    <t>000</t>
  </si>
  <si>
    <t>003</t>
  </si>
  <si>
    <t>id2</t>
  </si>
  <si>
    <t>krdklpk</t>
  </si>
  <si>
    <t>nipkrd</t>
  </si>
  <si>
    <t>PP</t>
  </si>
  <si>
    <t>TU</t>
  </si>
  <si>
    <t>PE</t>
  </si>
  <si>
    <t>KK</t>
  </si>
  <si>
    <t>PG</t>
  </si>
  <si>
    <t>SD</t>
  </si>
  <si>
    <t>KS</t>
  </si>
  <si>
    <t>KU</t>
  </si>
  <si>
    <t>PL</t>
  </si>
  <si>
    <t>PY</t>
  </si>
  <si>
    <t>id3</t>
  </si>
  <si>
    <t>skrdklpk</t>
  </si>
  <si>
    <t>nipskrd</t>
  </si>
  <si>
    <t>UM</t>
  </si>
  <si>
    <t>PR</t>
  </si>
  <si>
    <t>EV</t>
  </si>
  <si>
    <t>SP</t>
  </si>
  <si>
    <t>MK</t>
  </si>
  <si>
    <t>KE</t>
  </si>
  <si>
    <t>KL</t>
  </si>
  <si>
    <t>SS</t>
  </si>
  <si>
    <t>SK</t>
  </si>
  <si>
    <t>PA</t>
  </si>
  <si>
    <t>JF</t>
  </si>
  <si>
    <t>HO</t>
  </si>
  <si>
    <t>HM</t>
  </si>
  <si>
    <t>DT</t>
  </si>
  <si>
    <t>PB</t>
  </si>
  <si>
    <t>Eselon2</t>
  </si>
  <si>
    <t>NSPK</t>
  </si>
  <si>
    <t>00.00. 1 -Penggandaan</t>
  </si>
  <si>
    <t>00.00. 3 -ATK</t>
  </si>
  <si>
    <t>00.00. 4 -Bahan Komputer</t>
  </si>
  <si>
    <t>00.00. 1 - Transport Lokal</t>
  </si>
  <si>
    <t>00.00. 4 -ATK</t>
  </si>
  <si>
    <t>00.00. 5 -Bahan Komputer</t>
  </si>
  <si>
    <t>00.00. 1 -Transport Lokal</t>
  </si>
  <si>
    <t>00.00. 1 -Transport lokal</t>
  </si>
  <si>
    <t>00.00. 1 -ATK</t>
  </si>
  <si>
    <t>00.00. 2 -Bahan Komputer</t>
  </si>
  <si>
    <t>00.00. 3 -Penggandaan</t>
  </si>
  <si>
    <t>00.00. 2 -ATK</t>
  </si>
  <si>
    <t>00.00. 3 -Bahan Komputer</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</si>
  <si>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</si>
  <si>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</si>
  <si>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</si>
  <si>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</si>
  <si>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</si>
  <si>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</si>
  <si>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</si>
  <si>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</si>
  <si>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</si>
  <si>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</si>
  <si>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</si>
  <si>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</si>
  <si>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</si>
  <si>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</si>
  <si>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</si>
  <si>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</si>
  <si>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</si>
  <si>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</si>
  <si>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</si>
  <si>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</si>
  <si>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</si>
  <si>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5 -Perlengkapan Kegiatan Beban Kerja Guru dan Dosen</t>
  </si>
  <si>
    <t>00.00. 1 -Dukungan Pelaksanaan Evaluasi Beban Kerja Guru dan Dosen</t>
  </si>
  <si>
    <t>00.00. 1 -Test Rapid/Antigen/PCR</t>
  </si>
  <si>
    <t>00.00. 1 -Perjalanan Evaluasi Beban Kerja Guru dan Dosen</t>
  </si>
  <si>
    <t>2378.CAN.001</t>
  </si>
  <si>
    <t>00.00. 1 -Alat pengolah data dan komunikasi</t>
  </si>
  <si>
    <t>Layanan</t>
  </si>
  <si>
    <t>2378.EBA.958</t>
  </si>
  <si>
    <t>00.00. 1 -Dukungan Kerjasama Pendidikan KP</t>
  </si>
  <si>
    <t>00.00. 2 -Komputer suplies</t>
  </si>
  <si>
    <t>00.00. 1 -Perjalanan Kerjasama Pendidikan KP</t>
  </si>
  <si>
    <t>2378.EBA.962</t>
  </si>
  <si>
    <t>00.00. 4 -Cetakan Kegiatan Administrasi SIMAK BMN</t>
  </si>
  <si>
    <t>00.00. 1 -Implementasi SIMAK - BMN</t>
  </si>
  <si>
    <t>00.00. 1 -Koordinasi kearsipan</t>
  </si>
  <si>
    <t>00.00. 1 -Test Lab Rapid/Antigen/PCR</t>
  </si>
  <si>
    <t>00.00. 1 -Perjalanan Pembinaan</t>
  </si>
  <si>
    <t>00.00. 2 -Perjalanan Koordinasi, Sinkronisasi dan pendampingan</t>
  </si>
  <si>
    <t>00.00. 1 -Kotak/Box Arsip</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</si>
  <si>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</si>
  <si>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</si>
  <si>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</si>
  <si>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</si>
  <si>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</si>
  <si>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</si>
  <si>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4 -Cetakan Kegiatan Administrasi Kepegawaian Pusdik KP</t>
  </si>
  <si>
    <t>00.00. 1 -Paket Data dan Komunikasi Pegawai (60x12)</t>
  </si>
  <si>
    <t>00.00. 2 -Masker, hand sanitizer, desinfektan, multivitami/suplemen (60 peg x 6 kali)</t>
  </si>
  <si>
    <t>00.00. 3 -Paket Data dan Komunikasi pimpinan</t>
  </si>
  <si>
    <t>00.00. 1 -Perjalanan Pengelolaan SDM Aparatur</t>
  </si>
  <si>
    <t>00.00. 1 -Sertifikasi Dosen</t>
  </si>
  <si>
    <t>00.00. 2 -Pelatihan IMO MC 6.09/3.12</t>
  </si>
  <si>
    <t>00.00. 3 -Biaya Pembuatan Sertifikat Penyamaan Persepsi BKD</t>
  </si>
  <si>
    <t>00.00. 4 -Langganan biaya video conference (500 orang lebih)</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</si>
  <si>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</si>
  <si>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</si>
  <si>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</si>
  <si>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</si>
  <si>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</si>
  <si>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</si>
  <si>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</si>
  <si>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</si>
  <si>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</si>
  <si>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</si>
  <si>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</si>
  <si>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</si>
  <si>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</si>
  <si>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</si>
  <si>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</si>
  <si>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</si>
  <si>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</si>
  <si>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</si>
  <si>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2378.EBA.994</t>
  </si>
  <si>
    <t>00.00. 1 -Belanja gaji pokok PNS(gaji ke 14)</t>
  </si>
  <si>
    <t>00.00. 2 -Belanja gaji pokok PNS</t>
  </si>
  <si>
    <t>00.00. 3 -Belanja gaji pokok PNS (gaji ke 13)</t>
  </si>
  <si>
    <t>00.00. 1 -Belanja pembulatan gaji PNS (gaji ke 14)</t>
  </si>
  <si>
    <t>00.00. 2 -Belanja pembulatan gaji PNS</t>
  </si>
  <si>
    <t>00.00. 3 -Belanja pembulatan gaji PNS (gaji ke 13)</t>
  </si>
  <si>
    <t>00.00. 1 -Belanja tunj. suami/istri PNS</t>
  </si>
  <si>
    <t>00.00. 2 -Belanja tunj. suami/istri PNS (gaji ke 13)</t>
  </si>
  <si>
    <t>00.00. 3 -Belanja tunj. suami/istri PNS (gaji ke 14)</t>
  </si>
  <si>
    <t>00.00. 1 -Belanja tunj. anak PNS (gaji ke 14)</t>
  </si>
  <si>
    <t>00.00. 2 -Belanja tunj. anak PNS</t>
  </si>
  <si>
    <t>00.00. 3 -Belanja tunj. anak PNS (gaji ke 13)</t>
  </si>
  <si>
    <t>00.00. 1 -Belanja tunj. struktural PNS (gaji ke 14)</t>
  </si>
  <si>
    <t>00.00. 2 -Belanja tunj.struktural PNS</t>
  </si>
  <si>
    <t>00.00. 3 -Belanja tunj.struktural PNS (gaji ke 13)</t>
  </si>
  <si>
    <t>00.00. 1 -Belanja tunj. fungsional PNS (gaji ke 14)</t>
  </si>
  <si>
    <t>00.00. 2 -Belanja tunj. fungsional PNS</t>
  </si>
  <si>
    <t>00.00. 3 -Belanja tunj. fungsional PNS (gaji ke 13)</t>
  </si>
  <si>
    <t>00.00. 1 -Belanja tunj. PPh PNS (gaji ke 14)</t>
  </si>
  <si>
    <t>00.00. 2 -Belanja tunj. PPh PNS</t>
  </si>
  <si>
    <t>00.00. 3 -Belanja tunj.PPh PNS (gaji ke13)</t>
  </si>
  <si>
    <t>00.00. 1 -Belanja tunj. beras PNS</t>
  </si>
  <si>
    <t>00.00. 1 -Belanja uang makan PNS</t>
  </si>
  <si>
    <t>00.00. 1 -Belanja tunj. umum PNS (gaji ke 14)</t>
  </si>
  <si>
    <t>00.00. 2 -Belanja tunj. umum PNS</t>
  </si>
  <si>
    <t>00.00. 3 -Belanja tunj. umum PNS (gaji ke 13)</t>
  </si>
  <si>
    <t>00.00. 1 -Tunjangan Kinerja</t>
  </si>
  <si>
    <t>WA.2378.EBA.994.001.GB</t>
  </si>
  <si>
    <t>Gaji dan Tunjangan Pusat Pendidikan KP (AA)</t>
  </si>
  <si>
    <t>WA.2378.EBA.994.001.GB.512411</t>
  </si>
  <si>
    <t>WA.2378.EBA.994.001.GB.512411.1</t>
  </si>
  <si>
    <t>00.00. 1 -Tunjangan Kinerja (AA)</t>
  </si>
  <si>
    <t>thn</t>
  </si>
  <si>
    <t>00.00. 1 -Keperluan sehari hari perkantoran</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</si>
  <si>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</si>
  <si>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</si>
  <si>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</si>
  <si>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</si>
  <si>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</si>
  <si>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</si>
  <si>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</si>
  <si>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</si>
  <si>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</si>
  <si>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</si>
  <si>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</si>
  <si>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</si>
  <si>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</si>
  <si>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</si>
  <si>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</si>
  <si>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</si>
  <si>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</si>
  <si>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</si>
  <si>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</si>
  <si>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</si>
  <si>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</si>
  <si>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</si>
  <si>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</si>
  <si>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</si>
  <si>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</si>
  <si>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</si>
  <si>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</si>
  <si>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</si>
  <si>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</si>
  <si>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</si>
  <si>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</si>
  <si>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</si>
  <si>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</si>
  <si>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</si>
  <si>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</si>
  <si>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</si>
  <si>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</si>
  <si>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</si>
  <si>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</si>
  <si>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</si>
  <si>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</si>
  <si>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</si>
  <si>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</si>
  <si>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</si>
  <si>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</si>
  <si>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</si>
  <si>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</si>
  <si>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</si>
  <si>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</si>
  <si>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</si>
  <si>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</si>
  <si>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</si>
  <si>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</si>
  <si>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</si>
  <si>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</si>
  <si>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</si>
  <si>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</si>
  <si>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</si>
  <si>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</si>
  <si>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</si>
  <si>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</si>
  <si>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</si>
  <si>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</si>
  <si>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</si>
  <si>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</si>
  <si>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</si>
  <si>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</si>
  <si>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</si>
  <si>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</si>
  <si>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</si>
  <si>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</si>
  <si>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</si>
  <si>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00.00. 1 -Pengadaan Kendaraan Dinas Pejabat Eselon II</t>
  </si>
  <si>
    <t>00.00. 1 -Bahan Komputer</t>
  </si>
  <si>
    <t>Dokumen</t>
  </si>
  <si>
    <t>2378.EBD.952</t>
  </si>
  <si>
    <t>00.00. 2 -Konsumsi/bahan makanan</t>
  </si>
  <si>
    <t>00.00. 3 -Pencetakan</t>
  </si>
  <si>
    <t>00.00. 1 -Perjalanan Penyusunan Perencanaan Pendidikan KP</t>
  </si>
  <si>
    <t>00.00. 1 -Perjalanan Sinkronisasi Kegiatan Pendidikan KP</t>
  </si>
  <si>
    <t>00.00. 1 -Perjalanan Identifikasi dan kajian program pendidikan KP</t>
  </si>
  <si>
    <t>2378.EBD.953</t>
  </si>
  <si>
    <t>00.00. 1 -Langganan biaya aplikasi komunikasi daring (zoom/linktree/zoho)</t>
  </si>
  <si>
    <t>00.00. 1 -Perjalanan Monev Kegiatan Teknis Pendidikan KP</t>
  </si>
  <si>
    <t>00.00. 3 -Cetakan Weekly Report Tahun 2022</t>
  </si>
  <si>
    <t>00.00. 6 -Cetakan Buku Pusat Pendidikan Dalam Angka 2022</t>
  </si>
  <si>
    <t>00.00. 1 -Dukungan Kegiatan Data dan Informasi Pendidikan KP</t>
  </si>
  <si>
    <t>00.00. 2 - Langganan biaya aplikasi komunikasi daring (zoom/linktree/zoho)</t>
  </si>
  <si>
    <t>00.00. 1 -Perjalanan Data dan Informasi Pendidikan KP</t>
  </si>
  <si>
    <t>00.00. 5 -Cetakan</t>
  </si>
  <si>
    <t>2378.EBD.955</t>
  </si>
  <si>
    <t>00.00. 5 -ATK</t>
  </si>
  <si>
    <t>00.00. 1 -Perjalanan Identifikasi dan Koordinasi</t>
  </si>
  <si>
    <t>00.00. 1 -Penyusunan POK Pusdik KP</t>
  </si>
  <si>
    <t>00.00. 3 -Cetakan SPIP</t>
  </si>
  <si>
    <t>00.00. 4 -cetakan Laporan PIPK</t>
  </si>
  <si>
    <t>00.00. 1 -Perjalanan Evaluasi Kinerja Keuangan dan Penyusunan Laporan SPIP dan PIPK</t>
  </si>
  <si>
    <t>00.00. 1 -Perjalanan Koordinasi ke KPPN, Eselon I dan Instansi Terkait</t>
  </si>
  <si>
    <t>00.00. 1 -Perjalanan Validasi data Gaji dan Tunjangan</t>
  </si>
  <si>
    <t>00.00. 1 - Transport lokal</t>
  </si>
  <si>
    <t>00.00. 1 -Pencetakan dan Penjilidan LPJ Bendahara</t>
  </si>
  <si>
    <t>00.00. 1 -Perjalanan Penyelenggaraan Verifikasi</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</si>
  <si>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</si>
  <si>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</si>
  <si>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</si>
  <si>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</si>
  <si>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</si>
  <si>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</si>
  <si>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</si>
  <si>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</si>
  <si>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1 -Perjalanan Peserta Tugas Belajar</t>
  </si>
  <si>
    <t>00.00. 2 -Perjalanan Koordinasi dan pengadministrasian Tugas Belajar</t>
  </si>
  <si>
    <t>00.00. 3 -Dukungan Koordinasi tugas belajar</t>
  </si>
  <si>
    <t>00.00. 1 -Penggadaan</t>
  </si>
  <si>
    <t>00.00. 1 -Dukungan Penyelenggaraan Tugas Belajar Luar Negeri</t>
  </si>
  <si>
    <t>00.00. 1 -Perjalanan peserta tugas belajar, Koordinasi dan Pendampingan tugas belajar</t>
  </si>
  <si>
    <t>00.00. 1 -Biaya Rapid Test/Antigen/PCR</t>
  </si>
  <si>
    <t>00.00. 1 -Perjalanan Koordinasi dan pengadministrasian izin Belajar</t>
  </si>
  <si>
    <t>Berdasarkan DIPA Revisi 1 TA. 2022 (Tanggal 14 Desember 2021)</t>
  </si>
  <si>
    <t>JANUARI</t>
  </si>
  <si>
    <t>FEBRUARI</t>
  </si>
  <si>
    <t>MARET</t>
  </si>
  <si>
    <t>APRIL</t>
  </si>
  <si>
    <t>MEI</t>
  </si>
  <si>
    <t>JUNI</t>
  </si>
  <si>
    <t>JULI</t>
  </si>
  <si>
    <t>AGUSTUS</t>
  </si>
  <si>
    <t>SEPTEMBER</t>
  </si>
  <si>
    <t>OKTOBER</t>
  </si>
  <si>
    <t>NOVEMBER</t>
  </si>
  <si>
    <t>DESEMBER</t>
  </si>
  <si>
    <t>GUP</t>
  </si>
  <si>
    <t>TUP</t>
  </si>
  <si>
    <t>LS</t>
  </si>
  <si>
    <t xml:space="preserve"> </t>
  </si>
  <si>
    <t>-</t>
  </si>
  <si>
    <t xml:space="preserve">  </t>
  </si>
  <si>
    <t>REALISASI</t>
  </si>
  <si>
    <t>%</t>
  </si>
  <si>
    <t>SISA PAGU</t>
  </si>
  <si>
    <t>Pagu</t>
  </si>
  <si>
    <t>Realisasi</t>
  </si>
  <si>
    <t>Sisa</t>
  </si>
  <si>
    <t>002. Operasional dan Pemeliharaan Kantor</t>
  </si>
  <si>
    <t>Jumlah</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</si>
  <si>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</si>
  <si>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</si>
  <si>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</si>
  <si>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</si>
  <si>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</si>
  <si>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</si>
  <si>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</si>
  <si>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</si>
  <si>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</si>
  <si>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</si>
  <si>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</si>
  <si>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</si>
  <si>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</si>
  <si>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</si>
  <si>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</si>
  <si>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</si>
  <si>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</si>
  <si>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</si>
  <si>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</si>
  <si>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</si>
  <si>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</si>
  <si>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</si>
  <si>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</si>
  <si>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</si>
  <si>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</si>
  <si>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</si>
  <si>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</si>
  <si>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</si>
  <si>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</si>
  <si>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</si>
  <si>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</si>
  <si>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</si>
  <si>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</si>
  <si>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</si>
  <si>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</si>
  <si>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</si>
  <si>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</si>
  <si>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</si>
  <si>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</si>
  <si>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</si>
  <si>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</si>
  <si>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</si>
  <si>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</si>
  <si>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</si>
  <si>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</si>
  <si>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</si>
  <si>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</si>
  <si>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</si>
  <si>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</si>
  <si>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</si>
  <si>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</si>
  <si>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</si>
  <si>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</si>
  <si>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</si>
  <si>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</si>
  <si>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</si>
  <si>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</si>
  <si>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</si>
  <si>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</si>
  <si>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</si>
  <si>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</si>
  <si>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</si>
  <si>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</si>
  <si>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</si>
  <si>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</si>
  <si>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</si>
  <si>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</si>
  <si>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</si>
  <si>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Belanja Barang Non Operasional</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</si>
  <si>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</si>
  <si>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</si>
  <si>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</si>
  <si>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</si>
  <si>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</si>
  <si>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</si>
  <si>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</si>
  <si>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</si>
  <si>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</si>
  <si>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</si>
  <si>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</si>
  <si>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</si>
  <si>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</si>
  <si>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</si>
  <si>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</si>
  <si>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</si>
  <si>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</si>
  <si>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</si>
  <si>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</si>
  <si>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</si>
  <si>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</si>
  <si>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</si>
  <si>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</si>
  <si>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</si>
  <si>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</si>
  <si>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</si>
  <si>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</si>
  <si>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</si>
  <si>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</si>
  <si>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</si>
  <si>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</si>
  <si>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</si>
  <si>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</si>
  <si>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</si>
  <si>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</si>
  <si>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</si>
  <si>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</si>
  <si>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</si>
  <si>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</si>
  <si>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</si>
  <si>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</si>
  <si>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</si>
  <si>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</si>
  <si>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</si>
  <si>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</si>
  <si>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</si>
  <si>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</si>
  <si>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</si>
  <si>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</si>
  <si>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</si>
  <si>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</si>
  <si>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</si>
  <si>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</si>
  <si>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</si>
  <si>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</si>
  <si>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</si>
  <si>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</si>
  <si>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</si>
  <si>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</si>
  <si>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</si>
  <si>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</si>
  <si>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</si>
  <si>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</si>
  <si>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</si>
  <si>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</si>
  <si>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</si>
  <si>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</si>
  <si>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</si>
  <si>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</si>
  <si>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</si>
  <si>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</si>
  <si>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</si>
  <si>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</si>
  <si>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</si>
  <si>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</si>
  <si>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</si>
  <si>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</si>
  <si>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</si>
  <si>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</si>
  <si>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</si>
  <si>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</si>
  <si>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</si>
  <si>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</si>
  <si>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</si>
  <si>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Pagu </t>
  </si>
  <si>
    <t xml:space="preserve">Realisasi </t>
  </si>
  <si>
    <t xml:space="preserve">Real % </t>
  </si>
  <si>
    <t xml:space="preserve">Sisa </t>
  </si>
  <si>
    <t xml:space="preserve">Sisa % </t>
  </si>
  <si>
    <t xml:space="preserve">Kegiatan  </t>
  </si>
  <si>
    <t>Berdasarkan DIPA Revisi 1 TA. 2022 POK 1 (Tanggal 22 Februari 2022)</t>
  </si>
  <si>
    <t>GUP 1</t>
  </si>
  <si>
    <t>TUP 1</t>
  </si>
  <si>
    <t>GUP 2</t>
  </si>
  <si>
    <t>SPBy</t>
  </si>
  <si>
    <t>KOORDINATOR</t>
  </si>
  <si>
    <t>Sum of GUP 1</t>
  </si>
  <si>
    <t>Sum of TUP 1</t>
  </si>
  <si>
    <t>Sum of GUP 2</t>
  </si>
  <si>
    <t>Row Labels</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</si>
  <si>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</si>
  <si>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</si>
  <si>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</si>
  <si>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</si>
  <si>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</si>
  <si>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</si>
  <si>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</si>
  <si>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</si>
  <si>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</si>
  <si>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</si>
  <si>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</si>
  <si>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</si>
  <si>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</si>
  <si>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</si>
  <si>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</si>
  <si>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</si>
  <si>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</si>
  <si>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</si>
  <si>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</si>
  <si>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</si>
  <si>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</si>
  <si>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</si>
  <si>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</si>
  <si>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</si>
  <si>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</si>
  <si>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</si>
  <si>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</si>
  <si>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</si>
  <si>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</si>
  <si>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</si>
  <si>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</si>
  <si>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</si>
  <si>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</si>
  <si>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</si>
  <si>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</si>
  <si>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</si>
  <si>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</si>
  <si>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</si>
  <si>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</si>
  <si>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</si>
  <si>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</si>
  <si>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</si>
  <si>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</si>
  <si>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</si>
  <si>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</si>
  <si>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</si>
  <si>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</si>
  <si>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</si>
  <si>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</si>
  <si>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</si>
  <si>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</si>
  <si>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</si>
  <si>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</si>
  <si>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</si>
  <si>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</si>
  <si>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</si>
  <si>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</si>
  <si>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</si>
  <si>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</si>
  <si>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</si>
  <si>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</si>
  <si>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</si>
  <si>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</si>
  <si>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</si>
  <si>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</si>
  <si>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</si>
  <si>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</si>
  <si>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</si>
  <si>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</si>
  <si>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</si>
  <si>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</si>
  <si>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</si>
  <si>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</si>
  <si>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</si>
  <si>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</si>
  <si>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</si>
  <si>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</si>
  <si>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</si>
  <si>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</si>
  <si>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</si>
  <si>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</si>
  <si>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</si>
  <si>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</si>
  <si>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</si>
  <si>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</si>
  <si>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</si>
  <si>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</si>
  <si>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</si>
  <si>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</si>
  <si>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</si>
  <si>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</si>
  <si>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</si>
  <si>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</si>
  <si>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</si>
  <si>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</si>
  <si>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</si>
  <si>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</si>
  <si>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</si>
  <si>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</si>
  <si>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</si>
  <si>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</si>
  <si>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</si>
  <si>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</si>
  <si>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</si>
  <si>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</si>
  <si>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</si>
  <si>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</si>
  <si>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</si>
  <si>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</si>
  <si>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</si>
  <si>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</si>
  <si>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</si>
  <si>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</si>
  <si>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</si>
  <si>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</si>
  <si>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</si>
  <si>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</si>
  <si>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</si>
  <si>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</si>
  <si>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</si>
  <si>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</si>
  <si>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</si>
  <si>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</si>
  <si>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</si>
  <si>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</si>
  <si>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</si>
  <si>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</si>
  <si>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</si>
  <si>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</si>
  <si>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</si>
  <si>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</si>
  <si>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</si>
  <si>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</si>
  <si>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</si>
  <si>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</si>
  <si>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</si>
  <si>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</si>
  <si>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</si>
  <si>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</si>
  <si>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</si>
  <si>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</si>
  <si>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</si>
  <si>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</si>
  <si>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</si>
  <si>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</si>
  <si>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</si>
  <si>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</si>
  <si>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</si>
  <si>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</si>
  <si>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</si>
  <si>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</si>
  <si>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</si>
  <si>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</si>
  <si>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</si>
  <si>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</si>
  <si>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</si>
  <si>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</si>
  <si>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</si>
  <si>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</si>
  <si>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</si>
  <si>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</si>
  <si>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</si>
  <si>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</si>
  <si>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</si>
  <si>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Berdasarkan DIPA Revisi 1 POK 2 TA. 2022 (Tanggal 14 Desember 2021)</t>
  </si>
  <si>
    <t>001. Gaji dan Tunjangan Pusat Pendidikan KP</t>
  </si>
  <si>
    <t>BELANJA PEGAWAI</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</si>
  <si>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</si>
  <si>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</si>
  <si>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</si>
  <si>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</si>
  <si>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</si>
  <si>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</si>
  <si>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</si>
  <si>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</si>
  <si>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</si>
  <si>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</si>
  <si>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</si>
  <si>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</si>
  <si>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</si>
  <si>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</si>
  <si>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</si>
  <si>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</si>
  <si>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</si>
  <si>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</si>
  <si>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</si>
  <si>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</si>
  <si>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</si>
  <si>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</si>
  <si>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</si>
  <si>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</si>
  <si>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</si>
  <si>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</si>
  <si>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</si>
  <si>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</si>
  <si>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</si>
  <si>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</si>
  <si>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</si>
  <si>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</si>
  <si>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</si>
  <si>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</si>
  <si>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</si>
  <si>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</si>
  <si>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</si>
  <si>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</si>
  <si>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</si>
  <si>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</si>
  <si>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</si>
  <si>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</si>
  <si>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</si>
  <si>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</si>
  <si>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</si>
  <si>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</si>
  <si>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</si>
  <si>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</si>
  <si>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</si>
  <si>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</si>
  <si>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</si>
  <si>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</si>
  <si>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</si>
  <si>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</si>
  <si>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</si>
  <si>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</si>
  <si>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</si>
  <si>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</si>
  <si>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</si>
  <si>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</si>
  <si>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</si>
  <si>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</si>
  <si>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</si>
  <si>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</si>
  <si>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</si>
  <si>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</si>
  <si>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</si>
  <si>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</si>
  <si>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</si>
  <si>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</si>
  <si>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</si>
  <si>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</si>
  <si>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</si>
  <si>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</si>
  <si>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</si>
  <si>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</si>
  <si>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</si>
  <si>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</si>
  <si>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</si>
  <si>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</si>
  <si>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</si>
  <si>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</si>
  <si>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</si>
  <si>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</si>
  <si>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</si>
  <si>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</si>
  <si>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</si>
  <si>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</si>
  <si>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</si>
  <si>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</si>
  <si>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</si>
  <si>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</si>
  <si>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</si>
  <si>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</si>
  <si>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</si>
  <si>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</si>
  <si>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</si>
  <si>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</si>
  <si>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</si>
  <si>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</si>
  <si>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</si>
  <si>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</si>
  <si>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</si>
  <si>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</si>
  <si>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</si>
  <si>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</si>
  <si>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</si>
  <si>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</si>
  <si>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</si>
  <si>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</si>
  <si>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</si>
  <si>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</si>
  <si>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</si>
  <si>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</si>
  <si>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</si>
  <si>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</si>
  <si>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</si>
  <si>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</si>
  <si>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</si>
  <si>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</si>
  <si>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</si>
  <si>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</si>
  <si>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</si>
  <si>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</si>
  <si>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</si>
  <si>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</si>
  <si>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</si>
  <si>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</si>
  <si>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</si>
  <si>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</si>
  <si>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</si>
  <si>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</si>
  <si>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</si>
  <si>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</si>
  <si>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</si>
  <si>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</si>
  <si>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</si>
  <si>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</si>
  <si>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</si>
  <si>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</si>
  <si>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</si>
  <si>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</si>
  <si>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</si>
  <si>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</si>
  <si>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</si>
  <si>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</si>
  <si>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</si>
  <si>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</si>
  <si>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</si>
  <si>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</si>
  <si>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</si>
  <si>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</si>
  <si>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</si>
  <si>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</si>
  <si>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</si>
  <si>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</si>
  <si>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</si>
  <si>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</si>
  <si>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24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</si>
  <si>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</si>
  <si>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</si>
  <si>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</si>
  <si>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</si>
  <si>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</si>
  <si>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</si>
  <si>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</si>
  <si>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</si>
  <si>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</si>
  <si>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</si>
  <si>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</si>
  <si>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</si>
  <si>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</si>
  <si>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</si>
  <si>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</si>
  <si>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</si>
  <si>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</si>
  <si>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</si>
  <si>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</si>
  <si>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</si>
  <si>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</si>
  <si>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</si>
  <si>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</si>
  <si>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</si>
  <si>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</si>
  <si>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</si>
  <si>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</si>
  <si>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</si>
  <si>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</si>
  <si>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</si>
  <si>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</si>
  <si>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</si>
  <si>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</si>
  <si>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</si>
  <si>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</si>
  <si>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</si>
  <si>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</si>
  <si>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</si>
  <si>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</si>
  <si>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</si>
  <si>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</si>
  <si>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</si>
  <si>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</si>
  <si>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</si>
  <si>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</si>
  <si>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</si>
  <si>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</si>
  <si>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</si>
  <si>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</si>
  <si>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</si>
  <si>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</si>
  <si>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</si>
  <si>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</si>
  <si>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</si>
  <si>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</si>
  <si>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</si>
  <si>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</si>
  <si>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</si>
  <si>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</si>
  <si>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</si>
  <si>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</si>
  <si>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</si>
  <si>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</si>
  <si>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</si>
  <si>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</si>
  <si>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</si>
  <si>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TUP 2 TAHAP 1</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</si>
  <si>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</si>
  <si>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</si>
  <si>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</si>
  <si>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</si>
  <si>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</si>
  <si>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</si>
  <si>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</si>
  <si>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</si>
  <si>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</si>
  <si>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</si>
  <si>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</si>
  <si>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</si>
  <si>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</si>
  <si>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</si>
  <si>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</si>
  <si>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</si>
  <si>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</si>
  <si>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</si>
  <si>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</si>
  <si>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</si>
  <si>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</si>
  <si>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</si>
  <si>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</si>
  <si>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</si>
  <si>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</si>
  <si>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</si>
  <si>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</si>
  <si>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</si>
  <si>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</si>
  <si>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</si>
  <si>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</si>
  <si>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</si>
  <si>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</si>
  <si>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</si>
  <si>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</si>
  <si>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</si>
  <si>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</si>
  <si>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</si>
  <si>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</si>
  <si>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</si>
  <si>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</si>
  <si>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</si>
  <si>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</si>
  <si>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</si>
  <si>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</si>
  <si>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</si>
  <si>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</si>
  <si>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</si>
  <si>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</si>
  <si>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</si>
  <si>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</si>
  <si>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</si>
  <si>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</si>
  <si>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</si>
  <si>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</si>
  <si>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</si>
  <si>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</si>
  <si>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</si>
  <si>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</si>
  <si>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</si>
  <si>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</si>
  <si>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</si>
  <si>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</si>
  <si>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</si>
  <si>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</si>
  <si>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</si>
  <si>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</si>
  <si>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</si>
  <si>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</si>
  <si>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</si>
  <si>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</si>
  <si>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</si>
  <si>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</si>
  <si>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</si>
  <si>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</si>
  <si>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</si>
  <si>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</si>
  <si>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</si>
  <si>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</si>
  <si>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</si>
  <si>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</si>
  <si>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</si>
  <si>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</si>
  <si>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</si>
  <si>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</si>
  <si>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</si>
  <si>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</si>
  <si>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</si>
  <si>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</si>
  <si>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</si>
  <si>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</si>
  <si>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</si>
  <si>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</si>
  <si>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</si>
  <si>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</si>
  <si>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</si>
  <si>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</si>
  <si>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</si>
  <si>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</si>
  <si>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</si>
  <si>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</si>
  <si>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</si>
  <si>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</si>
  <si>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</si>
  <si>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</si>
  <si>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</si>
  <si>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</si>
  <si>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</si>
  <si>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</si>
  <si>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</si>
  <si>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</si>
  <si>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</si>
  <si>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</si>
  <si>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</si>
  <si>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</si>
  <si>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</si>
  <si>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</si>
  <si>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Perdin</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</si>
  <si>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</si>
  <si>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</si>
  <si>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</si>
  <si>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</si>
  <si>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</si>
  <si>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</si>
  <si>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</si>
  <si>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</si>
  <si>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</si>
  <si>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</si>
  <si>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</si>
  <si>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</si>
  <si>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</si>
  <si>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</si>
  <si>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</si>
  <si>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</si>
  <si>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</si>
  <si>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</si>
  <si>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</si>
  <si>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</si>
  <si>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TUP 2 TAHAP 2</t>
  </si>
  <si>
    <t>8 Juni 2022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</si>
  <si>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</si>
  <si>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</si>
  <si>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</si>
  <si>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</si>
  <si>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</si>
  <si>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</si>
  <si>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</si>
  <si>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</si>
  <si>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</si>
  <si>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</si>
  <si>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</si>
  <si>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</si>
  <si>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</si>
  <si>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</si>
  <si>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</si>
  <si>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</si>
  <si>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</si>
  <si>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</si>
  <si>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</si>
  <si>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</si>
  <si>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</si>
  <si>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</si>
  <si>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</si>
  <si>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</si>
  <si>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</si>
  <si>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</si>
  <si>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</si>
  <si>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</si>
  <si>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</si>
  <si>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</si>
  <si>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</si>
  <si>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</si>
  <si>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</si>
  <si>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</si>
  <si>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</si>
  <si>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</si>
  <si>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</si>
  <si>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</si>
  <si>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</si>
  <si>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</si>
  <si>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</si>
  <si>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</si>
  <si>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</si>
  <si>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</si>
  <si>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</si>
  <si>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</si>
  <si>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</si>
  <si>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</si>
  <si>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</si>
  <si>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</si>
  <si>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</si>
  <si>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</si>
  <si>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SAMPAI DENGAN 15 JUNI 2022</t>
  </si>
  <si>
    <t>ProgKgt</t>
  </si>
  <si>
    <t>KroRo</t>
  </si>
  <si>
    <t>Kmpnen</t>
  </si>
  <si>
    <t>Skmpnen</t>
  </si>
  <si>
    <t>Kdakun</t>
  </si>
  <si>
    <t>Detil</t>
  </si>
  <si>
    <t>PaguRevisi</t>
  </si>
  <si>
    <t>PeriodeLalu</t>
  </si>
  <si>
    <t>PeriodeIni</t>
  </si>
  <si>
    <t>sdPeriode</t>
  </si>
  <si>
    <t>Persentase</t>
  </si>
  <si>
    <t>KodeDetil</t>
  </si>
  <si>
    <t>KetDetil</t>
  </si>
  <si>
    <t>IKU</t>
  </si>
  <si>
    <t>SPJ Fisik</t>
  </si>
  <si>
    <t>301.B</t>
  </si>
  <si>
    <t>001356. ATK</t>
  </si>
  <si>
    <t>0,161166667</t>
  </si>
  <si>
    <t>001356</t>
  </si>
  <si>
    <t>ATK</t>
  </si>
  <si>
    <t>001352. Dukungan Penyelenggaraan Tugas Belajar</t>
  </si>
  <si>
    <t>0,999256983</t>
  </si>
  <si>
    <t>001352</t>
  </si>
  <si>
    <t>Dukungan Penyelenggaraan Tugas Belajar</t>
  </si>
  <si>
    <t>001351. Penggadaan</t>
  </si>
  <si>
    <t>0,162083333</t>
  </si>
  <si>
    <t>001351</t>
  </si>
  <si>
    <t>Penggadaan</t>
  </si>
  <si>
    <t>301.A</t>
  </si>
  <si>
    <t>001349. Perjalanan Koordinasi dan pengadministrasian Tugas Belajar</t>
  </si>
  <si>
    <t>0,263269231</t>
  </si>
  <si>
    <t>001349</t>
  </si>
  <si>
    <t>Perjalanan Koordinasi dan pengadministrasian Tugas Belajar</t>
  </si>
  <si>
    <t>301.F</t>
  </si>
  <si>
    <t>001193. Perjalanan Penyelenggaraan Verifikasi</t>
  </si>
  <si>
    <t>0,719819026</t>
  </si>
  <si>
    <t>001193</t>
  </si>
  <si>
    <t>Perjalanan Penyelenggaraan Verifikasi</t>
  </si>
  <si>
    <t>001328. Perjalanan Data dan Informasi Pendidikan KP</t>
  </si>
  <si>
    <t>0,999987669</t>
  </si>
  <si>
    <t>001328</t>
  </si>
  <si>
    <t>Perjalanan Data dan Informasi Pendidikan KP</t>
  </si>
  <si>
    <t>001320. Konsumsi/bahan makanan</t>
  </si>
  <si>
    <t>0,99858156</t>
  </si>
  <si>
    <t>001320</t>
  </si>
  <si>
    <t>Konsumsi/Bahan Makanan</t>
  </si>
  <si>
    <t>301.G</t>
  </si>
  <si>
    <t>000705. Fasilitasi Pelaksanaan Kewirausahaan dan TEFA</t>
  </si>
  <si>
    <t>0,999994602</t>
  </si>
  <si>
    <t>000705</t>
  </si>
  <si>
    <t>Fasilitasi Pelaksanaan Kewirausahaan dan TEFA</t>
  </si>
  <si>
    <t>000698. Perjalanan Peningkatan Kompetensi Pendidik dan Tenaga Kependidikan</t>
  </si>
  <si>
    <t>0,590650182</t>
  </si>
  <si>
    <t>000698</t>
  </si>
  <si>
    <t>Perjalanan Peningkatan Kompetensi Pendidik dan Tenaga Kependidikan</t>
  </si>
  <si>
    <t>053.B</t>
  </si>
  <si>
    <t>000202. Perjalanan Penjaminan Mutu Kelembagaan</t>
  </si>
  <si>
    <t>0,951336783</t>
  </si>
  <si>
    <t>000202</t>
  </si>
  <si>
    <t>Perjalanan Penjaminan Mutu Kelembagaan</t>
  </si>
  <si>
    <t>052.A</t>
  </si>
  <si>
    <t>000181. NSPK Peserta Didik Standar Sarana dan Prasarana Pendidikan KP</t>
  </si>
  <si>
    <t>0,634421053</t>
  </si>
  <si>
    <t>000181</t>
  </si>
  <si>
    <t>301.E</t>
  </si>
  <si>
    <t>001187. ATK</t>
  </si>
  <si>
    <t>0,664666667</t>
  </si>
  <si>
    <t>001187</t>
  </si>
  <si>
    <t>001186. Bahan Komputer</t>
  </si>
  <si>
    <t>0,655555556</t>
  </si>
  <si>
    <t>001186</t>
  </si>
  <si>
    <t>Bahan Komputer</t>
  </si>
  <si>
    <t>301.D</t>
  </si>
  <si>
    <t>001182. ATK</t>
  </si>
  <si>
    <t>0,666666667</t>
  </si>
  <si>
    <t>001182</t>
  </si>
  <si>
    <t>001180. Cetakan SPIP</t>
  </si>
  <si>
    <t>0,997142857</t>
  </si>
  <si>
    <t>001180</t>
  </si>
  <si>
    <t>Cetakan SPIP</t>
  </si>
  <si>
    <t>001178. Bahan Komputer</t>
  </si>
  <si>
    <t>0,732666667</t>
  </si>
  <si>
    <t>001178</t>
  </si>
  <si>
    <t>301.C</t>
  </si>
  <si>
    <t>001175. ATK</t>
  </si>
  <si>
    <t>0,666166667</t>
  </si>
  <si>
    <t>001175</t>
  </si>
  <si>
    <t>001174. Bahan Komputer</t>
  </si>
  <si>
    <t>0,66</t>
  </si>
  <si>
    <t>001174</t>
  </si>
  <si>
    <t>001171. ATK</t>
  </si>
  <si>
    <t>001171</t>
  </si>
  <si>
    <t>001169. Bahan Komputer</t>
  </si>
  <si>
    <t>001169</t>
  </si>
  <si>
    <t>001166. Bahan Komputer</t>
  </si>
  <si>
    <t>0,856666667</t>
  </si>
  <si>
    <t>001166</t>
  </si>
  <si>
    <t>001165. ATK</t>
  </si>
  <si>
    <t>0,7992</t>
  </si>
  <si>
    <t>001165</t>
  </si>
  <si>
    <t>001164. Konsumsi/bahan makanan</t>
  </si>
  <si>
    <t>0,964285714</t>
  </si>
  <si>
    <t>001164</t>
  </si>
  <si>
    <t>001163. Penggandaan</t>
  </si>
  <si>
    <t>0,258333333</t>
  </si>
  <si>
    <t>001163</t>
  </si>
  <si>
    <t>Penggandaan</t>
  </si>
  <si>
    <t>302.A</t>
  </si>
  <si>
    <t>001334. Cetakan</t>
  </si>
  <si>
    <t>1</t>
  </si>
  <si>
    <t>001334</t>
  </si>
  <si>
    <t>Cetakan</t>
  </si>
  <si>
    <t>001333. Bahan Komputer</t>
  </si>
  <si>
    <t>0,5</t>
  </si>
  <si>
    <t>001333</t>
  </si>
  <si>
    <t>001332. ATK</t>
  </si>
  <si>
    <t>0,496</t>
  </si>
  <si>
    <t>001332</t>
  </si>
  <si>
    <t>001331. Konsumsi/bahan makanan</t>
  </si>
  <si>
    <t>0,955555556</t>
  </si>
  <si>
    <t>001331</t>
  </si>
  <si>
    <t>001330. Penggandaan</t>
  </si>
  <si>
    <t>0,25</t>
  </si>
  <si>
    <t>001330</t>
  </si>
  <si>
    <t>001323. Bahan Komputer</t>
  </si>
  <si>
    <t>001323</t>
  </si>
  <si>
    <t>001322. ATK</t>
  </si>
  <si>
    <t>0,4995</t>
  </si>
  <si>
    <t>001322</t>
  </si>
  <si>
    <t>001321. Cetakan Weekly Report Tahun 2022</t>
  </si>
  <si>
    <t>001321</t>
  </si>
  <si>
    <t>Cetakan Weekly Report Tahun 2022</t>
  </si>
  <si>
    <t>001319. Penggandaan</t>
  </si>
  <si>
    <t>001319</t>
  </si>
  <si>
    <t>001316. Bahan Komputer</t>
  </si>
  <si>
    <t>0,664444444</t>
  </si>
  <si>
    <t>001316</t>
  </si>
  <si>
    <t>001315. ATK</t>
  </si>
  <si>
    <t>0,656166667</t>
  </si>
  <si>
    <t>001315</t>
  </si>
  <si>
    <t>001313. Konsumsi/bahan makanan</t>
  </si>
  <si>
    <t>0,117333333</t>
  </si>
  <si>
    <t>001313</t>
  </si>
  <si>
    <t>001039. Konsumsi/bahan makanan</t>
  </si>
  <si>
    <t>001039</t>
  </si>
  <si>
    <t>001038. Penggandaan</t>
  </si>
  <si>
    <t>0,560809524</t>
  </si>
  <si>
    <t>001038</t>
  </si>
  <si>
    <t>001030. Penggandaan</t>
  </si>
  <si>
    <t>0,494916667</t>
  </si>
  <si>
    <t>001030</t>
  </si>
  <si>
    <t>001023. Penggandaan</t>
  </si>
  <si>
    <t>0,4985</t>
  </si>
  <si>
    <t>001023</t>
  </si>
  <si>
    <t>301.I</t>
  </si>
  <si>
    <t>000727.  Cetakan Buku Panduan Penerimaan Peserta Didik</t>
  </si>
  <si>
    <t>0,99915493</t>
  </si>
  <si>
    <t>000727</t>
  </si>
  <si>
    <t>Cetakan Buku Panduan Penerimaan Peserta Didik</t>
  </si>
  <si>
    <t>000726. Cetak Leaflet Penerimaan peserta didik</t>
  </si>
  <si>
    <t>0,983333333</t>
  </si>
  <si>
    <t>000726</t>
  </si>
  <si>
    <t>Cetak Leaflet Penerimaan peserta didik</t>
  </si>
  <si>
    <t>000724. Bahan Komputer</t>
  </si>
  <si>
    <t>0,486333333</t>
  </si>
  <si>
    <t>000724</t>
  </si>
  <si>
    <t>000723. ATK</t>
  </si>
  <si>
    <t>0,4925</t>
  </si>
  <si>
    <t>000723</t>
  </si>
  <si>
    <t>000721. Konsumsi/Bahan Makanan</t>
  </si>
  <si>
    <t>0,352</t>
  </si>
  <si>
    <t>000721</t>
  </si>
  <si>
    <t>000702. Bahan Komputer</t>
  </si>
  <si>
    <t>0,996666667</t>
  </si>
  <si>
    <t>000702</t>
  </si>
  <si>
    <t>000701. ATK</t>
  </si>
  <si>
    <t>0,9935</t>
  </si>
  <si>
    <t>000701</t>
  </si>
  <si>
    <t>000699. Konsumsi/Bahan Makanan</t>
  </si>
  <si>
    <t>0,900895522</t>
  </si>
  <si>
    <t>000699</t>
  </si>
  <si>
    <t>000691. Bahan Komputer</t>
  </si>
  <si>
    <t>000691</t>
  </si>
  <si>
    <t>000690. ATK</t>
  </si>
  <si>
    <t>0,9995</t>
  </si>
  <si>
    <t>000690</t>
  </si>
  <si>
    <t>000689. Penggandaan</t>
  </si>
  <si>
    <t>0,9998</t>
  </si>
  <si>
    <t>000689</t>
  </si>
  <si>
    <t>000682. Cetakan Kegiatan Administrasi Kepegawaian Pusdik KP (Buku Kerja, Buku Pegawai dan Laporan)</t>
  </si>
  <si>
    <t>000682</t>
  </si>
  <si>
    <t>Cetakan Kegiatan Administrasi Kepegawaian Pusdik KP (Buku Kerja, Buku Pegawai dan Laporan)</t>
  </si>
  <si>
    <t>000681. Bahan Komputer</t>
  </si>
  <si>
    <t>000681</t>
  </si>
  <si>
    <t>000680. ATK</t>
  </si>
  <si>
    <t>0,997</t>
  </si>
  <si>
    <t>000680</t>
  </si>
  <si>
    <t>000679. Penggandaan</t>
  </si>
  <si>
    <t>0,998666667</t>
  </si>
  <si>
    <t>000679</t>
  </si>
  <si>
    <t>000676. Cetakan Kegiatan dan Laporan</t>
  </si>
  <si>
    <t>0,999333333</t>
  </si>
  <si>
    <t>000676</t>
  </si>
  <si>
    <t>Cetakan Kegiatan dan Laporan</t>
  </si>
  <si>
    <t>000675. Penggandaan</t>
  </si>
  <si>
    <t>0,332888889</t>
  </si>
  <si>
    <t>000675</t>
  </si>
  <si>
    <t>000674. Bahan Komputer</t>
  </si>
  <si>
    <t>0,333333333</t>
  </si>
  <si>
    <t>000674</t>
  </si>
  <si>
    <t>000673. ATK</t>
  </si>
  <si>
    <t>0,320666667</t>
  </si>
  <si>
    <t>000673</t>
  </si>
  <si>
    <t>000669. Cetakan Kegiatan dan Laporan</t>
  </si>
  <si>
    <t>000669</t>
  </si>
  <si>
    <t>000668. Bahan Komputer</t>
  </si>
  <si>
    <t>0,993333333</t>
  </si>
  <si>
    <t>000668</t>
  </si>
  <si>
    <t>000667. ATK</t>
  </si>
  <si>
    <t>0,9945</t>
  </si>
  <si>
    <t>000667</t>
  </si>
  <si>
    <t>000666. Penggandaan</t>
  </si>
  <si>
    <t>000666</t>
  </si>
  <si>
    <t>000665. Pencetakan Buku Peraturan</t>
  </si>
  <si>
    <t>0,9959475</t>
  </si>
  <si>
    <t>000665</t>
  </si>
  <si>
    <t>Pencetakan Buku Peraturan</t>
  </si>
  <si>
    <t>000660. Bahan Komputer</t>
  </si>
  <si>
    <t>0,7425</t>
  </si>
  <si>
    <t>000660</t>
  </si>
  <si>
    <t>000659. ATK</t>
  </si>
  <si>
    <t>000659</t>
  </si>
  <si>
    <t>000655. Penggandaan</t>
  </si>
  <si>
    <t>000655</t>
  </si>
  <si>
    <t>000654. Bahan Komputer</t>
  </si>
  <si>
    <t>0,75</t>
  </si>
  <si>
    <t>000654</t>
  </si>
  <si>
    <t>000653. ATK</t>
  </si>
  <si>
    <t>0,666533333</t>
  </si>
  <si>
    <t>000653</t>
  </si>
  <si>
    <t>311.A</t>
  </si>
  <si>
    <t>000354. Konsumsi/Bahan Makan</t>
  </si>
  <si>
    <t>0,475</t>
  </si>
  <si>
    <t>000354</t>
  </si>
  <si>
    <t>Konsumsi/Bahan Makan</t>
  </si>
  <si>
    <t>000353. Penggandaan</t>
  </si>
  <si>
    <t>0,489375</t>
  </si>
  <si>
    <t>000353</t>
  </si>
  <si>
    <t>001192. ATK</t>
  </si>
  <si>
    <t>0,363636364</t>
  </si>
  <si>
    <t>001192</t>
  </si>
  <si>
    <t>001191. Bahan Komputer</t>
  </si>
  <si>
    <t>0,361212121</t>
  </si>
  <si>
    <t>001191</t>
  </si>
  <si>
    <t>001042. Bahan Komputer</t>
  </si>
  <si>
    <t>0,55702381</t>
  </si>
  <si>
    <t>001042</t>
  </si>
  <si>
    <t>001041. ATK</t>
  </si>
  <si>
    <t>0,568142857</t>
  </si>
  <si>
    <t>001041</t>
  </si>
  <si>
    <t>001035. Bahan Komputer</t>
  </si>
  <si>
    <t>0,490416667</t>
  </si>
  <si>
    <t>001035</t>
  </si>
  <si>
    <t>001034. ATK</t>
  </si>
  <si>
    <t>0,48725</t>
  </si>
  <si>
    <t>001034</t>
  </si>
  <si>
    <t>001028. Bahan Komputer</t>
  </si>
  <si>
    <t>0,485</t>
  </si>
  <si>
    <t>001028</t>
  </si>
  <si>
    <t>001027. ATK</t>
  </si>
  <si>
    <t>0,48475</t>
  </si>
  <si>
    <t>001027</t>
  </si>
  <si>
    <t>002.GA</t>
  </si>
  <si>
    <t>000579. Amplop Kop Kecil</t>
  </si>
  <si>
    <t>000579</t>
  </si>
  <si>
    <t>Amplop Kop Kecil</t>
  </si>
  <si>
    <t>000578. Amplop Kop Besar</t>
  </si>
  <si>
    <t>000578</t>
  </si>
  <si>
    <t>Amplop Kop Besar</t>
  </si>
  <si>
    <t>000577. Kertas Kop F4 (4 warna)</t>
  </si>
  <si>
    <t>0,499583333</t>
  </si>
  <si>
    <t>000577</t>
  </si>
  <si>
    <t>Kertas Kop F4 (4 warna)</t>
  </si>
  <si>
    <t>000576. Kertas Kop A4 (4 warna)</t>
  </si>
  <si>
    <t>000576</t>
  </si>
  <si>
    <t>Kertas Kop A4 (4 warna)</t>
  </si>
  <si>
    <t>000575. Kertas Fotocopy F4</t>
  </si>
  <si>
    <t>0,416666667</t>
  </si>
  <si>
    <t>000575</t>
  </si>
  <si>
    <t>Kertas Fotocopy F4</t>
  </si>
  <si>
    <t>000574. Kertas Fotocopy A4</t>
  </si>
  <si>
    <t>000574</t>
  </si>
  <si>
    <t>Kertas Fotocopy A4</t>
  </si>
  <si>
    <t>000573. Bahan Komputer</t>
  </si>
  <si>
    <t>0,322833333</t>
  </si>
  <si>
    <t>000573</t>
  </si>
  <si>
    <t>000572. ATK</t>
  </si>
  <si>
    <t>0,398575</t>
  </si>
  <si>
    <t>000572</t>
  </si>
  <si>
    <t>000357. Komputer suplies</t>
  </si>
  <si>
    <t>0,400625</t>
  </si>
  <si>
    <t>000357</t>
  </si>
  <si>
    <t>Komputer Suplies</t>
  </si>
  <si>
    <t>000356. ATK</t>
  </si>
  <si>
    <t>0,494</t>
  </si>
  <si>
    <t>000356</t>
  </si>
  <si>
    <t>002.GD</t>
  </si>
  <si>
    <t>000603. Pengelola BMN Pembantu 1 ORG x 12 BLN</t>
  </si>
  <si>
    <t>000603</t>
  </si>
  <si>
    <t>Pengelola BMN Pembantu 1 ORG x 12 BLN</t>
  </si>
  <si>
    <t>000602. Pengelola SAK Pembantu 1 ORG x 12 BLN</t>
  </si>
  <si>
    <t>000602</t>
  </si>
  <si>
    <t>Pengelola SAK Pembantu 1 ORG x 12 BLN</t>
  </si>
  <si>
    <t>000601. Penyimpan BMN Pembantu 1 ORG x 12 BLN</t>
  </si>
  <si>
    <t>000601</t>
  </si>
  <si>
    <t>Penyimpan BMN Pembantu 1 ORG x 12 BLN</t>
  </si>
  <si>
    <t>000600. Pejabat Pengadaan Barang dan Jasa 1 ORG x 12 BLN</t>
  </si>
  <si>
    <t>000600</t>
  </si>
  <si>
    <t>Pejabat Pengadaan Barang dan Jasa 1 ORG x 12 BLN</t>
  </si>
  <si>
    <t>000599. Staf Pengelola Keuangan KPA ( 1 ORG x 12 BLN)</t>
  </si>
  <si>
    <t>000599</t>
  </si>
  <si>
    <t>Staf Pengelola Keuangan KPA ( 1 ORG x 12 BLN)</t>
  </si>
  <si>
    <t>000598. Bendahara Pengeluaran Pembantu (1 ORG x 12 BLN)</t>
  </si>
  <si>
    <t>0,754115226</t>
  </si>
  <si>
    <t>000598</t>
  </si>
  <si>
    <t>Bendahara Pengeluaran Pembantu (1 ORG x 12 BLN)</t>
  </si>
  <si>
    <t>000596. PPK Pusat Pendiidikan</t>
  </si>
  <si>
    <t>000596</t>
  </si>
  <si>
    <t>PPK Pusat Pendiidikan</t>
  </si>
  <si>
    <t>000594. Pakaian Dinas Pegawai</t>
  </si>
  <si>
    <t>0,518203034</t>
  </si>
  <si>
    <t>000594</t>
  </si>
  <si>
    <t>Pakaian Dinas Pegawai</t>
  </si>
  <si>
    <t>002.GC</t>
  </si>
  <si>
    <t>000593. Pemeliharaan Aquarium (2 unit)</t>
  </si>
  <si>
    <t>000593</t>
  </si>
  <si>
    <t>Pemeliharaan Aquarium (2 unit)</t>
  </si>
  <si>
    <t>000591. Kamera</t>
  </si>
  <si>
    <t>0,331560284</t>
  </si>
  <si>
    <t>000591</t>
  </si>
  <si>
    <t>Kamera</t>
  </si>
  <si>
    <t>000590. LCD</t>
  </si>
  <si>
    <t>0,337857143</t>
  </si>
  <si>
    <t>000590</t>
  </si>
  <si>
    <t>LCD</t>
  </si>
  <si>
    <t>000589. Printer</t>
  </si>
  <si>
    <t>0,227743271</t>
  </si>
  <si>
    <t>000589</t>
  </si>
  <si>
    <t>Printer</t>
  </si>
  <si>
    <t>000588. Komputer PC</t>
  </si>
  <si>
    <t>0,17023092</t>
  </si>
  <si>
    <t>000588</t>
  </si>
  <si>
    <t>Komputer PC</t>
  </si>
  <si>
    <t>000586. Pemeliharaan dan Operasional Kendaraan Roda Dua</t>
  </si>
  <si>
    <t>0,191917582</t>
  </si>
  <si>
    <t>000586</t>
  </si>
  <si>
    <t>Pemeliharaan dan Operasional Kendaraan Roda Dua</t>
  </si>
  <si>
    <t>000585. Pemeliharaan dan Operasional Kendaraan Roda 4</t>
  </si>
  <si>
    <t>0,19797612</t>
  </si>
  <si>
    <t>000585</t>
  </si>
  <si>
    <t>Pemeliharaan dan Operasional Kendaraan Roda 4</t>
  </si>
  <si>
    <t>000584. Pemeliharaan dan Operasional Kendaraan Pejabat Eselon II</t>
  </si>
  <si>
    <t>0,245778466</t>
  </si>
  <si>
    <t>000584</t>
  </si>
  <si>
    <t>Pemeliharaan dan Operasional Kendaraan Pejabat Eselon II</t>
  </si>
  <si>
    <t>002.GB</t>
  </si>
  <si>
    <t>000582. Sewa Mesin Photocopy</t>
  </si>
  <si>
    <t>0,33</t>
  </si>
  <si>
    <t>000582</t>
  </si>
  <si>
    <t>Sewa Mesin Photocopy</t>
  </si>
  <si>
    <t>000581. Pengiriman surat dan dokumen/barang lainnya</t>
  </si>
  <si>
    <t>0,076201667</t>
  </si>
  <si>
    <t>000581</t>
  </si>
  <si>
    <t>Pengiriman surat dan dokumen/barang lainnya</t>
  </si>
  <si>
    <t>000571. Estetika Kantor dan Pengharum Ruangan</t>
  </si>
  <si>
    <t>0,145454545</t>
  </si>
  <si>
    <t>000571</t>
  </si>
  <si>
    <t>Estetika Kantor dan Pengharum Ruangan</t>
  </si>
  <si>
    <t>000570. Langganan biaya video conference dan Zoho</t>
  </si>
  <si>
    <t>0,202785938</t>
  </si>
  <si>
    <t>000570</t>
  </si>
  <si>
    <t>Langganan biaya video conference dan Zoho</t>
  </si>
  <si>
    <t>000569. Langganan Majalah dan Surat Kabar</t>
  </si>
  <si>
    <t>0,336</t>
  </si>
  <si>
    <t>000569</t>
  </si>
  <si>
    <t>Langganan Majalah dan surat kabar</t>
  </si>
  <si>
    <t>000567. BPJS Ketenagakerjaan Pengemudi dan Pramubhakti</t>
  </si>
  <si>
    <t>0,280914583</t>
  </si>
  <si>
    <t>000567</t>
  </si>
  <si>
    <t>BPJS Ketenagakerjaan Pengemudi dan Pramubhakti</t>
  </si>
  <si>
    <t>000566. Pengemudi (1 org x 13 bulan)</t>
  </si>
  <si>
    <t>0,461538462</t>
  </si>
  <si>
    <t>000566</t>
  </si>
  <si>
    <t>Pengemudi (1 org x 13 bulan)</t>
  </si>
  <si>
    <t>000565. Pramubakti (12 org x 13 bulan)</t>
  </si>
  <si>
    <t>000565</t>
  </si>
  <si>
    <t>Pramubakti (12 org x 13 bulan)</t>
  </si>
  <si>
    <t>000564. Jamuan</t>
  </si>
  <si>
    <t>0,2077425</t>
  </si>
  <si>
    <t>000564</t>
  </si>
  <si>
    <t>Jamuan</t>
  </si>
  <si>
    <t>000563. Keperluan sehari hari perkantoran</t>
  </si>
  <si>
    <t>0,261430448</t>
  </si>
  <si>
    <t>000563</t>
  </si>
  <si>
    <t>Keperluan sehari hari perkantoran</t>
  </si>
  <si>
    <t>001184. Perjalanan Evaluasi Kinerja Keuangan dan Penyusunan Laporan SPIP dan PIPK</t>
  </si>
  <si>
    <t>0,999974219</t>
  </si>
  <si>
    <t>001184</t>
  </si>
  <si>
    <t>Perjalanan Evaluasi Kinerja Keuangan dan Penyusunan Laporan SPIP dan PIPK</t>
  </si>
  <si>
    <t>001172. Perjalanan Identifikasi dan Koordinasi</t>
  </si>
  <si>
    <t>0,53271028</t>
  </si>
  <si>
    <t>001172</t>
  </si>
  <si>
    <t>Perjalanan Identifikasi dan Koordinasi</t>
  </si>
  <si>
    <t>001167. Perjalanan Identifikasi dan Koordinasi</t>
  </si>
  <si>
    <t>0,999948518</t>
  </si>
  <si>
    <t>001167</t>
  </si>
  <si>
    <t>001336. Perjalanan Penilaian Kinerja Pendidikan KP</t>
  </si>
  <si>
    <t>0,667506381</t>
  </si>
  <si>
    <t>001336</t>
  </si>
  <si>
    <t>Perjalanan Penilaian Kinerja Pendidikan KP</t>
  </si>
  <si>
    <t>001326.  Langganan biaya aplikasi komunikasi daring (zoom/linktree/zoho)</t>
  </si>
  <si>
    <t>0,301507</t>
  </si>
  <si>
    <t>001326</t>
  </si>
  <si>
    <t>Langganan biaya aplikasi komunikasi daring (zoom/linktree/zoho)</t>
  </si>
  <si>
    <t>001317. Langganan biaya aplikasi komunikasi daring (zoom/linktree/zoho)</t>
  </si>
  <si>
    <t>0,249764</t>
  </si>
  <si>
    <t>001317</t>
  </si>
  <si>
    <t>001044. Perjalanan Identifikasi dan kajian program pendidikan KP</t>
  </si>
  <si>
    <t>0,999995228</t>
  </si>
  <si>
    <t>001044</t>
  </si>
  <si>
    <t>Perjalanan Identifikasi dan kajian program pendidikan KP</t>
  </si>
  <si>
    <t>001037. Perjalanan Sinkronisasi Kegiatan Pendidikan KP</t>
  </si>
  <si>
    <t>0,098422222</t>
  </si>
  <si>
    <t>001037</t>
  </si>
  <si>
    <t>Perjalanan Sinkronisasi Kegiatan Pendidikan KP</t>
  </si>
  <si>
    <t>001029. Perjalanan Penyusunan Perencanaan Pendidikan KP</t>
  </si>
  <si>
    <t>0,999903176</t>
  </si>
  <si>
    <t>001029</t>
  </si>
  <si>
    <t>Perjalanan Penyusunan Perencanaan Pendidikan KP</t>
  </si>
  <si>
    <t>001026. Langganan biaya video conference</t>
  </si>
  <si>
    <t>0,702895</t>
  </si>
  <si>
    <t>001026</t>
  </si>
  <si>
    <t>Langganan biaya video conference</t>
  </si>
  <si>
    <t>000830. Pengadaan Kendaraan Dinas Pejabat Eselon II</t>
  </si>
  <si>
    <t>000830</t>
  </si>
  <si>
    <t>Pengadaan Kendaraan Dinas Pejabat Eselon II</t>
  </si>
  <si>
    <t>000730. Perjalanan Koordinasi Penerimaan dan Penetapan Terpusat Peserta Didik Lingkup KKP</t>
  </si>
  <si>
    <t>000730</t>
  </si>
  <si>
    <t>Perjalanan Koordinasi Penerimaan dan Penetapan Terpusat Peserta Didik Lingkup KKP</t>
  </si>
  <si>
    <t>000729. Narasumber/Pembahas/Praktisi</t>
  </si>
  <si>
    <t>0,35</t>
  </si>
  <si>
    <t>000729</t>
  </si>
  <si>
    <t>Narasumber/Pembahas/Praktisi</t>
  </si>
  <si>
    <t>000728. Langganan biaya video conference</t>
  </si>
  <si>
    <t>0,206666667</t>
  </si>
  <si>
    <t>000728</t>
  </si>
  <si>
    <t>000704. Narasumber/Pembahas/Praktisi</t>
  </si>
  <si>
    <t>0,533333333</t>
  </si>
  <si>
    <t>000704</t>
  </si>
  <si>
    <t>000703. Langganan biaya video conference</t>
  </si>
  <si>
    <t>0,999511745</t>
  </si>
  <si>
    <t>000703</t>
  </si>
  <si>
    <t>000695. Langganan biaya video conference (500 orang lebih)</t>
  </si>
  <si>
    <t>0,999545683</t>
  </si>
  <si>
    <t>000695</t>
  </si>
  <si>
    <t>Langganan biaya video conference (500 orang lebih)</t>
  </si>
  <si>
    <t>000692. Dukungan Pelaksanaan Peningkatan Kompetensi Pendidik dan Tenaga Kependidikan</t>
  </si>
  <si>
    <t>000692</t>
  </si>
  <si>
    <t>Dukungan Pelaksanaan Peningkatan Kompetensi Pendidik dan Tenaga Kependidikan</t>
  </si>
  <si>
    <t>000687. Perjalanan Pengelolaan SDM Aparatur</t>
  </si>
  <si>
    <t>0,999986271</t>
  </si>
  <si>
    <t>000687</t>
  </si>
  <si>
    <t>Perjalanan Pengelolaan SDM Aparatur</t>
  </si>
  <si>
    <t>000686. Test Lab Rapid/Antigen/PCR</t>
  </si>
  <si>
    <t>000686</t>
  </si>
  <si>
    <t>Test Lab Rapid/Antigen/PCR</t>
  </si>
  <si>
    <t>000685. Paket Data dan Komunikasi pimpinan</t>
  </si>
  <si>
    <t>000685</t>
  </si>
  <si>
    <t>Paket Data dan Komunikasi pimpinan</t>
  </si>
  <si>
    <t>000684. Masker, hand sanitizer, desinfektan, multivitami/suplemen (60 peg x 6 kali)</t>
  </si>
  <si>
    <t>0,845084244</t>
  </si>
  <si>
    <t>000684</t>
  </si>
  <si>
    <t>Masker, hand sanitizer, desinfektan, multivitami/suplemen (60 peg x 6 kali)</t>
  </si>
  <si>
    <t>000683. Paket Data dan Komunikasi Pegawai (60x12)</t>
  </si>
  <si>
    <t>0,804878049</t>
  </si>
  <si>
    <t>000683</t>
  </si>
  <si>
    <t>Paket Data dan Komunikasi Pegawai (60x12)</t>
  </si>
  <si>
    <t>000677. Penyusunan Bahan Tindak Lanjut dan Pemutakhiran Data</t>
  </si>
  <si>
    <t>0,580415113</t>
  </si>
  <si>
    <t>000677</t>
  </si>
  <si>
    <t>000672. Perjalanan Koordinasi</t>
  </si>
  <si>
    <t>0,266666667</t>
  </si>
  <si>
    <t>000672</t>
  </si>
  <si>
    <t>Perjalanan Koordinasi</t>
  </si>
  <si>
    <t>000671. Perjalanan Pengelolaan Penatausahaan Arsip dan Sinkronisasi Tata Naskah dan Persuratan</t>
  </si>
  <si>
    <t>0,461666667</t>
  </si>
  <si>
    <t>000671</t>
  </si>
  <si>
    <t>Perjalanan Pengelolaan Penatausahaan Arsip dan Sinkronisasi Tata Naskah dan Persuratan</t>
  </si>
  <si>
    <t>000664. Perjalanan Koordinasi, Sinkronisasi dan pendampingan</t>
  </si>
  <si>
    <t>0,631255773</t>
  </si>
  <si>
    <t>000664</t>
  </si>
  <si>
    <t>Perjalanan Koordinasi, Sinkronisasi dan pendampingan</t>
  </si>
  <si>
    <t>000663. Perjalanan Pembinaan</t>
  </si>
  <si>
    <t>0,241736224</t>
  </si>
  <si>
    <t>000663</t>
  </si>
  <si>
    <t>Perjalanan Pembinaan</t>
  </si>
  <si>
    <t>000662. Test Lab Rapid/Antigen/PCR</t>
  </si>
  <si>
    <t>000662</t>
  </si>
  <si>
    <t>000658. Koordinasi kearsipan</t>
  </si>
  <si>
    <t>000658</t>
  </si>
  <si>
    <t>Koordinasi kearsipan</t>
  </si>
  <si>
    <t>000657. Implementasi SIMAK - BMN</t>
  </si>
  <si>
    <t>0,872930942</t>
  </si>
  <si>
    <t>000657</t>
  </si>
  <si>
    <t>000359. Perjalanan Kerjasama Pendidikan KP</t>
  </si>
  <si>
    <t>0,20199459</t>
  </si>
  <si>
    <t>000359</t>
  </si>
  <si>
    <t>Perjalanan Kerjasama Pendidikan KP</t>
  </si>
  <si>
    <t>000220. Alat pengolah data dan komunikasi</t>
  </si>
  <si>
    <t>000220</t>
  </si>
  <si>
    <t>Alat pengolah data dan komunikasi</t>
  </si>
  <si>
    <t>001369. ATK</t>
  </si>
  <si>
    <t>0,159722222</t>
  </si>
  <si>
    <t>001369</t>
  </si>
  <si>
    <t>001368. Bahan Komputer</t>
  </si>
  <si>
    <t>0,164166667</t>
  </si>
  <si>
    <t>001368</t>
  </si>
  <si>
    <t>001367. Penggadaan</t>
  </si>
  <si>
    <t>0,1645</t>
  </si>
  <si>
    <t>001367</t>
  </si>
  <si>
    <t>001359. Perjalanan Koordinasi dan pengadministrasian Tugas Belajar</t>
  </si>
  <si>
    <t>0,273866705</t>
  </si>
  <si>
    <t>001359</t>
  </si>
  <si>
    <t>001355. Bahan Komputer</t>
  </si>
  <si>
    <t>0,159166667</t>
  </si>
  <si>
    <t>001355</t>
  </si>
  <si>
    <t>001345. ATK</t>
  </si>
  <si>
    <t>0,194666667</t>
  </si>
  <si>
    <t>001345</t>
  </si>
  <si>
    <t>001344. Bahan Komputer</t>
  </si>
  <si>
    <t>0,1935</t>
  </si>
  <si>
    <t>001344</t>
  </si>
  <si>
    <t>054.A</t>
  </si>
  <si>
    <t>000218. Perjalanan Evaluasi Beban Kerja Guru dan Dosen</t>
  </si>
  <si>
    <t>0,594549253</t>
  </si>
  <si>
    <t>000218</t>
  </si>
  <si>
    <t>Perjalanan Evaluasi Beban Kerja Guru dan Dosen</t>
  </si>
  <si>
    <t>000216. Narasumber/Pembahas</t>
  </si>
  <si>
    <t>0,72</t>
  </si>
  <si>
    <t>000216</t>
  </si>
  <si>
    <t>Narasumber/Pembahas</t>
  </si>
  <si>
    <t>000213. Bahan Komputer</t>
  </si>
  <si>
    <t>0,998333333</t>
  </si>
  <si>
    <t>000213</t>
  </si>
  <si>
    <t>000212. ATK</t>
  </si>
  <si>
    <t>0,99825</t>
  </si>
  <si>
    <t>000212</t>
  </si>
  <si>
    <t>000211. Bahan Konsumsi Rapat</t>
  </si>
  <si>
    <t>0,254237288</t>
  </si>
  <si>
    <t>000211</t>
  </si>
  <si>
    <t>Bahan Konsumsi Rapat</t>
  </si>
  <si>
    <t>000210. Penggandaan</t>
  </si>
  <si>
    <t>0,99975</t>
  </si>
  <si>
    <t>000210</t>
  </si>
  <si>
    <t>000201. Test Rapid/AntigenPCR</t>
  </si>
  <si>
    <t>0,1825</t>
  </si>
  <si>
    <t>000201</t>
  </si>
  <si>
    <t>Test Rapid/AntigenPCR</t>
  </si>
  <si>
    <t>000200. Narasumber/Pembahas</t>
  </si>
  <si>
    <t>0,388888889</t>
  </si>
  <si>
    <t>000200</t>
  </si>
  <si>
    <t>000199. Bahan Komputer</t>
  </si>
  <si>
    <t>0,163333333</t>
  </si>
  <si>
    <t>000199</t>
  </si>
  <si>
    <t>000198. ATK</t>
  </si>
  <si>
    <t>0,163916667</t>
  </si>
  <si>
    <t>000198</t>
  </si>
  <si>
    <t>000197. Dukungan Pembentukan Kelembagaan</t>
  </si>
  <si>
    <t>0,99</t>
  </si>
  <si>
    <t>000197</t>
  </si>
  <si>
    <t>Dukungan Pembentukan Kelembagaan</t>
  </si>
  <si>
    <t>000196. Langganan biaya video conference</t>
  </si>
  <si>
    <t>0,30285</t>
  </si>
  <si>
    <t>000196</t>
  </si>
  <si>
    <t>000194. Penggandaan</t>
  </si>
  <si>
    <t>0,244758333</t>
  </si>
  <si>
    <t>000194</t>
  </si>
  <si>
    <t>000193. Konsumsi/Bahan Makan</t>
  </si>
  <si>
    <t>0,580357143</t>
  </si>
  <si>
    <t>000193</t>
  </si>
  <si>
    <t>053.A</t>
  </si>
  <si>
    <t>000191. Perjalanan Pembentukan Kelembagaan Pendidikan KP</t>
  </si>
  <si>
    <t>0,131170556</t>
  </si>
  <si>
    <t>000191</t>
  </si>
  <si>
    <t>Perjalanan Pembentukan Kelembagaan Pendidikan KP</t>
  </si>
  <si>
    <t>000189. Narasumber/Pembahas</t>
  </si>
  <si>
    <t>0,357142857</t>
  </si>
  <si>
    <t>000189</t>
  </si>
  <si>
    <t>000188. Bahan Komputer</t>
  </si>
  <si>
    <t>0,311944444</t>
  </si>
  <si>
    <t>000188</t>
  </si>
  <si>
    <t>000187. ATK</t>
  </si>
  <si>
    <t>0,326833333</t>
  </si>
  <si>
    <t>000187</t>
  </si>
  <si>
    <t>000185. Langganan biaya video conference</t>
  </si>
  <si>
    <t>0,963</t>
  </si>
  <si>
    <t>000185</t>
  </si>
  <si>
    <t>000183. Konsumsi/Bahan Makan</t>
  </si>
  <si>
    <t>0,063768116</t>
  </si>
  <si>
    <t>000183</t>
  </si>
  <si>
    <t>000182. Penggandaan</t>
  </si>
  <si>
    <t>0,319722222</t>
  </si>
  <si>
    <t>000182</t>
  </si>
  <si>
    <t>000178. Bahan Komputer</t>
  </si>
  <si>
    <t>0,49</t>
  </si>
  <si>
    <t>000178</t>
  </si>
  <si>
    <t>000177. ATK</t>
  </si>
  <si>
    <t>0,495</t>
  </si>
  <si>
    <t>000177</t>
  </si>
  <si>
    <t>000175. Konsumsi/Bahan Makanan</t>
  </si>
  <si>
    <t>0,176</t>
  </si>
  <si>
    <t>000175</t>
  </si>
  <si>
    <t>051.B</t>
  </si>
  <si>
    <t>000174. perjalanan Penyusunan NSPK Metode dan Kurikulum</t>
  </si>
  <si>
    <t>0,951617521</t>
  </si>
  <si>
    <t>000174</t>
  </si>
  <si>
    <t>perjalanan Penyusunan NSPK Metode dan Kurikulum</t>
  </si>
  <si>
    <t>000173. Narasumber/Pembahas</t>
  </si>
  <si>
    <t>0,225</t>
  </si>
  <si>
    <t>000173</t>
  </si>
  <si>
    <t>000172. Bahan Komputer</t>
  </si>
  <si>
    <t>0,328888889</t>
  </si>
  <si>
    <t>000172</t>
  </si>
  <si>
    <t>000171. ATK</t>
  </si>
  <si>
    <t>0,332333333</t>
  </si>
  <si>
    <t>000171</t>
  </si>
  <si>
    <t>000169. Konsumsi/Bahan Makanan</t>
  </si>
  <si>
    <t>0,173777778</t>
  </si>
  <si>
    <t>000169</t>
  </si>
  <si>
    <t>051.A</t>
  </si>
  <si>
    <t>000168. Perjalanan Bimbingan dan Pembinaan Metode dan Kurikulum</t>
  </si>
  <si>
    <t>0,565557097</t>
  </si>
  <si>
    <t>000168</t>
  </si>
  <si>
    <t>Perjalanan Bimbingan dan Pembinaan Metode dan Kurikulum</t>
  </si>
  <si>
    <t>000167. Narasumber/Pembahas</t>
  </si>
  <si>
    <t>0,045</t>
  </si>
  <si>
    <t>000167</t>
  </si>
  <si>
    <t>000166. Bahan Komputer</t>
  </si>
  <si>
    <t>000166</t>
  </si>
  <si>
    <t>000165. ATK</t>
  </si>
  <si>
    <t>000165</t>
  </si>
  <si>
    <t>000163. Konsumsi/Bahan Makanan</t>
  </si>
  <si>
    <t>0,331306667</t>
  </si>
  <si>
    <t>000163</t>
  </si>
  <si>
    <t>001506. Perjalanan Koordinasi dan pengadministrasian izin Belajar</t>
  </si>
  <si>
    <t>0</t>
  </si>
  <si>
    <t>001506</t>
  </si>
  <si>
    <t>Perjalanan Koordinasi dan pengadministrasian izin Belajar</t>
  </si>
  <si>
    <t>001505. Konsumsi/bahan makanan</t>
  </si>
  <si>
    <t>001505</t>
  </si>
  <si>
    <t>001511. Perjalanan peserta tugas belajar, Koordinasi dan Pendampingan tugas belajar</t>
  </si>
  <si>
    <t>001511</t>
  </si>
  <si>
    <t>Perjalanan peserta tugas belajar, Koordinasi dan Pendampingan tugas belajar</t>
  </si>
  <si>
    <t>001510. Dukungan Penyelenggaraan Tugas Belajar Luar Negeri</t>
  </si>
  <si>
    <t>001510</t>
  </si>
  <si>
    <t>Dukungan Penyelenggaraan Tugas Belajar Luar Negeri</t>
  </si>
  <si>
    <t>001509. ATK</t>
  </si>
  <si>
    <t>001509</t>
  </si>
  <si>
    <t>001508. Bahan Komputer</t>
  </si>
  <si>
    <t>001508</t>
  </si>
  <si>
    <t>001507. Penggadaan</t>
  </si>
  <si>
    <t>001507</t>
  </si>
  <si>
    <t>001479. Perjalanan Peserta Tugas Belajar</t>
  </si>
  <si>
    <t>001479</t>
  </si>
  <si>
    <t>Perjalanan Peserta Tugas Belajar</t>
  </si>
  <si>
    <t>001513. Narasumber/Pembahas</t>
  </si>
  <si>
    <t>001513</t>
  </si>
  <si>
    <t>001515. Dukungan Koordinasi tugas belajar</t>
  </si>
  <si>
    <t>001515</t>
  </si>
  <si>
    <t>Dukungan Koordinasi tugas belajar</t>
  </si>
  <si>
    <t>001514. Langganan biaya video conference</t>
  </si>
  <si>
    <t>001514</t>
  </si>
  <si>
    <t>001478. Konsumsi/bahan makanan</t>
  </si>
  <si>
    <t>001478</t>
  </si>
  <si>
    <t>001528. Perjalanan Peserta Tugas Belajar</t>
  </si>
  <si>
    <t>001528</t>
  </si>
  <si>
    <t>001527. Pelaksanaan TOEFL/TPA</t>
  </si>
  <si>
    <t>001527</t>
  </si>
  <si>
    <t>Pelaksanaan TOEFL/TPA</t>
  </si>
  <si>
    <t>001526. Narasumber/Pembahas</t>
  </si>
  <si>
    <t>001526</t>
  </si>
  <si>
    <t>001525. Langganan biaya video conference</t>
  </si>
  <si>
    <t>001525</t>
  </si>
  <si>
    <t>001524. Dukungan Penyelenggaraan Tugas Belajar</t>
  </si>
  <si>
    <t>001524</t>
  </si>
  <si>
    <t>001523. Perlengkapan Protokol kesehatan TPA Toefl</t>
  </si>
  <si>
    <t>001523</t>
  </si>
  <si>
    <t>Perlengkapan Protokol kesehatan TPA Toefl</t>
  </si>
  <si>
    <t>001522. Perlengkapan TPA Toefl</t>
  </si>
  <si>
    <t>001522</t>
  </si>
  <si>
    <t>Perlengkapan TPA Toefl</t>
  </si>
  <si>
    <t>001521. Penggadaan</t>
  </si>
  <si>
    <t>001521</t>
  </si>
  <si>
    <t>001520. Konsumsi/bahan makanan</t>
  </si>
  <si>
    <t>001520</t>
  </si>
  <si>
    <t>001190. Pencetakan dan Penjilidan LPJ Bendahara</t>
  </si>
  <si>
    <t>001190</t>
  </si>
  <si>
    <t>Pencetakan dan Penjilidan LPJ bendahara</t>
  </si>
  <si>
    <t>001545. Langganan biaya aplikasi komunikasi daring (zoom/linktree/zoho)</t>
  </si>
  <si>
    <t>001545</t>
  </si>
  <si>
    <t>001501. Perjalanan Monev Kegiatan Teknis Pendidikan KP</t>
  </si>
  <si>
    <t>001501</t>
  </si>
  <si>
    <t>Perjalanan Monev Kegiatan Teknis Pendidikan KP</t>
  </si>
  <si>
    <t>001312. Penggandaan</t>
  </si>
  <si>
    <t>001312</t>
  </si>
  <si>
    <t>001033. Langganan biaya video conference</t>
  </si>
  <si>
    <t>001033</t>
  </si>
  <si>
    <t>000605. Sekretaris Tim Penghapusan BMN</t>
  </si>
  <si>
    <t>000605</t>
  </si>
  <si>
    <t>Sekretaris Tim Penghapusan BMN</t>
  </si>
  <si>
    <t>000604. Ketua Tim Penghapusan BMN</t>
  </si>
  <si>
    <t>000604</t>
  </si>
  <si>
    <t>Ketua Tim Penghapusan BMN</t>
  </si>
  <si>
    <t>000597. Anggota Tim Penghapusan BMN 3 ORANG x 1 KEG</t>
  </si>
  <si>
    <t>000597</t>
  </si>
  <si>
    <t>Anggota Tim Penghapusan BMN 3 ORANG x 1 KEG</t>
  </si>
  <si>
    <t>000595. Pakaian Kerja Pramubakti</t>
  </si>
  <si>
    <t>000595</t>
  </si>
  <si>
    <t>Pakaian Kerja Pramubakti</t>
  </si>
  <si>
    <t>000592. Perawatan Barang Inventaris Kantor</t>
  </si>
  <si>
    <t>000592</t>
  </si>
  <si>
    <t>Perawatan Barang Inventaris Kantor</t>
  </si>
  <si>
    <t>000587. Laptop/Notebook</t>
  </si>
  <si>
    <t>000587</t>
  </si>
  <si>
    <t>Laptop/Notebook</t>
  </si>
  <si>
    <t>000583. Sewa Ruang Arsip dan Penyimpanan BMN</t>
  </si>
  <si>
    <t>000583</t>
  </si>
  <si>
    <t>Sewa Ruang Arsip dan Penyimpanan BMN</t>
  </si>
  <si>
    <t>000580. Map Pusdik KP</t>
  </si>
  <si>
    <t>000580</t>
  </si>
  <si>
    <t>Map Pusdik KP</t>
  </si>
  <si>
    <t>000568. Pencetakan/Publikasi</t>
  </si>
  <si>
    <t>000568</t>
  </si>
  <si>
    <t>Pencetakan/Publikasi</t>
  </si>
  <si>
    <t>001531. Dukungan Penerimaan dan Penetapan Peserta Didik</t>
  </si>
  <si>
    <t>001531</t>
  </si>
  <si>
    <t>Dukungan Penerimaan dan Penetapan Peserta Didik</t>
  </si>
  <si>
    <t>001530. Cetakan Penetapan Peserta Didik</t>
  </si>
  <si>
    <t>001530</t>
  </si>
  <si>
    <t>Cetakan Penetapan Peserta Didik</t>
  </si>
  <si>
    <t>001529. Penggandaan</t>
  </si>
  <si>
    <t>001529</t>
  </si>
  <si>
    <t>001586. Peningkatan Kapasitas Pegawai</t>
  </si>
  <si>
    <t>001586</t>
  </si>
  <si>
    <t>Peningkatan Kapasitas Pegawai</t>
  </si>
  <si>
    <t>000670. Sewa Kendaraan / Mobil (2 kali)</t>
  </si>
  <si>
    <t>000670</t>
  </si>
  <si>
    <t>Sewa Kendaraan / Mobil (2 kali)</t>
  </si>
  <si>
    <t>000217. Test Rapid/Antigen/PCR</t>
  </si>
  <si>
    <t>000217</t>
  </si>
  <si>
    <t>Test Rapid/Antigen/PCR</t>
  </si>
  <si>
    <t>000215. Dukungan Pelaksanaan Evaluasi Beban Kerja Guru dan Dosen</t>
  </si>
  <si>
    <t>000215</t>
  </si>
  <si>
    <t>Dukungan Pelaksanaan Evaluasi Beban Kerja Guru dan Dosen</t>
  </si>
  <si>
    <t>053.C</t>
  </si>
  <si>
    <t>000209. Perjalanan Reviu Dampak Peraturan Revitalisasi Vokasi</t>
  </si>
  <si>
    <t>000209</t>
  </si>
  <si>
    <t>Perjalanan Reviu Dampak Peraturan Revitalisasi Vokasi</t>
  </si>
  <si>
    <t>000208. Narasumber/Pembahas</t>
  </si>
  <si>
    <t>000208</t>
  </si>
  <si>
    <t>000207. Langganan biaya video conference</t>
  </si>
  <si>
    <t>000207</t>
  </si>
  <si>
    <t>000206. Penggandaan</t>
  </si>
  <si>
    <t>000206</t>
  </si>
  <si>
    <t>000205. Konsumsi/Bahan Makan</t>
  </si>
  <si>
    <t>000205</t>
  </si>
  <si>
    <t>000204. Bahan Komputer</t>
  </si>
  <si>
    <t>000204</t>
  </si>
  <si>
    <t>000203. ATK</t>
  </si>
  <si>
    <t>000203</t>
  </si>
  <si>
    <t>000195. Cetakan Evaluasi Mutu Pendidikan Tinggi KP 2022</t>
  </si>
  <si>
    <t>000195</t>
  </si>
  <si>
    <t>Cetakan Evaluasi Mutu Pendidikan Tinggi KP 2022</t>
  </si>
  <si>
    <t>000192. Transport lokal</t>
  </si>
  <si>
    <t>000192</t>
  </si>
  <si>
    <t>Transport lokal</t>
  </si>
  <si>
    <t>000190. Test Rapid/AntigenPCR</t>
  </si>
  <si>
    <t>000190</t>
  </si>
  <si>
    <t>000186. Dukungan Pembentukan Kelembagaan</t>
  </si>
  <si>
    <t>000186</t>
  </si>
  <si>
    <t>000184. Cetakan Kelembagaan Pendidikan Vokasi</t>
  </si>
  <si>
    <t>000184</t>
  </si>
  <si>
    <t>Cetakan Kelembagaan Pendidikan Vokasi</t>
  </si>
  <si>
    <t>000180. Cetak Booklet NSPK Sarana Prasarana</t>
  </si>
  <si>
    <t>000180</t>
  </si>
  <si>
    <t>Cetak Booklet NSPK Sarana Prasarana</t>
  </si>
  <si>
    <t>000179. Cetak Booklet NSPK peserta didik</t>
  </si>
  <si>
    <t>000179</t>
  </si>
  <si>
    <t>Cetak Booklet NSPK peserta didik</t>
  </si>
  <si>
    <t>000176. Penggandaan</t>
  </si>
  <si>
    <t>000176</t>
  </si>
  <si>
    <t>000170. Penggandaan</t>
  </si>
  <si>
    <t>000170</t>
  </si>
  <si>
    <t>000164. Penggandaan</t>
  </si>
  <si>
    <t>000164</t>
  </si>
  <si>
    <t>Sum of PaguRevisi</t>
  </si>
  <si>
    <t>Pagu Revisi</t>
  </si>
  <si>
    <t>Pagu Semula</t>
  </si>
  <si>
    <t>WA.2378.EBA.002.001.GA.521111</t>
  </si>
  <si>
    <t>WA.2378.EBA.002.001.GA.521811</t>
  </si>
  <si>
    <t>Column1</t>
  </si>
  <si>
    <t>Column2</t>
  </si>
  <si>
    <t>WA.2378.EBA.002.001.GB.521114</t>
  </si>
  <si>
    <t>WA.2378.EBA.002.001.GB.522141</t>
  </si>
  <si>
    <t>WA.2378.EBA.002.001.GC.523121</t>
  </si>
  <si>
    <t>WA.2378.EBA.002.001.GC.523199</t>
  </si>
  <si>
    <t>WA.2378.EBA.002.001.GD.521111</t>
  </si>
  <si>
    <t>WA.2378.EBA.002.001.GD.521115</t>
  </si>
  <si>
    <t>WA.2378.EBA.002.001.GE.521111</t>
  </si>
  <si>
    <t>WA.2378.EBA.002.001.GE.521811</t>
  </si>
  <si>
    <t>WA.2378.EBA.002.001.GE.523121</t>
  </si>
  <si>
    <t>Real %2</t>
  </si>
  <si>
    <t>2378.EBA.994. Layanan Perkantoran</t>
  </si>
  <si>
    <t>001.GA</t>
  </si>
  <si>
    <t>000424. Tunjangan Kinerja</t>
  </si>
  <si>
    <t>0,502628997</t>
  </si>
  <si>
    <t>000424</t>
  </si>
  <si>
    <t>Tunjangan Kinerja</t>
  </si>
  <si>
    <t>000422. Belanja tunj. umum PNS</t>
  </si>
  <si>
    <t>0,512995172</t>
  </si>
  <si>
    <t>000422</t>
  </si>
  <si>
    <t>Belanja tunj. umum PNS</t>
  </si>
  <si>
    <t>000420. Belanja uang makan PNS</t>
  </si>
  <si>
    <t>0,333247228</t>
  </si>
  <si>
    <t>000420</t>
  </si>
  <si>
    <t>Belanja uang makan PNS</t>
  </si>
  <si>
    <t>000419. Belanja tunj. beras PNS</t>
  </si>
  <si>
    <t>0,54565183</t>
  </si>
  <si>
    <t>000419</t>
  </si>
  <si>
    <t>Belanja tunj. beras PNS</t>
  </si>
  <si>
    <t>000417. Belanja tunj. PPh PNS</t>
  </si>
  <si>
    <t>0,318706571</t>
  </si>
  <si>
    <t>000417</t>
  </si>
  <si>
    <t>Belanja tunj. PPh PNS</t>
  </si>
  <si>
    <t>000414. Belanja tunj. fungsional PNS</t>
  </si>
  <si>
    <t>0,775961974</t>
  </si>
  <si>
    <t>000414</t>
  </si>
  <si>
    <t>Belanja tunj. fungsional PNS</t>
  </si>
  <si>
    <t>000411. Belanja tunj.struktural PNS</t>
  </si>
  <si>
    <t>0,50881518</t>
  </si>
  <si>
    <t>000411</t>
  </si>
  <si>
    <t>Belanja tunj.struktural PNS</t>
  </si>
  <si>
    <t>000407. Belanja tunj. anak PNS (gaji ke 14)</t>
  </si>
  <si>
    <t>2,023641682</t>
  </si>
  <si>
    <t>000407</t>
  </si>
  <si>
    <t>Belanja tunj. anak PNS (gaji ke 14)</t>
  </si>
  <si>
    <t>000404. Belanja tunj. suami/istri PNS</t>
  </si>
  <si>
    <t>0,52165407</t>
  </si>
  <si>
    <t>000404</t>
  </si>
  <si>
    <t>Belanja tunj. suami/istri PNS</t>
  </si>
  <si>
    <t>000402. Belanja pembulatan gaji PNS</t>
  </si>
  <si>
    <t>0,56290625</t>
  </si>
  <si>
    <t>000402</t>
  </si>
  <si>
    <t>Belanja pembulatan gaji PNS</t>
  </si>
  <si>
    <t>000399. Belanja gaji pokok PNS</t>
  </si>
  <si>
    <t>0,556247956</t>
  </si>
  <si>
    <t>000399</t>
  </si>
  <si>
    <t>Belanja gaji pokok PNS</t>
  </si>
  <si>
    <t>000421. Belanja tunj. umum PNS (gaji ke 14)</t>
  </si>
  <si>
    <t>0,831705485</t>
  </si>
  <si>
    <t>000421</t>
  </si>
  <si>
    <t>Belanja tunj. umum PNS (gaji ke 14)</t>
  </si>
  <si>
    <t>000416. Belanja tunj. PPh PNS (gaji ke 14)</t>
  </si>
  <si>
    <t>0,773569048</t>
  </si>
  <si>
    <t>000416</t>
  </si>
  <si>
    <t>Belanja tunj. PPh PNS (gaji ke 14)</t>
  </si>
  <si>
    <t>000413. Belanja tunj. fungsional PNS (gaji ke 14)</t>
  </si>
  <si>
    <t>2,4035</t>
  </si>
  <si>
    <t>000413</t>
  </si>
  <si>
    <t>Belanja tunj. fungsional PNS (gaji ke 14)</t>
  </si>
  <si>
    <t>000410. Belanja tunj. struktural PNS (gaji ke 14)</t>
  </si>
  <si>
    <t>0,806130903</t>
  </si>
  <si>
    <t>000410</t>
  </si>
  <si>
    <t>Belanja tunj. struktural PNS (gaji ke 14)</t>
  </si>
  <si>
    <t>000408. Belanja tunj. anak PNS</t>
  </si>
  <si>
    <t>0,489947056</t>
  </si>
  <si>
    <t>000408</t>
  </si>
  <si>
    <t>Belanja tunj. anak PNS</t>
  </si>
  <si>
    <t>000406. Belanja tunj. suami/istri PNS (gaji ke 14)</t>
  </si>
  <si>
    <t>0,889424496</t>
  </si>
  <si>
    <t>000406</t>
  </si>
  <si>
    <t>Belanja tunj. suami/istri PNS (gaji ke 14)</t>
  </si>
  <si>
    <t>000401. Belanja pembulatan gaji PNS (gaji ke 14)</t>
  </si>
  <si>
    <t>0,886</t>
  </si>
  <si>
    <t>000401</t>
  </si>
  <si>
    <t>Belanja pembulatan gaji PNS (gaji ke 14)</t>
  </si>
  <si>
    <t>000398. Belanja gaji pokok PNS(gaji ke 14)</t>
  </si>
  <si>
    <t>0,925586444</t>
  </si>
  <si>
    <t>000398</t>
  </si>
  <si>
    <t>Belanja gaji pokok PNS(gaji ke 14)</t>
  </si>
  <si>
    <t>000423. Belanja tunj. umum PNS (gaji ke 13)</t>
  </si>
  <si>
    <t>000423</t>
  </si>
  <si>
    <t>Belanja tunj. umum PNS (gaji ke 13)</t>
  </si>
  <si>
    <t>000418. Belanja tunj.PPh PNS (gaji ke13)</t>
  </si>
  <si>
    <t>000418</t>
  </si>
  <si>
    <t>Belanja tunj.PPh PNS (gaji ke13)</t>
  </si>
  <si>
    <t>000415. Belanja tunj. fungsional PNS (gaji ke 13)</t>
  </si>
  <si>
    <t>000415</t>
  </si>
  <si>
    <t>Belanja tunj. fungsional PNS (gaji ke 13)</t>
  </si>
  <si>
    <t>000412. Belanja tunj.struktural PNS (gaji ke 13)</t>
  </si>
  <si>
    <t>000412</t>
  </si>
  <si>
    <t>Belanja tunj.struktural PNS (gaji ke 13)</t>
  </si>
  <si>
    <t>000409. Belanja tunj. anak PNS (gaji ke 13)</t>
  </si>
  <si>
    <t>000409</t>
  </si>
  <si>
    <t>Belanja tunj. anak PNS (gaji ke 13)</t>
  </si>
  <si>
    <t>000405. Belanja tunj. suami/istri PNS (gaji ke 13)</t>
  </si>
  <si>
    <t>000405</t>
  </si>
  <si>
    <t>Belanja tunj. suami/istri PNS (gaji ke 13)</t>
  </si>
  <si>
    <t>000403. Belanja pembulatan gaji PNS (gaji ke 13)</t>
  </si>
  <si>
    <t>000403</t>
  </si>
  <si>
    <t>Belanja pembulatan gaji PNS (gaji ke 13)</t>
  </si>
  <si>
    <t>000400. Belanja gaji pokok PNS (gaji ke 13)</t>
  </si>
  <si>
    <t>000400</t>
  </si>
  <si>
    <t>Belanja gaji pokok PNS (gaji ke 13)</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</si>
  <si>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</si>
  <si>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</si>
  <si>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</si>
  <si>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</si>
  <si>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</si>
  <si>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</si>
  <si>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</si>
  <si>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</si>
  <si>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</si>
  <si>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</si>
  <si>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</si>
  <si>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GA. Gaji dan Tunjangan Pusat Pendidikan KP</t>
  </si>
  <si>
    <t>Blokir AA ke 1</t>
  </si>
  <si>
    <t>Blokir AA ke 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</si>
  <si>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</si>
  <si>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</si>
  <si>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</si>
  <si>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</si>
  <si>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</si>
  <si>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</si>
  <si>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</si>
  <si>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</si>
  <si>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</si>
  <si>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</si>
  <si>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</si>
  <si>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</si>
  <si>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</si>
  <si>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</si>
  <si>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</si>
  <si>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</si>
  <si>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</si>
  <si>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</si>
  <si>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</si>
  <si>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</si>
  <si>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</si>
  <si>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</si>
  <si>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</si>
  <si>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</si>
  <si>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%28</t>
  </si>
  <si>
    <t>Column29</t>
  </si>
  <si>
    <t>Column30</t>
  </si>
  <si>
    <t>Column31</t>
  </si>
  <si>
    <t>Column32</t>
  </si>
  <si>
    <t>Column33</t>
  </si>
  <si>
    <t>Column34</t>
  </si>
  <si>
    <t>Column35</t>
  </si>
  <si>
    <t>Blokir AA 1</t>
  </si>
  <si>
    <t>GB. Gaji dan Tunjangan Pusat Pendidikan KP (AA)</t>
  </si>
  <si>
    <t>Blokir AA 2</t>
  </si>
  <si>
    <t>Pagu + Blokir</t>
  </si>
  <si>
    <t>Pagu - Blokir</t>
  </si>
  <si>
    <t>b. Barang Non Operasional</t>
  </si>
  <si>
    <t>Total</t>
  </si>
  <si>
    <t>% Realisasi dan % Sisa Berdasarkan :</t>
  </si>
  <si>
    <t>Total Koordinator TU</t>
  </si>
  <si>
    <t>Total Koordinator PE</t>
  </si>
  <si>
    <t>Total Koordinator PP</t>
  </si>
  <si>
    <t>Total Koordinator KK</t>
  </si>
  <si>
    <t>Rp</t>
  </si>
  <si>
    <t>Berdasarkan DIPA Revisi 2, POK 2 TA. 2022 (Tanggal 9 Juni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</si>
</sst>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 numFmtId="168" formatCode="#,##0.00_ ;\-#,##0.00\ "/>
  </numFmts>
  <fonts count="48" x14ac:knownFonts="1">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0"/>
      <name val="Arial"/>
      <family val="2"/>
    </font>
    <font>
      <sz val="10"/>
      <name val="Arial"/>
      <family val="2"/>
    </font>
    <font>
      <b/>
      <i/>
      <sz val="8"/>
      <name val="Arial"/>
      <family val="2"/>
    </font>
    <font>
      <b/>
      <sz val="11"/>
      <color theme="1"/>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
      <sz val="11"/>
      <color rgb="FF000000"/>
      <name val="Calibri"/>
      <family val="2"/>
    </font>
    <font>
      <sz val="11"/>
      <color theme="0"/>
      <name val="Calibri"/>
      <family val="2"/>
      <scheme val="minor"/>
    </font>
    <font>
      <b/>
      <sz val="14"/>
      <color theme="1"/>
      <name val="Calibri"/>
      <family val="2"/>
      <scheme val="minor"/>
    </font>
    <font>
      <b/>
      <sz val="12"/>
      <color theme="8" tint="-0.249977111117893"/>
      <name val="Calibri"/>
      <family val="2"/>
      <scheme val="minor"/>
    </font>
    <font>
      <b/>
      <sz val="12"/>
      <color rgb="FF0070C0"/>
      <name val="Calibri"/>
      <family val="2"/>
      <scheme val="minor"/>
    </font>
    <font>
      <b/>
      <sz val="12"/>
      <color theme="5" tint="-0.249977111117893"/>
      <name val="Calibri"/>
      <family val="2"/>
      <scheme val="minor"/>
    </font>
  </fonts>
  <fills count="34">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rgb="FF002060"/>
        <bgColor indexed="64"/>
      </patternFill>
    </fill>
    <fill>
      <patternFill patternType="solid">
        <fgColor theme="4" tint="0.39997558519241921"/>
        <bgColor indexed="64"/>
      </patternFill>
    </fill>
    <fill>
      <patternFill patternType="solid">
        <fgColor rgb="FF8EA9DB"/>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theme="7"/>
        <bgColor indexed="64"/>
      </patternFill>
    </fill>
    <fill>
      <patternFill patternType="solid">
        <fgColor rgb="FFFF0000"/>
        <bgColor indexed="64"/>
      </patternFill>
    </fill>
    <fill>
      <patternFill patternType="solid">
        <fgColor rgb="FFFFFF99"/>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s>
  <cellStyleXfs count="12">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42" fillId="0" borderId="0" applyFont="0" applyFill="0" applyBorder="0" applyAlignment="0" applyProtection="0"/>
    <xf numFmtId="0" fontId="42" fillId="0" borderId="0"/>
  </cellStyleXfs>
  <cellXfs count="485">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5" fillId="15" borderId="1" xfId="0" applyFont="1" applyFill="1" applyBorder="1" applyProtection="1">
      <protection locked="0"/>
    </xf>
    <xf numFmtId="0" fontId="20" fillId="0" borderId="1" xfId="0" applyFont="1" applyBorder="1" applyProtection="1">
      <protection locked="0"/>
    </xf>
    <xf numFmtId="0" fontId="23" fillId="14" borderId="1" xfId="0" applyFont="1" applyFill="1" applyBorder="1" applyProtection="1">
      <protection locked="0"/>
    </xf>
    <xf numFmtId="0" fontId="24"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2" fillId="13" borderId="1" xfId="0" applyFont="1" applyFill="1" applyBorder="1" applyAlignment="1">
      <alignment vertical="top"/>
    </xf>
    <xf numFmtId="0" fontId="22" fillId="13" borderId="1" xfId="0" applyFont="1" applyFill="1" applyBorder="1" applyAlignment="1">
      <alignment vertical="top" wrapText="1"/>
    </xf>
    <xf numFmtId="0" fontId="22" fillId="13" borderId="1" xfId="0" applyFont="1" applyFill="1" applyBorder="1" applyAlignment="1">
      <alignment horizontal="center" vertical="top"/>
    </xf>
    <xf numFmtId="41" fontId="22"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8" fillId="0" borderId="0" xfId="0" applyFont="1"/>
    <xf numFmtId="0" fontId="7" fillId="0" borderId="1" xfId="0" applyFont="1" applyFill="1" applyBorder="1" applyAlignment="1">
      <alignment vertical="top"/>
    </xf>
    <xf numFmtId="0" fontId="7" fillId="0" borderId="1" xfId="0" applyFont="1" applyFill="1" applyBorder="1" applyAlignment="1">
      <alignment horizontal="left" vertical="top" wrapText="1"/>
    </xf>
    <xf numFmtId="165" fontId="7" fillId="0" borderId="1" xfId="0" applyNumberFormat="1" applyFont="1" applyFill="1" applyBorder="1" applyAlignment="1">
      <alignment horizontal="center" vertical="top"/>
    </xf>
    <xf numFmtId="0" fontId="7" fillId="0" borderId="1" xfId="0" applyFont="1" applyFill="1" applyBorder="1" applyAlignment="1">
      <alignment horizontal="center" vertical="top"/>
    </xf>
    <xf numFmtId="0" fontId="9" fillId="18" borderId="1" xfId="0" applyFont="1" applyFill="1" applyBorder="1" applyAlignment="1">
      <alignment vertical="top" wrapText="1"/>
    </xf>
    <xf numFmtId="1" fontId="9" fillId="18" borderId="1" xfId="0" applyNumberFormat="1" applyFont="1" applyFill="1" applyBorder="1" applyAlignment="1">
      <alignment horizontal="center" vertical="top"/>
    </xf>
    <xf numFmtId="0" fontId="9" fillId="18" borderId="1" xfId="0" applyFont="1" applyFill="1" applyBorder="1" applyAlignment="1">
      <alignment horizontal="center" vertical="top"/>
    </xf>
    <xf numFmtId="41" fontId="9" fillId="18" borderId="1" xfId="1" applyFont="1" applyFill="1" applyBorder="1" applyAlignment="1">
      <alignment vertical="top"/>
    </xf>
    <xf numFmtId="0" fontId="15" fillId="20" borderId="1" xfId="0" applyFont="1" applyFill="1" applyBorder="1" applyAlignment="1">
      <alignment vertical="top" wrapText="1"/>
    </xf>
    <xf numFmtId="0" fontId="15" fillId="20" borderId="1" xfId="0" applyFont="1" applyFill="1" applyBorder="1" applyAlignment="1">
      <alignment horizontal="center" vertical="top"/>
    </xf>
    <xf numFmtId="41" fontId="15" fillId="20" borderId="1" xfId="1" applyFont="1" applyFill="1" applyBorder="1" applyAlignment="1">
      <alignment vertical="top"/>
    </xf>
    <xf numFmtId="1" fontId="15" fillId="20" borderId="1" xfId="0" applyNumberFormat="1" applyFont="1" applyFill="1" applyBorder="1" applyAlignment="1">
      <alignment horizontal="center" vertical="top"/>
    </xf>
    <xf numFmtId="41" fontId="16" fillId="0" borderId="0" xfId="1" applyFont="1" applyAlignment="1" applyProtection="1">
      <alignment horizontal="left" vertical="top"/>
      <protection locked="0"/>
    </xf>
    <xf numFmtId="0" fontId="28" fillId="0" borderId="1" xfId="0" applyFont="1" applyFill="1" applyBorder="1" applyAlignment="1">
      <alignment vertical="top" wrapText="1"/>
    </xf>
    <xf numFmtId="0" fontId="28" fillId="0" borderId="1" xfId="0" applyFont="1" applyFill="1" applyBorder="1" applyAlignment="1">
      <alignment horizontal="center" vertical="top"/>
    </xf>
    <xf numFmtId="41" fontId="28" fillId="0" borderId="1" xfId="1" applyFont="1" applyFill="1" applyBorder="1" applyAlignment="1">
      <alignment vertical="top"/>
    </xf>
    <xf numFmtId="0" fontId="8" fillId="0" borderId="0" xfId="0" applyFont="1" applyFill="1" applyAlignment="1">
      <alignment vertical="top"/>
    </xf>
    <xf numFmtId="0" fontId="8" fillId="0" borderId="0" xfId="0" applyFont="1" applyFill="1" applyAlignment="1">
      <alignment horizontal="center" vertical="top"/>
    </xf>
    <xf numFmtId="41" fontId="27" fillId="0" borderId="1" xfId="1" applyFont="1" applyFill="1" applyBorder="1"/>
    <xf numFmtId="1" fontId="29" fillId="0" borderId="1" xfId="0" applyNumberFormat="1" applyFont="1" applyFill="1" applyBorder="1" applyAlignment="1">
      <alignment horizontal="center"/>
    </xf>
    <xf numFmtId="1" fontId="29" fillId="0" borderId="1" xfId="1" applyNumberFormat="1" applyFont="1" applyFill="1" applyBorder="1" applyAlignment="1">
      <alignment horizontal="center"/>
    </xf>
    <xf numFmtId="0" fontId="8" fillId="0" borderId="0" xfId="0" applyFont="1" applyAlignment="1">
      <alignment vertical="top"/>
    </xf>
    <xf numFmtId="0" fontId="7" fillId="0" borderId="0" xfId="0" applyFont="1" applyAlignment="1">
      <alignment horizontal="center" vertical="top"/>
    </xf>
    <xf numFmtId="0" fontId="7" fillId="0" borderId="0" xfId="0" applyFont="1" applyAlignment="1">
      <alignment horizontal="center"/>
    </xf>
    <xf numFmtId="0" fontId="8" fillId="0" borderId="0" xfId="0" applyFont="1" applyFill="1" applyAlignment="1">
      <alignment vertical="top" wrapText="1"/>
    </xf>
    <xf numFmtId="41" fontId="8" fillId="0" borderId="0" xfId="1" applyFont="1" applyFill="1" applyAlignment="1">
      <alignment vertical="top"/>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6" fillId="0" borderId="0" xfId="0" applyFont="1" applyAlignment="1" applyProtection="1">
      <alignment horizontal="left"/>
      <protection locked="0"/>
    </xf>
    <xf numFmtId="0" fontId="16" fillId="0" borderId="0" xfId="0" applyFont="1" applyAlignment="1" applyProtection="1">
      <alignment horizontal="center"/>
      <protection locked="0"/>
    </xf>
    <xf numFmtId="41" fontId="16" fillId="0" borderId="0" xfId="1" applyFont="1" applyAlignment="1" applyProtection="1">
      <alignment horizontal="left"/>
      <protection locked="0"/>
    </xf>
    <xf numFmtId="0" fontId="6" fillId="0" borderId="0" xfId="0" applyFont="1" applyAlignment="1" applyProtection="1">
      <alignment horizontal="left"/>
      <protection locked="0"/>
    </xf>
    <xf numFmtId="0" fontId="16" fillId="0" borderId="0" xfId="0" applyFont="1" applyFill="1" applyAlignment="1">
      <alignment horizontal="center" vertical="top"/>
    </xf>
    <xf numFmtId="41" fontId="16" fillId="0" borderId="0" xfId="1" applyFont="1" applyFill="1" applyAlignment="1">
      <alignment horizontal="center" vertical="top"/>
    </xf>
    <xf numFmtId="0" fontId="15" fillId="0" borderId="1" xfId="0" applyFont="1" applyFill="1" applyBorder="1" applyAlignment="1">
      <alignment vertical="top" wrapText="1"/>
    </xf>
    <xf numFmtId="0" fontId="15" fillId="0" borderId="1" xfId="0" applyFont="1" applyFill="1" applyBorder="1" applyAlignment="1">
      <alignment horizontal="center" vertical="top"/>
    </xf>
    <xf numFmtId="41" fontId="15" fillId="0" borderId="1" xfId="1" applyFont="1" applyFill="1" applyBorder="1" applyAlignment="1">
      <alignment vertical="top"/>
    </xf>
    <xf numFmtId="0" fontId="9" fillId="0" borderId="1" xfId="0" applyFont="1" applyFill="1" applyBorder="1" applyAlignment="1">
      <alignment vertical="top" wrapText="1"/>
    </xf>
    <xf numFmtId="0" fontId="9" fillId="0" borderId="1" xfId="0" applyFont="1" applyFill="1" applyBorder="1" applyAlignment="1">
      <alignment horizontal="center" vertical="top"/>
    </xf>
    <xf numFmtId="41" fontId="9" fillId="0" borderId="1" xfId="1" applyFont="1" applyFill="1" applyBorder="1" applyAlignment="1">
      <alignment vertical="top"/>
    </xf>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11" fillId="16" borderId="0" xfId="1" applyFont="1" applyFill="1" applyBorder="1" applyAlignment="1">
      <alignment horizontal="center" vertical="center"/>
    </xf>
    <xf numFmtId="1" fontId="29" fillId="0" borderId="0" xfId="1" applyNumberFormat="1" applyFont="1" applyFill="1" applyBorder="1" applyAlignment="1">
      <alignment horizontal="center"/>
    </xf>
    <xf numFmtId="41" fontId="27" fillId="0" borderId="0" xfId="1" applyFont="1" applyFill="1" applyBorder="1"/>
    <xf numFmtId="0" fontId="17" fillId="0" borderId="0" xfId="0" applyFont="1" applyAlignment="1">
      <alignment vertical="top"/>
    </xf>
    <xf numFmtId="0" fontId="28" fillId="0" borderId="0" xfId="0" applyFont="1"/>
    <xf numFmtId="1" fontId="28" fillId="0" borderId="1" xfId="0" applyNumberFormat="1" applyFont="1" applyFill="1" applyBorder="1" applyAlignment="1">
      <alignment horizontal="center" vertical="top"/>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7" fillId="0" borderId="8" xfId="0" applyFont="1" applyBorder="1"/>
    <xf numFmtId="0" fontId="7" fillId="0" borderId="1" xfId="0" applyFont="1" applyBorder="1" applyAlignment="1">
      <alignment horizontal="center"/>
    </xf>
    <xf numFmtId="0" fontId="0" fillId="0" borderId="0" xfId="0" applyAlignment="1">
      <alignment horizontal="center"/>
    </xf>
    <xf numFmtId="0" fontId="0" fillId="0" borderId="1" xfId="0" applyBorder="1"/>
    <xf numFmtId="41" fontId="0" fillId="0" borderId="1" xfId="1" applyFont="1" applyBorder="1"/>
    <xf numFmtId="0" fontId="30" fillId="21" borderId="1" xfId="0" applyFont="1" applyFill="1" applyBorder="1"/>
    <xf numFmtId="41" fontId="30" fillId="21" borderId="1" xfId="1" applyFont="1" applyFill="1" applyBorder="1"/>
    <xf numFmtId="2" fontId="0" fillId="0" borderId="1" xfId="0" applyNumberFormat="1" applyBorder="1"/>
    <xf numFmtId="41" fontId="0" fillId="0" borderId="1" xfId="0" applyNumberFormat="1" applyBorder="1"/>
    <xf numFmtId="0" fontId="30" fillId="7" borderId="1" xfId="0" applyFont="1" applyFill="1" applyBorder="1" applyAlignment="1">
      <alignment horizontal="left"/>
    </xf>
    <xf numFmtId="0" fontId="30" fillId="7" borderId="1" xfId="0" applyFont="1" applyFill="1" applyBorder="1"/>
    <xf numFmtId="41" fontId="30" fillId="7" borderId="1" xfId="1" applyFont="1" applyFill="1" applyBorder="1"/>
    <xf numFmtId="2" fontId="30" fillId="7" borderId="1" xfId="0" applyNumberFormat="1" applyFont="1" applyFill="1" applyBorder="1"/>
    <xf numFmtId="41" fontId="30" fillId="7" borderId="1" xfId="0" applyNumberFormat="1" applyFont="1" applyFill="1" applyBorder="1"/>
    <xf numFmtId="2" fontId="30" fillId="21" borderId="1" xfId="0" applyNumberFormat="1" applyFont="1" applyFill="1" applyBorder="1"/>
    <xf numFmtId="41" fontId="30" fillId="21" borderId="1" xfId="0" applyNumberFormat="1" applyFont="1" applyFill="1" applyBorder="1"/>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30" fillId="22" borderId="1" xfId="1" applyFont="1" applyFill="1" applyBorder="1"/>
    <xf numFmtId="0" fontId="30" fillId="22" borderId="1" xfId="0" applyFont="1" applyFill="1" applyBorder="1" applyAlignment="1">
      <alignment horizontal="left"/>
    </xf>
    <xf numFmtId="0" fontId="30" fillId="22" borderId="1" xfId="0" applyFont="1" applyFill="1" applyBorder="1"/>
    <xf numFmtId="2" fontId="30" fillId="22" borderId="1" xfId="0" applyNumberFormat="1" applyFont="1" applyFill="1" applyBorder="1"/>
    <xf numFmtId="41" fontId="30" fillId="22" borderId="1" xfId="0" applyNumberFormat="1" applyFont="1" applyFill="1" applyBorder="1"/>
    <xf numFmtId="0" fontId="30" fillId="23" borderId="1" xfId="0" applyFont="1" applyFill="1" applyBorder="1" applyAlignment="1">
      <alignment horizontal="left"/>
    </xf>
    <xf numFmtId="0" fontId="30" fillId="23" borderId="1" xfId="0" applyFont="1" applyFill="1" applyBorder="1"/>
    <xf numFmtId="41" fontId="30" fillId="23" borderId="1" xfId="1" applyFont="1" applyFill="1" applyBorder="1"/>
    <xf numFmtId="2" fontId="30" fillId="23" borderId="1" xfId="0" applyNumberFormat="1" applyFont="1" applyFill="1" applyBorder="1"/>
    <xf numFmtId="41" fontId="30" fillId="23" borderId="1" xfId="0" applyNumberFormat="1" applyFont="1" applyFill="1" applyBorder="1"/>
    <xf numFmtId="0" fontId="30" fillId="0" borderId="0" xfId="0" applyFont="1"/>
    <xf numFmtId="0" fontId="30" fillId="2" borderId="1" xfId="0" applyFont="1" applyFill="1" applyBorder="1" applyAlignment="1">
      <alignment horizontal="left"/>
    </xf>
    <xf numFmtId="0" fontId="30" fillId="2" borderId="1" xfId="0" applyFont="1" applyFill="1" applyBorder="1"/>
    <xf numFmtId="41" fontId="30" fillId="2" borderId="1" xfId="1" applyFont="1" applyFill="1" applyBorder="1"/>
    <xf numFmtId="2" fontId="30" fillId="2" borderId="1" xfId="0" applyNumberFormat="1" applyFont="1" applyFill="1" applyBorder="1"/>
    <xf numFmtId="41" fontId="30" fillId="2" borderId="1" xfId="0" applyNumberFormat="1" applyFont="1" applyFill="1" applyBorder="1"/>
    <xf numFmtId="0" fontId="0" fillId="0" borderId="1" xfId="0" applyBorder="1" applyAlignment="1">
      <alignment horizontal="left" indent="3"/>
    </xf>
    <xf numFmtId="0" fontId="30" fillId="26" borderId="1" xfId="0" applyFont="1" applyFill="1" applyBorder="1" applyAlignment="1">
      <alignment horizontal="left"/>
    </xf>
    <xf numFmtId="0" fontId="30" fillId="26" borderId="1" xfId="0" applyFont="1" applyFill="1" applyBorder="1"/>
    <xf numFmtId="41" fontId="30" fillId="26" borderId="1" xfId="1" applyFont="1" applyFill="1" applyBorder="1"/>
    <xf numFmtId="2" fontId="30" fillId="26" borderId="1" xfId="0" applyNumberFormat="1" applyFont="1" applyFill="1" applyBorder="1"/>
    <xf numFmtId="41" fontId="30" fillId="26" borderId="1" xfId="0" applyNumberFormat="1" applyFont="1" applyFill="1" applyBorder="1"/>
    <xf numFmtId="0" fontId="30" fillId="0" borderId="0" xfId="0" applyFont="1" applyAlignment="1">
      <alignment horizontal="center"/>
    </xf>
    <xf numFmtId="0" fontId="32" fillId="0" borderId="1" xfId="2" quotePrefix="1" applyFont="1" applyBorder="1" applyAlignment="1">
      <alignment horizontal="center"/>
    </xf>
    <xf numFmtId="0" fontId="32" fillId="0" borderId="1" xfId="2" applyFont="1" applyBorder="1"/>
    <xf numFmtId="164" fontId="32" fillId="0" borderId="1" xfId="7" applyFont="1" applyFill="1" applyBorder="1"/>
    <xf numFmtId="2" fontId="32" fillId="0" borderId="1" xfId="2" applyNumberFormat="1" applyFont="1" applyBorder="1" applyAlignment="1">
      <alignment horizontal="center"/>
    </xf>
    <xf numFmtId="164" fontId="32" fillId="0" borderId="1" xfId="2" applyNumberFormat="1" applyFont="1" applyBorder="1"/>
    <xf numFmtId="0" fontId="33" fillId="0" borderId="1" xfId="2" applyFont="1" applyBorder="1" applyAlignment="1">
      <alignment horizontal="left" indent="2"/>
    </xf>
    <xf numFmtId="164" fontId="33" fillId="0" borderId="1" xfId="7" applyFont="1" applyFill="1" applyBorder="1"/>
    <xf numFmtId="2" fontId="33" fillId="0" borderId="1" xfId="2" applyNumberFormat="1" applyFont="1" applyBorder="1" applyAlignment="1">
      <alignment horizontal="center"/>
    </xf>
    <xf numFmtId="164" fontId="33" fillId="0" borderId="1" xfId="2" applyNumberFormat="1" applyFont="1" applyBorder="1"/>
    <xf numFmtId="0" fontId="33" fillId="0" borderId="1" xfId="2" quotePrefix="1" applyFont="1" applyBorder="1" applyAlignment="1">
      <alignment horizontal="center"/>
    </xf>
    <xf numFmtId="0" fontId="31" fillId="25" borderId="1" xfId="2" applyFont="1" applyFill="1" applyBorder="1" applyAlignment="1">
      <alignment horizontal="center"/>
    </xf>
    <xf numFmtId="164" fontId="31" fillId="21" borderId="1" xfId="7" applyFont="1" applyFill="1" applyBorder="1" applyAlignment="1">
      <alignment vertical="center"/>
    </xf>
    <xf numFmtId="2" fontId="31" fillId="21"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8" xfId="1" applyFont="1" applyFill="1" applyBorder="1"/>
    <xf numFmtId="0" fontId="31" fillId="25" borderId="1" xfId="2" applyFont="1" applyFill="1" applyBorder="1" applyAlignment="1">
      <alignment horizontal="center" vertical="center"/>
    </xf>
    <xf numFmtId="0" fontId="30" fillId="0" borderId="1" xfId="0" applyFont="1" applyBorder="1"/>
    <xf numFmtId="166" fontId="0" fillId="0" borderId="1" xfId="0" applyNumberFormat="1" applyBorder="1"/>
    <xf numFmtId="166" fontId="30" fillId="2" borderId="1" xfId="0" applyNumberFormat="1" applyFont="1" applyFill="1" applyBorder="1"/>
    <xf numFmtId="166" fontId="0" fillId="2" borderId="1" xfId="0" applyNumberFormat="1" applyFill="1" applyBorder="1"/>
    <xf numFmtId="166" fontId="30" fillId="21"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30" fillId="21"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0" fontId="7" fillId="0" borderId="1" xfId="0" applyFont="1" applyBorder="1" applyAlignment="1">
      <alignment horizont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30" fillId="7" borderId="0" xfId="1" applyFont="1" applyFill="1"/>
    <xf numFmtId="2" fontId="30" fillId="7" borderId="0" xfId="0" applyNumberFormat="1" applyFont="1" applyFill="1" applyAlignment="1">
      <alignment horizontal="right"/>
    </xf>
    <xf numFmtId="0" fontId="0" fillId="0" borderId="0" xfId="0" applyAlignment="1">
      <alignment wrapText="1"/>
    </xf>
    <xf numFmtId="41" fontId="0" fillId="0" borderId="1" xfId="1" applyFont="1" applyFill="1" applyBorder="1"/>
    <xf numFmtId="41" fontId="30" fillId="25" borderId="1" xfId="1" applyFont="1" applyFill="1" applyBorder="1" applyAlignment="1">
      <alignment horizontal="center"/>
    </xf>
    <xf numFmtId="0" fontId="30" fillId="25" borderId="1" xfId="0" applyFont="1" applyFill="1" applyBorder="1" applyAlignment="1">
      <alignment horizontal="center"/>
    </xf>
    <xf numFmtId="0" fontId="30" fillId="25" borderId="1" xfId="0" applyFont="1" applyFill="1" applyBorder="1" applyAlignment="1"/>
    <xf numFmtId="0" fontId="0" fillId="24" borderId="1" xfId="0" applyFill="1" applyBorder="1" applyAlignment="1">
      <alignment horizontal="center"/>
    </xf>
    <xf numFmtId="0" fontId="30" fillId="24" borderId="1" xfId="0" applyFont="1" applyFill="1" applyBorder="1" applyAlignment="1">
      <alignment horizontal="center" vertical="center"/>
    </xf>
    <xf numFmtId="0" fontId="30" fillId="24" borderId="1" xfId="0" applyFont="1" applyFill="1" applyBorder="1" applyAlignment="1">
      <alignment horizontal="center"/>
    </xf>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30"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30" fillId="2" borderId="1" xfId="0" applyNumberFormat="1" applyFont="1" applyFill="1" applyBorder="1" applyAlignment="1">
      <alignment horizontal="center"/>
    </xf>
    <xf numFmtId="2" fontId="30" fillId="21"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28" fillId="0" borderId="0" xfId="1" applyFont="1" applyFill="1" applyBorder="1" applyAlignment="1">
      <alignment vertical="top"/>
    </xf>
    <xf numFmtId="41" fontId="28" fillId="0" borderId="6" xfId="1" applyFont="1" applyFill="1" applyBorder="1" applyAlignment="1">
      <alignment vertical="top"/>
    </xf>
    <xf numFmtId="166" fontId="27" fillId="0" borderId="1" xfId="1" applyNumberFormat="1" applyFont="1" applyFill="1" applyBorder="1"/>
    <xf numFmtId="41" fontId="15" fillId="0" borderId="0" xfId="1" applyFont="1" applyFill="1" applyBorder="1" applyAlignment="1">
      <alignment vertical="top"/>
    </xf>
    <xf numFmtId="41" fontId="15" fillId="0" borderId="6" xfId="1" applyFont="1" applyFill="1" applyBorder="1" applyAlignment="1">
      <alignment vertical="top"/>
    </xf>
    <xf numFmtId="41" fontId="9" fillId="0" borderId="6" xfId="1" applyFont="1" applyFill="1" applyBorder="1" applyAlignment="1">
      <alignment vertical="top"/>
    </xf>
    <xf numFmtId="0" fontId="0" fillId="0" borderId="0" xfId="0" applyAlignment="1">
      <alignment horizontal="center"/>
    </xf>
    <xf numFmtId="41" fontId="8" fillId="0" borderId="0" xfId="1" applyFont="1"/>
    <xf numFmtId="41" fontId="8" fillId="0" borderId="0" xfId="0" applyNumberFormat="1" applyFont="1"/>
    <xf numFmtId="0" fontId="16" fillId="0" borderId="0" xfId="8" applyFont="1" applyAlignment="1">
      <alignment horizontal="center" vertical="center"/>
    </xf>
    <xf numFmtId="0" fontId="16" fillId="0" borderId="0" xfId="8" applyFont="1"/>
    <xf numFmtId="0" fontId="16" fillId="0" borderId="0" xfId="8" applyFont="1" applyBorder="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25" borderId="1" xfId="0" applyFill="1" applyBorder="1" applyAlignment="1">
      <alignment horizontal="center"/>
    </xf>
    <xf numFmtId="0" fontId="30" fillId="2" borderId="1" xfId="0" applyFont="1" applyFill="1" applyBorder="1" applyAlignment="1"/>
    <xf numFmtId="0" fontId="30" fillId="2" borderId="1" xfId="0" applyFont="1" applyFill="1" applyBorder="1" applyAlignment="1">
      <alignment horizontal="center"/>
    </xf>
    <xf numFmtId="0" fontId="30" fillId="2" borderId="1" xfId="0" quotePrefix="1" applyFont="1" applyFill="1" applyBorder="1" applyAlignment="1">
      <alignment horizontal="center"/>
    </xf>
    <xf numFmtId="15" fontId="30"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27"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28" borderId="1" xfId="8" applyFont="1" applyFill="1" applyBorder="1" applyAlignment="1">
      <alignment horizontal="center" vertical="center" wrapText="1"/>
    </xf>
    <xf numFmtId="0" fontId="16" fillId="29" borderId="1" xfId="8" applyFont="1" applyFill="1" applyBorder="1" applyAlignment="1">
      <alignment horizontal="center" vertical="center" wrapText="1"/>
    </xf>
    <xf numFmtId="0" fontId="16" fillId="21" borderId="1" xfId="8" applyFont="1" applyFill="1" applyBorder="1" applyAlignment="1">
      <alignment horizontal="center" vertical="center" wrapText="1"/>
    </xf>
    <xf numFmtId="0" fontId="16" fillId="30" borderId="1" xfId="0" applyFont="1" applyFill="1" applyBorder="1" applyAlignment="1">
      <alignment horizontal="center" vertical="center" wrapText="1"/>
    </xf>
    <xf numFmtId="0" fontId="0" fillId="0" borderId="0" xfId="0" applyAlignment="1"/>
    <xf numFmtId="0" fontId="36" fillId="0" borderId="1" xfId="0" applyFont="1" applyFill="1" applyBorder="1" applyAlignment="1">
      <alignment horizontal="center" vertical="center" wrapText="1"/>
    </xf>
    <xf numFmtId="0" fontId="36" fillId="0" borderId="1" xfId="0" applyFont="1" applyFill="1" applyBorder="1" applyAlignment="1">
      <alignment horizontal="center" vertical="center"/>
    </xf>
    <xf numFmtId="0" fontId="0" fillId="0" borderId="1" xfId="0" applyFill="1" applyBorder="1" applyAlignment="1">
      <alignment horizontal="left" wrapText="1"/>
    </xf>
    <xf numFmtId="0" fontId="0" fillId="19" borderId="1" xfId="0" applyFill="1" applyBorder="1" applyAlignment="1">
      <alignment horizontal="left"/>
    </xf>
    <xf numFmtId="0" fontId="0" fillId="28" borderId="1" xfId="0" applyFill="1" applyBorder="1" applyAlignment="1">
      <alignment horizontal="left" wrapText="1" indent="4"/>
    </xf>
    <xf numFmtId="0" fontId="37" fillId="0" borderId="0" xfId="8" applyFont="1" applyAlignment="1">
      <alignment horizontal="center" vertical="center" wrapText="1"/>
    </xf>
    <xf numFmtId="0" fontId="16" fillId="0" borderId="1" xfId="8" applyFont="1" applyFill="1" applyBorder="1" applyAlignment="1">
      <alignment vertical="center" wrapText="1"/>
    </xf>
    <xf numFmtId="41" fontId="0" fillId="21" borderId="1" xfId="0" applyNumberFormat="1" applyFill="1" applyBorder="1"/>
    <xf numFmtId="0" fontId="0" fillId="0" borderId="1" xfId="0" applyFill="1" applyBorder="1" applyAlignment="1">
      <alignment horizontal="left" indent="8"/>
    </xf>
    <xf numFmtId="0" fontId="0" fillId="21" borderId="1" xfId="0" applyFill="1" applyBorder="1" applyAlignment="1">
      <alignment horizontal="left"/>
    </xf>
    <xf numFmtId="0" fontId="16" fillId="0" borderId="1" xfId="0" applyFont="1" applyFill="1" applyBorder="1" applyAlignment="1">
      <alignment horizontal="center" vertical="center" wrapText="1"/>
    </xf>
    <xf numFmtId="0" fontId="0" fillId="28" borderId="1" xfId="0" applyFill="1" applyBorder="1" applyAlignment="1">
      <alignment horizontal="left" indent="4"/>
    </xf>
    <xf numFmtId="0" fontId="0" fillId="0" borderId="1" xfId="0" applyFill="1" applyBorder="1"/>
    <xf numFmtId="0" fontId="16" fillId="21"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0" fontId="16" fillId="0" borderId="1" xfId="8" applyFont="1" applyBorder="1" applyAlignment="1">
      <alignment vertical="center" wrapText="1"/>
    </xf>
    <xf numFmtId="0" fontId="16" fillId="32" borderId="1" xfId="8" applyFont="1" applyFill="1" applyBorder="1" applyAlignment="1">
      <alignment vertical="center" wrapText="1"/>
    </xf>
    <xf numFmtId="0" fontId="16" fillId="21" borderId="1" xfId="0" applyFont="1" applyFill="1" applyBorder="1" applyAlignment="1">
      <alignment horizontal="center" vertical="center"/>
    </xf>
    <xf numFmtId="0" fontId="16" fillId="3" borderId="1" xfId="0" applyFont="1" applyFill="1" applyBorder="1" applyAlignment="1">
      <alignment horizontal="center" vertical="center"/>
    </xf>
    <xf numFmtId="0" fontId="30" fillId="21" borderId="1" xfId="0" applyFont="1" applyFill="1" applyBorder="1" applyAlignment="1">
      <alignment horizontal="left" wrapText="1" indent="2"/>
    </xf>
    <xf numFmtId="0" fontId="30" fillId="21" borderId="1" xfId="0" applyFont="1" applyFill="1" applyBorder="1" applyAlignment="1">
      <alignment horizontal="left" indent="2"/>
    </xf>
    <xf numFmtId="0" fontId="38" fillId="2" borderId="9" xfId="0" applyFont="1" applyFill="1" applyBorder="1" applyAlignment="1">
      <alignment horizontal="center" vertical="center" wrapText="1"/>
    </xf>
    <xf numFmtId="0" fontId="38" fillId="2" borderId="2" xfId="0" applyFont="1" applyFill="1" applyBorder="1" applyAlignment="1">
      <alignment horizontal="center" vertical="center" wrapText="1"/>
    </xf>
    <xf numFmtId="41" fontId="16" fillId="0" borderId="0" xfId="1" applyFont="1"/>
    <xf numFmtId="0" fontId="16" fillId="0" borderId="0" xfId="8" applyFont="1" applyAlignment="1">
      <alignment vertical="top"/>
    </xf>
    <xf numFmtId="0" fontId="16" fillId="33" borderId="1" xfId="8" applyFont="1" applyFill="1" applyBorder="1" applyAlignment="1">
      <alignment horizontal="center" vertical="center" wrapText="1"/>
    </xf>
    <xf numFmtId="0" fontId="41"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0" fontId="16" fillId="0" borderId="2" xfId="8" applyFont="1" applyFill="1" applyBorder="1" applyAlignment="1">
      <alignment horizontal="center" vertical="center"/>
    </xf>
    <xf numFmtId="0" fontId="16" fillId="0" borderId="2" xfId="0" applyFont="1" applyBorder="1" applyAlignment="1">
      <alignment horizontal="center" vertical="center"/>
    </xf>
    <xf numFmtId="167" fontId="16" fillId="0" borderId="2" xfId="0" applyNumberFormat="1" applyFont="1" applyBorder="1" applyAlignment="1">
      <alignment horizontal="center" vertical="center"/>
    </xf>
    <xf numFmtId="41" fontId="16" fillId="0" borderId="2" xfId="1" applyFont="1" applyBorder="1" applyAlignment="1">
      <alignment horizontal="center" vertical="center"/>
    </xf>
    <xf numFmtId="0" fontId="16" fillId="0" borderId="2" xfId="8" applyFont="1" applyFill="1" applyBorder="1" applyAlignment="1">
      <alignment vertical="center" wrapText="1"/>
    </xf>
    <xf numFmtId="0" fontId="16" fillId="0" borderId="2" xfId="0" applyFont="1" applyFill="1" applyBorder="1" applyAlignment="1">
      <alignment horizontal="left" vertical="center" wrapText="1"/>
    </xf>
    <xf numFmtId="0" fontId="16" fillId="0" borderId="2" xfId="0" applyFont="1" applyBorder="1" applyAlignment="1">
      <alignment horizontal="left" vertical="center" wrapText="1"/>
    </xf>
    <xf numFmtId="0" fontId="30" fillId="24" borderId="1" xfId="0" applyFont="1" applyFill="1" applyBorder="1" applyAlignment="1">
      <alignment horizontal="center" vertical="center"/>
    </xf>
    <xf numFmtId="0" fontId="0" fillId="0" borderId="0" xfId="0" pivotButton="1"/>
    <xf numFmtId="41" fontId="4" fillId="0" borderId="0" xfId="0" applyNumberFormat="1" applyFont="1"/>
    <xf numFmtId="41" fontId="0" fillId="2" borderId="0" xfId="1" applyFont="1" applyFill="1"/>
    <xf numFmtId="0" fontId="0" fillId="0" borderId="0" xfId="0" quotePrefix="1" applyFill="1" applyAlignment="1">
      <alignment horizontal="left"/>
    </xf>
    <xf numFmtId="41" fontId="0" fillId="0" borderId="0" xfId="1" applyFont="1" applyAlignment="1">
      <alignment horizontal="left"/>
    </xf>
    <xf numFmtId="41" fontId="0" fillId="0" borderId="0" xfId="1" applyFont="1" applyFill="1" applyAlignment="1">
      <alignment horizontal="right"/>
    </xf>
    <xf numFmtId="41" fontId="0" fillId="2" borderId="1" xfId="0" applyNumberFormat="1" applyFill="1" applyBorder="1" applyAlignment="1">
      <alignment vertical="top"/>
    </xf>
    <xf numFmtId="2" fontId="0" fillId="2" borderId="1" xfId="0" applyNumberFormat="1" applyFill="1" applyBorder="1" applyAlignment="1">
      <alignment vertical="top"/>
    </xf>
    <xf numFmtId="41" fontId="0" fillId="0" borderId="1" xfId="0" applyNumberFormat="1" applyFill="1" applyBorder="1" applyAlignment="1">
      <alignment vertical="top"/>
    </xf>
    <xf numFmtId="2" fontId="0" fillId="0" borderId="1" xfId="0" applyNumberFormat="1" applyFill="1" applyBorder="1" applyAlignment="1">
      <alignment vertical="top"/>
    </xf>
    <xf numFmtId="41" fontId="0" fillId="19" borderId="1" xfId="0" applyNumberFormat="1" applyFill="1" applyBorder="1" applyAlignment="1">
      <alignment vertical="top"/>
    </xf>
    <xf numFmtId="2" fontId="0" fillId="19" borderId="1" xfId="0" applyNumberFormat="1" applyFill="1" applyBorder="1" applyAlignment="1">
      <alignment vertical="top"/>
    </xf>
    <xf numFmtId="41" fontId="0" fillId="7" borderId="1" xfId="0" applyNumberFormat="1" applyFill="1" applyBorder="1" applyAlignment="1">
      <alignment vertical="top"/>
    </xf>
    <xf numFmtId="2" fontId="0" fillId="7" borderId="1" xfId="0" applyNumberFormat="1" applyFill="1" applyBorder="1" applyAlignment="1">
      <alignment vertical="top"/>
    </xf>
    <xf numFmtId="41" fontId="30" fillId="21" borderId="1" xfId="0" applyNumberFormat="1" applyFont="1" applyFill="1" applyBorder="1" applyAlignment="1">
      <alignment vertical="top"/>
    </xf>
    <xf numFmtId="2" fontId="30" fillId="21" borderId="1" xfId="0" applyNumberFormat="1" applyFont="1" applyFill="1" applyBorder="1" applyAlignment="1">
      <alignment vertical="top"/>
    </xf>
    <xf numFmtId="41" fontId="0" fillId="28" borderId="1" xfId="0" applyNumberFormat="1" applyFill="1" applyBorder="1" applyAlignment="1">
      <alignment vertical="top"/>
    </xf>
    <xf numFmtId="2" fontId="0" fillId="28" borderId="1" xfId="0" applyNumberFormat="1" applyFill="1" applyBorder="1" applyAlignment="1">
      <alignment vertical="top"/>
    </xf>
    <xf numFmtId="41" fontId="0" fillId="31" borderId="1" xfId="0" applyNumberFormat="1" applyFill="1" applyBorder="1" applyAlignment="1">
      <alignment vertical="top"/>
    </xf>
    <xf numFmtId="2" fontId="0" fillId="31" borderId="1" xfId="0" applyNumberFormat="1" applyFill="1" applyBorder="1" applyAlignment="1">
      <alignment vertical="top"/>
    </xf>
    <xf numFmtId="0" fontId="30" fillId="24" borderId="1" xfId="0" applyFont="1" applyFill="1" applyBorder="1" applyAlignment="1">
      <alignment horizontal="center"/>
    </xf>
    <xf numFmtId="0" fontId="0" fillId="24" borderId="1" xfId="0" applyFill="1" applyBorder="1" applyAlignment="1">
      <alignment horizontal="center" vertical="center"/>
    </xf>
    <xf numFmtId="0" fontId="30" fillId="24" borderId="1" xfId="0" applyFont="1" applyFill="1" applyBorder="1" applyAlignment="1">
      <alignment horizontal="center" vertical="center"/>
    </xf>
    <xf numFmtId="9" fontId="0" fillId="24" borderId="1" xfId="4" applyFont="1" applyFill="1" applyBorder="1" applyAlignment="1">
      <alignment horizontal="center" vertical="center"/>
    </xf>
    <xf numFmtId="0" fontId="30" fillId="0" borderId="0" xfId="0" applyFont="1" applyAlignment="1">
      <alignment horizontal="center"/>
    </xf>
    <xf numFmtId="41" fontId="30" fillId="0" borderId="0" xfId="1" applyFont="1"/>
    <xf numFmtId="0" fontId="15" fillId="21" borderId="1" xfId="0" applyFont="1" applyFill="1" applyBorder="1" applyAlignment="1">
      <alignment vertical="top" wrapText="1"/>
    </xf>
    <xf numFmtId="0" fontId="0" fillId="21" borderId="1" xfId="0" applyFill="1" applyBorder="1"/>
    <xf numFmtId="41" fontId="0" fillId="21" borderId="1" xfId="1" applyFont="1" applyFill="1" applyBorder="1"/>
    <xf numFmtId="41" fontId="0" fillId="0" borderId="0" xfId="1" applyFont="1" applyFill="1"/>
    <xf numFmtId="0" fontId="0" fillId="23" borderId="1" xfId="0" applyFill="1" applyBorder="1"/>
    <xf numFmtId="41" fontId="0" fillId="23" borderId="1" xfId="1" applyFont="1" applyFill="1" applyBorder="1" applyAlignment="1">
      <alignment horizontal="right"/>
    </xf>
    <xf numFmtId="41" fontId="42" fillId="23" borderId="1" xfId="10" applyFont="1" applyFill="1" applyBorder="1"/>
    <xf numFmtId="41" fontId="0" fillId="23" borderId="1" xfId="1" applyFont="1" applyFill="1" applyBorder="1"/>
    <xf numFmtId="41" fontId="42" fillId="23" borderId="1" xfId="11" applyNumberFormat="1" applyFill="1" applyBorder="1"/>
    <xf numFmtId="41" fontId="0" fillId="23" borderId="1" xfId="0" applyNumberFormat="1" applyFill="1" applyBorder="1" applyAlignment="1">
      <alignment horizontal="left"/>
    </xf>
    <xf numFmtId="2" fontId="0" fillId="23" borderId="1" xfId="0" applyNumberFormat="1" applyFill="1" applyBorder="1"/>
    <xf numFmtId="41" fontId="0" fillId="23" borderId="1" xfId="0" applyNumberFormat="1" applyFill="1" applyBorder="1"/>
    <xf numFmtId="0" fontId="0" fillId="0" borderId="0" xfId="0" applyNumberFormat="1" applyFill="1" applyAlignment="1">
      <alignment horizontal="left"/>
    </xf>
    <xf numFmtId="41" fontId="0" fillId="0" borderId="0" xfId="1" applyFont="1" applyFill="1" applyAlignment="1">
      <alignment horizontal="left"/>
    </xf>
    <xf numFmtId="2" fontId="0" fillId="21" borderId="1" xfId="0" applyNumberFormat="1" applyFill="1" applyBorder="1"/>
    <xf numFmtId="166" fontId="30" fillId="23" borderId="1" xfId="0" applyNumberFormat="1" applyFont="1" applyFill="1" applyBorder="1"/>
    <xf numFmtId="166" fontId="0" fillId="23" borderId="1" xfId="0" applyNumberFormat="1" applyFill="1" applyBorder="1"/>
    <xf numFmtId="0" fontId="0" fillId="0" borderId="0" xfId="0" applyFill="1"/>
    <xf numFmtId="0" fontId="30" fillId="24" borderId="7" xfId="0" applyFont="1" applyFill="1" applyBorder="1" applyAlignment="1">
      <alignment horizontal="center" vertical="center"/>
    </xf>
    <xf numFmtId="0" fontId="30" fillId="23" borderId="7" xfId="0" quotePrefix="1" applyFont="1" applyFill="1" applyBorder="1"/>
    <xf numFmtId="0" fontId="15" fillId="21" borderId="7" xfId="0" applyFont="1" applyFill="1" applyBorder="1" applyAlignment="1">
      <alignment horizontal="center" vertical="top"/>
    </xf>
    <xf numFmtId="0" fontId="0" fillId="23" borderId="7" xfId="0" applyFill="1" applyBorder="1" applyAlignment="1">
      <alignment horizontal="center"/>
    </xf>
    <xf numFmtId="0" fontId="30" fillId="24" borderId="10" xfId="0" applyFont="1" applyFill="1" applyBorder="1" applyAlignment="1">
      <alignment horizontal="center" vertical="center"/>
    </xf>
    <xf numFmtId="0" fontId="30" fillId="24" borderId="4" xfId="0" applyFont="1" applyFill="1" applyBorder="1" applyAlignment="1">
      <alignment horizontal="center" vertical="center"/>
    </xf>
    <xf numFmtId="0" fontId="30" fillId="24" borderId="4" xfId="0" applyFont="1" applyFill="1" applyBorder="1" applyAlignment="1">
      <alignment horizontal="center"/>
    </xf>
    <xf numFmtId="9" fontId="0" fillId="24" borderId="4" xfId="4" applyFont="1" applyFill="1" applyBorder="1" applyAlignment="1">
      <alignment horizontal="center" vertical="center"/>
    </xf>
    <xf numFmtId="0" fontId="0" fillId="24" borderId="4" xfId="0" applyFill="1" applyBorder="1" applyAlignment="1">
      <alignment horizontal="center" vertical="center"/>
    </xf>
    <xf numFmtId="0" fontId="0" fillId="24" borderId="4" xfId="0" applyFill="1" applyBorder="1" applyAlignment="1">
      <alignment horizontal="center"/>
    </xf>
    <xf numFmtId="0" fontId="30" fillId="25" borderId="4" xfId="0" applyFont="1" applyFill="1" applyBorder="1" applyAlignment="1"/>
    <xf numFmtId="0" fontId="0" fillId="23" borderId="2" xfId="0" applyFill="1" applyBorder="1"/>
    <xf numFmtId="41" fontId="0" fillId="23" borderId="2" xfId="1" applyFont="1" applyFill="1" applyBorder="1"/>
    <xf numFmtId="41" fontId="42" fillId="23" borderId="2" xfId="11" applyNumberFormat="1" applyFill="1" applyBorder="1"/>
    <xf numFmtId="41" fontId="0" fillId="23" borderId="2" xfId="0" applyNumberFormat="1" applyFill="1" applyBorder="1" applyAlignment="1">
      <alignment horizontal="left"/>
    </xf>
    <xf numFmtId="166" fontId="0" fillId="23" borderId="2" xfId="0" applyNumberFormat="1" applyFill="1" applyBorder="1"/>
    <xf numFmtId="41" fontId="0" fillId="23" borderId="2" xfId="0" applyNumberFormat="1" applyFill="1" applyBorder="1"/>
    <xf numFmtId="2" fontId="0" fillId="23" borderId="2" xfId="0" applyNumberFormat="1" applyFill="1" applyBorder="1"/>
    <xf numFmtId="41" fontId="0" fillId="0" borderId="0" xfId="1" applyFont="1" applyBorder="1"/>
    <xf numFmtId="0" fontId="31" fillId="25" borderId="1" xfId="2" applyFont="1" applyFill="1" applyBorder="1" applyAlignment="1">
      <alignment horizontal="center" vertical="center"/>
    </xf>
    <xf numFmtId="0" fontId="30" fillId="0" borderId="0" xfId="0" applyFont="1" applyAlignment="1">
      <alignment horizontal="center"/>
    </xf>
    <xf numFmtId="41" fontId="30" fillId="24" borderId="1" xfId="0" applyNumberFormat="1" applyFont="1" applyFill="1" applyBorder="1" applyAlignment="1">
      <alignment horizontal="center" vertical="center"/>
    </xf>
    <xf numFmtId="0" fontId="0" fillId="0" borderId="0" xfId="0" applyFill="1" applyBorder="1" applyAlignment="1">
      <alignment horizontal="left"/>
    </xf>
    <xf numFmtId="41" fontId="0" fillId="0" borderId="2" xfId="1" applyFont="1" applyFill="1" applyBorder="1" applyAlignment="1">
      <alignment horizontal="right"/>
    </xf>
    <xf numFmtId="41" fontId="0" fillId="0" borderId="0" xfId="1" applyFont="1" applyFill="1" applyBorder="1" applyAlignment="1">
      <alignment horizontal="left"/>
    </xf>
    <xf numFmtId="41" fontId="0" fillId="0" borderId="0" xfId="0" applyNumberFormat="1" applyFill="1" applyBorder="1" applyAlignment="1">
      <alignment horizontal="left"/>
    </xf>
    <xf numFmtId="41" fontId="0" fillId="0" borderId="0" xfId="0" applyNumberFormat="1" applyBorder="1"/>
    <xf numFmtId="41" fontId="0" fillId="0" borderId="0" xfId="1" applyFont="1" applyFill="1" applyBorder="1" applyAlignment="1">
      <alignment horizontal="right"/>
    </xf>
    <xf numFmtId="43" fontId="0" fillId="0" borderId="0" xfId="0" applyNumberFormat="1" applyFill="1" applyBorder="1" applyAlignment="1">
      <alignment horizontal="left"/>
    </xf>
    <xf numFmtId="0" fontId="0" fillId="0" borderId="0" xfId="0" applyNumberFormat="1" applyFill="1" applyBorder="1" applyAlignment="1">
      <alignment horizontal="left"/>
    </xf>
    <xf numFmtId="41" fontId="30" fillId="21" borderId="1" xfId="0" applyNumberFormat="1" applyFont="1" applyFill="1" applyBorder="1" applyAlignment="1"/>
    <xf numFmtId="41" fontId="43" fillId="0" borderId="0" xfId="1" applyFont="1"/>
    <xf numFmtId="0" fontId="30" fillId="25" borderId="1" xfId="0" applyFont="1" applyFill="1" applyBorder="1" applyAlignment="1">
      <alignment horizontal="center" vertical="center" wrapText="1"/>
    </xf>
    <xf numFmtId="168" fontId="0" fillId="0" borderId="1" xfId="1" applyNumberFormat="1" applyFont="1" applyBorder="1" applyAlignment="1">
      <alignment horizontal="center"/>
    </xf>
    <xf numFmtId="0" fontId="31" fillId="0" borderId="0" xfId="2" applyFont="1" applyFill="1" applyBorder="1" applyAlignment="1">
      <alignment horizontal="center" vertical="center"/>
    </xf>
    <xf numFmtId="164" fontId="31" fillId="0" borderId="0" xfId="7" applyFont="1" applyFill="1" applyBorder="1" applyAlignment="1">
      <alignment vertical="center"/>
    </xf>
    <xf numFmtId="3" fontId="31" fillId="0" borderId="0" xfId="7" applyNumberFormat="1" applyFont="1" applyFill="1" applyBorder="1" applyAlignment="1">
      <alignment horizontal="center" vertical="center"/>
    </xf>
    <xf numFmtId="2" fontId="31" fillId="0" borderId="0" xfId="2" applyNumberFormat="1" applyFont="1" applyFill="1" applyBorder="1" applyAlignment="1">
      <alignment horizontal="center" vertical="center"/>
    </xf>
    <xf numFmtId="4" fontId="0" fillId="0" borderId="1" xfId="0" applyNumberFormat="1" applyBorder="1" applyAlignment="1">
      <alignment horizontal="center"/>
    </xf>
    <xf numFmtId="4" fontId="30" fillId="2" borderId="1" xfId="0" applyNumberFormat="1" applyFont="1" applyFill="1" applyBorder="1" applyAlignment="1">
      <alignment horizontal="center"/>
    </xf>
    <xf numFmtId="4" fontId="30" fillId="21" borderId="1" xfId="0" applyNumberFormat="1" applyFont="1" applyFill="1" applyBorder="1" applyAlignment="1">
      <alignment horizontal="center"/>
    </xf>
    <xf numFmtId="168" fontId="0" fillId="0" borderId="1" xfId="0" applyNumberFormat="1" applyBorder="1" applyAlignment="1">
      <alignment horizontal="center"/>
    </xf>
    <xf numFmtId="168" fontId="30" fillId="2" borderId="1" xfId="0" applyNumberFormat="1" applyFont="1" applyFill="1" applyBorder="1" applyAlignment="1">
      <alignment horizontal="center"/>
    </xf>
    <xf numFmtId="168" fontId="0" fillId="2" borderId="1" xfId="0" applyNumberFormat="1" applyFill="1" applyBorder="1" applyAlignment="1">
      <alignment horizontal="center"/>
    </xf>
    <xf numFmtId="168" fontId="30" fillId="21" borderId="1" xfId="0" applyNumberFormat="1" applyFont="1" applyFill="1" applyBorder="1" applyAlignment="1">
      <alignment horizontal="center"/>
    </xf>
    <xf numFmtId="4" fontId="30" fillId="2" borderId="1" xfId="1" applyNumberFormat="1" applyFont="1" applyFill="1" applyBorder="1" applyAlignment="1">
      <alignment horizontal="center"/>
    </xf>
    <xf numFmtId="41" fontId="44" fillId="0" borderId="0" xfId="1" applyFont="1" applyAlignment="1">
      <alignment horizontal="left" vertical="center" indent="3"/>
    </xf>
    <xf numFmtId="0" fontId="45" fillId="0" borderId="0" xfId="0" applyFont="1" applyFill="1"/>
    <xf numFmtId="0" fontId="46" fillId="0" borderId="0" xfId="0" applyFont="1"/>
    <xf numFmtId="4" fontId="0" fillId="0" borderId="0" xfId="0" applyNumberFormat="1"/>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41" fontId="11" fillId="16" borderId="1" xfId="1" applyFont="1" applyFill="1" applyBorder="1" applyAlignment="1">
      <alignment horizontal="center" vertic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1" fillId="16" borderId="1" xfId="0" applyFont="1" applyFill="1" applyBorder="1" applyAlignment="1">
      <alignment horizontal="center" vertical="center"/>
    </xf>
    <xf numFmtId="0" fontId="11" fillId="16" borderId="1" xfId="0" applyFont="1" applyFill="1" applyBorder="1" applyAlignment="1">
      <alignment horizontal="center" vertical="center" wrapText="1"/>
    </xf>
    <xf numFmtId="165" fontId="11" fillId="16" borderId="1" xfId="0" applyNumberFormat="1" applyFont="1" applyFill="1" applyBorder="1" applyAlignment="1">
      <alignment horizontal="center" vertical="center"/>
    </xf>
    <xf numFmtId="0" fontId="7" fillId="0" borderId="1" xfId="0" applyFont="1" applyBorder="1" applyAlignment="1">
      <alignment horizontal="center"/>
    </xf>
    <xf numFmtId="0" fontId="35" fillId="0" borderId="0" xfId="0" applyFont="1" applyAlignment="1">
      <alignment horizontal="center"/>
    </xf>
    <xf numFmtId="0" fontId="30" fillId="24" borderId="1" xfId="0" applyFont="1" applyFill="1" applyBorder="1" applyAlignment="1">
      <alignment horizontal="center"/>
    </xf>
    <xf numFmtId="0" fontId="0" fillId="24" borderId="1" xfId="0" applyFill="1" applyBorder="1" applyAlignment="1">
      <alignment horizontal="center" vertical="center"/>
    </xf>
    <xf numFmtId="0" fontId="30" fillId="24" borderId="1" xfId="0" applyFont="1" applyFill="1" applyBorder="1" applyAlignment="1">
      <alignment horizontal="center" vertical="center"/>
    </xf>
    <xf numFmtId="9" fontId="0" fillId="24" borderId="1" xfId="4" applyFont="1" applyFill="1" applyBorder="1" applyAlignment="1">
      <alignment horizontal="center" vertical="center"/>
    </xf>
    <xf numFmtId="0" fontId="30" fillId="21" borderId="1" xfId="0" applyFont="1" applyFill="1" applyBorder="1" applyAlignment="1">
      <alignment horizontal="center"/>
    </xf>
    <xf numFmtId="3" fontId="30" fillId="21" borderId="1" xfId="0" applyNumberFormat="1" applyFont="1" applyFill="1" applyBorder="1" applyAlignment="1">
      <alignment horizontal="center"/>
    </xf>
    <xf numFmtId="0" fontId="30" fillId="25" borderId="1" xfId="0" applyFont="1" applyFill="1" applyBorder="1" applyAlignment="1">
      <alignment horizontal="center" vertical="center"/>
    </xf>
    <xf numFmtId="0" fontId="31" fillId="25" borderId="1" xfId="2" applyFont="1" applyFill="1" applyBorder="1" applyAlignment="1">
      <alignment horizontal="center" vertical="center"/>
    </xf>
    <xf numFmtId="0" fontId="30" fillId="0" borderId="1" xfId="0" applyFont="1" applyBorder="1" applyAlignment="1">
      <alignment horizontal="center" vertical="center" wrapText="1"/>
    </xf>
    <xf numFmtId="0" fontId="34" fillId="0" borderId="0" xfId="0" applyFont="1" applyAlignment="1">
      <alignment horizontal="center"/>
    </xf>
    <xf numFmtId="0" fontId="30" fillId="0" borderId="2" xfId="0" applyFont="1" applyBorder="1" applyAlignment="1">
      <alignment horizontal="center" vertical="center" wrapText="1"/>
    </xf>
    <xf numFmtId="0" fontId="30" fillId="0" borderId="3" xfId="0" applyFont="1" applyBorder="1" applyAlignment="1">
      <alignment horizontal="center" vertical="center" wrapText="1"/>
    </xf>
    <xf numFmtId="0" fontId="30" fillId="0" borderId="4" xfId="0" applyFont="1" applyBorder="1" applyAlignment="1">
      <alignment horizontal="center" vertical="center" wrapText="1"/>
    </xf>
    <xf numFmtId="0" fontId="31" fillId="25" borderId="1" xfId="2" applyFont="1" applyFill="1" applyBorder="1" applyAlignment="1">
      <alignment horizontal="center" vertical="center" wrapText="1"/>
    </xf>
    <xf numFmtId="0" fontId="20" fillId="25" borderId="1" xfId="2" applyFont="1" applyFill="1" applyBorder="1" applyAlignment="1">
      <alignment horizontal="center" vertical="center" wrapText="1"/>
    </xf>
    <xf numFmtId="0" fontId="31" fillId="21" borderId="6" xfId="2" applyFont="1" applyFill="1" applyBorder="1" applyAlignment="1">
      <alignment horizontal="center" vertical="center"/>
    </xf>
    <xf numFmtId="0" fontId="31" fillId="21" borderId="7" xfId="2" applyFont="1" applyFill="1" applyBorder="1" applyAlignment="1">
      <alignment horizontal="center" vertical="center"/>
    </xf>
    <xf numFmtId="0" fontId="47" fillId="0" borderId="0" xfId="0" applyFont="1" applyAlignment="1">
      <alignment horizontal="center"/>
    </xf>
    <xf numFmtId="0" fontId="30" fillId="21" borderId="6" xfId="0" applyFont="1" applyFill="1" applyBorder="1" applyAlignment="1">
      <alignment horizontal="center"/>
    </xf>
    <xf numFmtId="0" fontId="30" fillId="21" borderId="7" xfId="0" applyFont="1" applyFill="1" applyBorder="1" applyAlignment="1">
      <alignment horizontal="center"/>
    </xf>
    <xf numFmtId="3" fontId="30" fillId="21" borderId="6" xfId="0" applyNumberFormat="1" applyFont="1" applyFill="1" applyBorder="1" applyAlignment="1">
      <alignment horizontal="center"/>
    </xf>
    <xf numFmtId="3" fontId="30" fillId="21" borderId="7" xfId="0" applyNumberFormat="1" applyFont="1" applyFill="1" applyBorder="1" applyAlignment="1">
      <alignment horizontal="center"/>
    </xf>
    <xf numFmtId="0" fontId="30" fillId="25" borderId="2" xfId="0" applyFont="1" applyFill="1" applyBorder="1" applyAlignment="1">
      <alignment horizontal="center" vertical="center"/>
    </xf>
    <xf numFmtId="0" fontId="30" fillId="25" borderId="4" xfId="0" applyFont="1" applyFill="1" applyBorder="1" applyAlignment="1">
      <alignment horizontal="center" vertical="center"/>
    </xf>
    <xf numFmtId="3" fontId="31" fillId="21" borderId="6" xfId="7" applyNumberFormat="1" applyFont="1" applyFill="1" applyBorder="1" applyAlignment="1">
      <alignment horizontal="center" vertical="center"/>
    </xf>
    <xf numFmtId="3" fontId="31" fillId="21" borderId="7" xfId="7" applyNumberFormat="1" applyFont="1" applyFill="1" applyBorder="1" applyAlignment="1">
      <alignment horizontal="center" vertical="center"/>
    </xf>
    <xf numFmtId="0" fontId="30" fillId="0" borderId="0" xfId="0" applyFont="1" applyAlignment="1">
      <alignment horizontal="center"/>
    </xf>
  </cellXfs>
  <cellStyles count="12">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Normal" xfId="0" builtinId="0"/>
    <cellStyle name="Normal 2" xfId="2" xr:uid="{C610A14A-F97F-48D0-BD88-0DFD6DA48947}"/>
    <cellStyle name="Normal 3" xfId="5" xr:uid="{EEA6B10C-8250-4879-BF21-439B00E716AC}"/>
    <cellStyle name="Normal 4" xfId="8" xr:uid="{4605B257-5931-4773-98F8-78304C69CFB6}"/>
    <cellStyle name="Normal 5" xfId="11" xr:uid="{63BFA99B-1BA3-4AE3-8EB2-9F94C207E653}"/>
    <cellStyle name="Percent" xfId="4" builtinId="5"/>
  </cellStyles>
  <dxfs count="766">
    <dxf>
      <numFmt numFmtId="2" formatCode="0.00"/>
    </dxf>
    <dxf>
      <numFmt numFmtId="2" formatCode="0.00"/>
    </dxf>
    <dxf>
      <numFmt numFmtId="33" formatCode="_-* #,##0_-;\-* #,##0_-;_-* &quot;-&quot;_-;_-@_-"/>
    </dxf>
    <dxf>
      <numFmt numFmtId="33" formatCode="_-* #,##0_-;\-* #,##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auto="1"/>
      </font>
      <fill>
        <patternFill>
          <bgColor rgb="FFFFFF00"/>
        </patternFill>
      </fill>
    </dxf>
    <dxf>
      <fill>
        <patternFill patternType="none">
          <bgColor auto="1"/>
        </patternFill>
      </fill>
    </dxf>
    <dxf>
      <fill>
        <patternFill patternType="none">
          <bgColor auto="1"/>
        </patternFill>
      </fill>
    </dxf>
    <dxf>
      <font>
        <b/>
        <i val="0"/>
        <color auto="1"/>
      </font>
      <fill>
        <patternFill>
          <bgColor rgb="FFFFFF00"/>
        </patternFill>
      </fill>
    </dxf>
    <dxf>
      <fill>
        <patternFill patternType="none">
          <bgColor auto="1"/>
        </patternFill>
      </fill>
    </dxf>
    <dxf>
      <fill>
        <patternFill patternType="none">
          <bgColor auto="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val="0"/>
        <i val="0"/>
        <strike val="0"/>
        <condense val="0"/>
        <extend val="0"/>
        <outline val="0"/>
        <shadow val="0"/>
        <u val="none"/>
        <vertAlign val="baseline"/>
        <sz val="11"/>
        <color theme="1"/>
        <name val="Calibri"/>
        <family val="2"/>
        <scheme val="minor"/>
      </font>
      <numFmt numFmtId="33" formatCode="_-* #,##0_-;\-* #,##0_-;_-* &quot;-&quot;_-;_-@_-"/>
    </dxf>
    <dxf>
      <font>
        <b val="0"/>
        <i val="0"/>
        <strike val="0"/>
        <condense val="0"/>
        <extend val="0"/>
        <outline val="0"/>
        <shadow val="0"/>
        <u val="none"/>
        <vertAlign val="baseline"/>
        <sz val="11"/>
        <color theme="1"/>
        <name val="Calibri"/>
        <family val="2"/>
        <scheme val="minor"/>
      </font>
      <numFmt numFmtId="33" formatCode="_-* #,##0_-;\-* #,##0_-;_-* &quot;-&quot;_-;_-@_-"/>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166" formatCode="_-* #,##0.00_-;\-* #,##0.0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9FF33"/>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rgb="FF000000"/>
          <bgColor rgb="FFFFFFFF"/>
        </patternFill>
      </fill>
      <alignment horizontal="left" vertical="bottom" textRotation="0" wrapText="0" indent="0" justifyLastLine="0" shrinkToFit="0" readingOrder="0"/>
    </dxf>
    <dxf>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ont>
        <strike val="0"/>
        <outline val="0"/>
        <shadow val="0"/>
        <u val="none"/>
        <vertAlign val="baseline"/>
        <sz val="12"/>
        <name val="Arial"/>
        <family val="2"/>
        <scheme val="none"/>
      </font>
    </dxf>
    <dxf>
      <font>
        <strike val="0"/>
        <outline val="0"/>
        <shadow val="0"/>
        <u val="none"/>
        <vertAlign val="baseline"/>
        <sz val="12"/>
        <color auto="1"/>
        <name val="Arial"/>
        <family val="2"/>
        <scheme val="none"/>
      </font>
      <alignment horizontal="center" vertical="center"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FFF99"/>
      <color rgb="FFCC66FF"/>
      <color rgb="FFFF66FF"/>
      <color rgb="FF99FF33"/>
      <color rgb="FF99CCFF"/>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3.xml"/><Relationship Id="rId3" Type="http://schemas.openxmlformats.org/officeDocument/2006/relationships/worksheet" Target="worksheets/sheet3.xml"/><Relationship Id="rId21" Type="http://schemas.openxmlformats.org/officeDocument/2006/relationships/externalLink" Target="externalLinks/externalLink3.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2.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29"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5.xml"/><Relationship Id="rId28" Type="http://schemas.microsoft.com/office/2007/relationships/slicerCache" Target="slicerCaches/slicerCache2.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externalLink" Target="externalLinks/externalLink1.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4.xml"/><Relationship Id="rId27" Type="http://schemas.microsoft.com/office/2007/relationships/slicerCache" Target="slicerCaches/slicerCache1.xml"/><Relationship Id="rId30" Type="http://schemas.microsoft.com/office/2007/relationships/slicerCache" Target="slicerCaches/slicerCache4.xml"/><Relationship Id="rId35"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drawings/_rels/drawing3.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5.png"/><Relationship Id="rId1" Type="http://schemas.openxmlformats.org/officeDocument/2006/relationships/image" Target="../media/image6.jpg"/></Relationships>
</file>

<file path=xl/drawings/_rels/drawing6.x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323850</xdr:colOff>
          <xdr:row>1</xdr:row>
          <xdr:rowOff>19050</xdr:rowOff>
        </xdr:from>
        <xdr:to>
          <xdr:col>8</xdr:col>
          <xdr:colOff>1400175</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1171575</xdr:colOff>
          <xdr:row>589</xdr:row>
          <xdr:rowOff>0</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587</xdr:row>
          <xdr:rowOff>0</xdr:rowOff>
        </xdr:from>
        <xdr:to>
          <xdr:col>9</xdr:col>
          <xdr:colOff>9525</xdr:colOff>
          <xdr:row>589</xdr:row>
          <xdr:rowOff>19050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133350</xdr:rowOff>
        </xdr:from>
        <xdr:to>
          <xdr:col>9</xdr:col>
          <xdr:colOff>495300</xdr:colOff>
          <xdr:row>15</xdr:row>
          <xdr:rowOff>9525</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47625</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95250</xdr:rowOff>
        </xdr:from>
        <xdr:to>
          <xdr:col>9</xdr:col>
          <xdr:colOff>447675</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323850</xdr:rowOff>
        </xdr:from>
        <xdr:to>
          <xdr:col>9</xdr:col>
          <xdr:colOff>447675</xdr:colOff>
          <xdr:row>19</xdr:row>
          <xdr:rowOff>28575</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18</xdr:row>
          <xdr:rowOff>161925</xdr:rowOff>
        </xdr:from>
        <xdr:to>
          <xdr:col>9</xdr:col>
          <xdr:colOff>447675</xdr:colOff>
          <xdr:row>20</xdr:row>
          <xdr:rowOff>28575</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19</xdr:row>
          <xdr:rowOff>171450</xdr:rowOff>
        </xdr:from>
        <xdr:to>
          <xdr:col>9</xdr:col>
          <xdr:colOff>447675</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15</xdr:row>
          <xdr:rowOff>57150</xdr:rowOff>
        </xdr:from>
        <xdr:to>
          <xdr:col>9</xdr:col>
          <xdr:colOff>476250</xdr:colOff>
          <xdr:row>15</xdr:row>
          <xdr:rowOff>285750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142875</xdr:rowOff>
        </xdr:from>
        <xdr:to>
          <xdr:col>9</xdr:col>
          <xdr:colOff>9525</xdr:colOff>
          <xdr:row>23</xdr:row>
          <xdr:rowOff>76200</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19</xdr:col>
      <xdr:colOff>2914648</xdr:colOff>
      <xdr:row>80</xdr:row>
      <xdr:rowOff>476250</xdr:rowOff>
    </xdr:from>
    <xdr:to>
      <xdr:col>19</xdr:col>
      <xdr:colOff>5714999</xdr:colOff>
      <xdr:row>100</xdr:row>
      <xdr:rowOff>95249</xdr:rowOff>
    </xdr:to>
    <mc:AlternateContent xmlns:mc="http://schemas.openxmlformats.org/markup-compatibility/2006">
      <mc:Choice xmlns:sle15="http://schemas.microsoft.com/office/drawing/2012/slicer" Requires="sle15">
        <xdr:graphicFrame macro="">
          <xdr:nvGraphicFramePr>
            <xdr:cNvPr id="3" name="Jenis SPM 1">
              <a:extLst>
                <a:ext uri="{FF2B5EF4-FFF2-40B4-BE49-F238E27FC236}">
                  <a16:creationId xmlns:a16="http://schemas.microsoft.com/office/drawing/2014/main" id="{746DE3DB-DF82-FEC1-CF11-1D714042A7E6}"/>
                </a:ext>
              </a:extLst>
            </xdr:cNvPr>
            <xdr:cNvGraphicFramePr/>
          </xdr:nvGraphicFramePr>
          <xdr:xfrm>
            <a:off x="0" y="0"/>
            <a:ext cx="0" cy="0"/>
          </xdr:xfrm>
          <a:graphic>
            <a:graphicData uri="http://schemas.microsoft.com/office/drawing/2010/slicer">
              <sle:slicer xmlns:sle="http://schemas.microsoft.com/office/drawing/2010/slicer" name="Jenis SPM 1"/>
            </a:graphicData>
          </a:graphic>
        </xdr:graphicFrame>
      </mc:Choice>
      <mc:Fallback>
        <xdr:sp macro="" textlink="">
          <xdr:nvSpPr>
            <xdr:cNvPr id="0" name=""/>
            <xdr:cNvSpPr>
              <a:spLocks noTextEdit="1"/>
            </xdr:cNvSpPr>
          </xdr:nvSpPr>
          <xdr:spPr>
            <a:xfrm>
              <a:off x="30822898" y="6218464"/>
              <a:ext cx="2800351" cy="4041321"/>
            </a:xfrm>
            <a:prstGeom prst="rect">
              <a:avLst/>
            </a:prstGeom>
            <a:solidFill>
              <a:prstClr val="white"/>
            </a:solidFill>
            <a:ln w="1">
              <a:solidFill>
                <a:prstClr val="green"/>
              </a:solidFill>
            </a:ln>
          </xdr:spPr>
          <xdr:txBody>
            <a:bodyPr vertOverflow="clip" horzOverflow="clip"/>
            <a:lstStyle/>
            <a:p>
              <a:r>
                <a:rPr lang="id-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722618</xdr:colOff>
      <xdr:row>0</xdr:row>
      <xdr:rowOff>90449</xdr:rowOff>
    </xdr:from>
    <xdr:to>
      <xdr:col>15</xdr:col>
      <xdr:colOff>382439</xdr:colOff>
      <xdr:row>8</xdr:row>
      <xdr:rowOff>71399</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785725" y="90449"/>
              <a:ext cx="1836964" cy="169545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238205</xdr:colOff>
      <xdr:row>0</xdr:row>
      <xdr:rowOff>94528</xdr:rowOff>
    </xdr:from>
    <xdr:to>
      <xdr:col>12</xdr:col>
      <xdr:colOff>670912</xdr:colOff>
      <xdr:row>13</xdr:row>
      <xdr:rowOff>142153</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4076669" y="94528"/>
              <a:ext cx="1657350" cy="27146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735584</xdr:colOff>
      <xdr:row>4</xdr:row>
      <xdr:rowOff>0</xdr:rowOff>
    </xdr:to>
    <xdr:pic macro="[0]!Cetak">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twoCellAnchor editAs="oneCell">
    <xdr:from>
      <xdr:col>12</xdr:col>
      <xdr:colOff>881743</xdr:colOff>
      <xdr:row>10</xdr:row>
      <xdr:rowOff>76200</xdr:rowOff>
    </xdr:from>
    <xdr:to>
      <xdr:col>15</xdr:col>
      <xdr:colOff>511629</xdr:colOff>
      <xdr:row>23</xdr:row>
      <xdr:rowOff>137432</xdr:rowOff>
    </xdr:to>
    <mc:AlternateContent xmlns:mc="http://schemas.openxmlformats.org/markup-compatibility/2006" xmlns:a14="http://schemas.microsoft.com/office/drawing/2010/main">
      <mc:Choice Requires="a14">
        <xdr:graphicFrame macro="">
          <xdr:nvGraphicFramePr>
            <xdr:cNvPr id="4" name="Pagu">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Pagu"/>
            </a:graphicData>
          </a:graphic>
        </xdr:graphicFrame>
      </mc:Choice>
      <mc:Fallback xmlns="">
        <xdr:sp macro="" textlink="">
          <xdr:nvSpPr>
            <xdr:cNvPr id="0" name=""/>
            <xdr:cNvSpPr>
              <a:spLocks noTextEdit="1"/>
            </xdr:cNvSpPr>
          </xdr:nvSpPr>
          <xdr:spPr>
            <a:xfrm>
              <a:off x="17123229" y="2166257"/>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1752600</xdr:colOff>
          <xdr:row>1</xdr:row>
          <xdr:rowOff>19050</xdr:rowOff>
        </xdr:from>
        <xdr:to>
          <xdr:col>12</xdr:col>
          <xdr:colOff>1314450</xdr:colOff>
          <xdr:row>2</xdr:row>
          <xdr:rowOff>180975</xdr:rowOff>
        </xdr:to>
        <xdr:sp macro="" textlink="">
          <xdr:nvSpPr>
            <xdr:cNvPr id="66568" name="OptionButton1" hidden="1">
              <a:extLst>
                <a:ext uri="{63B3BB69-23CF-44E3-9099-C40C66FF867C}">
                  <a14:compatExt spid="_x0000_s66568"/>
                </a:ext>
                <a:ext uri="{FF2B5EF4-FFF2-40B4-BE49-F238E27FC236}">
                  <a16:creationId xmlns:a16="http://schemas.microsoft.com/office/drawing/2014/main" id="{00000000-0008-0000-0D00-000008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285750</xdr:colOff>
          <xdr:row>1</xdr:row>
          <xdr:rowOff>28575</xdr:rowOff>
        </xdr:from>
        <xdr:to>
          <xdr:col>11</xdr:col>
          <xdr:colOff>1657350</xdr:colOff>
          <xdr:row>2</xdr:row>
          <xdr:rowOff>190500</xdr:rowOff>
        </xdr:to>
        <xdr:sp macro="" textlink="">
          <xdr:nvSpPr>
            <xdr:cNvPr id="66569" name="OptionButton2" hidden="1">
              <a:extLst>
                <a:ext uri="{63B3BB69-23CF-44E3-9099-C40C66FF867C}">
                  <a14:compatExt spid="_x0000_s66569"/>
                </a:ext>
                <a:ext uri="{FF2B5EF4-FFF2-40B4-BE49-F238E27FC236}">
                  <a16:creationId xmlns:a16="http://schemas.microsoft.com/office/drawing/2014/main" id="{00000000-0008-0000-0D00-000009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20</xdr:col>
      <xdr:colOff>217394</xdr:colOff>
      <xdr:row>1</xdr:row>
      <xdr:rowOff>49306</xdr:rowOff>
    </xdr:from>
    <xdr:to>
      <xdr:col>21</xdr:col>
      <xdr:colOff>105335</xdr:colOff>
      <xdr:row>3</xdr:row>
      <xdr:rowOff>127747</xdr:rowOff>
    </xdr:to>
    <xdr:pic macro="[0]!Module5.Cetak">
      <xdr:nvPicPr>
        <xdr:cNvPr id="3" name="Picture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09394" y="228600"/>
          <a:ext cx="497541" cy="472888"/>
        </a:xfrm>
        <a:prstGeom prst="rect">
          <a:avLst/>
        </a:prstGeom>
      </xdr:spPr>
    </xdr:pic>
    <xdr:clientData/>
  </xdr:twoCellAnchor>
  <xdr:twoCellAnchor editAs="oneCell">
    <xdr:from>
      <xdr:col>21</xdr:col>
      <xdr:colOff>172572</xdr:colOff>
      <xdr:row>1</xdr:row>
      <xdr:rowOff>49306</xdr:rowOff>
    </xdr:from>
    <xdr:to>
      <xdr:col>22</xdr:col>
      <xdr:colOff>26894</xdr:colOff>
      <xdr:row>3</xdr:row>
      <xdr:rowOff>127748</xdr:rowOff>
    </xdr:to>
    <xdr:pic macro="[0]!Module4.Pdf">
      <xdr:nvPicPr>
        <xdr:cNvPr id="10" name="Picture 9">
          <a:extLst>
            <a:ext uri="{FF2B5EF4-FFF2-40B4-BE49-F238E27FC236}">
              <a16:creationId xmlns:a16="http://schemas.microsoft.com/office/drawing/2014/main" id="{00000000-0008-0000-0E00-00000A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594" r="13725"/>
        <a:stretch/>
      </xdr:blipFill>
      <xdr:spPr>
        <a:xfrm>
          <a:off x="12974172" y="228600"/>
          <a:ext cx="463922" cy="47288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116542</xdr:colOff>
          <xdr:row>3</xdr:row>
          <xdr:rowOff>107576</xdr:rowOff>
        </xdr:from>
        <xdr:to>
          <xdr:col>19</xdr:col>
          <xdr:colOff>489922</xdr:colOff>
          <xdr:row>58</xdr:row>
          <xdr:rowOff>4482</xdr:rowOff>
        </xdr:to>
        <xdr:pic>
          <xdr:nvPicPr>
            <xdr:cNvPr id="7" name="Picture 6">
              <a:extLst>
                <a:ext uri="{FF2B5EF4-FFF2-40B4-BE49-F238E27FC236}">
                  <a16:creationId xmlns:a16="http://schemas.microsoft.com/office/drawing/2014/main" id="{00000000-0008-0000-0E00-000007000000}"/>
                </a:ext>
              </a:extLst>
            </xdr:cNvPr>
            <xdr:cNvPicPr>
              <a:picLocks noChangeAspect="1" noChangeArrowheads="1"/>
              <a:extLst>
                <a:ext uri="{84589F7E-364E-4C9E-8A38-B11213B215E9}">
                  <a14:cameraTool cellRange="'PERSUBBID - Gaji'!$A$5:$J$56" spid="_x0000_s52075"/>
                </a:ext>
              </a:extLst>
            </xdr:cNvPicPr>
          </xdr:nvPicPr>
          <xdr:blipFill>
            <a:blip xmlns:r="http://schemas.openxmlformats.org/officeDocument/2006/relationships" r:embed="rId3"/>
            <a:srcRect/>
            <a:stretch>
              <a:fillRect/>
            </a:stretch>
          </xdr:blipFill>
          <xdr:spPr bwMode="auto">
            <a:xfrm>
              <a:off x="116542" y="681317"/>
              <a:ext cx="11955780" cy="9758083"/>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3</xdr:row>
          <xdr:rowOff>121920</xdr:rowOff>
        </xdr:from>
        <xdr:to>
          <xdr:col>20</xdr:col>
          <xdr:colOff>182880</xdr:colOff>
          <xdr:row>60</xdr:row>
          <xdr:rowOff>15240</xdr:rowOff>
        </xdr:to>
        <xdr:pic>
          <xdr:nvPicPr>
            <xdr:cNvPr id="5" name="Picture 4">
              <a:extLst>
                <a:ext uri="{FF2B5EF4-FFF2-40B4-BE49-F238E27FC236}">
                  <a16:creationId xmlns:a16="http://schemas.microsoft.com/office/drawing/2014/main" id="{00000000-0008-0000-1000-000005000000}"/>
                </a:ext>
              </a:extLst>
            </xdr:cNvPr>
            <xdr:cNvPicPr>
              <a:picLocks noChangeAspect="1" noChangeArrowheads="1"/>
              <a:extLst>
                <a:ext uri="{84589F7E-364E-4C9E-8A38-B11213B215E9}">
                  <a14:cameraTool cellRange="'PERSUBBID + GAJI'!$A$5:$J$60" spid="_x0000_s39407"/>
                </a:ext>
              </a:extLst>
            </xdr:cNvPicPr>
          </xdr:nvPicPr>
          <xdr:blipFill>
            <a:blip xmlns:r="http://schemas.openxmlformats.org/officeDocument/2006/relationships" r:embed="rId1"/>
            <a:srcRect/>
            <a:stretch>
              <a:fillRect/>
            </a:stretch>
          </xdr:blipFill>
          <xdr:spPr bwMode="auto">
            <a:xfrm>
              <a:off x="68580" y="701040"/>
              <a:ext cx="11948160" cy="103174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20.492406018515" createdVersion="7" refreshedVersion="7" minRefreshableVersion="3" recordCount="141" xr:uid="{747D84F9-65C0-43C2-B10F-78F3B94757F4}">
  <cacheSource type="worksheet">
    <worksheetSource ref="A3:BA144" sheet="SP2D"/>
  </cacheSource>
  <cacheFields count="50">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30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Pagu" numFmtId="0">
      <sharedItems containsSemiMixedTypes="0" containsString="0" containsNumber="1" containsInteger="1" minValue="500000" maxValue="16863164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74237800"/>
    </cacheField>
    <cacheField name="Mar" numFmtId="41">
      <sharedItems containsSemiMixedTypes="0" containsString="0" containsNumber="1" containsInteger="1" minValue="0" maxValue="672277677"/>
    </cacheField>
    <cacheField name="Apr" numFmtId="41">
      <sharedItems containsSemiMixedTypes="0" containsString="0" containsNumber="1" containsInteger="1" minValue="0" maxValue="1892688850"/>
    </cacheField>
    <cacheField name="Mei" numFmtId="41">
      <sharedItems containsSemiMixedTypes="0" containsString="0" containsNumber="1" containsInteger="1" minValue="0" maxValue="1260934024"/>
    </cacheField>
    <cacheField name="Jun" numFmtId="41">
      <sharedItems containsSemiMixedTypes="0" containsString="0" containsNumber="1" containsInteger="1" minValue="0" maxValue="1899365591"/>
    </cacheField>
    <cacheField name="Jul" numFmtId="41">
      <sharedItems containsSemiMixedTypes="0" containsString="0" containsNumber="1" containsInteger="1" minValue="0" maxValue="0"/>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0">
      <sharedItems containsSemiMixedTypes="0" containsString="0" containsNumber="1" containsInteger="1" minValue="0" maxValue="5799503942"/>
    </cacheField>
    <cacheField name="Real %" numFmtId="0">
      <sharedItems containsSemiMixedTypes="0" containsString="0" containsNumber="1" minValue="0" maxValue="100"/>
    </cacheField>
    <cacheField name="Sisa" numFmtId="0">
      <sharedItems containsSemiMixedTypes="0" containsString="0" containsNumber="1" containsInteger="1" minValue="0" maxValue="11063660058"/>
    </cacheField>
    <cacheField name="Real %2" numFmtId="0">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4727.426931828704" createdVersion="8" refreshedVersion="8" minRefreshableVersion="3" recordCount="248" xr:uid="{E660E6BB-BC2A-4061-A21A-3E1E3A86A366}">
  <cacheSource type="worksheet">
    <worksheetSource name="DIPA_Rev2"/>
  </cacheSource>
  <cacheFields count="17">
    <cacheField name="ProgKgt" numFmtId="0">
      <sharedItems count="3">
        <s v="WA.4345"/>
        <s v="WA.2378"/>
        <s v="DL.2376"/>
      </sharedItems>
    </cacheField>
    <cacheField name="KroRo" numFmtId="0">
      <sharedItems count="10">
        <s v="EBC.996"/>
        <s v="EBD.955"/>
        <s v="EBD.953"/>
        <s v="EBA.962"/>
        <s v="AFA.001"/>
        <s v="EBD.952"/>
        <s v="EBA.958"/>
        <s v="EBA.994"/>
        <s v="EBB.951"/>
        <s v="CAN.001"/>
      </sharedItems>
    </cacheField>
    <cacheField name="Kmpnen" numFmtId="0">
      <sharedItems count="8">
        <s v="301"/>
        <s v="053"/>
        <s v="052"/>
        <s v="302"/>
        <s v="311"/>
        <s v="002"/>
        <s v="054"/>
        <s v="051"/>
      </sharedItems>
    </cacheField>
    <cacheField name="Skmpnen" numFmtId="0">
      <sharedItems count="21">
        <s v="301.B"/>
        <s v="301.A"/>
        <s v="301.F"/>
        <s v="301.G"/>
        <s v="053.B"/>
        <s v="052.A"/>
        <s v="301.E"/>
        <s v="301.D"/>
        <s v="301.C"/>
        <s v="302.A"/>
        <s v="301.I"/>
        <s v="311.A"/>
        <s v="002.GA"/>
        <s v="002.GD"/>
        <s v="002.GC"/>
        <s v="002.GB"/>
        <s v="054.A"/>
        <s v="053.A"/>
        <s v="051.B"/>
        <s v="051.A"/>
        <s v="053.C"/>
      </sharedItems>
    </cacheField>
    <cacheField name="Kdakun" numFmtId="0">
      <sharedItems/>
    </cacheField>
    <cacheField name="Detil" numFmtId="0">
      <sharedItems/>
    </cacheField>
    <cacheField name="PaguRevisi" numFmtId="0">
      <sharedItems containsSemiMixedTypes="0" containsString="0" containsNumber="1" containsInteger="1" minValue="250000" maxValue="3800445000"/>
    </cacheField>
    <cacheField name="PeriodeLalu" numFmtId="0">
      <sharedItems containsSemiMixedTypes="0" containsString="0" containsNumber="1" containsInteger="1" minValue="0" maxValue="3643075356"/>
    </cacheField>
    <cacheField name="PeriodeIni" numFmtId="0">
      <sharedItems containsSemiMixedTypes="0" containsString="0" containsNumber="1" containsInteger="1" minValue="0" maxValue="154545850"/>
    </cacheField>
    <cacheField name="sdPeriode" numFmtId="0">
      <sharedItems containsSemiMixedTypes="0" containsString="0" containsNumber="1" containsInteger="1" minValue="0" maxValue="3797621206"/>
    </cacheField>
    <cacheField name="Persentase" numFmtId="0">
      <sharedItems/>
    </cacheField>
    <cacheField name="Sisa" numFmtId="0">
      <sharedItems containsSemiMixedTypes="0" containsString="0" containsNumber="1" containsInteger="1" minValue="0" maxValue="1333614000"/>
    </cacheField>
    <cacheField name="KodeDetil" numFmtId="0">
      <sharedItems/>
    </cacheField>
    <cacheField name="KetDetil" numFmtId="0">
      <sharedItems/>
    </cacheField>
    <cacheField name="IKU" numFmtId="0">
      <sharedItems/>
    </cacheField>
    <cacheField name="Akun" numFmtId="0">
      <sharedItems count="119">
        <s v="WA.4345.EBC.996.301.B.521811"/>
        <s v="WA.4345.EBC.996.301.B.521219"/>
        <s v="WA.4345.EBC.996.301.B.521211"/>
        <s v="WA.4345.EBC.996.301.A.524111"/>
        <s v="WA.2378.EBD.955.301.F.524111"/>
        <s v="WA.2378.EBD.953.301.B.524111"/>
        <s v="WA.2378.EBD.953.301.B.521211"/>
        <s v="WA.2378.EBA.962.301.G.524111"/>
        <s v="WA.2378.EBA.962.301.F.524111"/>
        <s v="DL.2376.AFA.001.053.B.524111"/>
        <s v="DL.2376.AFA.001.052.A.524111"/>
        <s v="WA.2378.EBD.955.301.E.521211"/>
        <s v="WA.2378.EBD.955.301.D.521211"/>
        <s v="WA.2378.EBD.955.301.C.521211"/>
        <s v="WA.2378.EBD.955.301.B.521211"/>
        <s v="WA.2378.EBD.955.301.A.521211"/>
        <s v="WA.2378.EBD.953.302.A.521211"/>
        <s v="WA.2378.EBD.953.301.A.521211"/>
        <s v="WA.2378.EBD.952.301.C.521211"/>
        <s v="WA.2378.EBD.952.301.B.521211"/>
        <s v="WA.2378.EBD.952.301.A.521211"/>
        <s v="WA.2378.EBA.962.301.I.521211"/>
        <s v="WA.2378.EBA.962.301.G.521211"/>
        <s v="WA.2378.EBA.962.301.F.521211"/>
        <s v="WA.2378.EBA.962.301.E.521211"/>
        <s v="WA.2378.EBA.962.301.D.521211"/>
        <s v="WA.2378.EBA.962.301.C.521211"/>
        <s v="WA.2378.EBA.962.301.B.521211"/>
        <s v="WA.2378.EBA.962.301.A.521211"/>
        <s v="WA.2378.EBA.958.311.A.521211"/>
        <s v="WA.2378.EBD.955.301.F.521811"/>
        <s v="WA.2378.EBD.952.301.C.521811"/>
        <s v="WA.2378.EBD.952.301.B.521811"/>
        <s v="WA.2378.EBD.952.301.A.521811"/>
        <s v="WA.2378.EBA.994.002.GA.521811"/>
        <s v="WA.2378.EBA.958.311.A.521811"/>
        <s v="WA.2378.EBA.994.002.GD.521115"/>
        <s v="WA.2378.EBA.994.002.GD.521111"/>
        <s v="WA.2378.EBA.994.002.GC.523199"/>
        <s v="WA.2378.EBA.994.002.GC.523121"/>
        <s v="WA.2378.EBA.994.002.GB.522141"/>
        <s v="WA.2378.EBA.994.002.GB.521114"/>
        <s v="WA.2378.EBA.994.002.GA.521111"/>
        <s v="WA.2378.EBD.955.301.D.524111"/>
        <s v="WA.2378.EBD.955.301.B.524111"/>
        <s v="WA.2378.EBD.955.301.A.524111"/>
        <s v="WA.2378.EBD.953.302.A.524111"/>
        <s v="WA.2378.EBD.953.301.B.521219"/>
        <s v="WA.2378.EBD.953.301.A.521219"/>
        <s v="WA.2378.EBD.952.301.C.524111"/>
        <s v="WA.2378.EBD.952.301.B.524111"/>
        <s v="WA.2378.EBD.952.301.A.524111"/>
        <s v="WA.2378.EBD.952.301.A.521219"/>
        <s v="WA.2378.EBB.951.301.A.532111"/>
        <s v="WA.2378.EBA.962.301.I.524111"/>
        <s v="WA.2378.EBA.962.301.I.522151"/>
        <s v="WA.2378.EBA.962.301.I.521219"/>
        <s v="WA.2378.EBA.962.301.G.522151"/>
        <s v="WA.2378.EBA.962.301.G.521219"/>
        <s v="WA.2378.EBA.962.301.F.521219"/>
        <s v="WA.2378.EBA.962.301.E.524111"/>
        <s v="WA.2378.EBA.962.301.E.522192"/>
        <s v="WA.2378.EBA.962.301.E.521241"/>
        <s v="WA.2378.EBA.962.301.D.524111"/>
        <s v="WA.2378.EBA.962.301.C.524113"/>
        <s v="WA.2378.EBA.962.301.C.524111"/>
        <s v="WA.2378.EBA.962.301.B.524111"/>
        <s v="WA.2378.EBA.962.301.B.522192"/>
        <s v="WA.2378.EBA.962.301.A.524113"/>
        <s v="WA.2378.EBA.962.301.A.524111"/>
        <s v="WA.2378.EBA.958.311.A.524111"/>
        <s v="WA.2378.CAN.001.301.A.532111"/>
        <s v="WA.4345.EBC.996.302.A.521811"/>
        <s v="WA.4345.EBC.996.302.A.521211"/>
        <s v="WA.4345.EBC.996.301.B.524111"/>
        <s v="WA.4345.EBC.996.301.A.521811"/>
        <s v="DL.2376.AFA.001.054.A.524111"/>
        <s v="DL.2376.AFA.001.054.A.522151"/>
        <s v="DL.2376.AFA.001.054.A.521211"/>
        <s v="DL.2376.AFA.001.053.B.522192"/>
        <s v="DL.2376.AFA.001.053.B.522151"/>
        <s v="DL.2376.AFA.001.053.B.521811"/>
        <s v="DL.2376.AFA.001.053.B.521219"/>
        <s v="DL.2376.AFA.001.053.B.521211"/>
        <s v="DL.2376.AFA.001.053.A.524111"/>
        <s v="DL.2376.AFA.001.053.A.522151"/>
        <s v="DL.2376.AFA.001.053.A.521811"/>
        <s v="DL.2376.AFA.001.053.A.521219"/>
        <s v="DL.2376.AFA.001.053.A.521211"/>
        <s v="DL.2376.AFA.001.052.A.521211"/>
        <s v="DL.2376.AFA.001.051.B.524111"/>
        <s v="DL.2376.AFA.001.051.B.522151"/>
        <s v="DL.2376.AFA.001.051.B.521211"/>
        <s v="DL.2376.AFA.001.051.A.524111"/>
        <s v="DL.2376.AFA.001.051.A.522151"/>
        <s v="DL.2376.AFA.001.051.A.521211"/>
        <s v="WA.4345.EBC.996.302.A.524111"/>
        <s v="WA.4345.EBC.996.301.C.524211"/>
        <s v="WA.4345.EBC.996.301.C.521219"/>
        <s v="WA.4345.EBC.996.301.C.521211"/>
        <s v="WA.4345.EBC.996.301.B.522151"/>
        <s v="WA.4345.EBC.996.301.A.522191"/>
        <s v="WA.4345.EBC.996.301.A.522151"/>
        <s v="WA.4345.EBC.996.301.A.521219"/>
        <s v="WA.4345.EBC.996.301.A.521211"/>
        <s v="WA.2378.EBD.955.301.F.521211"/>
        <s v="WA.2378.EBD.953.302.A.521219"/>
        <s v="WA.2378.EBD.953.301.A.524111"/>
        <s v="WA.2378.EBD.952.301.B.521219"/>
        <s v="WA.2378.EBA.962.301.E.522191"/>
        <s v="WA.2378.EBA.962.301.C.522141"/>
        <s v="DL.2376.AFA.001.054.A.522192"/>
        <s v="DL.2376.AFA.001.054.A.521219"/>
        <s v="DL.2376.AFA.001.053.C.524111"/>
        <s v="DL.2376.AFA.001.053.C.522151"/>
        <s v="DL.2376.AFA.001.053.C.521219"/>
        <s v="DL.2376.AFA.001.053.C.521211"/>
        <s v="DL.2376.AFA.001.053.A.524113"/>
        <s v="DL.2376.AFA.001.053.A.522192"/>
      </sharedItems>
    </cacheField>
    <cacheField name="SPJ Fisik"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4727.481058912039" createdVersion="7" refreshedVersion="8" minRefreshableVersion="3" recordCount="140" xr:uid="{F6A9A8BE-9DF4-47CC-B2DE-53AB58A65CAC}">
  <cacheSource type="worksheet">
    <worksheetSource ref="A3:AS143" sheet="SP2D"/>
  </cacheSource>
  <cacheFields count="45">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ount="10">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an Perkantoran"/>
        <s v="2378.EBB.951. Layanan Sarana Internal"/>
        <s v="2378.EBD.952. Layanan Perencanaan dan Penganggaran"/>
        <s v="2378.EBD.953. Layanan Pemantauan dan Evaluasi"/>
        <s v="2378.EBD.955. Layanan Manajemen Keuangan"/>
        <s v="4345.EBC.996. Layanan Pendidikan dan Pelatihan"/>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1">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Pagu" numFmtId="0">
      <sharedItems containsSemiMixedTypes="0" containsString="0" containsNumber="1" containsInteger="1" minValue="0" maxValue="3808695000" count="96">
        <n v="19875000"/>
        <n v="20000000"/>
        <n v="43260000"/>
        <n v="19500000"/>
        <n v="4000000"/>
        <n v="17465000"/>
        <n v="21250000"/>
        <n v="33250000"/>
        <n v="64900000"/>
        <n v="6000000"/>
        <n v="30000000"/>
        <n v="25200000"/>
        <n v="253324000"/>
        <n v="1500000"/>
        <n v="71456000"/>
        <n v="5000000"/>
        <n v="15000000"/>
        <n v="16200000"/>
        <n v="2000000"/>
        <n v="138160000"/>
        <n v="20830000"/>
        <n v="500000"/>
        <n v="7200000"/>
        <n v="23030000"/>
        <n v="13900000"/>
        <n v="8784000"/>
        <n v="10000000"/>
        <n v="97416000"/>
        <n v="114200000"/>
        <n v="12400000"/>
        <n v="0"/>
        <n v="90946000"/>
        <n v="12989000"/>
        <n v="750000"/>
        <n v="2031000"/>
        <n v="373634000"/>
        <n v="33500000"/>
        <n v="3000000"/>
        <n v="18000000"/>
        <n v="2250000"/>
        <n v="13500000"/>
        <n v="47693000"/>
        <n v="38100000"/>
        <n v="82534000"/>
        <n v="1606000"/>
        <n v="4246000"/>
        <n v="21851000"/>
        <n v="4298000"/>
        <n v="9059000"/>
        <n v="12550000"/>
        <n v="1192000"/>
        <n v="9000000"/>
        <n v="60764000"/>
        <n v="17550000"/>
        <n v="27651000"/>
        <n v="40000000"/>
        <n v="25062000"/>
        <n v="1076220000"/>
        <n v="178160000"/>
        <n v="118852000"/>
        <n v="497050000"/>
        <n v="36000000"/>
        <n v="101040000"/>
        <n v="58336000"/>
        <n v="540000000"/>
        <n v="1000000"/>
        <n v="5164000"/>
        <n v="12000000"/>
        <n v="45000000"/>
        <n v="21000000"/>
        <n v="17500000"/>
        <n v="41908000"/>
        <n v="23250000"/>
        <n v="18539000"/>
        <n v="13525000"/>
        <n v="60415000"/>
        <n v="17900000"/>
        <n v="30169000"/>
        <n v="18400000"/>
        <n v="8702000"/>
        <n v="7500000"/>
        <n v="5350000"/>
        <n v="14000000"/>
        <n v="20635000"/>
        <n v="4800000"/>
        <n v="27500000"/>
        <n v="76033000"/>
        <n v="99100000"/>
        <n v="1333864000"/>
        <n v="25000000"/>
        <n v="102600000"/>
        <n v="138000000"/>
        <n v="3808695000"/>
        <n v="216000000"/>
        <n v="142041000"/>
        <n v="54200000"/>
      </sharedItems>
    </cacheField>
    <cacheField name="Pagu Semula" numFmtId="0">
      <sharedItems containsSemiMixedTypes="0" containsString="0" containsNumber="1" containsInteger="1" minValue="500000" maxValue="6308695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63640000"/>
    </cacheField>
    <cacheField name="Mar" numFmtId="41">
      <sharedItems containsSemiMixedTypes="0" containsString="0" containsNumber="1" containsInteger="1" minValue="0" maxValue="80776487"/>
    </cacheField>
    <cacheField name="Apr" numFmtId="41">
      <sharedItems containsSemiMixedTypes="0" containsString="0" containsNumber="1" containsInteger="1" minValue="0" maxValue="1549795356"/>
    </cacheField>
    <cacheField name="Mei" numFmtId="41">
      <sharedItems containsSemiMixedTypes="0" containsString="0" containsNumber="1" containsInteger="1" minValue="0" maxValue="540000000"/>
    </cacheField>
    <cacheField name="Jun" numFmtId="41">
      <sharedItems containsSemiMixedTypes="0" containsString="0" containsNumber="1" containsInteger="1" minValue="0" maxValue="1843270850"/>
    </cacheField>
    <cacheField name="Jul" numFmtId="41">
      <sharedItems containsSemiMixedTypes="0" containsString="0" containsNumber="1" containsInteger="1" minValue="0" maxValue="0"/>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0">
      <sharedItems containsSemiMixedTypes="0" containsString="0" containsNumber="1" containsInteger="1" minValue="0" maxValue="3393066206"/>
    </cacheField>
    <cacheField name="Real %" numFmtId="43">
      <sharedItems containsSemiMixedTypes="0" containsString="0" containsNumber="1" minValue="0" maxValue="100"/>
    </cacheField>
    <cacheField name="Sisa" numFmtId="0">
      <sharedItems containsSemiMixedTypes="0" containsString="0" containsNumber="1" containsInteger="1" minValue="0" maxValue="1333864000"/>
    </cacheField>
    <cacheField name="Real %2" numFmtId="43">
      <sharedItems containsSemiMixedTypes="0" containsString="0" containsNumber="1" minValue="0"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Sisa %" numFmtId="0" formula="Sisa/Pagu*100" databaseField="0"/>
    <cacheField name="Realiasasi %" numFmtId="0" formula="Realisasi/Pagu*100" databaseField="0"/>
  </cacheFields>
  <extLst>
    <ext xmlns:x14="http://schemas.microsoft.com/office/spreadsheetml/2009/9/main" uri="{725AE2AE-9491-48be-B2B4-4EB974FC3084}">
      <x14:pivotCacheDefinition pivotCacheId="3343953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0"/>
    <n v="0"/>
    <n v="2490000"/>
    <n v="0"/>
    <n v="3091000"/>
    <n v="0"/>
    <n v="0"/>
    <n v="0"/>
    <n v="0"/>
    <n v="0"/>
    <n v="0"/>
    <n v="0"/>
    <s v="Pusat Pendidikan KP"/>
    <x v="0"/>
    <x v="0"/>
    <s v="52"/>
    <s v="SEKRETARIAT BADAN RISET DAN SUMBERDAYA MANUSIA KELAUTAN DAN PERIKANAN"/>
    <n v="5581000"/>
    <n v="28.080503144654088"/>
    <n v="14294000"/>
    <n v="71.919496855345912"/>
    <s v="DL.2376.AFA.001.051.A.521211"/>
    <s v="Non COVID"/>
    <s v="BELANJA BAHAN"/>
    <s v="Belanja Barang Non Operasional"/>
    <n v="0"/>
    <n v="990000"/>
    <n v="1500000"/>
    <n v="0"/>
    <n v="0"/>
    <n v="1606000"/>
    <n v="1485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0"/>
    <n v="0"/>
    <n v="900000"/>
    <n v="0"/>
    <n v="0"/>
    <n v="0"/>
    <n v="0"/>
    <n v="0"/>
    <n v="0"/>
    <n v="0"/>
    <n v="0"/>
    <n v="0"/>
    <s v="Pusat Pendidikan KP"/>
    <x v="0"/>
    <x v="0"/>
    <s v="52"/>
    <s v="SEKRETARIAT BADAN RISET DAN SUMBERDAYA MANUSIA KELAUTAN DAN PERIKANAN"/>
    <n v="900000"/>
    <n v="4.5"/>
    <n v="19100000"/>
    <n v="95.5"/>
    <s v="DL.2376.AFA.001.051.A.522151"/>
    <s v="Non COVID"/>
    <s v="BELANJA JASA"/>
    <s v="Belanja Barang Non Operasional"/>
    <n v="0"/>
    <n v="9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0"/>
    <n v="0"/>
    <n v="10950000"/>
    <n v="11716000"/>
    <n v="1800000"/>
    <n v="0"/>
    <n v="0"/>
    <n v="0"/>
    <n v="0"/>
    <n v="0"/>
    <n v="0"/>
    <n v="0"/>
    <s v="Pusat Pendidikan KP"/>
    <x v="0"/>
    <x v="0"/>
    <s v="52"/>
    <s v="SEKRETARIAT BADAN RISET DAN SUMBERDAYA MANUSIA KELAUTAN DAN PERIKANAN"/>
    <n v="24466000"/>
    <n v="56.555709662505784"/>
    <n v="18794000"/>
    <n v="43.444290337494223"/>
    <s v="DL.2376.AFA.001.051.A.524111"/>
    <s v="Non COVID"/>
    <s v="PERJALANAN DINAS"/>
    <s v="Belanja Barang Non Operasional"/>
    <n v="0"/>
    <n v="10950000"/>
    <n v="0"/>
    <n v="0"/>
    <n v="0"/>
    <n v="180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0"/>
    <n v="0"/>
    <n v="2561000"/>
    <n v="0"/>
    <n v="1480000"/>
    <n v="0"/>
    <n v="0"/>
    <n v="0"/>
    <n v="0"/>
    <n v="0"/>
    <n v="0"/>
    <n v="0"/>
    <s v="Pusat Pendidikan KP"/>
    <x v="0"/>
    <x v="0"/>
    <s v="52"/>
    <s v="SEKRETARIAT BADAN RISET DAN SUMBERDAYA MANUSIA KELAUTAN DAN PERIKANAN"/>
    <n v="4041000"/>
    <n v="20.723076923076921"/>
    <n v="15459000"/>
    <n v="79.276923076923083"/>
    <s v="DL.2376.AFA.001.051.B.521211"/>
    <s v="Non COVID"/>
    <s v="BELANJA BAHAN"/>
    <s v="Belanja Barang Non Operasional"/>
    <n v="0"/>
    <n v="1525000"/>
    <n v="1036000"/>
    <n v="0"/>
    <n v="0"/>
    <n v="0"/>
    <n v="148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0"/>
    <n v="0"/>
    <n v="16620000"/>
    <n v="0"/>
    <n v="0"/>
    <n v="0"/>
    <n v="0"/>
    <n v="0"/>
    <n v="0"/>
    <n v="0"/>
    <n v="0"/>
    <n v="0"/>
    <s v="Pusat Pendidikan KP"/>
    <x v="0"/>
    <x v="0"/>
    <s v="52"/>
    <s v="SEKRETARIAT BADAN RISET DAN SUMBERDAYA MANUSIA KELAUTAN DAN PERIKANAN"/>
    <n v="16620000"/>
    <n v="95.161752075579727"/>
    <n v="845000"/>
    <n v="4.8382479244202692"/>
    <s v="DL.2376.AFA.001.051.B.524111"/>
    <s v="Non COVID"/>
    <s v="PERJALANAN DINAS"/>
    <s v="Belanja Barang Non Operasional"/>
    <n v="0"/>
    <n v="12960000"/>
    <n v="366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0"/>
    <n v="0"/>
    <n v="2460000"/>
    <n v="0"/>
    <n v="660000"/>
    <n v="0"/>
    <n v="0"/>
    <n v="0"/>
    <n v="0"/>
    <n v="0"/>
    <n v="0"/>
    <n v="0"/>
    <s v="Pusat Pendidikan KP"/>
    <x v="0"/>
    <x v="1"/>
    <s v="52"/>
    <s v="SEKRETARIAT BADAN RISET DAN SUMBERDAYA MANUSIA KELAUTAN DAN PERIKANAN"/>
    <n v="3120000"/>
    <n v="14.682352941176472"/>
    <n v="18130000"/>
    <n v="85.317647058823525"/>
    <s v="DL.2376.AFA.001.052.A.521211"/>
    <s v="Non COVID"/>
    <s v="BELANJA BAHAN"/>
    <s v="Belanja Barang Non Operasional"/>
    <n v="0"/>
    <n v="2460000"/>
    <n v="0"/>
    <n v="0"/>
    <n v="0"/>
    <n v="66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0"/>
    <n v="0"/>
    <n v="3780000"/>
    <n v="2840000"/>
    <n v="14114500"/>
    <n v="0"/>
    <n v="0"/>
    <n v="0"/>
    <n v="0"/>
    <n v="0"/>
    <n v="0"/>
    <n v="0"/>
    <s v="Pusat Pendidikan KP"/>
    <x v="0"/>
    <x v="1"/>
    <s v="52"/>
    <s v="SEKRETARIAT BADAN RISET DAN SUMBERDAYA MANUSIA KELAUTAN DAN PERIKANAN"/>
    <n v="20734500"/>
    <n v="62.359398496240601"/>
    <n v="12515500"/>
    <n v="37.640601503759399"/>
    <s v="DL.2376.AFA.001.052.A.524111"/>
    <s v="Non COVID"/>
    <s v="PERJALANAN DINAS"/>
    <s v="Belanja Barang Non Operasional"/>
    <n v="0"/>
    <n v="1080000"/>
    <n v="2700000"/>
    <n v="0"/>
    <n v="0"/>
    <n v="3620000"/>
    <n v="9244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0"/>
    <n v="0"/>
    <n v="4332500"/>
    <n v="0"/>
    <n v="1862500"/>
    <n v="0"/>
    <n v="0"/>
    <n v="0"/>
    <n v="0"/>
    <n v="0"/>
    <n v="0"/>
    <n v="0"/>
    <s v="Pusat Pendidikan KP"/>
    <x v="1"/>
    <x v="2"/>
    <s v="52"/>
    <s v="SEKRETARIAT BADAN RISET DAN SUMBERDAYA MANUSIA KELAUTAN DAN PERIKANAN"/>
    <n v="6195000"/>
    <n v="9.5454545454545467"/>
    <n v="58705000"/>
    <n v="90.454545454545453"/>
    <s v="DL.2376.AFA.001.053.A.521211"/>
    <s v="Non COVID"/>
    <s v="BELANJA BAHAN"/>
    <s v="Belanja Barang Non Operasional"/>
    <n v="0"/>
    <n v="2871000"/>
    <n v="1461500"/>
    <n v="0"/>
    <n v="0"/>
    <n v="440000"/>
    <n v="1422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0"/>
    <n v="0"/>
    <n v="7146000"/>
    <n v="0"/>
    <n v="2391000"/>
    <n v="0"/>
    <n v="0"/>
    <n v="0"/>
    <n v="0"/>
    <n v="0"/>
    <n v="0"/>
    <n v="0"/>
    <s v="Pusat Pendidikan KP"/>
    <x v="1"/>
    <x v="2"/>
    <s v="52"/>
    <s v="SEKRETARIAT BADAN RISET DAN SUMBERDAYA MANUSIA KELAUTAN DAN PERIKANAN"/>
    <n v="9537000"/>
    <n v="31.790000000000003"/>
    <n v="20463000"/>
    <n v="68.210000000000008"/>
    <s v="DL.2376.AFA.001.053.A.521811"/>
    <s v="Non COVID"/>
    <s v="PERSEDIAAN"/>
    <s v="Belanja Barang Non Operasional"/>
    <n v="0"/>
    <n v="4846000"/>
    <n v="2300000"/>
    <n v="0"/>
    <n v="0"/>
    <n v="0"/>
    <n v="2391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0"/>
    <n v="0"/>
    <n v="10610000"/>
    <n v="6180000"/>
    <n v="930000"/>
    <n v="15508650"/>
    <n v="0"/>
    <n v="0"/>
    <n v="0"/>
    <n v="0"/>
    <n v="0"/>
    <n v="0"/>
    <s v="Pusat Pendidikan KP"/>
    <x v="1"/>
    <x v="2"/>
    <s v="52"/>
    <s v="SEKRETARIAT BADAN RISET DAN SUMBERDAYA MANUSIA KELAUTAN DAN PERIKANAN"/>
    <n v="33228650"/>
    <n v="13.117055628365257"/>
    <n v="220095350"/>
    <n v="86.882944371634736"/>
    <s v="DL.2376.AFA.001.053.A.524111"/>
    <s v="Non COVID"/>
    <s v="PERJALANAN DINAS"/>
    <s v="Belanja Barang Non Operasional"/>
    <n v="0"/>
    <n v="7130000"/>
    <n v="348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0"/>
    <n v="0"/>
    <n v="18378000"/>
    <n v="0"/>
    <n v="36948850"/>
    <n v="27294800"/>
    <n v="0"/>
    <n v="0"/>
    <n v="0"/>
    <n v="0"/>
    <n v="0"/>
    <n v="0"/>
    <s v="Pusat Pendidikan KP"/>
    <x v="1"/>
    <x v="2"/>
    <s v="52"/>
    <s v="SEKRETARIAT BADAN RISET DAN SUMBERDAYA MANUSIA KELAUTAN DAN PERIKANAN"/>
    <n v="82621650"/>
    <n v="59.801425883034163"/>
    <n v="55538350"/>
    <n v="40.198574116965837"/>
    <s v="DL.2376.AFA.001.053.B.524111"/>
    <s v="Non COVID"/>
    <s v="PERJALANAN DINAS"/>
    <s v="Belanja Barang Non Operasional"/>
    <n v="0"/>
    <n v="18378000"/>
    <n v="0"/>
    <n v="0"/>
    <n v="0"/>
    <n v="0"/>
    <n v="3694885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900000"/>
    <n v="0"/>
    <n v="0"/>
    <n v="7990750"/>
    <n v="0"/>
    <n v="1500000"/>
    <n v="0"/>
    <n v="0"/>
    <n v="0"/>
    <n v="0"/>
    <n v="0"/>
    <n v="0"/>
    <n v="0"/>
    <s v="Pusat Pendidikan KP"/>
    <x v="1"/>
    <x v="3"/>
    <s v="52"/>
    <s v="SEKRETARIAT BADAN RISET DAN SUMBERDAYA MANUSIA KELAUTAN DAN PERIKANAN"/>
    <n v="9490750"/>
    <n v="68.27877697841727"/>
    <n v="4409250"/>
    <n v="31.721223021582734"/>
    <s v="DL.2376.AFA.001.054.B.521211"/>
    <s v="Non COVID"/>
    <s v="BELANJA BAHAN"/>
    <s v="Belanja Barang Non Operasional"/>
    <n v="0"/>
    <n v="5497250"/>
    <n v="2493500"/>
    <n v="0"/>
    <n v="150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784000"/>
    <n v="0"/>
    <n v="0"/>
    <n v="0"/>
    <n v="0"/>
    <n v="0"/>
    <n v="0"/>
    <n v="0"/>
    <n v="0"/>
    <n v="0"/>
    <n v="0"/>
    <n v="0"/>
    <n v="0"/>
    <s v="Pusat Pendidikan KP"/>
    <x v="1"/>
    <x v="3"/>
    <s v="52"/>
    <s v="SEKRETARIAT BADAN RISET DAN SUMBERDAYA MANUSIA KELAUTAN DAN PERIKANAN"/>
    <n v="0"/>
    <n v="0"/>
    <n v="8784000"/>
    <n v="100"/>
    <s v="DL.2376.AFA.001.054.B.521219"/>
    <s v="Non COVID"/>
    <s v="PERJALANAN DINAS"/>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0000000"/>
    <n v="0"/>
    <n v="0"/>
    <n v="0"/>
    <n v="7200000"/>
    <n v="0"/>
    <n v="0"/>
    <n v="0"/>
    <n v="0"/>
    <n v="0"/>
    <n v="0"/>
    <n v="0"/>
    <n v="0"/>
    <s v="Pusat Pendidikan KP"/>
    <x v="1"/>
    <x v="3"/>
    <s v="52"/>
    <s v="SEKRETARIAT BADAN RISET DAN SUMBERDAYA MANUSIA KELAUTAN DAN PERIKANAN"/>
    <n v="7200000"/>
    <n v="72"/>
    <n v="2800000"/>
    <n v="28.000000000000004"/>
    <s v="DL.2376.AFA.001.054.B.522151"/>
    <s v="Non COVID"/>
    <s v="BELANJA BAHAN"/>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5000000"/>
    <n v="0"/>
    <n v="0"/>
    <n v="0"/>
    <n v="0"/>
    <n v="0"/>
    <n v="0"/>
    <n v="0"/>
    <n v="0"/>
    <n v="0"/>
    <n v="0"/>
    <n v="0"/>
    <n v="0"/>
    <s v="Pusat Pendidikan KP"/>
    <x v="1"/>
    <x v="3"/>
    <s v="52"/>
    <s v="SEKRETARIAT BADAN RISET DAN SUMBERDAYA MANUSIA KELAUTAN DAN PERIKANAN"/>
    <n v="0"/>
    <n v="0"/>
    <n v="5000000"/>
    <n v="100"/>
    <s v="DL.2376.AFA.001.054.B.522192"/>
    <s v="COVID"/>
    <s v="BELANJA JAS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0"/>
    <n v="0"/>
    <n v="28850000"/>
    <n v="6320000"/>
    <n v="0"/>
    <n v="22748610"/>
    <n v="0"/>
    <n v="0"/>
    <n v="0"/>
    <n v="0"/>
    <n v="0"/>
    <n v="0"/>
    <s v="Pusat Pendidikan KP"/>
    <x v="1"/>
    <x v="3"/>
    <s v="52"/>
    <s v="SEKRETARIAT BADAN RISET DAN SUMBERDAYA MANUSIA KELAUTAN DAN PERIKANAN"/>
    <n v="57918610"/>
    <n v="59.454925268949651"/>
    <n v="39497390"/>
    <n v="40.545074731050342"/>
    <s v="DL.2376.AFA.001.054.B.524111"/>
    <s v="Non COVID"/>
    <s v="PERJALANAN DINAS"/>
    <s v="Belanja Barang Non Operasional"/>
    <n v="0"/>
    <n v="17010000"/>
    <n v="1184000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5000000"/>
    <n v="0"/>
    <n v="0"/>
    <n v="0"/>
    <n v="0"/>
    <n v="114200000"/>
    <n v="0"/>
    <n v="0"/>
    <n v="0"/>
    <n v="0"/>
    <n v="0"/>
    <n v="0"/>
    <n v="0"/>
    <s v="Pusat Pendidikan KP"/>
    <x v="2"/>
    <x v="4"/>
    <n v="53"/>
    <s v="SEKRETARIAT BADAN RISET DAN SUMBERDAYA MANUSIA KELAUTAN DAN PERIKANAN"/>
    <n v="114200000"/>
    <n v="99.304347826086953"/>
    <n v="800000"/>
    <n v="0.69565217391304346"/>
    <s v="WA.2378.CAN.001.301.A.532111"/>
    <s v="Non COVID"/>
    <s v="BELANJA MODAL"/>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4400000"/>
    <n v="0"/>
    <n v="0"/>
    <n v="2876000"/>
    <n v="0"/>
    <n v="3071500"/>
    <n v="0"/>
    <n v="0"/>
    <n v="0"/>
    <n v="0"/>
    <n v="0"/>
    <n v="0"/>
    <n v="0"/>
    <s v="Pusat Pendidikan KP"/>
    <x v="3"/>
    <x v="5"/>
    <s v="52"/>
    <s v="SEKRETARIAT BADAN RISET DAN SUMBERDAYA MANUSIA KELAUTAN DAN PERIKANAN"/>
    <n v="5947500"/>
    <n v="41.302083333333336"/>
    <n v="8452500"/>
    <n v="58.697916666666671"/>
    <s v="WA.2378.EBA.958.311.A.521211"/>
    <s v="Non COVID"/>
    <s v="BELANJA BAHAN"/>
    <s v="Belanja Barang Non Operasional"/>
    <n v="0"/>
    <n v="986000"/>
    <n v="1890000"/>
    <n v="0"/>
    <n v="0"/>
    <n v="0"/>
    <n v="307150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8000000"/>
    <n v="0"/>
    <n v="0"/>
    <n v="0"/>
    <n v="0"/>
    <n v="0"/>
    <n v="0"/>
    <n v="0"/>
    <n v="0"/>
    <n v="0"/>
    <n v="0"/>
    <n v="0"/>
    <n v="0"/>
    <s v="Pusat Pendidikan KP"/>
    <x v="3"/>
    <x v="5"/>
    <s v="52"/>
    <s v="SEKRETARIAT BADAN RISET DAN SUMBERDAYA MANUSIA KELAUTAN DAN PERIKANAN"/>
    <n v="0"/>
    <n v="0"/>
    <n v="8000000"/>
    <n v="100"/>
    <s v="WA.2378.EBA.958.311.A.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2000000"/>
    <n v="0"/>
    <n v="0"/>
    <n v="2450750"/>
    <n v="0"/>
    <n v="1929000"/>
    <n v="0"/>
    <n v="0"/>
    <n v="0"/>
    <n v="0"/>
    <n v="0"/>
    <n v="0"/>
    <n v="0"/>
    <s v="Pusat Pendidikan KP"/>
    <x v="3"/>
    <x v="5"/>
    <s v="52"/>
    <s v="SEKRETARIAT BADAN RISET DAN SUMBERDAYA MANUSIA KELAUTAN DAN PERIKANAN"/>
    <n v="4379750"/>
    <n v="36.497916666666669"/>
    <n v="7620250"/>
    <n v="63.502083333333339"/>
    <s v="WA.2378.EBA.958.311.A.521811"/>
    <s v="Non COVID"/>
    <s v="PERSEDIAAN"/>
    <s v="Belanja Barang Non Operasional"/>
    <n v="0"/>
    <n v="2450750"/>
    <n v="0"/>
    <n v="0"/>
    <n v="0"/>
    <n v="0"/>
    <n v="192900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4000000"/>
    <n v="0"/>
    <n v="0"/>
    <n v="0"/>
    <n v="0"/>
    <n v="0"/>
    <n v="0"/>
    <n v="0"/>
    <n v="0"/>
    <n v="0"/>
    <n v="0"/>
    <n v="0"/>
    <n v="0"/>
    <s v="Pusat Pendidikan KP"/>
    <x v="3"/>
    <x v="5"/>
    <s v="52"/>
    <s v="SEKRETARIAT BADAN RISET DAN SUMBERDAYA MANUSIA KELAUTAN DAN PERIKANAN"/>
    <n v="0"/>
    <n v="0"/>
    <n v="4000000"/>
    <n v="100"/>
    <s v="WA.2378.EBA.958.311.A.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115380000"/>
    <n v="0"/>
    <n v="0"/>
    <n v="0"/>
    <n v="3570000"/>
    <n v="10960600"/>
    <n v="3840000"/>
    <n v="0"/>
    <n v="0"/>
    <n v="0"/>
    <n v="0"/>
    <n v="0"/>
    <n v="0"/>
    <s v="Pusat Pendidikan KP"/>
    <x v="3"/>
    <x v="5"/>
    <s v="52"/>
    <s v="SEKRETARIAT BADAN RISET DAN SUMBERDAYA MANUSIA KELAUTAN DAN PERIKANAN"/>
    <n v="18370600"/>
    <n v="15.921823539608251"/>
    <n v="97009400"/>
    <n v="84.078176460391745"/>
    <s v="WA.2378.EBA.958.311.A.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n v="521211"/>
    <s v="521211. Belanja Bahan"/>
    <n v="22000000"/>
    <n v="0"/>
    <n v="0"/>
    <n v="3998800"/>
    <n v="0"/>
    <n v="0"/>
    <n v="0"/>
    <n v="0"/>
    <n v="0"/>
    <n v="0"/>
    <n v="0"/>
    <n v="0"/>
    <n v="0"/>
    <s v="Pusat Pendidikan KP"/>
    <x v="2"/>
    <x v="4"/>
    <s v="52"/>
    <s v="SEKRETARIAT BADAN RISET DAN SUMBERDAYA MANUSIA KELAUTAN DAN PERIKANAN"/>
    <n v="3998800"/>
    <n v="18.176363636363639"/>
    <n v="18001200"/>
    <n v="81.823636363636368"/>
    <s v="WA.2378.EBA.962.301.A.521211"/>
    <s v="Non COVID"/>
    <s v="BELANJA BAHAN"/>
    <s v="Belanja Barang Non Operasional"/>
    <n v="0"/>
    <n v="399880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s v="524111"/>
    <s v="524111. Belanja Perjalanan Dinas Biasa"/>
    <n v="27000000"/>
    <n v="0"/>
    <n v="0"/>
    <n v="4335000"/>
    <n v="3960000"/>
    <n v="3043500"/>
    <n v="0"/>
    <n v="0"/>
    <n v="0"/>
    <n v="0"/>
    <n v="0"/>
    <n v="0"/>
    <n v="0"/>
    <s v="Pusat Pendidikan KP"/>
    <x v="2"/>
    <x v="4"/>
    <s v="52"/>
    <s v="SEKRETARIAT BADAN RISET DAN SUMBERDAYA MANUSIA KELAUTAN DAN PERIKANAN"/>
    <n v="11338500"/>
    <n v="41.994444444444447"/>
    <n v="15661500"/>
    <n v="58.005555555555553"/>
    <s v="WA.2378.EBA.962.301.A.524111"/>
    <s v="Non COVID"/>
    <s v="PERJALANAN DINAS"/>
    <s v="Belanja Barang Non Operasional"/>
    <n v="2685000"/>
    <n v="1650000"/>
    <n v="0"/>
    <n v="3960000"/>
    <n v="0"/>
    <n v="304350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s v="524113"/>
    <s v="524113. Belanja Perjalanan Dinas Dalam Kota"/>
    <n v="2100000"/>
    <n v="0"/>
    <n v="0"/>
    <n v="750000"/>
    <n v="0"/>
    <n v="0"/>
    <n v="0"/>
    <n v="0"/>
    <n v="0"/>
    <n v="0"/>
    <n v="0"/>
    <n v="0"/>
    <n v="0"/>
    <s v="Pusat Pendidikan KP"/>
    <x v="2"/>
    <x v="4"/>
    <s v="52"/>
    <s v="SEKRETARIAT BADAN RISET DAN SUMBERDAYA MANUSIA KELAUTAN DAN PERIKANAN"/>
    <n v="750000"/>
    <n v="35.714285714285715"/>
    <n v="1350000"/>
    <n v="64.285714285714292"/>
    <s v="WA.2378.EBA.962.301.A.524113"/>
    <s v="Non COVID"/>
    <s v="TRANSPORT LOKAL"/>
    <s v="Belanja Barang Non Operasional"/>
    <n v="450000"/>
    <n v="30000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n v="521211"/>
    <s v="521211. Belanja Bahan"/>
    <n v="10000000"/>
    <n v="0"/>
    <n v="0"/>
    <n v="2485000"/>
    <n v="0"/>
    <n v="2485000"/>
    <n v="0"/>
    <n v="0"/>
    <n v="0"/>
    <n v="0"/>
    <n v="0"/>
    <n v="0"/>
    <n v="0"/>
    <s v="Pusat Pendidikan KP"/>
    <x v="2"/>
    <x v="4"/>
    <s v="52"/>
    <s v="SEKRETARIAT BADAN RISET DAN SUMBERDAYA MANUSIA KELAUTAN DAN PERIKANAN"/>
    <n v="4970000"/>
    <n v="49.7"/>
    <n v="5030000"/>
    <n v="50.3"/>
    <s v="WA.2378.EBA.962.301.B.521211"/>
    <s v="Non COVID"/>
    <s v="BELANJA BAHAN"/>
    <s v="Belanja Barang Non Operasional"/>
    <n v="2485000"/>
    <n v="0"/>
    <n v="0"/>
    <n v="0"/>
    <n v="0"/>
    <n v="0"/>
    <n v="2485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s v="522192"/>
    <s v="522192. Belanja Jasa - Penanganan Pandemi COVID-19"/>
    <n v="23680000"/>
    <n v="0"/>
    <n v="0"/>
    <n v="2031000"/>
    <n v="0"/>
    <n v="0"/>
    <n v="0"/>
    <n v="0"/>
    <n v="0"/>
    <n v="0"/>
    <n v="0"/>
    <n v="0"/>
    <n v="0"/>
    <s v="Pusat Pendidikan KP"/>
    <x v="2"/>
    <x v="4"/>
    <s v="52"/>
    <s v="SEKRETARIAT BADAN RISET DAN SUMBERDAYA MANUSIA KELAUTAN DAN PERIKANAN"/>
    <n v="2031000"/>
    <n v="8.5768581081081088"/>
    <n v="21649000"/>
    <n v="91.423141891891888"/>
    <s v="WA.2378.EBA.962.301.B.522192"/>
    <s v="COVID"/>
    <s v="BELANJA JASA"/>
    <s v="Belanja Barang Non Operasional"/>
    <n v="1235000"/>
    <n v="342000"/>
    <n v="45400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s v="524111"/>
    <s v="524111. Belanja Perjalanan Dinas Biasa"/>
    <n v="514500000"/>
    <n v="0"/>
    <n v="0"/>
    <n v="68815500"/>
    <n v="66565460"/>
    <n v="25199501"/>
    <n v="0"/>
    <n v="0"/>
    <n v="0"/>
    <n v="0"/>
    <n v="0"/>
    <n v="0"/>
    <n v="0"/>
    <s v="Pusat Pendidikan KP"/>
    <x v="2"/>
    <x v="4"/>
    <s v="52"/>
    <s v="SEKRETARIAT BADAN RISET DAN SUMBERDAYA MANUSIA KELAUTAN DAN PERIKANAN"/>
    <n v="160580461"/>
    <n v="31.210973955296407"/>
    <n v="353919539"/>
    <n v="68.78902604470359"/>
    <s v="WA.2378.EBA.962.301.B.524111"/>
    <s v="Non COVID"/>
    <s v="PERJALANAN DINAS"/>
    <s v="Belanja Barang Non Operasional"/>
    <n v="45385600"/>
    <n v="23429900"/>
    <n v="0"/>
    <n v="31588000"/>
    <n v="10477701"/>
    <n v="4081050"/>
    <n v="1064075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n v="521211"/>
    <s v="521211. Belanja Bahan"/>
    <n v="46000000"/>
    <n v="0"/>
    <n v="0"/>
    <n v="3987000"/>
    <n v="0"/>
    <n v="29384740"/>
    <n v="0"/>
    <n v="0"/>
    <n v="0"/>
    <n v="0"/>
    <n v="0"/>
    <n v="0"/>
    <n v="0"/>
    <s v="Pusat Pendidikan KP"/>
    <x v="2"/>
    <x v="4"/>
    <s v="52"/>
    <s v="SEKRETARIAT BADAN RISET DAN SUMBERDAYA MANUSIA KELAUTAN DAN PERIKANAN"/>
    <n v="33371740"/>
    <n v="72.547260869565221"/>
    <n v="12628260"/>
    <n v="27.452739130434782"/>
    <s v="WA.2378.EBA.962.301.C.521211"/>
    <s v="Non COVID"/>
    <s v="BELANJA BAHAN"/>
    <s v="Belanja Barang Non Operasional"/>
    <n v="0"/>
    <n v="3987000"/>
    <n v="0"/>
    <n v="0"/>
    <n v="0"/>
    <n v="0"/>
    <n v="2938474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n v="522141"/>
    <s v="522141. Belanja Sewa"/>
    <n v="6000000"/>
    <n v="0"/>
    <n v="0"/>
    <n v="0"/>
    <n v="0"/>
    <n v="0"/>
    <n v="0"/>
    <n v="0"/>
    <n v="0"/>
    <n v="0"/>
    <n v="0"/>
    <n v="0"/>
    <n v="0"/>
    <s v="Pusat Pendidikan KP"/>
    <x v="2"/>
    <x v="4"/>
    <s v="52"/>
    <s v="SEKRETARIAT BADAN RISET DAN SUMBERDAYA MANUSIA KELAUTAN DAN PERIKANAN"/>
    <n v="0"/>
    <n v="0"/>
    <n v="6000000"/>
    <n v="100"/>
    <s v="WA.2378.EBA.962.301.C.522141"/>
    <s v="Non COVID"/>
    <s v="BELANJA SEW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s v="524111"/>
    <s v="524111. Belanja Perjalanan Dinas Biasa"/>
    <n v="18000000"/>
    <n v="0"/>
    <n v="0"/>
    <n v="1290000"/>
    <n v="0"/>
    <n v="7020000"/>
    <n v="0"/>
    <n v="0"/>
    <n v="0"/>
    <n v="0"/>
    <n v="0"/>
    <n v="0"/>
    <n v="0"/>
    <s v="Pusat Pendidikan KP"/>
    <x v="2"/>
    <x v="4"/>
    <s v="52"/>
    <s v="SEKRETARIAT BADAN RISET DAN SUMBERDAYA MANUSIA KELAUTAN DAN PERIKANAN"/>
    <n v="8310000"/>
    <n v="46.166666666666664"/>
    <n v="9690000"/>
    <n v="53.833333333333336"/>
    <s v="WA.2378.EBA.962.301.C.524111"/>
    <s v="Non COVID"/>
    <s v="PERJALANAN DINAS"/>
    <s v="Belanja Barang Non Operasional"/>
    <n v="0"/>
    <n v="1290000"/>
    <n v="0"/>
    <n v="0"/>
    <n v="3300000"/>
    <n v="372000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s v="524113"/>
    <s v="524113. Belanja Perjalanan Dinas Dalam Kota"/>
    <n v="4500000"/>
    <n v="0"/>
    <n v="0"/>
    <n v="600000"/>
    <n v="0"/>
    <n v="0"/>
    <n v="0"/>
    <n v="0"/>
    <n v="0"/>
    <n v="0"/>
    <n v="0"/>
    <n v="0"/>
    <n v="0"/>
    <s v="Pusat Pendidikan KP"/>
    <x v="2"/>
    <x v="4"/>
    <s v="52"/>
    <s v="SEKRETARIAT BADAN RISET DAN SUMBERDAYA MANUSIA KELAUTAN DAN PERIKANAN"/>
    <n v="600000"/>
    <n v="13.333333333333334"/>
    <n v="3900000"/>
    <n v="86.666666666666671"/>
    <s v="WA.2378.EBA.962.301.C.524113"/>
    <s v="Non COVID"/>
    <s v="TRANSPORT LOKAL"/>
    <s v="Belanja Barang Non Operasional"/>
    <n v="60000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n v="521211"/>
    <s v="521211. Belanja Bahan"/>
    <n v="28000000"/>
    <n v="0"/>
    <n v="0"/>
    <n v="5459000"/>
    <n v="0"/>
    <n v="0"/>
    <n v="0"/>
    <n v="0"/>
    <n v="0"/>
    <n v="0"/>
    <n v="0"/>
    <n v="0"/>
    <n v="0"/>
    <s v="Pusat Pendidikan KP"/>
    <x v="2"/>
    <x v="4"/>
    <s v="52"/>
    <s v="SEKRETARIAT BADAN RISET DAN SUMBERDAYA MANUSIA KELAUTAN DAN PERIKANAN"/>
    <n v="5459000"/>
    <n v="19.49642857142857"/>
    <n v="22541000"/>
    <n v="80.503571428571433"/>
    <s v="WA.2378.EBA.962.301.D.521211"/>
    <s v="Non COVID"/>
    <s v="BELANJA BAHAN"/>
    <s v="Belanja Barang Non Operasional"/>
    <n v="0"/>
    <n v="545900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s v="524111"/>
    <s v="524111. Belanja Perjalanan Dinas Biasa"/>
    <n v="71250000"/>
    <n v="0"/>
    <n v="0"/>
    <n v="8227400"/>
    <n v="15762838"/>
    <n v="3691500"/>
    <n v="0"/>
    <n v="0"/>
    <n v="0"/>
    <n v="0"/>
    <n v="0"/>
    <n v="0"/>
    <n v="0"/>
    <s v="Pusat Pendidikan KP"/>
    <x v="2"/>
    <x v="4"/>
    <s v="52"/>
    <s v="SEKRETARIAT BADAN RISET DAN SUMBERDAYA MANUSIA KELAUTAN DAN PERIKANAN"/>
    <n v="27681738"/>
    <n v="38.851562105263163"/>
    <n v="43568262"/>
    <n v="61.148437894736837"/>
    <s v="WA.2378.EBA.962.301.D.524111"/>
    <s v="Non COVID"/>
    <s v="PERJALANAN DINAS"/>
    <s v="Belanja Barang Non Operasional"/>
    <n v="4907400"/>
    <n v="3320000"/>
    <n v="0"/>
    <n v="1410000"/>
    <n v="0"/>
    <n v="0"/>
    <n v="36915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s v="524113"/>
    <s v="524113. Belanja Perjalanan Dinas Dalam Kota"/>
    <n v="1800000"/>
    <n v="0"/>
    <n v="0"/>
    <n v="0"/>
    <n v="0"/>
    <n v="0"/>
    <n v="0"/>
    <n v="0"/>
    <n v="0"/>
    <n v="0"/>
    <n v="0"/>
    <n v="0"/>
    <n v="0"/>
    <s v="Pusat Pendidikan KP"/>
    <x v="2"/>
    <x v="4"/>
    <s v="52"/>
    <s v="SEKRETARIAT BADAN RISET DAN SUMBERDAYA MANUSIA KELAUTAN DAN PERIKANAN"/>
    <n v="0"/>
    <n v="0"/>
    <n v="1800000"/>
    <n v="100"/>
    <s v="WA.2378.EBA.962.301.C.524113"/>
    <s v="Non COVID"/>
    <s v="TRANSPORT LOKAL"/>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1211"/>
    <s v="521211. Belanja Bahan"/>
    <n v="57600000"/>
    <n v="0"/>
    <n v="0"/>
    <n v="31495000"/>
    <n v="0"/>
    <n v="6600000"/>
    <n v="0"/>
    <n v="0"/>
    <n v="0"/>
    <n v="0"/>
    <n v="0"/>
    <n v="0"/>
    <n v="0"/>
    <s v="Pusat Pendidikan KP"/>
    <x v="2"/>
    <x v="4"/>
    <s v="52"/>
    <s v="SEKRETARIAT BADAN RISET DAN SUMBERDAYA MANUSIA KELAUTAN DAN PERIKANAN"/>
    <n v="38095000"/>
    <n v="66.137152777777771"/>
    <n v="19505000"/>
    <n v="33.862847222222221"/>
    <s v="WA.2378.EBA.962.301.E.524113"/>
    <s v="Non COVID"/>
    <s v="BELANJA BAHAN"/>
    <s v="Belanja Barang Non Operasional"/>
    <n v="0"/>
    <n v="31495000"/>
    <n v="0"/>
    <n v="0"/>
    <n v="0"/>
    <n v="0"/>
    <n v="66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1241"/>
    <s v="521241. Belanja Barang Non Operasional - Penanganan Pandemi COVID-19"/>
    <n v="226200000"/>
    <n v="0"/>
    <n v="0"/>
    <n v="47132450"/>
    <n v="0"/>
    <n v="20031830"/>
    <n v="0"/>
    <n v="0"/>
    <n v="0"/>
    <n v="0"/>
    <n v="0"/>
    <n v="0"/>
    <n v="0"/>
    <s v="Pusat Pendidikan KP"/>
    <x v="2"/>
    <x v="4"/>
    <s v="52"/>
    <s v="SEKRETARIAT BADAN RISET DAN SUMBERDAYA MANUSIA KELAUTAN DAN PERIKANAN"/>
    <n v="67164280"/>
    <n v="29.692431476569407"/>
    <n v="159035720"/>
    <n v="70.307568523430604"/>
    <s v="WA.2378.EBA.962.301.E.521241"/>
    <s v="COVID"/>
    <s v="BELANJA JASA"/>
    <s v="Belanja Barang Non Operasional"/>
    <n v="0"/>
    <n v="35332450"/>
    <n v="11800000"/>
    <n v="0"/>
    <n v="0"/>
    <n v="0"/>
    <n v="2003183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2191"/>
    <s v="522191. Belanja Jasa Lainnya"/>
    <n v="35000000"/>
    <n v="0"/>
    <n v="0"/>
    <n v="0"/>
    <n v="0"/>
    <n v="0"/>
    <n v="0"/>
    <n v="0"/>
    <n v="0"/>
    <n v="0"/>
    <n v="0"/>
    <n v="0"/>
    <n v="0"/>
    <s v="Pusat Pendidikan KP"/>
    <x v="2"/>
    <x v="4"/>
    <n v="52"/>
    <s v="SEKRETARIAT BADAN RISET DAN SUMBERDAYA MANUSIA KELAUTAN DAN PERIKANAN"/>
    <n v="0"/>
    <n v="0"/>
    <n v="35000000"/>
    <n v="100"/>
    <s v="WA.2378.EBA.962.301.E.522191"/>
    <s v="Non COVID"/>
    <s v="BELANJA JASA"/>
    <s v="Belanja Barang Non Operasional"/>
    <m/>
    <m/>
    <m/>
    <m/>
    <m/>
    <m/>
    <m/>
    <m/>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2192"/>
    <s v="522192. Belanja Jasa - Penanganan Pandemi COVID-19"/>
    <n v="48000000"/>
    <n v="0"/>
    <n v="0"/>
    <n v="802000"/>
    <n v="3229000"/>
    <n v="215000"/>
    <n v="0"/>
    <n v="0"/>
    <n v="0"/>
    <n v="0"/>
    <n v="0"/>
    <n v="0"/>
    <n v="0"/>
    <s v="Pusat Pendidikan KP"/>
    <x v="2"/>
    <x v="4"/>
    <s v="52"/>
    <s v="SEKRETARIAT BADAN RISET DAN SUMBERDAYA MANUSIA KELAUTAN DAN PERIKANAN"/>
    <n v="4246000"/>
    <n v="8.8458333333333332"/>
    <n v="43754000"/>
    <n v="91.154166666666669"/>
    <s v="WA.2378.EBA.962.301.E.522192"/>
    <s v="COVID"/>
    <s v="BELANJA JASA"/>
    <s v="Belanja Barang Non Operasional"/>
    <n v="0"/>
    <n v="802000"/>
    <n v="0"/>
    <n v="3229000"/>
    <n v="0"/>
    <n v="0"/>
    <n v="215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4111"/>
    <s v="524111. Belanja Perjalanan Dinas Biasa"/>
    <n v="42772000"/>
    <n v="0"/>
    <n v="0"/>
    <n v="8250000"/>
    <n v="3712700"/>
    <n v="9888000"/>
    <n v="0"/>
    <n v="0"/>
    <n v="0"/>
    <n v="0"/>
    <n v="0"/>
    <n v="0"/>
    <n v="0"/>
    <s v="Pusat Pendidikan KP"/>
    <x v="2"/>
    <x v="4"/>
    <s v="52"/>
    <s v="SEKRETARIAT BADAN RISET DAN SUMBERDAYA MANUSIA KELAUTAN DAN PERIKANAN"/>
    <n v="21850700"/>
    <n v="51.08645843074909"/>
    <n v="20921300"/>
    <n v="48.91354156925091"/>
    <s v="WA.2378.EBA.962.301.E.524111"/>
    <s v="Non COVID"/>
    <s v="PERJALANAN DINAS"/>
    <s v="Belanja Barang Non Operasional"/>
    <n v="1560000"/>
    <n v="6690000"/>
    <n v="0"/>
    <n v="0"/>
    <n v="1860000"/>
    <n v="3748000"/>
    <n v="428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4113"/>
    <s v="524113. Belanja Perjalanan Dinas Dalam Kota"/>
    <n v="2100000"/>
    <n v="0"/>
    <n v="0"/>
    <n v="0"/>
    <n v="0"/>
    <n v="0"/>
    <n v="0"/>
    <n v="0"/>
    <n v="0"/>
    <n v="0"/>
    <n v="0"/>
    <n v="0"/>
    <n v="0"/>
    <s v="Pusat Pendidikan KP"/>
    <x v="2"/>
    <x v="4"/>
    <s v="52"/>
    <s v="SEKRETARIAT BADAN RISET DAN SUMBERDAYA MANUSIA KELAUTAN DAN PERIKANAN"/>
    <n v="0"/>
    <n v="0"/>
    <n v="2100000"/>
    <n v="100"/>
    <s v="WA.2378.EBA.962.301.E.524113"/>
    <s v="Non COVID"/>
    <s v="TRANSPORT LOKAL"/>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1211"/>
    <s v="521211. Belanja Bahan"/>
    <n v="32000000"/>
    <n v="0"/>
    <n v="0"/>
    <n v="3999200"/>
    <n v="0"/>
    <n v="0"/>
    <n v="0"/>
    <n v="0"/>
    <n v="0"/>
    <n v="0"/>
    <n v="0"/>
    <n v="0"/>
    <n v="0"/>
    <s v="Pusat Pendidikan KP"/>
    <x v="1"/>
    <x v="3"/>
    <s v="52"/>
    <s v="SEKRETARIAT BADAN RISET DAN SUMBERDAYA MANUSIA KELAUTAN DAN PERIKANAN"/>
    <n v="3999200"/>
    <n v="12.4975"/>
    <n v="28000800"/>
    <n v="87.502500000000012"/>
    <s v="WA.2378.EBA.962.301.F.521211"/>
    <s v="Non COVID"/>
    <s v="BELANJA BAHAN"/>
    <s v="Belanja Barang Non Operasional"/>
    <n v="0"/>
    <n v="2499500"/>
    <n v="149970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1219"/>
    <s v="521219. Belanja Barang Non Operasional Lainnya"/>
    <n v="298141000"/>
    <n v="0"/>
    <n v="0"/>
    <n v="694240"/>
    <n v="0"/>
    <n v="3603218"/>
    <n v="0"/>
    <n v="0"/>
    <n v="0"/>
    <n v="0"/>
    <n v="0"/>
    <n v="0"/>
    <n v="0"/>
    <s v="Pusat Pendidikan KP"/>
    <x v="1"/>
    <x v="3"/>
    <s v="52"/>
    <s v="SEKRETARIAT BADAN RISET DAN SUMBERDAYA MANUSIA KELAUTAN DAN PERIKANAN"/>
    <n v="4297458"/>
    <n v="1.4414179867914845"/>
    <n v="293843542"/>
    <n v="98.558582013208522"/>
    <s v="WA.2378.EBA.962.301.F.521219"/>
    <s v="Non COVID"/>
    <s v="NON OPS LAINNYA"/>
    <s v="Belanja Barang Non Operasional"/>
    <n v="0"/>
    <n v="450000"/>
    <n v="244240"/>
    <n v="0"/>
    <n v="3351204"/>
    <n v="252014"/>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2151"/>
    <s v="522151. Belanja Jasa Profesi"/>
    <n v="30000000"/>
    <n v="0"/>
    <n v="0"/>
    <n v="0"/>
    <n v="0"/>
    <n v="0"/>
    <n v="0"/>
    <n v="0"/>
    <n v="0"/>
    <n v="0"/>
    <n v="0"/>
    <n v="0"/>
    <n v="0"/>
    <s v="Pusat Pendidikan KP"/>
    <x v="1"/>
    <x v="3"/>
    <s v="52"/>
    <s v="SEKRETARIAT BADAN RISET DAN SUMBERDAYA MANUSIA KELAUTAN DAN PERIKANAN"/>
    <n v="0"/>
    <n v="0"/>
    <n v="30000000"/>
    <n v="100"/>
    <s v="WA.2378.EBA.962.301.F.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s v="522192"/>
    <s v="522192. Belanja Jasa - Penanganan Pandemi COVID-19"/>
    <n v="8000000"/>
    <n v="0"/>
    <n v="0"/>
    <n v="0"/>
    <n v="0"/>
    <n v="0"/>
    <n v="0"/>
    <n v="0"/>
    <n v="0"/>
    <n v="0"/>
    <n v="0"/>
    <n v="0"/>
    <n v="0"/>
    <s v="Pusat Pendidikan KP"/>
    <x v="1"/>
    <x v="3"/>
    <s v="52"/>
    <s v="SEKRETARIAT BADAN RISET DAN SUMBERDAYA MANUSIA KELAUTAN DAN PERIKANAN"/>
    <n v="0"/>
    <n v="0"/>
    <n v="8000000"/>
    <n v="100"/>
    <s v="WA.2378.EBA.962.301.F.522192"/>
    <s v="COVID"/>
    <s v="BELANJA JAS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s v="524111"/>
    <s v="524111. Belanja Perjalanan Dinas Biasa"/>
    <n v="81859000"/>
    <n v="0"/>
    <n v="0"/>
    <n v="0"/>
    <n v="0"/>
    <n v="0"/>
    <n v="5350700"/>
    <n v="0"/>
    <n v="0"/>
    <n v="0"/>
    <n v="0"/>
    <n v="0"/>
    <n v="0"/>
    <s v="Pusat Pendidikan KP"/>
    <x v="1"/>
    <x v="3"/>
    <s v="52"/>
    <s v="SEKRETARIAT BADAN RISET DAN SUMBERDAYA MANUSIA KELAUTAN DAN PERIKANAN"/>
    <n v="5350700"/>
    <n v="6.5364834654711146"/>
    <n v="76508300"/>
    <n v="93.463516534528893"/>
    <s v="WA.2378.EBA.962.301.F.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1211"/>
    <s v="521211. Belanja Bahan"/>
    <n v="31000000"/>
    <n v="0"/>
    <n v="0"/>
    <n v="1200000"/>
    <n v="0"/>
    <n v="10342500"/>
    <n v="0"/>
    <n v="0"/>
    <n v="0"/>
    <n v="0"/>
    <n v="0"/>
    <n v="0"/>
    <n v="0"/>
    <s v="Pusat Pendidikan KP"/>
    <x v="0"/>
    <x v="0"/>
    <s v="52"/>
    <s v="SEKRETARIAT BADAN RISET DAN SUMBERDAYA MANUSIA KELAUTAN DAN PERIKANAN"/>
    <n v="11542500"/>
    <n v="37.233870967741936"/>
    <n v="19457500"/>
    <n v="62.766129032258064"/>
    <s v="WA.2378.EBA.962.301.G.521211"/>
    <s v="Non COVID"/>
    <s v="BELANJA BAHAN"/>
    <s v="Belanja Barang Non Operasional"/>
    <n v="0"/>
    <n v="1200000"/>
    <n v="0"/>
    <n v="0"/>
    <n v="0"/>
    <n v="7854000"/>
    <n v="24885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1219"/>
    <s v="521219. Belanja Barang Non Operasional Lainnya"/>
    <n v="3000000"/>
    <n v="0"/>
    <n v="0"/>
    <n v="710207"/>
    <n v="0"/>
    <n v="481211"/>
    <n v="0"/>
    <n v="0"/>
    <n v="0"/>
    <n v="0"/>
    <n v="0"/>
    <n v="0"/>
    <n v="0"/>
    <s v="Pusat Pendidikan KP"/>
    <x v="0"/>
    <x v="0"/>
    <s v="52"/>
    <s v="SEKRETARIAT BADAN RISET DAN SUMBERDAYA MANUSIA KELAUTAN DAN PERIKANAN"/>
    <n v="1191418"/>
    <n v="39.713933333333337"/>
    <n v="1808582"/>
    <n v="60.28606666666667"/>
    <s v="WA.2378.EBA.962.301.G.521219"/>
    <s v="Non COVID"/>
    <s v="NON OPS LAINNYA"/>
    <s v="Belanja Barang Non Operasional"/>
    <n v="0"/>
    <n v="236994"/>
    <n v="473213"/>
    <n v="0"/>
    <n v="0"/>
    <n v="238833"/>
    <n v="242378"/>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2151"/>
    <s v="522151. Belanja Jasa Profesi"/>
    <n v="70000000"/>
    <n v="0"/>
    <n v="0"/>
    <n v="1800000"/>
    <n v="1000000"/>
    <n v="2000000"/>
    <n v="0"/>
    <n v="0"/>
    <n v="0"/>
    <n v="0"/>
    <n v="0"/>
    <n v="0"/>
    <n v="0"/>
    <s v="Pusat Pendidikan KP"/>
    <x v="0"/>
    <x v="0"/>
    <s v="52"/>
    <s v="SEKRETARIAT BADAN RISET DAN SUMBERDAYA MANUSIA KELAUTAN DAN PERIKANAN"/>
    <n v="4800000"/>
    <n v="6.8571428571428577"/>
    <n v="65200000"/>
    <n v="93.142857142857139"/>
    <s v="WA.2378.EBA.962.301.G.522151"/>
    <s v="Non COVID"/>
    <s v="BELANJA JASA"/>
    <s v="Belanja Barang Non Operasional"/>
    <n v="0"/>
    <n v="1800000"/>
    <n v="0"/>
    <n v="0"/>
    <n v="0"/>
    <n v="0"/>
    <n v="20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s v="524111"/>
    <s v="524111. Belanja Perjalanan Dinas Biasa"/>
    <n v="246000000"/>
    <n v="0"/>
    <n v="0"/>
    <n v="2700000"/>
    <n v="0"/>
    <n v="27528345"/>
    <n v="28425327"/>
    <n v="0"/>
    <n v="0"/>
    <n v="0"/>
    <n v="0"/>
    <n v="0"/>
    <n v="0"/>
    <s v="Pusat Pendidikan KP"/>
    <x v="0"/>
    <x v="0"/>
    <s v="52"/>
    <s v="SEKRETARIAT BADAN RISET DAN SUMBERDAYA MANUSIA KELAUTAN DAN PERIKANAN"/>
    <n v="58653672"/>
    <n v="23.842956097560975"/>
    <n v="187346328"/>
    <n v="76.157043902439028"/>
    <s v="WA.2378.EBA.962.301.G.524111"/>
    <s v="Non COVID"/>
    <s v="PERJALANAN DINAS"/>
    <s v="Belanja Barang Non Operasional"/>
    <n v="0"/>
    <n v="0"/>
    <n v="2700000"/>
    <n v="0"/>
    <n v="0"/>
    <n v="0"/>
    <n v="8114345"/>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1211"/>
    <s v="521211. Belanja Bahan"/>
    <n v="118575000"/>
    <n v="0"/>
    <n v="0"/>
    <n v="0"/>
    <n v="0"/>
    <n v="0"/>
    <n v="0"/>
    <n v="0"/>
    <n v="0"/>
    <n v="0"/>
    <n v="0"/>
    <n v="0"/>
    <n v="0"/>
    <s v="Pusat Pendidikan KP"/>
    <x v="0"/>
    <x v="1"/>
    <s v="52"/>
    <s v="SEKRETARIAT BADAN RISET DAN SUMBERDAYA MANUSIA KELAUTAN DAN PERIKANAN"/>
    <n v="0"/>
    <n v="0"/>
    <n v="118575000"/>
    <n v="100"/>
    <s v="WA.2378.EBA.962.301.H.521211"/>
    <s v="Non COVID"/>
    <s v="BELANJA BAHAN"/>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1219"/>
    <s v="521219. Belanja Barang Non Operasional Lainnya"/>
    <n v="393200000"/>
    <n v="0"/>
    <n v="0"/>
    <n v="0"/>
    <n v="0"/>
    <n v="0"/>
    <n v="0"/>
    <n v="0"/>
    <n v="0"/>
    <n v="0"/>
    <n v="0"/>
    <n v="0"/>
    <n v="0"/>
    <s v="Pusat Pendidikan KP"/>
    <x v="0"/>
    <x v="1"/>
    <s v="52"/>
    <s v="SEKRETARIAT BADAN RISET DAN SUMBERDAYA MANUSIA KELAUTAN DAN PERIKANAN"/>
    <n v="0"/>
    <n v="0"/>
    <n v="393200000"/>
    <n v="100"/>
    <s v="WA.2378.EBA.962.301.H.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2141"/>
    <s v="522141. Belanja Sewa"/>
    <n v="120000000"/>
    <n v="0"/>
    <n v="0"/>
    <n v="0"/>
    <n v="0"/>
    <n v="0"/>
    <n v="0"/>
    <n v="0"/>
    <n v="0"/>
    <n v="0"/>
    <n v="0"/>
    <n v="0"/>
    <n v="0"/>
    <s v="Pusat Pendidikan KP"/>
    <x v="0"/>
    <x v="1"/>
    <s v="52"/>
    <s v="SEKRETARIAT BADAN RISET DAN SUMBERDAYA MANUSIA KELAUTAN DAN PERIKANAN"/>
    <n v="0"/>
    <n v="0"/>
    <n v="120000000"/>
    <n v="100"/>
    <s v="WA.2378.EBA.962.301.H.522141"/>
    <s v="Non COVID"/>
    <s v="BELANJA SEW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s v="524111"/>
    <s v="524111. Belanja Perjalanan Dinas Biasa"/>
    <n v="7962000"/>
    <n v="0"/>
    <n v="0"/>
    <n v="0"/>
    <n v="0"/>
    <n v="0"/>
    <n v="0"/>
    <n v="0"/>
    <n v="0"/>
    <n v="0"/>
    <n v="0"/>
    <n v="0"/>
    <n v="0"/>
    <s v="Pusat Pendidikan KP"/>
    <x v="0"/>
    <x v="1"/>
    <s v="52"/>
    <s v="SEKRETARIAT BADAN RISET DAN SUMBERDAYA MANUSIA KELAUTAN DAN PERIKANAN"/>
    <n v="0"/>
    <n v="0"/>
    <n v="7962000"/>
    <n v="100"/>
    <s v="WA.2378.EBA.962.301.H.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1211"/>
    <s v="521211. Belanja Bahan"/>
    <n v="1755000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1219"/>
    <s v="521219. Belanja Barang Non Operasional Lainnya"/>
    <n v="2765100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2151"/>
    <s v="522151. Belanja Jasa Profesi"/>
    <n v="40000000"/>
    <n v="0"/>
    <n v="0"/>
    <n v="0"/>
    <n v="0"/>
    <n v="14000000"/>
    <n v="0"/>
    <n v="0"/>
    <n v="0"/>
    <n v="0"/>
    <n v="0"/>
    <n v="0"/>
    <n v="0"/>
    <s v="Pusat Pendidikan KP"/>
    <x v="0"/>
    <x v="1"/>
    <s v="52"/>
    <s v="SEKRETARIAT BADAN RISET DAN SUMBERDAYA MANUSIA KELAUTAN DAN PERIKANAN"/>
    <n v="14000000"/>
    <n v="35"/>
    <n v="26000000"/>
    <n v="65"/>
    <s v="WA.2378.EBA.962.301.I.522151"/>
    <s v="Non COVID"/>
    <s v="BELANJA JASA"/>
    <s v="Belanja Barang Non Operasional"/>
    <n v="0"/>
    <n v="0"/>
    <n v="0"/>
    <n v="0"/>
    <n v="0"/>
    <n v="0"/>
    <n v="140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s v="524111"/>
    <s v="524111. Belanja Perjalanan Dinas Biasa"/>
    <n v="2506200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r>
  <r>
    <s v="032"/>
    <s v="12"/>
    <s v="WA"/>
    <s v="WA. Program Dukungan Manajemen"/>
    <s v="2378"/>
    <s v="2378. Dukungan Manajemen Internal Lingkup Badan Riset dan Sumber Daya Manusia Kelautan dan Perikanan"/>
    <s v="EBA"/>
    <s v="2378.EBA. Layanan Dukungan Manajemen Internal"/>
    <s v="002"/>
    <s v="2378.EBA.994. Layananan Perkantoran"/>
    <s v="001"/>
    <s v="002. Operasional dan Pemeliharaan Kantor"/>
    <s v="GA"/>
    <s v="GA. Operasional dan Pemeliharaan Kantor Pusat Pendidikan KP"/>
    <n v="521111"/>
    <s v="521111. Belanja Keperluan Perkantoran"/>
    <n v="1076220000"/>
    <n v="0"/>
    <n v="63640000"/>
    <n v="80776487"/>
    <n v="135515096"/>
    <n v="79486568"/>
    <n v="63640000"/>
    <n v="0"/>
    <n v="0"/>
    <n v="0"/>
    <n v="0"/>
    <n v="0"/>
    <n v="0"/>
    <s v="Pusat Pendidikan KP"/>
    <x v="2"/>
    <x v="4"/>
    <s v="52"/>
    <s v="SEKRETARIAT BADAN RISET DAN SUMBERDAYA MANUSIA KELAUTAN DAN PERIKANAN"/>
    <n v="423058151"/>
    <n v="39.309634740108898"/>
    <n v="653161849"/>
    <n v="60.690365259891102"/>
    <s v="WA.2378.EBA.994.002.GA.521111"/>
    <s v="Non COVID"/>
    <s v="BELANJA BAHAN"/>
    <s v="Belanja Barang Operasional"/>
    <n v="2178865"/>
    <n v="8107900"/>
    <n v="6849722"/>
    <n v="8235096"/>
    <n v="8616711"/>
    <n v="7229857"/>
    <n v="0"/>
    <n v="0"/>
  </r>
  <r>
    <s v="032"/>
    <s v="12"/>
    <s v="WA"/>
    <s v="WA. Program Dukungan Manajemen"/>
    <s v="2378"/>
    <s v="2378. Dukungan Manajemen Internal Lingkup Badan Riset dan Sumber Daya Manusia Kelautan dan Perikanan"/>
    <s v="EBA"/>
    <s v="2378.EBA. Layanan Dukungan Manajemen Internal"/>
    <s v="002"/>
    <s v="2378.EBA.994. Layananan Perkantoran"/>
    <s v="001"/>
    <s v="002. Operasional dan Pemeliharaan Kantor"/>
    <s v="GA"/>
    <s v="GA. Operasional dan Pemeliharaan Kantor Pusat Pendidikan KP"/>
    <n v="521811"/>
    <s v="521811. Belanja Barang Persediaan Barang Konsumsi"/>
    <n v="178160000"/>
    <n v="0"/>
    <n v="0"/>
    <n v="32474000"/>
    <n v="8952000"/>
    <n v="23282000"/>
    <n v="0"/>
    <n v="0"/>
    <n v="0"/>
    <n v="0"/>
    <n v="0"/>
    <n v="0"/>
    <n v="0"/>
    <s v="Pusat Pendidikan KP"/>
    <x v="2"/>
    <x v="4"/>
    <s v="52"/>
    <s v="SEKRETARIAT BADAN RISET DAN SUMBERDAYA MANUSIA KELAUTAN DAN PERIKANAN"/>
    <n v="64708000"/>
    <n v="36.320161652447233"/>
    <n v="113452000"/>
    <n v="63.679838347552767"/>
    <s v="WA.2378.EBA.994.002.GA.521811"/>
    <s v="Non COVID"/>
    <s v="BELANJA PERSEDIAAN"/>
    <s v="Belanja Barang Operasional"/>
    <n v="13175000"/>
    <n v="19299000"/>
    <n v="0"/>
    <n v="8952000"/>
    <n v="1680000"/>
    <n v="21602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B"/>
    <s v="GB. Langganan Daya dan Jasa Pusat Pendidikan KP"/>
    <n v="521114"/>
    <s v="521114. Belanja Pengiriman Surat Dinas Pos Pusat"/>
    <n v="30000000"/>
    <n v="0"/>
    <n v="0"/>
    <n v="354050"/>
    <n v="603000"/>
    <n v="1329000"/>
    <n v="0"/>
    <n v="0"/>
    <n v="0"/>
    <n v="0"/>
    <n v="0"/>
    <n v="0"/>
    <n v="0"/>
    <s v="Pusat Pendidikan KP"/>
    <x v="2"/>
    <x v="4"/>
    <s v="52"/>
    <s v="SEKRETARIAT BADAN RISET DAN SUMBERDAYA MANUSIA KELAUTAN DAN PERIKANAN"/>
    <n v="2286050"/>
    <n v="7.620166666666667"/>
    <n v="27713950"/>
    <n v="92.379833333333337"/>
    <s v="WA.2378.EBA.994.002.GB.521114"/>
    <s v="Non COVID"/>
    <s v="BELANJA PENGIRIMAN"/>
    <s v="Belanja Barang Operasional"/>
    <n v="295050"/>
    <n v="0"/>
    <n v="59000"/>
    <n v="603000"/>
    <n v="276000"/>
    <n v="1053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B"/>
    <s v="GB. Langganan Daya dan Jasa Pusat Pendidikan KP"/>
    <n v="522141"/>
    <s v="522141. Belanja Sewa"/>
    <n v="118852000"/>
    <n v="0"/>
    <n v="0"/>
    <n v="4950000"/>
    <n v="9900000"/>
    <n v="4950000"/>
    <n v="0"/>
    <n v="0"/>
    <n v="0"/>
    <n v="0"/>
    <n v="0"/>
    <n v="0"/>
    <n v="0"/>
    <s v="Pusat Pendidikan KP"/>
    <x v="2"/>
    <x v="4"/>
    <s v="52"/>
    <s v="SEKRETARIAT BADAN RISET DAN SUMBERDAYA MANUSIA KELAUTAN DAN PERIKANAN"/>
    <n v="19800000"/>
    <n v="16.659374684481541"/>
    <n v="99052000"/>
    <n v="83.340625315518452"/>
    <s v="WA.2378.EBA.994.002.GB.522141"/>
    <s v="Non COVID"/>
    <s v="BELANJA SEWA"/>
    <s v="Belanja Barang Operasional"/>
    <n v="0"/>
    <n v="4950000"/>
    <n v="0"/>
    <n v="9900000"/>
    <n v="0"/>
    <n v="4950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C"/>
    <s v="GC. Pemeliharaan Kantor Pusat Pendidikan KP"/>
    <n v="523121"/>
    <s v="523121. Belanja Pemeliharaan Peralatan dan Mesin"/>
    <n v="497050000"/>
    <n v="0"/>
    <n v="0"/>
    <n v="59591400"/>
    <n v="7448700"/>
    <n v="18835340"/>
    <n v="0"/>
    <n v="0"/>
    <n v="0"/>
    <n v="0"/>
    <n v="0"/>
    <n v="0"/>
    <n v="0"/>
    <s v="Pusat Pendidikan KP"/>
    <x v="2"/>
    <x v="4"/>
    <s v="52"/>
    <s v="SEKRETARIAT BADAN RISET DAN SUMBERDAYA MANUSIA KELAUTAN DAN PERIKANAN"/>
    <n v="85875440"/>
    <n v="17.277022432350869"/>
    <n v="411174560"/>
    <n v="82.722977567649124"/>
    <s v="WA.2378.EBA.994.002.GC.523121"/>
    <s v="Non COVID"/>
    <s v="BELANJA PEMELIHARAAN"/>
    <s v="Belanja Barang Operasional"/>
    <n v="25004200"/>
    <n v="32727500"/>
    <n v="1859700"/>
    <n v="7448700"/>
    <n v="6968000"/>
    <n v="1186734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C"/>
    <s v="GC. Pemeliharaan Kantor Pusat Pendidikan KP"/>
    <n v="523199"/>
    <s v="523199. Belanja Pemeliharaan Lainnya"/>
    <n v="36000000"/>
    <n v="0"/>
    <n v="0"/>
    <n v="6000000"/>
    <n v="0"/>
    <n v="3000000"/>
    <n v="0"/>
    <n v="0"/>
    <n v="0"/>
    <n v="0"/>
    <n v="0"/>
    <n v="0"/>
    <n v="0"/>
    <s v="Pusat Pendidikan KP"/>
    <x v="2"/>
    <x v="4"/>
    <s v="52"/>
    <s v="SEKRETARIAT BADAN RISET DAN SUMBERDAYA MANUSIA KELAUTAN DAN PERIKANAN"/>
    <n v="9000000"/>
    <n v="25"/>
    <n v="27000000"/>
    <n v="75"/>
    <s v="WA.2378.EBA.994.002.GC.523199"/>
    <s v="Non COVID"/>
    <s v="BELANJA PEMELIHARAAN"/>
    <s v="Belanja Barang Operasional"/>
    <n v="0"/>
    <n v="6000000"/>
    <n v="0"/>
    <n v="0"/>
    <n v="300000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D"/>
    <s v="GD. Pembayaran Pelaksanaan Operasional Kantor Pusat Pendidikan KP"/>
    <n v="521111"/>
    <s v="521111. Belanja Keperluan Perkantoran"/>
    <n v="101040000"/>
    <n v="0"/>
    <n v="0"/>
    <n v="0"/>
    <n v="0"/>
    <n v="44410000"/>
    <n v="0"/>
    <n v="0"/>
    <n v="0"/>
    <n v="0"/>
    <n v="0"/>
    <n v="0"/>
    <n v="0"/>
    <s v="Pusat Pendidikan KP"/>
    <x v="2"/>
    <x v="4"/>
    <s v="52"/>
    <s v="SEKRETARIAT BADAN RISET DAN SUMBERDAYA MANUSIA KELAUTAN DAN PERIKANAN"/>
    <n v="44410000"/>
    <n v="43.952889944576405"/>
    <n v="56630000"/>
    <n v="56.047110055423602"/>
    <s v="WA.2378.EBA.994.002.GD.521111"/>
    <s v="Non COVID"/>
    <s v="PERJALANAN DINAS"/>
    <s v="Belanja Barang Operasional"/>
    <n v="0"/>
    <n v="0"/>
    <n v="0"/>
    <n v="0"/>
    <n v="4441000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D"/>
    <s v="GD. Pembayaran Pelaksanaan Operasional Kantor Pusat Pendidikan KP"/>
    <n v="521115"/>
    <s v="521115. Belanja Honor Operasional Satuan Kerja"/>
    <n v="58336000"/>
    <n v="0"/>
    <n v="0"/>
    <n v="9456000"/>
    <n v="0"/>
    <n v="4728000"/>
    <n v="0"/>
    <n v="0"/>
    <n v="0"/>
    <n v="0"/>
    <n v="0"/>
    <n v="0"/>
    <n v="0"/>
    <s v="Pusat Pendidikan KP"/>
    <x v="2"/>
    <x v="4"/>
    <s v="52"/>
    <s v="SEKRETARIAT BADAN RISET DAN SUMBERDAYA MANUSIA KELAUTAN DAN PERIKANAN"/>
    <n v="14184000"/>
    <n v="24.314317059791552"/>
    <n v="44152000"/>
    <n v="75.685682940208437"/>
    <s v="WA.2378.EBA.994.002.GD.521115"/>
    <s v="Non COVID"/>
    <s v="BELANJA HONOR"/>
    <s v="Belanja Barang Operasional"/>
    <n v="0"/>
    <n v="9456000"/>
    <n v="0"/>
    <n v="0"/>
    <n v="0"/>
    <n v="4728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E"/>
    <s v="GE. Operasional Pusat Pendidikan KP (AA)"/>
    <n v="521111"/>
    <s v="521111. Belanja Keperluan Perkantoran"/>
    <n v="45000000"/>
    <n v="0"/>
    <n v="0"/>
    <n v="0"/>
    <n v="0"/>
    <n v="0"/>
    <n v="0"/>
    <n v="0"/>
    <n v="0"/>
    <n v="0"/>
    <n v="0"/>
    <n v="0"/>
    <n v="0"/>
    <s v="Pusat Pendidikan KP"/>
    <x v="2"/>
    <x v="4"/>
    <s v="52"/>
    <s v="SEKRETARIAT BADAN RISET DAN SUMBERDAYA MANUSIA KELAUTAN DAN PERIKANAN"/>
    <n v="0"/>
    <n v="0"/>
    <n v="45000000"/>
    <n v="100"/>
    <s v="WA.2378.EBA.994.002.GD.521111"/>
    <s v="Non COVID"/>
    <s v="BELANJA PERKANTORAN"/>
    <s v="Belanja Barang Operasional"/>
    <n v="0"/>
    <n v="0"/>
    <n v="0"/>
    <n v="0"/>
    <n v="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E"/>
    <s v="GE. Operasional Pusat Pendidikan KP (AA)"/>
    <n v="521811"/>
    <s v="521811. Belanja Barang Persediaan Barang Konsumsi"/>
    <n v="26000000"/>
    <n v="0"/>
    <n v="0"/>
    <n v="0"/>
    <n v="0"/>
    <n v="0"/>
    <n v="0"/>
    <n v="0"/>
    <n v="0"/>
    <n v="0"/>
    <n v="0"/>
    <n v="0"/>
    <n v="0"/>
    <s v="Pusat Pendidikan KP"/>
    <x v="2"/>
    <x v="4"/>
    <s v="52"/>
    <s v="SEKRETARIAT BADAN RISET DAN SUMBERDAYA MANUSIA KELAUTAN DAN PERIKANAN"/>
    <n v="0"/>
    <n v="0"/>
    <n v="26000000"/>
    <n v="100"/>
    <s v="WA.2378.EBA.994.002.GD.521811"/>
    <s v="Non COVID"/>
    <s v="BELANJA PERSEDIAAN"/>
    <s v="Belanja Barang Operasional"/>
    <n v="0"/>
    <n v="0"/>
    <n v="0"/>
    <n v="0"/>
    <n v="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E"/>
    <s v="GE. Operasional Pusat Pendidikan KP (AA)"/>
    <n v="523121"/>
    <s v="523121. Belanja Pemeliharaan Peralatan dan Mesin"/>
    <n v="29000000"/>
    <n v="0"/>
    <n v="0"/>
    <n v="0"/>
    <n v="0"/>
    <n v="0"/>
    <n v="0"/>
    <n v="0"/>
    <n v="0"/>
    <n v="0"/>
    <n v="0"/>
    <n v="0"/>
    <n v="0"/>
    <s v="Pusat Pendidikan KP"/>
    <x v="2"/>
    <x v="4"/>
    <s v="52"/>
    <s v="SEKRETARIAT BADAN RISET DAN SUMBERDAYA MANUSIA KELAUTAN DAN PERIKANAN"/>
    <n v="0"/>
    <n v="0"/>
    <n v="29000000"/>
    <n v="100"/>
    <s v="WA.2378.EBA.994.002.GD.523121"/>
    <s v="Non COVID"/>
    <s v="BELANJA PEMELIHARAAN"/>
    <s v="Belanja Barang Operasional"/>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934000"/>
    <n v="0"/>
    <n v="0"/>
    <n v="0"/>
    <n v="0"/>
    <n v="540000000"/>
    <n v="0"/>
    <n v="0"/>
    <n v="0"/>
    <n v="0"/>
    <n v="0"/>
    <n v="0"/>
    <n v="0"/>
    <s v="Pusat Pendidikan KP"/>
    <x v="2"/>
    <x v="4"/>
    <n v="53"/>
    <s v="SEKRETARIAT BADAN RISET DAN SUMBERDAYA MANUSIA KELAUTAN DAN PERIKANAN"/>
    <n v="540000000"/>
    <n v="99.827335682356804"/>
    <n v="934000"/>
    <n v="0.17266431764318754"/>
    <s v="WA.2378.EBB.951.301.A.532111"/>
    <s v="Non COVID"/>
    <s v="BELANJA MODAL"/>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22650000"/>
    <n v="0"/>
    <n v="0"/>
    <n v="1498000"/>
    <n v="0"/>
    <n v="1493000"/>
    <n v="0"/>
    <n v="0"/>
    <n v="0"/>
    <n v="0"/>
    <n v="0"/>
    <n v="0"/>
    <n v="0"/>
    <s v="Pusat Pendidikan KP"/>
    <x v="3"/>
    <x v="5"/>
    <s v="52"/>
    <s v="SEKRETARIAT BADAN RISET DAN SUMBERDAYA MANUSIA KELAUTAN DAN PERIKANAN"/>
    <n v="2991000"/>
    <n v="13.205298013245034"/>
    <n v="19659000"/>
    <n v="86.794701986754959"/>
    <s v="WA.2378.EBD.952.301.A.521211"/>
    <s v="Non COVID"/>
    <s v="BELANJA BAHAN"/>
    <s v="Belanja Barang Non Operasional"/>
    <n v="0"/>
    <n v="1498000"/>
    <n v="0"/>
    <n v="0"/>
    <n v="0"/>
    <n v="0"/>
    <n v="1493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5000000"/>
    <n v="0"/>
    <n v="0"/>
    <n v="2459000"/>
    <n v="0"/>
    <n v="2390000"/>
    <n v="0"/>
    <n v="0"/>
    <n v="0"/>
    <n v="0"/>
    <n v="0"/>
    <n v="0"/>
    <n v="0"/>
    <s v="Pusat Pendidikan KP"/>
    <x v="3"/>
    <x v="5"/>
    <s v="52"/>
    <s v="SEKRETARIAT BADAN RISET DAN SUMBERDAYA MANUSIA KELAUTAN DAN PERIKANAN"/>
    <n v="4849000"/>
    <n v="32.326666666666668"/>
    <n v="10151000"/>
    <n v="67.673333333333332"/>
    <s v="WA.2378.EBD.952.301.A.521811"/>
    <s v="Non COVID"/>
    <s v="BELANJA PERSEDIAAN"/>
    <s v="Belanja Barang Non Operasional"/>
    <n v="0"/>
    <n v="2459000"/>
    <n v="0"/>
    <n v="0"/>
    <n v="0"/>
    <n v="0"/>
    <n v="2390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62400000"/>
    <n v="0"/>
    <n v="1010000"/>
    <n v="2805000"/>
    <n v="0"/>
    <n v="1348500"/>
    <n v="0"/>
    <n v="0"/>
    <n v="0"/>
    <n v="0"/>
    <n v="0"/>
    <n v="0"/>
    <n v="0"/>
    <s v="Pusat Pendidikan KP"/>
    <x v="3"/>
    <x v="5"/>
    <s v="52"/>
    <s v="SEKRETARIAT BADAN RISET DAN SUMBERDAYA MANUSIA KELAUTAN DAN PERIKANAN"/>
    <n v="5163500"/>
    <n v="8.2748397435897427"/>
    <n v="57236500"/>
    <n v="91.725160256410248"/>
    <s v="WA.2378.EBD.952.301.A.524111"/>
    <s v="Non COVID"/>
    <s v="PERJALANAN DINAS"/>
    <s v="Belanja Barang Non Operasional"/>
    <n v="0"/>
    <n v="0"/>
    <n v="280500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49300000"/>
    <n v="0"/>
    <n v="0"/>
    <n v="2964000"/>
    <n v="0"/>
    <n v="2975000"/>
    <n v="0"/>
    <n v="0"/>
    <n v="0"/>
    <n v="0"/>
    <n v="0"/>
    <n v="0"/>
    <n v="0"/>
    <s v="Pusat Pendidikan KP"/>
    <x v="3"/>
    <x v="5"/>
    <s v="52"/>
    <s v="SEKRETARIAT BADAN RISET DAN SUMBERDAYA MANUSIA KELAUTAN DAN PERIKANAN"/>
    <n v="5939000"/>
    <n v="12.046653144016227"/>
    <n v="43361000"/>
    <n v="87.953346855983767"/>
    <s v="WA.2378.EBD.952.301.B.521211"/>
    <s v="Non COVID"/>
    <s v="BELANJA BAHAN"/>
    <s v="Belanja Barang Non Operasional"/>
    <n v="0"/>
    <n v="2964000"/>
    <n v="0"/>
    <n v="0"/>
    <n v="0"/>
    <n v="0"/>
    <n v="2975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0"/>
    <n v="0"/>
    <n v="0"/>
    <n v="0"/>
    <n v="0"/>
    <n v="0"/>
    <n v="0"/>
    <n v="0"/>
    <n v="0"/>
    <n v="0"/>
    <n v="0"/>
    <n v="0"/>
    <s v="Pusat Pendidikan KP"/>
    <x v="3"/>
    <x v="5"/>
    <s v="52"/>
    <s v="SEKRETARIAT BADAN RISET DAN SUMBERDAYA MANUSIA KELAUTAN DAN PERIKANAN"/>
    <n v="0"/>
    <n v="0"/>
    <n v="1000000"/>
    <n v="100"/>
    <s v="WA.2378.EBD.952.301.B.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5000000"/>
    <n v="0"/>
    <n v="0"/>
    <n v="4910000"/>
    <n v="0"/>
    <n v="4873000"/>
    <n v="0"/>
    <n v="0"/>
    <n v="0"/>
    <n v="0"/>
    <n v="0"/>
    <n v="0"/>
    <n v="0"/>
    <s v="Pusat Pendidikan KP"/>
    <x v="3"/>
    <x v="5"/>
    <s v="52"/>
    <s v="SEKRETARIAT BADAN RISET DAN SUMBERDAYA MANUSIA KELAUTAN DAN PERIKANAN"/>
    <n v="9783000"/>
    <n v="39.131999999999998"/>
    <n v="15217000"/>
    <n v="60.868000000000002"/>
    <s v="WA.2378.EBD.952.301.B.521811"/>
    <s v="Non COVID"/>
    <s v="BELANJA PERSEDIAAN"/>
    <s v="Belanja Barang Non Operasional"/>
    <n v="0"/>
    <n v="4910000"/>
    <n v="0"/>
    <n v="0"/>
    <n v="0"/>
    <n v="0"/>
    <n v="4873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12000000"/>
    <n v="0"/>
    <n v="0"/>
    <n v="0"/>
    <n v="0"/>
    <n v="0"/>
    <n v="0"/>
    <n v="0"/>
    <n v="0"/>
    <n v="0"/>
    <n v="0"/>
    <n v="0"/>
    <n v="0"/>
    <s v="Pusat Pendidikan KP"/>
    <x v="3"/>
    <x v="5"/>
    <s v="52"/>
    <s v="SEKRETARIAT BADAN RISET DAN SUMBERDAYA MANUSIA KELAUTAN DAN PERIKANAN"/>
    <n v="0"/>
    <n v="0"/>
    <n v="12000000"/>
    <n v="100"/>
    <s v="WA.2378.EBD.952.301.B.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258688000"/>
    <n v="0"/>
    <n v="0"/>
    <n v="0"/>
    <n v="205000"/>
    <n v="4224000"/>
    <n v="0"/>
    <n v="0"/>
    <n v="0"/>
    <n v="0"/>
    <n v="0"/>
    <n v="0"/>
    <n v="0"/>
    <s v="Pusat Pendidikan KP"/>
    <x v="3"/>
    <x v="5"/>
    <s v="52"/>
    <s v="SEKRETARIAT BADAN RISET DAN SUMBERDAYA MANUSIA KELAUTAN DAN PERIKANAN"/>
    <n v="4429000"/>
    <n v="1.7121010638297871"/>
    <n v="254259000"/>
    <n v="98.287898936170208"/>
    <s v="WA.2378.EBD.952.301.B.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39500000"/>
    <n v="0"/>
    <n v="0"/>
    <n v="2955000"/>
    <n v="0"/>
    <n v="2933500"/>
    <n v="10500000"/>
    <n v="0"/>
    <n v="0"/>
    <n v="0"/>
    <n v="0"/>
    <n v="0"/>
    <n v="0"/>
    <s v="Pusat Pendidikan KP"/>
    <x v="3"/>
    <x v="5"/>
    <s v="52"/>
    <s v="SEKRETARIAT BADAN RISET DAN SUMBERDAYA MANUSIA KELAUTAN DAN PERIKANAN"/>
    <n v="16388500"/>
    <n v="41.489873417721519"/>
    <n v="23111500"/>
    <n v="58.510126582278474"/>
    <s v="WA.2378.EBD.952.301.C.521211"/>
    <s v="Non COVID"/>
    <s v="BELANJA BAHAN"/>
    <s v="Belanja Barang Non Operasional"/>
    <n v="0"/>
    <n v="2955000"/>
    <n v="0"/>
    <n v="0"/>
    <n v="0"/>
    <n v="0"/>
    <n v="29335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25000000"/>
    <n v="0"/>
    <n v="0"/>
    <n v="4947750"/>
    <n v="0"/>
    <n v="4878000"/>
    <n v="0"/>
    <n v="0"/>
    <n v="0"/>
    <n v="0"/>
    <n v="0"/>
    <n v="0"/>
    <n v="0"/>
    <s v="Pusat Pendidikan KP"/>
    <x v="3"/>
    <x v="5"/>
    <s v="52"/>
    <s v="SEKRETARIAT BADAN RISET DAN SUMBERDAYA MANUSIA KELAUTAN DAN PERIKANAN"/>
    <n v="9825750"/>
    <n v="39.302999999999997"/>
    <n v="15174250"/>
    <n v="60.697000000000003"/>
    <s v="WA.2378.EBD.952.301.C.521811"/>
    <s v="Non COVID"/>
    <s v="BELANJA PERSEDIAAN"/>
    <s v="Belanja Barang Non Operasional"/>
    <n v="0"/>
    <n v="4947750"/>
    <n v="0"/>
    <n v="0"/>
    <n v="0"/>
    <n v="0"/>
    <n v="4878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10000000"/>
    <n v="0"/>
    <n v="0"/>
    <n v="0"/>
    <n v="0"/>
    <n v="0"/>
    <n v="0"/>
    <n v="0"/>
    <n v="0"/>
    <n v="0"/>
    <n v="0"/>
    <n v="0"/>
    <n v="0"/>
    <s v="Pusat Pendidikan KP"/>
    <x v="3"/>
    <x v="5"/>
    <s v="52"/>
    <s v="SEKRETARIAT BADAN RISET DAN SUMBERDAYA MANUSIA KELAUTAN DAN PERIKANAN"/>
    <n v="0"/>
    <n v="0"/>
    <n v="10000000"/>
    <n v="100"/>
    <s v="WA.2378.EBD.952.301.C.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93600000"/>
    <n v="0"/>
    <n v="9587800"/>
    <n v="22390000"/>
    <n v="6330000"/>
    <n v="3600000"/>
    <n v="0"/>
    <n v="0"/>
    <n v="0"/>
    <n v="0"/>
    <n v="0"/>
    <n v="0"/>
    <n v="0"/>
    <s v="Pusat Pendidikan KP"/>
    <x v="3"/>
    <x v="5"/>
    <s v="52"/>
    <s v="SEKRETARIAT BADAN RISET DAN SUMBERDAYA MANUSIA KELAUTAN DAN PERIKANAN"/>
    <n v="41907800"/>
    <n v="44.7732905982906"/>
    <n v="51692200"/>
    <n v="55.226709401709407"/>
    <s v="WA.2378.EBD.952.301.C.524111"/>
    <s v="Non COVID"/>
    <s v="PERJALANAN DINAS"/>
    <s v="Belanja Barang Non Operasional"/>
    <n v="0"/>
    <n v="17350000"/>
    <n v="504000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46000000"/>
    <n v="0"/>
    <n v="0"/>
    <n v="0"/>
    <n v="0"/>
    <n v="6278500"/>
    <n v="0"/>
    <n v="0"/>
    <n v="0"/>
    <n v="0"/>
    <n v="0"/>
    <n v="0"/>
    <n v="0"/>
    <s v="Pusat Pendidikan KP"/>
    <x v="3"/>
    <x v="6"/>
    <s v="52"/>
    <s v="SEKRETARIAT BADAN RISET DAN SUMBERDAYA MANUSIA KELAUTAN DAN PERIKANAN"/>
    <n v="6278500"/>
    <n v="13.648913043478261"/>
    <n v="39721500"/>
    <n v="86.35108695652174"/>
    <s v="WA.2378.EBD.953.301.A.521211"/>
    <s v="Non COVID"/>
    <s v="BELANJA BAHAN"/>
    <s v="Belanja Barang Non Operasional"/>
    <n v="0"/>
    <n v="0"/>
    <n v="0"/>
    <n v="0"/>
    <n v="0"/>
    <n v="0"/>
    <n v="627850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247200000"/>
    <n v="0"/>
    <n v="0"/>
    <n v="0"/>
    <n v="0"/>
    <n v="0"/>
    <n v="0"/>
    <n v="0"/>
    <n v="0"/>
    <n v="0"/>
    <n v="0"/>
    <n v="0"/>
    <n v="0"/>
    <s v="Pusat Pendidikan KP"/>
    <x v="3"/>
    <x v="6"/>
    <s v="52"/>
    <s v="SEKRETARIAT BADAN RISET DAN SUMBERDAYA MANUSIA KELAUTAN DAN PERIKANAN"/>
    <n v="0"/>
    <n v="0"/>
    <n v="247200000"/>
    <n v="100"/>
    <s v="WA.2378.EBD.953.301.A.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41000000"/>
    <n v="0"/>
    <n v="0"/>
    <n v="3379000"/>
    <n v="0"/>
    <n v="3500000"/>
    <n v="2640000"/>
    <n v="0"/>
    <n v="0"/>
    <n v="0"/>
    <n v="0"/>
    <n v="0"/>
    <n v="0"/>
    <s v="Pusat Pendidikan KP"/>
    <x v="3"/>
    <x v="6"/>
    <s v="52"/>
    <s v="SEKRETARIAT BADAN RISET DAN SUMBERDAYA MANUSIA KELAUTAN DAN PERIKANAN"/>
    <n v="9519000"/>
    <n v="23.217073170731709"/>
    <n v="31481000"/>
    <n v="76.782926829268291"/>
    <s v="WA.2378.EBD.953.301.B.521211"/>
    <s v="Non COVID"/>
    <s v="BELANJA BAHAN"/>
    <s v="Belanja Barang Non Operasional"/>
    <n v="0"/>
    <n v="2499000"/>
    <n v="880000"/>
    <n v="0"/>
    <n v="0"/>
    <n v="0"/>
    <n v="3500000"/>
    <n v="2640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32000000"/>
    <n v="0"/>
    <n v="0"/>
    <n v="0"/>
    <n v="0"/>
    <n v="603014"/>
    <n v="0"/>
    <n v="0"/>
    <n v="0"/>
    <n v="0"/>
    <n v="0"/>
    <n v="0"/>
    <n v="0"/>
    <s v="Pusat Pendidikan KP"/>
    <x v="3"/>
    <x v="6"/>
    <s v="52"/>
    <s v="SEKRETARIAT BADAN RISET DAN SUMBERDAYA MANUSIA KELAUTAN DAN PERIKANAN"/>
    <n v="603014"/>
    <n v="1.8844187500000003"/>
    <n v="31396986"/>
    <n v="98.115581249999991"/>
    <s v="WA.2378.EBD.953.301.B.521219"/>
    <s v="Non COVID"/>
    <s v="NON OPS LAINNYA"/>
    <s v="Belanja Barang Non Operasional"/>
    <n v="0"/>
    <n v="0"/>
    <n v="0"/>
    <n v="0"/>
    <n v="0"/>
    <n v="300383"/>
    <n v="302631"/>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10000000"/>
    <n v="0"/>
    <n v="0"/>
    <n v="0"/>
    <n v="0"/>
    <n v="0"/>
    <n v="0"/>
    <n v="0"/>
    <n v="0"/>
    <n v="0"/>
    <n v="0"/>
    <n v="0"/>
    <n v="0"/>
    <s v="Pusat Pendidikan KP"/>
    <x v="3"/>
    <x v="6"/>
    <s v="52"/>
    <s v="SEKRETARIAT BADAN RISET DAN SUMBERDAYA MANUSIA KELAUTAN DAN PERIKANAN"/>
    <n v="0"/>
    <n v="0"/>
    <n v="10000000"/>
    <n v="100"/>
    <s v="WA.2378.EBD.953.301.B.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120000000"/>
    <n v="0"/>
    <n v="0"/>
    <n v="0"/>
    <n v="524500"/>
    <n v="21422224"/>
    <n v="0"/>
    <n v="0"/>
    <n v="0"/>
    <n v="0"/>
    <n v="0"/>
    <n v="0"/>
    <n v="0"/>
    <s v="Pusat Pendidikan KP"/>
    <x v="3"/>
    <x v="6"/>
    <s v="52"/>
    <s v="SEKRETARIAT BADAN RISET DAN SUMBERDAYA MANUSIA KELAUTAN DAN PERIKANAN"/>
    <n v="21946724"/>
    <n v="18.288936666666665"/>
    <n v="98053276"/>
    <n v="81.711063333333328"/>
    <s v="WA.2378.EBD.953.301.B.524111"/>
    <s v="Non COVID"/>
    <s v="PERJALANAN DINAS"/>
    <s v="Belanja Barang Non Operasional"/>
    <n v="0"/>
    <n v="0"/>
    <n v="0"/>
    <n v="0"/>
    <n v="0"/>
    <n v="0"/>
    <n v="21422224"/>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9000000"/>
    <n v="0"/>
    <n v="0"/>
    <n v="0"/>
    <n v="0"/>
    <n v="0"/>
    <n v="4074431"/>
    <n v="0"/>
    <n v="0"/>
    <n v="0"/>
    <n v="0"/>
    <n v="0"/>
    <n v="0"/>
    <s v="Pusat Pendidikan KP"/>
    <x v="3"/>
    <x v="6"/>
    <s v="52"/>
    <s v="SEKRETARIAT BADAN RISET DAN SUMBERDAYA MANUSIA KELAUTAN DAN PERIKANAN"/>
    <n v="4074431"/>
    <n v="45.271455555555555"/>
    <n v="4925569"/>
    <n v="54.728544444444452"/>
    <s v="WA.2378.EBD.953.301.B.524113"/>
    <s v="Non COVID"/>
    <s v="TRANSPORT LOKAL"/>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35500000"/>
    <n v="0"/>
    <n v="0"/>
    <n v="3358000"/>
    <n v="0"/>
    <n v="4986000"/>
    <n v="0"/>
    <n v="0"/>
    <n v="0"/>
    <n v="0"/>
    <n v="0"/>
    <n v="0"/>
    <n v="0"/>
    <s v="Pusat Pendidikan KP"/>
    <x v="3"/>
    <x v="6"/>
    <s v="52"/>
    <s v="SEKRETARIAT BADAN RISET DAN SUMBERDAYA MANUSIA KELAUTAN DAN PERIKANAN"/>
    <n v="8344000"/>
    <n v="23.504225352112677"/>
    <n v="27156000"/>
    <n v="76.49577464788733"/>
    <s v="WA.2378.EBD.953.302.B.521211"/>
    <s v="Non COVID"/>
    <s v="BELANJA BAHAN"/>
    <s v="Belanja Barang Non Operasional"/>
    <n v="0"/>
    <n v="2498000"/>
    <n v="860000"/>
    <n v="0"/>
    <n v="0"/>
    <n v="0"/>
    <n v="498600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0"/>
    <n v="0"/>
    <n v="0"/>
    <n v="0"/>
    <n v="0"/>
    <n v="0"/>
    <n v="0"/>
    <n v="0"/>
    <n v="0"/>
    <n v="0"/>
    <n v="0"/>
    <n v="0"/>
    <s v="Pusat Pendidikan KP"/>
    <x v="3"/>
    <x v="6"/>
    <s v="52"/>
    <s v="SEKRETARIAT BADAN RISET DAN SUMBERDAYA MANUSIA KELAUTAN DAN PERIKANAN"/>
    <n v="0"/>
    <n v="0"/>
    <n v="2000000"/>
    <n v="100"/>
    <s v="WA.2378.EBD.953.302.B.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89032000"/>
    <n v="0"/>
    <n v="0"/>
    <n v="2490000"/>
    <n v="15530000"/>
    <n v="0"/>
    <n v="2118000"/>
    <n v="0"/>
    <n v="0"/>
    <n v="0"/>
    <n v="0"/>
    <n v="0"/>
    <n v="0"/>
    <s v="Pusat Pendidikan KP"/>
    <x v="3"/>
    <x v="6"/>
    <s v="52"/>
    <s v="SEKRETARIAT BADAN RISET DAN SUMBERDAYA MANUSIA KELAUTAN DAN PERIKANAN"/>
    <n v="20138000"/>
    <n v="22.618833677778778"/>
    <n v="68894000"/>
    <n v="77.381166322221233"/>
    <s v="WA.2378.EBD.953.302.B.524111"/>
    <s v="Non COVID"/>
    <s v="PERJALANAN DINAS"/>
    <s v="Belanja Barang Non Operasional"/>
    <n v="0"/>
    <n v="0"/>
    <n v="24900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23900000"/>
    <n v="0"/>
    <n v="0"/>
    <n v="5725000"/>
    <n v="2446000"/>
    <n v="5660000"/>
    <n v="0"/>
    <n v="0"/>
    <n v="0"/>
    <n v="0"/>
    <n v="0"/>
    <n v="0"/>
    <n v="0"/>
    <s v="Pusat Pendidikan KP"/>
    <x v="2"/>
    <x v="7"/>
    <s v="52"/>
    <s v="SEKRETARIAT BADAN RISET DAN SUMBERDAYA MANUSIA KELAUTAN DAN PERIKANAN"/>
    <n v="13831000"/>
    <n v="57.870292887029287"/>
    <n v="10069000"/>
    <n v="42.129707112970713"/>
    <s v="WA.2378.EBD.955.301.A.521211"/>
    <s v="Non COVID"/>
    <s v="BELANJA BAHAN"/>
    <s v="Belanja Barang Non Operasional"/>
    <n v="0"/>
    <n v="3275000"/>
    <n v="2450000"/>
    <n v="2446000"/>
    <n v="1810000"/>
    <n v="0"/>
    <n v="385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15000000"/>
    <n v="0"/>
    <n v="0"/>
    <n v="0"/>
    <n v="0"/>
    <n v="8701552"/>
    <n v="0"/>
    <n v="0"/>
    <n v="0"/>
    <n v="0"/>
    <n v="0"/>
    <n v="0"/>
    <n v="0"/>
    <s v="Pusat Pendidikan KP"/>
    <x v="2"/>
    <x v="7"/>
    <s v="52"/>
    <s v="SEKRETARIAT BADAN RISET DAN SUMBERDAYA MANUSIA KELAUTAN DAN PERIKANAN"/>
    <n v="8701552"/>
    <n v="58.010346666666671"/>
    <n v="6298448"/>
    <n v="41.989653333333329"/>
    <s v="WA.2378.EBD.955.301.A.524111"/>
    <s v="Non COVID"/>
    <s v="PERJALANAN DINAS"/>
    <s v="Belanja Barang Non Operasional"/>
    <n v="0"/>
    <n v="0"/>
    <n v="0"/>
    <n v="0"/>
    <n v="0"/>
    <n v="0"/>
    <n v="8701552"/>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11400000"/>
    <n v="0"/>
    <n v="0"/>
    <n v="2500000"/>
    <n v="0"/>
    <n v="2444000"/>
    <n v="0"/>
    <n v="0"/>
    <n v="0"/>
    <n v="0"/>
    <n v="0"/>
    <n v="0"/>
    <n v="0"/>
    <s v="Pusat Pendidikan KP"/>
    <x v="2"/>
    <x v="7"/>
    <s v="52"/>
    <s v="SEKRETARIAT BADAN RISET DAN SUMBERDAYA MANUSIA KELAUTAN DAN PERIKANAN"/>
    <n v="4944000"/>
    <n v="43.368421052631575"/>
    <n v="6456000"/>
    <n v="56.631578947368425"/>
    <s v="WA.2378.EBD.955.301.B.521211"/>
    <s v="Non COVID"/>
    <s v="BELANJA BAHAN"/>
    <s v="Belanja Barang Non Operasional"/>
    <n v="0"/>
    <n v="2500000"/>
    <n v="0"/>
    <n v="0"/>
    <n v="0"/>
    <n v="2444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18000000"/>
    <n v="0"/>
    <n v="0"/>
    <n v="2850000"/>
    <n v="0"/>
    <n v="0"/>
    <n v="0"/>
    <n v="0"/>
    <n v="0"/>
    <n v="0"/>
    <n v="0"/>
    <n v="0"/>
    <n v="0"/>
    <s v="Pusat Pendidikan KP"/>
    <x v="2"/>
    <x v="7"/>
    <s v="52"/>
    <s v="SEKRETARIAT BADAN RISET DAN SUMBERDAYA MANUSIA KELAUTAN DAN PERIKANAN"/>
    <n v="2850000"/>
    <n v="15.833333333333332"/>
    <n v="15150000"/>
    <n v="84.166666666666671"/>
    <s v="WA.2378.EBD.955.301.B.524111"/>
    <s v="Non COVID"/>
    <s v="PERJALANAN DINAS"/>
    <s v="Belanja Barang Non Operasional"/>
    <n v="0"/>
    <n v="285000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10000000"/>
    <n v="0"/>
    <n v="0"/>
    <n v="2469500"/>
    <n v="0"/>
    <n v="2499000"/>
    <n v="0"/>
    <n v="0"/>
    <n v="0"/>
    <n v="0"/>
    <n v="0"/>
    <n v="0"/>
    <n v="0"/>
    <s v="Pusat Pendidikan KP"/>
    <x v="2"/>
    <x v="7"/>
    <s v="52"/>
    <s v="SEKRETARIAT BADAN RISET DAN SUMBERDAYA MANUSIA KELAUTAN DAN PERIKANAN"/>
    <n v="4968500"/>
    <n v="49.685000000000002"/>
    <n v="5031500"/>
    <n v="50.314999999999998"/>
    <s v="WA.2378.EBD.955.301.C.521211"/>
    <s v="Non COVID"/>
    <s v="BELANJA BAHAN"/>
    <s v="Belanja Barang Non Operasional"/>
    <n v="0"/>
    <n v="0"/>
    <n v="2469500"/>
    <n v="0"/>
    <n v="0"/>
    <n v="2499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15000000"/>
    <n v="0"/>
    <n v="0"/>
    <n v="0"/>
    <n v="0"/>
    <n v="0"/>
    <n v="0"/>
    <n v="0"/>
    <n v="0"/>
    <n v="0"/>
    <n v="0"/>
    <n v="0"/>
    <n v="0"/>
    <s v="Pusat Pendidikan KP"/>
    <x v="2"/>
    <x v="7"/>
    <s v="52"/>
    <s v="SEKRETARIAT BADAN RISET DAN SUMBERDAYA MANUSIA KELAUTAN DAN PERIKANAN"/>
    <n v="0"/>
    <n v="0"/>
    <n v="15000000"/>
    <n v="100"/>
    <s v="WA.2378.EBD.955.301.C.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35340000"/>
    <n v="0"/>
    <n v="0"/>
    <n v="2500000"/>
    <n v="3400000"/>
    <n v="5085000"/>
    <n v="0"/>
    <n v="0"/>
    <n v="0"/>
    <n v="0"/>
    <n v="0"/>
    <n v="0"/>
    <n v="0"/>
    <s v="Pusat Pendidikan KP"/>
    <x v="2"/>
    <x v="7"/>
    <s v="52"/>
    <s v="SEKRETARIAT BADAN RISET DAN SUMBERDAYA MANUSIA KELAUTAN DAN PERIKANAN"/>
    <n v="10985000"/>
    <n v="31.083757781550652"/>
    <n v="24355000"/>
    <n v="68.916242218449355"/>
    <s v="WA.2378.EBD.955.301.D.521211"/>
    <s v="Non COVID"/>
    <s v="BELANJA BAHAN"/>
    <s v="Belanja Barang Non Operasional"/>
    <n v="0"/>
    <n v="2500000"/>
    <n v="0"/>
    <n v="3400000"/>
    <n v="2590000"/>
    <n v="2495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3600000"/>
    <n v="0"/>
    <n v="0"/>
    <n v="0"/>
    <n v="0"/>
    <n v="0"/>
    <n v="0"/>
    <n v="0"/>
    <n v="0"/>
    <n v="0"/>
    <n v="0"/>
    <n v="0"/>
    <n v="0"/>
    <s v="Pusat Pendidikan KP"/>
    <x v="2"/>
    <x v="7"/>
    <s v="52"/>
    <s v="SEKRETARIAT BADAN RISET DAN SUMBERDAYA MANUSIA KELAUTAN DAN PERIKANAN"/>
    <n v="0"/>
    <n v="0"/>
    <n v="3600000"/>
    <n v="100"/>
    <s v="WA.2378.EBD.955.301.D.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42000000"/>
    <n v="0"/>
    <n v="0"/>
    <n v="0"/>
    <n v="11593200"/>
    <n v="9041268"/>
    <n v="0"/>
    <n v="0"/>
    <n v="0"/>
    <n v="0"/>
    <n v="0"/>
    <n v="0"/>
    <n v="0"/>
    <s v="Pusat Pendidikan KP"/>
    <x v="2"/>
    <x v="7"/>
    <s v="52"/>
    <s v="SEKRETARIAT BADAN RISET DAN SUMBERDAYA MANUSIA KELAUTAN DAN PERIKANAN"/>
    <n v="20634468"/>
    <n v="49.129685714285714"/>
    <n v="21365532"/>
    <n v="50.870314285714294"/>
    <s v="WA.2378.EBD.955.301.D.524111"/>
    <s v="Non COVID"/>
    <s v="PERJALANAN DINAS"/>
    <s v="Belanja Barang Non Operasional"/>
    <n v="0"/>
    <n v="0"/>
    <n v="0"/>
    <n v="11593200"/>
    <n v="0"/>
    <n v="0"/>
    <n v="9041268"/>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15000000"/>
    <n v="0"/>
    <n v="0"/>
    <n v="2499500"/>
    <n v="0"/>
    <n v="2444500"/>
    <n v="0"/>
    <n v="0"/>
    <n v="0"/>
    <n v="0"/>
    <n v="0"/>
    <n v="0"/>
    <n v="0"/>
    <s v="Pusat Pendidikan KP"/>
    <x v="2"/>
    <x v="7"/>
    <s v="52"/>
    <s v="SEKRETARIAT BADAN RISET DAN SUMBERDAYA MANUSIA KELAUTAN DAN PERIKANAN"/>
    <n v="4944000"/>
    <n v="32.96"/>
    <n v="10056000"/>
    <n v="67.040000000000006"/>
    <s v="WA.2378.EBD.955.301.E.521211"/>
    <s v="Non COVID"/>
    <s v="BELANJA BAHAN"/>
    <s v="Belanja Barang Non Operasional"/>
    <n v="0"/>
    <n v="2499500"/>
    <n v="0"/>
    <n v="0"/>
    <n v="0"/>
    <n v="24445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12000000"/>
    <n v="0"/>
    <n v="0"/>
    <n v="0"/>
    <n v="0"/>
    <n v="0"/>
    <n v="0"/>
    <n v="0"/>
    <n v="0"/>
    <n v="0"/>
    <n v="0"/>
    <n v="0"/>
    <n v="0"/>
    <s v="Pusat Pendidikan KP"/>
    <x v="2"/>
    <x v="7"/>
    <s v="52"/>
    <s v="SEKRETARIAT BADAN RISET DAN SUMBERDAYA MANUSIA KELAUTAN DAN PERIKANAN"/>
    <n v="0"/>
    <n v="0"/>
    <n v="12000000"/>
    <n v="100"/>
    <s v="WA.2378.EBD.955.301.E.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0"/>
    <n v="0"/>
    <n v="0"/>
    <n v="0"/>
    <n v="0"/>
    <n v="0"/>
    <n v="0"/>
    <n v="0"/>
    <n v="0"/>
    <n v="0"/>
    <n v="0"/>
    <n v="0"/>
    <s v="Pusat Pendidikan KP"/>
    <x v="2"/>
    <x v="7"/>
    <s v="52"/>
    <s v="SEKRETARIAT BADAN RISET DAN SUMBERDAYA MANUSIA KELAUTAN DAN PERIKANAN"/>
    <n v="0"/>
    <n v="0"/>
    <n v="4800000"/>
    <n v="100"/>
    <s v="WA.2378.EBD.955.301.F.521211"/>
    <s v="Non COVID"/>
    <s v="BELANJA BAHAN"/>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0"/>
    <n v="0"/>
    <n v="4980000"/>
    <n v="2490000"/>
    <n v="2490000"/>
    <n v="0"/>
    <n v="0"/>
    <n v="0"/>
    <n v="0"/>
    <n v="0"/>
    <n v="0"/>
    <n v="0"/>
    <s v="Pusat Pendidikan KP"/>
    <x v="2"/>
    <x v="7"/>
    <s v="52"/>
    <s v="SEKRETARIAT BADAN RISET DAN SUMBERDAYA MANUSIA KELAUTAN DAN PERIKANAN"/>
    <n v="9960000"/>
    <n v="36.218181818181819"/>
    <n v="17540000"/>
    <n v="63.781818181818181"/>
    <s v="WA.2378.EBD.955.301.F.521811"/>
    <s v="Non COVID"/>
    <s v="BELANJA PERSEDIAAN"/>
    <s v="Belanja Barang Non Operasional"/>
    <n v="0"/>
    <n v="2490000"/>
    <n v="2490000"/>
    <n v="2490000"/>
    <n v="0"/>
    <n v="0"/>
    <n v="249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56380000"/>
    <n v="0"/>
    <n v="0"/>
    <n v="45420000"/>
    <n v="0"/>
    <n v="7280000"/>
    <n v="2030000"/>
    <n v="0"/>
    <n v="0"/>
    <n v="0"/>
    <n v="0"/>
    <n v="0"/>
    <n v="0"/>
    <s v="Pusat Pendidikan KP"/>
    <x v="2"/>
    <x v="7"/>
    <s v="52"/>
    <s v="SEKRETARIAT BADAN RISET DAN SUMBERDAYA MANUSIA KELAUTAN DAN PERIKANAN"/>
    <n v="54730000"/>
    <n v="97.073430294430651"/>
    <n v="1650000"/>
    <n v="2.9265697055693507"/>
    <s v="WA.2378.EBD.955.301.F.524111"/>
    <s v="Non COVID"/>
    <s v="PERJALANAN DINAS"/>
    <s v="Belanja Barang Non Operasional"/>
    <n v="0"/>
    <n v="34560000"/>
    <n v="10860000"/>
    <n v="0"/>
    <n v="5600000"/>
    <n v="0"/>
    <n v="1680000"/>
    <n v="203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0"/>
    <n v="0"/>
    <n v="0"/>
    <n v="0"/>
    <n v="4855000"/>
    <n v="0"/>
    <n v="0"/>
    <n v="0"/>
    <n v="0"/>
    <n v="0"/>
    <n v="0"/>
    <n v="0"/>
    <s v="Pusat Pendidikan KP"/>
    <x v="3"/>
    <x v="5"/>
    <s v="52"/>
    <s v="SEKRETARIAT BADAN RISET DAN SUMBERDAYA MANUSIA KELAUTAN DAN PERIKANAN"/>
    <n v="4855000"/>
    <n v="19.420000000000002"/>
    <n v="20145000"/>
    <n v="80.58"/>
    <s v="WA.4345.EBC.996.301.A.521811"/>
    <s v="Non COVID"/>
    <s v="BELANJA PERSEDIAAN"/>
    <s v="Belanja Barang Non Operasional"/>
    <n v="0"/>
    <n v="0"/>
    <n v="0"/>
    <n v="0"/>
    <n v="0"/>
    <n v="0"/>
    <n v="485500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0"/>
    <n v="0"/>
    <n v="0"/>
    <n v="5900000"/>
    <n v="0"/>
    <n v="0"/>
    <n v="0"/>
    <n v="0"/>
    <n v="0"/>
    <n v="0"/>
    <n v="0"/>
    <n v="0"/>
    <s v="Pusat Pendidikan KP"/>
    <x v="3"/>
    <x v="5"/>
    <s v="52"/>
    <s v="SEKRETARIAT BADAN RISET DAN SUMBERDAYA MANUSIA KELAUTAN DAN PERIKANAN"/>
    <n v="5900000"/>
    <n v="4.2753623188405792"/>
    <n v="132100000"/>
    <n v="95.724637681159422"/>
    <s v="WA.4345.EBC.996.301.A.524111"/>
    <s v="Non COVID"/>
    <s v="PERJALANAN DINAS"/>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0"/>
    <n v="0"/>
    <n v="0"/>
    <n v="0"/>
    <n v="1475000"/>
    <n v="1442500"/>
    <n v="0"/>
    <n v="0"/>
    <n v="0"/>
    <n v="0"/>
    <n v="0"/>
    <n v="0"/>
    <s v="Pusat Pendidikan KP"/>
    <x v="3"/>
    <x v="5"/>
    <s v="52"/>
    <s v="SEKRETARIAT BADAN RISET DAN SUMBERDAYA MANUSIA KELAUTAN DAN PERIKANAN"/>
    <n v="2917500"/>
    <n v="11.67"/>
    <n v="22082500"/>
    <n v="88.33"/>
    <s v="WA.4345.EBC.996.301.B.521211"/>
    <s v="Non COVID"/>
    <s v="BELANJA BAHAN"/>
    <s v="Belanja Barang Non Operasional"/>
    <n v="0"/>
    <n v="0"/>
    <n v="0"/>
    <n v="0"/>
    <n v="0"/>
    <n v="0"/>
    <n v="1475000"/>
    <n v="14425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6308695000"/>
    <n v="0"/>
    <n v="0"/>
    <n v="0"/>
    <n v="1549795356"/>
    <n v="0"/>
    <n v="1678775000"/>
    <n v="0"/>
    <n v="0"/>
    <n v="0"/>
    <n v="0"/>
    <n v="0"/>
    <n v="0"/>
    <s v="Pusat Pendidikan KP"/>
    <x v="3"/>
    <x v="5"/>
    <s v="52"/>
    <s v="SEKRETARIAT BADAN RISET DAN SUMBERDAYA MANUSIA KELAUTAN DAN PERIKANAN"/>
    <n v="3228570356"/>
    <n v="51.176516791507595"/>
    <n v="3080124644"/>
    <n v="48.823483208492405"/>
    <s v="WA.4345.EBC.996.301.B.521219"/>
    <s v="Non COVID"/>
    <s v="NON OPS LAINNY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0"/>
    <n v="0"/>
    <n v="0"/>
    <n v="0"/>
    <n v="3364000"/>
    <n v="1447000"/>
    <n v="0"/>
    <n v="0"/>
    <n v="0"/>
    <n v="0"/>
    <n v="0"/>
    <n v="0"/>
    <s v="Pusat Pendidikan KP"/>
    <x v="3"/>
    <x v="5"/>
    <s v="52"/>
    <s v="SEKRETARIAT BADAN RISET DAN SUMBERDAYA MANUSIA KELAUTAN DAN PERIKANAN"/>
    <n v="4811000"/>
    <n v="16.036666666666665"/>
    <n v="25189000"/>
    <n v="83.963333333333338"/>
    <s v="WA.4345.EBC.996.301.B.521811"/>
    <s v="Non COVID"/>
    <s v="BELANJA PERSEDIAAN"/>
    <s v="Belanja Barang Non Operasional"/>
    <n v="0"/>
    <n v="0"/>
    <n v="0"/>
    <n v="0"/>
    <n v="0"/>
    <n v="0"/>
    <n v="3364000"/>
    <n v="14470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186000000"/>
    <n v="0"/>
    <n v="0"/>
    <n v="0"/>
    <n v="0"/>
    <n v="20392633"/>
    <n v="22330573"/>
    <n v="0"/>
    <n v="0"/>
    <n v="0"/>
    <n v="0"/>
    <n v="0"/>
    <n v="0"/>
    <s v="Pusat Pendidikan KP"/>
    <x v="3"/>
    <x v="5"/>
    <s v="52"/>
    <s v="SEKRETARIAT BADAN RISET DAN SUMBERDAYA MANUSIA KELAUTAN DAN PERIKANAN"/>
    <n v="42723206"/>
    <n v="22.969465591397849"/>
    <n v="143276794"/>
    <n v="77.030534408602151"/>
    <s v="WA.4345.EBC.996.301.B.524111"/>
    <s v="Non COVID"/>
    <s v="PERJALANAN DINAS"/>
    <s v="Belanja Barang Non Operasional"/>
    <n v="0"/>
    <n v="0"/>
    <n v="0"/>
    <n v="0"/>
    <n v="0"/>
    <n v="0"/>
    <n v="20392633"/>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30000000"/>
    <n v="0"/>
    <n v="0"/>
    <n v="0"/>
    <n v="0"/>
    <n v="0"/>
    <n v="0"/>
    <n v="0"/>
    <n v="0"/>
    <n v="0"/>
    <n v="0"/>
    <n v="0"/>
    <n v="0"/>
    <s v="Pusat Pendidikan KP"/>
    <x v="3"/>
    <x v="5"/>
    <s v="52"/>
    <s v="SEKRETARIAT BADAN RISET DAN SUMBERDAYA MANUSIA KELAUTAN DAN PERIKANAN"/>
    <n v="0"/>
    <n v="0"/>
    <n v="30000000"/>
    <n v="100"/>
    <s v="WA.4345.EBC.996.301.D.522192"/>
    <s v="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0"/>
    <n v="0"/>
    <n v="0"/>
    <n v="0"/>
    <n v="2961000"/>
    <n v="0"/>
    <n v="0"/>
    <n v="0"/>
    <n v="0"/>
    <n v="0"/>
    <n v="0"/>
    <n v="0"/>
    <s v="Pusat Pendidikan KP"/>
    <x v="3"/>
    <x v="5"/>
    <s v="52"/>
    <s v="SEKRETARIAT BADAN RISET DAN SUMBERDAYA MANUSIA KELAUTAN DAN PERIKANAN"/>
    <n v="2961000"/>
    <n v="11.844000000000001"/>
    <n v="22039000"/>
    <n v="88.156000000000006"/>
    <s v="WA.4345.EBC.996.301.A.521211"/>
    <s v="Non COVID"/>
    <s v="BELANJA BAHAN"/>
    <s v="Belanja Barang Non Operasional"/>
    <n v="0"/>
    <n v="0"/>
    <n v="0"/>
    <n v="0"/>
    <n v="0"/>
    <n v="0"/>
    <n v="296100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0"/>
    <n v="0"/>
    <n v="0"/>
    <n v="0"/>
    <n v="4845000"/>
    <n v="0"/>
    <n v="0"/>
    <n v="0"/>
    <n v="0"/>
    <n v="0"/>
    <n v="0"/>
    <n v="0"/>
    <s v="Pusat Pendidikan KP"/>
    <x v="3"/>
    <x v="5"/>
    <s v="52"/>
    <s v="SEKRETARIAT BADAN RISET DAN SUMBERDAYA MANUSIA KELAUTAN DAN PERIKANAN"/>
    <n v="4845000"/>
    <n v="16.150000000000002"/>
    <n v="25155000"/>
    <n v="83.850000000000009"/>
    <s v="WA.4345.EBC.996.301.A.521811"/>
    <s v="Non COVID"/>
    <s v="BELANJA PERSEDIAAN"/>
    <s v="Belanja Barang Non Operasional"/>
    <n v="0"/>
    <n v="0"/>
    <n v="0"/>
    <n v="0"/>
    <n v="0"/>
    <n v="0"/>
    <n v="484500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0"/>
    <n v="0"/>
    <n v="0"/>
    <n v="0"/>
    <n v="0"/>
    <n v="0"/>
    <n v="0"/>
    <n v="0"/>
    <n v="0"/>
    <n v="0"/>
    <n v="0"/>
    <n v="0"/>
    <s v="Pusat Pendidikan KP"/>
    <x v="3"/>
    <x v="5"/>
    <s v="52"/>
    <s v="SEKRETARIAT BADAN RISET DAN SUMBERDAYA MANUSIA KELAUTAN DAN PERIKANAN"/>
    <n v="0"/>
    <n v="0"/>
    <n v="54200000"/>
    <n v="100"/>
    <s v="WA.4345.EBC.996.301.A.524111"/>
    <s v="Non COVID"/>
    <s v="PERJALANAN DINAS"/>
    <s v="Belanja Barang Non Operasional"/>
    <n v="0"/>
    <n v="0"/>
    <n v="0"/>
    <n v="0"/>
    <n v="0"/>
    <n v="0"/>
    <n v="0"/>
    <n v="0"/>
  </r>
  <r>
    <m/>
    <m/>
    <m/>
    <m/>
    <m/>
    <m/>
    <m/>
    <m/>
    <m/>
    <m/>
    <m/>
    <m/>
    <m/>
    <m/>
    <m/>
    <m/>
    <n v="16863164000"/>
    <n v="0"/>
    <n v="74237800"/>
    <n v="672277677"/>
    <n v="1892688850"/>
    <n v="1260934024"/>
    <n v="1899365591"/>
    <n v="0"/>
    <n v="0"/>
    <n v="0"/>
    <n v="0"/>
    <n v="0"/>
    <n v="0"/>
    <m/>
    <x v="4"/>
    <x v="8"/>
    <m/>
    <m/>
    <n v="5799503942"/>
    <n v="34.391552747752442"/>
    <n v="11063660058"/>
    <n v="65.608447252247558"/>
    <m/>
    <m/>
    <m/>
    <m/>
    <n v="99961115"/>
    <n v="410500187"/>
    <n v="98176375"/>
    <n v="95254996"/>
    <n v="95439616"/>
    <n v="93838577"/>
    <n v="312088731"/>
    <n v="75595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8">
  <r>
    <x v="0"/>
    <x v="0"/>
    <x v="0"/>
    <x v="0"/>
    <s v="521811"/>
    <s v="001356. ATK"/>
    <n v="18000000"/>
    <n v="1454000"/>
    <n v="1447000"/>
    <n v="2901000"/>
    <s v="0,161166667"/>
    <n v="15099000"/>
    <s v="001356"/>
    <s v="ATK"/>
    <s v="WA.4345.EBC.996.301.B"/>
    <x v="0"/>
    <m/>
  </r>
  <r>
    <x v="0"/>
    <x v="0"/>
    <x v="0"/>
    <x v="0"/>
    <s v="521219"/>
    <s v="001352. Dukungan Penyelenggaraan Tugas Belajar"/>
    <n v="3800445000"/>
    <n v="3643075356"/>
    <n v="154545850"/>
    <n v="3797621206"/>
    <s v="0,999256983"/>
    <n v="2823794"/>
    <s v="001352"/>
    <s v="Dukungan Penyelenggaraan Tugas Belajar"/>
    <s v="WA.4345.EBC.996.301.B"/>
    <x v="1"/>
    <m/>
  </r>
  <r>
    <x v="0"/>
    <x v="0"/>
    <x v="0"/>
    <x v="0"/>
    <s v="521211"/>
    <s v="001351. Penggadaan"/>
    <n v="18000000"/>
    <n v="1475000"/>
    <n v="1442500"/>
    <n v="2917500"/>
    <s v="0,162083333"/>
    <n v="15082500"/>
    <s v="001351"/>
    <s v="Penggadaan"/>
    <s v="WA.4345.EBC.996.301.B"/>
    <x v="2"/>
    <m/>
  </r>
  <r>
    <x v="0"/>
    <x v="0"/>
    <x v="0"/>
    <x v="1"/>
    <s v="524111"/>
    <s v="001349. Perjalanan Koordinasi dan pengadministrasian Tugas Belajar"/>
    <n v="78000000"/>
    <n v="5900000"/>
    <n v="14635000"/>
    <n v="20535000"/>
    <s v="0,263269231"/>
    <n v="57465000"/>
    <s v="001349"/>
    <s v="Perjalanan Koordinasi dan pengadministrasian Tugas Belajar"/>
    <s v="WA.4345.EBC.996.301.A"/>
    <x v="3"/>
    <m/>
  </r>
  <r>
    <x v="1"/>
    <x v="1"/>
    <x v="0"/>
    <x v="2"/>
    <s v="524111"/>
    <s v="001193. Perjalanan Penyelenggaraan Verifikasi"/>
    <n v="76033000"/>
    <n v="52700000"/>
    <n v="2030000"/>
    <n v="54730000"/>
    <s v="0,719819026"/>
    <n v="21303000"/>
    <s v="001193"/>
    <s v="Perjalanan Penyelenggaraan Verifikasi"/>
    <s v="WA.2378.EBD.955.301.F"/>
    <x v="4"/>
    <m/>
  </r>
  <r>
    <x v="1"/>
    <x v="2"/>
    <x v="0"/>
    <x v="0"/>
    <s v="524111"/>
    <s v="001328. Perjalanan Data dan Informasi Pendidikan KP"/>
    <n v="60415000"/>
    <n v="26021155"/>
    <n v="34393100"/>
    <n v="60414255"/>
    <s v="0,999987669"/>
    <n v="745"/>
    <s v="001328"/>
    <s v="Perjalanan Data dan Informasi Pendidikan KP"/>
    <s v="WA.2378.EBD.953.301.B"/>
    <x v="5"/>
    <m/>
  </r>
  <r>
    <x v="1"/>
    <x v="2"/>
    <x v="0"/>
    <x v="0"/>
    <s v="521211"/>
    <s v="001320. Konsumsi/bahan makanan"/>
    <n v="3525000"/>
    <n v="880000"/>
    <n v="2640000"/>
    <n v="3520000"/>
    <s v="0,99858156"/>
    <n v="5000"/>
    <s v="001320"/>
    <s v="Konsumsi/Bahan Makanan"/>
    <s v="WA.2378.EBD.953.301.B"/>
    <x v="6"/>
    <m/>
  </r>
  <r>
    <x v="1"/>
    <x v="3"/>
    <x v="0"/>
    <x v="3"/>
    <s v="524111"/>
    <s v="000705. Fasilitasi Pelaksanaan Kewirausahaan dan TEFA"/>
    <n v="60764000"/>
    <n v="58653672"/>
    <n v="2110000"/>
    <n v="60763672"/>
    <s v="0,999994602"/>
    <n v="328"/>
    <s v="000705"/>
    <s v="Fasilitasi Pelaksanaan Kewirausahaan dan TEFA"/>
    <s v="WA.2378.EBA.962.301.G"/>
    <x v="7"/>
    <m/>
  </r>
  <r>
    <x v="1"/>
    <x v="3"/>
    <x v="0"/>
    <x v="2"/>
    <s v="524111"/>
    <s v="000698. Perjalanan Peningkatan Kompetensi Pendidik dan Tenaga Kependidikan"/>
    <n v="9059000"/>
    <n v="1650000"/>
    <n v="3700700"/>
    <n v="5350700"/>
    <s v="0,590650182"/>
    <n v="3708300"/>
    <s v="000698"/>
    <s v="Perjalanan Peningkatan Kompetensi Pendidik dan Tenaga Kependidikan"/>
    <s v="WA.2378.EBA.962.301.F"/>
    <x v="8"/>
    <m/>
  </r>
  <r>
    <x v="2"/>
    <x v="4"/>
    <x v="1"/>
    <x v="4"/>
    <s v="524111"/>
    <s v="000202. Perjalanan Penjaminan Mutu Kelembagaan"/>
    <n v="138160000"/>
    <n v="82621650"/>
    <n v="48815040"/>
    <n v="131436690"/>
    <s v="0,951336783"/>
    <n v="6723310"/>
    <s v="000202"/>
    <s v="Perjalanan Penjaminan Mutu Kelembagaan"/>
    <s v="DL.2376.AFA.001.053.B"/>
    <x v="9"/>
    <m/>
  </r>
  <r>
    <x v="2"/>
    <x v="4"/>
    <x v="2"/>
    <x v="5"/>
    <s v="524111"/>
    <s v="000181. NSPK Peserta Didik Standar Sarana dan Prasarana Pendidikan KP"/>
    <n v="33250000"/>
    <n v="20734500"/>
    <n v="360000"/>
    <n v="21094500"/>
    <s v="0,634421053"/>
    <n v="12155500"/>
    <s v="000181"/>
    <s v="NSPK Peserta Didik Standar Sarana dan Prasarana Pendidikan KP"/>
    <s v="DL.2376.AFA.001.052.A"/>
    <x v="10"/>
    <m/>
  </r>
  <r>
    <x v="1"/>
    <x v="1"/>
    <x v="0"/>
    <x v="6"/>
    <s v="521211"/>
    <s v="001187. ATK"/>
    <n v="3000000"/>
    <n v="1994000"/>
    <n v="0"/>
    <n v="1994000"/>
    <s v="0,664666667"/>
    <n v="1006000"/>
    <s v="001187"/>
    <s v="ATK"/>
    <s v="WA.2378.EBD.955.301.E"/>
    <x v="11"/>
    <m/>
  </r>
  <r>
    <x v="1"/>
    <x v="1"/>
    <x v="0"/>
    <x v="6"/>
    <s v="521211"/>
    <s v="001186. Bahan Komputer"/>
    <n v="4500000"/>
    <n v="2950000"/>
    <n v="0"/>
    <n v="2950000"/>
    <s v="0,655555556"/>
    <n v="1550000"/>
    <s v="001186"/>
    <s v="Bahan Komputer"/>
    <s v="WA.2378.EBD.955.301.E"/>
    <x v="11"/>
    <m/>
  </r>
  <r>
    <x v="1"/>
    <x v="1"/>
    <x v="0"/>
    <x v="7"/>
    <s v="521211"/>
    <s v="001182. ATK"/>
    <n v="3000000"/>
    <n v="2000000"/>
    <n v="0"/>
    <n v="2000000"/>
    <s v="0,666666667"/>
    <n v="1000000"/>
    <s v="001182"/>
    <s v="ATK"/>
    <s v="WA.2378.EBD.955.301.D"/>
    <x v="12"/>
    <m/>
  </r>
  <r>
    <x v="1"/>
    <x v="1"/>
    <x v="0"/>
    <x v="7"/>
    <s v="521211"/>
    <s v="001180. Cetakan SPIP"/>
    <n v="3500000"/>
    <n v="3490000"/>
    <n v="0"/>
    <n v="3490000"/>
    <s v="0,997142857"/>
    <n v="10000"/>
    <s v="001180"/>
    <s v="Cetakan SPIP"/>
    <s v="WA.2378.EBD.955.301.D"/>
    <x v="12"/>
    <m/>
  </r>
  <r>
    <x v="1"/>
    <x v="1"/>
    <x v="0"/>
    <x v="7"/>
    <s v="521211"/>
    <s v="001178. Bahan Komputer"/>
    <n v="7500000"/>
    <n v="5495000"/>
    <n v="0"/>
    <n v="5495000"/>
    <s v="0,732666667"/>
    <n v="2005000"/>
    <s v="001178"/>
    <s v="Bahan Komputer"/>
    <s v="WA.2378.EBD.955.301.D"/>
    <x v="12"/>
    <m/>
  </r>
  <r>
    <x v="1"/>
    <x v="1"/>
    <x v="0"/>
    <x v="8"/>
    <s v="521211"/>
    <s v="001175. ATK"/>
    <n v="3000000"/>
    <n v="1998500"/>
    <n v="0"/>
    <n v="1998500"/>
    <s v="0,666166667"/>
    <n v="1001500"/>
    <s v="001175"/>
    <s v="ATK"/>
    <s v="WA.2378.EBD.955.301.C"/>
    <x v="13"/>
    <m/>
  </r>
  <r>
    <x v="1"/>
    <x v="1"/>
    <x v="0"/>
    <x v="8"/>
    <s v="521211"/>
    <s v="001174. Bahan Komputer"/>
    <n v="4500000"/>
    <n v="2970000"/>
    <n v="0"/>
    <n v="2970000"/>
    <s v="0,66"/>
    <n v="1530000"/>
    <s v="001174"/>
    <s v="Bahan Komputer"/>
    <s v="WA.2378.EBD.955.301.C"/>
    <x v="13"/>
    <m/>
  </r>
  <r>
    <x v="1"/>
    <x v="1"/>
    <x v="0"/>
    <x v="0"/>
    <s v="521211"/>
    <s v="001171. ATK"/>
    <n v="3000000"/>
    <n v="1994000"/>
    <n v="0"/>
    <n v="1994000"/>
    <s v="0,664666667"/>
    <n v="1006000"/>
    <s v="001171"/>
    <s v="ATK"/>
    <s v="WA.2378.EBD.955.301.B"/>
    <x v="14"/>
    <m/>
  </r>
  <r>
    <x v="1"/>
    <x v="1"/>
    <x v="0"/>
    <x v="0"/>
    <s v="521211"/>
    <s v="001169. Bahan Komputer"/>
    <n v="4500000"/>
    <n v="2950000"/>
    <n v="0"/>
    <n v="2950000"/>
    <s v="0,655555556"/>
    <n v="1550000"/>
    <s v="001169"/>
    <s v="Bahan Komputer"/>
    <s v="WA.2378.EBD.955.301.B"/>
    <x v="14"/>
    <m/>
  </r>
  <r>
    <x v="1"/>
    <x v="1"/>
    <x v="0"/>
    <x v="1"/>
    <s v="521211"/>
    <s v="001166. Bahan Komputer"/>
    <n v="9000000"/>
    <n v="7710000"/>
    <n v="0"/>
    <n v="7710000"/>
    <s v="0,856666667"/>
    <n v="1290000"/>
    <s v="001166"/>
    <s v="Bahan Komputer"/>
    <s v="WA.2378.EBD.955.301.A"/>
    <x v="15"/>
    <m/>
  </r>
  <r>
    <x v="1"/>
    <x v="1"/>
    <x v="0"/>
    <x v="1"/>
    <s v="521211"/>
    <s v="001165. ATK"/>
    <n v="5000000"/>
    <n v="3996000"/>
    <n v="0"/>
    <n v="3996000"/>
    <s v="0,7992"/>
    <n v="1004000"/>
    <s v="001165"/>
    <s v="ATK"/>
    <s v="WA.2378.EBD.955.301.A"/>
    <x v="15"/>
    <m/>
  </r>
  <r>
    <x v="1"/>
    <x v="1"/>
    <x v="0"/>
    <x v="1"/>
    <s v="521211"/>
    <s v="001164. Konsumsi/bahan makanan"/>
    <n v="1400000"/>
    <n v="1350000"/>
    <n v="0"/>
    <n v="1350000"/>
    <s v="0,964285714"/>
    <n v="50000"/>
    <s v="001164"/>
    <s v="Konsumsi/Bahan Makanan"/>
    <s v="WA.2378.EBD.955.301.A"/>
    <x v="15"/>
    <m/>
  </r>
  <r>
    <x v="1"/>
    <x v="1"/>
    <x v="0"/>
    <x v="1"/>
    <s v="521211"/>
    <s v="001163. Penggandaan"/>
    <n v="3000000"/>
    <n v="775000"/>
    <n v="0"/>
    <n v="775000"/>
    <s v="0,258333333"/>
    <n v="2225000"/>
    <s v="001163"/>
    <s v="Penggandaan"/>
    <s v="WA.2378.EBD.955.301.A"/>
    <x v="15"/>
    <m/>
  </r>
  <r>
    <x v="1"/>
    <x v="2"/>
    <x v="3"/>
    <x v="9"/>
    <s v="521211"/>
    <s v="001334. Cetakan"/>
    <n v="1000000"/>
    <n v="1000000"/>
    <n v="0"/>
    <n v="1000000"/>
    <s v="1"/>
    <n v="0"/>
    <s v="001334"/>
    <s v="Cetakan"/>
    <s v="WA.2378.EBD.953.302.A"/>
    <x v="16"/>
    <m/>
  </r>
  <r>
    <x v="1"/>
    <x v="2"/>
    <x v="3"/>
    <x v="9"/>
    <s v="521211"/>
    <s v="001333. Bahan Komputer"/>
    <n v="6000000"/>
    <n v="3000000"/>
    <n v="0"/>
    <n v="3000000"/>
    <s v="0,5"/>
    <n v="3000000"/>
    <s v="001333"/>
    <s v="Bahan Komputer"/>
    <s v="WA.2378.EBD.953.302.A"/>
    <x v="16"/>
    <m/>
  </r>
  <r>
    <x v="1"/>
    <x v="2"/>
    <x v="3"/>
    <x v="9"/>
    <s v="521211"/>
    <s v="001332. ATK"/>
    <n v="4000000"/>
    <n v="1984000"/>
    <n v="0"/>
    <n v="1984000"/>
    <s v="0,496"/>
    <n v="2016000"/>
    <s v="001332"/>
    <s v="ATK"/>
    <s v="WA.2378.EBD.953.302.A"/>
    <x v="16"/>
    <m/>
  </r>
  <r>
    <x v="1"/>
    <x v="2"/>
    <x v="3"/>
    <x v="9"/>
    <s v="521211"/>
    <s v="001331. Konsumsi/bahan makanan"/>
    <n v="900000"/>
    <n v="860000"/>
    <n v="0"/>
    <n v="860000"/>
    <s v="0,955555556"/>
    <n v="40000"/>
    <s v="001331"/>
    <s v="Konsumsi/Bahan Makanan"/>
    <s v="WA.2378.EBD.953.302.A"/>
    <x v="16"/>
    <m/>
  </r>
  <r>
    <x v="1"/>
    <x v="2"/>
    <x v="3"/>
    <x v="9"/>
    <s v="521211"/>
    <s v="001330. Penggandaan"/>
    <n v="6000000"/>
    <n v="1500000"/>
    <n v="0"/>
    <n v="1500000"/>
    <s v="0,25"/>
    <n v="4500000"/>
    <s v="001330"/>
    <s v="Penggandaan"/>
    <s v="WA.2378.EBD.953.302.A"/>
    <x v="16"/>
    <m/>
  </r>
  <r>
    <x v="1"/>
    <x v="2"/>
    <x v="0"/>
    <x v="0"/>
    <s v="521211"/>
    <s v="001323. Bahan Komputer"/>
    <n v="3000000"/>
    <n v="1500000"/>
    <n v="0"/>
    <n v="1500000"/>
    <s v="0,5"/>
    <n v="1500000"/>
    <s v="001323"/>
    <s v="Bahan Komputer"/>
    <s v="WA.2378.EBD.953.301.B"/>
    <x v="6"/>
    <m/>
  </r>
  <r>
    <x v="1"/>
    <x v="2"/>
    <x v="0"/>
    <x v="0"/>
    <s v="521211"/>
    <s v="001322. ATK"/>
    <n v="2000000"/>
    <n v="999000"/>
    <n v="0"/>
    <n v="999000"/>
    <s v="0,4995"/>
    <n v="1001000"/>
    <s v="001322"/>
    <s v="ATK"/>
    <s v="WA.2378.EBD.953.301.B"/>
    <x v="6"/>
    <m/>
  </r>
  <r>
    <x v="1"/>
    <x v="2"/>
    <x v="0"/>
    <x v="0"/>
    <s v="521211"/>
    <s v="001321. Cetakan Weekly Report Tahun 2022"/>
    <n v="2000000"/>
    <n v="2000000"/>
    <n v="0"/>
    <n v="2000000"/>
    <s v="1"/>
    <n v="0"/>
    <s v="001321"/>
    <s v="Cetakan Weekly Report Tahun 2022"/>
    <s v="WA.2378.EBD.953.301.B"/>
    <x v="6"/>
    <m/>
  </r>
  <r>
    <x v="1"/>
    <x v="2"/>
    <x v="0"/>
    <x v="0"/>
    <s v="521211"/>
    <s v="001319. Penggandaan"/>
    <n v="3000000"/>
    <n v="1500000"/>
    <n v="0"/>
    <n v="1500000"/>
    <s v="0,5"/>
    <n v="1500000"/>
    <s v="001319"/>
    <s v="Penggandaan"/>
    <s v="WA.2378.EBD.953.301.B"/>
    <x v="6"/>
    <m/>
  </r>
  <r>
    <x v="1"/>
    <x v="2"/>
    <x v="0"/>
    <x v="1"/>
    <s v="521211"/>
    <s v="001316. Bahan Komputer"/>
    <n v="4500000"/>
    <n v="2990000"/>
    <n v="0"/>
    <n v="2990000"/>
    <s v="0,664444444"/>
    <n v="1510000"/>
    <s v="001316"/>
    <s v="Bahan Komputer"/>
    <s v="WA.2378.EBD.953.301.A"/>
    <x v="17"/>
    <m/>
  </r>
  <r>
    <x v="1"/>
    <x v="2"/>
    <x v="0"/>
    <x v="1"/>
    <s v="521211"/>
    <s v="001315. ATK"/>
    <n v="3000000"/>
    <n v="1968500"/>
    <n v="0"/>
    <n v="1968500"/>
    <s v="0,656166667"/>
    <n v="1031500"/>
    <s v="001315"/>
    <s v="ATK"/>
    <s v="WA.2378.EBD.953.301.A"/>
    <x v="17"/>
    <m/>
  </r>
  <r>
    <x v="1"/>
    <x v="2"/>
    <x v="0"/>
    <x v="1"/>
    <s v="521211"/>
    <s v="001313. Konsumsi/bahan makanan"/>
    <n v="11250000"/>
    <n v="1320000"/>
    <n v="0"/>
    <n v="1320000"/>
    <s v="0,117333333"/>
    <n v="9930000"/>
    <s v="001313"/>
    <s v="Konsumsi/Bahan Makanan"/>
    <s v="WA.2378.EBD.953.301.A"/>
    <x v="17"/>
    <m/>
  </r>
  <r>
    <x v="1"/>
    <x v="5"/>
    <x v="0"/>
    <x v="8"/>
    <s v="521211"/>
    <s v="001039. Konsumsi/bahan makanan"/>
    <n v="10500000"/>
    <n v="10500000"/>
    <n v="0"/>
    <n v="10500000"/>
    <s v="1"/>
    <n v="0"/>
    <s v="001039"/>
    <s v="Konsumsi/Bahan Makanan"/>
    <s v="WA.2378.EBD.952.301.C"/>
    <x v="18"/>
    <m/>
  </r>
  <r>
    <x v="1"/>
    <x v="5"/>
    <x v="0"/>
    <x v="8"/>
    <s v="521211"/>
    <s v="001038. Penggandaan"/>
    <n v="10500000"/>
    <n v="5888500"/>
    <n v="0"/>
    <n v="5888500"/>
    <s v="0,560809524"/>
    <n v="4611500"/>
    <s v="001038"/>
    <s v="Penggandaan"/>
    <s v="WA.2378.EBD.952.301.C"/>
    <x v="18"/>
    <m/>
  </r>
  <r>
    <x v="1"/>
    <x v="5"/>
    <x v="0"/>
    <x v="0"/>
    <s v="521211"/>
    <s v="001030. Penggandaan"/>
    <n v="12000000"/>
    <n v="5939000"/>
    <n v="0"/>
    <n v="5939000"/>
    <s v="0,494916667"/>
    <n v="6061000"/>
    <s v="001030"/>
    <s v="Penggandaan"/>
    <s v="WA.2378.EBD.952.301.B"/>
    <x v="19"/>
    <m/>
  </r>
  <r>
    <x v="1"/>
    <x v="5"/>
    <x v="0"/>
    <x v="1"/>
    <s v="521211"/>
    <s v="001023. Penggandaan"/>
    <n v="6000000"/>
    <n v="2991000"/>
    <n v="0"/>
    <n v="2991000"/>
    <s v="0,4985"/>
    <n v="3009000"/>
    <s v="001023"/>
    <s v="Penggandaan"/>
    <s v="WA.2378.EBD.952.301.A"/>
    <x v="20"/>
    <m/>
  </r>
  <r>
    <x v="1"/>
    <x v="3"/>
    <x v="0"/>
    <x v="10"/>
    <s v="521211"/>
    <s v="000727.  Cetakan Buku Panduan Penerimaan Peserta Didik"/>
    <n v="3550000"/>
    <n v="3547000"/>
    <n v="0"/>
    <n v="3547000"/>
    <s v="0,99915493"/>
    <n v="3000"/>
    <s v="000727"/>
    <s v="Cetakan Buku Panduan Penerimaan Peserta Didik"/>
    <s v="WA.2378.EBA.962.301.I"/>
    <x v="21"/>
    <m/>
  </r>
  <r>
    <x v="1"/>
    <x v="3"/>
    <x v="0"/>
    <x v="10"/>
    <s v="521211"/>
    <s v="000726. Cetak Leaflet Penerimaan peserta didik"/>
    <n v="3000000"/>
    <n v="2950000"/>
    <n v="0"/>
    <n v="2950000"/>
    <s v="0,983333333"/>
    <n v="50000"/>
    <s v="000726"/>
    <s v="Cetak Leaflet Penerimaan peserta didik"/>
    <s v="WA.2378.EBA.962.301.I"/>
    <x v="21"/>
    <m/>
  </r>
  <r>
    <x v="1"/>
    <x v="3"/>
    <x v="0"/>
    <x v="10"/>
    <s v="521211"/>
    <s v="000724. Bahan Komputer"/>
    <n v="3000000"/>
    <n v="1459000"/>
    <n v="0"/>
    <n v="1459000"/>
    <s v="0,486333333"/>
    <n v="1541000"/>
    <s v="000724"/>
    <s v="Bahan Komputer"/>
    <s v="WA.2378.EBA.962.301.I"/>
    <x v="21"/>
    <m/>
  </r>
  <r>
    <x v="1"/>
    <x v="3"/>
    <x v="0"/>
    <x v="10"/>
    <s v="521211"/>
    <s v="000723. ATK"/>
    <n v="2000000"/>
    <n v="985000"/>
    <n v="0"/>
    <n v="985000"/>
    <s v="0,4925"/>
    <n v="1015000"/>
    <s v="000723"/>
    <s v="ATK"/>
    <s v="WA.2378.EBA.962.301.I"/>
    <x v="21"/>
    <m/>
  </r>
  <r>
    <x v="1"/>
    <x v="3"/>
    <x v="0"/>
    <x v="10"/>
    <s v="521211"/>
    <s v="000721. Konsumsi/Bahan Makanan"/>
    <n v="1500000"/>
    <n v="528000"/>
    <n v="0"/>
    <n v="528000"/>
    <s v="0,352"/>
    <n v="972000"/>
    <s v="000721"/>
    <s v="Konsumsi/Bahan Makanan"/>
    <s v="WA.2378.EBA.962.301.I"/>
    <x v="21"/>
    <m/>
  </r>
  <r>
    <x v="1"/>
    <x v="3"/>
    <x v="0"/>
    <x v="3"/>
    <s v="521211"/>
    <s v="000702. Bahan Komputer"/>
    <n v="1500000"/>
    <n v="1495000"/>
    <n v="0"/>
    <n v="1495000"/>
    <s v="0,996666667"/>
    <n v="5000"/>
    <s v="000702"/>
    <s v="Bahan Komputer"/>
    <s v="WA.2378.EBA.962.301.G"/>
    <x v="22"/>
    <m/>
  </r>
  <r>
    <x v="1"/>
    <x v="3"/>
    <x v="0"/>
    <x v="3"/>
    <s v="521211"/>
    <s v="000701. ATK"/>
    <n v="1000000"/>
    <n v="993500"/>
    <n v="0"/>
    <n v="993500"/>
    <s v="0,9935"/>
    <n v="6500"/>
    <s v="000701"/>
    <s v="ATK"/>
    <s v="WA.2378.EBA.962.301.G"/>
    <x v="22"/>
    <m/>
  </r>
  <r>
    <x v="1"/>
    <x v="3"/>
    <x v="0"/>
    <x v="3"/>
    <s v="521211"/>
    <s v="000699. Konsumsi/Bahan Makanan"/>
    <n v="10050000"/>
    <n v="9054000"/>
    <n v="0"/>
    <n v="9054000"/>
    <s v="0,900895522"/>
    <n v="996000"/>
    <s v="000699"/>
    <s v="Konsumsi/Bahan Makanan"/>
    <s v="WA.2378.EBA.962.301.G"/>
    <x v="22"/>
    <m/>
  </r>
  <r>
    <x v="1"/>
    <x v="3"/>
    <x v="0"/>
    <x v="2"/>
    <s v="521211"/>
    <s v="000691. Bahan Komputer"/>
    <n v="1500000"/>
    <n v="1500000"/>
    <n v="0"/>
    <n v="1500000"/>
    <s v="1"/>
    <n v="0"/>
    <s v="000691"/>
    <s v="Bahan Komputer"/>
    <s v="WA.2378.EBA.962.301.F"/>
    <x v="23"/>
    <m/>
  </r>
  <r>
    <x v="1"/>
    <x v="3"/>
    <x v="0"/>
    <x v="2"/>
    <s v="521211"/>
    <s v="000690. ATK"/>
    <n v="1000000"/>
    <n v="999500"/>
    <n v="0"/>
    <n v="999500"/>
    <s v="0,9995"/>
    <n v="500"/>
    <s v="000690"/>
    <s v="ATK"/>
    <s v="WA.2378.EBA.962.301.F"/>
    <x v="23"/>
    <m/>
  </r>
  <r>
    <x v="1"/>
    <x v="3"/>
    <x v="0"/>
    <x v="2"/>
    <s v="521211"/>
    <s v="000689. Penggandaan"/>
    <n v="1500000"/>
    <n v="1499700"/>
    <n v="0"/>
    <n v="1499700"/>
    <s v="0,9998"/>
    <n v="300"/>
    <s v="000689"/>
    <s v="Penggandaan"/>
    <s v="WA.2378.EBA.962.301.F"/>
    <x v="23"/>
    <m/>
  </r>
  <r>
    <x v="1"/>
    <x v="3"/>
    <x v="0"/>
    <x v="6"/>
    <s v="521211"/>
    <s v="000682. Cetakan Kegiatan Administrasi Kepegawaian Pusdik KP (Buku Kerja, Buku Pegawai dan Laporan)"/>
    <n v="34100000"/>
    <n v="34100000"/>
    <n v="0"/>
    <n v="34100000"/>
    <s v="1"/>
    <n v="0"/>
    <s v="000682"/>
    <s v="Cetakan Kegiatan Administrasi Kepegawaian Pusdik KP (Buku Kerja, Buku Pegawai dan Laporan)"/>
    <s v="WA.2378.EBA.962.301.E"/>
    <x v="24"/>
    <m/>
  </r>
  <r>
    <x v="1"/>
    <x v="3"/>
    <x v="0"/>
    <x v="6"/>
    <s v="521211"/>
    <s v="000681. Bahan Komputer"/>
    <n v="1500000"/>
    <n v="1500000"/>
    <n v="0"/>
    <n v="1500000"/>
    <s v="1"/>
    <n v="0"/>
    <s v="000681"/>
    <s v="Bahan Komputer"/>
    <s v="WA.2378.EBA.962.301.E"/>
    <x v="24"/>
    <m/>
  </r>
  <r>
    <x v="1"/>
    <x v="3"/>
    <x v="0"/>
    <x v="6"/>
    <s v="521211"/>
    <s v="000680. ATK"/>
    <n v="1000000"/>
    <n v="997000"/>
    <n v="0"/>
    <n v="997000"/>
    <s v="0,997"/>
    <n v="3000"/>
    <s v="000680"/>
    <s v="ATK"/>
    <s v="WA.2378.EBA.962.301.E"/>
    <x v="24"/>
    <m/>
  </r>
  <r>
    <x v="1"/>
    <x v="3"/>
    <x v="0"/>
    <x v="6"/>
    <s v="521211"/>
    <s v="000679. Penggandaan"/>
    <n v="1500000"/>
    <n v="1498000"/>
    <n v="0"/>
    <n v="1498000"/>
    <s v="0,998666667"/>
    <n v="2000"/>
    <s v="000679"/>
    <s v="Penggandaan"/>
    <s v="WA.2378.EBA.962.301.E"/>
    <x v="24"/>
    <m/>
  </r>
  <r>
    <x v="1"/>
    <x v="3"/>
    <x v="0"/>
    <x v="7"/>
    <s v="521211"/>
    <s v="000676. Cetakan Kegiatan dan Laporan"/>
    <n v="1500000"/>
    <n v="1499000"/>
    <n v="0"/>
    <n v="1499000"/>
    <s v="0,999333333"/>
    <n v="1000"/>
    <s v="000676"/>
    <s v="Cetakan Kegiatan dan Laporan"/>
    <s v="WA.2378.EBA.962.301.D"/>
    <x v="25"/>
    <m/>
  </r>
  <r>
    <x v="1"/>
    <x v="3"/>
    <x v="0"/>
    <x v="7"/>
    <s v="521211"/>
    <s v="000675. Penggandaan"/>
    <n v="4500000"/>
    <n v="1498000"/>
    <n v="0"/>
    <n v="1498000"/>
    <s v="0,332888889"/>
    <n v="3002000"/>
    <s v="000675"/>
    <s v="Penggandaan"/>
    <s v="WA.2378.EBA.962.301.D"/>
    <x v="25"/>
    <m/>
  </r>
  <r>
    <x v="1"/>
    <x v="3"/>
    <x v="0"/>
    <x v="7"/>
    <s v="521211"/>
    <s v="000674. Bahan Komputer"/>
    <n v="4500000"/>
    <n v="1500000"/>
    <n v="0"/>
    <n v="1500000"/>
    <s v="0,333333333"/>
    <n v="3000000"/>
    <s v="000674"/>
    <s v="Bahan Komputer"/>
    <s v="WA.2378.EBA.962.301.D"/>
    <x v="25"/>
    <m/>
  </r>
  <r>
    <x v="1"/>
    <x v="3"/>
    <x v="0"/>
    <x v="7"/>
    <s v="521211"/>
    <s v="000673. ATK"/>
    <n v="3000000"/>
    <n v="962000"/>
    <n v="0"/>
    <n v="962000"/>
    <s v="0,320666667"/>
    <n v="2038000"/>
    <s v="000673"/>
    <s v="ATK"/>
    <s v="WA.2378.EBA.962.301.D"/>
    <x v="25"/>
    <m/>
  </r>
  <r>
    <x v="1"/>
    <x v="3"/>
    <x v="0"/>
    <x v="8"/>
    <s v="521211"/>
    <s v="000669. Cetakan Kegiatan dan Laporan"/>
    <n v="1500000"/>
    <n v="1500000"/>
    <n v="0"/>
    <n v="1500000"/>
    <s v="1"/>
    <n v="0"/>
    <s v="000669"/>
    <s v="Cetakan Kegiatan dan Laporan"/>
    <s v="WA.2378.EBA.962.301.C"/>
    <x v="26"/>
    <m/>
  </r>
  <r>
    <x v="1"/>
    <x v="3"/>
    <x v="0"/>
    <x v="8"/>
    <s v="521211"/>
    <s v="000668. Bahan Komputer"/>
    <n v="3000000"/>
    <n v="2980000"/>
    <n v="0"/>
    <n v="2980000"/>
    <s v="0,993333333"/>
    <n v="20000"/>
    <s v="000668"/>
    <s v="Bahan Komputer"/>
    <s v="WA.2378.EBA.962.301.C"/>
    <x v="26"/>
    <m/>
  </r>
  <r>
    <x v="1"/>
    <x v="3"/>
    <x v="0"/>
    <x v="8"/>
    <s v="521211"/>
    <s v="000667. ATK"/>
    <n v="2000000"/>
    <n v="1989000"/>
    <n v="0"/>
    <n v="1989000"/>
    <s v="0,9945"/>
    <n v="11000"/>
    <s v="000667"/>
    <s v="ATK"/>
    <s v="WA.2378.EBA.962.301.C"/>
    <x v="26"/>
    <m/>
  </r>
  <r>
    <x v="1"/>
    <x v="3"/>
    <x v="0"/>
    <x v="8"/>
    <s v="521211"/>
    <s v="000666. Penggandaan"/>
    <n v="3000000"/>
    <n v="3000000"/>
    <n v="0"/>
    <n v="3000000"/>
    <s v="1"/>
    <n v="0"/>
    <s v="000666"/>
    <s v="Penggandaan"/>
    <s v="WA.2378.EBA.962.301.C"/>
    <x v="26"/>
    <m/>
  </r>
  <r>
    <x v="1"/>
    <x v="3"/>
    <x v="0"/>
    <x v="8"/>
    <s v="521211"/>
    <s v="000665. Pencetakan Buku Peraturan"/>
    <n v="24000000"/>
    <n v="23902740"/>
    <n v="0"/>
    <n v="23902740"/>
    <s v="0,9959475"/>
    <n v="97260"/>
    <s v="000665"/>
    <s v="Pencetakan Buku Peraturan"/>
    <s v="WA.2378.EBA.962.301.C"/>
    <x v="26"/>
    <m/>
  </r>
  <r>
    <x v="1"/>
    <x v="3"/>
    <x v="0"/>
    <x v="0"/>
    <s v="521211"/>
    <s v="000660. Bahan Komputer"/>
    <n v="4000000"/>
    <n v="2970000"/>
    <n v="0"/>
    <n v="2970000"/>
    <s v="0,7425"/>
    <n v="1030000"/>
    <s v="000660"/>
    <s v="Bahan Komputer"/>
    <s v="WA.2378.EBA.962.301.B"/>
    <x v="27"/>
    <m/>
  </r>
  <r>
    <x v="1"/>
    <x v="3"/>
    <x v="0"/>
    <x v="0"/>
    <s v="521211"/>
    <s v="000659. ATK"/>
    <n v="6000000"/>
    <n v="2000000"/>
    <n v="0"/>
    <n v="2000000"/>
    <s v="0,333333333"/>
    <n v="4000000"/>
    <s v="000659"/>
    <s v="ATK"/>
    <s v="WA.2378.EBA.962.301.B"/>
    <x v="27"/>
    <m/>
  </r>
  <r>
    <x v="1"/>
    <x v="3"/>
    <x v="0"/>
    <x v="1"/>
    <s v="521211"/>
    <s v="000655. Penggandaan"/>
    <n v="1500000"/>
    <n v="1499000"/>
    <n v="0"/>
    <n v="1499000"/>
    <s v="0,999333333"/>
    <n v="1000"/>
    <s v="000655"/>
    <s v="Penggandaan"/>
    <s v="WA.2378.EBA.962.301.A"/>
    <x v="28"/>
    <m/>
  </r>
  <r>
    <x v="1"/>
    <x v="3"/>
    <x v="0"/>
    <x v="1"/>
    <s v="521211"/>
    <s v="000654. Bahan Komputer"/>
    <n v="2000000"/>
    <n v="1500000"/>
    <n v="0"/>
    <n v="1500000"/>
    <s v="0,75"/>
    <n v="500000"/>
    <s v="000654"/>
    <s v="Bahan Komputer"/>
    <s v="WA.2378.EBA.962.301.A"/>
    <x v="28"/>
    <m/>
  </r>
  <r>
    <x v="1"/>
    <x v="3"/>
    <x v="0"/>
    <x v="1"/>
    <s v="521211"/>
    <s v="000653. ATK"/>
    <n v="1500000"/>
    <n v="999800"/>
    <n v="0"/>
    <n v="999800"/>
    <s v="0,666533333"/>
    <n v="500200"/>
    <s v="000653"/>
    <s v="ATK"/>
    <s v="WA.2378.EBA.962.301.A"/>
    <x v="28"/>
    <m/>
  </r>
  <r>
    <x v="1"/>
    <x v="6"/>
    <x v="4"/>
    <x v="11"/>
    <s v="521211"/>
    <s v="000354. Konsumsi/Bahan Makan"/>
    <n v="8400000"/>
    <n v="3990000"/>
    <n v="0"/>
    <n v="3990000"/>
    <s v="0,475"/>
    <n v="4410000"/>
    <s v="000354"/>
    <s v="Konsumsi/Bahan Makan"/>
    <s v="WA.2378.EBA.958.311.A"/>
    <x v="29"/>
    <m/>
  </r>
  <r>
    <x v="1"/>
    <x v="6"/>
    <x v="4"/>
    <x v="11"/>
    <s v="521211"/>
    <s v="000353. Penggandaan"/>
    <n v="4000000"/>
    <n v="1957500"/>
    <n v="0"/>
    <n v="1957500"/>
    <s v="0,489375"/>
    <n v="2042500"/>
    <s v="000353"/>
    <s v="Penggandaan"/>
    <s v="WA.2378.EBA.958.311.A"/>
    <x v="29"/>
    <m/>
  </r>
  <r>
    <x v="1"/>
    <x v="1"/>
    <x v="0"/>
    <x v="2"/>
    <s v="521811"/>
    <s v="001192. ATK"/>
    <n v="11000000"/>
    <n v="4000000"/>
    <n v="0"/>
    <n v="4000000"/>
    <s v="0,363636364"/>
    <n v="7000000"/>
    <s v="001192"/>
    <s v="ATK"/>
    <s v="WA.2378.EBD.955.301.F"/>
    <x v="30"/>
    <m/>
  </r>
  <r>
    <x v="1"/>
    <x v="1"/>
    <x v="0"/>
    <x v="2"/>
    <s v="521811"/>
    <s v="001191. Bahan Komputer"/>
    <n v="16500000"/>
    <n v="5960000"/>
    <n v="0"/>
    <n v="5960000"/>
    <s v="0,361212121"/>
    <n v="10540000"/>
    <s v="001191"/>
    <s v="Bahan Komputer"/>
    <s v="WA.2378.EBD.955.301.F"/>
    <x v="30"/>
    <m/>
  </r>
  <r>
    <x v="1"/>
    <x v="5"/>
    <x v="0"/>
    <x v="8"/>
    <s v="521811"/>
    <s v="001042. Bahan Komputer"/>
    <n v="10500000"/>
    <n v="5848750"/>
    <n v="0"/>
    <n v="5848750"/>
    <s v="0,55702381"/>
    <n v="4651250"/>
    <s v="001042"/>
    <s v="Bahan Komputer"/>
    <s v="WA.2378.EBD.952.301.C"/>
    <x v="31"/>
    <m/>
  </r>
  <r>
    <x v="1"/>
    <x v="5"/>
    <x v="0"/>
    <x v="8"/>
    <s v="521811"/>
    <s v="001041. ATK"/>
    <n v="7000000"/>
    <n v="3977000"/>
    <n v="0"/>
    <n v="3977000"/>
    <s v="0,568142857"/>
    <n v="3023000"/>
    <s v="001041"/>
    <s v="ATK"/>
    <s v="WA.2378.EBD.952.301.C"/>
    <x v="31"/>
    <m/>
  </r>
  <r>
    <x v="1"/>
    <x v="5"/>
    <x v="0"/>
    <x v="0"/>
    <s v="521811"/>
    <s v="001035. Bahan Komputer"/>
    <n v="12000000"/>
    <n v="5885000"/>
    <n v="0"/>
    <n v="5885000"/>
    <s v="0,490416667"/>
    <n v="6115000"/>
    <s v="001035"/>
    <s v="Bahan Komputer"/>
    <s v="WA.2378.EBD.952.301.B"/>
    <x v="32"/>
    <m/>
  </r>
  <r>
    <x v="1"/>
    <x v="5"/>
    <x v="0"/>
    <x v="0"/>
    <s v="521811"/>
    <s v="001034. ATK"/>
    <n v="8000000"/>
    <n v="3898000"/>
    <n v="0"/>
    <n v="3898000"/>
    <s v="0,48725"/>
    <n v="4102000"/>
    <s v="001034"/>
    <s v="ATK"/>
    <s v="WA.2378.EBD.952.301.B"/>
    <x v="32"/>
    <m/>
  </r>
  <r>
    <x v="1"/>
    <x v="5"/>
    <x v="0"/>
    <x v="1"/>
    <s v="521811"/>
    <s v="001028. Bahan Komputer"/>
    <n v="6000000"/>
    <n v="2910000"/>
    <n v="0"/>
    <n v="2910000"/>
    <s v="0,485"/>
    <n v="3090000"/>
    <s v="001028"/>
    <s v="Bahan Komputer"/>
    <s v="WA.2378.EBD.952.301.A"/>
    <x v="33"/>
    <m/>
  </r>
  <r>
    <x v="1"/>
    <x v="5"/>
    <x v="0"/>
    <x v="1"/>
    <s v="521811"/>
    <s v="001027. ATK"/>
    <n v="4000000"/>
    <n v="1939000"/>
    <n v="0"/>
    <n v="1939000"/>
    <s v="0,48475"/>
    <n v="2061000"/>
    <s v="001027"/>
    <s v="ATK"/>
    <s v="WA.2378.EBD.952.301.A"/>
    <x v="33"/>
    <m/>
  </r>
  <r>
    <x v="1"/>
    <x v="7"/>
    <x v="5"/>
    <x v="12"/>
    <s v="521811"/>
    <s v="000579. Amplop Kop Kecil"/>
    <n v="11000000"/>
    <n v="5500000"/>
    <n v="0"/>
    <n v="5500000"/>
    <s v="0,5"/>
    <n v="5500000"/>
    <s v="000579"/>
    <s v="Amplop Kop Kecil"/>
    <s v="WA.2378.EBA.994.002.GA"/>
    <x v="34"/>
    <m/>
  </r>
  <r>
    <x v="1"/>
    <x v="7"/>
    <x v="5"/>
    <x v="12"/>
    <s v="521811"/>
    <s v="000578. Amplop Kop Besar"/>
    <n v="4000000"/>
    <n v="4000000"/>
    <n v="0"/>
    <n v="4000000"/>
    <s v="1"/>
    <n v="0"/>
    <s v="000578"/>
    <s v="Amplop Kop Besar"/>
    <s v="WA.2378.EBA.994.002.GA"/>
    <x v="34"/>
    <m/>
  </r>
  <r>
    <x v="1"/>
    <x v="7"/>
    <x v="5"/>
    <x v="12"/>
    <s v="521811"/>
    <s v="000577. Kertas Kop F4 (4 warna)"/>
    <n v="12000000"/>
    <n v="5995000"/>
    <n v="0"/>
    <n v="5995000"/>
    <s v="0,499583333"/>
    <n v="6005000"/>
    <s v="000577"/>
    <s v="Kertas Kop F4 (4 warna)"/>
    <s v="WA.2378.EBA.994.002.GA"/>
    <x v="34"/>
    <m/>
  </r>
  <r>
    <x v="1"/>
    <x v="7"/>
    <x v="5"/>
    <x v="12"/>
    <s v="521811"/>
    <s v="000576. Kertas Kop A4 (4 warna)"/>
    <n v="11000000"/>
    <n v="5500000"/>
    <n v="0"/>
    <n v="5500000"/>
    <s v="0,5"/>
    <n v="5500000"/>
    <s v="000576"/>
    <s v="Kertas Kop A4 (4 warna)"/>
    <s v="WA.2378.EBA.994.002.GA"/>
    <x v="34"/>
    <m/>
  </r>
  <r>
    <x v="1"/>
    <x v="7"/>
    <x v="5"/>
    <x v="12"/>
    <s v="521811"/>
    <s v="000575. Kertas Fotocopy F4"/>
    <n v="10560000"/>
    <n v="4400000"/>
    <n v="0"/>
    <n v="4400000"/>
    <s v="0,416666667"/>
    <n v="6160000"/>
    <s v="000575"/>
    <s v="Kertas Fotocopy F4"/>
    <s v="WA.2378.EBA.994.002.GA"/>
    <x v="34"/>
    <m/>
  </r>
  <r>
    <x v="1"/>
    <x v="7"/>
    <x v="5"/>
    <x v="12"/>
    <s v="521811"/>
    <s v="000574. Kertas Fotocopy A4"/>
    <n v="9600000"/>
    <n v="4000000"/>
    <n v="0"/>
    <n v="4000000"/>
    <s v="0,416666667"/>
    <n v="5600000"/>
    <s v="000574"/>
    <s v="Kertas Fotocopy A4"/>
    <s v="WA.2378.EBA.994.002.GA"/>
    <x v="34"/>
    <m/>
  </r>
  <r>
    <x v="1"/>
    <x v="7"/>
    <x v="5"/>
    <x v="12"/>
    <s v="521811"/>
    <s v="000573. Bahan Komputer"/>
    <n v="60000000"/>
    <n v="19370000"/>
    <n v="0"/>
    <n v="19370000"/>
    <s v="0,322833333"/>
    <n v="40630000"/>
    <s v="000573"/>
    <s v="Bahan Komputer"/>
    <s v="WA.2378.EBA.994.002.GA"/>
    <x v="34"/>
    <m/>
  </r>
  <r>
    <x v="1"/>
    <x v="7"/>
    <x v="5"/>
    <x v="12"/>
    <s v="521811"/>
    <s v="000572. ATK"/>
    <n v="40000000"/>
    <n v="15943000"/>
    <n v="0"/>
    <n v="15943000"/>
    <s v="0,398575"/>
    <n v="24057000"/>
    <s v="000572"/>
    <s v="ATK"/>
    <s v="WA.2378.EBA.994.002.GA"/>
    <x v="34"/>
    <m/>
  </r>
  <r>
    <x v="1"/>
    <x v="6"/>
    <x v="4"/>
    <x v="11"/>
    <s v="521811"/>
    <s v="000357. Komputer suplies"/>
    <n v="6000000"/>
    <n v="2403750"/>
    <n v="0"/>
    <n v="2403750"/>
    <s v="0,400625"/>
    <n v="3596250"/>
    <s v="000357"/>
    <s v="Komputer Suplies"/>
    <s v="WA.2378.EBA.958.311.A"/>
    <x v="35"/>
    <m/>
  </r>
  <r>
    <x v="1"/>
    <x v="6"/>
    <x v="4"/>
    <x v="11"/>
    <s v="521811"/>
    <s v="000356. ATK"/>
    <n v="4000000"/>
    <n v="1976000"/>
    <n v="0"/>
    <n v="1976000"/>
    <s v="0,494"/>
    <n v="2024000"/>
    <s v="000356"/>
    <s v="ATK"/>
    <s v="WA.2378.EBA.958.311.A"/>
    <x v="35"/>
    <m/>
  </r>
  <r>
    <x v="1"/>
    <x v="7"/>
    <x v="5"/>
    <x v="13"/>
    <s v="521115"/>
    <s v="000603. Pengelola BMN Pembantu 1 ORG x 12 BLN"/>
    <n v="2400000"/>
    <n v="600000"/>
    <n v="0"/>
    <n v="600000"/>
    <s v="0,25"/>
    <n v="1800000"/>
    <s v="000603"/>
    <s v="Pengelola BMN Pembantu 1 ORG x 12 BLN"/>
    <s v="WA.2378.EBA.994.002.GD"/>
    <x v="36"/>
    <m/>
  </r>
  <r>
    <x v="1"/>
    <x v="7"/>
    <x v="5"/>
    <x v="13"/>
    <s v="521115"/>
    <s v="000602. Pengelola SAK Pembantu 1 ORG x 12 BLN"/>
    <n v="960000"/>
    <n v="240000"/>
    <n v="0"/>
    <n v="240000"/>
    <s v="0,25"/>
    <n v="720000"/>
    <s v="000602"/>
    <s v="Pengelola SAK Pembantu 1 ORG x 12 BLN"/>
    <s v="WA.2378.EBA.994.002.GD"/>
    <x v="36"/>
    <m/>
  </r>
  <r>
    <x v="1"/>
    <x v="7"/>
    <x v="5"/>
    <x v="13"/>
    <s v="521115"/>
    <s v="000601. Penyimpan BMN Pembantu 1 ORG x 12 BLN"/>
    <n v="2400000"/>
    <n v="600000"/>
    <n v="0"/>
    <n v="600000"/>
    <s v="0,25"/>
    <n v="1800000"/>
    <s v="000601"/>
    <s v="Penyimpan BMN Pembantu 1 ORG x 12 BLN"/>
    <s v="WA.2378.EBA.994.002.GD"/>
    <x v="36"/>
    <m/>
  </r>
  <r>
    <x v="1"/>
    <x v="7"/>
    <x v="5"/>
    <x v="13"/>
    <s v="521115"/>
    <s v="000600. Pejabat Pengadaan Barang dan Jasa 1 ORG x 12 BLN"/>
    <n v="8160000"/>
    <n v="2040000"/>
    <n v="0"/>
    <n v="2040000"/>
    <s v="0,25"/>
    <n v="6120000"/>
    <s v="000600"/>
    <s v="Pejabat Pengadaan Barang dan Jasa 1 ORG x 12 BLN"/>
    <s v="WA.2378.EBA.994.002.GD"/>
    <x v="36"/>
    <m/>
  </r>
  <r>
    <x v="1"/>
    <x v="7"/>
    <x v="5"/>
    <x v="13"/>
    <s v="521115"/>
    <s v="000599. Staf Pengelola Keuangan KPA ( 1 ORG x 12 BLN)"/>
    <n v="3888000"/>
    <n v="972000"/>
    <n v="0"/>
    <n v="972000"/>
    <s v="0,25"/>
    <n v="2916000"/>
    <s v="000599"/>
    <s v="Staf Pengelola Keuangan KPA ( 1 ORG x 12 BLN)"/>
    <s v="WA.2378.EBA.994.002.GD"/>
    <x v="36"/>
    <m/>
  </r>
  <r>
    <x v="1"/>
    <x v="7"/>
    <x v="5"/>
    <x v="13"/>
    <s v="521115"/>
    <s v="000598. Bendahara Pengeluaran Pembantu (1 ORG x 12 BLN)"/>
    <n v="3888000"/>
    <n v="2932000"/>
    <n v="0"/>
    <n v="2932000"/>
    <s v="0,754115226"/>
    <n v="956000"/>
    <s v="000598"/>
    <s v="Bendahara Pengeluaran Pembantu (1 ORG x 12 BLN)"/>
    <s v="WA.2378.EBA.994.002.GD"/>
    <x v="36"/>
    <m/>
  </r>
  <r>
    <x v="1"/>
    <x v="7"/>
    <x v="5"/>
    <x v="13"/>
    <s v="521115"/>
    <s v="000596. PPK Pusat Pendiidikan"/>
    <n v="35040000"/>
    <n v="8760000"/>
    <n v="0"/>
    <n v="8760000"/>
    <s v="0,25"/>
    <n v="26280000"/>
    <s v="000596"/>
    <s v="PPK Pusat Pendiidikan"/>
    <s v="WA.2378.EBA.994.002.GD"/>
    <x v="36"/>
    <m/>
  </r>
  <r>
    <x v="1"/>
    <x v="7"/>
    <x v="5"/>
    <x v="13"/>
    <s v="521111"/>
    <s v="000594. Pakaian Dinas Pegawai"/>
    <n v="85700000"/>
    <n v="44410000"/>
    <n v="0"/>
    <n v="44410000"/>
    <s v="0,518203034"/>
    <n v="41290000"/>
    <s v="000594"/>
    <s v="Pakaian Dinas Pegawai"/>
    <s v="WA.2378.EBA.994.002.GD"/>
    <x v="37"/>
    <m/>
  </r>
  <r>
    <x v="1"/>
    <x v="7"/>
    <x v="5"/>
    <x v="14"/>
    <s v="523199"/>
    <s v="000593. Pemeliharaan Aquarium (2 unit)"/>
    <n v="36000000"/>
    <n v="9000000"/>
    <n v="0"/>
    <n v="9000000"/>
    <s v="0,25"/>
    <n v="27000000"/>
    <s v="000593"/>
    <s v="Pemeliharaan Aquarium (2 unit)"/>
    <s v="WA.2378.EBA.994.002.GC"/>
    <x v="38"/>
    <m/>
  </r>
  <r>
    <x v="1"/>
    <x v="7"/>
    <x v="5"/>
    <x v="14"/>
    <s v="523121"/>
    <s v="000591. Kamera"/>
    <n v="2820000"/>
    <n v="935000"/>
    <n v="0"/>
    <n v="935000"/>
    <s v="0,331560284"/>
    <n v="1885000"/>
    <s v="000591"/>
    <s v="Kamera"/>
    <s v="WA.2378.EBA.994.002.GC"/>
    <x v="39"/>
    <m/>
  </r>
  <r>
    <x v="1"/>
    <x v="7"/>
    <x v="5"/>
    <x v="14"/>
    <s v="523121"/>
    <s v="000590. LCD"/>
    <n v="10500000"/>
    <n v="3547500"/>
    <n v="0"/>
    <n v="3547500"/>
    <s v="0,337857143"/>
    <n v="6952500"/>
    <s v="000590"/>
    <s v="LCD"/>
    <s v="WA.2378.EBA.994.002.GC"/>
    <x v="39"/>
    <m/>
  </r>
  <r>
    <x v="1"/>
    <x v="7"/>
    <x v="5"/>
    <x v="14"/>
    <s v="523121"/>
    <s v="000589. Printer"/>
    <n v="24150000"/>
    <n v="5500000"/>
    <n v="0"/>
    <n v="5500000"/>
    <s v="0,227743271"/>
    <n v="18650000"/>
    <s v="000589"/>
    <s v="Printer"/>
    <s v="WA.2378.EBA.994.002.GC"/>
    <x v="39"/>
    <m/>
  </r>
  <r>
    <x v="1"/>
    <x v="7"/>
    <x v="5"/>
    <x v="14"/>
    <s v="523121"/>
    <s v="000588. Komputer PC"/>
    <n v="25550000"/>
    <n v="4349400"/>
    <n v="0"/>
    <n v="4349400"/>
    <s v="0,17023092"/>
    <n v="21200600"/>
    <s v="000588"/>
    <s v="Komputer PC"/>
    <s v="WA.2378.EBA.994.002.GC"/>
    <x v="39"/>
    <m/>
  </r>
  <r>
    <x v="1"/>
    <x v="7"/>
    <x v="5"/>
    <x v="14"/>
    <s v="523121"/>
    <s v="000586. Pemeliharaan dan Operasional Kendaraan Roda Dua"/>
    <n v="18200000"/>
    <n v="3492900"/>
    <n v="0"/>
    <n v="3492900"/>
    <s v="0,191917582"/>
    <n v="14707100"/>
    <s v="000586"/>
    <s v="Pemeliharaan dan Operasional Kendaraan Roda Dua"/>
    <s v="WA.2378.EBA.994.002.GC"/>
    <x v="39"/>
    <m/>
  </r>
  <r>
    <x v="1"/>
    <x v="7"/>
    <x v="5"/>
    <x v="14"/>
    <s v="523121"/>
    <s v="000585. Pemeliharaan dan Operasional Kendaraan Roda 4"/>
    <n v="295650000"/>
    <n v="58531640"/>
    <n v="0"/>
    <n v="58531640"/>
    <s v="0,19797612"/>
    <n v="237118360"/>
    <s v="000585"/>
    <s v="Pemeliharaan dan Operasional Kendaraan Roda 4"/>
    <s v="WA.2378.EBA.994.002.GC"/>
    <x v="39"/>
    <m/>
  </r>
  <r>
    <x v="1"/>
    <x v="7"/>
    <x v="5"/>
    <x v="14"/>
    <s v="523121"/>
    <s v="000584. Pemeliharaan dan Operasional Kendaraan Pejabat Eselon II"/>
    <n v="38730000"/>
    <n v="9519000"/>
    <n v="0"/>
    <n v="9519000"/>
    <s v="0,245778466"/>
    <n v="29211000"/>
    <s v="000584"/>
    <s v="Pemeliharaan dan Operasional Kendaraan Pejabat Eselon II"/>
    <s v="WA.2378.EBA.994.002.GC"/>
    <x v="39"/>
    <m/>
  </r>
  <r>
    <x v="1"/>
    <x v="7"/>
    <x v="5"/>
    <x v="15"/>
    <s v="522141"/>
    <s v="000582. Sewa Mesin Photocopy"/>
    <n v="60000000"/>
    <n v="19800000"/>
    <n v="0"/>
    <n v="19800000"/>
    <s v="0,33"/>
    <n v="40200000"/>
    <s v="000582"/>
    <s v="Sewa Mesin Photocopy"/>
    <s v="WA.2378.EBA.994.002.GB"/>
    <x v="40"/>
    <m/>
  </r>
  <r>
    <x v="1"/>
    <x v="7"/>
    <x v="5"/>
    <x v="15"/>
    <s v="521114"/>
    <s v="000581. Pengiriman surat dan dokumen/barang lainnya"/>
    <n v="30000000"/>
    <n v="2286050"/>
    <n v="0"/>
    <n v="2286050"/>
    <s v="0,076201667"/>
    <n v="27713950"/>
    <s v="000581"/>
    <s v="Pengiriman surat dan dokumen/barang lainnya"/>
    <s v="WA.2378.EBA.994.002.GB"/>
    <x v="41"/>
    <m/>
  </r>
  <r>
    <x v="1"/>
    <x v="7"/>
    <x v="5"/>
    <x v="12"/>
    <s v="521111"/>
    <s v="000571. Estetika Kantor dan Pengharum Ruangan"/>
    <n v="33000000"/>
    <n v="4800000"/>
    <n v="0"/>
    <n v="4800000"/>
    <s v="0,145454545"/>
    <n v="28200000"/>
    <s v="000571"/>
    <s v="Estetika Kantor dan Pengharum Ruangan"/>
    <s v="WA.2378.EBA.994.002.GA"/>
    <x v="42"/>
    <m/>
  </r>
  <r>
    <x v="1"/>
    <x v="7"/>
    <x v="5"/>
    <x v="12"/>
    <s v="521111"/>
    <s v="000570. Langganan biaya video conference dan Zoho"/>
    <n v="19200000"/>
    <n v="3893490"/>
    <n v="0"/>
    <n v="3893490"/>
    <s v="0,202785938"/>
    <n v="15306510"/>
    <s v="000570"/>
    <s v="Langganan biaya video conference dan Zoho"/>
    <s v="WA.2378.EBA.994.002.GA"/>
    <x v="42"/>
    <m/>
  </r>
  <r>
    <x v="1"/>
    <x v="7"/>
    <x v="5"/>
    <x v="12"/>
    <s v="521111"/>
    <s v="000569. Langganan Majalah dan Surat Kabar"/>
    <n v="9000000"/>
    <n v="3024000"/>
    <n v="0"/>
    <n v="3024000"/>
    <s v="0,336"/>
    <n v="5976000"/>
    <s v="000569"/>
    <s v="Langganan Majalah dan surat kabar"/>
    <s v="WA.2378.EBA.994.002.GA"/>
    <x v="42"/>
    <m/>
  </r>
  <r>
    <x v="1"/>
    <x v="7"/>
    <x v="5"/>
    <x v="12"/>
    <s v="521111"/>
    <s v="000567. BPJS Ketenagakerjaan Pengemudi dan Pramubhakti"/>
    <n v="4800000"/>
    <n v="1348390"/>
    <n v="0"/>
    <n v="1348390"/>
    <s v="0,280914583"/>
    <n v="3451610"/>
    <s v="000567"/>
    <s v="BPJS Ketenagakerjaan Pengemudi dan Pramubhakti"/>
    <s v="WA.2378.EBA.994.002.GA"/>
    <x v="42"/>
    <m/>
  </r>
  <r>
    <x v="1"/>
    <x v="7"/>
    <x v="5"/>
    <x v="12"/>
    <s v="521111"/>
    <s v="000566. Pengemudi (1 org x 13 bulan)"/>
    <n v="69472000"/>
    <n v="32064000"/>
    <n v="0"/>
    <n v="32064000"/>
    <s v="0,461538462"/>
    <n v="37408000"/>
    <s v="000566"/>
    <s v="Pengemudi (1 org x 13 bulan)"/>
    <s v="WA.2378.EBA.994.002.GA"/>
    <x v="42"/>
    <m/>
  </r>
  <r>
    <x v="1"/>
    <x v="7"/>
    <x v="5"/>
    <x v="12"/>
    <s v="521111"/>
    <s v="000565. Pramubakti (12 org x 13 bulan)"/>
    <n v="757848000"/>
    <n v="349776000"/>
    <n v="0"/>
    <n v="349776000"/>
    <s v="0,461538462"/>
    <n v="408072000"/>
    <s v="000565"/>
    <s v="Pramubakti (12 org x 13 bulan)"/>
    <s v="WA.2378.EBA.994.002.GA"/>
    <x v="42"/>
    <m/>
  </r>
  <r>
    <x v="1"/>
    <x v="7"/>
    <x v="5"/>
    <x v="12"/>
    <s v="521111"/>
    <s v="000564. Jamuan"/>
    <n v="40000000"/>
    <n v="8309700"/>
    <n v="0"/>
    <n v="8309700"/>
    <s v="0,2077425"/>
    <n v="31690300"/>
    <s v="000564"/>
    <s v="Jamuan"/>
    <s v="WA.2378.EBA.994.002.GA"/>
    <x v="42"/>
    <m/>
  </r>
  <r>
    <x v="1"/>
    <x v="7"/>
    <x v="5"/>
    <x v="12"/>
    <s v="521111"/>
    <s v="000563. Keperluan sehari hari perkantoran"/>
    <n v="75900000"/>
    <n v="19842571"/>
    <n v="0"/>
    <n v="19842571"/>
    <s v="0,261430448"/>
    <n v="56057429"/>
    <s v="000563"/>
    <s v="Keperluan sehari hari perkantoran"/>
    <s v="WA.2378.EBA.994.002.GA"/>
    <x v="42"/>
    <m/>
  </r>
  <r>
    <x v="1"/>
    <x v="1"/>
    <x v="0"/>
    <x v="7"/>
    <s v="524111"/>
    <s v="001184. Perjalanan Evaluasi Kinerja Keuangan dan Penyusunan Laporan SPIP dan PIPK"/>
    <n v="20635000"/>
    <n v="20634468"/>
    <n v="0"/>
    <n v="20634468"/>
    <s v="0,999974219"/>
    <n v="532"/>
    <s v="001184"/>
    <s v="Perjalanan Evaluasi Kinerja Keuangan dan Penyusunan Laporan SPIP dan PIPK"/>
    <s v="WA.2378.EBD.955.301.D"/>
    <x v="43"/>
    <m/>
  </r>
  <r>
    <x v="1"/>
    <x v="1"/>
    <x v="0"/>
    <x v="0"/>
    <s v="524111"/>
    <s v="001172. Perjalanan Identifikasi dan Koordinasi"/>
    <n v="5350000"/>
    <n v="2850000"/>
    <n v="0"/>
    <n v="2850000"/>
    <s v="0,53271028"/>
    <n v="2500000"/>
    <s v="001172"/>
    <s v="Perjalanan Identifikasi dan Koordinasi"/>
    <s v="WA.2378.EBD.955.301.B"/>
    <x v="44"/>
    <m/>
  </r>
  <r>
    <x v="1"/>
    <x v="1"/>
    <x v="0"/>
    <x v="1"/>
    <s v="524111"/>
    <s v="001167. Perjalanan Identifikasi dan Koordinasi"/>
    <n v="8702000"/>
    <n v="8701552"/>
    <n v="0"/>
    <n v="8701552"/>
    <s v="0,999948518"/>
    <n v="448"/>
    <s v="001167"/>
    <s v="Perjalanan Identifikasi dan Koordinasi"/>
    <s v="WA.2378.EBD.955.301.A"/>
    <x v="45"/>
    <m/>
  </r>
  <r>
    <x v="1"/>
    <x v="2"/>
    <x v="3"/>
    <x v="9"/>
    <s v="524111"/>
    <s v="001336. Perjalanan Penilaian Kinerja Pendidikan KP"/>
    <n v="30169000"/>
    <n v="20138000"/>
    <n v="0"/>
    <n v="20138000"/>
    <s v="0,667506381"/>
    <n v="10031000"/>
    <s v="001336"/>
    <s v="Perjalanan Penilaian Kinerja Pendidikan KP"/>
    <s v="WA.2378.EBD.953.302.A"/>
    <x v="46"/>
    <m/>
  </r>
  <r>
    <x v="1"/>
    <x v="2"/>
    <x v="0"/>
    <x v="0"/>
    <s v="521219"/>
    <s v="001326.  Langganan biaya aplikasi komunikasi daring (zoom/linktree/zoho)"/>
    <n v="2000000"/>
    <n v="603014"/>
    <n v="0"/>
    <n v="603014"/>
    <s v="0,301507"/>
    <n v="1396986"/>
    <s v="001326"/>
    <s v="Langganan biaya aplikasi komunikasi daring (zoom/linktree/zoho)"/>
    <s v="WA.2378.EBD.953.301.B"/>
    <x v="47"/>
    <m/>
  </r>
  <r>
    <x v="1"/>
    <x v="2"/>
    <x v="0"/>
    <x v="1"/>
    <s v="521219"/>
    <s v="001317. Langganan biaya aplikasi komunikasi daring (zoom/linktree/zoho)"/>
    <n v="2000000"/>
    <n v="499528"/>
    <n v="0"/>
    <n v="499528"/>
    <s v="0,249764"/>
    <n v="1500472"/>
    <s v="001317"/>
    <s v="Langganan biaya aplikasi komunikasi daring (zoom/linktree/zoho)"/>
    <s v="WA.2378.EBD.953.301.A"/>
    <x v="48"/>
    <m/>
  </r>
  <r>
    <x v="1"/>
    <x v="5"/>
    <x v="0"/>
    <x v="8"/>
    <s v="524111"/>
    <s v="001044. Perjalanan Identifikasi dan kajian program pendidikan KP"/>
    <n v="41908000"/>
    <n v="41907800"/>
    <n v="0"/>
    <n v="41907800"/>
    <s v="0,999995228"/>
    <n v="200"/>
    <s v="001044"/>
    <s v="Perjalanan Identifikasi dan kajian program pendidikan KP"/>
    <s v="WA.2378.EBD.952.301.C"/>
    <x v="49"/>
    <m/>
  </r>
  <r>
    <x v="1"/>
    <x v="5"/>
    <x v="0"/>
    <x v="0"/>
    <s v="524111"/>
    <s v="001037. Perjalanan Sinkronisasi Kegiatan Pendidikan KP"/>
    <n v="45000000"/>
    <n v="4429000"/>
    <n v="0"/>
    <n v="4429000"/>
    <s v="0,098422222"/>
    <n v="40571000"/>
    <s v="001037"/>
    <s v="Perjalanan Sinkronisasi Kegiatan Pendidikan KP"/>
    <s v="WA.2378.EBD.952.301.B"/>
    <x v="50"/>
    <m/>
  </r>
  <r>
    <x v="1"/>
    <x v="5"/>
    <x v="0"/>
    <x v="1"/>
    <s v="524111"/>
    <s v="001029. Perjalanan Penyusunan Perencanaan Pendidikan KP"/>
    <n v="5164000"/>
    <n v="5163500"/>
    <n v="0"/>
    <n v="5163500"/>
    <s v="0,999903176"/>
    <n v="500"/>
    <s v="001029"/>
    <s v="Perjalanan Penyusunan Perencanaan Pendidikan KP"/>
    <s v="WA.2378.EBD.952.301.A"/>
    <x v="51"/>
    <m/>
  </r>
  <r>
    <x v="1"/>
    <x v="5"/>
    <x v="0"/>
    <x v="1"/>
    <s v="521219"/>
    <s v="001026. Langganan biaya video conference"/>
    <n v="1000000"/>
    <n v="702895"/>
    <n v="0"/>
    <n v="702895"/>
    <s v="0,702895"/>
    <n v="297105"/>
    <s v="001026"/>
    <s v="Langganan biaya video conference"/>
    <s v="WA.2378.EBD.952.301.A"/>
    <x v="52"/>
    <m/>
  </r>
  <r>
    <x v="1"/>
    <x v="8"/>
    <x v="0"/>
    <x v="1"/>
    <s v="532111"/>
    <s v="000830. Pengadaan Kendaraan Dinas Pejabat Eselon II"/>
    <n v="540000000"/>
    <n v="540000000"/>
    <n v="0"/>
    <n v="540000000"/>
    <s v="1"/>
    <n v="0"/>
    <s v="000830"/>
    <s v="Pengadaan Kendaraan Dinas Pejabat Eselon II"/>
    <s v="WA.2378.EBB.951.301.A"/>
    <x v="53"/>
    <m/>
  </r>
  <r>
    <x v="1"/>
    <x v="3"/>
    <x v="0"/>
    <x v="10"/>
    <s v="524111"/>
    <s v="000730. Perjalanan Koordinasi Penerimaan dan Penetapan Terpusat Peserta Didik Lingkup KKP"/>
    <n v="25062000"/>
    <n v="25062000"/>
    <n v="0"/>
    <n v="25062000"/>
    <s v="1"/>
    <n v="0"/>
    <s v="000730"/>
    <s v="Perjalanan Koordinasi Penerimaan dan Penetapan Terpusat Peserta Didik Lingkup KKP"/>
    <s v="WA.2378.EBA.962.301.I"/>
    <x v="54"/>
    <m/>
  </r>
  <r>
    <x v="1"/>
    <x v="3"/>
    <x v="0"/>
    <x v="10"/>
    <s v="522151"/>
    <s v="000729. Narasumber/Pembahas/Praktisi"/>
    <n v="40000000"/>
    <n v="14000000"/>
    <n v="0"/>
    <n v="14000000"/>
    <s v="0,35"/>
    <n v="26000000"/>
    <s v="000729"/>
    <s v="Narasumber/Pembahas/Praktisi"/>
    <s v="WA.2378.EBA.962.301.I"/>
    <x v="55"/>
    <m/>
  </r>
  <r>
    <x v="1"/>
    <x v="3"/>
    <x v="0"/>
    <x v="10"/>
    <s v="521219"/>
    <s v="000728. Langganan biaya video conference"/>
    <n v="3000000"/>
    <n v="620000"/>
    <n v="0"/>
    <n v="620000"/>
    <s v="0,206666667"/>
    <n v="2380000"/>
    <s v="000728"/>
    <s v="Langganan biaya video conference"/>
    <s v="WA.2378.EBA.962.301.I"/>
    <x v="56"/>
    <m/>
  </r>
  <r>
    <x v="1"/>
    <x v="3"/>
    <x v="0"/>
    <x v="3"/>
    <s v="522151"/>
    <s v="000704. Narasumber/Pembahas/Praktisi"/>
    <n v="9000000"/>
    <n v="4800000"/>
    <n v="0"/>
    <n v="4800000"/>
    <s v="0,533333333"/>
    <n v="4200000"/>
    <s v="000704"/>
    <s v="Narasumber/Pembahas/Praktisi"/>
    <s v="WA.2378.EBA.962.301.G"/>
    <x v="57"/>
    <m/>
  </r>
  <r>
    <x v="1"/>
    <x v="3"/>
    <x v="0"/>
    <x v="3"/>
    <s v="521219"/>
    <s v="000703. Langganan biaya video conference"/>
    <n v="1192000"/>
    <n v="1191418"/>
    <n v="0"/>
    <n v="1191418"/>
    <s v="0,999511745"/>
    <n v="582"/>
    <s v="000703"/>
    <s v="Langganan biaya video conference"/>
    <s v="WA.2378.EBA.962.301.G"/>
    <x v="58"/>
    <m/>
  </r>
  <r>
    <x v="1"/>
    <x v="3"/>
    <x v="0"/>
    <x v="2"/>
    <s v="521219"/>
    <s v="000695. Langganan biaya video conference (500 orang lebih)"/>
    <n v="1193000"/>
    <n v="1192458"/>
    <n v="0"/>
    <n v="1192458"/>
    <s v="0,999545683"/>
    <n v="542"/>
    <s v="000695"/>
    <s v="Langganan biaya video conference (500 orang lebih)"/>
    <s v="WA.2378.EBA.962.301.F"/>
    <x v="59"/>
    <m/>
  </r>
  <r>
    <x v="1"/>
    <x v="3"/>
    <x v="0"/>
    <x v="2"/>
    <s v="521219"/>
    <s v="000692. Dukungan Pelaksanaan Peningkatan Kompetensi Pendidik dan Tenaga Kependidikan"/>
    <n v="3105000"/>
    <n v="3105000"/>
    <n v="0"/>
    <n v="3105000"/>
    <s v="1"/>
    <n v="0"/>
    <s v="000692"/>
    <s v="Dukungan Pelaksanaan Peningkatan Kompetensi Pendidik dan Tenaga Kependidikan"/>
    <s v="WA.2378.EBA.962.301.F"/>
    <x v="59"/>
    <m/>
  </r>
  <r>
    <x v="1"/>
    <x v="3"/>
    <x v="0"/>
    <x v="6"/>
    <s v="524111"/>
    <s v="000687. Perjalanan Pengelolaan SDM Aparatur"/>
    <n v="21851000"/>
    <n v="21850700"/>
    <n v="0"/>
    <n v="21850700"/>
    <s v="0,999986271"/>
    <n v="300"/>
    <s v="000687"/>
    <s v="Perjalanan Pengelolaan SDM Aparatur"/>
    <s v="WA.2378.EBA.962.301.E"/>
    <x v="60"/>
    <m/>
  </r>
  <r>
    <x v="1"/>
    <x v="3"/>
    <x v="0"/>
    <x v="6"/>
    <s v="522192"/>
    <s v="000686. Test Lab Rapid/Antigen/PCR"/>
    <n v="4246000"/>
    <n v="4246000"/>
    <n v="0"/>
    <n v="4246000"/>
    <s v="1"/>
    <n v="0"/>
    <s v="000686"/>
    <s v="Test Lab Rapid/Antigen/PCR"/>
    <s v="WA.2378.EBA.962.301.E"/>
    <x v="61"/>
    <m/>
  </r>
  <r>
    <x v="1"/>
    <x v="3"/>
    <x v="0"/>
    <x v="6"/>
    <s v="521241"/>
    <s v="000685. Paket Data dan Komunikasi pimpinan"/>
    <n v="800000"/>
    <n v="400000"/>
    <n v="0"/>
    <n v="400000"/>
    <s v="0,5"/>
    <n v="400000"/>
    <s v="000685"/>
    <s v="Paket Data dan Komunikasi pimpinan"/>
    <s v="WA.2378.EBA.962.301.E"/>
    <x v="62"/>
    <m/>
  </r>
  <r>
    <x v="1"/>
    <x v="3"/>
    <x v="0"/>
    <x v="6"/>
    <s v="521241"/>
    <s v="000684. Masker, hand sanitizer, desinfektan, multivitami/suplemen (60 peg x 6 kali)"/>
    <n v="24334000"/>
    <n v="20564280"/>
    <n v="0"/>
    <n v="20564280"/>
    <s v="0,845084244"/>
    <n v="3769720"/>
    <s v="000684"/>
    <s v="Masker, hand sanitizer, desinfektan, multivitami/suplemen (60 peg x 6 kali)"/>
    <s v="WA.2378.EBA.962.301.E"/>
    <x v="62"/>
    <m/>
  </r>
  <r>
    <x v="1"/>
    <x v="3"/>
    <x v="0"/>
    <x v="6"/>
    <s v="521241"/>
    <s v="000683. Paket Data dan Komunikasi Pegawai (60x12)"/>
    <n v="57400000"/>
    <n v="46200000"/>
    <n v="0"/>
    <n v="46200000"/>
    <s v="0,804878049"/>
    <n v="11200000"/>
    <s v="000683"/>
    <s v="Paket Data dan Komunikasi Pegawai (60x12)"/>
    <s v="WA.2378.EBA.962.301.E"/>
    <x v="62"/>
    <m/>
  </r>
  <r>
    <x v="1"/>
    <x v="3"/>
    <x v="0"/>
    <x v="7"/>
    <s v="524111"/>
    <s v="000677. Penyusunan Bahan Tindak Lanjut dan Pemutakhiran Data"/>
    <n v="47693000"/>
    <n v="27681738"/>
    <n v="0"/>
    <n v="27681738"/>
    <s v="0,580415113"/>
    <n v="20011262"/>
    <s v="000677"/>
    <s v="Penyusunan Bahan Tindak Lanjut dan Pemutakhiran Data"/>
    <s v="WA.2378.EBA.962.301.D"/>
    <x v="63"/>
    <m/>
  </r>
  <r>
    <x v="1"/>
    <x v="3"/>
    <x v="0"/>
    <x v="8"/>
    <s v="524113"/>
    <s v="000672. Perjalanan Koordinasi"/>
    <n v="2250000"/>
    <n v="600000"/>
    <n v="0"/>
    <n v="600000"/>
    <s v="0,266666667"/>
    <n v="1650000"/>
    <s v="000672"/>
    <s v="Perjalanan Koordinasi"/>
    <s v="WA.2378.EBA.962.301.C"/>
    <x v="64"/>
    <m/>
  </r>
  <r>
    <x v="1"/>
    <x v="3"/>
    <x v="0"/>
    <x v="8"/>
    <s v="524111"/>
    <s v="000671. Perjalanan Pengelolaan Penatausahaan Arsip dan Sinkronisasi Tata Naskah dan Persuratan"/>
    <n v="18000000"/>
    <n v="8310000"/>
    <n v="0"/>
    <n v="8310000"/>
    <s v="0,461666667"/>
    <n v="9690000"/>
    <s v="000671"/>
    <s v="Perjalanan Pengelolaan Penatausahaan Arsip dan Sinkronisasi Tata Naskah dan Persuratan"/>
    <s v="WA.2378.EBA.962.301.C"/>
    <x v="65"/>
    <m/>
  </r>
  <r>
    <x v="1"/>
    <x v="3"/>
    <x v="0"/>
    <x v="0"/>
    <s v="524111"/>
    <s v="000664. Perjalanan Koordinasi, Sinkronisasi dan pendampingan"/>
    <n v="180375000"/>
    <n v="113862760"/>
    <n v="0"/>
    <n v="113862760"/>
    <s v="0,631255773"/>
    <n v="66512240"/>
    <s v="000664"/>
    <s v="Perjalanan Koordinasi, Sinkronisasi dan pendampingan"/>
    <s v="WA.2378.EBA.962.301.B"/>
    <x v="66"/>
    <m/>
  </r>
  <r>
    <x v="1"/>
    <x v="3"/>
    <x v="0"/>
    <x v="0"/>
    <s v="524111"/>
    <s v="000663. Perjalanan Pembinaan"/>
    <n v="193259000"/>
    <n v="46717701"/>
    <n v="0"/>
    <n v="46717701"/>
    <s v="0,241736224"/>
    <n v="146541299"/>
    <s v="000663"/>
    <s v="Perjalanan Pembinaan"/>
    <s v="WA.2378.EBA.962.301.B"/>
    <x v="66"/>
    <m/>
  </r>
  <r>
    <x v="1"/>
    <x v="3"/>
    <x v="0"/>
    <x v="0"/>
    <s v="522192"/>
    <s v="000662. Test Lab Rapid/Antigen/PCR"/>
    <n v="2031000"/>
    <n v="2031000"/>
    <n v="0"/>
    <n v="2031000"/>
    <s v="1"/>
    <n v="0"/>
    <s v="000662"/>
    <s v="Test Lab Rapid/Antigen/PCR"/>
    <s v="WA.2378.EBA.962.301.B"/>
    <x v="67"/>
    <m/>
  </r>
  <r>
    <x v="1"/>
    <x v="3"/>
    <x v="0"/>
    <x v="1"/>
    <s v="524113"/>
    <s v="000658. Koordinasi kearsipan"/>
    <n v="750000"/>
    <n v="750000"/>
    <n v="0"/>
    <n v="750000"/>
    <s v="1"/>
    <n v="0"/>
    <s v="000658"/>
    <s v="Koordinasi kearsipan"/>
    <s v="WA.2378.EBA.962.301.A"/>
    <x v="68"/>
    <m/>
  </r>
  <r>
    <x v="1"/>
    <x v="3"/>
    <x v="0"/>
    <x v="1"/>
    <s v="524111"/>
    <s v="000657. Implementasi SIMAK - BMN"/>
    <n v="12989000"/>
    <n v="11338500"/>
    <n v="0"/>
    <n v="11338500"/>
    <s v="0,872930942"/>
    <n v="1650500"/>
    <s v="000657"/>
    <s v="Implementasi SIMAK - BMN"/>
    <s v="WA.2378.EBA.962.301.A"/>
    <x v="69"/>
    <m/>
  </r>
  <r>
    <x v="1"/>
    <x v="6"/>
    <x v="4"/>
    <x v="11"/>
    <s v="524111"/>
    <s v="000359. Perjalanan Kerjasama Pendidikan KP"/>
    <n v="90946000"/>
    <n v="18370600"/>
    <n v="0"/>
    <n v="18370600"/>
    <s v="0,20199459"/>
    <n v="72575400"/>
    <s v="000359"/>
    <s v="Perjalanan Kerjasama Pendidikan KP"/>
    <s v="WA.2378.EBA.958.311.A"/>
    <x v="70"/>
    <m/>
  </r>
  <r>
    <x v="1"/>
    <x v="9"/>
    <x v="0"/>
    <x v="1"/>
    <s v="532111"/>
    <s v="000220. Alat pengolah data dan komunikasi"/>
    <n v="114200000"/>
    <n v="114200000"/>
    <n v="0"/>
    <n v="114200000"/>
    <s v="1"/>
    <n v="0"/>
    <s v="000220"/>
    <s v="Alat pengolah data dan komunikasi"/>
    <s v="WA.2378.CAN.001.301.A"/>
    <x v="71"/>
    <m/>
  </r>
  <r>
    <x v="0"/>
    <x v="0"/>
    <x v="3"/>
    <x v="9"/>
    <s v="521811"/>
    <s v="001369. ATK"/>
    <n v="18000000"/>
    <n v="2875000"/>
    <n v="0"/>
    <n v="2875000"/>
    <s v="0,159722222"/>
    <n v="15125000"/>
    <s v="001369"/>
    <s v="ATK"/>
    <s v="WA.4345.EBC.996.302.A"/>
    <x v="72"/>
    <m/>
  </r>
  <r>
    <x v="0"/>
    <x v="0"/>
    <x v="3"/>
    <x v="9"/>
    <s v="521811"/>
    <s v="001368. Bahan Komputer"/>
    <n v="12000000"/>
    <n v="1970000"/>
    <n v="0"/>
    <n v="1970000"/>
    <s v="0,164166667"/>
    <n v="10030000"/>
    <s v="001368"/>
    <s v="Bahan Komputer"/>
    <s v="WA.4345.EBC.996.302.A"/>
    <x v="72"/>
    <m/>
  </r>
  <r>
    <x v="0"/>
    <x v="0"/>
    <x v="3"/>
    <x v="9"/>
    <s v="521211"/>
    <s v="001367. Penggadaan"/>
    <n v="18000000"/>
    <n v="2961000"/>
    <n v="0"/>
    <n v="2961000"/>
    <s v="0,1645"/>
    <n v="15039000"/>
    <s v="001367"/>
    <s v="Penggadaan"/>
    <s v="WA.4345.EBC.996.302.A"/>
    <x v="73"/>
    <m/>
  </r>
  <r>
    <x v="0"/>
    <x v="0"/>
    <x v="0"/>
    <x v="0"/>
    <s v="524111"/>
    <s v="001359. Perjalanan Koordinasi dan pengadministrasian Tugas Belajar"/>
    <n v="156000000"/>
    <n v="42723206"/>
    <n v="0"/>
    <n v="42723206"/>
    <s v="0,273866705"/>
    <n v="113276794"/>
    <s v="001359"/>
    <s v="Perjalanan Koordinasi dan pengadministrasian Tugas Belajar"/>
    <s v="WA.4345.EBC.996.301.B"/>
    <x v="74"/>
    <m/>
  </r>
  <r>
    <x v="0"/>
    <x v="0"/>
    <x v="0"/>
    <x v="0"/>
    <s v="521811"/>
    <s v="001355. Bahan Komputer"/>
    <n v="12000000"/>
    <n v="1910000"/>
    <n v="0"/>
    <n v="1910000"/>
    <s v="0,159166667"/>
    <n v="10090000"/>
    <s v="001355"/>
    <s v="Bahan Komputer"/>
    <s v="WA.4345.EBC.996.301.B"/>
    <x v="0"/>
    <m/>
  </r>
  <r>
    <x v="0"/>
    <x v="0"/>
    <x v="0"/>
    <x v="1"/>
    <s v="521811"/>
    <s v="001345. ATK"/>
    <n v="15000000"/>
    <n v="2920000"/>
    <n v="0"/>
    <n v="2920000"/>
    <s v="0,194666667"/>
    <n v="12080000"/>
    <s v="001345"/>
    <s v="ATK"/>
    <s v="WA.4345.EBC.996.301.A"/>
    <x v="75"/>
    <m/>
  </r>
  <r>
    <x v="0"/>
    <x v="0"/>
    <x v="0"/>
    <x v="1"/>
    <s v="521811"/>
    <s v="001344. Bahan Komputer"/>
    <n v="10000000"/>
    <n v="1935000"/>
    <n v="0"/>
    <n v="1935000"/>
    <s v="0,1935"/>
    <n v="8065000"/>
    <s v="001344"/>
    <s v="Bahan Komputer"/>
    <s v="WA.4345.EBC.996.301.A"/>
    <x v="75"/>
    <m/>
  </r>
  <r>
    <x v="2"/>
    <x v="4"/>
    <x v="6"/>
    <x v="16"/>
    <s v="524111"/>
    <s v="000218. Perjalanan Evaluasi Beban Kerja Guru dan Dosen"/>
    <n v="97416000"/>
    <n v="57918610"/>
    <n v="0"/>
    <n v="57918610"/>
    <s v="0,594549253"/>
    <n v="39497390"/>
    <s v="000218"/>
    <s v="Perjalanan Evaluasi Beban Kerja Guru dan Dosen"/>
    <s v="DL.2376.AFA.001.054.A"/>
    <x v="76"/>
    <m/>
  </r>
  <r>
    <x v="2"/>
    <x v="4"/>
    <x v="6"/>
    <x v="16"/>
    <s v="522151"/>
    <s v="000216. Narasumber/Pembahas"/>
    <n v="10000000"/>
    <n v="7200000"/>
    <n v="0"/>
    <n v="7200000"/>
    <s v="0,72"/>
    <n v="2800000"/>
    <s v="000216"/>
    <s v="Narasumber/Pembahas"/>
    <s v="DL.2376.AFA.001.054.A"/>
    <x v="77"/>
    <m/>
  </r>
  <r>
    <x v="2"/>
    <x v="4"/>
    <x v="6"/>
    <x v="16"/>
    <s v="521211"/>
    <s v="000213. Bahan Komputer"/>
    <n v="3000000"/>
    <n v="2995000"/>
    <n v="0"/>
    <n v="2995000"/>
    <s v="0,998333333"/>
    <n v="5000"/>
    <s v="000213"/>
    <s v="Bahan Komputer"/>
    <s v="DL.2376.AFA.001.054.A"/>
    <x v="78"/>
    <m/>
  </r>
  <r>
    <x v="2"/>
    <x v="4"/>
    <x v="6"/>
    <x v="16"/>
    <s v="521211"/>
    <s v="000212. ATK"/>
    <n v="2000000"/>
    <n v="1996500"/>
    <n v="0"/>
    <n v="1996500"/>
    <s v="0,99825"/>
    <n v="3500"/>
    <s v="000212"/>
    <s v="ATK"/>
    <s v="DL.2376.AFA.001.054.A"/>
    <x v="78"/>
    <m/>
  </r>
  <r>
    <x v="2"/>
    <x v="4"/>
    <x v="6"/>
    <x v="16"/>
    <s v="521211"/>
    <s v="000211. Bahan Konsumsi Rapat"/>
    <n v="5900000"/>
    <n v="1500000"/>
    <n v="0"/>
    <n v="1500000"/>
    <s v="0,254237288"/>
    <n v="4400000"/>
    <s v="000211"/>
    <s v="Bahan Konsumsi Rapat"/>
    <s v="DL.2376.AFA.001.054.A"/>
    <x v="78"/>
    <m/>
  </r>
  <r>
    <x v="2"/>
    <x v="4"/>
    <x v="6"/>
    <x v="16"/>
    <s v="521211"/>
    <s v="000210. Penggandaan"/>
    <n v="3000000"/>
    <n v="2999250"/>
    <n v="0"/>
    <n v="2999250"/>
    <s v="0,99975"/>
    <n v="750"/>
    <s v="000210"/>
    <s v="Penggandaan"/>
    <s v="DL.2376.AFA.001.054.A"/>
    <x v="78"/>
    <m/>
  </r>
  <r>
    <x v="2"/>
    <x v="4"/>
    <x v="1"/>
    <x v="4"/>
    <s v="522192"/>
    <s v="000201. Test Rapid/AntigenPCR"/>
    <n v="2000000"/>
    <n v="365000"/>
    <n v="0"/>
    <n v="365000"/>
    <s v="0,1825"/>
    <n v="1635000"/>
    <s v="000201"/>
    <s v="Test Rapid/AntigenPCR"/>
    <s v="DL.2376.AFA.001.053.B"/>
    <x v="79"/>
    <m/>
  </r>
  <r>
    <x v="2"/>
    <x v="4"/>
    <x v="1"/>
    <x v="4"/>
    <s v="522151"/>
    <s v="000200. Narasumber/Pembahas"/>
    <n v="16200000"/>
    <n v="6300000"/>
    <n v="0"/>
    <n v="6300000"/>
    <s v="0,388888889"/>
    <n v="9900000"/>
    <s v="000200"/>
    <s v="Narasumber/Pembahas"/>
    <s v="DL.2376.AFA.001.053.B"/>
    <x v="80"/>
    <m/>
  </r>
  <r>
    <x v="2"/>
    <x v="4"/>
    <x v="1"/>
    <x v="4"/>
    <s v="521811"/>
    <s v="000199. Bahan Komputer"/>
    <n v="9000000"/>
    <n v="1470000"/>
    <n v="0"/>
    <n v="1470000"/>
    <s v="0,163333333"/>
    <n v="7530000"/>
    <s v="000199"/>
    <s v="Bahan Komputer"/>
    <s v="DL.2376.AFA.001.053.B"/>
    <x v="81"/>
    <m/>
  </r>
  <r>
    <x v="2"/>
    <x v="4"/>
    <x v="1"/>
    <x v="4"/>
    <s v="521811"/>
    <s v="000198. ATK"/>
    <n v="6000000"/>
    <n v="983500"/>
    <n v="0"/>
    <n v="983500"/>
    <s v="0,163916667"/>
    <n v="5016500"/>
    <s v="000198"/>
    <s v="ATK"/>
    <s v="DL.2376.AFA.001.053.B"/>
    <x v="81"/>
    <m/>
  </r>
  <r>
    <x v="2"/>
    <x v="4"/>
    <x v="1"/>
    <x v="4"/>
    <s v="521219"/>
    <s v="000197. Dukungan Pembentukan Kelembagaan"/>
    <n v="4000000"/>
    <n v="3960000"/>
    <n v="0"/>
    <n v="3960000"/>
    <s v="0,99"/>
    <n v="40000"/>
    <s v="000197"/>
    <s v="Dukungan Pembentukan Kelembagaan"/>
    <s v="DL.2376.AFA.001.053.B"/>
    <x v="82"/>
    <m/>
  </r>
  <r>
    <x v="2"/>
    <x v="4"/>
    <x v="1"/>
    <x v="4"/>
    <s v="521219"/>
    <s v="000196. Langganan biaya video conference"/>
    <n v="1000000"/>
    <n v="302850"/>
    <n v="0"/>
    <n v="302850"/>
    <s v="0,30285"/>
    <n v="697150"/>
    <s v="000196"/>
    <s v="Langganan biaya video conference"/>
    <s v="DL.2376.AFA.001.053.B"/>
    <x v="82"/>
    <m/>
  </r>
  <r>
    <x v="2"/>
    <x v="4"/>
    <x v="1"/>
    <x v="4"/>
    <s v="521211"/>
    <s v="000194. Penggandaan"/>
    <n v="6000000"/>
    <n v="1468550"/>
    <n v="0"/>
    <n v="1468550"/>
    <s v="0,244758333"/>
    <n v="4531450"/>
    <s v="000194"/>
    <s v="Penggandaan"/>
    <s v="DL.2376.AFA.001.053.B"/>
    <x v="83"/>
    <m/>
  </r>
  <r>
    <x v="2"/>
    <x v="4"/>
    <x v="1"/>
    <x v="4"/>
    <s v="521211"/>
    <s v="000193. Konsumsi/Bahan Makan"/>
    <n v="15456000"/>
    <n v="8970000"/>
    <n v="0"/>
    <n v="8970000"/>
    <s v="0,580357143"/>
    <n v="6486000"/>
    <s v="000193"/>
    <s v="Konsumsi/Bahan Makan"/>
    <s v="DL.2376.AFA.001.053.B"/>
    <x v="83"/>
    <m/>
  </r>
  <r>
    <x v="2"/>
    <x v="4"/>
    <x v="1"/>
    <x v="17"/>
    <s v="524111"/>
    <s v="000191. Perjalanan Pembentukan Kelembagaan Pendidikan KP"/>
    <n v="253324000"/>
    <n v="33228650"/>
    <n v="0"/>
    <n v="33228650"/>
    <s v="0,131170556"/>
    <n v="220095350"/>
    <s v="000191"/>
    <s v="Perjalanan Pembentukan Kelembagaan Pendidikan KP"/>
    <s v="DL.2376.AFA.001.053.A"/>
    <x v="84"/>
    <m/>
  </r>
  <r>
    <x v="2"/>
    <x v="4"/>
    <x v="1"/>
    <x v="17"/>
    <s v="522151"/>
    <s v="000189. Narasumber/Pembahas"/>
    <n v="25200000"/>
    <n v="9000000"/>
    <n v="0"/>
    <n v="9000000"/>
    <s v="0,357142857"/>
    <n v="16200000"/>
    <s v="000189"/>
    <s v="Narasumber/Pembahas"/>
    <s v="DL.2376.AFA.001.053.A"/>
    <x v="85"/>
    <m/>
  </r>
  <r>
    <x v="2"/>
    <x v="4"/>
    <x v="1"/>
    <x v="17"/>
    <s v="521811"/>
    <s v="000188. Bahan Komputer"/>
    <n v="18000000"/>
    <n v="5615000"/>
    <n v="0"/>
    <n v="5615000"/>
    <s v="0,311944444"/>
    <n v="12385000"/>
    <s v="000188"/>
    <s v="Bahan Komputer"/>
    <s v="DL.2376.AFA.001.053.A"/>
    <x v="86"/>
    <m/>
  </r>
  <r>
    <x v="2"/>
    <x v="4"/>
    <x v="1"/>
    <x v="17"/>
    <s v="521811"/>
    <s v="000187. ATK"/>
    <n v="12000000"/>
    <n v="3922000"/>
    <n v="0"/>
    <n v="3922000"/>
    <s v="0,326833333"/>
    <n v="8078000"/>
    <s v="000187"/>
    <s v="ATK"/>
    <s v="DL.2376.AFA.001.053.A"/>
    <x v="86"/>
    <m/>
  </r>
  <r>
    <x v="2"/>
    <x v="4"/>
    <x v="1"/>
    <x v="17"/>
    <s v="521219"/>
    <s v="000185. Langganan biaya video conference"/>
    <n v="1000000"/>
    <n v="963000"/>
    <n v="0"/>
    <n v="963000"/>
    <s v="0,963"/>
    <n v="37000"/>
    <s v="000185"/>
    <s v="Langganan biaya video conference"/>
    <s v="DL.2376.AFA.001.053.A"/>
    <x v="87"/>
    <m/>
  </r>
  <r>
    <x v="2"/>
    <x v="4"/>
    <x v="1"/>
    <x v="17"/>
    <s v="521211"/>
    <s v="000183. Konsumsi/Bahan Makan"/>
    <n v="6900000"/>
    <n v="440000"/>
    <n v="0"/>
    <n v="440000"/>
    <s v="0,063768116"/>
    <n v="6460000"/>
    <s v="000183"/>
    <s v="Konsumsi/Bahan Makan"/>
    <s v="DL.2376.AFA.001.053.A"/>
    <x v="88"/>
    <m/>
  </r>
  <r>
    <x v="2"/>
    <x v="4"/>
    <x v="1"/>
    <x v="17"/>
    <s v="521211"/>
    <s v="000182. Penggandaan"/>
    <n v="18000000"/>
    <n v="5755000"/>
    <n v="0"/>
    <n v="5755000"/>
    <s v="0,319722222"/>
    <n v="12245000"/>
    <s v="000182"/>
    <s v="Penggandaan"/>
    <s v="DL.2376.AFA.001.053.A"/>
    <x v="88"/>
    <m/>
  </r>
  <r>
    <x v="2"/>
    <x v="4"/>
    <x v="2"/>
    <x v="5"/>
    <s v="521211"/>
    <s v="000178. Bahan Komputer"/>
    <n v="3000000"/>
    <n v="1470000"/>
    <n v="0"/>
    <n v="1470000"/>
    <s v="0,49"/>
    <n v="1530000"/>
    <s v="000178"/>
    <s v="Bahan Komputer"/>
    <s v="DL.2376.AFA.001.052.A"/>
    <x v="89"/>
    <m/>
  </r>
  <r>
    <x v="2"/>
    <x v="4"/>
    <x v="2"/>
    <x v="5"/>
    <s v="521211"/>
    <s v="000177. ATK"/>
    <n v="2000000"/>
    <n v="990000"/>
    <n v="0"/>
    <n v="990000"/>
    <s v="0,495"/>
    <n v="1010000"/>
    <s v="000177"/>
    <s v="ATK"/>
    <s v="DL.2376.AFA.001.052.A"/>
    <x v="89"/>
    <m/>
  </r>
  <r>
    <x v="2"/>
    <x v="4"/>
    <x v="2"/>
    <x v="5"/>
    <s v="521211"/>
    <s v="000175. Konsumsi/Bahan Makanan"/>
    <n v="3750000"/>
    <n v="660000"/>
    <n v="0"/>
    <n v="660000"/>
    <s v="0,176"/>
    <n v="3090000"/>
    <s v="000175"/>
    <s v="Konsumsi/Bahan Makanan"/>
    <s v="DL.2376.AFA.001.052.A"/>
    <x v="89"/>
    <m/>
  </r>
  <r>
    <x v="2"/>
    <x v="4"/>
    <x v="7"/>
    <x v="18"/>
    <s v="524111"/>
    <s v="000174. perjalanan Penyusunan NSPK Metode dan Kurikulum"/>
    <n v="17465000"/>
    <n v="16620000"/>
    <n v="0"/>
    <n v="16620000"/>
    <s v="0,951617521"/>
    <n v="845000"/>
    <s v="000174"/>
    <s v="perjalanan Penyusunan NSPK Metode dan Kurikulum"/>
    <s v="DL.2376.AFA.001.051.B"/>
    <x v="90"/>
    <m/>
  </r>
  <r>
    <x v="2"/>
    <x v="4"/>
    <x v="7"/>
    <x v="18"/>
    <s v="522151"/>
    <s v="000173. Narasumber/Pembahas"/>
    <n v="4000000"/>
    <n v="900000"/>
    <n v="0"/>
    <n v="900000"/>
    <s v="0,225"/>
    <n v="3100000"/>
    <s v="000173"/>
    <s v="Narasumber/Pembahas"/>
    <s v="DL.2376.AFA.001.051.B"/>
    <x v="91"/>
    <m/>
  </r>
  <r>
    <x v="2"/>
    <x v="4"/>
    <x v="7"/>
    <x v="18"/>
    <s v="521211"/>
    <s v="000172. Bahan Komputer"/>
    <n v="4500000"/>
    <n v="1480000"/>
    <n v="0"/>
    <n v="1480000"/>
    <s v="0,328888889"/>
    <n v="3020000"/>
    <s v="000172"/>
    <s v="Bahan Komputer"/>
    <s v="DL.2376.AFA.001.051.B"/>
    <x v="92"/>
    <m/>
  </r>
  <r>
    <x v="2"/>
    <x v="4"/>
    <x v="7"/>
    <x v="18"/>
    <s v="521211"/>
    <s v="000171. ATK"/>
    <n v="3000000"/>
    <n v="997000"/>
    <n v="0"/>
    <n v="997000"/>
    <s v="0,332333333"/>
    <n v="2003000"/>
    <s v="000171"/>
    <s v="ATK"/>
    <s v="DL.2376.AFA.001.051.B"/>
    <x v="92"/>
    <m/>
  </r>
  <r>
    <x v="2"/>
    <x v="4"/>
    <x v="7"/>
    <x v="18"/>
    <s v="521211"/>
    <s v="000169. Konsumsi/Bahan Makanan"/>
    <n v="9000000"/>
    <n v="1564000"/>
    <n v="0"/>
    <n v="1564000"/>
    <s v="0,173777778"/>
    <n v="7436000"/>
    <s v="000169"/>
    <s v="Konsumsi/Bahan Makanan"/>
    <s v="DL.2376.AFA.001.051.B"/>
    <x v="92"/>
    <m/>
  </r>
  <r>
    <x v="2"/>
    <x v="4"/>
    <x v="7"/>
    <x v="19"/>
    <s v="524111"/>
    <s v="000168. Perjalanan Bimbingan dan Pembinaan Metode dan Kurikulum"/>
    <n v="43260000"/>
    <n v="24466000"/>
    <n v="0"/>
    <n v="24466000"/>
    <s v="0,565557097"/>
    <n v="18794000"/>
    <s v="000168"/>
    <s v="Perjalanan Bimbingan dan Pembinaan Metode dan Kurikulum"/>
    <s v="DL.2376.AFA.001.051.A"/>
    <x v="93"/>
    <m/>
  </r>
  <r>
    <x v="2"/>
    <x v="4"/>
    <x v="7"/>
    <x v="19"/>
    <s v="522151"/>
    <s v="000167. Narasumber/Pembahas"/>
    <n v="20000000"/>
    <n v="900000"/>
    <n v="0"/>
    <n v="900000"/>
    <s v="0,045"/>
    <n v="19100000"/>
    <s v="000167"/>
    <s v="Narasumber/Pembahas"/>
    <s v="DL.2376.AFA.001.051.A"/>
    <x v="94"/>
    <m/>
  </r>
  <r>
    <x v="2"/>
    <x v="4"/>
    <x v="7"/>
    <x v="19"/>
    <s v="521211"/>
    <s v="000166. Bahan Komputer"/>
    <n v="4500000"/>
    <n v="1485000"/>
    <n v="0"/>
    <n v="1485000"/>
    <s v="0,33"/>
    <n v="3015000"/>
    <s v="000166"/>
    <s v="Bahan Komputer"/>
    <s v="DL.2376.AFA.001.051.A"/>
    <x v="95"/>
    <m/>
  </r>
  <r>
    <x v="2"/>
    <x v="4"/>
    <x v="7"/>
    <x v="19"/>
    <s v="521211"/>
    <s v="000165. ATK"/>
    <n v="3000000"/>
    <n v="990000"/>
    <n v="0"/>
    <n v="990000"/>
    <s v="0,33"/>
    <n v="2010000"/>
    <s v="000165"/>
    <s v="ATK"/>
    <s v="DL.2376.AFA.001.051.A"/>
    <x v="95"/>
    <m/>
  </r>
  <r>
    <x v="2"/>
    <x v="4"/>
    <x v="7"/>
    <x v="19"/>
    <s v="521211"/>
    <s v="000163. Konsumsi/Bahan Makanan"/>
    <n v="9375000"/>
    <n v="3106000"/>
    <n v="0"/>
    <n v="3106000"/>
    <s v="0,331306667"/>
    <n v="6269000"/>
    <s v="000163"/>
    <s v="Konsumsi/Bahan Makanan"/>
    <s v="DL.2376.AFA.001.051.A"/>
    <x v="95"/>
    <m/>
  </r>
  <r>
    <x v="0"/>
    <x v="0"/>
    <x v="3"/>
    <x v="9"/>
    <s v="524111"/>
    <s v="001506. Perjalanan Koordinasi dan pengadministrasian izin Belajar"/>
    <n v="54200000"/>
    <n v="0"/>
    <n v="0"/>
    <n v="0"/>
    <s v="0"/>
    <n v="54200000"/>
    <s v="001506"/>
    <s v="Perjalanan Koordinasi dan pengadministrasian izin Belajar"/>
    <s v="WA.4345.EBC.996.302.A"/>
    <x v="96"/>
    <m/>
  </r>
  <r>
    <x v="0"/>
    <x v="0"/>
    <x v="3"/>
    <x v="9"/>
    <s v="521211"/>
    <s v="001505. Konsumsi/bahan makanan"/>
    <n v="7000000"/>
    <n v="0"/>
    <n v="0"/>
    <n v="0"/>
    <s v="0"/>
    <n v="7000000"/>
    <s v="001505"/>
    <s v="Konsumsi/Bahan Makanan"/>
    <s v="WA.4345.EBC.996.302.A"/>
    <x v="73"/>
    <m/>
  </r>
  <r>
    <x v="0"/>
    <x v="0"/>
    <x v="0"/>
    <x v="8"/>
    <s v="524211"/>
    <s v="001511. Perjalanan peserta tugas belajar, Koordinasi dan Pendampingan tugas belajar"/>
    <n v="142041000"/>
    <n v="0"/>
    <n v="0"/>
    <n v="0"/>
    <s v="0"/>
    <n v="142041000"/>
    <s v="001511"/>
    <s v="Perjalanan peserta tugas belajar, Koordinasi dan Pendampingan tugas belajar"/>
    <s v="WA.4345.EBC.996.301.C"/>
    <x v="97"/>
    <m/>
  </r>
  <r>
    <x v="0"/>
    <x v="0"/>
    <x v="0"/>
    <x v="8"/>
    <s v="521219"/>
    <s v="001510. Dukungan Penyelenggaraan Tugas Belajar Luar Negeri"/>
    <n v="20000000"/>
    <n v="0"/>
    <n v="0"/>
    <n v="0"/>
    <s v="0"/>
    <n v="20000000"/>
    <s v="001510"/>
    <s v="Dukungan Penyelenggaraan Tugas Belajar Luar Negeri"/>
    <s v="WA.4345.EBC.996.301.C"/>
    <x v="98"/>
    <m/>
  </r>
  <r>
    <x v="0"/>
    <x v="0"/>
    <x v="0"/>
    <x v="8"/>
    <s v="521211"/>
    <s v="001509. ATK"/>
    <n v="4500000"/>
    <n v="0"/>
    <n v="0"/>
    <n v="0"/>
    <s v="0"/>
    <n v="4500000"/>
    <s v="001509"/>
    <s v="ATK"/>
    <s v="WA.4345.EBC.996.301.C"/>
    <x v="99"/>
    <m/>
  </r>
  <r>
    <x v="0"/>
    <x v="0"/>
    <x v="0"/>
    <x v="8"/>
    <s v="521211"/>
    <s v="001508. Bahan Komputer"/>
    <n v="3000000"/>
    <n v="0"/>
    <n v="0"/>
    <n v="0"/>
    <s v="0"/>
    <n v="3000000"/>
    <s v="001508"/>
    <s v="Bahan Komputer"/>
    <s v="WA.4345.EBC.996.301.C"/>
    <x v="99"/>
    <m/>
  </r>
  <r>
    <x v="0"/>
    <x v="0"/>
    <x v="0"/>
    <x v="8"/>
    <s v="521211"/>
    <s v="001507. Penggadaan"/>
    <n v="4500000"/>
    <n v="0"/>
    <n v="0"/>
    <n v="0"/>
    <s v="0"/>
    <n v="4500000"/>
    <s v="001507"/>
    <s v="Penggadaan"/>
    <s v="WA.4345.EBC.996.301.C"/>
    <x v="99"/>
    <m/>
  </r>
  <r>
    <x v="0"/>
    <x v="0"/>
    <x v="0"/>
    <x v="0"/>
    <s v="524111"/>
    <s v="001479. Perjalanan Peserta Tugas Belajar"/>
    <n v="60000000"/>
    <n v="0"/>
    <n v="0"/>
    <n v="0"/>
    <s v="0"/>
    <n v="60000000"/>
    <s v="001479"/>
    <s v="Perjalanan Peserta Tugas Belajar"/>
    <s v="WA.4345.EBC.996.301.B"/>
    <x v="74"/>
    <m/>
  </r>
  <r>
    <x v="0"/>
    <x v="0"/>
    <x v="0"/>
    <x v="0"/>
    <s v="522151"/>
    <s v="001513. Narasumber/Pembahas"/>
    <n v="6000000"/>
    <n v="0"/>
    <n v="0"/>
    <n v="0"/>
    <s v="0"/>
    <n v="6000000"/>
    <s v="001513"/>
    <s v="Narasumber/Pembahas"/>
    <s v="WA.4345.EBC.996.301.B"/>
    <x v="100"/>
    <m/>
  </r>
  <r>
    <x v="0"/>
    <x v="0"/>
    <x v="0"/>
    <x v="0"/>
    <s v="521219"/>
    <s v="001515. Dukungan Koordinasi tugas belajar"/>
    <n v="7500000"/>
    <n v="0"/>
    <n v="0"/>
    <n v="0"/>
    <s v="0"/>
    <n v="7500000"/>
    <s v="001515"/>
    <s v="Dukungan Koordinasi tugas belajar"/>
    <s v="WA.4345.EBC.996.301.B"/>
    <x v="1"/>
    <m/>
  </r>
  <r>
    <x v="0"/>
    <x v="0"/>
    <x v="0"/>
    <x v="0"/>
    <s v="521219"/>
    <s v="001514. Langganan biaya video conference"/>
    <n v="750000"/>
    <n v="0"/>
    <n v="0"/>
    <n v="0"/>
    <s v="0"/>
    <n v="750000"/>
    <s v="001514"/>
    <s v="Langganan biaya video conference"/>
    <s v="WA.4345.EBC.996.301.B"/>
    <x v="1"/>
    <m/>
  </r>
  <r>
    <x v="0"/>
    <x v="0"/>
    <x v="0"/>
    <x v="0"/>
    <s v="521211"/>
    <s v="001478. Konsumsi/bahan makanan"/>
    <n v="7000000"/>
    <n v="0"/>
    <n v="0"/>
    <n v="0"/>
    <s v="0"/>
    <n v="7000000"/>
    <s v="001478"/>
    <s v="Konsumsi/Bahan Makanan"/>
    <s v="WA.4345.EBC.996.301.B"/>
    <x v="2"/>
    <m/>
  </r>
  <r>
    <x v="0"/>
    <x v="0"/>
    <x v="0"/>
    <x v="1"/>
    <s v="524111"/>
    <s v="001528. Perjalanan Peserta Tugas Belajar"/>
    <n v="60000000"/>
    <n v="0"/>
    <n v="0"/>
    <n v="0"/>
    <s v="0"/>
    <n v="60000000"/>
    <s v="001528"/>
    <s v="Perjalanan Peserta Tugas Belajar"/>
    <s v="WA.4345.EBC.996.301.A"/>
    <x v="3"/>
    <m/>
  </r>
  <r>
    <x v="0"/>
    <x v="0"/>
    <x v="0"/>
    <x v="1"/>
    <s v="522191"/>
    <s v="001527. Pelaksanaan TOEFL/TPA"/>
    <n v="102600000"/>
    <n v="0"/>
    <n v="0"/>
    <n v="0"/>
    <s v="0"/>
    <n v="102600000"/>
    <s v="001527"/>
    <s v="Pelaksanaan TOEFL/TPA"/>
    <s v="WA.4345.EBC.996.301.A"/>
    <x v="101"/>
    <m/>
  </r>
  <r>
    <x v="0"/>
    <x v="0"/>
    <x v="0"/>
    <x v="1"/>
    <s v="522151"/>
    <s v="001526. Narasumber/Pembahas"/>
    <n v="15000000"/>
    <n v="0"/>
    <n v="0"/>
    <n v="0"/>
    <s v="0"/>
    <n v="15000000"/>
    <s v="001526"/>
    <s v="Narasumber/Pembahas"/>
    <s v="WA.4345.EBC.996.301.A"/>
    <x v="102"/>
    <m/>
  </r>
  <r>
    <x v="0"/>
    <x v="0"/>
    <x v="0"/>
    <x v="1"/>
    <s v="521219"/>
    <s v="001525. Langganan biaya video conference"/>
    <n v="250000"/>
    <n v="0"/>
    <n v="0"/>
    <n v="0"/>
    <s v="0"/>
    <n v="250000"/>
    <s v="001525"/>
    <s v="Langganan biaya video conference"/>
    <s v="WA.4345.EBC.996.301.A"/>
    <x v="103"/>
    <m/>
  </r>
  <r>
    <x v="0"/>
    <x v="0"/>
    <x v="0"/>
    <x v="1"/>
    <s v="521219"/>
    <s v="001524. Dukungan Penyelenggaraan Tugas Belajar"/>
    <n v="1333614000"/>
    <n v="0"/>
    <n v="0"/>
    <n v="0"/>
    <s v="0"/>
    <n v="1333614000"/>
    <s v="001524"/>
    <s v="Dukungan Penyelenggaraan Tugas Belajar"/>
    <s v="WA.4345.EBC.996.301.A"/>
    <x v="103"/>
    <m/>
  </r>
  <r>
    <x v="0"/>
    <x v="0"/>
    <x v="0"/>
    <x v="1"/>
    <s v="521211"/>
    <s v="001523. Perlengkapan Protokol kesehatan TPA Toefl"/>
    <n v="22500000"/>
    <n v="0"/>
    <n v="0"/>
    <n v="0"/>
    <s v="0"/>
    <n v="22500000"/>
    <s v="001523"/>
    <s v="Perlengkapan Protokol kesehatan TPA Toefl"/>
    <s v="WA.4345.EBC.996.301.A"/>
    <x v="104"/>
    <m/>
  </r>
  <r>
    <x v="0"/>
    <x v="0"/>
    <x v="0"/>
    <x v="1"/>
    <s v="521211"/>
    <s v="001522. Perlengkapan TPA Toefl"/>
    <n v="33600000"/>
    <n v="0"/>
    <n v="0"/>
    <n v="0"/>
    <s v="0"/>
    <n v="33600000"/>
    <s v="001522"/>
    <s v="Perlengkapan TPA Toefl"/>
    <s v="WA.4345.EBC.996.301.A"/>
    <x v="104"/>
    <m/>
  </r>
  <r>
    <x v="0"/>
    <x v="0"/>
    <x v="0"/>
    <x v="1"/>
    <s v="521211"/>
    <s v="001521. Penggadaan"/>
    <n v="15000000"/>
    <n v="0"/>
    <n v="0"/>
    <n v="0"/>
    <s v="0"/>
    <n v="15000000"/>
    <s v="001521"/>
    <s v="Penggadaan"/>
    <s v="WA.4345.EBC.996.301.A"/>
    <x v="104"/>
    <m/>
  </r>
  <r>
    <x v="0"/>
    <x v="0"/>
    <x v="0"/>
    <x v="1"/>
    <s v="521211"/>
    <s v="001520. Konsumsi/bahan makanan"/>
    <n v="28000000"/>
    <n v="0"/>
    <n v="0"/>
    <n v="0"/>
    <s v="0"/>
    <n v="28000000"/>
    <s v="001520"/>
    <s v="Konsumsi/Bahan Makanan"/>
    <s v="WA.4345.EBC.996.301.A"/>
    <x v="104"/>
    <m/>
  </r>
  <r>
    <x v="1"/>
    <x v="1"/>
    <x v="0"/>
    <x v="2"/>
    <s v="521211"/>
    <s v="001190. Pencetakan dan Penjilidan LPJ Bendahara"/>
    <n v="4800000"/>
    <n v="0"/>
    <n v="0"/>
    <n v="0"/>
    <s v="0"/>
    <n v="4800000"/>
    <s v="001190"/>
    <s v="Pencetakan dan Penjilidan LPJ bendahara"/>
    <s v="WA.2378.EBD.955.301.F"/>
    <x v="105"/>
    <m/>
  </r>
  <r>
    <x v="1"/>
    <x v="2"/>
    <x v="3"/>
    <x v="9"/>
    <s v="521219"/>
    <s v="001545. Langganan biaya aplikasi komunikasi daring (zoom/linktree/zoho)"/>
    <n v="2000000"/>
    <n v="0"/>
    <n v="0"/>
    <n v="0"/>
    <s v="0"/>
    <n v="2000000"/>
    <s v="001545"/>
    <s v="Langganan biaya aplikasi komunikasi daring (zoom/linktree/zoho)"/>
    <s v="WA.2378.EBD.953.302.A"/>
    <x v="106"/>
    <m/>
  </r>
  <r>
    <x v="1"/>
    <x v="2"/>
    <x v="0"/>
    <x v="1"/>
    <s v="524111"/>
    <s v="001501. Perjalanan Monev Kegiatan Teknis Pendidikan KP"/>
    <n v="18539000"/>
    <n v="0"/>
    <n v="0"/>
    <n v="0"/>
    <s v="0"/>
    <n v="18539000"/>
    <s v="001501"/>
    <s v="Perjalanan Monev Kegiatan Teknis Pendidikan KP"/>
    <s v="WA.2378.EBD.953.301.A"/>
    <x v="107"/>
    <m/>
  </r>
  <r>
    <x v="1"/>
    <x v="2"/>
    <x v="0"/>
    <x v="1"/>
    <s v="521211"/>
    <s v="001312. Penggandaan"/>
    <n v="4500000"/>
    <n v="0"/>
    <n v="0"/>
    <n v="0"/>
    <s v="0"/>
    <n v="4500000"/>
    <s v="001312"/>
    <s v="Penggandaan"/>
    <s v="WA.2378.EBD.953.301.A"/>
    <x v="17"/>
    <m/>
  </r>
  <r>
    <x v="1"/>
    <x v="5"/>
    <x v="0"/>
    <x v="0"/>
    <s v="521219"/>
    <s v="001033. Langganan biaya video conference"/>
    <n v="1000000"/>
    <n v="0"/>
    <n v="0"/>
    <n v="0"/>
    <s v="0"/>
    <n v="1000000"/>
    <s v="001033"/>
    <s v="Langganan biaya video conference"/>
    <s v="WA.2378.EBD.952.301.B"/>
    <x v="108"/>
    <m/>
  </r>
  <r>
    <x v="1"/>
    <x v="7"/>
    <x v="5"/>
    <x v="13"/>
    <s v="521115"/>
    <s v="000605. Sekretaris Tim Penghapusan BMN"/>
    <n v="300000"/>
    <n v="0"/>
    <n v="0"/>
    <n v="0"/>
    <s v="0"/>
    <n v="300000"/>
    <s v="000605"/>
    <s v="Sekretaris Tim Penghapusan BMN"/>
    <s v="WA.2378.EBA.994.002.GD"/>
    <x v="36"/>
    <m/>
  </r>
  <r>
    <x v="1"/>
    <x v="7"/>
    <x v="5"/>
    <x v="13"/>
    <s v="521115"/>
    <s v="000604. Ketua Tim Penghapusan BMN"/>
    <n v="400000"/>
    <n v="0"/>
    <n v="0"/>
    <n v="0"/>
    <s v="0"/>
    <n v="400000"/>
    <s v="000604"/>
    <s v="Ketua Tim Penghapusan BMN"/>
    <s v="WA.2378.EBA.994.002.GD"/>
    <x v="36"/>
    <m/>
  </r>
  <r>
    <x v="1"/>
    <x v="7"/>
    <x v="5"/>
    <x v="13"/>
    <s v="521115"/>
    <s v="000597. Anggota Tim Penghapusan BMN 3 ORANG x 1 KEG"/>
    <n v="900000"/>
    <n v="0"/>
    <n v="0"/>
    <n v="0"/>
    <s v="0"/>
    <n v="900000"/>
    <s v="000597"/>
    <s v="Anggota Tim Penghapusan BMN 3 ORANG x 1 KEG"/>
    <s v="WA.2378.EBA.994.002.GD"/>
    <x v="36"/>
    <m/>
  </r>
  <r>
    <x v="1"/>
    <x v="7"/>
    <x v="5"/>
    <x v="13"/>
    <s v="521111"/>
    <s v="000595. Pakaian Kerja Pramubakti"/>
    <n v="15340000"/>
    <n v="0"/>
    <n v="0"/>
    <n v="0"/>
    <s v="0"/>
    <n v="15340000"/>
    <s v="000595"/>
    <s v="Pakaian Kerja Pramubakti"/>
    <s v="WA.2378.EBA.994.002.GD"/>
    <x v="37"/>
    <m/>
  </r>
  <r>
    <x v="1"/>
    <x v="7"/>
    <x v="5"/>
    <x v="14"/>
    <s v="523121"/>
    <s v="000592. Perawatan Barang Inventaris Kantor"/>
    <n v="52250000"/>
    <n v="0"/>
    <n v="0"/>
    <n v="0"/>
    <s v="0"/>
    <n v="52250000"/>
    <s v="000592"/>
    <s v="Perawatan Barang Inventaris Kantor"/>
    <s v="WA.2378.EBA.994.002.GC"/>
    <x v="39"/>
    <m/>
  </r>
  <r>
    <x v="1"/>
    <x v="7"/>
    <x v="5"/>
    <x v="14"/>
    <s v="523121"/>
    <s v="000587. Laptop/Notebook"/>
    <n v="29200000"/>
    <n v="0"/>
    <n v="0"/>
    <n v="0"/>
    <s v="0"/>
    <n v="29200000"/>
    <s v="000587"/>
    <s v="Laptop/Notebook"/>
    <s v="WA.2378.EBA.994.002.GC"/>
    <x v="39"/>
    <m/>
  </r>
  <r>
    <x v="1"/>
    <x v="7"/>
    <x v="5"/>
    <x v="15"/>
    <s v="522141"/>
    <s v="000583. Sewa Ruang Arsip dan Penyimpanan BMN"/>
    <n v="58852000"/>
    <n v="0"/>
    <n v="0"/>
    <n v="0"/>
    <s v="0"/>
    <n v="58852000"/>
    <s v="000583"/>
    <s v="Sewa Ruang Arsip dan Penyimpanan BMN"/>
    <s v="WA.2378.EBA.994.002.GB"/>
    <x v="40"/>
    <m/>
  </r>
  <r>
    <x v="1"/>
    <x v="7"/>
    <x v="5"/>
    <x v="12"/>
    <s v="521811"/>
    <s v="000580. Map Pusdik KP"/>
    <n v="20000000"/>
    <n v="0"/>
    <n v="0"/>
    <n v="0"/>
    <s v="0"/>
    <n v="20000000"/>
    <s v="000580"/>
    <s v="Map Pusdik KP"/>
    <s v="WA.2378.EBA.994.002.GA"/>
    <x v="34"/>
    <m/>
  </r>
  <r>
    <x v="1"/>
    <x v="7"/>
    <x v="5"/>
    <x v="12"/>
    <s v="521111"/>
    <s v="000568. Pencetakan/Publikasi"/>
    <n v="67000000"/>
    <n v="0"/>
    <n v="0"/>
    <n v="0"/>
    <s v="0"/>
    <n v="67000000"/>
    <s v="000568"/>
    <s v="Pencetakan/Publikasi"/>
    <s v="WA.2378.EBA.994.002.GA"/>
    <x v="42"/>
    <m/>
  </r>
  <r>
    <x v="1"/>
    <x v="3"/>
    <x v="0"/>
    <x v="10"/>
    <s v="521219"/>
    <s v="001531. Dukungan Penerimaan dan Penetapan Peserta Didik"/>
    <n v="24651000"/>
    <n v="0"/>
    <n v="0"/>
    <n v="0"/>
    <s v="0"/>
    <n v="24651000"/>
    <s v="001531"/>
    <s v="Dukungan Penerimaan dan Penetapan Peserta Didik"/>
    <s v="WA.2378.EBA.962.301.I"/>
    <x v="56"/>
    <m/>
  </r>
  <r>
    <x v="1"/>
    <x v="3"/>
    <x v="0"/>
    <x v="10"/>
    <s v="521211"/>
    <s v="001530. Cetakan Penetapan Peserta Didik"/>
    <n v="2500000"/>
    <n v="0"/>
    <n v="0"/>
    <n v="0"/>
    <s v="0"/>
    <n v="2500000"/>
    <s v="001530"/>
    <s v="Cetakan Penetapan Peserta Didik"/>
    <s v="WA.2378.EBA.962.301.I"/>
    <x v="21"/>
    <m/>
  </r>
  <r>
    <x v="1"/>
    <x v="3"/>
    <x v="0"/>
    <x v="10"/>
    <s v="521211"/>
    <s v="001529. Penggandaan"/>
    <n v="2000000"/>
    <n v="0"/>
    <n v="0"/>
    <n v="0"/>
    <s v="0"/>
    <n v="2000000"/>
    <s v="001529"/>
    <s v="Penggandaan"/>
    <s v="WA.2378.EBA.962.301.I"/>
    <x v="21"/>
    <m/>
  </r>
  <r>
    <x v="1"/>
    <x v="3"/>
    <x v="0"/>
    <x v="6"/>
    <s v="522191"/>
    <s v="001586. Peningkatan Kapasitas Pegawai"/>
    <n v="1606000"/>
    <n v="0"/>
    <n v="0"/>
    <n v="0"/>
    <s v="0"/>
    <n v="1606000"/>
    <s v="001586"/>
    <s v="Peningkatan Kapasitas Pegawai"/>
    <s v="WA.2378.EBA.962.301.E"/>
    <x v="109"/>
    <m/>
  </r>
  <r>
    <x v="1"/>
    <x v="3"/>
    <x v="0"/>
    <x v="8"/>
    <s v="522141"/>
    <s v="000670. Sewa Kendaraan / Mobil (2 kali)"/>
    <n v="3000000"/>
    <n v="0"/>
    <n v="0"/>
    <n v="0"/>
    <s v="0"/>
    <n v="3000000"/>
    <s v="000670"/>
    <s v="Sewa Kendaraan / Mobil (2 kali)"/>
    <s v="WA.2378.EBA.962.301.C"/>
    <x v="110"/>
    <m/>
  </r>
  <r>
    <x v="2"/>
    <x v="4"/>
    <x v="6"/>
    <x v="16"/>
    <s v="522192"/>
    <s v="000217. Test Rapid/Antigen/PCR"/>
    <n v="5000000"/>
    <n v="0"/>
    <n v="0"/>
    <n v="0"/>
    <s v="0"/>
    <n v="5000000"/>
    <s v="000217"/>
    <s v="Test Rapid/Antigen/PCR"/>
    <s v="DL.2376.AFA.001.054.A"/>
    <x v="111"/>
    <m/>
  </r>
  <r>
    <x v="2"/>
    <x v="4"/>
    <x v="6"/>
    <x v="16"/>
    <s v="521219"/>
    <s v="000215. Dukungan Pelaksanaan Evaluasi Beban Kerja Guru dan Dosen"/>
    <n v="8784000"/>
    <n v="0"/>
    <n v="0"/>
    <n v="0"/>
    <s v="0"/>
    <n v="8784000"/>
    <s v="000215"/>
    <s v="Dukungan Pelaksanaan Evaluasi Beban Kerja Guru dan Dosen"/>
    <s v="DL.2376.AFA.001.054.A"/>
    <x v="112"/>
    <m/>
  </r>
  <r>
    <x v="2"/>
    <x v="4"/>
    <x v="1"/>
    <x v="20"/>
    <s v="524111"/>
    <s v="000209. Perjalanan Reviu Dampak Peraturan Revitalisasi Vokasi"/>
    <n v="23030000"/>
    <n v="0"/>
    <n v="0"/>
    <n v="0"/>
    <s v="0"/>
    <n v="23030000"/>
    <s v="000209"/>
    <s v="Perjalanan Reviu Dampak Peraturan Revitalisasi Vokasi"/>
    <s v="DL.2376.AFA.001.053.C"/>
    <x v="113"/>
    <m/>
  </r>
  <r>
    <x v="2"/>
    <x v="4"/>
    <x v="1"/>
    <x v="20"/>
    <s v="522151"/>
    <s v="000208. Narasumber/Pembahas"/>
    <n v="7200000"/>
    <n v="0"/>
    <n v="0"/>
    <n v="0"/>
    <s v="0"/>
    <n v="7200000"/>
    <s v="000208"/>
    <s v="Narasumber/Pembahas"/>
    <s v="DL.2376.AFA.001.053.C"/>
    <x v="114"/>
    <m/>
  </r>
  <r>
    <x v="2"/>
    <x v="4"/>
    <x v="1"/>
    <x v="20"/>
    <s v="521219"/>
    <s v="000207. Langganan biaya video conference"/>
    <n v="500000"/>
    <n v="0"/>
    <n v="0"/>
    <n v="0"/>
    <s v="0"/>
    <n v="500000"/>
    <s v="000207"/>
    <s v="Langganan biaya video conference"/>
    <s v="DL.2376.AFA.001.053.C"/>
    <x v="115"/>
    <m/>
  </r>
  <r>
    <x v="2"/>
    <x v="4"/>
    <x v="1"/>
    <x v="20"/>
    <s v="521211"/>
    <s v="000206. Penggandaan"/>
    <n v="6000000"/>
    <n v="0"/>
    <n v="0"/>
    <n v="0"/>
    <s v="0"/>
    <n v="6000000"/>
    <s v="000206"/>
    <s v="Penggandaan"/>
    <s v="DL.2376.AFA.001.053.C"/>
    <x v="116"/>
    <m/>
  </r>
  <r>
    <x v="2"/>
    <x v="4"/>
    <x v="1"/>
    <x v="20"/>
    <s v="521211"/>
    <s v="000205. Konsumsi/Bahan Makan"/>
    <n v="4830000"/>
    <n v="0"/>
    <n v="0"/>
    <n v="0"/>
    <s v="0"/>
    <n v="4830000"/>
    <s v="000205"/>
    <s v="Konsumsi/Bahan Makan"/>
    <s v="DL.2376.AFA.001.053.C"/>
    <x v="116"/>
    <m/>
  </r>
  <r>
    <x v="2"/>
    <x v="4"/>
    <x v="1"/>
    <x v="20"/>
    <s v="521211"/>
    <s v="000204. Bahan Komputer"/>
    <n v="6000000"/>
    <n v="0"/>
    <n v="0"/>
    <n v="0"/>
    <s v="0"/>
    <n v="6000000"/>
    <s v="000204"/>
    <s v="Bahan Komputer"/>
    <s v="DL.2376.AFA.001.053.C"/>
    <x v="116"/>
    <m/>
  </r>
  <r>
    <x v="2"/>
    <x v="4"/>
    <x v="1"/>
    <x v="20"/>
    <s v="521211"/>
    <s v="000203. ATK"/>
    <n v="4000000"/>
    <n v="0"/>
    <n v="0"/>
    <n v="0"/>
    <s v="0"/>
    <n v="4000000"/>
    <s v="000203"/>
    <s v="ATK"/>
    <s v="DL.2376.AFA.001.053.C"/>
    <x v="116"/>
    <m/>
  </r>
  <r>
    <x v="2"/>
    <x v="4"/>
    <x v="1"/>
    <x v="4"/>
    <s v="521211"/>
    <s v="000195. Cetakan Evaluasi Mutu Pendidikan Tinggi KP 2022"/>
    <n v="50000000"/>
    <n v="0"/>
    <n v="0"/>
    <n v="0"/>
    <s v="0"/>
    <n v="50000000"/>
    <s v="000195"/>
    <s v="Cetakan Evaluasi Mutu Pendidikan Tinggi KP 2022"/>
    <s v="DL.2376.AFA.001.053.B"/>
    <x v="83"/>
    <m/>
  </r>
  <r>
    <x v="2"/>
    <x v="4"/>
    <x v="1"/>
    <x v="17"/>
    <s v="524113"/>
    <s v="000192. Transport lokal"/>
    <n v="1500000"/>
    <n v="0"/>
    <n v="0"/>
    <n v="0"/>
    <s v="0"/>
    <n v="1500000"/>
    <s v="000192"/>
    <s v="Transport lokal"/>
    <s v="DL.2376.AFA.001.053.A"/>
    <x v="117"/>
    <m/>
  </r>
  <r>
    <x v="2"/>
    <x v="4"/>
    <x v="1"/>
    <x v="17"/>
    <s v="522192"/>
    <s v="000190. Test Rapid/AntigenPCR"/>
    <n v="6000000"/>
    <n v="0"/>
    <n v="0"/>
    <n v="0"/>
    <s v="0"/>
    <n v="6000000"/>
    <s v="000190"/>
    <s v="Test Rapid/AntigenPCR"/>
    <s v="DL.2376.AFA.001.053.A"/>
    <x v="118"/>
    <m/>
  </r>
  <r>
    <x v="2"/>
    <x v="4"/>
    <x v="1"/>
    <x v="17"/>
    <s v="521219"/>
    <s v="000186. Dukungan Pembentukan Kelembagaan"/>
    <n v="5000000"/>
    <n v="0"/>
    <n v="0"/>
    <n v="0"/>
    <s v="0"/>
    <n v="5000000"/>
    <s v="000186"/>
    <s v="Dukungan Pembentukan Kelembagaan"/>
    <s v="DL.2376.AFA.001.053.A"/>
    <x v="87"/>
    <m/>
  </r>
  <r>
    <x v="2"/>
    <x v="4"/>
    <x v="1"/>
    <x v="17"/>
    <s v="521211"/>
    <s v="000184. Cetakan Kelembagaan Pendidikan Vokasi"/>
    <n v="40000000"/>
    <n v="0"/>
    <n v="0"/>
    <n v="0"/>
    <s v="0"/>
    <n v="40000000"/>
    <s v="000184"/>
    <s v="Cetakan Kelembagaan Pendidikan Vokasi"/>
    <s v="DL.2376.AFA.001.053.A"/>
    <x v="88"/>
    <m/>
  </r>
  <r>
    <x v="2"/>
    <x v="4"/>
    <x v="2"/>
    <x v="5"/>
    <s v="521211"/>
    <s v="000180. Cetak Booklet NSPK Sarana Prasarana"/>
    <n v="5750000"/>
    <n v="0"/>
    <n v="0"/>
    <n v="0"/>
    <s v="0"/>
    <n v="5750000"/>
    <s v="000180"/>
    <s v="Cetak Booklet NSPK Sarana Prasarana"/>
    <s v="DL.2376.AFA.001.052.A"/>
    <x v="89"/>
    <m/>
  </r>
  <r>
    <x v="2"/>
    <x v="4"/>
    <x v="2"/>
    <x v="5"/>
    <s v="521211"/>
    <s v="000179. Cetak Booklet NSPK peserta didik"/>
    <n v="5750000"/>
    <n v="0"/>
    <n v="0"/>
    <n v="0"/>
    <s v="0"/>
    <n v="5750000"/>
    <s v="000179"/>
    <s v="Cetak Booklet NSPK peserta didik"/>
    <s v="DL.2376.AFA.001.052.A"/>
    <x v="89"/>
    <m/>
  </r>
  <r>
    <x v="2"/>
    <x v="4"/>
    <x v="2"/>
    <x v="5"/>
    <s v="521211"/>
    <s v="000176. Penggandaan"/>
    <n v="1000000"/>
    <n v="0"/>
    <n v="0"/>
    <n v="0"/>
    <s v="0"/>
    <n v="1000000"/>
    <s v="000176"/>
    <s v="Penggandaan"/>
    <s v="DL.2376.AFA.001.052.A"/>
    <x v="89"/>
    <m/>
  </r>
  <r>
    <x v="2"/>
    <x v="4"/>
    <x v="7"/>
    <x v="18"/>
    <s v="521211"/>
    <s v="000170. Penggandaan"/>
    <n v="3000000"/>
    <n v="0"/>
    <n v="0"/>
    <n v="0"/>
    <s v="0"/>
    <n v="3000000"/>
    <s v="000170"/>
    <s v="Penggandaan"/>
    <s v="DL.2376.AFA.001.051.B"/>
    <x v="92"/>
    <m/>
  </r>
  <r>
    <x v="2"/>
    <x v="4"/>
    <x v="7"/>
    <x v="19"/>
    <s v="521211"/>
    <s v="000164. Penggandaan"/>
    <n v="3000000"/>
    <n v="0"/>
    <n v="0"/>
    <n v="0"/>
    <s v="0"/>
    <n v="3000000"/>
    <s v="000164"/>
    <s v="Penggandaan"/>
    <s v="DL.2376.AFA.001.051.A"/>
    <x v="95"/>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0">
  <r>
    <s v="032"/>
    <s v="12"/>
    <s v="DL"/>
    <x v="0"/>
    <s v="2376"/>
    <x v="0"/>
    <s v="AFA"/>
    <s v="2376.AFA. Norma, Standard, Prosedur dan Kriteria"/>
    <s v="001"/>
    <x v="0"/>
    <s v="051"/>
    <x v="0"/>
    <s v="A"/>
    <x v="0"/>
    <s v="521211"/>
    <x v="0"/>
    <x v="0"/>
    <n v="19875000"/>
    <n v="0"/>
    <n v="0"/>
    <n v="2490000"/>
    <n v="0"/>
    <n v="3091000"/>
    <n v="0"/>
    <n v="0"/>
    <n v="0"/>
    <n v="0"/>
    <n v="0"/>
    <n v="0"/>
    <n v="0"/>
    <x v="0"/>
    <x v="0"/>
    <x v="0"/>
    <s v="52"/>
    <s v="SEKRETARIAT BADAN RISET DAN SUMBERDAYA MANUSIA KELAUTAN DAN PERIKANAN"/>
    <n v="5581000"/>
    <n v="28.080503144654088"/>
    <n v="14294000"/>
    <n v="71.919496855345912"/>
    <s v="DL.2376.AFA.001.051.A.521211"/>
    <s v="Non COVID"/>
    <s v="BELANJA BAHAN"/>
    <s v="Belanja Barang Non Operasional"/>
  </r>
  <r>
    <s v="032"/>
    <s v="12"/>
    <s v="DL"/>
    <x v="0"/>
    <s v="2376"/>
    <x v="0"/>
    <s v="AFA"/>
    <s v="2376.AFA. Norma, Standard, Prosedur dan Kriteria"/>
    <s v="001"/>
    <x v="0"/>
    <s v="051"/>
    <x v="0"/>
    <s v="A"/>
    <x v="0"/>
    <s v="522151"/>
    <x v="1"/>
    <x v="1"/>
    <n v="20000000"/>
    <n v="0"/>
    <n v="0"/>
    <n v="900000"/>
    <n v="0"/>
    <n v="0"/>
    <n v="1200000"/>
    <n v="0"/>
    <n v="0"/>
    <n v="0"/>
    <n v="0"/>
    <n v="0"/>
    <n v="0"/>
    <x v="0"/>
    <x v="0"/>
    <x v="0"/>
    <s v="52"/>
    <s v="SEKRETARIAT BADAN RISET DAN SUMBERDAYA MANUSIA KELAUTAN DAN PERIKANAN"/>
    <n v="2100000"/>
    <n v="10.5"/>
    <n v="17900000"/>
    <n v="89.5"/>
    <s v="DL.2376.AFA.001.051.A.522151"/>
    <s v="Non COVID"/>
    <s v="BELANJA JASA"/>
    <s v="Belanja Barang Non Operasional"/>
  </r>
  <r>
    <s v="032"/>
    <s v="12"/>
    <s v="DL"/>
    <x v="0"/>
    <s v="2376"/>
    <x v="0"/>
    <s v="AFA"/>
    <s v="2376.AFA. Norma, Standard, Prosedur dan Kriteria"/>
    <s v="001"/>
    <x v="0"/>
    <s v="051"/>
    <x v="0"/>
    <s v="A"/>
    <x v="0"/>
    <s v="524111"/>
    <x v="2"/>
    <x v="2"/>
    <n v="43260000"/>
    <n v="0"/>
    <n v="0"/>
    <n v="10950000"/>
    <n v="11716000"/>
    <n v="1800000"/>
    <n v="1810000"/>
    <n v="0"/>
    <n v="0"/>
    <n v="0"/>
    <n v="0"/>
    <n v="0"/>
    <n v="0"/>
    <x v="0"/>
    <x v="0"/>
    <x v="0"/>
    <s v="52"/>
    <s v="SEKRETARIAT BADAN RISET DAN SUMBERDAYA MANUSIA KELAUTAN DAN PERIKANAN"/>
    <n v="26276000"/>
    <n v="60.739713361072589"/>
    <n v="16984000"/>
    <n v="39.260286638927418"/>
    <s v="DL.2376.AFA.001.051.A.524111"/>
    <s v="Non COVID"/>
    <s v="PERJALANAN DINAS"/>
    <s v="Belanja Barang Non Operasional"/>
  </r>
  <r>
    <s v="032"/>
    <s v="12"/>
    <s v="DL"/>
    <x v="0"/>
    <s v="2376"/>
    <x v="0"/>
    <s v="AFA"/>
    <s v="2376.AFA. Norma, Standard, Prosedur dan Kriteria"/>
    <s v="001"/>
    <x v="0"/>
    <s v="051"/>
    <x v="0"/>
    <s v="B"/>
    <x v="1"/>
    <s v="521211"/>
    <x v="0"/>
    <x v="3"/>
    <n v="19500000"/>
    <n v="0"/>
    <n v="0"/>
    <n v="2561000"/>
    <n v="0"/>
    <n v="1480000"/>
    <n v="0"/>
    <n v="0"/>
    <n v="0"/>
    <n v="0"/>
    <n v="0"/>
    <n v="0"/>
    <n v="0"/>
    <x v="0"/>
    <x v="0"/>
    <x v="0"/>
    <s v="52"/>
    <s v="SEKRETARIAT BADAN RISET DAN SUMBERDAYA MANUSIA KELAUTAN DAN PERIKANAN"/>
    <n v="4041000"/>
    <n v="20.723076923076921"/>
    <n v="15459000"/>
    <n v="79.276923076923083"/>
    <s v="DL.2376.AFA.001.051.B.521211"/>
    <s v="Non COVID"/>
    <s v="BELANJA BAHAN"/>
    <s v="Belanja Barang Non Operasional"/>
  </r>
  <r>
    <s v="032"/>
    <s v="12"/>
    <s v="DL"/>
    <x v="0"/>
    <s v="2376"/>
    <x v="0"/>
    <s v="AFA"/>
    <s v="2376.AFA. Norma, Standard, Prosedur dan Kriteria"/>
    <s v="001"/>
    <x v="0"/>
    <s v="051"/>
    <x v="0"/>
    <s v="B"/>
    <x v="1"/>
    <s v="522151"/>
    <x v="1"/>
    <x v="4"/>
    <n v="4000000"/>
    <n v="0"/>
    <n v="0"/>
    <n v="900000"/>
    <n v="0"/>
    <n v="0"/>
    <n v="0"/>
    <n v="0"/>
    <n v="0"/>
    <n v="0"/>
    <n v="0"/>
    <n v="0"/>
    <n v="0"/>
    <x v="0"/>
    <x v="0"/>
    <x v="0"/>
    <s v="52"/>
    <s v="SEKRETARIAT BADAN RISET DAN SUMBERDAYA MANUSIA KELAUTAN DAN PERIKANAN"/>
    <n v="900000"/>
    <n v="22.5"/>
    <n v="3100000"/>
    <n v="77.5"/>
    <s v="DL.2376.AFA.001.051.B.522151"/>
    <s v="Non COVID"/>
    <s v="BELANJA JASA"/>
    <s v="Belanja Barang Non Operasional"/>
  </r>
  <r>
    <s v="032"/>
    <s v="12"/>
    <s v="DL"/>
    <x v="0"/>
    <s v="2376"/>
    <x v="0"/>
    <s v="AFA"/>
    <s v="2376.AFA. Norma, Standard, Prosedur dan Kriteria"/>
    <s v="001"/>
    <x v="0"/>
    <s v="051"/>
    <x v="0"/>
    <s v="B"/>
    <x v="1"/>
    <s v="524111"/>
    <x v="2"/>
    <x v="5"/>
    <n v="17465000"/>
    <n v="0"/>
    <n v="0"/>
    <n v="16620000"/>
    <n v="0"/>
    <n v="0"/>
    <n v="0"/>
    <n v="0"/>
    <n v="0"/>
    <n v="0"/>
    <n v="0"/>
    <n v="0"/>
    <n v="0"/>
    <x v="0"/>
    <x v="0"/>
    <x v="0"/>
    <s v="52"/>
    <s v="SEKRETARIAT BADAN RISET DAN SUMBERDAYA MANUSIA KELAUTAN DAN PERIKANAN"/>
    <n v="16620000"/>
    <n v="95.161752075579727"/>
    <n v="845000"/>
    <n v="4.8382479244202692"/>
    <s v="DL.2376.AFA.001.051.B.524111"/>
    <s v="Non COVID"/>
    <s v="PERJALANAN DINAS"/>
    <s v="Belanja Barang Non Operasional"/>
  </r>
  <r>
    <s v="032"/>
    <s v="12"/>
    <s v="DL"/>
    <x v="0"/>
    <s v="2376"/>
    <x v="0"/>
    <s v="AFA"/>
    <s v="2376.AFA. Norma, Standard, Prosedur dan Kriteria"/>
    <s v="001"/>
    <x v="0"/>
    <s v="052"/>
    <x v="1"/>
    <s v="A"/>
    <x v="2"/>
    <s v="521211"/>
    <x v="0"/>
    <x v="6"/>
    <n v="21250000"/>
    <n v="0"/>
    <n v="0"/>
    <n v="2460000"/>
    <n v="0"/>
    <n v="660000"/>
    <n v="0"/>
    <n v="0"/>
    <n v="0"/>
    <n v="0"/>
    <n v="0"/>
    <n v="0"/>
    <n v="0"/>
    <x v="0"/>
    <x v="0"/>
    <x v="1"/>
    <s v="52"/>
    <s v="SEKRETARIAT BADAN RISET DAN SUMBERDAYA MANUSIA KELAUTAN DAN PERIKANAN"/>
    <n v="3120000"/>
    <n v="14.682352941176472"/>
    <n v="18130000"/>
    <n v="85.317647058823525"/>
    <s v="DL.2376.AFA.001.052.A.521211"/>
    <s v="Non COVID"/>
    <s v="BELANJA BAHAN"/>
    <s v="Belanja Barang Non Operasional"/>
  </r>
  <r>
    <s v="032"/>
    <s v="12"/>
    <s v="DL"/>
    <x v="0"/>
    <s v="2376"/>
    <x v="0"/>
    <s v="AFA"/>
    <s v="2376.AFA. Norma, Standard, Prosedur dan Kriteria"/>
    <s v="001"/>
    <x v="0"/>
    <s v="052"/>
    <x v="1"/>
    <s v="A"/>
    <x v="2"/>
    <s v="524111"/>
    <x v="2"/>
    <x v="7"/>
    <n v="33250000"/>
    <n v="0"/>
    <n v="0"/>
    <n v="3780000"/>
    <n v="2840000"/>
    <n v="14114500"/>
    <n v="360000"/>
    <n v="0"/>
    <n v="0"/>
    <n v="0"/>
    <n v="0"/>
    <n v="0"/>
    <n v="0"/>
    <x v="0"/>
    <x v="0"/>
    <x v="1"/>
    <s v="52"/>
    <s v="SEKRETARIAT BADAN RISET DAN SUMBERDAYA MANUSIA KELAUTAN DAN PERIKANAN"/>
    <n v="21094500"/>
    <n v="63.442105263157899"/>
    <n v="12155500"/>
    <n v="36.557894736842108"/>
    <s v="DL.2376.AFA.001.052.A.524111"/>
    <s v="Non COVID"/>
    <s v="PERJALANAN DINAS"/>
    <s v="Belanja Barang Non Operasional"/>
  </r>
  <r>
    <s v="032"/>
    <s v="12"/>
    <s v="DL"/>
    <x v="0"/>
    <s v="2376"/>
    <x v="0"/>
    <s v="AFA"/>
    <s v="2376.AFA. Norma, Standard, Prosedur dan Kriteria"/>
    <s v="001"/>
    <x v="0"/>
    <s v="053"/>
    <x v="2"/>
    <s v="A"/>
    <x v="3"/>
    <n v="521211"/>
    <x v="0"/>
    <x v="8"/>
    <n v="64900000"/>
    <n v="0"/>
    <n v="0"/>
    <n v="4332500"/>
    <n v="0"/>
    <n v="1862500"/>
    <n v="0"/>
    <n v="0"/>
    <n v="0"/>
    <n v="0"/>
    <n v="0"/>
    <n v="0"/>
    <n v="0"/>
    <x v="0"/>
    <x v="1"/>
    <x v="2"/>
    <s v="52"/>
    <s v="SEKRETARIAT BADAN RISET DAN SUMBERDAYA MANUSIA KELAUTAN DAN PERIKANAN"/>
    <n v="6195000"/>
    <n v="9.5454545454545467"/>
    <n v="58705000"/>
    <n v="90.454545454545453"/>
    <s v="DL.2376.AFA.001.053.A.521211"/>
    <s v="Non COVID"/>
    <s v="BELANJA BAHAN"/>
    <s v="Belanja Barang Non Operasional"/>
  </r>
  <r>
    <s v="032"/>
    <s v="12"/>
    <s v="DL"/>
    <x v="0"/>
    <s v="2376"/>
    <x v="0"/>
    <s v="AFA"/>
    <s v="2376.AFA. Norma, Standard, Prosedur dan Kriteria"/>
    <s v="001"/>
    <x v="0"/>
    <s v="053"/>
    <x v="2"/>
    <s v="A"/>
    <x v="3"/>
    <n v="521219"/>
    <x v="3"/>
    <x v="9"/>
    <n v="6000000"/>
    <n v="0"/>
    <n v="0"/>
    <n v="631750"/>
    <n v="0"/>
    <n v="331250"/>
    <n v="0"/>
    <n v="0"/>
    <n v="0"/>
    <n v="0"/>
    <n v="0"/>
    <n v="0"/>
    <n v="0"/>
    <x v="0"/>
    <x v="1"/>
    <x v="2"/>
    <s v="52"/>
    <s v="SEKRETARIAT BADAN RISET DAN SUMBERDAYA MANUSIA KELAUTAN DAN PERIKANAN"/>
    <n v="963000"/>
    <n v="16.05"/>
    <n v="5037000"/>
    <n v="83.95"/>
    <s v="DL.2376.AFA.001.053.A.521219"/>
    <s v="Non COVID"/>
    <s v="NON OPS LAINNYA"/>
    <s v="Belanja Barang Non Operasional"/>
  </r>
  <r>
    <s v="032"/>
    <s v="12"/>
    <s v="DL"/>
    <x v="0"/>
    <s v="2376"/>
    <x v="0"/>
    <s v="AFA"/>
    <s v="2376.AFA. Norma, Standard, Prosedur dan Kriteria"/>
    <s v="001"/>
    <x v="0"/>
    <s v="053"/>
    <x v="2"/>
    <s v="A"/>
    <x v="3"/>
    <s v="521811"/>
    <x v="4"/>
    <x v="10"/>
    <n v="30000000"/>
    <n v="0"/>
    <n v="0"/>
    <n v="7146000"/>
    <n v="0"/>
    <n v="2391000"/>
    <n v="0"/>
    <n v="0"/>
    <n v="0"/>
    <n v="0"/>
    <n v="0"/>
    <n v="0"/>
    <n v="0"/>
    <x v="0"/>
    <x v="1"/>
    <x v="2"/>
    <s v="52"/>
    <s v="SEKRETARIAT BADAN RISET DAN SUMBERDAYA MANUSIA KELAUTAN DAN PERIKANAN"/>
    <n v="9537000"/>
    <n v="31.790000000000003"/>
    <n v="20463000"/>
    <n v="68.210000000000008"/>
    <s v="DL.2376.AFA.001.053.A.521811"/>
    <s v="Non COVID"/>
    <s v="PERSEDIAAN"/>
    <s v="Belanja Barang Non Operasional"/>
  </r>
  <r>
    <s v="032"/>
    <s v="12"/>
    <s v="DL"/>
    <x v="0"/>
    <s v="2376"/>
    <x v="0"/>
    <s v="AFA"/>
    <s v="2376.AFA. Norma, Standard, Prosedur dan Kriteria"/>
    <s v="001"/>
    <x v="0"/>
    <s v="053"/>
    <x v="2"/>
    <s v="A"/>
    <x v="3"/>
    <s v="522151"/>
    <x v="1"/>
    <x v="11"/>
    <n v="25200000"/>
    <n v="0"/>
    <n v="0"/>
    <n v="1800000"/>
    <n v="0"/>
    <n v="0"/>
    <n v="7200000"/>
    <n v="0"/>
    <n v="0"/>
    <n v="0"/>
    <n v="0"/>
    <n v="0"/>
    <n v="0"/>
    <x v="0"/>
    <x v="1"/>
    <x v="2"/>
    <s v="52"/>
    <s v="SEKRETARIAT BADAN RISET DAN SUMBERDAYA MANUSIA KELAUTAN DAN PERIKANAN"/>
    <n v="9000000"/>
    <n v="35.714285714285715"/>
    <n v="16200000"/>
    <n v="64.285714285714292"/>
    <s v="DL.2376.AFA.001.053.A.522151"/>
    <s v="Non COVID"/>
    <s v="BELANJA JASA"/>
    <s v="Belanja Barang Non Operasional"/>
  </r>
  <r>
    <s v="032"/>
    <s v="12"/>
    <s v="DL"/>
    <x v="0"/>
    <s v="2376"/>
    <x v="0"/>
    <s v="AFA"/>
    <s v="2376.AFA. Norma, Standard, Prosedur dan Kriteria"/>
    <s v="001"/>
    <x v="0"/>
    <s v="053"/>
    <x v="2"/>
    <s v="A"/>
    <x v="3"/>
    <s v="522192"/>
    <x v="5"/>
    <x v="9"/>
    <n v="6000000"/>
    <n v="0"/>
    <n v="0"/>
    <n v="0"/>
    <n v="0"/>
    <n v="0"/>
    <n v="0"/>
    <n v="0"/>
    <n v="0"/>
    <n v="0"/>
    <n v="0"/>
    <n v="0"/>
    <n v="0"/>
    <x v="0"/>
    <x v="1"/>
    <x v="2"/>
    <s v="52"/>
    <s v="SEKRETARIAT BADAN RISET DAN SUMBERDAYA MANUSIA KELAUTAN DAN PERIKANAN"/>
    <n v="0"/>
    <n v="0"/>
    <n v="6000000"/>
    <n v="100"/>
    <s v="DL.2376.AFA.001.053.A.522192"/>
    <s v="COVID"/>
    <s v="BELANJA JASA"/>
    <s v="Belanja Barang Non Operasional"/>
  </r>
  <r>
    <s v="032"/>
    <s v="12"/>
    <s v="DL"/>
    <x v="0"/>
    <s v="2376"/>
    <x v="0"/>
    <s v="AFA"/>
    <s v="2376.AFA. Norma, Standard, Prosedur dan Kriteria"/>
    <s v="001"/>
    <x v="0"/>
    <s v="053"/>
    <x v="2"/>
    <s v="A"/>
    <x v="3"/>
    <s v="524111"/>
    <x v="2"/>
    <x v="12"/>
    <n v="253324000"/>
    <n v="0"/>
    <n v="0"/>
    <n v="10610000"/>
    <n v="6180000"/>
    <n v="930000"/>
    <n v="15508650"/>
    <n v="0"/>
    <n v="0"/>
    <n v="0"/>
    <n v="0"/>
    <n v="0"/>
    <n v="0"/>
    <x v="0"/>
    <x v="1"/>
    <x v="2"/>
    <s v="52"/>
    <s v="SEKRETARIAT BADAN RISET DAN SUMBERDAYA MANUSIA KELAUTAN DAN PERIKANAN"/>
    <n v="33228650"/>
    <n v="13.117055628365257"/>
    <n v="220095350"/>
    <n v="86.882944371634736"/>
    <s v="DL.2376.AFA.001.053.A.524111"/>
    <s v="Non COVID"/>
    <s v="PERJALANAN DINAS"/>
    <s v="Belanja Barang Non Operasional"/>
  </r>
  <r>
    <s v="032"/>
    <s v="12"/>
    <s v="DL"/>
    <x v="0"/>
    <s v="2376"/>
    <x v="0"/>
    <s v="AFA"/>
    <s v="2376.AFA. Norma, Standard, Prosedur dan Kriteria"/>
    <s v="001"/>
    <x v="0"/>
    <s v="053"/>
    <x v="2"/>
    <s v="A"/>
    <x v="3"/>
    <s v="524113"/>
    <x v="6"/>
    <x v="13"/>
    <n v="1500000"/>
    <n v="0"/>
    <n v="0"/>
    <n v="0"/>
    <n v="0"/>
    <n v="0"/>
    <n v="0"/>
    <n v="0"/>
    <n v="0"/>
    <n v="0"/>
    <n v="0"/>
    <n v="0"/>
    <n v="0"/>
    <x v="0"/>
    <x v="1"/>
    <x v="2"/>
    <s v="52"/>
    <s v="SEKRETARIAT BADAN RISET DAN SUMBERDAYA MANUSIA KELAUTAN DAN PERIKANAN"/>
    <n v="0"/>
    <n v="0"/>
    <n v="1500000"/>
    <n v="100"/>
    <s v="DL.2376.AFA.001.053.A.524113"/>
    <s v="Non COVID"/>
    <s v="TRANSPORT LOKAL"/>
    <s v="Belanja Barang Non Operasional"/>
  </r>
  <r>
    <s v="032"/>
    <s v="12"/>
    <s v="DL"/>
    <x v="0"/>
    <s v="2376"/>
    <x v="0"/>
    <s v="AFA"/>
    <s v="2376.AFA. Norma, Standard, Prosedur dan Kriteria"/>
    <s v="001"/>
    <x v="0"/>
    <s v="053"/>
    <x v="2"/>
    <s v="B"/>
    <x v="4"/>
    <n v="521211"/>
    <x v="0"/>
    <x v="14"/>
    <n v="71456000"/>
    <n v="0"/>
    <n v="0"/>
    <n v="0"/>
    <n v="0"/>
    <n v="10438550"/>
    <n v="0"/>
    <n v="0"/>
    <n v="0"/>
    <n v="0"/>
    <n v="0"/>
    <n v="0"/>
    <n v="0"/>
    <x v="0"/>
    <x v="1"/>
    <x v="2"/>
    <s v="52"/>
    <s v="SEKRETARIAT BADAN RISET DAN SUMBERDAYA MANUSIA KELAUTAN DAN PERIKANAN"/>
    <n v="10438550"/>
    <n v="14.60836038961039"/>
    <n v="61017450"/>
    <n v="85.391639610389618"/>
    <s v="DL.2376.AFA.001.053.B.521211"/>
    <s v="Non COVID"/>
    <s v="BELANJA BAHAN"/>
    <s v="Belanja Barang Non Operasional"/>
  </r>
  <r>
    <s v="032"/>
    <s v="12"/>
    <s v="DL"/>
    <x v="0"/>
    <s v="2376"/>
    <x v="0"/>
    <s v="AFA"/>
    <s v="2376.AFA. Norma, Standard, Prosedur dan Kriteria"/>
    <s v="001"/>
    <x v="0"/>
    <s v="053"/>
    <x v="2"/>
    <s v="B"/>
    <x v="4"/>
    <n v="521219"/>
    <x v="3"/>
    <x v="15"/>
    <n v="5000000"/>
    <n v="0"/>
    <n v="0"/>
    <n v="0"/>
    <n v="0"/>
    <n v="4262850"/>
    <n v="0"/>
    <n v="0"/>
    <n v="0"/>
    <n v="0"/>
    <n v="0"/>
    <n v="0"/>
    <n v="0"/>
    <x v="0"/>
    <x v="1"/>
    <x v="2"/>
    <s v="52"/>
    <s v="SEKRETARIAT BADAN RISET DAN SUMBERDAYA MANUSIA KELAUTAN DAN PERIKANAN"/>
    <n v="4262850"/>
    <n v="85.257000000000005"/>
    <n v="737150"/>
    <n v="14.743"/>
    <s v="DL.2376.AFA.001.053.B.521219"/>
    <s v="Non COVID"/>
    <s v="NON OPS LAINNYA"/>
    <s v="Belanja Barang Non Operasional"/>
  </r>
  <r>
    <s v="032"/>
    <s v="12"/>
    <s v="DL"/>
    <x v="0"/>
    <s v="2376"/>
    <x v="0"/>
    <s v="AFA"/>
    <s v="2376.AFA. Norma, Standard, Prosedur dan Kriteria"/>
    <s v="001"/>
    <x v="0"/>
    <s v="053"/>
    <x v="2"/>
    <s v="B"/>
    <x v="4"/>
    <n v="521811"/>
    <x v="4"/>
    <x v="16"/>
    <n v="15000000"/>
    <n v="0"/>
    <n v="0"/>
    <n v="0"/>
    <n v="0"/>
    <n v="2453500"/>
    <n v="0"/>
    <n v="0"/>
    <n v="0"/>
    <n v="0"/>
    <n v="0"/>
    <n v="0"/>
    <n v="0"/>
    <x v="0"/>
    <x v="1"/>
    <x v="2"/>
    <s v="52"/>
    <s v="SEKRETARIAT BADAN RISET DAN SUMBERDAYA MANUSIA KELAUTAN DAN PERIKANAN"/>
    <n v="2453500"/>
    <n v="16.356666666666666"/>
    <n v="12546500"/>
    <n v="83.643333333333331"/>
    <s v="DL.2376.AFA.001.053.B.521811"/>
    <s v="Non COVID"/>
    <s v="PERSEDIAAN"/>
    <s v="Belanja Barang Non Operasional"/>
  </r>
  <r>
    <s v="032"/>
    <s v="12"/>
    <s v="DL"/>
    <x v="0"/>
    <s v="2376"/>
    <x v="0"/>
    <s v="AFA"/>
    <s v="2376.AFA. Norma, Standard, Prosedur dan Kriteria"/>
    <s v="001"/>
    <x v="0"/>
    <s v="053"/>
    <x v="2"/>
    <s v="B"/>
    <x v="4"/>
    <n v="522151"/>
    <x v="1"/>
    <x v="17"/>
    <n v="16200000"/>
    <n v="0"/>
    <n v="0"/>
    <n v="0"/>
    <n v="0"/>
    <n v="6300000"/>
    <n v="0"/>
    <n v="0"/>
    <n v="0"/>
    <n v="0"/>
    <n v="0"/>
    <n v="0"/>
    <n v="0"/>
    <x v="0"/>
    <x v="1"/>
    <x v="2"/>
    <s v="52"/>
    <s v="SEKRETARIAT BADAN RISET DAN SUMBERDAYA MANUSIA KELAUTAN DAN PERIKANAN"/>
    <n v="6300000"/>
    <n v="38.888888888888893"/>
    <n v="9900000"/>
    <n v="61.111111111111114"/>
    <s v="DL.2376.AFA.001.053.B.522151"/>
    <s v="Non COVID"/>
    <s v="BELANJA JASA"/>
    <s v="Belanja Barang Non Operasional"/>
  </r>
  <r>
    <s v="032"/>
    <s v="12"/>
    <s v="DL"/>
    <x v="0"/>
    <s v="2376"/>
    <x v="0"/>
    <s v="AFA"/>
    <s v="2376.AFA. Norma, Standard, Prosedur dan Kriteria"/>
    <s v="001"/>
    <x v="0"/>
    <s v="053"/>
    <x v="2"/>
    <s v="B"/>
    <x v="4"/>
    <s v="522192"/>
    <x v="5"/>
    <x v="18"/>
    <n v="2000000"/>
    <n v="0"/>
    <n v="0"/>
    <n v="365000"/>
    <n v="0"/>
    <n v="0"/>
    <n v="0"/>
    <n v="0"/>
    <n v="0"/>
    <n v="0"/>
    <n v="0"/>
    <n v="0"/>
    <n v="0"/>
    <x v="0"/>
    <x v="1"/>
    <x v="2"/>
    <s v="52"/>
    <s v="SEKRETARIAT BADAN RISET DAN SUMBERDAYA MANUSIA KELAUTAN DAN PERIKANAN"/>
    <n v="365000"/>
    <n v="18.25"/>
    <n v="1635000"/>
    <n v="81.75"/>
    <s v="DL.2376.AFA.001.053.B.522192"/>
    <s v="COVID"/>
    <s v="BELANJA JASA"/>
    <s v="Belanja Barang Non Operasional"/>
  </r>
  <r>
    <s v="032"/>
    <s v="12"/>
    <s v="DL"/>
    <x v="0"/>
    <s v="2376"/>
    <x v="0"/>
    <s v="AFA"/>
    <s v="2376.AFA. Norma, Standard, Prosedur dan Kriteria"/>
    <s v="001"/>
    <x v="0"/>
    <s v="053"/>
    <x v="2"/>
    <s v="B"/>
    <x v="4"/>
    <s v="524111"/>
    <x v="2"/>
    <x v="19"/>
    <n v="138160000"/>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s v="PERJALANAN DINAS"/>
    <s v="Belanja Barang Non Operasional"/>
  </r>
  <r>
    <s v="032"/>
    <s v="12"/>
    <s v="DL"/>
    <x v="0"/>
    <s v="2376"/>
    <x v="0"/>
    <s v="AFA"/>
    <s v="2376.AFA. Norma, Standard, Prosedur dan Kriteria"/>
    <s v="001"/>
    <x v="0"/>
    <s v="053"/>
    <x v="2"/>
    <s v="C"/>
    <x v="5"/>
    <n v="521211"/>
    <x v="0"/>
    <x v="20"/>
    <n v="20830000"/>
    <n v="0"/>
    <n v="0"/>
    <n v="0"/>
    <n v="0"/>
    <n v="0"/>
    <n v="0"/>
    <n v="0"/>
    <n v="0"/>
    <n v="0"/>
    <n v="0"/>
    <n v="0"/>
    <n v="0"/>
    <x v="0"/>
    <x v="1"/>
    <x v="2"/>
    <s v="52"/>
    <s v="SEKRETARIAT BADAN RISET DAN SUMBERDAYA MANUSIA KELAUTAN DAN PERIKANAN"/>
    <n v="0"/>
    <n v="0"/>
    <n v="20830000"/>
    <n v="100"/>
    <s v="DL.2376.AFA.001.053.C.521211"/>
    <s v="Non COVID"/>
    <s v="BELANJA BAHAN"/>
    <s v="Belanja Barang Non Operasional"/>
  </r>
  <r>
    <s v="032"/>
    <s v="12"/>
    <s v="DL"/>
    <x v="0"/>
    <s v="2376"/>
    <x v="0"/>
    <s v="AFA"/>
    <s v="2376.AFA. Norma, Standard, Prosedur dan Kriteria"/>
    <s v="001"/>
    <x v="0"/>
    <s v="053"/>
    <x v="2"/>
    <s v="C"/>
    <x v="5"/>
    <n v="521219"/>
    <x v="3"/>
    <x v="21"/>
    <n v="500000"/>
    <n v="0"/>
    <n v="0"/>
    <n v="0"/>
    <n v="0"/>
    <n v="0"/>
    <n v="0"/>
    <n v="0"/>
    <n v="0"/>
    <n v="0"/>
    <n v="0"/>
    <n v="0"/>
    <n v="0"/>
    <x v="0"/>
    <x v="1"/>
    <x v="2"/>
    <s v="52"/>
    <s v="SEKRETARIAT BADAN RISET DAN SUMBERDAYA MANUSIA KELAUTAN DAN PERIKANAN"/>
    <n v="0"/>
    <n v="0"/>
    <n v="500000"/>
    <n v="100"/>
    <s v="DL.2376.AFA.001.053.C.521219"/>
    <s v="Non COVID"/>
    <s v="NON OPS LAINNYA"/>
    <s v="Belanja Barang Non Operasional"/>
  </r>
  <r>
    <s v="032"/>
    <s v="12"/>
    <s v="DL"/>
    <x v="0"/>
    <s v="2376"/>
    <x v="0"/>
    <s v="AFA"/>
    <s v="2376.AFA. Norma, Standard, Prosedur dan Kriteria"/>
    <s v="001"/>
    <x v="0"/>
    <s v="053"/>
    <x v="2"/>
    <s v="C"/>
    <x v="5"/>
    <n v="522151"/>
    <x v="1"/>
    <x v="22"/>
    <n v="7200000"/>
    <n v="0"/>
    <n v="0"/>
    <n v="0"/>
    <n v="0"/>
    <n v="0"/>
    <n v="0"/>
    <n v="0"/>
    <n v="0"/>
    <n v="0"/>
    <n v="0"/>
    <n v="0"/>
    <n v="0"/>
    <x v="0"/>
    <x v="1"/>
    <x v="2"/>
    <s v="52"/>
    <s v="SEKRETARIAT BADAN RISET DAN SUMBERDAYA MANUSIA KELAUTAN DAN PERIKANAN"/>
    <n v="0"/>
    <n v="0"/>
    <n v="7200000"/>
    <n v="100"/>
    <s v="DL.2376.AFA.001.053.C.522151"/>
    <s v="Non COVID"/>
    <s v="BELANJA JASA"/>
    <s v="Belanja Barang Non Operasional"/>
  </r>
  <r>
    <s v="032"/>
    <s v="12"/>
    <s v="DL"/>
    <x v="0"/>
    <s v="2376"/>
    <x v="0"/>
    <s v="AFA"/>
    <s v="2376.AFA. Norma, Standard, Prosedur dan Kriteria"/>
    <s v="001"/>
    <x v="0"/>
    <s v="053"/>
    <x v="2"/>
    <s v="C"/>
    <x v="5"/>
    <s v="524111"/>
    <x v="2"/>
    <x v="23"/>
    <n v="23030000"/>
    <n v="0"/>
    <n v="0"/>
    <n v="0"/>
    <n v="0"/>
    <n v="0"/>
    <n v="0"/>
    <n v="0"/>
    <n v="0"/>
    <n v="0"/>
    <n v="0"/>
    <n v="0"/>
    <n v="0"/>
    <x v="0"/>
    <x v="1"/>
    <x v="2"/>
    <s v="52"/>
    <s v="SEKRETARIAT BADAN RISET DAN SUMBERDAYA MANUSIA KELAUTAN DAN PERIKANAN"/>
    <n v="0"/>
    <n v="0"/>
    <n v="23030000"/>
    <n v="100"/>
    <s v="DL.2376.AFA.001.053.C.524111"/>
    <s v="Non COVID"/>
    <s v="PERJALANAN DINAS"/>
    <s v="Belanja Barang Non Operasional"/>
  </r>
  <r>
    <s v="032"/>
    <s v="12"/>
    <s v="DL"/>
    <x v="0"/>
    <s v="2376"/>
    <x v="0"/>
    <s v="AFA"/>
    <s v="2376.AFA. Norma, Standard, Prosedur dan Kriteria"/>
    <s v="001"/>
    <x v="0"/>
    <s v="054"/>
    <x v="3"/>
    <s v="A"/>
    <x v="6"/>
    <n v="521211"/>
    <x v="0"/>
    <x v="24"/>
    <n v="13900000"/>
    <n v="0"/>
    <n v="0"/>
    <n v="7990750"/>
    <n v="0"/>
    <n v="1500000"/>
    <n v="0"/>
    <n v="0"/>
    <n v="0"/>
    <n v="0"/>
    <n v="0"/>
    <n v="0"/>
    <n v="0"/>
    <x v="0"/>
    <x v="1"/>
    <x v="3"/>
    <s v="52"/>
    <s v="SEKRETARIAT BADAN RISET DAN SUMBERDAYA MANUSIA KELAUTAN DAN PERIKANAN"/>
    <n v="9490750"/>
    <n v="68.27877697841727"/>
    <n v="4409250"/>
    <n v="31.721223021582734"/>
    <s v="DL.2376.AFA.001.054.A.521211"/>
    <s v="Non COVID"/>
    <s v="BELANJA BAHAN"/>
    <s v="Belanja Barang Non Operasional"/>
  </r>
  <r>
    <s v="032"/>
    <s v="12"/>
    <s v="DL"/>
    <x v="0"/>
    <s v="2376"/>
    <x v="0"/>
    <s v="AFA"/>
    <s v="2376.AFA. Norma, Standard, Prosedur dan Kriteria"/>
    <s v="001"/>
    <x v="0"/>
    <s v="054"/>
    <x v="3"/>
    <s v="A"/>
    <x v="6"/>
    <n v="521219"/>
    <x v="3"/>
    <x v="25"/>
    <n v="8784000"/>
    <n v="0"/>
    <n v="0"/>
    <n v="0"/>
    <n v="0"/>
    <n v="0"/>
    <n v="0"/>
    <n v="0"/>
    <n v="0"/>
    <n v="0"/>
    <n v="0"/>
    <n v="0"/>
    <n v="0"/>
    <x v="0"/>
    <x v="1"/>
    <x v="3"/>
    <s v="52"/>
    <s v="SEKRETARIAT BADAN RISET DAN SUMBERDAYA MANUSIA KELAUTAN DAN PERIKANAN"/>
    <n v="0"/>
    <n v="0"/>
    <n v="8784000"/>
    <n v="100"/>
    <s v="DL.2376.AFA.001.054.A.521219"/>
    <s v="Non COVID"/>
    <s v="PERJALANAN DINAS"/>
    <s v="Belanja Barang Non Operasional"/>
  </r>
  <r>
    <s v="032"/>
    <s v="12"/>
    <s v="DL"/>
    <x v="0"/>
    <s v="2376"/>
    <x v="0"/>
    <s v="AFA"/>
    <s v="2376.AFA. Norma, Standard, Prosedur dan Kriteria"/>
    <s v="001"/>
    <x v="0"/>
    <s v="054"/>
    <x v="3"/>
    <s v="A"/>
    <x v="6"/>
    <n v="522151"/>
    <x v="1"/>
    <x v="26"/>
    <n v="10000000"/>
    <n v="0"/>
    <n v="0"/>
    <n v="0"/>
    <n v="7200000"/>
    <n v="0"/>
    <n v="0"/>
    <n v="0"/>
    <n v="0"/>
    <n v="0"/>
    <n v="0"/>
    <n v="0"/>
    <n v="0"/>
    <x v="0"/>
    <x v="1"/>
    <x v="3"/>
    <s v="52"/>
    <s v="SEKRETARIAT BADAN RISET DAN SUMBERDAYA MANUSIA KELAUTAN DAN PERIKANAN"/>
    <n v="7200000"/>
    <n v="72"/>
    <n v="2800000"/>
    <n v="28.000000000000004"/>
    <s v="DL.2376.AFA.001.054.A.522151"/>
    <s v="Non COVID"/>
    <s v="BELANJA BAHAN"/>
    <s v="Belanja Barang Non Operasional"/>
  </r>
  <r>
    <s v="032"/>
    <s v="12"/>
    <s v="DL"/>
    <x v="0"/>
    <s v="2376"/>
    <x v="0"/>
    <s v="AFA"/>
    <s v="2376.AFA. Norma, Standard, Prosedur dan Kriteria"/>
    <s v="001"/>
    <x v="0"/>
    <s v="054"/>
    <x v="3"/>
    <s v="A"/>
    <x v="6"/>
    <s v="522192"/>
    <x v="5"/>
    <x v="15"/>
    <n v="5000000"/>
    <n v="0"/>
    <n v="0"/>
    <n v="0"/>
    <n v="0"/>
    <n v="0"/>
    <n v="0"/>
    <n v="0"/>
    <n v="0"/>
    <n v="0"/>
    <n v="0"/>
    <n v="0"/>
    <n v="0"/>
    <x v="0"/>
    <x v="1"/>
    <x v="3"/>
    <s v="52"/>
    <s v="SEKRETARIAT BADAN RISET DAN SUMBERDAYA MANUSIA KELAUTAN DAN PERIKANAN"/>
    <n v="0"/>
    <n v="0"/>
    <n v="5000000"/>
    <n v="100"/>
    <s v="DL.2376.AFA.001.054.A.522192"/>
    <s v="COVID"/>
    <s v="BELANJA JASA"/>
    <s v="Belanja Barang Non Operasional"/>
  </r>
  <r>
    <s v="032"/>
    <s v="12"/>
    <s v="DL"/>
    <x v="0"/>
    <s v="2376"/>
    <x v="0"/>
    <s v="AFA"/>
    <s v="2376.AFA. Norma, Standard, Prosedur dan Kriteria"/>
    <s v="001"/>
    <x v="0"/>
    <s v="054"/>
    <x v="3"/>
    <s v="A"/>
    <x v="6"/>
    <s v="524111"/>
    <x v="2"/>
    <x v="27"/>
    <n v="97416000"/>
    <n v="0"/>
    <n v="0"/>
    <n v="28850000"/>
    <n v="6320000"/>
    <n v="0"/>
    <n v="22748610"/>
    <n v="0"/>
    <n v="0"/>
    <n v="0"/>
    <n v="0"/>
    <n v="0"/>
    <n v="0"/>
    <x v="0"/>
    <x v="1"/>
    <x v="3"/>
    <s v="52"/>
    <s v="SEKRETARIAT BADAN RISET DAN SUMBERDAYA MANUSIA KELAUTAN DAN PERIKANAN"/>
    <n v="57918610"/>
    <n v="59.454925268949651"/>
    <n v="39497390"/>
    <n v="40.545074731050342"/>
    <s v="DL.2376.AFA.001.054.A.524111"/>
    <s v="Non COVID"/>
    <s v="PERJALANAN DINAS"/>
    <s v="Belanja Barang Non Operasional"/>
  </r>
  <r>
    <s v="032"/>
    <s v="12"/>
    <s v="WA"/>
    <x v="1"/>
    <s v="2378"/>
    <x v="1"/>
    <s v="CAN"/>
    <s v="2378.CAN. Sarana Bidang Teknologi Informasi dan Komunikasi"/>
    <s v="001"/>
    <x v="1"/>
    <n v="301"/>
    <x v="4"/>
    <s v="A"/>
    <x v="7"/>
    <n v="532111"/>
    <x v="7"/>
    <x v="28"/>
    <n v="115000000"/>
    <n v="0"/>
    <n v="0"/>
    <n v="0"/>
    <n v="0"/>
    <n v="114200000"/>
    <n v="0"/>
    <n v="0"/>
    <n v="0"/>
    <n v="0"/>
    <n v="0"/>
    <n v="0"/>
    <n v="0"/>
    <x v="0"/>
    <x v="2"/>
    <x v="4"/>
    <n v="53"/>
    <s v="SEKRETARIAT BADAN RISET DAN SUMBERDAYA MANUSIA KELAUTAN DAN PERIKANAN"/>
    <n v="114200000"/>
    <n v="100"/>
    <n v="0"/>
    <n v="0"/>
    <s v="WA.2378.CAN.001.301.A.532111"/>
    <s v="Non COVID"/>
    <s v="BELANJA MODAL"/>
    <s v="Belanja Barang Non Operasional"/>
  </r>
  <r>
    <s v="032"/>
    <s v="12"/>
    <s v="WA"/>
    <x v="1"/>
    <s v="2378"/>
    <x v="1"/>
    <s v="EBA"/>
    <s v="2378.EBA. Layanan Dukungan Manajemen Internal"/>
    <n v="958"/>
    <x v="2"/>
    <n v="311"/>
    <x v="5"/>
    <s v="A"/>
    <x v="8"/>
    <n v="521211"/>
    <x v="0"/>
    <x v="29"/>
    <n v="14400000"/>
    <n v="0"/>
    <n v="0"/>
    <n v="2876000"/>
    <n v="0"/>
    <n v="3071500"/>
    <n v="0"/>
    <n v="0"/>
    <n v="0"/>
    <n v="0"/>
    <n v="0"/>
    <n v="0"/>
    <n v="0"/>
    <x v="0"/>
    <x v="3"/>
    <x v="5"/>
    <s v="52"/>
    <s v="SEKRETARIAT BADAN RISET DAN SUMBERDAYA MANUSIA KELAUTAN DAN PERIKANAN"/>
    <n v="5947500"/>
    <n v="47.963709677419352"/>
    <n v="6452500"/>
    <n v="52.036290322580648"/>
    <s v="WA.2378.EBA.958.311.A.521211"/>
    <s v="Non COVID"/>
    <s v="BELANJA BAHAN"/>
    <s v="Belanja Barang Non Operasional"/>
  </r>
  <r>
    <s v="032"/>
    <s v="12"/>
    <s v="WA"/>
    <x v="1"/>
    <s v="2378"/>
    <x v="1"/>
    <s v="EBA"/>
    <s v="2378.EBA. Layanan Dukungan Manajemen Internal"/>
    <n v="958"/>
    <x v="2"/>
    <n v="311"/>
    <x v="5"/>
    <s v="A"/>
    <x v="8"/>
    <n v="521219"/>
    <x v="3"/>
    <x v="30"/>
    <n v="8000000"/>
    <n v="0"/>
    <n v="0"/>
    <n v="0"/>
    <n v="0"/>
    <n v="0"/>
    <n v="0"/>
    <n v="0"/>
    <n v="0"/>
    <n v="0"/>
    <n v="0"/>
    <n v="0"/>
    <n v="0"/>
    <x v="0"/>
    <x v="3"/>
    <x v="5"/>
    <s v="52"/>
    <s v="SEKRETARIAT BADAN RISET DAN SUMBERDAYA MANUSIA KELAUTAN DAN PERIKANAN"/>
    <n v="0"/>
    <n v="0"/>
    <n v="0"/>
    <n v="0"/>
    <s v="WA.2378.EBA.958.311.A.521219"/>
    <s v="Non COVID"/>
    <s v="NON OPS LAINNYA"/>
    <s v="Belanja Barang Non Operasional"/>
  </r>
  <r>
    <s v="032"/>
    <s v="12"/>
    <s v="WA"/>
    <x v="1"/>
    <s v="2378"/>
    <x v="1"/>
    <s v="EBA"/>
    <s v="2378.EBA. Layanan Dukungan Manajemen Internal"/>
    <n v="958"/>
    <x v="2"/>
    <n v="311"/>
    <x v="5"/>
    <s v="A"/>
    <x v="8"/>
    <n v="521811"/>
    <x v="4"/>
    <x v="26"/>
    <n v="12000000"/>
    <n v="0"/>
    <n v="0"/>
    <n v="2450750"/>
    <n v="0"/>
    <n v="1929000"/>
    <n v="0"/>
    <n v="0"/>
    <n v="0"/>
    <n v="0"/>
    <n v="0"/>
    <n v="0"/>
    <n v="0"/>
    <x v="0"/>
    <x v="3"/>
    <x v="5"/>
    <s v="52"/>
    <s v="SEKRETARIAT BADAN RISET DAN SUMBERDAYA MANUSIA KELAUTAN DAN PERIKANAN"/>
    <n v="4379750"/>
    <n v="43.797499999999999"/>
    <n v="5620250"/>
    <n v="56.202500000000001"/>
    <s v="WA.2378.EBA.958.311.A.521811"/>
    <s v="Non COVID"/>
    <s v="PERSEDIAAN"/>
    <s v="Belanja Barang Non Operasional"/>
  </r>
  <r>
    <s v="032"/>
    <s v="12"/>
    <s v="WA"/>
    <x v="1"/>
    <s v="2378"/>
    <x v="1"/>
    <s v="EBA"/>
    <s v="2378.EBA. Layanan Dukungan Manajemen Internal"/>
    <n v="958"/>
    <x v="2"/>
    <n v="311"/>
    <x v="5"/>
    <s v="A"/>
    <x v="8"/>
    <n v="522151"/>
    <x v="1"/>
    <x v="30"/>
    <n v="4000000"/>
    <n v="0"/>
    <n v="0"/>
    <n v="0"/>
    <n v="0"/>
    <n v="0"/>
    <n v="0"/>
    <n v="0"/>
    <n v="0"/>
    <n v="0"/>
    <n v="0"/>
    <n v="0"/>
    <n v="0"/>
    <x v="0"/>
    <x v="3"/>
    <x v="5"/>
    <s v="52"/>
    <s v="SEKRETARIAT BADAN RISET DAN SUMBERDAYA MANUSIA KELAUTAN DAN PERIKANAN"/>
    <n v="0"/>
    <n v="0"/>
    <n v="0"/>
    <n v="0"/>
    <s v="WA.2378.EBA.958.311.A.522151"/>
    <s v="Non COVID"/>
    <s v="BELANJA JASA"/>
    <s v="Belanja Barang Non Operasional"/>
  </r>
  <r>
    <s v="032"/>
    <s v="12"/>
    <s v="WA"/>
    <x v="1"/>
    <s v="2378"/>
    <x v="1"/>
    <s v="EBA"/>
    <s v="2378.EBA. Layanan Dukungan Manajemen Internal"/>
    <n v="958"/>
    <x v="2"/>
    <n v="311"/>
    <x v="5"/>
    <s v="A"/>
    <x v="8"/>
    <s v="524111"/>
    <x v="2"/>
    <x v="31"/>
    <n v="115380000"/>
    <n v="0"/>
    <n v="0"/>
    <n v="0"/>
    <n v="3570000"/>
    <n v="10960600"/>
    <n v="3840000"/>
    <n v="0"/>
    <n v="0"/>
    <n v="0"/>
    <n v="0"/>
    <n v="0"/>
    <n v="0"/>
    <x v="0"/>
    <x v="3"/>
    <x v="5"/>
    <s v="52"/>
    <s v="SEKRETARIAT BADAN RISET DAN SUMBERDAYA MANUSIA KELAUTAN DAN PERIKANAN"/>
    <n v="18370600"/>
    <n v="20.199459019638027"/>
    <n v="72575400"/>
    <n v="79.800540980361973"/>
    <s v="WA.2378.EBA.958.311.A.524111"/>
    <s v="Non COVID"/>
    <s v="PERJALANAN DINAS"/>
    <s v="Belanja Barang Non Operasional"/>
  </r>
  <r>
    <s v="032"/>
    <s v="12"/>
    <s v="WA"/>
    <x v="1"/>
    <s v="2378"/>
    <x v="1"/>
    <s v="EBA"/>
    <s v="2378.EBA. Layanan Dukungan Manajemen Internal"/>
    <n v="962"/>
    <x v="3"/>
    <n v="301"/>
    <x v="6"/>
    <s v="A"/>
    <x v="9"/>
    <n v="521211"/>
    <x v="0"/>
    <x v="15"/>
    <n v="22000000"/>
    <n v="0"/>
    <n v="0"/>
    <n v="3998800"/>
    <n v="0"/>
    <n v="0"/>
    <n v="0"/>
    <n v="0"/>
    <n v="0"/>
    <n v="0"/>
    <n v="0"/>
    <n v="0"/>
    <n v="0"/>
    <x v="0"/>
    <x v="2"/>
    <x v="4"/>
    <s v="52"/>
    <s v="SEKRETARIAT BADAN RISET DAN SUMBERDAYA MANUSIA KELAUTAN DAN PERIKANAN"/>
    <n v="3998800"/>
    <n v="79.975999999999999"/>
    <n v="1001200"/>
    <n v="20.024000000000001"/>
    <s v="WA.2378.EBA.962.301.A.521211"/>
    <s v="Non COVID"/>
    <s v="BELANJA BAHAN"/>
    <s v="Belanja Barang Non Operasional"/>
  </r>
  <r>
    <s v="032"/>
    <s v="12"/>
    <s v="WA"/>
    <x v="1"/>
    <s v="2378"/>
    <x v="1"/>
    <s v="EBA"/>
    <s v="2378.EBA. Layanan Dukungan Manajemen Internal"/>
    <n v="962"/>
    <x v="3"/>
    <n v="301"/>
    <x v="6"/>
    <s v="A"/>
    <x v="9"/>
    <s v="524111"/>
    <x v="2"/>
    <x v="32"/>
    <n v="27000000"/>
    <n v="0"/>
    <n v="0"/>
    <n v="4335000"/>
    <n v="3960000"/>
    <n v="3043500"/>
    <n v="0"/>
    <n v="0"/>
    <n v="0"/>
    <n v="0"/>
    <n v="0"/>
    <n v="0"/>
    <n v="0"/>
    <x v="0"/>
    <x v="2"/>
    <x v="4"/>
    <s v="52"/>
    <s v="SEKRETARIAT BADAN RISET DAN SUMBERDAYA MANUSIA KELAUTAN DAN PERIKANAN"/>
    <n v="11338500"/>
    <n v="87.293094156594037"/>
    <n v="1650500"/>
    <n v="12.706905843405957"/>
    <s v="WA.2378.EBA.962.301.A.524111"/>
    <s v="Non COVID"/>
    <s v="PERJALANAN DINAS"/>
    <s v="Belanja Barang Non Operasional"/>
  </r>
  <r>
    <s v="032"/>
    <s v="12"/>
    <s v="WA"/>
    <x v="1"/>
    <s v="2378"/>
    <x v="1"/>
    <s v="EBA"/>
    <s v="2378.EBA. Layanan Dukungan Manajemen Internal"/>
    <n v="962"/>
    <x v="3"/>
    <n v="301"/>
    <x v="6"/>
    <s v="A"/>
    <x v="9"/>
    <s v="524113"/>
    <x v="6"/>
    <x v="33"/>
    <n v="2100000"/>
    <n v="0"/>
    <n v="0"/>
    <n v="750000"/>
    <n v="0"/>
    <n v="0"/>
    <n v="0"/>
    <n v="0"/>
    <n v="0"/>
    <n v="0"/>
    <n v="0"/>
    <n v="0"/>
    <n v="0"/>
    <x v="0"/>
    <x v="2"/>
    <x v="4"/>
    <s v="52"/>
    <s v="SEKRETARIAT BADAN RISET DAN SUMBERDAYA MANUSIA KELAUTAN DAN PERIKANAN"/>
    <n v="750000"/>
    <n v="100"/>
    <n v="0"/>
    <n v="0"/>
    <s v="WA.2378.EBA.962.301.A.524113"/>
    <s v="Non COVID"/>
    <s v="TRANSPORT LOKAL"/>
    <s v="Belanja Barang Non Operasional"/>
  </r>
  <r>
    <s v="032"/>
    <s v="12"/>
    <s v="WA"/>
    <x v="1"/>
    <s v="2378"/>
    <x v="1"/>
    <s v="EBA"/>
    <s v="2378.EBA. Layanan Dukungan Manajemen Internal"/>
    <n v="962"/>
    <x v="3"/>
    <n v="301"/>
    <x v="6"/>
    <s v="B"/>
    <x v="10"/>
    <n v="521211"/>
    <x v="0"/>
    <x v="26"/>
    <n v="10000000"/>
    <n v="0"/>
    <n v="0"/>
    <n v="2485000"/>
    <n v="0"/>
    <n v="2485000"/>
    <n v="0"/>
    <n v="0"/>
    <n v="0"/>
    <n v="0"/>
    <n v="0"/>
    <n v="0"/>
    <n v="0"/>
    <x v="0"/>
    <x v="2"/>
    <x v="4"/>
    <s v="52"/>
    <s v="SEKRETARIAT BADAN RISET DAN SUMBERDAYA MANUSIA KELAUTAN DAN PERIKANAN"/>
    <n v="4970000"/>
    <n v="49.7"/>
    <n v="5030000"/>
    <n v="50.3"/>
    <s v="WA.2378.EBA.962.301.B.521211"/>
    <s v="Non COVID"/>
    <s v="BELANJA BAHAN"/>
    <s v="Belanja Barang Non Operasional"/>
  </r>
  <r>
    <s v="032"/>
    <s v="12"/>
    <s v="WA"/>
    <x v="1"/>
    <s v="2378"/>
    <x v="1"/>
    <s v="EBA"/>
    <s v="2378.EBA. Layanan Dukungan Manajemen Internal"/>
    <n v="962"/>
    <x v="3"/>
    <n v="301"/>
    <x v="6"/>
    <s v="B"/>
    <x v="10"/>
    <s v="522192"/>
    <x v="5"/>
    <x v="34"/>
    <n v="23680000"/>
    <n v="0"/>
    <n v="0"/>
    <n v="2031000"/>
    <n v="0"/>
    <n v="0"/>
    <n v="0"/>
    <n v="0"/>
    <n v="0"/>
    <n v="0"/>
    <n v="0"/>
    <n v="0"/>
    <n v="0"/>
    <x v="0"/>
    <x v="2"/>
    <x v="4"/>
    <s v="52"/>
    <s v="SEKRETARIAT BADAN RISET DAN SUMBERDAYA MANUSIA KELAUTAN DAN PERIKANAN"/>
    <n v="2031000"/>
    <n v="100"/>
    <n v="0"/>
    <n v="0"/>
    <s v="WA.2378.EBA.962.301.B.522192"/>
    <s v="COVID"/>
    <s v="BELANJA JASA"/>
    <s v="Belanja Barang Non Operasional"/>
  </r>
  <r>
    <s v="032"/>
    <s v="12"/>
    <s v="WA"/>
    <x v="1"/>
    <s v="2378"/>
    <x v="1"/>
    <s v="EBA"/>
    <s v="2378.EBA. Layanan Dukungan Manajemen Internal"/>
    <n v="962"/>
    <x v="3"/>
    <n v="301"/>
    <x v="6"/>
    <s v="B"/>
    <x v="10"/>
    <s v="524111"/>
    <x v="2"/>
    <x v="35"/>
    <n v="514500000"/>
    <n v="0"/>
    <n v="0"/>
    <n v="68815500"/>
    <n v="66565460"/>
    <n v="25199501"/>
    <n v="0"/>
    <n v="0"/>
    <n v="0"/>
    <n v="0"/>
    <n v="0"/>
    <n v="0"/>
    <n v="0"/>
    <x v="0"/>
    <x v="2"/>
    <x v="4"/>
    <s v="52"/>
    <s v="SEKRETARIAT BADAN RISET DAN SUMBERDAYA MANUSIA KELAUTAN DAN PERIKANAN"/>
    <n v="160580461"/>
    <n v="42.978010834131794"/>
    <n v="213053539"/>
    <n v="57.021989165868206"/>
    <s v="WA.2378.EBA.962.301.B.524111"/>
    <s v="Non COVID"/>
    <s v="PERJALANAN DINAS"/>
    <s v="Belanja Barang Non Operasional"/>
  </r>
  <r>
    <s v="032"/>
    <s v="12"/>
    <s v="WA"/>
    <x v="1"/>
    <s v="2378"/>
    <x v="1"/>
    <s v="EBA"/>
    <s v="2378.EBA. Layanan Dukungan Manajemen Internal"/>
    <n v="962"/>
    <x v="3"/>
    <n v="301"/>
    <x v="6"/>
    <s v="C"/>
    <x v="11"/>
    <n v="521211"/>
    <x v="0"/>
    <x v="36"/>
    <n v="46000000"/>
    <n v="0"/>
    <n v="0"/>
    <n v="3987000"/>
    <n v="0"/>
    <n v="29384740"/>
    <n v="0"/>
    <n v="0"/>
    <n v="0"/>
    <n v="0"/>
    <n v="0"/>
    <n v="0"/>
    <n v="0"/>
    <x v="0"/>
    <x v="2"/>
    <x v="4"/>
    <s v="52"/>
    <s v="SEKRETARIAT BADAN RISET DAN SUMBERDAYA MANUSIA KELAUTAN DAN PERIKANAN"/>
    <n v="33371740"/>
    <n v="99.617134328358219"/>
    <n v="128260"/>
    <n v="0.38286567164179103"/>
    <s v="WA.2378.EBA.962.301.C.521211"/>
    <s v="Non COVID"/>
    <s v="BELANJA BAHAN"/>
    <s v="Belanja Barang Non Operasional"/>
  </r>
  <r>
    <s v="032"/>
    <s v="12"/>
    <s v="WA"/>
    <x v="1"/>
    <s v="2378"/>
    <x v="1"/>
    <s v="EBA"/>
    <s v="2378.EBA. Layanan Dukungan Manajemen Internal"/>
    <n v="962"/>
    <x v="3"/>
    <n v="301"/>
    <x v="6"/>
    <s v="C"/>
    <x v="11"/>
    <n v="522141"/>
    <x v="8"/>
    <x v="37"/>
    <n v="6000000"/>
    <n v="0"/>
    <n v="0"/>
    <n v="0"/>
    <n v="0"/>
    <n v="0"/>
    <n v="0"/>
    <n v="0"/>
    <n v="0"/>
    <n v="0"/>
    <n v="0"/>
    <n v="0"/>
    <n v="0"/>
    <x v="0"/>
    <x v="2"/>
    <x v="4"/>
    <s v="52"/>
    <s v="SEKRETARIAT BADAN RISET DAN SUMBERDAYA MANUSIA KELAUTAN DAN PERIKANAN"/>
    <n v="0"/>
    <n v="0"/>
    <n v="3000000"/>
    <n v="100"/>
    <s v="WA.2378.EBA.962.301.C.522141"/>
    <s v="Non COVID"/>
    <s v="BELANJA SEWA"/>
    <s v="Belanja Barang Non Operasional"/>
  </r>
  <r>
    <s v="032"/>
    <s v="12"/>
    <s v="WA"/>
    <x v="1"/>
    <s v="2378"/>
    <x v="1"/>
    <s v="EBA"/>
    <s v="2378.EBA. Layanan Dukungan Manajemen Internal"/>
    <n v="962"/>
    <x v="3"/>
    <n v="301"/>
    <x v="6"/>
    <s v="C"/>
    <x v="11"/>
    <s v="524111"/>
    <x v="2"/>
    <x v="38"/>
    <n v="18000000"/>
    <n v="0"/>
    <n v="0"/>
    <n v="1290000"/>
    <n v="0"/>
    <n v="7020000"/>
    <n v="0"/>
    <n v="0"/>
    <n v="0"/>
    <n v="0"/>
    <n v="0"/>
    <n v="0"/>
    <n v="0"/>
    <x v="0"/>
    <x v="2"/>
    <x v="4"/>
    <s v="52"/>
    <s v="SEKRETARIAT BADAN RISET DAN SUMBERDAYA MANUSIA KELAUTAN DAN PERIKANAN"/>
    <n v="8310000"/>
    <n v="46.166666666666664"/>
    <n v="9690000"/>
    <n v="53.833333333333336"/>
    <s v="WA.2378.EBA.962.301.C.524111"/>
    <s v="Non COVID"/>
    <s v="PERJALANAN DINAS"/>
    <s v="Belanja Barang Non Operasional"/>
  </r>
  <r>
    <s v="032"/>
    <s v="12"/>
    <s v="WA"/>
    <x v="1"/>
    <s v="2378"/>
    <x v="1"/>
    <s v="EBA"/>
    <s v="2378.EBA. Layanan Dukungan Manajemen Internal"/>
    <n v="962"/>
    <x v="3"/>
    <n v="301"/>
    <x v="6"/>
    <s v="C"/>
    <x v="11"/>
    <s v="524113"/>
    <x v="6"/>
    <x v="39"/>
    <n v="4500000"/>
    <n v="0"/>
    <n v="0"/>
    <n v="600000"/>
    <n v="0"/>
    <n v="0"/>
    <n v="0"/>
    <n v="0"/>
    <n v="0"/>
    <n v="0"/>
    <n v="0"/>
    <n v="0"/>
    <n v="0"/>
    <x v="0"/>
    <x v="2"/>
    <x v="4"/>
    <s v="52"/>
    <s v="SEKRETARIAT BADAN RISET DAN SUMBERDAYA MANUSIA KELAUTAN DAN PERIKANAN"/>
    <n v="600000"/>
    <n v="26.666666666666668"/>
    <n v="1650000"/>
    <n v="73.333333333333329"/>
    <s v="WA.2378.EBA.962.301.C.524113"/>
    <s v="Non COVID"/>
    <s v="TRANSPORT LOKAL"/>
    <s v="Belanja Barang Non Operasional"/>
  </r>
  <r>
    <s v="032"/>
    <s v="12"/>
    <s v="WA"/>
    <x v="1"/>
    <s v="2378"/>
    <x v="1"/>
    <s v="EBA"/>
    <s v="2378.EBA. Layanan Dukungan Manajemen Internal"/>
    <n v="962"/>
    <x v="3"/>
    <n v="301"/>
    <x v="6"/>
    <s v="D"/>
    <x v="12"/>
    <n v="521211"/>
    <x v="0"/>
    <x v="40"/>
    <n v="28000000"/>
    <n v="0"/>
    <n v="0"/>
    <n v="5459000"/>
    <n v="0"/>
    <n v="0"/>
    <n v="0"/>
    <n v="0"/>
    <n v="0"/>
    <n v="0"/>
    <n v="0"/>
    <n v="0"/>
    <n v="0"/>
    <x v="0"/>
    <x v="2"/>
    <x v="4"/>
    <s v="52"/>
    <s v="SEKRETARIAT BADAN RISET DAN SUMBERDAYA MANUSIA KELAUTAN DAN PERIKANAN"/>
    <n v="5459000"/>
    <n v="40.437037037037037"/>
    <n v="8041000"/>
    <n v="59.562962962962963"/>
    <s v="WA.2378.EBA.962.301.D.521211"/>
    <s v="Non COVID"/>
    <s v="BELANJA BAHAN"/>
    <s v="Belanja Barang Non Operasional"/>
  </r>
  <r>
    <s v="032"/>
    <s v="12"/>
    <s v="WA"/>
    <x v="1"/>
    <s v="2378"/>
    <x v="1"/>
    <s v="EBA"/>
    <s v="2378.EBA. Layanan Dukungan Manajemen Internal"/>
    <n v="962"/>
    <x v="3"/>
    <n v="301"/>
    <x v="6"/>
    <s v="D"/>
    <x v="12"/>
    <s v="524111"/>
    <x v="2"/>
    <x v="41"/>
    <n v="71250000"/>
    <n v="0"/>
    <n v="0"/>
    <n v="8227400"/>
    <n v="15762838"/>
    <n v="3691500"/>
    <n v="0"/>
    <n v="0"/>
    <n v="0"/>
    <n v="0"/>
    <n v="0"/>
    <n v="0"/>
    <n v="0"/>
    <x v="0"/>
    <x v="2"/>
    <x v="4"/>
    <s v="52"/>
    <s v="SEKRETARIAT BADAN RISET DAN SUMBERDAYA MANUSIA KELAUTAN DAN PERIKANAN"/>
    <n v="27681738"/>
    <n v="58.041511332900008"/>
    <n v="20011262"/>
    <n v="41.958488667099992"/>
    <s v="WA.2378.EBA.962.301.D.524111"/>
    <s v="Non COVID"/>
    <s v="PERJALANAN DINAS"/>
    <s v="Belanja Barang Non Operasional"/>
  </r>
  <r>
    <s v="032"/>
    <s v="12"/>
    <s v="WA"/>
    <x v="1"/>
    <s v="2378"/>
    <x v="1"/>
    <s v="EBA"/>
    <s v="2378.EBA. Layanan Dukungan Manajemen Internal"/>
    <n v="962"/>
    <x v="3"/>
    <n v="301"/>
    <x v="6"/>
    <s v="D"/>
    <x v="12"/>
    <s v="524113"/>
    <x v="6"/>
    <x v="30"/>
    <n v="1800000"/>
    <n v="0"/>
    <n v="0"/>
    <n v="0"/>
    <n v="0"/>
    <n v="0"/>
    <n v="0"/>
    <n v="0"/>
    <n v="0"/>
    <n v="0"/>
    <n v="0"/>
    <n v="0"/>
    <n v="0"/>
    <x v="0"/>
    <x v="2"/>
    <x v="4"/>
    <s v="52"/>
    <s v="SEKRETARIAT BADAN RISET DAN SUMBERDAYA MANUSIA KELAUTAN DAN PERIKANAN"/>
    <n v="0"/>
    <n v="0"/>
    <n v="0"/>
    <n v="0"/>
    <s v="WA.2378.EBA.962.301.D.524113"/>
    <s v="Non COVID"/>
    <s v="TRANSPORT LOKAL"/>
    <s v="Belanja Barang Non Operasional"/>
  </r>
  <r>
    <s v="032"/>
    <s v="12"/>
    <s v="WA"/>
    <x v="1"/>
    <s v="2378"/>
    <x v="1"/>
    <s v="EBA"/>
    <s v="2378.EBA. Layanan Dukungan Manajemen Internal"/>
    <n v="962"/>
    <x v="3"/>
    <n v="301"/>
    <x v="6"/>
    <s v="E"/>
    <x v="13"/>
    <n v="521211"/>
    <x v="0"/>
    <x v="42"/>
    <n v="57600000"/>
    <n v="0"/>
    <n v="0"/>
    <n v="31495000"/>
    <n v="0"/>
    <n v="6600000"/>
    <n v="0"/>
    <n v="0"/>
    <n v="0"/>
    <n v="0"/>
    <n v="0"/>
    <n v="0"/>
    <n v="0"/>
    <x v="0"/>
    <x v="2"/>
    <x v="4"/>
    <s v="52"/>
    <s v="SEKRETARIAT BADAN RISET DAN SUMBERDAYA MANUSIA KELAUTAN DAN PERIKANAN"/>
    <n v="38095000"/>
    <n v="99.98687664041995"/>
    <n v="5000"/>
    <n v="1.3123359580052493E-2"/>
    <s v="WA.2378.EBA.962.301.E.521211"/>
    <s v="Non COVID"/>
    <s v="BELANJA BAHAN"/>
    <s v="Belanja Barang Non Operasional"/>
  </r>
  <r>
    <s v="032"/>
    <s v="12"/>
    <s v="WA"/>
    <x v="1"/>
    <s v="2378"/>
    <x v="1"/>
    <s v="EBA"/>
    <s v="2378.EBA. Layanan Dukungan Manajemen Internal"/>
    <n v="962"/>
    <x v="3"/>
    <n v="301"/>
    <x v="6"/>
    <s v="E"/>
    <x v="13"/>
    <n v="521241"/>
    <x v="9"/>
    <x v="43"/>
    <n v="226200000"/>
    <n v="0"/>
    <n v="0"/>
    <n v="47132450"/>
    <n v="0"/>
    <n v="20031830"/>
    <n v="0"/>
    <n v="0"/>
    <n v="0"/>
    <n v="0"/>
    <n v="0"/>
    <n v="0"/>
    <n v="0"/>
    <x v="0"/>
    <x v="2"/>
    <x v="4"/>
    <s v="52"/>
    <s v="SEKRETARIAT BADAN RISET DAN SUMBERDAYA MANUSIA KELAUTAN DAN PERIKANAN"/>
    <n v="67164280"/>
    <n v="81.377711003949884"/>
    <n v="15369720"/>
    <n v="18.622288996050113"/>
    <s v="WA.2378.EBA.962.301.E.521241"/>
    <s v="COVID"/>
    <s v="BELANJA JASA"/>
    <s v="Belanja Barang Non Operasional"/>
  </r>
  <r>
    <s v="032"/>
    <s v="12"/>
    <s v="WA"/>
    <x v="1"/>
    <s v="2378"/>
    <x v="1"/>
    <s v="EBA"/>
    <s v="2378.EBA. Layanan Dukungan Manajemen Internal"/>
    <n v="962"/>
    <x v="3"/>
    <n v="301"/>
    <x v="6"/>
    <s v="E"/>
    <x v="13"/>
    <n v="522191"/>
    <x v="10"/>
    <x v="44"/>
    <n v="35000000"/>
    <n v="0"/>
    <n v="0"/>
    <n v="0"/>
    <n v="0"/>
    <n v="0"/>
    <n v="0"/>
    <n v="0"/>
    <n v="0"/>
    <n v="0"/>
    <n v="0"/>
    <n v="0"/>
    <n v="0"/>
    <x v="0"/>
    <x v="2"/>
    <x v="4"/>
    <n v="52"/>
    <s v="SEKRETARIAT BADAN RISET DAN SUMBERDAYA MANUSIA KELAUTAN DAN PERIKANAN"/>
    <n v="0"/>
    <n v="0"/>
    <n v="1606000"/>
    <n v="100"/>
    <s v="WA.2378.EBA.962.301.E.522191"/>
    <s v="Non COVID"/>
    <s v="BELANJA JASA"/>
    <s v="Belanja Barang Non Operasional"/>
  </r>
  <r>
    <s v="032"/>
    <s v="12"/>
    <s v="WA"/>
    <x v="1"/>
    <s v="2378"/>
    <x v="1"/>
    <s v="EBA"/>
    <s v="2378.EBA. Layanan Dukungan Manajemen Internal"/>
    <n v="962"/>
    <x v="3"/>
    <n v="301"/>
    <x v="6"/>
    <s v="E"/>
    <x v="13"/>
    <s v="522192"/>
    <x v="5"/>
    <x v="45"/>
    <n v="48000000"/>
    <n v="0"/>
    <n v="0"/>
    <n v="802000"/>
    <n v="3229000"/>
    <n v="215000"/>
    <n v="0"/>
    <n v="0"/>
    <n v="0"/>
    <n v="0"/>
    <n v="0"/>
    <n v="0"/>
    <n v="0"/>
    <x v="0"/>
    <x v="2"/>
    <x v="4"/>
    <s v="52"/>
    <s v="SEKRETARIAT BADAN RISET DAN SUMBERDAYA MANUSIA KELAUTAN DAN PERIKANAN"/>
    <n v="4246000"/>
    <n v="100"/>
    <n v="0"/>
    <n v="0"/>
    <s v="WA.2378.EBA.962.301.E.522192"/>
    <s v="COVID"/>
    <s v="BELANJA JASA"/>
    <s v="Belanja Barang Non Operasional"/>
  </r>
  <r>
    <s v="032"/>
    <s v="12"/>
    <s v="WA"/>
    <x v="1"/>
    <s v="2378"/>
    <x v="1"/>
    <s v="EBA"/>
    <s v="2378.EBA. Layanan Dukungan Manajemen Internal"/>
    <n v="962"/>
    <x v="3"/>
    <n v="301"/>
    <x v="6"/>
    <s v="E"/>
    <x v="13"/>
    <s v="524111"/>
    <x v="2"/>
    <x v="46"/>
    <n v="42772000"/>
    <n v="0"/>
    <n v="0"/>
    <n v="8250000"/>
    <n v="3712700"/>
    <n v="9888000"/>
    <n v="0"/>
    <n v="0"/>
    <n v="0"/>
    <n v="0"/>
    <n v="0"/>
    <n v="0"/>
    <n v="0"/>
    <x v="0"/>
    <x v="2"/>
    <x v="4"/>
    <s v="52"/>
    <s v="SEKRETARIAT BADAN RISET DAN SUMBERDAYA MANUSIA KELAUTAN DAN PERIKANAN"/>
    <n v="21850700"/>
    <n v="99.998627065122875"/>
    <n v="300"/>
    <n v="1.3729348771223285E-3"/>
    <s v="WA.2378.EBA.962.301.E.524111"/>
    <s v="Non COVID"/>
    <s v="PERJALANAN DINAS"/>
    <s v="Belanja Barang Non Operasional"/>
  </r>
  <r>
    <s v="032"/>
    <s v="12"/>
    <s v="WA"/>
    <x v="1"/>
    <s v="2378"/>
    <x v="1"/>
    <s v="EBA"/>
    <s v="2378.EBA. Layanan Dukungan Manajemen Internal"/>
    <n v="962"/>
    <x v="3"/>
    <n v="301"/>
    <x v="6"/>
    <s v="E"/>
    <x v="13"/>
    <s v="524113"/>
    <x v="6"/>
    <x v="30"/>
    <n v="2100000"/>
    <n v="0"/>
    <n v="0"/>
    <n v="0"/>
    <n v="0"/>
    <n v="0"/>
    <n v="0"/>
    <n v="0"/>
    <n v="0"/>
    <n v="0"/>
    <n v="0"/>
    <n v="0"/>
    <n v="0"/>
    <x v="0"/>
    <x v="2"/>
    <x v="4"/>
    <s v="52"/>
    <s v="SEKRETARIAT BADAN RISET DAN SUMBERDAYA MANUSIA KELAUTAN DAN PERIKANAN"/>
    <n v="0"/>
    <n v="0"/>
    <n v="0"/>
    <n v="0"/>
    <s v="WA.2378.EBA.962.301.E.524113"/>
    <s v="Non COVID"/>
    <s v="TRANSPORT LOKAL"/>
    <s v="Belanja Barang Non Operasional"/>
  </r>
  <r>
    <s v="032"/>
    <s v="12"/>
    <s v="WA"/>
    <x v="1"/>
    <s v="2378"/>
    <x v="1"/>
    <s v="EBA"/>
    <s v="2378.EBA. Layanan Dukungan Manajemen Internal"/>
    <n v="962"/>
    <x v="3"/>
    <n v="301"/>
    <x v="6"/>
    <s v="F"/>
    <x v="14"/>
    <n v="521211"/>
    <x v="0"/>
    <x v="4"/>
    <n v="32000000"/>
    <n v="0"/>
    <n v="0"/>
    <n v="3999200"/>
    <n v="0"/>
    <n v="0"/>
    <n v="0"/>
    <n v="0"/>
    <n v="0"/>
    <n v="0"/>
    <n v="0"/>
    <n v="0"/>
    <n v="0"/>
    <x v="0"/>
    <x v="1"/>
    <x v="3"/>
    <s v="52"/>
    <s v="SEKRETARIAT BADAN RISET DAN SUMBERDAYA MANUSIA KELAUTAN DAN PERIKANAN"/>
    <n v="3999200"/>
    <n v="99.98"/>
    <n v="800"/>
    <n v="0.02"/>
    <s v="WA.2378.EBA.962.301.F.521211"/>
    <s v="Non COVID"/>
    <s v="BELANJA BAHAN"/>
    <s v="Belanja Barang Non Operasional"/>
  </r>
  <r>
    <s v="032"/>
    <s v="12"/>
    <s v="WA"/>
    <x v="1"/>
    <s v="2378"/>
    <x v="1"/>
    <s v="EBA"/>
    <s v="2378.EBA. Layanan Dukungan Manajemen Internal"/>
    <n v="962"/>
    <x v="3"/>
    <n v="301"/>
    <x v="6"/>
    <s v="F"/>
    <x v="14"/>
    <n v="521219"/>
    <x v="3"/>
    <x v="47"/>
    <n v="298141000"/>
    <n v="0"/>
    <n v="0"/>
    <n v="694240"/>
    <n v="0"/>
    <n v="3603218"/>
    <n v="0"/>
    <n v="0"/>
    <n v="0"/>
    <n v="0"/>
    <n v="0"/>
    <n v="0"/>
    <n v="0"/>
    <x v="0"/>
    <x v="1"/>
    <x v="3"/>
    <s v="52"/>
    <s v="SEKRETARIAT BADAN RISET DAN SUMBERDAYA MANUSIA KELAUTAN DAN PERIKANAN"/>
    <n v="4297458"/>
    <n v="99.987389483480698"/>
    <n v="542"/>
    <n v="1.2610516519311306E-2"/>
    <s v="WA.2378.EBA.962.301.F.521219"/>
    <s v="Non COVID"/>
    <s v="NON OPS LAINNYA"/>
    <s v="Belanja Barang Non Operasional"/>
  </r>
  <r>
    <s v="032"/>
    <s v="12"/>
    <s v="WA"/>
    <x v="1"/>
    <s v="2378"/>
    <x v="1"/>
    <s v="EBA"/>
    <s v="2378.EBA. Layanan Dukungan Manajemen Internal"/>
    <n v="962"/>
    <x v="3"/>
    <n v="301"/>
    <x v="6"/>
    <s v="F"/>
    <x v="14"/>
    <n v="522151"/>
    <x v="1"/>
    <x v="30"/>
    <n v="30000000"/>
    <n v="0"/>
    <n v="0"/>
    <n v="0"/>
    <n v="0"/>
    <n v="0"/>
    <n v="0"/>
    <n v="0"/>
    <n v="0"/>
    <n v="0"/>
    <n v="0"/>
    <n v="0"/>
    <n v="0"/>
    <x v="0"/>
    <x v="1"/>
    <x v="3"/>
    <s v="52"/>
    <s v="SEKRETARIAT BADAN RISET DAN SUMBERDAYA MANUSIA KELAUTAN DAN PERIKANAN"/>
    <n v="0"/>
    <n v="0"/>
    <n v="0"/>
    <n v="0"/>
    <s v="WA.2378.EBA.962.301.F.522151"/>
    <s v="Non COVID"/>
    <s v="BELANJA JASA"/>
    <s v="Belanja Barang Non Operasional"/>
  </r>
  <r>
    <s v="032"/>
    <s v="12"/>
    <s v="WA"/>
    <x v="1"/>
    <s v="2378"/>
    <x v="1"/>
    <s v="EBA"/>
    <s v="2378.EBA. Layanan Dukungan Manajemen Internal"/>
    <n v="962"/>
    <x v="3"/>
    <n v="301"/>
    <x v="6"/>
    <s v="F"/>
    <x v="14"/>
    <s v="522192"/>
    <x v="5"/>
    <x v="30"/>
    <n v="8000000"/>
    <n v="0"/>
    <n v="0"/>
    <n v="0"/>
    <n v="0"/>
    <n v="0"/>
    <n v="0"/>
    <n v="0"/>
    <n v="0"/>
    <n v="0"/>
    <n v="0"/>
    <n v="0"/>
    <n v="0"/>
    <x v="0"/>
    <x v="1"/>
    <x v="3"/>
    <s v="52"/>
    <s v="SEKRETARIAT BADAN RISET DAN SUMBERDAYA MANUSIA KELAUTAN DAN PERIKANAN"/>
    <n v="0"/>
    <n v="0"/>
    <n v="0"/>
    <n v="0"/>
    <s v="WA.2378.EBA.962.301.F.522192"/>
    <s v="COVID"/>
    <s v="BELANJA JASA"/>
    <s v="Belanja Barang Non Operasional"/>
  </r>
  <r>
    <s v="032"/>
    <s v="12"/>
    <s v="WA"/>
    <x v="1"/>
    <s v="2378"/>
    <x v="1"/>
    <s v="EBA"/>
    <s v="2378.EBA. Layanan Dukungan Manajemen Internal"/>
    <n v="962"/>
    <x v="3"/>
    <n v="301"/>
    <x v="6"/>
    <s v="F"/>
    <x v="14"/>
    <s v="524111"/>
    <x v="2"/>
    <x v="48"/>
    <n v="81859000"/>
    <n v="0"/>
    <n v="0"/>
    <n v="0"/>
    <n v="0"/>
    <n v="0"/>
    <n v="5350700"/>
    <n v="0"/>
    <n v="0"/>
    <n v="0"/>
    <n v="0"/>
    <n v="0"/>
    <n v="0"/>
    <x v="0"/>
    <x v="1"/>
    <x v="3"/>
    <s v="52"/>
    <s v="SEKRETARIAT BADAN RISET DAN SUMBERDAYA MANUSIA KELAUTAN DAN PERIKANAN"/>
    <n v="5350700"/>
    <n v="59.065018213930898"/>
    <n v="3708300"/>
    <n v="40.934981786069102"/>
    <s v="WA.2378.EBA.962.301.F.524111"/>
    <s v="Non COVID"/>
    <s v="PERJALANAN DINAS"/>
    <s v="Belanja Barang Non Operasional"/>
  </r>
  <r>
    <s v="032"/>
    <s v="12"/>
    <s v="WA"/>
    <x v="1"/>
    <s v="2378"/>
    <x v="1"/>
    <s v="EBA"/>
    <s v="2378.EBA. Layanan Dukungan Manajemen Internal"/>
    <n v="962"/>
    <x v="3"/>
    <n v="301"/>
    <x v="6"/>
    <s v="G"/>
    <x v="15"/>
    <n v="521211"/>
    <x v="0"/>
    <x v="49"/>
    <n v="31000000"/>
    <n v="0"/>
    <n v="0"/>
    <n v="1200000"/>
    <n v="0"/>
    <n v="10342500"/>
    <n v="0"/>
    <n v="0"/>
    <n v="0"/>
    <n v="0"/>
    <n v="0"/>
    <n v="0"/>
    <n v="0"/>
    <x v="0"/>
    <x v="0"/>
    <x v="0"/>
    <s v="52"/>
    <s v="SEKRETARIAT BADAN RISET DAN SUMBERDAYA MANUSIA KELAUTAN DAN PERIKANAN"/>
    <n v="11542500"/>
    <n v="91.972111553784856"/>
    <n v="1007500"/>
    <n v="8.0278884462151403"/>
    <s v="WA.2378.EBA.962.301.G.521211"/>
    <s v="Non COVID"/>
    <s v="BELANJA BAHAN"/>
    <s v="Belanja Barang Non Operasional"/>
  </r>
  <r>
    <s v="032"/>
    <s v="12"/>
    <s v="WA"/>
    <x v="1"/>
    <s v="2378"/>
    <x v="1"/>
    <s v="EBA"/>
    <s v="2378.EBA. Layanan Dukungan Manajemen Internal"/>
    <n v="962"/>
    <x v="3"/>
    <n v="301"/>
    <x v="6"/>
    <s v="G"/>
    <x v="15"/>
    <n v="521219"/>
    <x v="3"/>
    <x v="50"/>
    <n v="3000000"/>
    <n v="0"/>
    <n v="0"/>
    <n v="710207"/>
    <n v="0"/>
    <n v="481211"/>
    <n v="0"/>
    <n v="0"/>
    <n v="0"/>
    <n v="0"/>
    <n v="0"/>
    <n v="0"/>
    <n v="0"/>
    <x v="0"/>
    <x v="0"/>
    <x v="0"/>
    <s v="52"/>
    <s v="SEKRETARIAT BADAN RISET DAN SUMBERDAYA MANUSIA KELAUTAN DAN PERIKANAN"/>
    <n v="1191418"/>
    <n v="99.951174496644285"/>
    <n v="582"/>
    <n v="4.8825503355704701E-2"/>
    <s v="WA.2378.EBA.962.301.G.521219"/>
    <s v="Non COVID"/>
    <s v="NON OPS LAINNYA"/>
    <s v="Belanja Barang Non Operasional"/>
  </r>
  <r>
    <s v="032"/>
    <s v="12"/>
    <s v="WA"/>
    <x v="1"/>
    <s v="2378"/>
    <x v="1"/>
    <s v="EBA"/>
    <s v="2378.EBA. Layanan Dukungan Manajemen Internal"/>
    <n v="962"/>
    <x v="3"/>
    <n v="301"/>
    <x v="6"/>
    <s v="G"/>
    <x v="15"/>
    <n v="522151"/>
    <x v="1"/>
    <x v="51"/>
    <n v="70000000"/>
    <n v="0"/>
    <n v="0"/>
    <n v="1800000"/>
    <n v="1000000"/>
    <n v="2000000"/>
    <n v="0"/>
    <n v="0"/>
    <n v="0"/>
    <n v="0"/>
    <n v="0"/>
    <n v="0"/>
    <n v="0"/>
    <x v="0"/>
    <x v="0"/>
    <x v="0"/>
    <s v="52"/>
    <s v="SEKRETARIAT BADAN RISET DAN SUMBERDAYA MANUSIA KELAUTAN DAN PERIKANAN"/>
    <n v="4800000"/>
    <n v="53.333333333333336"/>
    <n v="4200000"/>
    <n v="46.666666666666664"/>
    <s v="WA.2378.EBA.962.301.G.522151"/>
    <s v="Non COVID"/>
    <s v="BELANJA JASA"/>
    <s v="Belanja Barang Non Operasional"/>
  </r>
  <r>
    <s v="032"/>
    <s v="12"/>
    <s v="WA"/>
    <x v="1"/>
    <s v="2378"/>
    <x v="1"/>
    <s v="EBA"/>
    <s v="2378.EBA. Layanan Dukungan Manajemen Internal"/>
    <n v="962"/>
    <x v="3"/>
    <n v="301"/>
    <x v="6"/>
    <s v="G"/>
    <x v="15"/>
    <s v="524111"/>
    <x v="2"/>
    <x v="52"/>
    <n v="246000000"/>
    <n v="0"/>
    <n v="0"/>
    <n v="2700000"/>
    <n v="0"/>
    <n v="27528345"/>
    <n v="30535327"/>
    <n v="0"/>
    <n v="0"/>
    <n v="0"/>
    <n v="0"/>
    <n v="0"/>
    <n v="0"/>
    <x v="0"/>
    <x v="0"/>
    <x v="0"/>
    <s v="52"/>
    <s v="SEKRETARIAT BADAN RISET DAN SUMBERDAYA MANUSIA KELAUTAN DAN PERIKANAN"/>
    <n v="60763672"/>
    <n v="99.999460206701343"/>
    <n v="328"/>
    <n v="5.3979329866368244E-4"/>
    <s v="WA.2378.EBA.962.301.G.524111"/>
    <s v="Non COVID"/>
    <s v="PERJALANAN DINAS"/>
    <s v="Belanja Barang Non Operasional"/>
  </r>
  <r>
    <s v="032"/>
    <s v="12"/>
    <s v="WA"/>
    <x v="1"/>
    <s v="2378"/>
    <x v="1"/>
    <s v="EBA"/>
    <s v="2378.EBA. Layanan Dukungan Manajemen Internal"/>
    <n v="962"/>
    <x v="3"/>
    <n v="301"/>
    <x v="6"/>
    <s v="H"/>
    <x v="16"/>
    <n v="521211"/>
    <x v="0"/>
    <x v="30"/>
    <n v="118575000"/>
    <n v="0"/>
    <n v="0"/>
    <n v="0"/>
    <n v="0"/>
    <n v="0"/>
    <n v="0"/>
    <n v="0"/>
    <n v="0"/>
    <n v="0"/>
    <n v="0"/>
    <n v="0"/>
    <n v="0"/>
    <x v="0"/>
    <x v="0"/>
    <x v="1"/>
    <s v="52"/>
    <s v="SEKRETARIAT BADAN RISET DAN SUMBERDAYA MANUSIA KELAUTAN DAN PERIKANAN"/>
    <n v="0"/>
    <n v="0"/>
    <n v="0"/>
    <n v="0"/>
    <s v="WA.2378.EBA.962.301.H.521211"/>
    <s v="Non COVID"/>
    <s v="BELANJA BAHAN"/>
    <s v="Belanja Barang Non Operasional"/>
  </r>
  <r>
    <s v="032"/>
    <s v="12"/>
    <s v="WA"/>
    <x v="1"/>
    <s v="2378"/>
    <x v="1"/>
    <s v="EBA"/>
    <s v="2378.EBA. Layanan Dukungan Manajemen Internal"/>
    <n v="962"/>
    <x v="3"/>
    <n v="301"/>
    <x v="6"/>
    <s v="H"/>
    <x v="16"/>
    <n v="521219"/>
    <x v="3"/>
    <x v="30"/>
    <n v="393200000"/>
    <n v="0"/>
    <n v="0"/>
    <n v="0"/>
    <n v="0"/>
    <n v="0"/>
    <n v="0"/>
    <n v="0"/>
    <n v="0"/>
    <n v="0"/>
    <n v="0"/>
    <n v="0"/>
    <n v="0"/>
    <x v="0"/>
    <x v="0"/>
    <x v="1"/>
    <s v="52"/>
    <s v="SEKRETARIAT BADAN RISET DAN SUMBERDAYA MANUSIA KELAUTAN DAN PERIKANAN"/>
    <n v="0"/>
    <n v="0"/>
    <n v="0"/>
    <n v="0"/>
    <s v="WA.2378.EBA.962.301.H.521219"/>
    <s v="Non COVID"/>
    <s v="NON OPS LAINNYA"/>
    <s v="Belanja Barang Non Operasional"/>
  </r>
  <r>
    <s v="032"/>
    <s v="12"/>
    <s v="WA"/>
    <x v="1"/>
    <s v="2378"/>
    <x v="1"/>
    <s v="EBA"/>
    <s v="2378.EBA. Layanan Dukungan Manajemen Internal"/>
    <n v="962"/>
    <x v="3"/>
    <n v="301"/>
    <x v="6"/>
    <s v="H"/>
    <x v="16"/>
    <n v="522141"/>
    <x v="8"/>
    <x v="30"/>
    <n v="120000000"/>
    <n v="0"/>
    <n v="0"/>
    <n v="0"/>
    <n v="0"/>
    <n v="0"/>
    <n v="0"/>
    <n v="0"/>
    <n v="0"/>
    <n v="0"/>
    <n v="0"/>
    <n v="0"/>
    <n v="0"/>
    <x v="0"/>
    <x v="0"/>
    <x v="1"/>
    <s v="52"/>
    <s v="SEKRETARIAT BADAN RISET DAN SUMBERDAYA MANUSIA KELAUTAN DAN PERIKANAN"/>
    <n v="0"/>
    <n v="0"/>
    <n v="0"/>
    <n v="0"/>
    <s v="WA.2378.EBA.962.301.H.522141"/>
    <s v="Non COVID"/>
    <s v="BELANJA SEWA"/>
    <s v="Belanja Barang Non Operasional"/>
  </r>
  <r>
    <s v="032"/>
    <s v="12"/>
    <s v="WA"/>
    <x v="1"/>
    <s v="2378"/>
    <x v="1"/>
    <s v="EBA"/>
    <s v="2378.EBA. Layanan Dukungan Manajemen Internal"/>
    <n v="962"/>
    <x v="3"/>
    <n v="301"/>
    <x v="6"/>
    <s v="H"/>
    <x v="16"/>
    <s v="524111"/>
    <x v="2"/>
    <x v="30"/>
    <n v="7962000"/>
    <n v="0"/>
    <n v="0"/>
    <n v="0"/>
    <n v="0"/>
    <n v="0"/>
    <n v="0"/>
    <n v="0"/>
    <n v="0"/>
    <n v="0"/>
    <n v="0"/>
    <n v="0"/>
    <n v="0"/>
    <x v="0"/>
    <x v="0"/>
    <x v="1"/>
    <s v="52"/>
    <s v="SEKRETARIAT BADAN RISET DAN SUMBERDAYA MANUSIA KELAUTAN DAN PERIKANAN"/>
    <n v="0"/>
    <n v="0"/>
    <n v="0"/>
    <n v="0"/>
    <s v="WA.2378.EBA.962.301.H.524111"/>
    <s v="Non COVID"/>
    <s v="PERJALANAN DINAS"/>
    <s v="Belanja Barang Non Operasional"/>
  </r>
  <r>
    <s v="032"/>
    <s v="12"/>
    <s v="WA"/>
    <x v="1"/>
    <s v="2378"/>
    <x v="1"/>
    <s v="EBA"/>
    <s v="2378.EBA. Layanan Dukungan Manajemen Internal"/>
    <n v="962"/>
    <x v="3"/>
    <n v="301"/>
    <x v="6"/>
    <s v="I"/>
    <x v="17"/>
    <n v="521211"/>
    <x v="0"/>
    <x v="53"/>
    <n v="17550000"/>
    <n v="0"/>
    <n v="0"/>
    <n v="2444000"/>
    <n v="0"/>
    <n v="7025000"/>
    <n v="0"/>
    <n v="0"/>
    <n v="0"/>
    <n v="0"/>
    <n v="0"/>
    <n v="0"/>
    <n v="0"/>
    <x v="0"/>
    <x v="0"/>
    <x v="1"/>
    <s v="52"/>
    <s v="SEKRETARIAT BADAN RISET DAN SUMBERDAYA MANUSIA KELAUTAN DAN PERIKANAN"/>
    <n v="9469000"/>
    <n v="53.954415954415957"/>
    <n v="8081000"/>
    <n v="46.04558404558405"/>
    <s v="WA.2378.EBA.962.301.I.521211"/>
    <s v="Non COVID"/>
    <s v="BELANJA BAHAN"/>
    <s v="Belanja Barang Non Operasional"/>
  </r>
  <r>
    <s v="032"/>
    <s v="12"/>
    <s v="WA"/>
    <x v="1"/>
    <s v="2378"/>
    <x v="1"/>
    <s v="EBA"/>
    <s v="2378.EBA. Layanan Dukungan Manajemen Internal"/>
    <n v="962"/>
    <x v="3"/>
    <n v="301"/>
    <x v="6"/>
    <s v="I"/>
    <x v="17"/>
    <n v="521219"/>
    <x v="3"/>
    <x v="54"/>
    <n v="27651000"/>
    <n v="0"/>
    <n v="0"/>
    <n v="370000"/>
    <n v="0"/>
    <n v="250000"/>
    <n v="0"/>
    <n v="0"/>
    <n v="0"/>
    <n v="0"/>
    <n v="0"/>
    <n v="0"/>
    <n v="0"/>
    <x v="0"/>
    <x v="0"/>
    <x v="1"/>
    <s v="52"/>
    <s v="SEKRETARIAT BADAN RISET DAN SUMBERDAYA MANUSIA KELAUTAN DAN PERIKANAN"/>
    <n v="620000"/>
    <n v="2.2422335539401832"/>
    <n v="27031000"/>
    <n v="97.757766446059819"/>
    <s v="WA.2378.EBA.962.301.I.521219"/>
    <s v="Non COVID"/>
    <s v="NON OPS LAINNYA"/>
    <s v="Belanja Barang Non Operasional"/>
  </r>
  <r>
    <s v="032"/>
    <s v="12"/>
    <s v="WA"/>
    <x v="1"/>
    <s v="2378"/>
    <x v="1"/>
    <s v="EBA"/>
    <s v="2378.EBA. Layanan Dukungan Manajemen Internal"/>
    <n v="962"/>
    <x v="3"/>
    <n v="301"/>
    <x v="6"/>
    <s v="I"/>
    <x v="17"/>
    <n v="522151"/>
    <x v="1"/>
    <x v="55"/>
    <n v="40000000"/>
    <n v="0"/>
    <n v="0"/>
    <n v="0"/>
    <n v="0"/>
    <n v="14000000"/>
    <n v="0"/>
    <n v="0"/>
    <n v="0"/>
    <n v="0"/>
    <n v="0"/>
    <n v="0"/>
    <n v="0"/>
    <x v="0"/>
    <x v="0"/>
    <x v="1"/>
    <s v="52"/>
    <s v="SEKRETARIAT BADAN RISET DAN SUMBERDAYA MANUSIA KELAUTAN DAN PERIKANAN"/>
    <n v="14000000"/>
    <n v="35"/>
    <n v="26000000"/>
    <n v="65"/>
    <s v="WA.2378.EBA.962.301.I.522151"/>
    <s v="Non COVID"/>
    <s v="BELANJA JASA"/>
    <s v="Belanja Barang Non Operasional"/>
  </r>
  <r>
    <s v="032"/>
    <s v="12"/>
    <s v="WA"/>
    <x v="1"/>
    <s v="2378"/>
    <x v="1"/>
    <s v="EBA"/>
    <s v="2378.EBA. Layanan Dukungan Manajemen Internal"/>
    <n v="962"/>
    <x v="3"/>
    <n v="301"/>
    <x v="6"/>
    <s v="I"/>
    <x v="17"/>
    <s v="524111"/>
    <x v="2"/>
    <x v="56"/>
    <n v="25062000"/>
    <n v="0"/>
    <n v="0"/>
    <n v="25062000"/>
    <n v="0"/>
    <n v="0"/>
    <n v="0"/>
    <n v="0"/>
    <n v="0"/>
    <n v="0"/>
    <n v="0"/>
    <n v="0"/>
    <n v="0"/>
    <x v="0"/>
    <x v="0"/>
    <x v="1"/>
    <s v="52"/>
    <s v="SEKRETARIAT BADAN RISET DAN SUMBERDAYA MANUSIA KELAUTAN DAN PERIKANAN"/>
    <n v="25062000"/>
    <n v="100"/>
    <n v="0"/>
    <n v="0"/>
    <s v="WA.2378.EBA.962.301.I.524111"/>
    <s v="Non COVID"/>
    <s v="PERJALANAN DINAS"/>
    <s v="Belanja Barang Non Operasional"/>
  </r>
  <r>
    <s v="032"/>
    <s v="12"/>
    <s v="WA"/>
    <x v="1"/>
    <s v="2378"/>
    <x v="1"/>
    <s v="EBA"/>
    <s v="2378.EBA. Layanan Dukungan Manajemen Internal"/>
    <n v="994"/>
    <x v="4"/>
    <s v="002"/>
    <x v="7"/>
    <s v="GA"/>
    <x v="18"/>
    <n v="521111"/>
    <x v="11"/>
    <x v="57"/>
    <n v="1076220000"/>
    <n v="0"/>
    <n v="63640000"/>
    <n v="80776487"/>
    <n v="135515096"/>
    <n v="79486568"/>
    <n v="63640000"/>
    <n v="0"/>
    <n v="0"/>
    <n v="0"/>
    <n v="0"/>
    <n v="0"/>
    <n v="0"/>
    <x v="0"/>
    <x v="2"/>
    <x v="4"/>
    <s v="52"/>
    <s v="SEKRETARIAT BADAN RISET DAN SUMBERDAYA MANUSIA KELAUTAN DAN PERIKANAN"/>
    <n v="423058151"/>
    <n v="39.309634740108898"/>
    <n v="653161849"/>
    <n v="60.690365259891102"/>
    <s v="WA.2378.EBA.994.002.GA.521111"/>
    <s v="Non COVID"/>
    <s v="BELANJA BAHAN"/>
    <s v="Belanja Barang Operasional"/>
  </r>
  <r>
    <s v="032"/>
    <s v="12"/>
    <s v="WA"/>
    <x v="1"/>
    <s v="2378"/>
    <x v="1"/>
    <s v="EBA"/>
    <s v="2378.EBA. Layanan Dukungan Manajemen Internal"/>
    <n v="994"/>
    <x v="4"/>
    <s v="002"/>
    <x v="7"/>
    <s v="GA"/>
    <x v="18"/>
    <n v="521811"/>
    <x v="4"/>
    <x v="58"/>
    <n v="178160000"/>
    <n v="0"/>
    <n v="0"/>
    <n v="32474000"/>
    <n v="8952000"/>
    <n v="23282000"/>
    <n v="0"/>
    <n v="0"/>
    <n v="0"/>
    <n v="0"/>
    <n v="0"/>
    <n v="0"/>
    <n v="0"/>
    <x v="0"/>
    <x v="2"/>
    <x v="4"/>
    <s v="52"/>
    <s v="SEKRETARIAT BADAN RISET DAN SUMBERDAYA MANUSIA KELAUTAN DAN PERIKANAN"/>
    <n v="64708000"/>
    <n v="36.320161652447233"/>
    <n v="113452000"/>
    <n v="63.679838347552767"/>
    <s v="WA.2378.EBA.994.002.GA.521811"/>
    <s v="Non COVID"/>
    <s v="BELANJA PERSEDIAAN"/>
    <s v="Belanja Barang Operasional"/>
  </r>
  <r>
    <s v="032"/>
    <s v="12"/>
    <s v="WA"/>
    <x v="1"/>
    <s v="2378"/>
    <x v="1"/>
    <s v="EBA"/>
    <s v="2378.EBA. Layanan Dukungan Manajemen Internal"/>
    <n v="994"/>
    <x v="4"/>
    <s v="002"/>
    <x v="7"/>
    <s v="GB"/>
    <x v="19"/>
    <n v="521114"/>
    <x v="12"/>
    <x v="10"/>
    <n v="30000000"/>
    <n v="0"/>
    <n v="0"/>
    <n v="354050"/>
    <n v="603000"/>
    <n v="1329000"/>
    <n v="0"/>
    <n v="0"/>
    <n v="0"/>
    <n v="0"/>
    <n v="0"/>
    <n v="0"/>
    <n v="0"/>
    <x v="0"/>
    <x v="2"/>
    <x v="4"/>
    <s v="52"/>
    <s v="SEKRETARIAT BADAN RISET DAN SUMBERDAYA MANUSIA KELAUTAN DAN PERIKANAN"/>
    <n v="2286050"/>
    <n v="7.620166666666667"/>
    <n v="27713950"/>
    <n v="92.379833333333337"/>
    <s v="WA.2378.EBA.994.002.GB.521114"/>
    <s v="Non COVID"/>
    <s v="BELANJA PENGIRIMAN"/>
    <s v="Belanja Barang Operasional"/>
  </r>
  <r>
    <s v="032"/>
    <s v="12"/>
    <s v="WA"/>
    <x v="1"/>
    <s v="2378"/>
    <x v="1"/>
    <s v="EBA"/>
    <s v="2378.EBA. Layanan Dukungan Manajemen Internal"/>
    <n v="994"/>
    <x v="4"/>
    <s v="002"/>
    <x v="7"/>
    <s v="GB"/>
    <x v="19"/>
    <n v="522141"/>
    <x v="8"/>
    <x v="59"/>
    <n v="118852000"/>
    <n v="0"/>
    <n v="0"/>
    <n v="4950000"/>
    <n v="9900000"/>
    <n v="4950000"/>
    <n v="0"/>
    <n v="0"/>
    <n v="0"/>
    <n v="0"/>
    <n v="0"/>
    <n v="0"/>
    <n v="0"/>
    <x v="0"/>
    <x v="2"/>
    <x v="4"/>
    <s v="52"/>
    <s v="SEKRETARIAT BADAN RISET DAN SUMBERDAYA MANUSIA KELAUTAN DAN PERIKANAN"/>
    <n v="19800000"/>
    <n v="16.659374684481541"/>
    <n v="99052000"/>
    <n v="83.340625315518452"/>
    <s v="WA.2378.EBA.994.002.GB.522141"/>
    <s v="Non COVID"/>
    <s v="BELANJA SEWA"/>
    <s v="Belanja Barang Operasional"/>
  </r>
  <r>
    <s v="032"/>
    <s v="12"/>
    <s v="WA"/>
    <x v="1"/>
    <s v="2378"/>
    <x v="1"/>
    <s v="EBA"/>
    <s v="2378.EBA. Layanan Dukungan Manajemen Internal"/>
    <n v="994"/>
    <x v="4"/>
    <s v="002"/>
    <x v="7"/>
    <s v="GC"/>
    <x v="20"/>
    <n v="523121"/>
    <x v="13"/>
    <x v="60"/>
    <n v="497050000"/>
    <n v="0"/>
    <n v="0"/>
    <n v="59591400"/>
    <n v="7448700"/>
    <n v="18835340"/>
    <n v="0"/>
    <n v="0"/>
    <n v="0"/>
    <n v="0"/>
    <n v="0"/>
    <n v="0"/>
    <n v="0"/>
    <x v="0"/>
    <x v="2"/>
    <x v="4"/>
    <s v="52"/>
    <s v="SEKRETARIAT BADAN RISET DAN SUMBERDAYA MANUSIA KELAUTAN DAN PERIKANAN"/>
    <n v="85875440"/>
    <n v="17.277022432350869"/>
    <n v="411174560"/>
    <n v="82.722977567649124"/>
    <s v="WA.2378.EBA.994.002.GC.523121"/>
    <s v="Non COVID"/>
    <s v="BELANJA PEMELIHARAAN"/>
    <s v="Belanja Barang Operasional"/>
  </r>
  <r>
    <s v="032"/>
    <s v="12"/>
    <s v="WA"/>
    <x v="1"/>
    <s v="2378"/>
    <x v="1"/>
    <s v="EBA"/>
    <s v="2378.EBA. Layanan Dukungan Manajemen Internal"/>
    <n v="994"/>
    <x v="4"/>
    <s v="002"/>
    <x v="7"/>
    <s v="GC"/>
    <x v="20"/>
    <n v="523199"/>
    <x v="14"/>
    <x v="61"/>
    <n v="36000000"/>
    <n v="0"/>
    <n v="0"/>
    <n v="6000000"/>
    <n v="0"/>
    <n v="3000000"/>
    <n v="0"/>
    <n v="0"/>
    <n v="0"/>
    <n v="0"/>
    <n v="0"/>
    <n v="0"/>
    <n v="0"/>
    <x v="0"/>
    <x v="2"/>
    <x v="4"/>
    <s v="52"/>
    <s v="SEKRETARIAT BADAN RISET DAN SUMBERDAYA MANUSIA KELAUTAN DAN PERIKANAN"/>
    <n v="9000000"/>
    <n v="25"/>
    <n v="27000000"/>
    <n v="75"/>
    <s v="WA.2378.EBA.994.002.GC.523199"/>
    <s v="Non COVID"/>
    <s v="BELANJA PEMELIHARAAN"/>
    <s v="Belanja Barang Operasional"/>
  </r>
  <r>
    <s v="032"/>
    <s v="12"/>
    <s v="WA"/>
    <x v="1"/>
    <s v="2378"/>
    <x v="1"/>
    <s v="EBA"/>
    <s v="2378.EBA. Layanan Dukungan Manajemen Internal"/>
    <n v="994"/>
    <x v="4"/>
    <s v="002"/>
    <x v="7"/>
    <s v="GD"/>
    <x v="21"/>
    <n v="521111"/>
    <x v="11"/>
    <x v="62"/>
    <n v="101040000"/>
    <n v="0"/>
    <n v="0"/>
    <n v="0"/>
    <n v="0"/>
    <n v="44410000"/>
    <n v="0"/>
    <n v="0"/>
    <n v="0"/>
    <n v="0"/>
    <n v="0"/>
    <n v="0"/>
    <n v="0"/>
    <x v="0"/>
    <x v="2"/>
    <x v="4"/>
    <s v="52"/>
    <s v="SEKRETARIAT BADAN RISET DAN SUMBERDAYA MANUSIA KELAUTAN DAN PERIKANAN"/>
    <n v="44410000"/>
    <n v="43.952889944576405"/>
    <n v="56630000"/>
    <n v="56.047110055423602"/>
    <s v="WA.2378.EBA.994.002.GD.521111"/>
    <s v="Non COVID"/>
    <s v="PERJALANAN DINAS"/>
    <s v="Belanja Barang Operasional"/>
  </r>
  <r>
    <s v="032"/>
    <s v="12"/>
    <s v="WA"/>
    <x v="1"/>
    <s v="2378"/>
    <x v="1"/>
    <s v="EBA"/>
    <s v="2378.EBA. Layanan Dukungan Manajemen Internal"/>
    <n v="994"/>
    <x v="4"/>
    <s v="002"/>
    <x v="7"/>
    <s v="GD"/>
    <x v="21"/>
    <n v="521115"/>
    <x v="15"/>
    <x v="63"/>
    <n v="58336000"/>
    <n v="0"/>
    <n v="0"/>
    <n v="9456000"/>
    <n v="0"/>
    <n v="4728000"/>
    <n v="0"/>
    <n v="0"/>
    <n v="0"/>
    <n v="0"/>
    <n v="0"/>
    <n v="0"/>
    <n v="0"/>
    <x v="0"/>
    <x v="2"/>
    <x v="4"/>
    <s v="52"/>
    <s v="SEKRETARIAT BADAN RISET DAN SUMBERDAYA MANUSIA KELAUTAN DAN PERIKANAN"/>
    <n v="14184000"/>
    <n v="24.314317059791552"/>
    <n v="44152000"/>
    <n v="75.685682940208437"/>
    <s v="WA.2378.EBA.994.002.GD.521115"/>
    <s v="Non COVID"/>
    <s v="BELANJA HONOR"/>
    <s v="Belanja Barang Operasional"/>
  </r>
  <r>
    <s v="032"/>
    <s v="12"/>
    <s v="WA"/>
    <x v="1"/>
    <s v="2378"/>
    <x v="1"/>
    <s v="EBA"/>
    <s v="2378.EBA. Layanan Dukungan Manajemen Internal"/>
    <n v="994"/>
    <x v="4"/>
    <s v="002"/>
    <x v="7"/>
    <s v="GE"/>
    <x v="22"/>
    <n v="521111"/>
    <x v="11"/>
    <x v="30"/>
    <n v="45000000"/>
    <n v="0"/>
    <n v="0"/>
    <n v="0"/>
    <n v="0"/>
    <n v="0"/>
    <n v="0"/>
    <n v="0"/>
    <n v="0"/>
    <n v="0"/>
    <n v="0"/>
    <n v="0"/>
    <n v="0"/>
    <x v="0"/>
    <x v="2"/>
    <x v="4"/>
    <s v="52"/>
    <s v="SEKRETARIAT BADAN RISET DAN SUMBERDAYA MANUSIA KELAUTAN DAN PERIKANAN"/>
    <n v="0"/>
    <n v="0"/>
    <n v="0"/>
    <n v="0"/>
    <s v="WA.2378.EBA.994.002.GE.521111"/>
    <s v="Non COVID"/>
    <s v="BELANJA PERKANTORAN"/>
    <s v="Belanja Barang Operasional"/>
  </r>
  <r>
    <s v="032"/>
    <s v="12"/>
    <s v="WA"/>
    <x v="1"/>
    <s v="2378"/>
    <x v="1"/>
    <s v="EBA"/>
    <s v="2378.EBA. Layanan Dukungan Manajemen Internal"/>
    <n v="994"/>
    <x v="4"/>
    <s v="002"/>
    <x v="7"/>
    <s v="GE"/>
    <x v="22"/>
    <n v="521811"/>
    <x v="4"/>
    <x v="30"/>
    <n v="26000000"/>
    <n v="0"/>
    <n v="0"/>
    <n v="0"/>
    <n v="0"/>
    <n v="0"/>
    <n v="0"/>
    <n v="0"/>
    <n v="0"/>
    <n v="0"/>
    <n v="0"/>
    <n v="0"/>
    <n v="0"/>
    <x v="0"/>
    <x v="2"/>
    <x v="4"/>
    <s v="52"/>
    <s v="SEKRETARIAT BADAN RISET DAN SUMBERDAYA MANUSIA KELAUTAN DAN PERIKANAN"/>
    <n v="0"/>
    <n v="0"/>
    <n v="0"/>
    <n v="0"/>
    <s v="WA.2378.EBA.994.002.GE.521811"/>
    <s v="Non COVID"/>
    <s v="BELANJA PERSEDIAAN"/>
    <s v="Belanja Barang Operasional"/>
  </r>
  <r>
    <s v="032"/>
    <s v="12"/>
    <s v="WA"/>
    <x v="1"/>
    <s v="2378"/>
    <x v="1"/>
    <s v="EBA"/>
    <s v="2378.EBA. Layanan Dukungan Manajemen Internal"/>
    <n v="994"/>
    <x v="4"/>
    <s v="002"/>
    <x v="7"/>
    <s v="GE"/>
    <x v="22"/>
    <n v="523121"/>
    <x v="13"/>
    <x v="30"/>
    <n v="29000000"/>
    <n v="0"/>
    <n v="0"/>
    <n v="0"/>
    <n v="0"/>
    <n v="0"/>
    <n v="0"/>
    <n v="0"/>
    <n v="0"/>
    <n v="0"/>
    <n v="0"/>
    <n v="0"/>
    <n v="0"/>
    <x v="0"/>
    <x v="2"/>
    <x v="4"/>
    <s v="52"/>
    <s v="SEKRETARIAT BADAN RISET DAN SUMBERDAYA MANUSIA KELAUTAN DAN PERIKANAN"/>
    <n v="0"/>
    <n v="0"/>
    <n v="0"/>
    <n v="0"/>
    <s v="WA.2378.EBA.994.002.GE.523121"/>
    <s v="Non COVID"/>
    <s v="BELANJA PEMELIHARAAN"/>
    <s v="Belanja Barang Operasional"/>
  </r>
  <r>
    <s v="032"/>
    <s v="12"/>
    <s v="WA"/>
    <x v="1"/>
    <s v="2378"/>
    <x v="1"/>
    <s v="EBB"/>
    <s v="2378.EBB. Layanan Sarana dan Prasarana Internal"/>
    <n v="951"/>
    <x v="5"/>
    <n v="301"/>
    <x v="8"/>
    <s v="A"/>
    <x v="23"/>
    <n v="532111"/>
    <x v="7"/>
    <x v="64"/>
    <n v="540934000"/>
    <n v="0"/>
    <n v="0"/>
    <n v="0"/>
    <n v="0"/>
    <n v="540000000"/>
    <n v="0"/>
    <n v="0"/>
    <n v="0"/>
    <n v="0"/>
    <n v="0"/>
    <n v="0"/>
    <n v="0"/>
    <x v="0"/>
    <x v="2"/>
    <x v="4"/>
    <n v="53"/>
    <s v="SEKRETARIAT BADAN RISET DAN SUMBERDAYA MANUSIA KELAUTAN DAN PERIKANAN"/>
    <n v="540000000"/>
    <n v="100"/>
    <n v="0"/>
    <n v="0"/>
    <s v="WA.2378.EBB.951.301.A.532111"/>
    <s v="Non COVID"/>
    <s v="BELANJA MODAL"/>
    <s v="Belanja Barang Non Operasional"/>
  </r>
  <r>
    <s v="032"/>
    <s v="12"/>
    <s v="WA"/>
    <x v="1"/>
    <s v="2378"/>
    <x v="1"/>
    <s v="EBD"/>
    <s v="2378.EBD. Layanan Manajemen Kinerja Internal"/>
    <n v="952"/>
    <x v="6"/>
    <n v="301"/>
    <x v="9"/>
    <s v="A"/>
    <x v="24"/>
    <n v="521211"/>
    <x v="0"/>
    <x v="9"/>
    <n v="22650000"/>
    <n v="0"/>
    <n v="0"/>
    <n v="1498000"/>
    <n v="0"/>
    <n v="1493000"/>
    <n v="0"/>
    <n v="0"/>
    <n v="0"/>
    <n v="0"/>
    <n v="0"/>
    <n v="0"/>
    <n v="0"/>
    <x v="0"/>
    <x v="3"/>
    <x v="5"/>
    <s v="52"/>
    <s v="SEKRETARIAT BADAN RISET DAN SUMBERDAYA MANUSIA KELAUTAN DAN PERIKANAN"/>
    <n v="2991000"/>
    <n v="49.85"/>
    <n v="3009000"/>
    <n v="50.149999999999991"/>
    <s v="WA.2378.EBD.952.301.A.521211"/>
    <s v="Non COVID"/>
    <s v="BELANJA BAHAN"/>
    <s v="Belanja Barang Non Operasional"/>
  </r>
  <r>
    <s v="032"/>
    <s v="12"/>
    <s v="WA"/>
    <x v="1"/>
    <s v="2378"/>
    <x v="1"/>
    <s v="EBD"/>
    <s v="2378.EBD. Layanan Manajemen Kinerja Internal"/>
    <n v="952"/>
    <x v="6"/>
    <n v="301"/>
    <x v="9"/>
    <s v="A"/>
    <x v="24"/>
    <n v="521219"/>
    <x v="3"/>
    <x v="65"/>
    <n v="1000000"/>
    <n v="0"/>
    <n v="0"/>
    <n v="346915"/>
    <n v="0"/>
    <n v="355980"/>
    <n v="0"/>
    <n v="0"/>
    <n v="0"/>
    <n v="0"/>
    <n v="0"/>
    <n v="0"/>
    <n v="0"/>
    <x v="0"/>
    <x v="3"/>
    <x v="5"/>
    <s v="52"/>
    <s v="SEKRETARIAT BADAN RISET DAN SUMBERDAYA MANUSIA KELAUTAN DAN PERIKANAN"/>
    <n v="702895"/>
    <n v="70.289500000000004"/>
    <n v="297105"/>
    <n v="29.7105"/>
    <s v="WA.2378.EBD.952.301.A.521219"/>
    <s v="Non COVID"/>
    <s v="NON OPS LAINNYA"/>
    <s v="Belanja Barang Non Operasional"/>
  </r>
  <r>
    <s v="032"/>
    <s v="12"/>
    <s v="WA"/>
    <x v="1"/>
    <s v="2378"/>
    <x v="1"/>
    <s v="EBD"/>
    <s v="2378.EBD. Layanan Manajemen Kinerja Internal"/>
    <n v="952"/>
    <x v="6"/>
    <n v="301"/>
    <x v="9"/>
    <s v="A"/>
    <x v="24"/>
    <n v="521811"/>
    <x v="4"/>
    <x v="26"/>
    <n v="15000000"/>
    <n v="0"/>
    <n v="0"/>
    <n v="2459000"/>
    <n v="0"/>
    <n v="2390000"/>
    <n v="0"/>
    <n v="0"/>
    <n v="0"/>
    <n v="0"/>
    <n v="0"/>
    <n v="0"/>
    <n v="0"/>
    <x v="0"/>
    <x v="3"/>
    <x v="5"/>
    <s v="52"/>
    <s v="SEKRETARIAT BADAN RISET DAN SUMBERDAYA MANUSIA KELAUTAN DAN PERIKANAN"/>
    <n v="4849000"/>
    <n v="48.49"/>
    <n v="5151000"/>
    <n v="51.51"/>
    <s v="WA.2378.EBD.952.301.A.521811"/>
    <s v="Non COVID"/>
    <s v="BELANJA PERSEDIAAN"/>
    <s v="Belanja Barang Non Operasional"/>
  </r>
  <r>
    <s v="032"/>
    <s v="12"/>
    <s v="WA"/>
    <x v="1"/>
    <s v="2378"/>
    <x v="1"/>
    <s v="EBD"/>
    <s v="2378.EBD. Layanan Manajemen Kinerja Internal"/>
    <n v="952"/>
    <x v="6"/>
    <n v="301"/>
    <x v="9"/>
    <s v="A"/>
    <x v="24"/>
    <n v="524111"/>
    <x v="2"/>
    <x v="66"/>
    <n v="62400000"/>
    <n v="0"/>
    <n v="1010000"/>
    <n v="2805000"/>
    <n v="0"/>
    <n v="1348500"/>
    <n v="0"/>
    <n v="0"/>
    <n v="0"/>
    <n v="0"/>
    <n v="0"/>
    <n v="0"/>
    <n v="0"/>
    <x v="0"/>
    <x v="3"/>
    <x v="5"/>
    <s v="52"/>
    <s v="SEKRETARIAT BADAN RISET DAN SUMBERDAYA MANUSIA KELAUTAN DAN PERIKANAN"/>
    <n v="5163500"/>
    <n v="99.990317583268791"/>
    <n v="500"/>
    <n v="9.6824167312161129E-3"/>
    <s v="WA.2378.EBD.952.301.A.524111"/>
    <s v="Non COVID"/>
    <s v="PERJALANAN DINAS"/>
    <s v="Belanja Barang Non Operasional"/>
  </r>
  <r>
    <s v="032"/>
    <s v="12"/>
    <s v="WA"/>
    <x v="1"/>
    <s v="2378"/>
    <x v="1"/>
    <s v="EBD"/>
    <s v="2378.EBD. Layanan Manajemen Kinerja Internal"/>
    <n v="952"/>
    <x v="6"/>
    <n v="301"/>
    <x v="9"/>
    <s v="B"/>
    <x v="25"/>
    <n v="521211"/>
    <x v="0"/>
    <x v="67"/>
    <n v="49300000"/>
    <n v="0"/>
    <n v="0"/>
    <n v="2964000"/>
    <n v="0"/>
    <n v="2975000"/>
    <n v="0"/>
    <n v="0"/>
    <n v="0"/>
    <n v="0"/>
    <n v="0"/>
    <n v="0"/>
    <n v="0"/>
    <x v="0"/>
    <x v="3"/>
    <x v="5"/>
    <s v="52"/>
    <s v="SEKRETARIAT BADAN RISET DAN SUMBERDAYA MANUSIA KELAUTAN DAN PERIKANAN"/>
    <n v="5939000"/>
    <n v="49.491666666666667"/>
    <n v="6061000"/>
    <n v="50.508333333333333"/>
    <s v="WA.2378.EBD.952.301.B.521211"/>
    <s v="Non COVID"/>
    <s v="BELANJA BAHAN"/>
    <s v="Belanja Barang Non Operasional"/>
  </r>
  <r>
    <s v="032"/>
    <s v="12"/>
    <s v="WA"/>
    <x v="1"/>
    <s v="2378"/>
    <x v="1"/>
    <s v="EBD"/>
    <s v="2378.EBD. Layanan Manajemen Kinerja Internal"/>
    <n v="952"/>
    <x v="6"/>
    <n v="301"/>
    <x v="9"/>
    <s v="B"/>
    <x v="25"/>
    <n v="521219"/>
    <x v="3"/>
    <x v="65"/>
    <n v="1000000"/>
    <n v="0"/>
    <n v="0"/>
    <n v="0"/>
    <n v="0"/>
    <n v="0"/>
    <n v="0"/>
    <n v="0"/>
    <n v="0"/>
    <n v="0"/>
    <n v="0"/>
    <n v="0"/>
    <n v="0"/>
    <x v="0"/>
    <x v="3"/>
    <x v="5"/>
    <s v="52"/>
    <s v="SEKRETARIAT BADAN RISET DAN SUMBERDAYA MANUSIA KELAUTAN DAN PERIKANAN"/>
    <n v="0"/>
    <n v="0"/>
    <n v="1000000"/>
    <n v="100"/>
    <s v="WA.2378.EBD.952.301.B.521219"/>
    <s v="Non COVID"/>
    <s v="NON OPS LAINNYA"/>
    <s v="Belanja Barang Non Operasional"/>
  </r>
  <r>
    <s v="032"/>
    <s v="12"/>
    <s v="WA"/>
    <x v="1"/>
    <s v="2378"/>
    <x v="1"/>
    <s v="EBD"/>
    <s v="2378.EBD. Layanan Manajemen Kinerja Internal"/>
    <n v="952"/>
    <x v="6"/>
    <n v="301"/>
    <x v="9"/>
    <s v="B"/>
    <x v="25"/>
    <n v="521811"/>
    <x v="4"/>
    <x v="1"/>
    <n v="25000000"/>
    <n v="0"/>
    <n v="0"/>
    <n v="4910000"/>
    <n v="0"/>
    <n v="4873000"/>
    <n v="0"/>
    <n v="0"/>
    <n v="0"/>
    <n v="0"/>
    <n v="0"/>
    <n v="0"/>
    <n v="0"/>
    <x v="0"/>
    <x v="3"/>
    <x v="5"/>
    <s v="52"/>
    <s v="SEKRETARIAT BADAN RISET DAN SUMBERDAYA MANUSIA KELAUTAN DAN PERIKANAN"/>
    <n v="9783000"/>
    <n v="48.914999999999999"/>
    <n v="10217000"/>
    <n v="51.085000000000001"/>
    <s v="WA.2378.EBD.952.301.B.521811"/>
    <s v="Non COVID"/>
    <s v="BELANJA PERSEDIAAN"/>
    <s v="Belanja Barang Non Operasional"/>
  </r>
  <r>
    <s v="032"/>
    <s v="12"/>
    <s v="WA"/>
    <x v="1"/>
    <s v="2378"/>
    <x v="1"/>
    <s v="EBD"/>
    <s v="2378.EBD. Layanan Manajemen Kinerja Internal"/>
    <n v="952"/>
    <x v="6"/>
    <n v="301"/>
    <x v="9"/>
    <s v="B"/>
    <x v="25"/>
    <n v="522151"/>
    <x v="1"/>
    <x v="30"/>
    <n v="12000000"/>
    <n v="0"/>
    <n v="0"/>
    <n v="0"/>
    <n v="0"/>
    <n v="0"/>
    <n v="0"/>
    <n v="0"/>
    <n v="0"/>
    <n v="0"/>
    <n v="0"/>
    <n v="0"/>
    <n v="0"/>
    <x v="0"/>
    <x v="3"/>
    <x v="5"/>
    <s v="52"/>
    <s v="SEKRETARIAT BADAN RISET DAN SUMBERDAYA MANUSIA KELAUTAN DAN PERIKANAN"/>
    <n v="0"/>
    <n v="0"/>
    <n v="0"/>
    <n v="0"/>
    <s v="WA.2378.EBD.952.301.B.522151"/>
    <s v="Non COVID"/>
    <s v="BELANJA JASA"/>
    <s v="Belanja Barang Non Operasional"/>
  </r>
  <r>
    <s v="032"/>
    <s v="12"/>
    <s v="WA"/>
    <x v="1"/>
    <s v="2378"/>
    <x v="1"/>
    <s v="EBD"/>
    <s v="2378.EBD. Layanan Manajemen Kinerja Internal"/>
    <n v="952"/>
    <x v="6"/>
    <n v="301"/>
    <x v="9"/>
    <s v="B"/>
    <x v="25"/>
    <n v="524111"/>
    <x v="2"/>
    <x v="68"/>
    <n v="258688000"/>
    <n v="0"/>
    <n v="0"/>
    <n v="0"/>
    <n v="205000"/>
    <n v="4224000"/>
    <n v="0"/>
    <n v="0"/>
    <n v="0"/>
    <n v="0"/>
    <n v="0"/>
    <n v="0"/>
    <n v="0"/>
    <x v="0"/>
    <x v="3"/>
    <x v="5"/>
    <s v="52"/>
    <s v="SEKRETARIAT BADAN RISET DAN SUMBERDAYA MANUSIA KELAUTAN DAN PERIKANAN"/>
    <n v="4429000"/>
    <n v="9.8422222222222224"/>
    <n v="40571000"/>
    <n v="90.157777777777781"/>
    <s v="WA.2378.EBD.952.301.B.524111"/>
    <s v="Non COVID"/>
    <s v="PERJALANAN DINAS"/>
    <s v="Belanja Barang Non Operasional"/>
  </r>
  <r>
    <s v="032"/>
    <s v="12"/>
    <s v="WA"/>
    <x v="1"/>
    <s v="2378"/>
    <x v="1"/>
    <s v="EBD"/>
    <s v="2378.EBD. Layanan Manajemen Kinerja Internal"/>
    <n v="952"/>
    <x v="6"/>
    <n v="301"/>
    <x v="9"/>
    <s v="C"/>
    <x v="26"/>
    <n v="521211"/>
    <x v="0"/>
    <x v="69"/>
    <n v="39500000"/>
    <n v="0"/>
    <n v="0"/>
    <n v="2955000"/>
    <n v="0"/>
    <n v="2933500"/>
    <n v="10500000"/>
    <n v="0"/>
    <n v="0"/>
    <n v="0"/>
    <n v="0"/>
    <n v="0"/>
    <n v="0"/>
    <x v="0"/>
    <x v="3"/>
    <x v="5"/>
    <s v="52"/>
    <s v="SEKRETARIAT BADAN RISET DAN SUMBERDAYA MANUSIA KELAUTAN DAN PERIKANAN"/>
    <n v="16388500"/>
    <n v="78.040476190476198"/>
    <n v="4611500"/>
    <n v="21.959523809523809"/>
    <s v="WA.2378.EBD.952.301.C.521211"/>
    <s v="Non COVID"/>
    <s v="BELANJA BAHAN"/>
    <s v="Belanja Barang Non Operasional"/>
  </r>
  <r>
    <s v="032"/>
    <s v="12"/>
    <s v="WA"/>
    <x v="1"/>
    <s v="2378"/>
    <x v="1"/>
    <s v="EBD"/>
    <s v="2378.EBD. Layanan Manajemen Kinerja Internal"/>
    <n v="952"/>
    <x v="6"/>
    <n v="301"/>
    <x v="9"/>
    <s v="C"/>
    <x v="26"/>
    <n v="521811"/>
    <x v="4"/>
    <x v="70"/>
    <n v="25000000"/>
    <n v="0"/>
    <n v="0"/>
    <n v="4947750"/>
    <n v="0"/>
    <n v="4878000"/>
    <n v="0"/>
    <n v="0"/>
    <n v="0"/>
    <n v="0"/>
    <n v="0"/>
    <n v="0"/>
    <n v="0"/>
    <x v="0"/>
    <x v="3"/>
    <x v="5"/>
    <s v="52"/>
    <s v="SEKRETARIAT BADAN RISET DAN SUMBERDAYA MANUSIA KELAUTAN DAN PERIKANAN"/>
    <n v="9825750"/>
    <n v="56.14714285714286"/>
    <n v="7674250"/>
    <n v="43.852857142857147"/>
    <s v="WA.2378.EBD.952.301.C.521811"/>
    <s v="Non COVID"/>
    <s v="BELANJA PERSEDIAAN"/>
    <s v="Belanja Barang Non Operasional"/>
  </r>
  <r>
    <s v="032"/>
    <s v="12"/>
    <s v="WA"/>
    <x v="1"/>
    <s v="2378"/>
    <x v="1"/>
    <s v="EBD"/>
    <s v="2378.EBD. Layanan Manajemen Kinerja Internal"/>
    <n v="952"/>
    <x v="6"/>
    <n v="301"/>
    <x v="9"/>
    <s v="C"/>
    <x v="26"/>
    <n v="522151"/>
    <x v="1"/>
    <x v="30"/>
    <n v="10000000"/>
    <n v="0"/>
    <n v="0"/>
    <n v="0"/>
    <n v="0"/>
    <n v="0"/>
    <n v="0"/>
    <n v="0"/>
    <n v="0"/>
    <n v="0"/>
    <n v="0"/>
    <n v="0"/>
    <n v="0"/>
    <x v="0"/>
    <x v="3"/>
    <x v="5"/>
    <s v="52"/>
    <s v="SEKRETARIAT BADAN RISET DAN SUMBERDAYA MANUSIA KELAUTAN DAN PERIKANAN"/>
    <n v="0"/>
    <n v="0"/>
    <n v="0"/>
    <n v="0"/>
    <s v="WA.2378.EBD.952.301.C.522151"/>
    <s v="Non COVID"/>
    <s v="BELANJA JASA"/>
    <s v="Belanja Barang Non Operasional"/>
  </r>
  <r>
    <s v="032"/>
    <s v="12"/>
    <s v="WA"/>
    <x v="1"/>
    <s v="2378"/>
    <x v="1"/>
    <s v="EBD"/>
    <s v="2378.EBD. Layanan Manajemen Kinerja Internal"/>
    <n v="952"/>
    <x v="6"/>
    <n v="301"/>
    <x v="9"/>
    <s v="C"/>
    <x v="26"/>
    <n v="524111"/>
    <x v="2"/>
    <x v="71"/>
    <n v="93600000"/>
    <n v="0"/>
    <n v="9587800"/>
    <n v="22390000"/>
    <n v="6330000"/>
    <n v="3600000"/>
    <n v="0"/>
    <n v="0"/>
    <n v="0"/>
    <n v="0"/>
    <n v="0"/>
    <n v="0"/>
    <n v="0"/>
    <x v="0"/>
    <x v="3"/>
    <x v="5"/>
    <s v="52"/>
    <s v="SEKRETARIAT BADAN RISET DAN SUMBERDAYA MANUSIA KELAUTAN DAN PERIKANAN"/>
    <n v="41907800"/>
    <n v="99.999522764150043"/>
    <n v="200"/>
    <n v="4.7723584995704876E-4"/>
    <s v="WA.2378.EBD.952.301.C.524111"/>
    <s v="Non COVID"/>
    <s v="PERJALANAN DINAS"/>
    <s v="Belanja Barang Non Operasional"/>
  </r>
  <r>
    <s v="032"/>
    <s v="12"/>
    <s v="WA"/>
    <x v="1"/>
    <s v="2378"/>
    <x v="1"/>
    <s v="EBD"/>
    <s v="2378.EBD. Layanan Manajemen Kinerja Internal"/>
    <n v="953"/>
    <x v="7"/>
    <n v="301"/>
    <x v="10"/>
    <s v="A"/>
    <x v="27"/>
    <n v="521211"/>
    <x v="0"/>
    <x v="72"/>
    <n v="46000000"/>
    <n v="0"/>
    <n v="0"/>
    <n v="0"/>
    <n v="0"/>
    <n v="6278500"/>
    <n v="0"/>
    <n v="0"/>
    <n v="0"/>
    <n v="0"/>
    <n v="0"/>
    <n v="0"/>
    <n v="0"/>
    <x v="0"/>
    <x v="3"/>
    <x v="6"/>
    <s v="52"/>
    <s v="SEKRETARIAT BADAN RISET DAN SUMBERDAYA MANUSIA KELAUTAN DAN PERIKANAN"/>
    <n v="6278500"/>
    <n v="27.004301075268817"/>
    <n v="16971500"/>
    <n v="72.995698924731172"/>
    <s v="WA.2378.EBD.953.301.A.521211"/>
    <s v="Non COVID"/>
    <s v="BELANJA BAHAN"/>
    <s v="Belanja Barang Non Operasional"/>
  </r>
  <r>
    <s v="032"/>
    <s v="12"/>
    <s v="WA"/>
    <x v="1"/>
    <s v="2378"/>
    <x v="1"/>
    <s v="EBD"/>
    <s v="2378.EBD. Layanan Manajemen Kinerja Internal"/>
    <n v="953"/>
    <x v="7"/>
    <n v="301"/>
    <x v="10"/>
    <s v="A"/>
    <x v="27"/>
    <n v="521219"/>
    <x v="3"/>
    <x v="18"/>
    <n v="2000000"/>
    <n v="0"/>
    <n v="0"/>
    <n v="499528"/>
    <n v="0"/>
    <n v="0"/>
    <n v="0"/>
    <n v="0"/>
    <n v="0"/>
    <n v="0"/>
    <n v="0"/>
    <n v="0"/>
    <n v="0"/>
    <x v="0"/>
    <x v="3"/>
    <x v="6"/>
    <s v="52"/>
    <s v="SEKRETARIAT BADAN RISET DAN SUMBERDAYA MANUSIA KELAUTAN DAN PERIKANAN"/>
    <n v="499528"/>
    <n v="24.976400000000002"/>
    <n v="1500472"/>
    <n v="75.023600000000002"/>
    <s v="WA.2378.EBD.953.301.A.521219"/>
    <s v="Non COVID"/>
    <s v="NON OPS LAINNYA"/>
    <s v="Belanja Barang Non Operasional"/>
  </r>
  <r>
    <s v="032"/>
    <s v="12"/>
    <s v="WA"/>
    <x v="1"/>
    <s v="2378"/>
    <x v="1"/>
    <s v="EBD"/>
    <s v="2378.EBD. Layanan Manajemen Kinerja Internal"/>
    <n v="953"/>
    <x v="7"/>
    <n v="301"/>
    <x v="10"/>
    <s v="A"/>
    <x v="27"/>
    <n v="524111"/>
    <x v="2"/>
    <x v="73"/>
    <n v="247200000"/>
    <n v="0"/>
    <n v="0"/>
    <n v="0"/>
    <n v="0"/>
    <n v="0"/>
    <n v="0"/>
    <n v="0"/>
    <n v="0"/>
    <n v="0"/>
    <n v="0"/>
    <n v="0"/>
    <n v="0"/>
    <x v="0"/>
    <x v="3"/>
    <x v="6"/>
    <s v="52"/>
    <s v="SEKRETARIAT BADAN RISET DAN SUMBERDAYA MANUSIA KELAUTAN DAN PERIKANAN"/>
    <n v="0"/>
    <n v="0"/>
    <n v="18539000"/>
    <n v="100"/>
    <s v="WA.2378.EBD.953.301.A.524111"/>
    <s v="Non COVID"/>
    <s v="PERJALANAN DINAS"/>
    <s v="Belanja Barang Non Operasional"/>
  </r>
  <r>
    <s v="032"/>
    <s v="12"/>
    <s v="WA"/>
    <x v="1"/>
    <s v="2378"/>
    <x v="1"/>
    <s v="EBD"/>
    <s v="2378.EBD. Layanan Manajemen Kinerja Internal"/>
    <n v="953"/>
    <x v="7"/>
    <n v="301"/>
    <x v="10"/>
    <s v="B"/>
    <x v="28"/>
    <n v="521211"/>
    <x v="0"/>
    <x v="74"/>
    <n v="41000000"/>
    <n v="0"/>
    <n v="0"/>
    <n v="3379000"/>
    <n v="0"/>
    <n v="3500000"/>
    <n v="2640000"/>
    <n v="0"/>
    <n v="0"/>
    <n v="0"/>
    <n v="0"/>
    <n v="0"/>
    <n v="0"/>
    <x v="0"/>
    <x v="3"/>
    <x v="6"/>
    <s v="52"/>
    <s v="SEKRETARIAT BADAN RISET DAN SUMBERDAYA MANUSIA KELAUTAN DAN PERIKANAN"/>
    <n v="9519000"/>
    <n v="70.380776340110913"/>
    <n v="4006000"/>
    <n v="29.619223659889094"/>
    <s v="WA.2378.EBD.953.301.B.521211"/>
    <s v="Non COVID"/>
    <s v="BELANJA BAHAN"/>
    <s v="Belanja Barang Non Operasional"/>
  </r>
  <r>
    <s v="032"/>
    <s v="12"/>
    <s v="WA"/>
    <x v="1"/>
    <s v="2378"/>
    <x v="1"/>
    <s v="EBD"/>
    <s v="2378.EBD. Layanan Manajemen Kinerja Internal"/>
    <n v="953"/>
    <x v="7"/>
    <n v="301"/>
    <x v="10"/>
    <s v="B"/>
    <x v="28"/>
    <n v="521219"/>
    <x v="3"/>
    <x v="18"/>
    <n v="32000000"/>
    <n v="0"/>
    <n v="0"/>
    <n v="0"/>
    <n v="0"/>
    <n v="603014"/>
    <n v="0"/>
    <n v="0"/>
    <n v="0"/>
    <n v="0"/>
    <n v="0"/>
    <n v="0"/>
    <n v="0"/>
    <x v="0"/>
    <x v="3"/>
    <x v="6"/>
    <s v="52"/>
    <s v="SEKRETARIAT BADAN RISET DAN SUMBERDAYA MANUSIA KELAUTAN DAN PERIKANAN"/>
    <n v="603014"/>
    <n v="30.150700000000004"/>
    <n v="1396986"/>
    <n v="69.849299999999999"/>
    <s v="WA.2378.EBD.953.301.B.521219"/>
    <s v="Non COVID"/>
    <s v="NON OPS LAINNYA"/>
    <s v="Belanja Barang Non Operasional"/>
  </r>
  <r>
    <s v="032"/>
    <s v="12"/>
    <s v="WA"/>
    <x v="1"/>
    <s v="2378"/>
    <x v="1"/>
    <s v="EBD"/>
    <s v="2378.EBD. Layanan Manajemen Kinerja Internal"/>
    <n v="953"/>
    <x v="7"/>
    <n v="301"/>
    <x v="10"/>
    <s v="B"/>
    <x v="28"/>
    <n v="522151"/>
    <x v="1"/>
    <x v="30"/>
    <n v="10000000"/>
    <n v="0"/>
    <n v="0"/>
    <n v="0"/>
    <n v="0"/>
    <n v="0"/>
    <n v="0"/>
    <n v="0"/>
    <n v="0"/>
    <n v="0"/>
    <n v="0"/>
    <n v="0"/>
    <n v="0"/>
    <x v="0"/>
    <x v="3"/>
    <x v="6"/>
    <s v="52"/>
    <s v="SEKRETARIAT BADAN RISET DAN SUMBERDAYA MANUSIA KELAUTAN DAN PERIKANAN"/>
    <n v="0"/>
    <n v="0"/>
    <n v="0"/>
    <n v="0"/>
    <s v="WA.2378.EBD.953.301.B.522151"/>
    <s v="Non COVID"/>
    <s v="BELANJA JASA"/>
    <s v="Belanja Barang Non Operasional"/>
  </r>
  <r>
    <s v="032"/>
    <s v="12"/>
    <s v="WA"/>
    <x v="1"/>
    <s v="2378"/>
    <x v="1"/>
    <s v="EBD"/>
    <s v="2378.EBD. Layanan Manajemen Kinerja Internal"/>
    <n v="953"/>
    <x v="7"/>
    <n v="301"/>
    <x v="10"/>
    <s v="B"/>
    <x v="28"/>
    <n v="524111"/>
    <x v="2"/>
    <x v="75"/>
    <n v="120000000"/>
    <n v="0"/>
    <n v="0"/>
    <n v="0"/>
    <n v="524500"/>
    <n v="21422224"/>
    <n v="38467531"/>
    <n v="0"/>
    <n v="0"/>
    <n v="0"/>
    <n v="0"/>
    <n v="0"/>
    <n v="0"/>
    <x v="0"/>
    <x v="3"/>
    <x v="6"/>
    <s v="52"/>
    <s v="SEKRETARIAT BADAN RISET DAN SUMBERDAYA MANUSIA KELAUTAN DAN PERIKANAN"/>
    <n v="60414255"/>
    <n v="99.99876686253414"/>
    <n v="745"/>
    <n v="1.2331374658611273E-3"/>
    <s v="WA.2378.EBD.953.301.B.524111"/>
    <s v="Non COVID"/>
    <s v="PERJALANAN DINAS"/>
    <s v="Belanja Barang Non Operasional"/>
  </r>
  <r>
    <s v="032"/>
    <s v="12"/>
    <s v="WA"/>
    <x v="1"/>
    <s v="2378"/>
    <x v="1"/>
    <s v="EBD"/>
    <s v="2378.EBD. Layanan Manajemen Kinerja Internal"/>
    <n v="953"/>
    <x v="7"/>
    <n v="301"/>
    <x v="10"/>
    <s v="B"/>
    <x v="28"/>
    <n v="524113"/>
    <x v="6"/>
    <x v="30"/>
    <n v="9000000"/>
    <n v="0"/>
    <n v="0"/>
    <n v="0"/>
    <n v="0"/>
    <n v="0"/>
    <n v="0"/>
    <n v="0"/>
    <n v="0"/>
    <n v="0"/>
    <n v="0"/>
    <n v="0"/>
    <n v="0"/>
    <x v="0"/>
    <x v="3"/>
    <x v="6"/>
    <s v="52"/>
    <s v="SEKRETARIAT BADAN RISET DAN SUMBERDAYA MANUSIA KELAUTAN DAN PERIKANAN"/>
    <n v="0"/>
    <n v="0"/>
    <n v="0"/>
    <n v="0"/>
    <s v="WA.2378.EBD.953.301.B.524113"/>
    <s v="Non COVID"/>
    <s v="TRANSPORT LOKAL"/>
    <s v="Belanja Barang Non Operasional"/>
  </r>
  <r>
    <s v="032"/>
    <s v="12"/>
    <s v="WA"/>
    <x v="1"/>
    <s v="2378"/>
    <x v="1"/>
    <s v="EBD"/>
    <s v="2378.EBD. Layanan Manajemen Kinerja Internal"/>
    <n v="953"/>
    <x v="7"/>
    <n v="302"/>
    <x v="11"/>
    <s v="A"/>
    <x v="29"/>
    <n v="521211"/>
    <x v="0"/>
    <x v="76"/>
    <n v="35500000"/>
    <n v="0"/>
    <n v="0"/>
    <n v="3358000"/>
    <n v="0"/>
    <n v="4986000"/>
    <n v="0"/>
    <n v="0"/>
    <n v="0"/>
    <n v="0"/>
    <n v="0"/>
    <n v="0"/>
    <n v="0"/>
    <x v="0"/>
    <x v="3"/>
    <x v="6"/>
    <s v="52"/>
    <s v="SEKRETARIAT BADAN RISET DAN SUMBERDAYA MANUSIA KELAUTAN DAN PERIKANAN"/>
    <n v="8344000"/>
    <n v="46.614525139664806"/>
    <n v="9556000"/>
    <n v="53.385474860335194"/>
    <s v="WA.2378.EBD.953.302.A.521211"/>
    <s v="Non COVID"/>
    <s v="BELANJA BAHAN"/>
    <s v="Belanja Barang Non Operasional"/>
  </r>
  <r>
    <s v="032"/>
    <s v="12"/>
    <s v="WA"/>
    <x v="1"/>
    <s v="2378"/>
    <x v="1"/>
    <s v="EBD"/>
    <s v="2378.EBD. Layanan Manajemen Kinerja Internal"/>
    <n v="953"/>
    <x v="7"/>
    <n v="302"/>
    <x v="11"/>
    <s v="A"/>
    <x v="29"/>
    <n v="521219"/>
    <x v="3"/>
    <x v="18"/>
    <n v="2000000"/>
    <n v="0"/>
    <n v="0"/>
    <n v="0"/>
    <n v="0"/>
    <n v="0"/>
    <n v="0"/>
    <n v="0"/>
    <n v="0"/>
    <n v="0"/>
    <n v="0"/>
    <n v="0"/>
    <n v="0"/>
    <x v="0"/>
    <x v="3"/>
    <x v="6"/>
    <s v="52"/>
    <s v="SEKRETARIAT BADAN RISET DAN SUMBERDAYA MANUSIA KELAUTAN DAN PERIKANAN"/>
    <n v="0"/>
    <n v="0"/>
    <n v="2000000"/>
    <n v="100"/>
    <s v="WA.2378.EBD.953.302.A.521219"/>
    <s v="Non COVID"/>
    <s v="NON OPS LAINNYA"/>
    <s v="Belanja Barang Non Operasional"/>
  </r>
  <r>
    <s v="032"/>
    <s v="12"/>
    <s v="WA"/>
    <x v="1"/>
    <s v="2378"/>
    <x v="1"/>
    <s v="EBD"/>
    <s v="2378.EBD. Layanan Manajemen Kinerja Internal"/>
    <n v="953"/>
    <x v="7"/>
    <n v="302"/>
    <x v="11"/>
    <s v="A"/>
    <x v="29"/>
    <n v="524111"/>
    <x v="2"/>
    <x v="77"/>
    <n v="89032000"/>
    <n v="0"/>
    <n v="0"/>
    <n v="2490000"/>
    <n v="15530000"/>
    <n v="0"/>
    <n v="2118000"/>
    <n v="0"/>
    <n v="0"/>
    <n v="0"/>
    <n v="0"/>
    <n v="0"/>
    <n v="0"/>
    <x v="0"/>
    <x v="3"/>
    <x v="6"/>
    <s v="52"/>
    <s v="SEKRETARIAT BADAN RISET DAN SUMBERDAYA MANUSIA KELAUTAN DAN PERIKANAN"/>
    <n v="20138000"/>
    <n v="66.750638072193311"/>
    <n v="10031000"/>
    <n v="33.249361927806689"/>
    <s v="WA.2378.EBD.953.302.A.524111"/>
    <s v="Non COVID"/>
    <s v="PERJALANAN DINAS"/>
    <s v="Belanja Barang Non Operasional"/>
  </r>
  <r>
    <s v="032"/>
    <s v="12"/>
    <s v="WA"/>
    <x v="1"/>
    <s v="2378"/>
    <x v="1"/>
    <s v="EBD"/>
    <s v="2378.EBD. Layanan Manajemen Kinerja Internal"/>
    <n v="955"/>
    <x v="8"/>
    <n v="301"/>
    <x v="12"/>
    <s v="A"/>
    <x v="30"/>
    <n v="521211"/>
    <x v="0"/>
    <x v="78"/>
    <n v="23900000"/>
    <n v="0"/>
    <n v="0"/>
    <n v="5725000"/>
    <n v="2446000"/>
    <n v="5660000"/>
    <n v="0"/>
    <n v="0"/>
    <n v="0"/>
    <n v="0"/>
    <n v="0"/>
    <n v="0"/>
    <n v="0"/>
    <x v="0"/>
    <x v="2"/>
    <x v="7"/>
    <s v="52"/>
    <s v="SEKRETARIAT BADAN RISET DAN SUMBERDAYA MANUSIA KELAUTAN DAN PERIKANAN"/>
    <n v="13831000"/>
    <n v="75.168478260869563"/>
    <n v="4569000"/>
    <n v="24.831521739130437"/>
    <s v="WA.2378.EBD.955.301.A.521211"/>
    <s v="Non COVID"/>
    <s v="BELANJA BAHAN"/>
    <s v="Belanja Barang Non Operasional"/>
  </r>
  <r>
    <s v="032"/>
    <s v="12"/>
    <s v="WA"/>
    <x v="1"/>
    <s v="2378"/>
    <x v="1"/>
    <s v="EBD"/>
    <s v="2378.EBD. Layanan Manajemen Kinerja Internal"/>
    <n v="955"/>
    <x v="8"/>
    <n v="301"/>
    <x v="12"/>
    <s v="A"/>
    <x v="30"/>
    <n v="524111"/>
    <x v="2"/>
    <x v="79"/>
    <n v="15000000"/>
    <n v="0"/>
    <n v="0"/>
    <n v="0"/>
    <n v="0"/>
    <n v="8701552"/>
    <n v="0"/>
    <n v="0"/>
    <n v="0"/>
    <n v="0"/>
    <n v="0"/>
    <n v="0"/>
    <n v="0"/>
    <x v="0"/>
    <x v="2"/>
    <x v="7"/>
    <s v="52"/>
    <s v="SEKRETARIAT BADAN RISET DAN SUMBERDAYA MANUSIA KELAUTAN DAN PERIKANAN"/>
    <n v="8701552"/>
    <n v="99.994851758216498"/>
    <n v="448"/>
    <n v="5.1482417834980464E-3"/>
    <s v="WA.2378.EBD.955.301.A.524111"/>
    <s v="Non COVID"/>
    <s v="PERJALANAN DINAS"/>
    <s v="Belanja Barang Non Operasional"/>
  </r>
  <r>
    <s v="032"/>
    <s v="12"/>
    <s v="WA"/>
    <x v="1"/>
    <s v="2378"/>
    <x v="1"/>
    <s v="EBD"/>
    <s v="2378.EBD. Layanan Manajemen Kinerja Internal"/>
    <n v="955"/>
    <x v="8"/>
    <n v="301"/>
    <x v="12"/>
    <s v="B"/>
    <x v="31"/>
    <n v="521211"/>
    <x v="0"/>
    <x v="80"/>
    <n v="11400000"/>
    <n v="0"/>
    <n v="0"/>
    <n v="2500000"/>
    <n v="0"/>
    <n v="2444000"/>
    <n v="0"/>
    <n v="0"/>
    <n v="0"/>
    <n v="0"/>
    <n v="0"/>
    <n v="0"/>
    <n v="0"/>
    <x v="0"/>
    <x v="2"/>
    <x v="7"/>
    <s v="52"/>
    <s v="SEKRETARIAT BADAN RISET DAN SUMBERDAYA MANUSIA KELAUTAN DAN PERIKANAN"/>
    <n v="4944000"/>
    <n v="65.92"/>
    <n v="2556000"/>
    <n v="34.08"/>
    <s v="WA.2378.EBD.955.301.B.521211"/>
    <s v="Non COVID"/>
    <s v="BELANJA BAHAN"/>
    <s v="Belanja Barang Non Operasional"/>
  </r>
  <r>
    <s v="032"/>
    <s v="12"/>
    <s v="WA"/>
    <x v="1"/>
    <s v="2378"/>
    <x v="1"/>
    <s v="EBD"/>
    <s v="2378.EBD. Layanan Manajemen Kinerja Internal"/>
    <n v="955"/>
    <x v="8"/>
    <n v="301"/>
    <x v="12"/>
    <s v="B"/>
    <x v="31"/>
    <n v="524111"/>
    <x v="2"/>
    <x v="81"/>
    <n v="18000000"/>
    <n v="0"/>
    <n v="0"/>
    <n v="2850000"/>
    <n v="0"/>
    <n v="0"/>
    <n v="0"/>
    <n v="0"/>
    <n v="0"/>
    <n v="0"/>
    <n v="0"/>
    <n v="0"/>
    <n v="0"/>
    <x v="0"/>
    <x v="2"/>
    <x v="7"/>
    <s v="52"/>
    <s v="SEKRETARIAT BADAN RISET DAN SUMBERDAYA MANUSIA KELAUTAN DAN PERIKANAN"/>
    <n v="2850000"/>
    <n v="53.271028037383175"/>
    <n v="2500000"/>
    <n v="46.728971962616825"/>
    <s v="WA.2378.EBD.955.301.B.524111"/>
    <s v="Non COVID"/>
    <s v="PERJALANAN DINAS"/>
    <s v="Belanja Barang Non Operasional"/>
  </r>
  <r>
    <s v="032"/>
    <s v="12"/>
    <s v="WA"/>
    <x v="1"/>
    <s v="2378"/>
    <x v="1"/>
    <s v="EBD"/>
    <s v="2378.EBD. Layanan Manajemen Kinerja Internal"/>
    <n v="955"/>
    <x v="8"/>
    <n v="301"/>
    <x v="12"/>
    <s v="C"/>
    <x v="32"/>
    <n v="521211"/>
    <x v="0"/>
    <x v="80"/>
    <n v="10000000"/>
    <n v="0"/>
    <n v="0"/>
    <n v="2469500"/>
    <n v="0"/>
    <n v="2499000"/>
    <n v="0"/>
    <n v="0"/>
    <n v="0"/>
    <n v="0"/>
    <n v="0"/>
    <n v="0"/>
    <n v="0"/>
    <x v="0"/>
    <x v="2"/>
    <x v="7"/>
    <s v="52"/>
    <s v="SEKRETARIAT BADAN RISET DAN SUMBERDAYA MANUSIA KELAUTAN DAN PERIKANAN"/>
    <n v="4968500"/>
    <n v="66.24666666666667"/>
    <n v="2531500"/>
    <n v="33.753333333333337"/>
    <s v="WA.2378.EBD.955.301.C.521211"/>
    <s v="Non COVID"/>
    <s v="BELANJA BAHAN"/>
    <s v="Belanja Barang Non Operasional"/>
  </r>
  <r>
    <s v="032"/>
    <s v="12"/>
    <s v="WA"/>
    <x v="1"/>
    <s v="2378"/>
    <x v="1"/>
    <s v="EBD"/>
    <s v="2378.EBD. Layanan Manajemen Kinerja Internal"/>
    <n v="955"/>
    <x v="8"/>
    <n v="301"/>
    <x v="12"/>
    <s v="C"/>
    <x v="32"/>
    <n v="524111"/>
    <x v="2"/>
    <x v="30"/>
    <n v="15000000"/>
    <n v="0"/>
    <n v="0"/>
    <n v="0"/>
    <n v="0"/>
    <n v="0"/>
    <n v="0"/>
    <n v="0"/>
    <n v="0"/>
    <n v="0"/>
    <n v="0"/>
    <n v="0"/>
    <n v="0"/>
    <x v="0"/>
    <x v="2"/>
    <x v="7"/>
    <s v="52"/>
    <s v="SEKRETARIAT BADAN RISET DAN SUMBERDAYA MANUSIA KELAUTAN DAN PERIKANAN"/>
    <n v="0"/>
    <n v="0"/>
    <n v="0"/>
    <n v="0"/>
    <s v="WA.2378.EBD.955.301.C.524111"/>
    <s v="Non COVID"/>
    <s v="PERJALANAN DINAS"/>
    <s v="Belanja Barang Non Operasional"/>
  </r>
  <r>
    <s v="032"/>
    <s v="12"/>
    <s v="WA"/>
    <x v="1"/>
    <s v="2378"/>
    <x v="1"/>
    <s v="EBD"/>
    <s v="2378.EBD. Layanan Manajemen Kinerja Internal"/>
    <n v="955"/>
    <x v="8"/>
    <n v="301"/>
    <x v="12"/>
    <s v="D"/>
    <x v="33"/>
    <n v="521211"/>
    <x v="0"/>
    <x v="82"/>
    <n v="35340000"/>
    <n v="0"/>
    <n v="0"/>
    <n v="2500000"/>
    <n v="3400000"/>
    <n v="5085000"/>
    <n v="0"/>
    <n v="0"/>
    <n v="0"/>
    <n v="0"/>
    <n v="0"/>
    <n v="0"/>
    <n v="0"/>
    <x v="0"/>
    <x v="2"/>
    <x v="7"/>
    <s v="52"/>
    <s v="SEKRETARIAT BADAN RISET DAN SUMBERDAYA MANUSIA KELAUTAN DAN PERIKANAN"/>
    <n v="10985000"/>
    <n v="78.464285714285722"/>
    <n v="3015000"/>
    <n v="21.535714285714285"/>
    <s v="WA.2378.EBD.955.301.D.521211"/>
    <s v="Non COVID"/>
    <s v="BELANJA BAHAN"/>
    <s v="Belanja Barang Non Operasional"/>
  </r>
  <r>
    <s v="032"/>
    <s v="12"/>
    <s v="WA"/>
    <x v="1"/>
    <s v="2378"/>
    <x v="1"/>
    <s v="EBD"/>
    <s v="2378.EBD. Layanan Manajemen Kinerja Internal"/>
    <n v="955"/>
    <x v="8"/>
    <n v="301"/>
    <x v="12"/>
    <s v="D"/>
    <x v="33"/>
    <n v="522151"/>
    <x v="1"/>
    <x v="30"/>
    <n v="3600000"/>
    <n v="0"/>
    <n v="0"/>
    <n v="0"/>
    <n v="0"/>
    <n v="0"/>
    <n v="0"/>
    <n v="0"/>
    <n v="0"/>
    <n v="0"/>
    <n v="0"/>
    <n v="0"/>
    <n v="0"/>
    <x v="0"/>
    <x v="2"/>
    <x v="7"/>
    <s v="52"/>
    <s v="SEKRETARIAT BADAN RISET DAN SUMBERDAYA MANUSIA KELAUTAN DAN PERIKANAN"/>
    <n v="0"/>
    <n v="0"/>
    <n v="0"/>
    <n v="0"/>
    <s v="WA.2378.EBD.955.301.D.522151"/>
    <s v="Non COVID"/>
    <s v="BELANJA JASA"/>
    <s v="Belanja Barang Non Operasional"/>
  </r>
  <r>
    <s v="032"/>
    <s v="12"/>
    <s v="WA"/>
    <x v="1"/>
    <s v="2378"/>
    <x v="1"/>
    <s v="EBD"/>
    <s v="2378.EBD. Layanan Manajemen Kinerja Internal"/>
    <n v="955"/>
    <x v="8"/>
    <n v="301"/>
    <x v="12"/>
    <s v="D"/>
    <x v="33"/>
    <n v="524111"/>
    <x v="2"/>
    <x v="83"/>
    <n v="42000000"/>
    <n v="0"/>
    <n v="0"/>
    <n v="0"/>
    <n v="11593200"/>
    <n v="9041268"/>
    <n v="0"/>
    <n v="0"/>
    <n v="0"/>
    <n v="0"/>
    <n v="0"/>
    <n v="0"/>
    <n v="0"/>
    <x v="0"/>
    <x v="2"/>
    <x v="7"/>
    <s v="52"/>
    <s v="SEKRETARIAT BADAN RISET DAN SUMBERDAYA MANUSIA KELAUTAN DAN PERIKANAN"/>
    <n v="20634468"/>
    <n v="99.997421856069778"/>
    <n v="532"/>
    <n v="2.578143930215653E-3"/>
    <s v="WA.2378.EBD.955.301.D.524111"/>
    <s v="Non COVID"/>
    <s v="PERJALANAN DINAS"/>
    <s v="Belanja Barang Non Operasional"/>
  </r>
  <r>
    <s v="032"/>
    <s v="12"/>
    <s v="WA"/>
    <x v="1"/>
    <s v="2378"/>
    <x v="1"/>
    <s v="EBD"/>
    <s v="2378.EBD. Layanan Manajemen Kinerja Internal"/>
    <n v="955"/>
    <x v="8"/>
    <n v="301"/>
    <x v="12"/>
    <s v="E"/>
    <x v="34"/>
    <n v="521211"/>
    <x v="0"/>
    <x v="80"/>
    <n v="15000000"/>
    <n v="0"/>
    <n v="0"/>
    <n v="2499500"/>
    <n v="0"/>
    <n v="2444500"/>
    <n v="0"/>
    <n v="0"/>
    <n v="0"/>
    <n v="0"/>
    <n v="0"/>
    <n v="0"/>
    <n v="0"/>
    <x v="0"/>
    <x v="2"/>
    <x v="7"/>
    <s v="52"/>
    <s v="SEKRETARIAT BADAN RISET DAN SUMBERDAYA MANUSIA KELAUTAN DAN PERIKANAN"/>
    <n v="4944000"/>
    <n v="65.92"/>
    <n v="2556000"/>
    <n v="34.08"/>
    <s v="WA.2378.EBD.955.301.E.521211"/>
    <s v="Non COVID"/>
    <s v="BELANJA BAHAN"/>
    <s v="Belanja Barang Non Operasional"/>
  </r>
  <r>
    <s v="032"/>
    <s v="12"/>
    <s v="WA"/>
    <x v="1"/>
    <s v="2378"/>
    <x v="1"/>
    <s v="EBD"/>
    <s v="2378.EBD. Layanan Manajemen Kinerja Internal"/>
    <n v="955"/>
    <x v="8"/>
    <n v="301"/>
    <x v="12"/>
    <s v="E"/>
    <x v="34"/>
    <n v="524111"/>
    <x v="2"/>
    <x v="30"/>
    <n v="12000000"/>
    <n v="0"/>
    <n v="0"/>
    <n v="0"/>
    <n v="0"/>
    <n v="0"/>
    <n v="0"/>
    <n v="0"/>
    <n v="0"/>
    <n v="0"/>
    <n v="0"/>
    <n v="0"/>
    <n v="0"/>
    <x v="0"/>
    <x v="2"/>
    <x v="7"/>
    <s v="52"/>
    <s v="SEKRETARIAT BADAN RISET DAN SUMBERDAYA MANUSIA KELAUTAN DAN PERIKANAN"/>
    <n v="0"/>
    <n v="0"/>
    <n v="0"/>
    <n v="0"/>
    <s v="WA.2378.EBD.955.301.E.524111"/>
    <s v="Non COVID"/>
    <s v="PERJALANAN DINAS"/>
    <s v="Belanja Barang Non Operasional"/>
  </r>
  <r>
    <s v="032"/>
    <s v="12"/>
    <s v="WA"/>
    <x v="1"/>
    <s v="2378"/>
    <x v="1"/>
    <s v="EBD"/>
    <s v="2378.EBD. Layanan Manajemen Kinerja Internal"/>
    <n v="955"/>
    <x v="8"/>
    <n v="301"/>
    <x v="12"/>
    <s v="F"/>
    <x v="35"/>
    <n v="521211"/>
    <x v="0"/>
    <x v="84"/>
    <n v="4800000"/>
    <n v="0"/>
    <n v="0"/>
    <n v="0"/>
    <n v="0"/>
    <n v="0"/>
    <n v="0"/>
    <n v="0"/>
    <n v="0"/>
    <n v="0"/>
    <n v="0"/>
    <n v="0"/>
    <n v="0"/>
    <x v="0"/>
    <x v="2"/>
    <x v="7"/>
    <s v="52"/>
    <s v="SEKRETARIAT BADAN RISET DAN SUMBERDAYA MANUSIA KELAUTAN DAN PERIKANAN"/>
    <n v="0"/>
    <n v="0"/>
    <n v="4800000"/>
    <n v="100"/>
    <s v="WA.2378.EBD.955.301.F.521211"/>
    <s v="Non COVID"/>
    <s v="BELANJA BAHAN"/>
    <s v="Belanja Barang Non Operasional"/>
  </r>
  <r>
    <s v="032"/>
    <s v="12"/>
    <s v="WA"/>
    <x v="1"/>
    <s v="2378"/>
    <x v="1"/>
    <s v="EBD"/>
    <s v="2378.EBD. Layanan Manajemen Kinerja Internal"/>
    <n v="955"/>
    <x v="8"/>
    <n v="301"/>
    <x v="12"/>
    <s v="F"/>
    <x v="35"/>
    <n v="521811"/>
    <x v="4"/>
    <x v="85"/>
    <n v="27500000"/>
    <n v="0"/>
    <n v="0"/>
    <n v="4980000"/>
    <n v="2490000"/>
    <n v="2490000"/>
    <n v="0"/>
    <n v="0"/>
    <n v="0"/>
    <n v="0"/>
    <n v="0"/>
    <n v="0"/>
    <n v="0"/>
    <x v="0"/>
    <x v="2"/>
    <x v="7"/>
    <s v="52"/>
    <s v="SEKRETARIAT BADAN RISET DAN SUMBERDAYA MANUSIA KELAUTAN DAN PERIKANAN"/>
    <n v="9960000"/>
    <n v="36.218181818181819"/>
    <n v="17540000"/>
    <n v="63.781818181818181"/>
    <s v="WA.2378.EBD.955.301.F.521811"/>
    <s v="Non COVID"/>
    <s v="BELANJA PERSEDIAAN"/>
    <s v="Belanja Barang Non Operasional"/>
  </r>
  <r>
    <s v="032"/>
    <s v="12"/>
    <s v="WA"/>
    <x v="1"/>
    <s v="2378"/>
    <x v="1"/>
    <s v="EBD"/>
    <s v="2378.EBD. Layanan Manajemen Kinerja Internal"/>
    <n v="955"/>
    <x v="8"/>
    <n v="301"/>
    <x v="12"/>
    <s v="F"/>
    <x v="35"/>
    <n v="524111"/>
    <x v="2"/>
    <x v="86"/>
    <n v="56380000"/>
    <n v="0"/>
    <n v="0"/>
    <n v="45420000"/>
    <n v="0"/>
    <n v="7280000"/>
    <n v="2030000"/>
    <n v="0"/>
    <n v="0"/>
    <n v="0"/>
    <n v="0"/>
    <n v="0"/>
    <n v="0"/>
    <x v="0"/>
    <x v="2"/>
    <x v="7"/>
    <s v="52"/>
    <s v="SEKRETARIAT BADAN RISET DAN SUMBERDAYA MANUSIA KELAUTAN DAN PERIKANAN"/>
    <n v="54730000"/>
    <n v="71.981902594925884"/>
    <n v="21303000"/>
    <n v="28.018097405074112"/>
    <s v="WA.2378.EBD.955.301.F.524111"/>
    <s v="Non COVID"/>
    <s v="PERJALANAN DINAS"/>
    <s v="Belanja Barang Non Operasional"/>
  </r>
  <r>
    <s v="032"/>
    <s v="12"/>
    <s v="WA"/>
    <x v="1"/>
    <s v="4345"/>
    <x v="2"/>
    <s v="EBC"/>
    <s v="4345.EAM. Layanan Manajemen SDM Internal"/>
    <n v="996"/>
    <x v="9"/>
    <n v="301"/>
    <x v="13"/>
    <s v="A"/>
    <x v="36"/>
    <n v="521211"/>
    <x v="0"/>
    <x v="87"/>
    <n v="99100000"/>
    <n v="0"/>
    <n v="0"/>
    <n v="0"/>
    <n v="0"/>
    <n v="0"/>
    <n v="0"/>
    <n v="0"/>
    <n v="0"/>
    <n v="0"/>
    <n v="0"/>
    <n v="0"/>
    <n v="0"/>
    <x v="0"/>
    <x v="3"/>
    <x v="5"/>
    <s v="52"/>
    <s v="SEKRETARIAT BADAN RISET DAN SUMBERDAYA MANUSIA KELAUTAN DAN PERIKANAN"/>
    <n v="0"/>
    <n v="0"/>
    <n v="99100000"/>
    <n v="100"/>
    <s v="WA.4345.EBC.996.301.A.521211"/>
    <s v="Non COVID"/>
    <s v="BELANJA BAHAN"/>
    <s v="Belanja Barang Non Operasional"/>
  </r>
  <r>
    <s v="032"/>
    <s v="12"/>
    <s v="WA"/>
    <x v="1"/>
    <s v="4345"/>
    <x v="2"/>
    <s v="EBC"/>
    <s v="4345.EAM. Layanan Manajemen SDM Internal"/>
    <n v="996"/>
    <x v="9"/>
    <n v="301"/>
    <x v="13"/>
    <s v="A"/>
    <x v="36"/>
    <n v="521219"/>
    <x v="3"/>
    <x v="88"/>
    <n v="1333864000"/>
    <n v="0"/>
    <n v="0"/>
    <n v="0"/>
    <n v="0"/>
    <n v="0"/>
    <n v="0"/>
    <n v="0"/>
    <n v="0"/>
    <n v="0"/>
    <n v="0"/>
    <n v="0"/>
    <n v="0"/>
    <x v="0"/>
    <x v="3"/>
    <x v="5"/>
    <s v="52"/>
    <s v="SEKRETARIAT BADAN RISET DAN SUMBERDAYA MANUSIA KELAUTAN DAN PERIKANAN"/>
    <n v="0"/>
    <n v="0"/>
    <n v="1333864000"/>
    <n v="100"/>
    <s v="WA.4345.EBC.996.301.A.521219"/>
    <s v="Non COVID"/>
    <s v="NON OPS LAINNYA"/>
    <s v="Belanja Barang Non Operasional"/>
  </r>
  <r>
    <s v="032"/>
    <s v="12"/>
    <s v="WA"/>
    <x v="1"/>
    <s v="4345"/>
    <x v="2"/>
    <s v="EBC"/>
    <s v="4345.EAM. Layanan Manajemen SDM Internal"/>
    <n v="996"/>
    <x v="9"/>
    <n v="301"/>
    <x v="13"/>
    <s v="A"/>
    <x v="36"/>
    <n v="521811"/>
    <x v="4"/>
    <x v="89"/>
    <n v="25000000"/>
    <n v="0"/>
    <n v="0"/>
    <n v="0"/>
    <n v="0"/>
    <n v="4855000"/>
    <n v="0"/>
    <n v="0"/>
    <n v="0"/>
    <n v="0"/>
    <n v="0"/>
    <n v="0"/>
    <n v="0"/>
    <x v="0"/>
    <x v="3"/>
    <x v="5"/>
    <s v="52"/>
    <s v="SEKRETARIAT BADAN RISET DAN SUMBERDAYA MANUSIA KELAUTAN DAN PERIKANAN"/>
    <n v="4855000"/>
    <n v="19.420000000000002"/>
    <n v="20145000"/>
    <n v="80.58"/>
    <s v="WA.4345.EBC.996.301.A.521811"/>
    <s v="Non COVID"/>
    <s v="BELANJA PERSEDIAAN"/>
    <s v="Belanja Barang Non Operasional"/>
  </r>
  <r>
    <s v="032"/>
    <s v="12"/>
    <s v="WA"/>
    <x v="1"/>
    <s v="4345"/>
    <x v="2"/>
    <s v="EBC"/>
    <s v="4345.EAM. Layanan Manajemen SDM Internal"/>
    <n v="996"/>
    <x v="9"/>
    <n v="301"/>
    <x v="13"/>
    <s v="A"/>
    <x v="36"/>
    <n v="522151"/>
    <x v="1"/>
    <x v="16"/>
    <n v="15000000"/>
    <n v="0"/>
    <n v="0"/>
    <n v="0"/>
    <n v="0"/>
    <n v="0"/>
    <n v="0"/>
    <n v="0"/>
    <n v="0"/>
    <n v="0"/>
    <n v="0"/>
    <n v="0"/>
    <n v="0"/>
    <x v="0"/>
    <x v="3"/>
    <x v="5"/>
    <s v="52"/>
    <s v="SEKRETARIAT BADAN RISET DAN SUMBERDAYA MANUSIA KELAUTAN DAN PERIKANAN"/>
    <n v="0"/>
    <n v="0"/>
    <n v="15000000"/>
    <n v="100"/>
    <s v="WA.4345.EBC.996.301.A.522151"/>
    <s v="Non COVID"/>
    <s v="BELANJA JASA"/>
    <s v="Belanja Barang Non Operasional"/>
  </r>
  <r>
    <s v="032"/>
    <s v="12"/>
    <s v="WA"/>
    <x v="1"/>
    <s v="4345"/>
    <x v="2"/>
    <s v="EBC"/>
    <s v="4345.EAM. Layanan Manajemen SDM Internal"/>
    <n v="996"/>
    <x v="9"/>
    <n v="301"/>
    <x v="13"/>
    <s v="A"/>
    <x v="36"/>
    <n v="522191"/>
    <x v="10"/>
    <x v="90"/>
    <n v="102600000"/>
    <n v="0"/>
    <n v="0"/>
    <n v="0"/>
    <n v="0"/>
    <n v="0"/>
    <n v="0"/>
    <n v="0"/>
    <n v="0"/>
    <n v="0"/>
    <n v="0"/>
    <n v="0"/>
    <n v="0"/>
    <x v="0"/>
    <x v="3"/>
    <x v="5"/>
    <s v="52"/>
    <s v="SEKRETARIAT BADAN RISET DAN SUMBERDAYA MANUSIA KELAUTAN DAN PERIKANAN"/>
    <n v="0"/>
    <n v="0"/>
    <n v="102600000"/>
    <n v="100"/>
    <s v="WA.4345.EBC.996.301.A.522191"/>
    <s v="Non COVID"/>
    <s v="BELANJA JASA"/>
    <s v="Belanja Barang Non Operasional"/>
  </r>
  <r>
    <s v="032"/>
    <s v="12"/>
    <s v="WA"/>
    <x v="1"/>
    <s v="4345"/>
    <x v="2"/>
    <s v="EBC"/>
    <s v="4345.EAM. Layanan Manajemen SDM Internal"/>
    <n v="996"/>
    <x v="9"/>
    <n v="301"/>
    <x v="13"/>
    <s v="A"/>
    <x v="36"/>
    <n v="524111"/>
    <x v="2"/>
    <x v="91"/>
    <n v="138000000"/>
    <n v="0"/>
    <n v="0"/>
    <n v="0"/>
    <n v="5900000"/>
    <n v="0"/>
    <n v="14635000"/>
    <n v="0"/>
    <n v="0"/>
    <n v="0"/>
    <n v="0"/>
    <n v="0"/>
    <n v="0"/>
    <x v="0"/>
    <x v="3"/>
    <x v="5"/>
    <s v="52"/>
    <s v="SEKRETARIAT BADAN RISET DAN SUMBERDAYA MANUSIA KELAUTAN DAN PERIKANAN"/>
    <n v="20535000"/>
    <n v="14.880434782608695"/>
    <n v="117465000"/>
    <n v="85.119565217391298"/>
    <s v="WA.4345.EBC.996.301.A.524111"/>
    <s v="Non COVID"/>
    <s v="PERJALANAN DINAS"/>
    <s v="Belanja Barang Non Operasional"/>
  </r>
  <r>
    <s v="032"/>
    <s v="12"/>
    <s v="WA"/>
    <x v="1"/>
    <s v="4345"/>
    <x v="2"/>
    <s v="EBC"/>
    <s v="4345.EAM. Layanan Manajemen SDM Internal"/>
    <n v="996"/>
    <x v="9"/>
    <n v="301"/>
    <x v="13"/>
    <s v="B"/>
    <x v="37"/>
    <n v="521211"/>
    <x v="0"/>
    <x v="89"/>
    <n v="25000000"/>
    <n v="0"/>
    <n v="0"/>
    <n v="0"/>
    <n v="0"/>
    <n v="1475000"/>
    <n v="1442500"/>
    <n v="0"/>
    <n v="0"/>
    <n v="0"/>
    <n v="0"/>
    <n v="0"/>
    <n v="0"/>
    <x v="0"/>
    <x v="3"/>
    <x v="5"/>
    <s v="52"/>
    <s v="SEKRETARIAT BADAN RISET DAN SUMBERDAYA MANUSIA KELAUTAN DAN PERIKANAN"/>
    <n v="2917500"/>
    <n v="11.67"/>
    <n v="22082500"/>
    <n v="88.33"/>
    <s v="WA.4345.EBC.996.301.B.521211"/>
    <s v="Non COVID"/>
    <s v="BELANJA BAHAN"/>
    <s v="Belanja Barang Non Operasional"/>
  </r>
  <r>
    <s v="032"/>
    <s v="12"/>
    <s v="WA"/>
    <x v="1"/>
    <s v="4345"/>
    <x v="2"/>
    <s v="EBC"/>
    <s v="4345.EAM. Layanan Manajemen SDM Internal"/>
    <n v="996"/>
    <x v="9"/>
    <n v="301"/>
    <x v="13"/>
    <s v="B"/>
    <x v="37"/>
    <n v="521219"/>
    <x v="3"/>
    <x v="92"/>
    <n v="6308695000"/>
    <n v="0"/>
    <n v="0"/>
    <n v="0"/>
    <n v="1549795356"/>
    <n v="0"/>
    <n v="1843270850"/>
    <n v="0"/>
    <n v="0"/>
    <n v="0"/>
    <n v="0"/>
    <n v="0"/>
    <n v="0"/>
    <x v="0"/>
    <x v="3"/>
    <x v="5"/>
    <s v="52"/>
    <s v="SEKRETARIAT BADAN RISET DAN SUMBERDAYA MANUSIA KELAUTAN DAN PERIKANAN"/>
    <n v="3393066206"/>
    <n v="89.087369978430928"/>
    <n v="415628794"/>
    <n v="10.912630021569068"/>
    <s v="WA.4345.EBC.996.301.B.521219"/>
    <s v="Non COVID"/>
    <s v="NON OPS LAINNYA"/>
    <s v="Belanja Barang Non Operasional"/>
  </r>
  <r>
    <s v="032"/>
    <s v="12"/>
    <s v="WA"/>
    <x v="1"/>
    <s v="4345"/>
    <x v="2"/>
    <s v="EBC"/>
    <s v="4345.EAM. Layanan Manajemen SDM Internal"/>
    <n v="996"/>
    <x v="9"/>
    <n v="301"/>
    <x v="13"/>
    <s v="B"/>
    <x v="37"/>
    <n v="521811"/>
    <x v="4"/>
    <x v="10"/>
    <n v="30000000"/>
    <n v="0"/>
    <n v="0"/>
    <n v="0"/>
    <n v="0"/>
    <n v="3364000"/>
    <n v="1447000"/>
    <n v="0"/>
    <n v="0"/>
    <n v="0"/>
    <n v="0"/>
    <n v="0"/>
    <n v="0"/>
    <x v="0"/>
    <x v="3"/>
    <x v="5"/>
    <s v="52"/>
    <s v="SEKRETARIAT BADAN RISET DAN SUMBERDAYA MANUSIA KELAUTAN DAN PERIKANAN"/>
    <n v="4811000"/>
    <n v="16.036666666666665"/>
    <n v="25189000"/>
    <n v="83.963333333333338"/>
    <s v="WA.4345.EBC.996.301.B.521811"/>
    <s v="Non COVID"/>
    <s v="BELANJA PERSEDIAAN"/>
    <s v="Belanja Barang Non Operasional"/>
  </r>
  <r>
    <s v="032"/>
    <s v="12"/>
    <s v="WA"/>
    <x v="1"/>
    <s v="4345"/>
    <x v="2"/>
    <s v="EBC"/>
    <s v="4345.EAM. Layanan Manajemen SDM Internal"/>
    <n v="996"/>
    <x v="9"/>
    <n v="301"/>
    <x v="13"/>
    <s v="B"/>
    <x v="37"/>
    <n v="522151"/>
    <x v="1"/>
    <x v="9"/>
    <n v="6000000"/>
    <n v="0"/>
    <n v="0"/>
    <n v="0"/>
    <n v="0"/>
    <n v="0"/>
    <n v="0"/>
    <n v="0"/>
    <n v="0"/>
    <n v="0"/>
    <n v="0"/>
    <n v="0"/>
    <n v="0"/>
    <x v="0"/>
    <x v="3"/>
    <x v="5"/>
    <s v="52"/>
    <s v="SEKRETARIAT BADAN RISET DAN SUMBERDAYA MANUSIA KELAUTAN DAN PERIKANAN"/>
    <n v="0"/>
    <n v="0"/>
    <n v="6000000"/>
    <n v="100"/>
    <s v="WA.4345.EBC.996.301.B.522151"/>
    <s v="Non COVID"/>
    <s v="BELANJA JASA"/>
    <s v="Belanja Barang Non Operasional"/>
  </r>
  <r>
    <s v="032"/>
    <s v="12"/>
    <s v="WA"/>
    <x v="1"/>
    <s v="4345"/>
    <x v="2"/>
    <s v="EBC"/>
    <s v="4345.EAM. Layanan Manajemen SDM Internal"/>
    <n v="996"/>
    <x v="9"/>
    <n v="301"/>
    <x v="13"/>
    <s v="B"/>
    <x v="37"/>
    <n v="524111"/>
    <x v="2"/>
    <x v="93"/>
    <n v="186000000"/>
    <n v="0"/>
    <n v="0"/>
    <n v="0"/>
    <n v="0"/>
    <n v="20392633"/>
    <n v="22330573"/>
    <n v="0"/>
    <n v="0"/>
    <n v="0"/>
    <n v="0"/>
    <n v="0"/>
    <n v="0"/>
    <x v="0"/>
    <x v="3"/>
    <x v="5"/>
    <s v="52"/>
    <s v="SEKRETARIAT BADAN RISET DAN SUMBERDAYA MANUSIA KELAUTAN DAN PERIKANAN"/>
    <n v="42723206"/>
    <n v="19.779262037037036"/>
    <n v="173276794"/>
    <n v="80.220737962962957"/>
    <s v="WA.4345.EBC.996.301.B.524111"/>
    <s v="Non COVID"/>
    <s v="PERJALANAN DINAS"/>
    <s v="Belanja Barang Non Operasional"/>
  </r>
  <r>
    <s v="032"/>
    <s v="12"/>
    <s v="WA"/>
    <x v="1"/>
    <s v="4345"/>
    <x v="2"/>
    <s v="EBC"/>
    <s v="4345.EAM. Layanan Manajemen SDM Internal"/>
    <n v="996"/>
    <x v="9"/>
    <n v="301"/>
    <x v="13"/>
    <s v="C"/>
    <x v="38"/>
    <n v="521211"/>
    <x v="0"/>
    <x v="67"/>
    <n v="12000000"/>
    <n v="0"/>
    <n v="0"/>
    <n v="0"/>
    <n v="0"/>
    <n v="0"/>
    <n v="0"/>
    <n v="0"/>
    <n v="0"/>
    <n v="0"/>
    <n v="0"/>
    <n v="0"/>
    <n v="0"/>
    <x v="0"/>
    <x v="3"/>
    <x v="5"/>
    <s v="52"/>
    <s v="SEKRETARIAT BADAN RISET DAN SUMBERDAYA MANUSIA KELAUTAN DAN PERIKANAN"/>
    <n v="0"/>
    <n v="0"/>
    <n v="12000000"/>
    <n v="100"/>
    <s v="WA.4345.EBC.996.301.C.521211"/>
    <s v="Non COVID"/>
    <s v="BELANJA BAHAN"/>
    <s v="Belanja Barang Non Operasional"/>
  </r>
  <r>
    <s v="032"/>
    <s v="12"/>
    <s v="WA"/>
    <x v="1"/>
    <s v="4345"/>
    <x v="2"/>
    <s v="EBC"/>
    <s v="4345.EAM. Layanan Manajemen SDM Internal"/>
    <n v="996"/>
    <x v="9"/>
    <n v="301"/>
    <x v="13"/>
    <s v="C"/>
    <x v="38"/>
    <n v="521219"/>
    <x v="3"/>
    <x v="1"/>
    <n v="20000000"/>
    <n v="0"/>
    <n v="0"/>
    <n v="0"/>
    <n v="0"/>
    <n v="0"/>
    <n v="0"/>
    <n v="0"/>
    <n v="0"/>
    <n v="0"/>
    <n v="0"/>
    <n v="0"/>
    <n v="0"/>
    <x v="0"/>
    <x v="3"/>
    <x v="5"/>
    <s v="52"/>
    <s v="SEKRETARIAT BADAN RISET DAN SUMBERDAYA MANUSIA KELAUTAN DAN PERIKANAN"/>
    <n v="0"/>
    <n v="0"/>
    <n v="20000000"/>
    <n v="100"/>
    <s v="WA.4345.EBC.996.301.C.521219"/>
    <s v="Non COVID"/>
    <s v="NON OPS LAINNYA"/>
    <s v="Belanja Barang Non Operasional"/>
  </r>
  <r>
    <s v="032"/>
    <s v="12"/>
    <s v="WA"/>
    <x v="1"/>
    <s v="4345"/>
    <x v="2"/>
    <s v="EBC"/>
    <s v="4345.EAM. Layanan Manajemen SDM Internal"/>
    <n v="996"/>
    <x v="9"/>
    <n v="301"/>
    <x v="13"/>
    <s v="C"/>
    <x v="38"/>
    <n v="524211"/>
    <x v="16"/>
    <x v="94"/>
    <n v="142041000"/>
    <n v="0"/>
    <n v="0"/>
    <n v="0"/>
    <n v="0"/>
    <n v="0"/>
    <n v="0"/>
    <n v="0"/>
    <n v="0"/>
    <n v="0"/>
    <n v="0"/>
    <n v="0"/>
    <n v="0"/>
    <x v="0"/>
    <x v="3"/>
    <x v="5"/>
    <s v="52"/>
    <s v="SEKRETARIAT BADAN RISET DAN SUMBERDAYA MANUSIA KELAUTAN DAN PERIKANAN"/>
    <n v="0"/>
    <n v="0"/>
    <n v="142041000"/>
    <n v="100"/>
    <s v="WA.4345.EBC.996.301.C.524211"/>
    <s v="Non COVID"/>
    <s v="PERJALANAN DINAS"/>
    <s v="Belanja Barang Non Operasional"/>
  </r>
  <r>
    <s v="032"/>
    <s v="12"/>
    <s v="WA"/>
    <x v="1"/>
    <s v="4345"/>
    <x v="2"/>
    <s v="EBC"/>
    <s v="4345.EAM. Layanan Manajemen SDM Internal"/>
    <n v="996"/>
    <x v="9"/>
    <n v="301"/>
    <x v="13"/>
    <s v="D"/>
    <x v="39"/>
    <n v="522192"/>
    <x v="5"/>
    <x v="30"/>
    <n v="30000000"/>
    <n v="0"/>
    <n v="0"/>
    <n v="0"/>
    <n v="0"/>
    <n v="0"/>
    <n v="0"/>
    <n v="0"/>
    <n v="0"/>
    <n v="0"/>
    <n v="0"/>
    <n v="0"/>
    <n v="0"/>
    <x v="0"/>
    <x v="3"/>
    <x v="5"/>
    <s v="52"/>
    <s v="SEKRETARIAT BADAN RISET DAN SUMBERDAYA MANUSIA KELAUTAN DAN PERIKANAN"/>
    <n v="0"/>
    <n v="0"/>
    <n v="0"/>
    <n v="0"/>
    <s v="WA.4345.EBC.996.301.D.522192"/>
    <s v="COVID"/>
    <s v="BELANJA JASA"/>
    <s v="Belanja Barang Non Operasional"/>
  </r>
  <r>
    <s v="032"/>
    <s v="12"/>
    <s v="WA"/>
    <x v="1"/>
    <s v="4345"/>
    <x v="2"/>
    <s v="EBC"/>
    <s v="4345.EAM. Layanan Manajemen SDM Internal"/>
    <n v="996"/>
    <x v="9"/>
    <n v="302"/>
    <x v="14"/>
    <s v="A"/>
    <x v="40"/>
    <n v="521211"/>
    <x v="0"/>
    <x v="89"/>
    <n v="25000000"/>
    <n v="0"/>
    <n v="0"/>
    <n v="0"/>
    <n v="0"/>
    <n v="2961000"/>
    <n v="0"/>
    <n v="0"/>
    <n v="0"/>
    <n v="0"/>
    <n v="0"/>
    <n v="0"/>
    <n v="0"/>
    <x v="0"/>
    <x v="3"/>
    <x v="5"/>
    <s v="52"/>
    <s v="SEKRETARIAT BADAN RISET DAN SUMBERDAYA MANUSIA KELAUTAN DAN PERIKANAN"/>
    <n v="2961000"/>
    <n v="11.844000000000001"/>
    <n v="22039000"/>
    <n v="88.156000000000006"/>
    <s v="WA.4345.EBC.996.302.A.521211"/>
    <s v="Non COVID"/>
    <s v="BELANJA BAHAN"/>
    <s v="Belanja Barang Non Operasional"/>
  </r>
  <r>
    <s v="032"/>
    <s v="12"/>
    <s v="WA"/>
    <x v="1"/>
    <s v="4345"/>
    <x v="2"/>
    <s v="EBC"/>
    <s v="4345.EAM. Layanan Manajemen SDM Internal"/>
    <n v="996"/>
    <x v="9"/>
    <n v="302"/>
    <x v="14"/>
    <s v="A"/>
    <x v="40"/>
    <n v="521811"/>
    <x v="4"/>
    <x v="10"/>
    <n v="30000000"/>
    <n v="0"/>
    <n v="0"/>
    <n v="0"/>
    <n v="0"/>
    <n v="4845000"/>
    <n v="0"/>
    <n v="0"/>
    <n v="0"/>
    <n v="0"/>
    <n v="0"/>
    <n v="0"/>
    <n v="0"/>
    <x v="0"/>
    <x v="3"/>
    <x v="5"/>
    <s v="52"/>
    <s v="SEKRETARIAT BADAN RISET DAN SUMBERDAYA MANUSIA KELAUTAN DAN PERIKANAN"/>
    <n v="4845000"/>
    <n v="16.150000000000002"/>
    <n v="25155000"/>
    <n v="83.850000000000009"/>
    <s v="WA.4345.EBC.996.302.A.521811"/>
    <s v="Non COVID"/>
    <s v="BELANJA PERSEDIAAN"/>
    <s v="Belanja Barang Non Operasional"/>
  </r>
  <r>
    <s v="032"/>
    <s v="12"/>
    <s v="WA"/>
    <x v="1"/>
    <s v="4345"/>
    <x v="2"/>
    <s v="EBC"/>
    <s v="4345.EAM. Layanan Manajemen SDM Internal"/>
    <n v="996"/>
    <x v="9"/>
    <n v="302"/>
    <x v="14"/>
    <s v="A"/>
    <x v="40"/>
    <n v="524111"/>
    <x v="2"/>
    <x v="95"/>
    <n v="54200000"/>
    <n v="0"/>
    <n v="0"/>
    <n v="0"/>
    <n v="0"/>
    <n v="0"/>
    <n v="0"/>
    <n v="0"/>
    <n v="0"/>
    <n v="0"/>
    <n v="0"/>
    <n v="0"/>
    <n v="0"/>
    <x v="0"/>
    <x v="3"/>
    <x v="5"/>
    <s v="52"/>
    <s v="SEKRETARIAT BADAN RISET DAN SUMBERDAYA MANUSIA KELAUTAN DAN PERIKANAN"/>
    <n v="0"/>
    <n v="0"/>
    <n v="54200000"/>
    <n v="100"/>
    <s v="WA.4345.EBC.996.302.A.524111"/>
    <s v="Non COVID"/>
    <s v="PERJALANAN DINAS"/>
    <s v="Belanja Barang Non Operasion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2"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22" firstHeaderRow="0" firstDataRow="1" firstDataCol="1"/>
  <pivotFields count="45">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1">
        <item x="0"/>
        <item x="1"/>
        <item x="2"/>
        <item x="3"/>
        <item x="4"/>
        <item x="5"/>
        <item x="6"/>
        <item x="7"/>
        <item x="8"/>
        <item x="9"/>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2">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dataField="1" showAll="0">
      <items count="97">
        <item h="1" x="30"/>
        <item x="21"/>
        <item x="33"/>
        <item x="65"/>
        <item x="50"/>
        <item x="13"/>
        <item x="44"/>
        <item x="18"/>
        <item x="34"/>
        <item x="39"/>
        <item x="37"/>
        <item x="4"/>
        <item x="45"/>
        <item x="47"/>
        <item x="84"/>
        <item x="15"/>
        <item x="66"/>
        <item x="81"/>
        <item x="9"/>
        <item x="22"/>
        <item x="80"/>
        <item x="79"/>
        <item x="25"/>
        <item x="51"/>
        <item x="48"/>
        <item x="26"/>
        <item x="67"/>
        <item x="29"/>
        <item x="49"/>
        <item x="32"/>
        <item x="40"/>
        <item x="74"/>
        <item x="24"/>
        <item x="82"/>
        <item x="16"/>
        <item x="17"/>
        <item x="5"/>
        <item x="70"/>
        <item x="53"/>
        <item x="76"/>
        <item x="38"/>
        <item x="78"/>
        <item x="73"/>
        <item x="3"/>
        <item x="0"/>
        <item x="1"/>
        <item x="83"/>
        <item x="20"/>
        <item x="69"/>
        <item x="6"/>
        <item x="46"/>
        <item x="23"/>
        <item x="72"/>
        <item x="89"/>
        <item x="56"/>
        <item x="11"/>
        <item x="85"/>
        <item x="54"/>
        <item x="10"/>
        <item x="77"/>
        <item x="7"/>
        <item x="36"/>
        <item x="61"/>
        <item x="42"/>
        <item x="55"/>
        <item x="71"/>
        <item x="2"/>
        <item x="68"/>
        <item x="41"/>
        <item x="95"/>
        <item x="63"/>
        <item x="75"/>
        <item x="52"/>
        <item x="8"/>
        <item x="14"/>
        <item x="86"/>
        <item x="43"/>
        <item x="31"/>
        <item x="27"/>
        <item x="87"/>
        <item x="62"/>
        <item x="90"/>
        <item x="28"/>
        <item x="59"/>
        <item x="91"/>
        <item x="19"/>
        <item x="94"/>
        <item x="58"/>
        <item x="93"/>
        <item x="12"/>
        <item x="35"/>
        <item x="60"/>
        <item x="64"/>
        <item x="57"/>
        <item x="88"/>
        <item x="92"/>
        <item t="default"/>
      </items>
    </pivotField>
    <pivotField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dataField="1"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s>
  <rowFields count="9">
    <field x="30"/>
    <field x="3"/>
    <field x="5"/>
    <field x="31"/>
    <field x="32"/>
    <field x="9"/>
    <field x="11"/>
    <field x="13"/>
    <field x="15"/>
  </rowFields>
  <rowItems count="217">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0"/>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13"/>
    </i>
    <i r="3">
      <x v="1"/>
    </i>
    <i r="4">
      <x v="4"/>
    </i>
    <i r="5">
      <x v="3"/>
    </i>
    <i r="6">
      <x v="10"/>
    </i>
    <i r="7">
      <x v="33"/>
    </i>
    <i r="8">
      <x v="3"/>
    </i>
    <i r="8">
      <x v="4"/>
    </i>
    <i r="8">
      <x v="8"/>
    </i>
    <i r="8">
      <x v="13"/>
    </i>
    <i r="4">
      <x v="6"/>
    </i>
    <i r="5">
      <x v="3"/>
    </i>
    <i r="6">
      <x v="10"/>
    </i>
    <i r="7">
      <x v="40"/>
    </i>
    <i r="8">
      <x v="3"/>
    </i>
    <i r="8">
      <x v="4"/>
    </i>
    <i r="8">
      <x v="8"/>
    </i>
    <i r="8">
      <x v="13"/>
    </i>
    <i r="3">
      <x v="2"/>
    </i>
    <i r="4">
      <x/>
    </i>
    <i r="5">
      <x v="7"/>
    </i>
    <i r="6">
      <x v="8"/>
    </i>
    <i r="7">
      <x v="7"/>
    </i>
    <i r="8">
      <x v="3"/>
    </i>
    <i r="8">
      <x v="4"/>
    </i>
    <i r="8">
      <x v="13"/>
    </i>
    <i r="7">
      <x v="14"/>
    </i>
    <i r="8">
      <x v="3"/>
    </i>
    <i r="8">
      <x v="4"/>
    </i>
    <i r="8">
      <x v="13"/>
    </i>
    <i r="6">
      <x v="13"/>
    </i>
    <i r="7">
      <x v="10"/>
    </i>
    <i r="8">
      <x v="3"/>
    </i>
    <i r="8">
      <x v="4"/>
    </i>
    <i r="8">
      <x v="13"/>
    </i>
    <i r="4">
      <x v="5"/>
    </i>
    <i r="5">
      <x v="2"/>
    </i>
    <i r="6">
      <x v="14"/>
    </i>
    <i r="7">
      <x v="6"/>
    </i>
    <i r="8">
      <x v="3"/>
    </i>
    <i r="8">
      <x v="6"/>
    </i>
    <i r="8">
      <x v="13"/>
    </i>
    <i r="5">
      <x v="6"/>
    </i>
    <i r="6">
      <x v="9"/>
    </i>
    <i r="7">
      <x v="11"/>
    </i>
    <i r="8">
      <x v="3"/>
    </i>
    <i r="8">
      <x v="4"/>
    </i>
    <i r="8">
      <x v="6"/>
    </i>
    <i r="8">
      <x v="13"/>
    </i>
    <i r="7">
      <x v="20"/>
    </i>
    <i r="8">
      <x v="3"/>
    </i>
    <i r="8">
      <x v="4"/>
    </i>
    <i r="8">
      <x v="6"/>
    </i>
    <i r="8">
      <x v="13"/>
    </i>
    <i r="7">
      <x v="21"/>
    </i>
    <i r="8">
      <x v="3"/>
    </i>
    <i r="8">
      <x v="6"/>
    </i>
    <i r="8">
      <x v="13"/>
    </i>
    <i r="3">
      <x v="3"/>
    </i>
    <i r="4">
      <x v="3"/>
    </i>
    <i r="5">
      <x v="8"/>
    </i>
    <i r="6">
      <x v="7"/>
    </i>
    <i r="7">
      <x v="12"/>
    </i>
    <i r="8">
      <x v="3"/>
    </i>
    <i r="8">
      <x v="13"/>
    </i>
    <i r="7">
      <x v="19"/>
    </i>
    <i r="8">
      <x v="3"/>
    </i>
    <i r="8">
      <x v="13"/>
    </i>
    <i r="7">
      <x v="24"/>
    </i>
    <i r="8">
      <x v="3"/>
    </i>
    <i r="7">
      <x v="27"/>
    </i>
    <i r="8">
      <x v="3"/>
    </i>
    <i r="8">
      <x v="13"/>
    </i>
    <i r="7">
      <x v="30"/>
    </i>
    <i r="8">
      <x v="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7">
      <x v="29"/>
    </i>
    <i r="8">
      <x v="3"/>
    </i>
    <i r="8">
      <x v="5"/>
    </i>
    <i r="8">
      <x v="9"/>
    </i>
    <i r="8">
      <x v="10"/>
    </i>
    <i r="8">
      <x v="13"/>
    </i>
    <i r="5">
      <x v="4"/>
    </i>
    <i r="6">
      <x v="15"/>
    </i>
    <i r="7">
      <x v="34"/>
    </i>
    <i r="8">
      <x/>
    </i>
    <i r="8">
      <x v="6"/>
    </i>
    <i r="7">
      <x v="35"/>
    </i>
    <i r="8">
      <x v="1"/>
    </i>
    <i r="8">
      <x v="7"/>
    </i>
    <i r="7">
      <x v="36"/>
    </i>
    <i r="8">
      <x v="11"/>
    </i>
    <i r="8">
      <x v="12"/>
    </i>
    <i r="7">
      <x v="37"/>
    </i>
    <i r="8">
      <x/>
    </i>
    <i r="8">
      <x v="2"/>
    </i>
    <i r="5">
      <x v="5"/>
    </i>
    <i r="6">
      <x v="6"/>
    </i>
    <i r="7">
      <x v="5"/>
    </i>
    <i r="8">
      <x v="16"/>
    </i>
    <i r="2">
      <x v="2"/>
    </i>
    <i r="3">
      <x v="2"/>
    </i>
    <i r="4">
      <x v="5"/>
    </i>
    <i r="5">
      <x v="9"/>
    </i>
    <i r="6">
      <x v="5"/>
    </i>
    <i r="7">
      <x v="13"/>
    </i>
    <i r="8">
      <x v="3"/>
    </i>
    <i r="8">
      <x v="4"/>
    </i>
    <i r="8">
      <x v="6"/>
    </i>
    <i r="8">
      <x v="8"/>
    </i>
    <i r="8">
      <x v="9"/>
    </i>
    <i r="8">
      <x v="13"/>
    </i>
    <i r="7">
      <x v="15"/>
    </i>
    <i r="8">
      <x v="3"/>
    </i>
    <i r="8">
      <x v="4"/>
    </i>
    <i r="8">
      <x v="6"/>
    </i>
    <i r="8">
      <x v="8"/>
    </i>
    <i r="8">
      <x v="13"/>
    </i>
    <i r="7">
      <x v="25"/>
    </i>
    <i r="8">
      <x v="3"/>
    </i>
    <i r="8">
      <x v="4"/>
    </i>
    <i r="8">
      <x v="15"/>
    </i>
    <i r="6">
      <x v="12"/>
    </i>
    <i r="7">
      <x v="1"/>
    </i>
    <i r="8">
      <x v="3"/>
    </i>
    <i r="8">
      <x v="6"/>
    </i>
    <i r="8">
      <x v="13"/>
    </i>
    <i t="grand">
      <x/>
    </i>
  </rowItems>
  <colFields count="1">
    <field x="-2"/>
  </colFields>
  <colItems count="5">
    <i>
      <x/>
    </i>
    <i i="1">
      <x v="1"/>
    </i>
    <i i="2">
      <x v="2"/>
    </i>
    <i i="3">
      <x v="3"/>
    </i>
    <i i="4">
      <x v="4"/>
    </i>
  </colItems>
  <dataFields count="5">
    <dataField name="Pagu " fld="16" baseField="0" baseItem="0" numFmtId="41"/>
    <dataField name="Realisasi " fld="35" baseField="0" baseItem="0" numFmtId="41"/>
    <dataField name="Real % " fld="44" baseField="0" baseItem="0" numFmtId="2"/>
    <dataField name="Sisa " fld="37" baseField="0" baseItem="0" numFmtId="41"/>
    <dataField name="Sisa % " fld="43" baseField="0" baseItem="0" numFmtId="2"/>
  </dataFields>
  <formats count="488">
    <format dxfId="0">
      <pivotArea outline="0" collapsedLevelsAreSubtotals="1" fieldPosition="0">
        <references count="1">
          <reference field="4294967294" count="1" selected="0">
            <x v="2"/>
          </reference>
        </references>
      </pivotArea>
    </format>
    <format dxfId="1">
      <pivotArea outline="0" collapsedLevelsAreSubtotals="1" fieldPosition="0">
        <references count="1">
          <reference field="4294967294" count="1" selected="0">
            <x v="4"/>
          </reference>
        </references>
      </pivotArea>
    </format>
    <format dxfId="2">
      <pivotArea outline="0" collapsedLevelsAreSubtotals="1" fieldPosition="0">
        <references count="1">
          <reference field="4294967294" count="1" selected="0">
            <x v="3"/>
          </reference>
        </references>
      </pivotArea>
    </format>
    <format dxfId="3">
      <pivotArea outline="0" collapsedLevelsAreSubtotals="1" fieldPosition="0">
        <references count="1">
          <reference field="4294967294" count="1" selected="0">
            <x v="1"/>
          </reference>
        </references>
      </pivotArea>
    </format>
    <format dxfId="4">
      <pivotArea outline="0" collapsedLevelsAreSubtotals="1" fieldPosition="0">
        <references count="1">
          <reference field="4294967294" count="1" selected="0">
            <x v="0"/>
          </reference>
        </references>
      </pivotArea>
    </format>
    <format dxfId="5">
      <pivotArea dataOnly="0" labelOnly="1" fieldPosition="0">
        <references count="1">
          <reference field="3" count="0"/>
        </references>
      </pivotArea>
    </format>
    <format dxfId="6">
      <pivotArea dataOnly="0" labelOnly="1" fieldPosition="0">
        <references count="1">
          <reference field="5" count="0"/>
        </references>
      </pivotArea>
    </format>
    <format dxfId="7">
      <pivotArea dataOnly="0" labelOnly="1" fieldPosition="0">
        <references count="1">
          <reference field="9" count="0"/>
        </references>
      </pivotArea>
    </format>
    <format dxfId="8">
      <pivotArea dataOnly="0" labelOnly="1" fieldPosition="0">
        <references count="1">
          <reference field="11" count="0"/>
        </references>
      </pivotArea>
    </format>
    <format dxfId="9">
      <pivotArea dataOnly="0" labelOnly="1" fieldPosition="0">
        <references count="1">
          <reference field="13" count="0"/>
        </references>
      </pivotArea>
    </format>
    <format dxfId="10">
      <pivotArea dataOnly="0" labelOnly="1" outline="0" fieldPosition="0">
        <references count="1">
          <reference field="4294967294" count="5">
            <x v="0"/>
            <x v="1"/>
            <x v="2"/>
            <x v="3"/>
            <x v="4"/>
          </reference>
        </references>
      </pivotArea>
    </format>
    <format dxfId="11">
      <pivotArea type="all" dataOnly="0" outline="0" fieldPosition="0"/>
    </format>
    <format dxfId="12">
      <pivotArea outline="0" collapsedLevelsAreSubtotals="1" fieldPosition="0"/>
    </format>
    <format dxfId="13">
      <pivotArea field="3" type="button" dataOnly="0" labelOnly="1" outline="0" axis="axisRow" fieldPosition="1"/>
    </format>
    <format dxfId="14">
      <pivotArea dataOnly="0" labelOnly="1" fieldPosition="0">
        <references count="1">
          <reference field="3" count="0"/>
        </references>
      </pivotArea>
    </format>
    <format dxfId="15">
      <pivotArea dataOnly="0" labelOnly="1" grandRow="1" outline="0" fieldPosition="0"/>
    </format>
    <format dxfId="16">
      <pivotArea dataOnly="0" labelOnly="1" fieldPosition="0">
        <references count="2">
          <reference field="3" count="1" selected="0">
            <x v="0"/>
          </reference>
          <reference field="5" count="1">
            <x v="0"/>
          </reference>
        </references>
      </pivotArea>
    </format>
    <format dxfId="17">
      <pivotArea dataOnly="0" labelOnly="1" fieldPosition="0">
        <references count="2">
          <reference field="3" count="1" selected="0">
            <x v="1"/>
          </reference>
          <reference field="5" count="2">
            <x v="1"/>
            <x v="2"/>
          </reference>
        </references>
      </pivotArea>
    </format>
    <format dxfId="18">
      <pivotArea dataOnly="0" labelOnly="1" fieldPosition="0">
        <references count="3">
          <reference field="3" count="1" selected="0">
            <x v="0"/>
          </reference>
          <reference field="5" count="1" selected="0">
            <x v="0"/>
          </reference>
          <reference field="9" count="1">
            <x v="0"/>
          </reference>
        </references>
      </pivotArea>
    </format>
    <format dxfId="19">
      <pivotArea dataOnly="0" labelOnly="1" fieldPosition="0">
        <references count="3">
          <reference field="3" count="1" selected="0">
            <x v="1"/>
          </reference>
          <reference field="5" count="1" selected="0">
            <x v="1"/>
          </reference>
          <reference field="9" count="8">
            <x v="1"/>
            <x v="2"/>
            <x v="3"/>
            <x v="4"/>
            <x v="5"/>
            <x v="6"/>
            <x v="7"/>
            <x v="8"/>
          </reference>
        </references>
      </pivotArea>
    </format>
    <format dxfId="20">
      <pivotArea dataOnly="0" labelOnly="1" fieldPosition="0">
        <references count="3">
          <reference field="3" count="1" selected="0">
            <x v="1"/>
          </reference>
          <reference field="5" count="1" selected="0">
            <x v="2"/>
          </reference>
          <reference field="9" count="1">
            <x v="9"/>
          </reference>
        </references>
      </pivotArea>
    </format>
    <format dxfId="21">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22">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23">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24">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25">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26">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27">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28">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29">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30">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31">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32">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33">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34">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35">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36">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37">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38">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39">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40">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41">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42">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43">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44">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45">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46">
      <pivotArea dataOnly="0" labelOnly="1" outline="0" fieldPosition="0">
        <references count="1">
          <reference field="4294967294" count="5">
            <x v="0"/>
            <x v="1"/>
            <x v="2"/>
            <x v="3"/>
            <x v="4"/>
          </reference>
        </references>
      </pivotArea>
    </format>
    <format dxfId="47">
      <pivotArea type="all" dataOnly="0" outline="0" fieldPosition="0"/>
    </format>
    <format dxfId="48">
      <pivotArea outline="0" collapsedLevelsAreSubtotals="1" fieldPosition="0"/>
    </format>
    <format dxfId="49">
      <pivotArea field="3" type="button" dataOnly="0" labelOnly="1" outline="0" axis="axisRow" fieldPosition="1"/>
    </format>
    <format dxfId="50">
      <pivotArea dataOnly="0" labelOnly="1" fieldPosition="0">
        <references count="1">
          <reference field="3" count="0"/>
        </references>
      </pivotArea>
    </format>
    <format dxfId="51">
      <pivotArea dataOnly="0" labelOnly="1" grandRow="1" outline="0" fieldPosition="0"/>
    </format>
    <format dxfId="52">
      <pivotArea dataOnly="0" labelOnly="1" fieldPosition="0">
        <references count="2">
          <reference field="3" count="1" selected="0">
            <x v="0"/>
          </reference>
          <reference field="5" count="1">
            <x v="0"/>
          </reference>
        </references>
      </pivotArea>
    </format>
    <format dxfId="53">
      <pivotArea dataOnly="0" labelOnly="1" fieldPosition="0">
        <references count="2">
          <reference field="3" count="1" selected="0">
            <x v="1"/>
          </reference>
          <reference field="5" count="2">
            <x v="1"/>
            <x v="2"/>
          </reference>
        </references>
      </pivotArea>
    </format>
    <format dxfId="54">
      <pivotArea dataOnly="0" labelOnly="1" fieldPosition="0">
        <references count="3">
          <reference field="3" count="1" selected="0">
            <x v="0"/>
          </reference>
          <reference field="5" count="1" selected="0">
            <x v="0"/>
          </reference>
          <reference field="9" count="1">
            <x v="0"/>
          </reference>
        </references>
      </pivotArea>
    </format>
    <format dxfId="55">
      <pivotArea dataOnly="0" labelOnly="1" fieldPosition="0">
        <references count="3">
          <reference field="3" count="1" selected="0">
            <x v="1"/>
          </reference>
          <reference field="5" count="1" selected="0">
            <x v="1"/>
          </reference>
          <reference field="9" count="8">
            <x v="1"/>
            <x v="2"/>
            <x v="3"/>
            <x v="4"/>
            <x v="5"/>
            <x v="6"/>
            <x v="7"/>
            <x v="8"/>
          </reference>
        </references>
      </pivotArea>
    </format>
    <format dxfId="56">
      <pivotArea dataOnly="0" labelOnly="1" fieldPosition="0">
        <references count="3">
          <reference field="3" count="1" selected="0">
            <x v="1"/>
          </reference>
          <reference field="5" count="1" selected="0">
            <x v="2"/>
          </reference>
          <reference field="9" count="1">
            <x v="9"/>
          </reference>
        </references>
      </pivotArea>
    </format>
    <format dxfId="57">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58">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59">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60">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61">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62">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63">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64">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65">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66">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67">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68">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69">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70">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71">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72">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73">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74">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75">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76">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77">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78">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79">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80">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81">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82">
      <pivotArea dataOnly="0" labelOnly="1" outline="0" fieldPosition="0">
        <references count="1">
          <reference field="4294967294" count="5">
            <x v="0"/>
            <x v="1"/>
            <x v="2"/>
            <x v="3"/>
            <x v="4"/>
          </reference>
        </references>
      </pivotArea>
    </format>
    <format dxfId="83">
      <pivotArea collapsedLevelsAreSubtotals="1" fieldPosition="0">
        <references count="1">
          <reference field="3" count="1">
            <x v="0"/>
          </reference>
        </references>
      </pivotArea>
    </format>
    <format dxfId="84">
      <pivotArea collapsedLevelsAreSubtotals="1" fieldPosition="0">
        <references count="1">
          <reference field="3" count="1">
            <x v="1"/>
          </reference>
        </references>
      </pivotArea>
    </format>
    <format dxfId="85">
      <pivotArea collapsedLevelsAreSubtotals="1" fieldPosition="0">
        <references count="3">
          <reference field="3" count="1" selected="0">
            <x v="0"/>
          </reference>
          <reference field="5" count="1" selected="0">
            <x v="0"/>
          </reference>
          <reference field="9" count="1">
            <x v="0"/>
          </reference>
        </references>
      </pivotArea>
    </format>
    <format dxfId="86">
      <pivotArea collapsedLevelsAreSubtotals="1" fieldPosition="0">
        <references count="3">
          <reference field="3" count="1" selected="0">
            <x v="1"/>
          </reference>
          <reference field="5" count="1" selected="0">
            <x v="1"/>
          </reference>
          <reference field="9" count="1">
            <x v="1"/>
          </reference>
        </references>
      </pivotArea>
    </format>
    <format dxfId="87">
      <pivotArea collapsedLevelsAreSubtotals="1" fieldPosition="0">
        <references count="3">
          <reference field="3" count="1" selected="0">
            <x v="1"/>
          </reference>
          <reference field="5" count="1" selected="0">
            <x v="1"/>
          </reference>
          <reference field="9" count="1">
            <x v="2"/>
          </reference>
        </references>
      </pivotArea>
    </format>
    <format dxfId="88">
      <pivotArea collapsedLevelsAreSubtotals="1" fieldPosition="0">
        <references count="3">
          <reference field="3" count="1" selected="0">
            <x v="1"/>
          </reference>
          <reference field="5" count="1" selected="0">
            <x v="1"/>
          </reference>
          <reference field="9" count="1">
            <x v="3"/>
          </reference>
        </references>
      </pivotArea>
    </format>
    <format dxfId="89">
      <pivotArea collapsedLevelsAreSubtotals="1" fieldPosition="0">
        <references count="3">
          <reference field="3" count="1" selected="0">
            <x v="1"/>
          </reference>
          <reference field="5" count="1" selected="0">
            <x v="1"/>
          </reference>
          <reference field="9" count="1">
            <x v="4"/>
          </reference>
        </references>
      </pivotArea>
    </format>
    <format dxfId="90">
      <pivotArea collapsedLevelsAreSubtotals="1" fieldPosition="0">
        <references count="3">
          <reference field="3" count="1" selected="0">
            <x v="1"/>
          </reference>
          <reference field="5" count="1" selected="0">
            <x v="1"/>
          </reference>
          <reference field="9" count="1">
            <x v="5"/>
          </reference>
        </references>
      </pivotArea>
    </format>
    <format dxfId="91">
      <pivotArea collapsedLevelsAreSubtotals="1" fieldPosition="0">
        <references count="3">
          <reference field="3" count="1" selected="0">
            <x v="1"/>
          </reference>
          <reference field="5" count="1" selected="0">
            <x v="1"/>
          </reference>
          <reference field="9" count="1">
            <x v="6"/>
          </reference>
        </references>
      </pivotArea>
    </format>
    <format dxfId="92">
      <pivotArea collapsedLevelsAreSubtotals="1" fieldPosition="0">
        <references count="3">
          <reference field="3" count="1" selected="0">
            <x v="1"/>
          </reference>
          <reference field="5" count="1" selected="0">
            <x v="1"/>
          </reference>
          <reference field="9" count="1">
            <x v="7"/>
          </reference>
        </references>
      </pivotArea>
    </format>
    <format dxfId="93">
      <pivotArea collapsedLevelsAreSubtotals="1" fieldPosition="0">
        <references count="3">
          <reference field="3" count="1" selected="0">
            <x v="1"/>
          </reference>
          <reference field="5" count="1" selected="0">
            <x v="1"/>
          </reference>
          <reference field="9" count="1">
            <x v="8"/>
          </reference>
        </references>
      </pivotArea>
    </format>
    <format dxfId="94">
      <pivotArea collapsedLevelsAreSubtotals="1" fieldPosition="0">
        <references count="3">
          <reference field="3" count="1" selected="0">
            <x v="1"/>
          </reference>
          <reference field="5" count="1" selected="0">
            <x v="2"/>
          </reference>
          <reference field="9" count="1">
            <x v="9"/>
          </reference>
        </references>
      </pivotArea>
    </format>
    <format dxfId="95">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96">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97">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98">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99">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100">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101">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102">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103">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104">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105">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106">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107">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108">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109">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110">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111">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112">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13">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114">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115">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116">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17">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18">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19">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12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12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122">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123">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124">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125">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126">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127">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128">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129">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130">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131">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132">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133">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34">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135">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136">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137">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138">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139">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40">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141">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142">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143">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144">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145">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146">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147">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148">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149">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150">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51">
      <pivotArea collapsedLevelsAreSubtotals="1" fieldPosition="0">
        <references count="2">
          <reference field="3" count="1" selected="0">
            <x v="1"/>
          </reference>
          <reference field="5" count="1">
            <x v="1"/>
          </reference>
        </references>
      </pivotArea>
    </format>
    <format dxfId="152">
      <pivotArea field="3" type="button" dataOnly="0" labelOnly="1" outline="0" axis="axisRow" fieldPosition="1"/>
    </format>
    <format dxfId="153">
      <pivotArea collapsedLevelsAreSubtotals="1" fieldPosition="0">
        <references count="2">
          <reference field="3" count="1" selected="0">
            <x v="1"/>
          </reference>
          <reference field="5" count="1">
            <x v="2"/>
          </reference>
        </references>
      </pivotArea>
    </format>
    <format dxfId="154">
      <pivotArea collapsedLevelsAreSubtotals="1" fieldPosition="0">
        <references count="2">
          <reference field="3" count="1" selected="0">
            <x v="0"/>
          </reference>
          <reference field="5" count="1">
            <x v="0"/>
          </reference>
        </references>
      </pivotArea>
    </format>
    <format dxfId="155">
      <pivotArea field="3" type="button" dataOnly="0" labelOnly="1" outline="0" axis="axisRow" fieldPosition="1"/>
    </format>
    <format dxfId="156">
      <pivotArea dataOnly="0" labelOnly="1" outline="0" fieldPosition="0">
        <references count="1">
          <reference field="4294967294" count="5">
            <x v="0"/>
            <x v="1"/>
            <x v="2"/>
            <x v="3"/>
            <x v="4"/>
          </reference>
        </references>
      </pivotArea>
    </format>
    <format dxfId="157">
      <pivotArea field="3" type="button" dataOnly="0" labelOnly="1" outline="0" axis="axisRow" fieldPosition="1"/>
    </format>
    <format dxfId="158">
      <pivotArea dataOnly="0" labelOnly="1" outline="0" fieldPosition="0">
        <references count="1">
          <reference field="4294967294" count="5">
            <x v="0"/>
            <x v="1"/>
            <x v="2"/>
            <x v="3"/>
            <x v="4"/>
          </reference>
        </references>
      </pivotArea>
    </format>
    <format dxfId="159">
      <pivotArea field="3" type="button" dataOnly="0" labelOnly="1" outline="0" axis="axisRow" fieldPosition="1"/>
    </format>
    <format dxfId="160">
      <pivotArea dataOnly="0" labelOnly="1" fieldPosition="0">
        <references count="1">
          <reference field="3" count="0"/>
        </references>
      </pivotArea>
    </format>
    <format dxfId="161">
      <pivotArea dataOnly="0" labelOnly="1" grandRow="1" outline="0" fieldPosition="0"/>
    </format>
    <format dxfId="162">
      <pivotArea dataOnly="0" labelOnly="1" fieldPosition="0">
        <references count="2">
          <reference field="3" count="1" selected="0">
            <x v="0"/>
          </reference>
          <reference field="5" count="1">
            <x v="0"/>
          </reference>
        </references>
      </pivotArea>
    </format>
    <format dxfId="163">
      <pivotArea dataOnly="0" labelOnly="1" fieldPosition="0">
        <references count="2">
          <reference field="3" count="1" selected="0">
            <x v="1"/>
          </reference>
          <reference field="5" count="2">
            <x v="1"/>
            <x v="2"/>
          </reference>
        </references>
      </pivotArea>
    </format>
    <format dxfId="164">
      <pivotArea dataOnly="0" labelOnly="1" fieldPosition="0">
        <references count="3">
          <reference field="3" count="1" selected="0">
            <x v="0"/>
          </reference>
          <reference field="5" count="1" selected="0">
            <x v="0"/>
          </reference>
          <reference field="9" count="1">
            <x v="0"/>
          </reference>
        </references>
      </pivotArea>
    </format>
    <format dxfId="165">
      <pivotArea dataOnly="0" labelOnly="1" fieldPosition="0">
        <references count="3">
          <reference field="3" count="1" selected="0">
            <x v="1"/>
          </reference>
          <reference field="5" count="1" selected="0">
            <x v="1"/>
          </reference>
          <reference field="9" count="8">
            <x v="1"/>
            <x v="2"/>
            <x v="3"/>
            <x v="4"/>
            <x v="5"/>
            <x v="6"/>
            <x v="7"/>
            <x v="8"/>
          </reference>
        </references>
      </pivotArea>
    </format>
    <format dxfId="166">
      <pivotArea dataOnly="0" labelOnly="1" fieldPosition="0">
        <references count="3">
          <reference field="3" count="1" selected="0">
            <x v="1"/>
          </reference>
          <reference field="5" count="1" selected="0">
            <x v="2"/>
          </reference>
          <reference field="9" count="1">
            <x v="9"/>
          </reference>
        </references>
      </pivotArea>
    </format>
    <format dxfId="167">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68">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69">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70">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71">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72">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73">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74">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75">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76">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77">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78">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79">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80">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81">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82">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83">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84">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85">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86">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87">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88">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89">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90">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91">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92">
      <pivotArea dataOnly="0" labelOnly="1" fieldPosition="0">
        <references count="1">
          <reference field="13" count="0"/>
        </references>
      </pivotArea>
    </format>
    <format dxfId="193">
      <pivotArea dataOnly="0" labelOnly="1" fieldPosition="0">
        <references count="1">
          <reference field="13" count="0"/>
        </references>
      </pivotArea>
    </format>
    <format dxfId="194">
      <pivotArea type="all" dataOnly="0" outline="0" fieldPosition="0"/>
    </format>
    <format dxfId="195">
      <pivotArea outline="0" collapsedLevelsAreSubtotals="1" fieldPosition="0"/>
    </format>
    <format dxfId="196">
      <pivotArea field="30" type="button" dataOnly="0" labelOnly="1" outline="0" axis="axisRow" fieldPosition="0"/>
    </format>
    <format dxfId="197">
      <pivotArea dataOnly="0" labelOnly="1" grandRow="1" outline="0" fieldPosition="0"/>
    </format>
    <format dxfId="198">
      <pivotArea dataOnly="0" labelOnly="1" fieldPosition="0">
        <references count="2">
          <reference field="3" count="0"/>
          <reference field="30" count="0" selected="0"/>
        </references>
      </pivotArea>
    </format>
    <format dxfId="199">
      <pivotArea dataOnly="0" labelOnly="1" fieldPosition="0">
        <references count="3">
          <reference field="3" count="1" selected="0">
            <x v="0"/>
          </reference>
          <reference field="5" count="1">
            <x v="0"/>
          </reference>
          <reference field="30" count="0" selected="0"/>
        </references>
      </pivotArea>
    </format>
    <format dxfId="200">
      <pivotArea dataOnly="0" labelOnly="1" fieldPosition="0">
        <references count="3">
          <reference field="3" count="1" selected="0">
            <x v="1"/>
          </reference>
          <reference field="5" count="2">
            <x v="1"/>
            <x v="2"/>
          </reference>
          <reference field="30" count="0" selected="0"/>
        </references>
      </pivotArea>
    </format>
    <format dxfId="201">
      <pivotArea dataOnly="0" labelOnly="1" fieldPosition="0">
        <references count="6">
          <reference field="3" count="1" selected="0">
            <x v="0"/>
          </reference>
          <reference field="5" count="1" selected="0">
            <x v="0"/>
          </reference>
          <reference field="9" count="1">
            <x v="0"/>
          </reference>
          <reference field="30" count="0" selected="0"/>
          <reference field="31" count="1" selected="0">
            <x v="0"/>
          </reference>
          <reference field="32" count="1" selected="0">
            <x v="1"/>
          </reference>
        </references>
      </pivotArea>
    </format>
    <format dxfId="202">
      <pivotArea dataOnly="0" labelOnly="1" fieldPosition="0">
        <references count="6">
          <reference field="3" count="1" selected="0">
            <x v="0"/>
          </reference>
          <reference field="5" count="1" selected="0">
            <x v="0"/>
          </reference>
          <reference field="9" count="1">
            <x v="0"/>
          </reference>
          <reference field="30" count="0" selected="0"/>
          <reference field="31" count="1" selected="0">
            <x v="0"/>
          </reference>
          <reference field="32" count="1" selected="0">
            <x v="2"/>
          </reference>
        </references>
      </pivotArea>
    </format>
    <format dxfId="203">
      <pivotArea dataOnly="0" labelOnly="1" fieldPosition="0">
        <references count="6">
          <reference field="3" count="1" selected="0">
            <x v="0"/>
          </reference>
          <reference field="5" count="1" selected="0">
            <x v="0"/>
          </reference>
          <reference field="9" count="1">
            <x v="0"/>
          </reference>
          <reference field="30" count="0" selected="0"/>
          <reference field="31" count="1" selected="0">
            <x v="1"/>
          </reference>
          <reference field="32" count="1" selected="0">
            <x v="4"/>
          </reference>
        </references>
      </pivotArea>
    </format>
    <format dxfId="204">
      <pivotArea dataOnly="0" labelOnly="1" fieldPosition="0">
        <references count="6">
          <reference field="3" count="1" selected="0">
            <x v="0"/>
          </reference>
          <reference field="5" count="1" selected="0">
            <x v="0"/>
          </reference>
          <reference field="9" count="1">
            <x v="0"/>
          </reference>
          <reference field="30" count="0" selected="0"/>
          <reference field="31" count="1" selected="0">
            <x v="1"/>
          </reference>
          <reference field="32" count="1" selected="0">
            <x v="6"/>
          </reference>
        </references>
      </pivotArea>
    </format>
    <format dxfId="205">
      <pivotArea dataOnly="0" labelOnly="1" fieldPosition="0">
        <references count="6">
          <reference field="3" count="1" selected="0">
            <x v="1"/>
          </reference>
          <reference field="5" count="1" selected="0">
            <x v="1"/>
          </reference>
          <reference field="9" count="1">
            <x v="3"/>
          </reference>
          <reference field="30" count="0" selected="0"/>
          <reference field="31" count="1" selected="0">
            <x v="0"/>
          </reference>
          <reference field="32" count="1" selected="0">
            <x v="2"/>
          </reference>
        </references>
      </pivotArea>
    </format>
    <format dxfId="206">
      <pivotArea dataOnly="0" labelOnly="1" fieldPosition="0">
        <references count="6">
          <reference field="3" count="1" selected="0">
            <x v="1"/>
          </reference>
          <reference field="5" count="1" selected="0">
            <x v="1"/>
          </reference>
          <reference field="9" count="1">
            <x v="3"/>
          </reference>
          <reference field="30" count="0" selected="0"/>
          <reference field="31" count="1" selected="0">
            <x v="1"/>
          </reference>
          <reference field="32" count="1" selected="0">
            <x v="4"/>
          </reference>
        </references>
      </pivotArea>
    </format>
    <format dxfId="207">
      <pivotArea dataOnly="0" labelOnly="1" fieldPosition="0">
        <references count="6">
          <reference field="3" count="1" selected="0">
            <x v="1"/>
          </reference>
          <reference field="5" count="1" selected="0">
            <x v="1"/>
          </reference>
          <reference field="9" count="1">
            <x v="3"/>
          </reference>
          <reference field="30" count="0" selected="0"/>
          <reference field="31" count="1" selected="0">
            <x v="1"/>
          </reference>
          <reference field="32" count="1" selected="0">
            <x v="6"/>
          </reference>
        </references>
      </pivotArea>
    </format>
    <format dxfId="208">
      <pivotArea dataOnly="0" labelOnly="1" fieldPosition="0">
        <references count="6">
          <reference field="3" count="1" selected="0">
            <x v="1"/>
          </reference>
          <reference field="5" count="1" selected="0">
            <x v="1"/>
          </reference>
          <reference field="9" count="1">
            <x v="7"/>
          </reference>
          <reference field="30" count="0" selected="0"/>
          <reference field="31" count="1" selected="0">
            <x v="2"/>
          </reference>
          <reference field="32" count="1" selected="0">
            <x v="0"/>
          </reference>
        </references>
      </pivotArea>
    </format>
    <format dxfId="209">
      <pivotArea dataOnly="0" labelOnly="1" fieldPosition="0">
        <references count="6">
          <reference field="3" count="1" selected="0">
            <x v="1"/>
          </reference>
          <reference field="5" count="1" selected="0">
            <x v="1"/>
          </reference>
          <reference field="9" count="2">
            <x v="2"/>
            <x v="6"/>
          </reference>
          <reference field="30" count="0" selected="0"/>
          <reference field="31" count="1" selected="0">
            <x v="2"/>
          </reference>
          <reference field="32" count="1" selected="0">
            <x v="5"/>
          </reference>
        </references>
      </pivotArea>
    </format>
    <format dxfId="210">
      <pivotArea dataOnly="0" labelOnly="1" fieldPosition="0">
        <references count="6">
          <reference field="3" count="1" selected="0">
            <x v="1"/>
          </reference>
          <reference field="5" count="1" selected="0">
            <x v="1"/>
          </reference>
          <reference field="9" count="1">
            <x v="8"/>
          </reference>
          <reference field="30" count="0" selected="0"/>
          <reference field="31" count="1" selected="0">
            <x v="3"/>
          </reference>
          <reference field="32" count="1" selected="0">
            <x v="3"/>
          </reference>
        </references>
      </pivotArea>
    </format>
    <format dxfId="211">
      <pivotArea dataOnly="0" labelOnly="1" fieldPosition="0">
        <references count="6">
          <reference field="3" count="1" selected="0">
            <x v="1"/>
          </reference>
          <reference field="5" count="1" selected="0">
            <x v="1"/>
          </reference>
          <reference field="9" count="4">
            <x v="1"/>
            <x v="3"/>
            <x v="4"/>
            <x v="5"/>
          </reference>
          <reference field="30" count="0" selected="0"/>
          <reference field="31" count="1" selected="0">
            <x v="3"/>
          </reference>
          <reference field="32" count="1" selected="0">
            <x v="7"/>
          </reference>
        </references>
      </pivotArea>
    </format>
    <format dxfId="212">
      <pivotArea dataOnly="0" labelOnly="1" fieldPosition="0">
        <references count="6">
          <reference field="3" count="1" selected="0">
            <x v="1"/>
          </reference>
          <reference field="5" count="1" selected="0">
            <x v="2"/>
          </reference>
          <reference field="9" count="1">
            <x v="9"/>
          </reference>
          <reference field="30" count="0" selected="0"/>
          <reference field="31" count="1" selected="0">
            <x v="2"/>
          </reference>
          <reference field="32" count="1" selected="0">
            <x v="5"/>
          </reference>
        </references>
      </pivotArea>
    </format>
    <format dxfId="213">
      <pivotArea dataOnly="0" labelOnly="1" fieldPosition="0">
        <references count="7">
          <reference field="3" count="1" selected="0">
            <x v="0"/>
          </reference>
          <reference field="5" count="1" selected="0">
            <x v="0"/>
          </reference>
          <reference field="9" count="1" selected="0">
            <x v="0"/>
          </reference>
          <reference field="11" count="1">
            <x v="3"/>
          </reference>
          <reference field="30" count="0" selected="0"/>
          <reference field="31" count="1" selected="0">
            <x v="0"/>
          </reference>
          <reference field="32" count="1" selected="0">
            <x v="1"/>
          </reference>
        </references>
      </pivotArea>
    </format>
    <format dxfId="214">
      <pivotArea dataOnly="0" labelOnly="1" fieldPosition="0">
        <references count="7">
          <reference field="3" count="1" selected="0">
            <x v="0"/>
          </reference>
          <reference field="5" count="1" selected="0">
            <x v="0"/>
          </reference>
          <reference field="9" count="1" selected="0">
            <x v="0"/>
          </reference>
          <reference field="11" count="1">
            <x v="4"/>
          </reference>
          <reference field="30" count="0" selected="0"/>
          <reference field="31" count="1" selected="0">
            <x v="0"/>
          </reference>
          <reference field="32" count="1" selected="0">
            <x v="2"/>
          </reference>
        </references>
      </pivotArea>
    </format>
    <format dxfId="215">
      <pivotArea dataOnly="0" labelOnly="1" fieldPosition="0">
        <references count="7">
          <reference field="3" count="1" selected="0">
            <x v="0"/>
          </reference>
          <reference field="5" count="1" selected="0">
            <x v="0"/>
          </reference>
          <reference field="9" count="1" selected="0">
            <x v="0"/>
          </reference>
          <reference field="11" count="1">
            <x v="1"/>
          </reference>
          <reference field="30" count="0" selected="0"/>
          <reference field="31" count="1" selected="0">
            <x v="1"/>
          </reference>
          <reference field="32" count="1" selected="0">
            <x v="4"/>
          </reference>
        </references>
      </pivotArea>
    </format>
    <format dxfId="216">
      <pivotArea dataOnly="0" labelOnly="1" fieldPosition="0">
        <references count="7">
          <reference field="3" count="1" selected="0">
            <x v="0"/>
          </reference>
          <reference field="5" count="1" selected="0">
            <x v="0"/>
          </reference>
          <reference field="9" count="1" selected="0">
            <x v="0"/>
          </reference>
          <reference field="11" count="1">
            <x v="2"/>
          </reference>
          <reference field="30" count="0" selected="0"/>
          <reference field="31" count="1" selected="0">
            <x v="1"/>
          </reference>
          <reference field="32" count="1" selected="0">
            <x v="6"/>
          </reference>
        </references>
      </pivotArea>
    </format>
    <format dxfId="217">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0"/>
          </reference>
          <reference field="32" count="1" selected="0">
            <x v="2"/>
          </reference>
        </references>
      </pivotArea>
    </format>
    <format dxfId="218">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1"/>
          </reference>
          <reference field="32" count="1" selected="0">
            <x v="4"/>
          </reference>
        </references>
      </pivotArea>
    </format>
    <format dxfId="219">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1"/>
          </reference>
          <reference field="32" count="1" selected="0">
            <x v="6"/>
          </reference>
        </references>
      </pivotArea>
    </format>
    <format dxfId="220">
      <pivotArea dataOnly="0" labelOnly="1" fieldPosition="0">
        <references count="7">
          <reference field="3" count="1" selected="0">
            <x v="1"/>
          </reference>
          <reference field="5" count="1" selected="0">
            <x v="1"/>
          </reference>
          <reference field="9" count="1" selected="0">
            <x v="7"/>
          </reference>
          <reference field="11" count="2">
            <x v="8"/>
            <x v="13"/>
          </reference>
          <reference field="30" count="0" selected="0"/>
          <reference field="31" count="1" selected="0">
            <x v="2"/>
          </reference>
          <reference field="32" count="1" selected="0">
            <x v="0"/>
          </reference>
        </references>
      </pivotArea>
    </format>
    <format dxfId="221">
      <pivotArea dataOnly="0" labelOnly="1" fieldPosition="0">
        <references count="7">
          <reference field="3" count="1" selected="0">
            <x v="1"/>
          </reference>
          <reference field="5" count="1" selected="0">
            <x v="1"/>
          </reference>
          <reference field="9" count="1" selected="0">
            <x v="2"/>
          </reference>
          <reference field="11" count="1">
            <x v="14"/>
          </reference>
          <reference field="30" count="0" selected="0"/>
          <reference field="31" count="1" selected="0">
            <x v="2"/>
          </reference>
          <reference field="32" count="1" selected="0">
            <x v="5"/>
          </reference>
        </references>
      </pivotArea>
    </format>
    <format dxfId="222">
      <pivotArea dataOnly="0" labelOnly="1" fieldPosition="0">
        <references count="7">
          <reference field="3" count="1" selected="0">
            <x v="1"/>
          </reference>
          <reference field="5" count="1" selected="0">
            <x v="1"/>
          </reference>
          <reference field="9" count="1" selected="0">
            <x v="6"/>
          </reference>
          <reference field="11" count="1">
            <x v="9"/>
          </reference>
          <reference field="30" count="0" selected="0"/>
          <reference field="31" count="1" selected="0">
            <x v="2"/>
          </reference>
          <reference field="32" count="1" selected="0">
            <x v="5"/>
          </reference>
        </references>
      </pivotArea>
    </format>
    <format dxfId="223">
      <pivotArea dataOnly="0" labelOnly="1" fieldPosition="0">
        <references count="7">
          <reference field="3" count="1" selected="0">
            <x v="1"/>
          </reference>
          <reference field="5" count="1" selected="0">
            <x v="1"/>
          </reference>
          <reference field="9" count="1" selected="0">
            <x v="8"/>
          </reference>
          <reference field="11" count="1">
            <x v="7"/>
          </reference>
          <reference field="30" count="0" selected="0"/>
          <reference field="31" count="1" selected="0">
            <x v="3"/>
          </reference>
          <reference field="32" count="1" selected="0">
            <x v="3"/>
          </reference>
        </references>
      </pivotArea>
    </format>
    <format dxfId="224">
      <pivotArea dataOnly="0" labelOnly="1" fieldPosition="0">
        <references count="7">
          <reference field="3" count="1" selected="0">
            <x v="1"/>
          </reference>
          <reference field="5" count="1" selected="0">
            <x v="1"/>
          </reference>
          <reference field="9" count="1" selected="0">
            <x v="1"/>
          </reference>
          <reference field="11" count="1">
            <x v="11"/>
          </reference>
          <reference field="30" count="0" selected="0"/>
          <reference field="31" count="1" selected="0">
            <x v="3"/>
          </reference>
          <reference field="32" count="1" selected="0">
            <x v="7"/>
          </reference>
        </references>
      </pivotArea>
    </format>
    <format dxfId="225">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3"/>
          </reference>
          <reference field="32" count="1" selected="0">
            <x v="7"/>
          </reference>
        </references>
      </pivotArea>
    </format>
    <format dxfId="226">
      <pivotArea dataOnly="0" labelOnly="1" fieldPosition="0">
        <references count="7">
          <reference field="3" count="1" selected="0">
            <x v="1"/>
          </reference>
          <reference field="5" count="1" selected="0">
            <x v="1"/>
          </reference>
          <reference field="9" count="1" selected="0">
            <x v="4"/>
          </reference>
          <reference field="11" count="1">
            <x v="0"/>
          </reference>
          <reference field="30" count="0" selected="0"/>
          <reference field="31" count="1" selected="0">
            <x v="3"/>
          </reference>
          <reference field="32" count="1" selected="0">
            <x v="7"/>
          </reference>
        </references>
      </pivotArea>
    </format>
    <format dxfId="227">
      <pivotArea dataOnly="0" labelOnly="1" fieldPosition="0">
        <references count="7">
          <reference field="3" count="1" selected="0">
            <x v="1"/>
          </reference>
          <reference field="5" count="1" selected="0">
            <x v="1"/>
          </reference>
          <reference field="9" count="1" selected="0">
            <x v="5"/>
          </reference>
          <reference field="11" count="1">
            <x v="6"/>
          </reference>
          <reference field="30" count="0" selected="0"/>
          <reference field="31" count="1" selected="0">
            <x v="3"/>
          </reference>
          <reference field="32" count="1" selected="0">
            <x v="7"/>
          </reference>
        </references>
      </pivotArea>
    </format>
    <format dxfId="228">
      <pivotArea dataOnly="0" labelOnly="1" fieldPosition="0">
        <references count="7">
          <reference field="3" count="1" selected="0">
            <x v="1"/>
          </reference>
          <reference field="5" count="1" selected="0">
            <x v="2"/>
          </reference>
          <reference field="9" count="1" selected="0">
            <x v="9"/>
          </reference>
          <reference field="11" count="2">
            <x v="5"/>
            <x v="12"/>
          </reference>
          <reference field="30" count="0" selected="0"/>
          <reference field="31" count="1" selected="0">
            <x v="2"/>
          </reference>
          <reference field="32" count="1" selected="0">
            <x v="5"/>
          </reference>
        </references>
      </pivotArea>
    </format>
    <format dxfId="229">
      <pivotArea dataOnly="0" labelOnly="1" outline="0" fieldPosition="0">
        <references count="1">
          <reference field="4294967294" count="5">
            <x v="0"/>
            <x v="1"/>
            <x v="2"/>
            <x v="3"/>
            <x v="4"/>
          </reference>
        </references>
      </pivotArea>
    </format>
    <format dxfId="230">
      <pivotArea dataOnly="0" labelOnly="1" fieldPosition="0">
        <references count="1">
          <reference field="31" count="0"/>
        </references>
      </pivotArea>
    </format>
    <format dxfId="231">
      <pivotArea dataOnly="0" labelOnly="1" fieldPosition="0">
        <references count="1">
          <reference field="32" count="0"/>
        </references>
      </pivotArea>
    </format>
    <format dxfId="232">
      <pivotArea dataOnly="0" labelOnly="1" fieldPosition="0">
        <references count="1">
          <reference field="32" count="0"/>
        </references>
      </pivotArea>
    </format>
    <format dxfId="233">
      <pivotArea dataOnly="0" labelOnly="1" fieldPosition="0">
        <references count="1">
          <reference field="32" count="0"/>
        </references>
      </pivotArea>
    </format>
    <format dxfId="234">
      <pivotArea dataOnly="0" labelOnly="1" fieldPosition="0">
        <references count="1">
          <reference field="32" count="0"/>
        </references>
      </pivotArea>
    </format>
    <format dxfId="235">
      <pivotArea dataOnly="0" labelOnly="1" fieldPosition="0">
        <references count="1">
          <reference field="31" count="0"/>
        </references>
      </pivotArea>
    </format>
    <format dxfId="236">
      <pivotArea dataOnly="0" labelOnly="1" fieldPosition="0">
        <references count="1">
          <reference field="31" count="0"/>
        </references>
      </pivotArea>
    </format>
    <format dxfId="237">
      <pivotArea dataOnly="0" labelOnly="1" fieldPosition="0">
        <references count="1">
          <reference field="31" count="0"/>
        </references>
      </pivotArea>
    </format>
    <format dxfId="238">
      <pivotArea collapsedLevelsAreSubtotals="1" fieldPosition="0">
        <references count="4">
          <reference field="3" count="1" selected="0">
            <x v="0"/>
          </reference>
          <reference field="5" count="1" selected="0">
            <x v="0"/>
          </reference>
          <reference field="30" count="0" selected="0"/>
          <reference field="31" count="1">
            <x v="0"/>
          </reference>
        </references>
      </pivotArea>
    </format>
    <format dxfId="239">
      <pivotArea dataOnly="0" labelOnly="1" fieldPosition="0">
        <references count="4">
          <reference field="3" count="1" selected="0">
            <x v="0"/>
          </reference>
          <reference field="5" count="1" selected="0">
            <x v="0"/>
          </reference>
          <reference field="30" count="0" selected="0"/>
          <reference field="31" count="1">
            <x v="0"/>
          </reference>
        </references>
      </pivotArea>
    </format>
    <format dxfId="240">
      <pivotArea collapsedLevelsAreSubtotals="1" fieldPosition="0">
        <references count="4">
          <reference field="3" count="1" selected="0">
            <x v="0"/>
          </reference>
          <reference field="5" count="1" selected="0">
            <x v="0"/>
          </reference>
          <reference field="30" count="0" selected="0"/>
          <reference field="31" count="1">
            <x v="1"/>
          </reference>
        </references>
      </pivotArea>
    </format>
    <format dxfId="241">
      <pivotArea dataOnly="0" labelOnly="1" fieldPosition="0">
        <references count="4">
          <reference field="3" count="1" selected="0">
            <x v="0"/>
          </reference>
          <reference field="5" count="1" selected="0">
            <x v="0"/>
          </reference>
          <reference field="30" count="0" selected="0"/>
          <reference field="31" count="1">
            <x v="1"/>
          </reference>
        </references>
      </pivotArea>
    </format>
    <format dxfId="242">
      <pivotArea collapsedLevelsAreSubtotals="1" fieldPosition="0">
        <references count="4">
          <reference field="3" count="1" selected="0">
            <x v="1"/>
          </reference>
          <reference field="5" count="1" selected="0">
            <x v="1"/>
          </reference>
          <reference field="30" count="0" selected="0"/>
          <reference field="31" count="1">
            <x v="0"/>
          </reference>
        </references>
      </pivotArea>
    </format>
    <format dxfId="243">
      <pivotArea dataOnly="0" labelOnly="1" fieldPosition="0">
        <references count="4">
          <reference field="3" count="1" selected="0">
            <x v="1"/>
          </reference>
          <reference field="5" count="1" selected="0">
            <x v="1"/>
          </reference>
          <reference field="30" count="0" selected="0"/>
          <reference field="31" count="1">
            <x v="0"/>
          </reference>
        </references>
      </pivotArea>
    </format>
    <format dxfId="244">
      <pivotArea collapsedLevelsAreSubtotals="1" fieldPosition="0">
        <references count="4">
          <reference field="3" count="1" selected="0">
            <x v="1"/>
          </reference>
          <reference field="5" count="1" selected="0">
            <x v="1"/>
          </reference>
          <reference field="30" count="0" selected="0"/>
          <reference field="31" count="1">
            <x v="1"/>
          </reference>
        </references>
      </pivotArea>
    </format>
    <format dxfId="245">
      <pivotArea dataOnly="0" labelOnly="1" fieldPosition="0">
        <references count="4">
          <reference field="3" count="1" selected="0">
            <x v="1"/>
          </reference>
          <reference field="5" count="1" selected="0">
            <x v="1"/>
          </reference>
          <reference field="30" count="0" selected="0"/>
          <reference field="31" count="1">
            <x v="1"/>
          </reference>
        </references>
      </pivotArea>
    </format>
    <format dxfId="246">
      <pivotArea collapsedLevelsAreSubtotals="1" fieldPosition="0">
        <references count="4">
          <reference field="3" count="1" selected="0">
            <x v="1"/>
          </reference>
          <reference field="5" count="1" selected="0">
            <x v="1"/>
          </reference>
          <reference field="30" count="0" selected="0"/>
          <reference field="31" count="1">
            <x v="2"/>
          </reference>
        </references>
      </pivotArea>
    </format>
    <format dxfId="247">
      <pivotArea dataOnly="0" labelOnly="1" fieldPosition="0">
        <references count="4">
          <reference field="3" count="1" selected="0">
            <x v="1"/>
          </reference>
          <reference field="5" count="1" selected="0">
            <x v="1"/>
          </reference>
          <reference field="30" count="0" selected="0"/>
          <reference field="31" count="1">
            <x v="2"/>
          </reference>
        </references>
      </pivotArea>
    </format>
    <format dxfId="248">
      <pivotArea collapsedLevelsAreSubtotals="1" fieldPosition="0">
        <references count="4">
          <reference field="3" count="1" selected="0">
            <x v="1"/>
          </reference>
          <reference field="5" count="1" selected="0">
            <x v="1"/>
          </reference>
          <reference field="30" count="0" selected="0"/>
          <reference field="31" count="1">
            <x v="3"/>
          </reference>
        </references>
      </pivotArea>
    </format>
    <format dxfId="249">
      <pivotArea dataOnly="0" labelOnly="1" fieldPosition="0">
        <references count="4">
          <reference field="3" count="1" selected="0">
            <x v="1"/>
          </reference>
          <reference field="5" count="1" selected="0">
            <x v="1"/>
          </reference>
          <reference field="30" count="0" selected="0"/>
          <reference field="31" count="1">
            <x v="3"/>
          </reference>
        </references>
      </pivotArea>
    </format>
    <format dxfId="250">
      <pivotArea collapsedLevelsAreSubtotals="1" fieldPosition="0">
        <references count="4">
          <reference field="3" count="1" selected="0">
            <x v="1"/>
          </reference>
          <reference field="5" count="1" selected="0">
            <x v="2"/>
          </reference>
          <reference field="30" count="0" selected="0"/>
          <reference field="31" count="1">
            <x v="2"/>
          </reference>
        </references>
      </pivotArea>
    </format>
    <format dxfId="251">
      <pivotArea dataOnly="0" labelOnly="1" fieldPosition="0">
        <references count="4">
          <reference field="3" count="1" selected="0">
            <x v="1"/>
          </reference>
          <reference field="5" count="1" selected="0">
            <x v="2"/>
          </reference>
          <reference field="30" count="0" selected="0"/>
          <reference field="31" count="1">
            <x v="2"/>
          </reference>
        </references>
      </pivotArea>
    </format>
    <format dxfId="252">
      <pivotArea collapsedLevelsAreSubtotals="1" fieldPosition="0">
        <references count="5">
          <reference field="3" count="1" selected="0">
            <x v="0"/>
          </reference>
          <reference field="5" count="1" selected="0">
            <x v="0"/>
          </reference>
          <reference field="30" count="0" selected="0"/>
          <reference field="31" count="1" selected="0">
            <x v="0"/>
          </reference>
          <reference field="32" count="1">
            <x v="1"/>
          </reference>
        </references>
      </pivotArea>
    </format>
    <format dxfId="253">
      <pivotArea dataOnly="0" labelOnly="1" fieldPosition="0">
        <references count="5">
          <reference field="3" count="1" selected="0">
            <x v="0"/>
          </reference>
          <reference field="5" count="1" selected="0">
            <x v="0"/>
          </reference>
          <reference field="30" count="0" selected="0"/>
          <reference field="31" count="1" selected="0">
            <x v="0"/>
          </reference>
          <reference field="32" count="1">
            <x v="1"/>
          </reference>
        </references>
      </pivotArea>
    </format>
    <format dxfId="254">
      <pivotArea collapsedLevelsAreSubtotals="1" fieldPosition="0">
        <references count="5">
          <reference field="3" count="1" selected="0">
            <x v="0"/>
          </reference>
          <reference field="5" count="1" selected="0">
            <x v="0"/>
          </reference>
          <reference field="30" count="0" selected="0"/>
          <reference field="31" count="1" selected="0">
            <x v="0"/>
          </reference>
          <reference field="32" count="1">
            <x v="2"/>
          </reference>
        </references>
      </pivotArea>
    </format>
    <format dxfId="255">
      <pivotArea dataOnly="0" labelOnly="1" fieldPosition="0">
        <references count="5">
          <reference field="3" count="1" selected="0">
            <x v="0"/>
          </reference>
          <reference field="5" count="1" selected="0">
            <x v="0"/>
          </reference>
          <reference field="30" count="0" selected="0"/>
          <reference field="31" count="1" selected="0">
            <x v="0"/>
          </reference>
          <reference field="32" count="1">
            <x v="2"/>
          </reference>
        </references>
      </pivotArea>
    </format>
    <format dxfId="256">
      <pivotArea collapsedLevelsAreSubtotals="1" fieldPosition="0">
        <references count="5">
          <reference field="3" count="1" selected="0">
            <x v="0"/>
          </reference>
          <reference field="5" count="1" selected="0">
            <x v="0"/>
          </reference>
          <reference field="30" count="0" selected="0"/>
          <reference field="31" count="1" selected="0">
            <x v="1"/>
          </reference>
          <reference field="32" count="1">
            <x v="4"/>
          </reference>
        </references>
      </pivotArea>
    </format>
    <format dxfId="257">
      <pivotArea dataOnly="0" labelOnly="1" fieldPosition="0">
        <references count="5">
          <reference field="3" count="1" selected="0">
            <x v="0"/>
          </reference>
          <reference field="5" count="1" selected="0">
            <x v="0"/>
          </reference>
          <reference field="30" count="0" selected="0"/>
          <reference field="31" count="1" selected="0">
            <x v="1"/>
          </reference>
          <reference field="32" count="1">
            <x v="4"/>
          </reference>
        </references>
      </pivotArea>
    </format>
    <format dxfId="258">
      <pivotArea collapsedLevelsAreSubtotals="1" fieldPosition="0">
        <references count="5">
          <reference field="3" count="1" selected="0">
            <x v="0"/>
          </reference>
          <reference field="5" count="1" selected="0">
            <x v="0"/>
          </reference>
          <reference field="30" count="0" selected="0"/>
          <reference field="31" count="1" selected="0">
            <x v="1"/>
          </reference>
          <reference field="32" count="1">
            <x v="6"/>
          </reference>
        </references>
      </pivotArea>
    </format>
    <format dxfId="259">
      <pivotArea dataOnly="0" labelOnly="1" fieldPosition="0">
        <references count="5">
          <reference field="3" count="1" selected="0">
            <x v="0"/>
          </reference>
          <reference field="5" count="1" selected="0">
            <x v="0"/>
          </reference>
          <reference field="30" count="0" selected="0"/>
          <reference field="31" count="1" selected="0">
            <x v="1"/>
          </reference>
          <reference field="32" count="1">
            <x v="6"/>
          </reference>
        </references>
      </pivotArea>
    </format>
    <format dxfId="260">
      <pivotArea collapsedLevelsAreSubtotals="1" fieldPosition="0">
        <references count="5">
          <reference field="3" count="1" selected="0">
            <x v="1"/>
          </reference>
          <reference field="5" count="1" selected="0">
            <x v="1"/>
          </reference>
          <reference field="30" count="0" selected="0"/>
          <reference field="31" count="1" selected="0">
            <x v="0"/>
          </reference>
          <reference field="32" count="1">
            <x v="2"/>
          </reference>
        </references>
      </pivotArea>
    </format>
    <format dxfId="261">
      <pivotArea dataOnly="0" labelOnly="1" fieldPosition="0">
        <references count="5">
          <reference field="3" count="1" selected="0">
            <x v="1"/>
          </reference>
          <reference field="5" count="1" selected="0">
            <x v="1"/>
          </reference>
          <reference field="30" count="0" selected="0"/>
          <reference field="31" count="1" selected="0">
            <x v="0"/>
          </reference>
          <reference field="32" count="1">
            <x v="2"/>
          </reference>
        </references>
      </pivotArea>
    </format>
    <format dxfId="262">
      <pivotArea collapsedLevelsAreSubtotals="1" fieldPosition="0">
        <references count="5">
          <reference field="3" count="1" selected="0">
            <x v="1"/>
          </reference>
          <reference field="5" count="1" selected="0">
            <x v="1"/>
          </reference>
          <reference field="30" count="0" selected="0"/>
          <reference field="31" count="1" selected="0">
            <x v="1"/>
          </reference>
          <reference field="32" count="1">
            <x v="4"/>
          </reference>
        </references>
      </pivotArea>
    </format>
    <format dxfId="263">
      <pivotArea dataOnly="0" labelOnly="1" fieldPosition="0">
        <references count="5">
          <reference field="3" count="1" selected="0">
            <x v="1"/>
          </reference>
          <reference field="5" count="1" selected="0">
            <x v="1"/>
          </reference>
          <reference field="30" count="0" selected="0"/>
          <reference field="31" count="1" selected="0">
            <x v="1"/>
          </reference>
          <reference field="32" count="1">
            <x v="4"/>
          </reference>
        </references>
      </pivotArea>
    </format>
    <format dxfId="264">
      <pivotArea collapsedLevelsAreSubtotals="1" fieldPosition="0">
        <references count="5">
          <reference field="3" count="1" selected="0">
            <x v="1"/>
          </reference>
          <reference field="5" count="1" selected="0">
            <x v="1"/>
          </reference>
          <reference field="30" count="0" selected="0"/>
          <reference field="31" count="1" selected="0">
            <x v="1"/>
          </reference>
          <reference field="32" count="1">
            <x v="6"/>
          </reference>
        </references>
      </pivotArea>
    </format>
    <format dxfId="265">
      <pivotArea dataOnly="0" labelOnly="1" fieldPosition="0">
        <references count="5">
          <reference field="3" count="1" selected="0">
            <x v="1"/>
          </reference>
          <reference field="5" count="1" selected="0">
            <x v="1"/>
          </reference>
          <reference field="30" count="0" selected="0"/>
          <reference field="31" count="1" selected="0">
            <x v="1"/>
          </reference>
          <reference field="32" count="1">
            <x v="6"/>
          </reference>
        </references>
      </pivotArea>
    </format>
    <format dxfId="266">
      <pivotArea collapsedLevelsAreSubtotals="1" fieldPosition="0">
        <references count="5">
          <reference field="3" count="1" selected="0">
            <x v="1"/>
          </reference>
          <reference field="5" count="1" selected="0">
            <x v="1"/>
          </reference>
          <reference field="30" count="0" selected="0"/>
          <reference field="31" count="1" selected="0">
            <x v="2"/>
          </reference>
          <reference field="32" count="1">
            <x v="0"/>
          </reference>
        </references>
      </pivotArea>
    </format>
    <format dxfId="267">
      <pivotArea dataOnly="0" labelOnly="1" fieldPosition="0">
        <references count="5">
          <reference field="3" count="1" selected="0">
            <x v="1"/>
          </reference>
          <reference field="5" count="1" selected="0">
            <x v="1"/>
          </reference>
          <reference field="30" count="0" selected="0"/>
          <reference field="31" count="1" selected="0">
            <x v="2"/>
          </reference>
          <reference field="32" count="1">
            <x v="0"/>
          </reference>
        </references>
      </pivotArea>
    </format>
    <format dxfId="268">
      <pivotArea collapsedLevelsAreSubtotals="1" fieldPosition="0">
        <references count="5">
          <reference field="3" count="1" selected="0">
            <x v="1"/>
          </reference>
          <reference field="5" count="1" selected="0">
            <x v="1"/>
          </reference>
          <reference field="30" count="0" selected="0"/>
          <reference field="31" count="1" selected="0">
            <x v="2"/>
          </reference>
          <reference field="32" count="1">
            <x v="5"/>
          </reference>
        </references>
      </pivotArea>
    </format>
    <format dxfId="269">
      <pivotArea dataOnly="0" labelOnly="1" fieldPosition="0">
        <references count="5">
          <reference field="3" count="1" selected="0">
            <x v="1"/>
          </reference>
          <reference field="5" count="1" selected="0">
            <x v="1"/>
          </reference>
          <reference field="30" count="0" selected="0"/>
          <reference field="31" count="1" selected="0">
            <x v="2"/>
          </reference>
          <reference field="32" count="1">
            <x v="5"/>
          </reference>
        </references>
      </pivotArea>
    </format>
    <format dxfId="270">
      <pivotArea collapsedLevelsAreSubtotals="1" fieldPosition="0">
        <references count="5">
          <reference field="3" count="1" selected="0">
            <x v="1"/>
          </reference>
          <reference field="5" count="1" selected="0">
            <x v="1"/>
          </reference>
          <reference field="30" count="0" selected="0"/>
          <reference field="31" count="1" selected="0">
            <x v="3"/>
          </reference>
          <reference field="32" count="1">
            <x v="3"/>
          </reference>
        </references>
      </pivotArea>
    </format>
    <format dxfId="271">
      <pivotArea dataOnly="0" labelOnly="1" fieldPosition="0">
        <references count="5">
          <reference field="3" count="1" selected="0">
            <x v="1"/>
          </reference>
          <reference field="5" count="1" selected="0">
            <x v="1"/>
          </reference>
          <reference field="30" count="0" selected="0"/>
          <reference field="31" count="1" selected="0">
            <x v="3"/>
          </reference>
          <reference field="32" count="1">
            <x v="3"/>
          </reference>
        </references>
      </pivotArea>
    </format>
    <format dxfId="272">
      <pivotArea collapsedLevelsAreSubtotals="1" fieldPosition="0">
        <references count="5">
          <reference field="3" count="1" selected="0">
            <x v="1"/>
          </reference>
          <reference field="5" count="1" selected="0">
            <x v="1"/>
          </reference>
          <reference field="30" count="0" selected="0"/>
          <reference field="31" count="1" selected="0">
            <x v="3"/>
          </reference>
          <reference field="32" count="1">
            <x v="7"/>
          </reference>
        </references>
      </pivotArea>
    </format>
    <format dxfId="273">
      <pivotArea dataOnly="0" labelOnly="1" fieldPosition="0">
        <references count="5">
          <reference field="3" count="1" selected="0">
            <x v="1"/>
          </reference>
          <reference field="5" count="1" selected="0">
            <x v="1"/>
          </reference>
          <reference field="30" count="0" selected="0"/>
          <reference field="31" count="1" selected="0">
            <x v="3"/>
          </reference>
          <reference field="32" count="1">
            <x v="7"/>
          </reference>
        </references>
      </pivotArea>
    </format>
    <format dxfId="274">
      <pivotArea collapsedLevelsAreSubtotals="1" fieldPosition="0">
        <references count="5">
          <reference field="3" count="1" selected="0">
            <x v="1"/>
          </reference>
          <reference field="5" count="1" selected="0">
            <x v="2"/>
          </reference>
          <reference field="30" count="0" selected="0"/>
          <reference field="31" count="1" selected="0">
            <x v="2"/>
          </reference>
          <reference field="32" count="1">
            <x v="5"/>
          </reference>
        </references>
      </pivotArea>
    </format>
    <format dxfId="275">
      <pivotArea dataOnly="0" labelOnly="1" fieldPosition="0">
        <references count="5">
          <reference field="3" count="1" selected="0">
            <x v="1"/>
          </reference>
          <reference field="5" count="1" selected="0">
            <x v="2"/>
          </reference>
          <reference field="30" count="0" selected="0"/>
          <reference field="31" count="1" selected="0">
            <x v="2"/>
          </reference>
          <reference field="32" count="1">
            <x v="5"/>
          </reference>
        </references>
      </pivotArea>
    </format>
    <format dxfId="276">
      <pivotArea dataOnly="0" labelOnly="1" fieldPosition="0">
        <references count="1">
          <reference field="30" count="0"/>
        </references>
      </pivotArea>
    </format>
    <format dxfId="277">
      <pivotArea collapsedLevelsAreSubtotals="1" fieldPosition="0">
        <references count="1">
          <reference field="30" count="0"/>
        </references>
      </pivotArea>
    </format>
    <format dxfId="278">
      <pivotArea dataOnly="0" labelOnly="1" fieldPosition="0">
        <references count="1">
          <reference field="30" count="0"/>
        </references>
      </pivotArea>
    </format>
    <format dxfId="279">
      <pivotArea dataOnly="0" labelOnly="1" fieldPosition="0">
        <references count="1">
          <reference field="13" count="0"/>
        </references>
      </pivotArea>
    </format>
    <format dxfId="280">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0" count="0" selected="0"/>
          <reference field="31" count="1" selected="0">
            <x v="0"/>
          </reference>
          <reference field="32" count="1" selected="0">
            <x v="1"/>
          </reference>
        </references>
      </pivotArea>
    </format>
    <format dxfId="281">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0" count="0" selected="0"/>
          <reference field="31" count="1" selected="0">
            <x v="0"/>
          </reference>
          <reference field="32" count="1" selected="0">
            <x v="1"/>
          </reference>
        </references>
      </pivotArea>
    </format>
    <format dxfId="282">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0" count="0" selected="0"/>
          <reference field="31" count="1" selected="0">
            <x v="0"/>
          </reference>
          <reference field="32" count="1" selected="0">
            <x v="1"/>
          </reference>
        </references>
      </pivotArea>
    </format>
    <format dxfId="283">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0" count="0" selected="0"/>
          <reference field="31" count="1" selected="0">
            <x v="0"/>
          </reference>
          <reference field="32" count="1" selected="0">
            <x v="1"/>
          </reference>
        </references>
      </pivotArea>
    </format>
    <format dxfId="284">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0" count="0" selected="0"/>
          <reference field="31" count="1" selected="0">
            <x v="0"/>
          </reference>
          <reference field="32" count="1" selected="0">
            <x v="1"/>
          </reference>
        </references>
      </pivotArea>
    </format>
    <format dxfId="285">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0" count="0" selected="0"/>
          <reference field="31" count="1" selected="0">
            <x v="0"/>
          </reference>
          <reference field="32" count="1" selected="0">
            <x v="1"/>
          </reference>
        </references>
      </pivotArea>
    </format>
    <format dxfId="286">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0" count="0" selected="0"/>
          <reference field="31" count="1" selected="0">
            <x v="0"/>
          </reference>
          <reference field="32" count="1" selected="0">
            <x v="2"/>
          </reference>
        </references>
      </pivotArea>
    </format>
    <format dxfId="287">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0" count="0" selected="0"/>
          <reference field="31" count="1" selected="0">
            <x v="0"/>
          </reference>
          <reference field="32" count="1" selected="0">
            <x v="2"/>
          </reference>
        </references>
      </pivotArea>
    </format>
    <format dxfId="288">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0" count="0" selected="0"/>
          <reference field="31" count="1" selected="0">
            <x v="1"/>
          </reference>
          <reference field="32" count="1" selected="0">
            <x v="4"/>
          </reference>
        </references>
      </pivotArea>
    </format>
    <format dxfId="289">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0" count="0" selected="0"/>
          <reference field="31" count="1" selected="0">
            <x v="1"/>
          </reference>
          <reference field="32" count="1" selected="0">
            <x v="4"/>
          </reference>
        </references>
      </pivotArea>
    </format>
    <format dxfId="290">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0" count="0" selected="0"/>
          <reference field="31" count="1" selected="0">
            <x v="1"/>
          </reference>
          <reference field="32" count="1" selected="0">
            <x v="4"/>
          </reference>
        </references>
      </pivotArea>
    </format>
    <format dxfId="291">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0" count="0" selected="0"/>
          <reference field="31" count="1" selected="0">
            <x v="1"/>
          </reference>
          <reference field="32" count="1" selected="0">
            <x v="4"/>
          </reference>
        </references>
      </pivotArea>
    </format>
    <format dxfId="292">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0" count="0" selected="0"/>
          <reference field="31" count="1" selected="0">
            <x v="1"/>
          </reference>
          <reference field="32" count="1" selected="0">
            <x v="6"/>
          </reference>
        </references>
      </pivotArea>
    </format>
    <format dxfId="293">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0" count="0" selected="0"/>
          <reference field="31" count="1" selected="0">
            <x v="1"/>
          </reference>
          <reference field="32" count="1" selected="0">
            <x v="6"/>
          </reference>
        </references>
      </pivotArea>
    </format>
    <format dxfId="29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0" count="0" selected="0"/>
          <reference field="31" count="1" selected="0">
            <x v="0"/>
          </reference>
          <reference field="32" count="1" selected="0">
            <x v="2"/>
          </reference>
        </references>
      </pivotArea>
    </format>
    <format dxfId="29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0" count="0" selected="0"/>
          <reference field="31" count="1" selected="0">
            <x v="0"/>
          </reference>
          <reference field="32" count="1" selected="0">
            <x v="2"/>
          </reference>
        </references>
      </pivotArea>
    </format>
    <format dxfId="29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0" count="0" selected="0"/>
          <reference field="31" count="1" selected="0">
            <x v="1"/>
          </reference>
          <reference field="32" count="1" selected="0">
            <x v="4"/>
          </reference>
        </references>
      </pivotArea>
    </format>
    <format dxfId="29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0" count="0" selected="0"/>
          <reference field="31" count="1" selected="0">
            <x v="1"/>
          </reference>
          <reference field="32" count="1" selected="0">
            <x v="4"/>
          </reference>
        </references>
      </pivotArea>
    </format>
    <format dxfId="298">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0" count="0" selected="0"/>
          <reference field="31" count="1" selected="0">
            <x v="1"/>
          </reference>
          <reference field="32" count="1" selected="0">
            <x v="6"/>
          </reference>
        </references>
      </pivotArea>
    </format>
    <format dxfId="29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0" count="0" selected="0"/>
          <reference field="31" count="1" selected="0">
            <x v="1"/>
          </reference>
          <reference field="32" count="1" selected="0">
            <x v="6"/>
          </reference>
        </references>
      </pivotArea>
    </format>
    <format dxfId="30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0" count="0" selected="0"/>
          <reference field="31" count="1" selected="0">
            <x v="1"/>
          </reference>
          <reference field="32" count="1" selected="0">
            <x v="6"/>
          </reference>
        </references>
      </pivotArea>
    </format>
    <format dxfId="30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0" count="0" selected="0"/>
          <reference field="31" count="1" selected="0">
            <x v="1"/>
          </reference>
          <reference field="32" count="1" selected="0">
            <x v="6"/>
          </reference>
        </references>
      </pivotArea>
    </format>
    <format dxfId="302">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0" count="0" selected="0"/>
          <reference field="31" count="1" selected="0">
            <x v="2"/>
          </reference>
          <reference field="32" count="1" selected="0">
            <x v="0"/>
          </reference>
        </references>
      </pivotArea>
    </format>
    <format dxfId="303">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0" count="0" selected="0"/>
          <reference field="31" count="1" selected="0">
            <x v="2"/>
          </reference>
          <reference field="32" count="1" selected="0">
            <x v="0"/>
          </reference>
        </references>
      </pivotArea>
    </format>
    <format dxfId="304">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0" count="0" selected="0"/>
          <reference field="31" count="1" selected="0">
            <x v="2"/>
          </reference>
          <reference field="32" count="1" selected="0">
            <x v="0"/>
          </reference>
        </references>
      </pivotArea>
    </format>
    <format dxfId="305">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0" count="0" selected="0"/>
          <reference field="31" count="1" selected="0">
            <x v="2"/>
          </reference>
          <reference field="32" count="1" selected="0">
            <x v="0"/>
          </reference>
        </references>
      </pivotArea>
    </format>
    <format dxfId="306">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0" count="0" selected="0"/>
          <reference field="31" count="1" selected="0">
            <x v="2"/>
          </reference>
          <reference field="32" count="1" selected="0">
            <x v="0"/>
          </reference>
        </references>
      </pivotArea>
    </format>
    <format dxfId="307">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0" count="0" selected="0"/>
          <reference field="31" count="1" selected="0">
            <x v="2"/>
          </reference>
          <reference field="32" count="1" selected="0">
            <x v="0"/>
          </reference>
        </references>
      </pivotArea>
    </format>
    <format dxfId="308">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0" count="0" selected="0"/>
          <reference field="31" count="1" selected="0">
            <x v="2"/>
          </reference>
          <reference field="32" count="1" selected="0">
            <x v="5"/>
          </reference>
        </references>
      </pivotArea>
    </format>
    <format dxfId="309">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0" count="0" selected="0"/>
          <reference field="31" count="1" selected="0">
            <x v="2"/>
          </reference>
          <reference field="32" count="1" selected="0">
            <x v="5"/>
          </reference>
        </references>
      </pivotArea>
    </format>
    <format dxfId="310">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0" count="0" selected="0"/>
          <reference field="31" count="1" selected="0">
            <x v="2"/>
          </reference>
          <reference field="32" count="1" selected="0">
            <x v="5"/>
          </reference>
        </references>
      </pivotArea>
    </format>
    <format dxfId="311">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0" count="0" selected="0"/>
          <reference field="31" count="1" selected="0">
            <x v="2"/>
          </reference>
          <reference field="32" count="1" selected="0">
            <x v="5"/>
          </reference>
        </references>
      </pivotArea>
    </format>
    <format dxfId="312">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0" count="0" selected="0"/>
          <reference field="31" count="1" selected="0">
            <x v="2"/>
          </reference>
          <reference field="32" count="1" selected="0">
            <x v="5"/>
          </reference>
        </references>
      </pivotArea>
    </format>
    <format dxfId="313">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0" count="0" selected="0"/>
          <reference field="31" count="1" selected="0">
            <x v="2"/>
          </reference>
          <reference field="32" count="1" selected="0">
            <x v="5"/>
          </reference>
        </references>
      </pivotArea>
    </format>
    <format dxfId="314">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0" count="0" selected="0"/>
          <reference field="31" count="1" selected="0">
            <x v="2"/>
          </reference>
          <reference field="32" count="1" selected="0">
            <x v="5"/>
          </reference>
        </references>
      </pivotArea>
    </format>
    <format dxfId="315">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0" count="0" selected="0"/>
          <reference field="31" count="1" selected="0">
            <x v="2"/>
          </reference>
          <reference field="32" count="1" selected="0">
            <x v="5"/>
          </reference>
        </references>
      </pivotArea>
    </format>
    <format dxfId="316">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0" count="0" selected="0"/>
          <reference field="31" count="1" selected="0">
            <x v="3"/>
          </reference>
          <reference field="32" count="1" selected="0">
            <x v="3"/>
          </reference>
        </references>
      </pivotArea>
    </format>
    <format dxfId="317">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0" count="0" selected="0"/>
          <reference field="31" count="1" selected="0">
            <x v="3"/>
          </reference>
          <reference field="32" count="1" selected="0">
            <x v="3"/>
          </reference>
        </references>
      </pivotArea>
    </format>
    <format dxfId="318">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0" count="0" selected="0"/>
          <reference field="31" count="1" selected="0">
            <x v="3"/>
          </reference>
          <reference field="32" count="1" selected="0">
            <x v="3"/>
          </reference>
        </references>
      </pivotArea>
    </format>
    <format dxfId="319">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0" count="0" selected="0"/>
          <reference field="31" count="1" selected="0">
            <x v="3"/>
          </reference>
          <reference field="32" count="1" selected="0">
            <x v="3"/>
          </reference>
        </references>
      </pivotArea>
    </format>
    <format dxfId="320">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0" count="0" selected="0"/>
          <reference field="31" count="1" selected="0">
            <x v="3"/>
          </reference>
          <reference field="32" count="1" selected="0">
            <x v="3"/>
          </reference>
        </references>
      </pivotArea>
    </format>
    <format dxfId="321">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0" count="0" selected="0"/>
          <reference field="31" count="1" selected="0">
            <x v="3"/>
          </reference>
          <reference field="32" count="1" selected="0">
            <x v="3"/>
          </reference>
        </references>
      </pivotArea>
    </format>
    <format dxfId="322">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0" count="0" selected="0"/>
          <reference field="31" count="1" selected="0">
            <x v="3"/>
          </reference>
          <reference field="32" count="1" selected="0">
            <x v="3"/>
          </reference>
        </references>
      </pivotArea>
    </format>
    <format dxfId="323">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0" count="0" selected="0"/>
          <reference field="31" count="1" selected="0">
            <x v="3"/>
          </reference>
          <reference field="32" count="1" selected="0">
            <x v="3"/>
          </reference>
        </references>
      </pivotArea>
    </format>
    <format dxfId="324">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0" count="0" selected="0"/>
          <reference field="31" count="1" selected="0">
            <x v="3"/>
          </reference>
          <reference field="32" count="1" selected="0">
            <x v="3"/>
          </reference>
        </references>
      </pivotArea>
    </format>
    <format dxfId="325">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0" count="0" selected="0"/>
          <reference field="31" count="1" selected="0">
            <x v="3"/>
          </reference>
          <reference field="32" count="1" selected="0">
            <x v="3"/>
          </reference>
        </references>
      </pivotArea>
    </format>
    <format dxfId="326">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0" count="0" selected="0"/>
          <reference field="31" count="1" selected="0">
            <x v="3"/>
          </reference>
          <reference field="32" count="1" selected="0">
            <x v="3"/>
          </reference>
        </references>
      </pivotArea>
    </format>
    <format dxfId="327">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0" count="0" selected="0"/>
          <reference field="31" count="1" selected="0">
            <x v="3"/>
          </reference>
          <reference field="32" count="1" selected="0">
            <x v="3"/>
          </reference>
        </references>
      </pivotArea>
    </format>
    <format dxfId="328">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0" count="0" selected="0"/>
          <reference field="31" count="1" selected="0">
            <x v="3"/>
          </reference>
          <reference field="32" count="1" selected="0">
            <x v="7"/>
          </reference>
        </references>
      </pivotArea>
    </format>
    <format dxfId="329">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0" count="0" selected="0"/>
          <reference field="31" count="1" selected="0">
            <x v="3"/>
          </reference>
          <reference field="32" count="1" selected="0">
            <x v="7"/>
          </reference>
        </references>
      </pivotArea>
    </format>
    <format dxfId="33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0" count="0" selected="0"/>
          <reference field="31" count="1" selected="0">
            <x v="3"/>
          </reference>
          <reference field="32" count="1" selected="0">
            <x v="7"/>
          </reference>
        </references>
      </pivotArea>
    </format>
    <format dxfId="33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0" count="0" selected="0"/>
          <reference field="31" count="1" selected="0">
            <x v="3"/>
          </reference>
          <reference field="32" count="1" selected="0">
            <x v="7"/>
          </reference>
        </references>
      </pivotArea>
    </format>
    <format dxfId="332">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0" count="0" selected="0"/>
          <reference field="31" count="1" selected="0">
            <x v="3"/>
          </reference>
          <reference field="32" count="1" selected="0">
            <x v="7"/>
          </reference>
        </references>
      </pivotArea>
    </format>
    <format dxfId="33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0" count="0" selected="0"/>
          <reference field="31" count="1" selected="0">
            <x v="3"/>
          </reference>
          <reference field="32" count="1" selected="0">
            <x v="7"/>
          </reference>
        </references>
      </pivotArea>
    </format>
    <format dxfId="33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0" count="0" selected="0"/>
          <reference field="31" count="1" selected="0">
            <x v="3"/>
          </reference>
          <reference field="32" count="1" selected="0">
            <x v="7"/>
          </reference>
        </references>
      </pivotArea>
    </format>
    <format dxfId="33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0" count="0" selected="0"/>
          <reference field="31" count="1" selected="0">
            <x v="3"/>
          </reference>
          <reference field="32" count="1" selected="0">
            <x v="7"/>
          </reference>
        </references>
      </pivotArea>
    </format>
    <format dxfId="33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0" count="0" selected="0"/>
          <reference field="31" count="1" selected="0">
            <x v="3"/>
          </reference>
          <reference field="32" count="1" selected="0">
            <x v="7"/>
          </reference>
        </references>
      </pivotArea>
    </format>
    <format dxfId="33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0" count="0" selected="0"/>
          <reference field="31" count="1" selected="0">
            <x v="3"/>
          </reference>
          <reference field="32" count="1" selected="0">
            <x v="7"/>
          </reference>
        </references>
      </pivotArea>
    </format>
    <format dxfId="338">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0" count="0" selected="0"/>
          <reference field="31" count="1" selected="0">
            <x v="3"/>
          </reference>
          <reference field="32" count="1" selected="0">
            <x v="7"/>
          </reference>
        </references>
      </pivotArea>
    </format>
    <format dxfId="33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0" count="0" selected="0"/>
          <reference field="31" count="1" selected="0">
            <x v="3"/>
          </reference>
          <reference field="32" count="1" selected="0">
            <x v="7"/>
          </reference>
        </references>
      </pivotArea>
    </format>
    <format dxfId="340">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0" count="0" selected="0"/>
          <reference field="31" count="1" selected="0">
            <x v="3"/>
          </reference>
          <reference field="32" count="1" selected="0">
            <x v="7"/>
          </reference>
        </references>
      </pivotArea>
    </format>
    <format dxfId="341">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0" count="0" selected="0"/>
          <reference field="31" count="1" selected="0">
            <x v="3"/>
          </reference>
          <reference field="32" count="1" selected="0">
            <x v="7"/>
          </reference>
        </references>
      </pivotArea>
    </format>
    <format dxfId="342">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0" count="0" selected="0"/>
          <reference field="31" count="1" selected="0">
            <x v="3"/>
          </reference>
          <reference field="32" count="1" selected="0">
            <x v="7"/>
          </reference>
        </references>
      </pivotArea>
    </format>
    <format dxfId="343">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0" count="0" selected="0"/>
          <reference field="31" count="1" selected="0">
            <x v="3"/>
          </reference>
          <reference field="32" count="1" selected="0">
            <x v="7"/>
          </reference>
        </references>
      </pivotArea>
    </format>
    <format dxfId="344">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0" count="0" selected="0"/>
          <reference field="31" count="1" selected="0">
            <x v="3"/>
          </reference>
          <reference field="32" count="1" selected="0">
            <x v="7"/>
          </reference>
        </references>
      </pivotArea>
    </format>
    <format dxfId="345">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0" count="0" selected="0"/>
          <reference field="31" count="1" selected="0">
            <x v="3"/>
          </reference>
          <reference field="32" count="1" selected="0">
            <x v="7"/>
          </reference>
        </references>
      </pivotArea>
    </format>
    <format dxfId="346">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0" count="0" selected="0"/>
          <reference field="31" count="1" selected="0">
            <x v="3"/>
          </reference>
          <reference field="32" count="1" selected="0">
            <x v="7"/>
          </reference>
        </references>
      </pivotArea>
    </format>
    <format dxfId="347">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0" count="0" selected="0"/>
          <reference field="31" count="1" selected="0">
            <x v="3"/>
          </reference>
          <reference field="32" count="1" selected="0">
            <x v="7"/>
          </reference>
        </references>
      </pivotArea>
    </format>
    <format dxfId="348">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0" count="0" selected="0"/>
          <reference field="31" count="1" selected="0">
            <x v="3"/>
          </reference>
          <reference field="32" count="1" selected="0">
            <x v="7"/>
          </reference>
        </references>
      </pivotArea>
    </format>
    <format dxfId="349">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0" count="0" selected="0"/>
          <reference field="31" count="1" selected="0">
            <x v="3"/>
          </reference>
          <reference field="32" count="1" selected="0">
            <x v="7"/>
          </reference>
        </references>
      </pivotArea>
    </format>
    <format dxfId="350">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0" count="0" selected="0"/>
          <reference field="31" count="1" selected="0">
            <x v="3"/>
          </reference>
          <reference field="32" count="1" selected="0">
            <x v="7"/>
          </reference>
        </references>
      </pivotArea>
    </format>
    <format dxfId="351">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0" count="0" selected="0"/>
          <reference field="31" count="1" selected="0">
            <x v="3"/>
          </reference>
          <reference field="32" count="1" selected="0">
            <x v="7"/>
          </reference>
        </references>
      </pivotArea>
    </format>
    <format dxfId="352">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0" count="0" selected="0"/>
          <reference field="31" count="1" selected="0">
            <x v="2"/>
          </reference>
          <reference field="32" count="1" selected="0">
            <x v="5"/>
          </reference>
        </references>
      </pivotArea>
    </format>
    <format dxfId="353">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0" count="0" selected="0"/>
          <reference field="31" count="1" selected="0">
            <x v="2"/>
          </reference>
          <reference field="32" count="1" selected="0">
            <x v="5"/>
          </reference>
        </references>
      </pivotArea>
    </format>
    <format dxfId="354">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0" count="0" selected="0"/>
          <reference field="31" count="1" selected="0">
            <x v="2"/>
          </reference>
          <reference field="32" count="1" selected="0">
            <x v="5"/>
          </reference>
        </references>
      </pivotArea>
    </format>
    <format dxfId="355">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0" count="0" selected="0"/>
          <reference field="31" count="1" selected="0">
            <x v="2"/>
          </reference>
          <reference field="32" count="1" selected="0">
            <x v="5"/>
          </reference>
        </references>
      </pivotArea>
    </format>
    <format dxfId="356">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0" count="0" selected="0"/>
          <reference field="31" count="1" selected="0">
            <x v="2"/>
          </reference>
          <reference field="32" count="1" selected="0">
            <x v="5"/>
          </reference>
        </references>
      </pivotArea>
    </format>
    <format dxfId="357">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0" count="0" selected="0"/>
          <reference field="31" count="1" selected="0">
            <x v="2"/>
          </reference>
          <reference field="32" count="1" selected="0">
            <x v="5"/>
          </reference>
        </references>
      </pivotArea>
    </format>
    <format dxfId="358">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0" count="0" selected="0"/>
          <reference field="31" count="1" selected="0">
            <x v="2"/>
          </reference>
          <reference field="32" count="1" selected="0">
            <x v="5"/>
          </reference>
        </references>
      </pivotArea>
    </format>
    <format dxfId="359">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0" count="0" selected="0"/>
          <reference field="31" count="1" selected="0">
            <x v="2"/>
          </reference>
          <reference field="32" count="1" selected="0">
            <x v="5"/>
          </reference>
        </references>
      </pivotArea>
    </format>
    <format dxfId="360">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0" count="0" selected="0"/>
          <reference field="31" count="1" selected="0">
            <x v="2"/>
          </reference>
          <reference field="32" count="1" selected="0">
            <x v="5"/>
          </reference>
        </references>
      </pivotArea>
    </format>
    <format dxfId="361">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0" count="0" selected="0"/>
          <reference field="31" count="1" selected="0">
            <x v="2"/>
          </reference>
          <reference field="32" count="1" selected="0">
            <x v="5"/>
          </reference>
        </references>
      </pivotArea>
    </format>
    <format dxfId="362">
      <pivotArea dataOnly="0" labelOnly="1" fieldPosition="0">
        <references count="1">
          <reference field="11" count="0"/>
        </references>
      </pivotArea>
    </format>
    <format dxfId="363">
      <pivotArea dataOnly="0" labelOnly="1" fieldPosition="0">
        <references count="1">
          <reference field="11" count="0"/>
        </references>
      </pivotArea>
    </format>
    <format dxfId="364">
      <pivotArea dataOnly="0" labelOnly="1" fieldPosition="0">
        <references count="1">
          <reference field="13" count="0"/>
        </references>
      </pivotArea>
    </format>
    <format dxfId="365">
      <pivotArea dataOnly="0" labelOnly="1" fieldPosition="0">
        <references count="1">
          <reference field="13" count="0"/>
        </references>
      </pivotArea>
    </format>
    <format dxfId="366">
      <pivotArea dataOnly="0" labelOnly="1" fieldPosition="0">
        <references count="1">
          <reference field="32" count="0"/>
        </references>
      </pivotArea>
    </format>
    <format dxfId="367">
      <pivotArea dataOnly="0" labelOnly="1" fieldPosition="0">
        <references count="1">
          <reference field="32" count="0"/>
        </references>
      </pivotArea>
    </format>
    <format dxfId="36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0" count="0" selected="0"/>
          <reference field="31" count="1" selected="0">
            <x v="3"/>
          </reference>
          <reference field="32" count="0" selected="0"/>
        </references>
      </pivotArea>
    </format>
    <format dxfId="36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0" count="0" selected="0"/>
          <reference field="31" count="1" selected="0">
            <x v="3"/>
          </reference>
          <reference field="32" count="0" selected="0"/>
        </references>
      </pivotArea>
    </format>
    <format dxfId="37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0" count="0" selected="0"/>
          <reference field="31" count="1" selected="0">
            <x v="3"/>
          </reference>
          <reference field="32" count="0" selected="0"/>
        </references>
      </pivotArea>
    </format>
    <format dxfId="37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0" count="0" selected="0"/>
          <reference field="31" count="1" selected="0">
            <x v="3"/>
          </reference>
          <reference field="32" count="0" selected="0"/>
        </references>
      </pivotArea>
    </format>
    <format dxfId="37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0" count="0" selected="0"/>
          <reference field="31" count="1" selected="0">
            <x v="3"/>
          </reference>
          <reference field="32" count="0" selected="0"/>
        </references>
      </pivotArea>
    </format>
    <format dxfId="37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0" count="0" selected="0"/>
          <reference field="31" count="1" selected="0">
            <x v="3"/>
          </reference>
          <reference field="32" count="0" selected="0"/>
        </references>
      </pivotArea>
    </format>
    <format dxfId="37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0" count="0" selected="0"/>
          <reference field="31" count="1" selected="0">
            <x v="3"/>
          </reference>
          <reference field="32" count="0" selected="0"/>
        </references>
      </pivotArea>
    </format>
    <format dxfId="37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0" count="0" selected="0"/>
          <reference field="31" count="1" selected="0">
            <x v="3"/>
          </reference>
          <reference field="32" count="0" selected="0"/>
        </references>
      </pivotArea>
    </format>
    <format dxfId="37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0" count="0" selected="0"/>
          <reference field="31" count="1" selected="0">
            <x v="3"/>
          </reference>
          <reference field="32" count="0" selected="0"/>
        </references>
      </pivotArea>
    </format>
    <format dxfId="37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0" count="0" selected="0"/>
          <reference field="31" count="1" selected="0">
            <x v="3"/>
          </reference>
          <reference field="32" count="0" selected="0"/>
        </references>
      </pivotArea>
    </format>
    <format dxfId="37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0" count="0" selected="0"/>
          <reference field="31" count="1" selected="0">
            <x v="3"/>
          </reference>
          <reference field="32" count="0" selected="0"/>
        </references>
      </pivotArea>
    </format>
    <format dxfId="37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0" count="0" selected="0"/>
          <reference field="31" count="1" selected="0">
            <x v="3"/>
          </reference>
          <reference field="32" count="0" selected="0"/>
        </references>
      </pivotArea>
    </format>
    <format dxfId="38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0" count="0" selected="0"/>
          <reference field="31" count="1" selected="0">
            <x v="3"/>
          </reference>
          <reference field="32" count="0" selected="0"/>
        </references>
      </pivotArea>
    </format>
    <format dxfId="38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0" count="0" selected="0"/>
          <reference field="31" count="1" selected="0">
            <x v="3"/>
          </reference>
          <reference field="32" count="0" selected="0"/>
        </references>
      </pivotArea>
    </format>
    <format dxfId="38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0" count="0" selected="0"/>
          <reference field="31" count="1" selected="0">
            <x v="3"/>
          </reference>
          <reference field="32" count="0" selected="0"/>
        </references>
      </pivotArea>
    </format>
    <format dxfId="38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0" count="0" selected="0"/>
          <reference field="31" count="1" selected="0">
            <x v="3"/>
          </reference>
          <reference field="32" count="0" selected="0"/>
        </references>
      </pivotArea>
    </format>
    <format dxfId="38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0" count="0" selected="0"/>
          <reference field="31" count="1" selected="0">
            <x v="3"/>
          </reference>
          <reference field="32" count="0" selected="0"/>
        </references>
      </pivotArea>
    </format>
    <format dxfId="38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0" count="0" selected="0"/>
          <reference field="31" count="1" selected="0">
            <x v="3"/>
          </reference>
          <reference field="32" count="0" selected="0"/>
        </references>
      </pivotArea>
    </format>
    <format dxfId="38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0" count="0" selected="0"/>
          <reference field="31" count="1" selected="0">
            <x v="3"/>
          </reference>
          <reference field="32" count="0" selected="0"/>
        </references>
      </pivotArea>
    </format>
    <format dxfId="38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0" count="0" selected="0"/>
          <reference field="31" count="1" selected="0">
            <x v="3"/>
          </reference>
          <reference field="32" count="0" selected="0"/>
        </references>
      </pivotArea>
    </format>
    <format dxfId="38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0" count="0" selected="0"/>
          <reference field="31" count="1" selected="0">
            <x v="3"/>
          </reference>
          <reference field="32" count="0" selected="0"/>
        </references>
      </pivotArea>
    </format>
    <format dxfId="38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0" count="0" selected="0"/>
          <reference field="31" count="1" selected="0">
            <x v="3"/>
          </reference>
          <reference field="32" count="0" selected="0"/>
        </references>
      </pivotArea>
    </format>
    <format dxfId="39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0" count="0" selected="0"/>
          <reference field="31" count="1" selected="0">
            <x v="3"/>
          </reference>
          <reference field="32" count="0" selected="0"/>
        </references>
      </pivotArea>
    </format>
    <format dxfId="39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0" count="0" selected="0"/>
          <reference field="31" count="1" selected="0">
            <x v="3"/>
          </reference>
          <reference field="32" count="0" selected="0"/>
        </references>
      </pivotArea>
    </format>
    <format dxfId="39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0" count="0" selected="0"/>
          <reference field="31" count="1" selected="0">
            <x v="3"/>
          </reference>
          <reference field="32" count="0" selected="0"/>
        </references>
      </pivotArea>
    </format>
    <format dxfId="39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0" count="0" selected="0"/>
          <reference field="31" count="1" selected="0">
            <x v="3"/>
          </reference>
          <reference field="32" count="0" selected="0"/>
        </references>
      </pivotArea>
    </format>
    <format dxfId="39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0" count="0" selected="0"/>
          <reference field="31" count="1" selected="0">
            <x v="3"/>
          </reference>
          <reference field="32" count="0" selected="0"/>
        </references>
      </pivotArea>
    </format>
    <format dxfId="39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0" count="0" selected="0"/>
          <reference field="31" count="1" selected="0">
            <x v="3"/>
          </reference>
          <reference field="32" count="0" selected="0"/>
        </references>
      </pivotArea>
    </format>
    <format dxfId="39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0" count="0" selected="0"/>
          <reference field="31" count="1" selected="0">
            <x v="3"/>
          </reference>
          <reference field="32" count="0" selected="0"/>
        </references>
      </pivotArea>
    </format>
    <format dxfId="39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0" count="0" selected="0"/>
          <reference field="31" count="1" selected="0">
            <x v="3"/>
          </reference>
          <reference field="32" count="0" selected="0"/>
        </references>
      </pivotArea>
    </format>
    <format dxfId="39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0" count="0" selected="0"/>
          <reference field="31" count="1" selected="0">
            <x v="3"/>
          </reference>
          <reference field="32" count="0" selected="0"/>
        </references>
      </pivotArea>
    </format>
    <format dxfId="39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0" count="0" selected="0"/>
          <reference field="31" count="1" selected="0">
            <x v="3"/>
          </reference>
          <reference field="32" count="0" selected="0"/>
        </references>
      </pivotArea>
    </format>
    <format dxfId="40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0" count="0" selected="0"/>
          <reference field="31" count="1" selected="0">
            <x v="3"/>
          </reference>
          <reference field="32" count="0" selected="0"/>
        </references>
      </pivotArea>
    </format>
    <format dxfId="40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0" count="0" selected="0"/>
          <reference field="31" count="1" selected="0">
            <x v="3"/>
          </reference>
          <reference field="32" count="0" selected="0"/>
        </references>
      </pivotArea>
    </format>
    <format dxfId="40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0" count="0" selected="0"/>
          <reference field="31" count="1" selected="0">
            <x v="3"/>
          </reference>
          <reference field="32" count="0" selected="0"/>
        </references>
      </pivotArea>
    </format>
    <format dxfId="403">
      <pivotArea dataOnly="0" labelOnly="1" fieldPosition="0">
        <references count="7">
          <reference field="3" count="1" selected="0">
            <x v="1"/>
          </reference>
          <reference field="5" count="1" selected="0">
            <x v="1"/>
          </reference>
          <reference field="9" count="1" selected="0">
            <x v="4"/>
          </reference>
          <reference field="11" count="1">
            <x v="15"/>
          </reference>
          <reference field="30" count="0" selected="0"/>
          <reference field="31" count="1" selected="0">
            <x v="3"/>
          </reference>
          <reference field="32" count="0" selected="0"/>
        </references>
      </pivotArea>
    </format>
    <format dxfId="404">
      <pivotArea dataOnly="0" labelOnly="1" fieldPosition="0">
        <references count="7">
          <reference field="3" count="1" selected="0">
            <x v="1"/>
          </reference>
          <reference field="5" count="1" selected="0">
            <x v="1"/>
          </reference>
          <reference field="9" count="1" selected="0">
            <x v="4"/>
          </reference>
          <reference field="11" count="1">
            <x v="15"/>
          </reference>
          <reference field="30" count="0" selected="0"/>
          <reference field="31" count="1" selected="0">
            <x v="3"/>
          </reference>
          <reference field="32" count="0" selected="0"/>
        </references>
      </pivotArea>
    </format>
    <format dxfId="405">
      <pivotArea dataOnly="0" labelOnly="1" fieldPosition="0">
        <references count="7">
          <reference field="3" count="1" selected="0">
            <x v="1"/>
          </reference>
          <reference field="5" count="1" selected="0">
            <x v="1"/>
          </reference>
          <reference field="9" count="1" selected="0">
            <x v="4"/>
          </reference>
          <reference field="11" count="1">
            <x v="15"/>
          </reference>
          <reference field="30" count="0" selected="0"/>
          <reference field="31" count="1" selected="0">
            <x v="3"/>
          </reference>
          <reference field="32" count="0" selected="0"/>
        </references>
      </pivotArea>
    </format>
    <format dxfId="406">
      <pivotArea dataOnly="0" labelOnly="1" fieldPosition="0">
        <references count="7">
          <reference field="3" count="1" selected="0">
            <x v="1"/>
          </reference>
          <reference field="5" count="1" selected="0">
            <x v="1"/>
          </reference>
          <reference field="9" count="1" selected="0">
            <x v="4"/>
          </reference>
          <reference field="11" count="1">
            <x v="15"/>
          </reference>
          <reference field="30" count="0" selected="0"/>
          <reference field="31" count="1" selected="0">
            <x v="3"/>
          </reference>
          <reference field="32" count="0" selected="0"/>
        </references>
      </pivotArea>
    </format>
    <format dxfId="407">
      <pivotArea dataOnly="0" labelOnly="1" fieldPosition="0">
        <references count="7">
          <reference field="3" count="1" selected="0">
            <x v="1"/>
          </reference>
          <reference field="5" count="1" selected="0">
            <x v="1"/>
          </reference>
          <reference field="9" count="1" selected="0">
            <x v="4"/>
          </reference>
          <reference field="11" count="1">
            <x v="15"/>
          </reference>
          <reference field="30" count="0" selected="0"/>
          <reference field="31" count="1" selected="0">
            <x v="3"/>
          </reference>
          <reference field="32" count="0" selected="0"/>
        </references>
      </pivotArea>
    </format>
    <format dxfId="408">
      <pivotArea dataOnly="0" labelOnly="1" fieldPosition="0">
        <references count="7">
          <reference field="3" count="1" selected="0">
            <x v="1"/>
          </reference>
          <reference field="5" count="1" selected="0">
            <x v="1"/>
          </reference>
          <reference field="9" count="1" selected="0">
            <x v="4"/>
          </reference>
          <reference field="11" count="1">
            <x v="15"/>
          </reference>
          <reference field="30" count="0" selected="0"/>
          <reference field="31" count="1" selected="0">
            <x v="3"/>
          </reference>
          <reference field="32" count="0" selected="0"/>
        </references>
      </pivotArea>
    </format>
    <format dxfId="409">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0" count="0" selected="0"/>
          <reference field="31" count="1" selected="0">
            <x v="3"/>
          </reference>
          <reference field="32" count="1" selected="0">
            <x v="7"/>
          </reference>
        </references>
      </pivotArea>
    </format>
    <format dxfId="410">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0" count="0" selected="0"/>
          <reference field="31" count="1" selected="0">
            <x v="3"/>
          </reference>
          <reference field="32" count="1" selected="0">
            <x v="7"/>
          </reference>
        </references>
      </pivotArea>
    </format>
    <format dxfId="411">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0" count="0" selected="0"/>
          <reference field="31" count="1" selected="0">
            <x v="3"/>
          </reference>
          <reference field="32" count="1" selected="0">
            <x v="7"/>
          </reference>
        </references>
      </pivotArea>
    </format>
    <format dxfId="412">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0" count="0" selected="0"/>
          <reference field="31" count="1" selected="0">
            <x v="3"/>
          </reference>
          <reference field="32" count="1" selected="0">
            <x v="7"/>
          </reference>
        </references>
      </pivotArea>
    </format>
    <format dxfId="413">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0" count="0" selected="0"/>
          <reference field="31" count="1" selected="0">
            <x v="3"/>
          </reference>
          <reference field="32" count="1" selected="0">
            <x v="7"/>
          </reference>
        </references>
      </pivotArea>
    </format>
    <format dxfId="414">
      <pivotArea dataOnly="0" labelOnly="1" fieldPosition="0">
        <references count="1">
          <reference field="11" count="0"/>
        </references>
      </pivotArea>
    </format>
    <format dxfId="415">
      <pivotArea collapsedLevelsAreSubtotals="1" fieldPosition="0">
        <references count="7">
          <reference field="3" count="1" selected="0">
            <x v="0"/>
          </reference>
          <reference field="5" count="1" selected="0">
            <x v="0"/>
          </reference>
          <reference field="9" count="1" selected="0">
            <x v="0"/>
          </reference>
          <reference field="11" count="1">
            <x v="3"/>
          </reference>
          <reference field="30" count="0" selected="0"/>
          <reference field="31" count="1" selected="0">
            <x v="0"/>
          </reference>
          <reference field="32" count="1" selected="0">
            <x v="1"/>
          </reference>
        </references>
      </pivotArea>
    </format>
    <format dxfId="416">
      <pivotArea dataOnly="0" labelOnly="1" fieldPosition="0">
        <references count="7">
          <reference field="3" count="1" selected="0">
            <x v="0"/>
          </reference>
          <reference field="5" count="1" selected="0">
            <x v="0"/>
          </reference>
          <reference field="9" count="1" selected="0">
            <x v="0"/>
          </reference>
          <reference field="11" count="1">
            <x v="3"/>
          </reference>
          <reference field="30" count="0" selected="0"/>
          <reference field="31" count="1" selected="0">
            <x v="0"/>
          </reference>
          <reference field="32" count="1" selected="0">
            <x v="1"/>
          </reference>
        </references>
      </pivotArea>
    </format>
    <format dxfId="417">
      <pivotArea collapsedLevelsAreSubtotals="1" fieldPosition="0">
        <references count="7">
          <reference field="3" count="1" selected="0">
            <x v="0"/>
          </reference>
          <reference field="5" count="1" selected="0">
            <x v="0"/>
          </reference>
          <reference field="9" count="1" selected="0">
            <x v="0"/>
          </reference>
          <reference field="11" count="1">
            <x v="4"/>
          </reference>
          <reference field="30" count="0" selected="0"/>
          <reference field="31" count="1" selected="0">
            <x v="0"/>
          </reference>
          <reference field="32" count="1" selected="0">
            <x v="2"/>
          </reference>
        </references>
      </pivotArea>
    </format>
    <format dxfId="418">
      <pivotArea dataOnly="0" labelOnly="1" fieldPosition="0">
        <references count="7">
          <reference field="3" count="1" selected="0">
            <x v="0"/>
          </reference>
          <reference field="5" count="1" selected="0">
            <x v="0"/>
          </reference>
          <reference field="9" count="1" selected="0">
            <x v="0"/>
          </reference>
          <reference field="11" count="1">
            <x v="4"/>
          </reference>
          <reference field="30" count="0" selected="0"/>
          <reference field="31" count="1" selected="0">
            <x v="0"/>
          </reference>
          <reference field="32" count="1" selected="0">
            <x v="2"/>
          </reference>
        </references>
      </pivotArea>
    </format>
    <format dxfId="419">
      <pivotArea collapsedLevelsAreSubtotals="1" fieldPosition="0">
        <references count="7">
          <reference field="3" count="1" selected="0">
            <x v="0"/>
          </reference>
          <reference field="5" count="1" selected="0">
            <x v="0"/>
          </reference>
          <reference field="9" count="1" selected="0">
            <x v="0"/>
          </reference>
          <reference field="11" count="1">
            <x v="1"/>
          </reference>
          <reference field="30" count="0" selected="0"/>
          <reference field="31" count="1" selected="0">
            <x v="1"/>
          </reference>
          <reference field="32" count="1" selected="0">
            <x v="4"/>
          </reference>
        </references>
      </pivotArea>
    </format>
    <format dxfId="420">
      <pivotArea dataOnly="0" labelOnly="1" fieldPosition="0">
        <references count="7">
          <reference field="3" count="1" selected="0">
            <x v="0"/>
          </reference>
          <reference field="5" count="1" selected="0">
            <x v="0"/>
          </reference>
          <reference field="9" count="1" selected="0">
            <x v="0"/>
          </reference>
          <reference field="11" count="1">
            <x v="1"/>
          </reference>
          <reference field="30" count="0" selected="0"/>
          <reference field="31" count="1" selected="0">
            <x v="1"/>
          </reference>
          <reference field="32" count="1" selected="0">
            <x v="4"/>
          </reference>
        </references>
      </pivotArea>
    </format>
    <format dxfId="421">
      <pivotArea collapsedLevelsAreSubtotals="1" fieldPosition="0">
        <references count="7">
          <reference field="3" count="1" selected="0">
            <x v="0"/>
          </reference>
          <reference field="5" count="1" selected="0">
            <x v="0"/>
          </reference>
          <reference field="9" count="1" selected="0">
            <x v="0"/>
          </reference>
          <reference field="11" count="1">
            <x v="2"/>
          </reference>
          <reference field="30" count="0" selected="0"/>
          <reference field="31" count="1" selected="0">
            <x v="1"/>
          </reference>
          <reference field="32" count="1" selected="0">
            <x v="6"/>
          </reference>
        </references>
      </pivotArea>
    </format>
    <format dxfId="422">
      <pivotArea dataOnly="0" labelOnly="1" fieldPosition="0">
        <references count="7">
          <reference field="3" count="1" selected="0">
            <x v="0"/>
          </reference>
          <reference field="5" count="1" selected="0">
            <x v="0"/>
          </reference>
          <reference field="9" count="1" selected="0">
            <x v="0"/>
          </reference>
          <reference field="11" count="1">
            <x v="2"/>
          </reference>
          <reference field="30" count="0" selected="0"/>
          <reference field="31" count="1" selected="0">
            <x v="1"/>
          </reference>
          <reference field="32" count="1" selected="0">
            <x v="6"/>
          </reference>
        </references>
      </pivotArea>
    </format>
    <format dxfId="423">
      <pivotArea collapsedLevelsAreSubtotals="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0"/>
          </reference>
          <reference field="32" count="1" selected="0">
            <x v="2"/>
          </reference>
        </references>
      </pivotArea>
    </format>
    <format dxfId="424">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0"/>
          </reference>
          <reference field="32" count="1" selected="0">
            <x v="2"/>
          </reference>
        </references>
      </pivotArea>
    </format>
    <format dxfId="425">
      <pivotArea collapsedLevelsAreSubtotals="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1"/>
          </reference>
          <reference field="32" count="1" selected="0">
            <x v="4"/>
          </reference>
        </references>
      </pivotArea>
    </format>
    <format dxfId="426">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1"/>
          </reference>
          <reference field="32" count="1" selected="0">
            <x v="4"/>
          </reference>
        </references>
      </pivotArea>
    </format>
    <format dxfId="427">
      <pivotArea collapsedLevelsAreSubtotals="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1"/>
          </reference>
          <reference field="32" count="1" selected="0">
            <x v="6"/>
          </reference>
        </references>
      </pivotArea>
    </format>
    <format dxfId="428">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1"/>
          </reference>
          <reference field="32" count="1" selected="0">
            <x v="6"/>
          </reference>
        </references>
      </pivotArea>
    </format>
    <format dxfId="429">
      <pivotArea collapsedLevelsAreSubtotals="1" fieldPosition="0">
        <references count="7">
          <reference field="3" count="1" selected="0">
            <x v="1"/>
          </reference>
          <reference field="5" count="1" selected="0">
            <x v="1"/>
          </reference>
          <reference field="9" count="1" selected="0">
            <x v="7"/>
          </reference>
          <reference field="11" count="1">
            <x v="8"/>
          </reference>
          <reference field="30" count="0" selected="0"/>
          <reference field="31" count="1" selected="0">
            <x v="2"/>
          </reference>
          <reference field="32" count="1" selected="0">
            <x v="0"/>
          </reference>
        </references>
      </pivotArea>
    </format>
    <format dxfId="430">
      <pivotArea dataOnly="0" labelOnly="1" fieldPosition="0">
        <references count="7">
          <reference field="3" count="1" selected="0">
            <x v="1"/>
          </reference>
          <reference field="5" count="1" selected="0">
            <x v="1"/>
          </reference>
          <reference field="9" count="1" selected="0">
            <x v="7"/>
          </reference>
          <reference field="11" count="1">
            <x v="8"/>
          </reference>
          <reference field="30" count="0" selected="0"/>
          <reference field="31" count="1" selected="0">
            <x v="2"/>
          </reference>
          <reference field="32" count="1" selected="0">
            <x v="0"/>
          </reference>
        </references>
      </pivotArea>
    </format>
    <format dxfId="431">
      <pivotArea collapsedLevelsAreSubtotals="1" fieldPosition="0">
        <references count="7">
          <reference field="3" count="1" selected="0">
            <x v="1"/>
          </reference>
          <reference field="5" count="1" selected="0">
            <x v="1"/>
          </reference>
          <reference field="9" count="1" selected="0">
            <x v="7"/>
          </reference>
          <reference field="11" count="1">
            <x v="13"/>
          </reference>
          <reference field="30" count="0" selected="0"/>
          <reference field="31" count="1" selected="0">
            <x v="2"/>
          </reference>
          <reference field="32" count="1" selected="0">
            <x v="0"/>
          </reference>
        </references>
      </pivotArea>
    </format>
    <format dxfId="432">
      <pivotArea dataOnly="0" labelOnly="1" fieldPosition="0">
        <references count="7">
          <reference field="3" count="1" selected="0">
            <x v="1"/>
          </reference>
          <reference field="5" count="1" selected="0">
            <x v="1"/>
          </reference>
          <reference field="9" count="1" selected="0">
            <x v="7"/>
          </reference>
          <reference field="11" count="1">
            <x v="13"/>
          </reference>
          <reference field="30" count="0" selected="0"/>
          <reference field="31" count="1" selected="0">
            <x v="2"/>
          </reference>
          <reference field="32" count="1" selected="0">
            <x v="0"/>
          </reference>
        </references>
      </pivotArea>
    </format>
    <format dxfId="433">
      <pivotArea collapsedLevelsAreSubtotals="1" fieldPosition="0">
        <references count="7">
          <reference field="3" count="1" selected="0">
            <x v="1"/>
          </reference>
          <reference field="5" count="1" selected="0">
            <x v="1"/>
          </reference>
          <reference field="9" count="1" selected="0">
            <x v="2"/>
          </reference>
          <reference field="11" count="1">
            <x v="14"/>
          </reference>
          <reference field="30" count="0" selected="0"/>
          <reference field="31" count="1" selected="0">
            <x v="2"/>
          </reference>
          <reference field="32" count="1" selected="0">
            <x v="5"/>
          </reference>
        </references>
      </pivotArea>
    </format>
    <format dxfId="434">
      <pivotArea dataOnly="0" labelOnly="1" fieldPosition="0">
        <references count="7">
          <reference field="3" count="1" selected="0">
            <x v="1"/>
          </reference>
          <reference field="5" count="1" selected="0">
            <x v="1"/>
          </reference>
          <reference field="9" count="1" selected="0">
            <x v="2"/>
          </reference>
          <reference field="11" count="1">
            <x v="14"/>
          </reference>
          <reference field="30" count="0" selected="0"/>
          <reference field="31" count="1" selected="0">
            <x v="2"/>
          </reference>
          <reference field="32" count="1" selected="0">
            <x v="5"/>
          </reference>
        </references>
      </pivotArea>
    </format>
    <format dxfId="435">
      <pivotArea collapsedLevelsAreSubtotals="1" fieldPosition="0">
        <references count="7">
          <reference field="3" count="1" selected="0">
            <x v="1"/>
          </reference>
          <reference field="5" count="1" selected="0">
            <x v="1"/>
          </reference>
          <reference field="9" count="1" selected="0">
            <x v="6"/>
          </reference>
          <reference field="11" count="1">
            <x v="9"/>
          </reference>
          <reference field="30" count="0" selected="0"/>
          <reference field="31" count="1" selected="0">
            <x v="2"/>
          </reference>
          <reference field="32" count="1" selected="0">
            <x v="5"/>
          </reference>
        </references>
      </pivotArea>
    </format>
    <format dxfId="436">
      <pivotArea dataOnly="0" labelOnly="1" fieldPosition="0">
        <references count="7">
          <reference field="3" count="1" selected="0">
            <x v="1"/>
          </reference>
          <reference field="5" count="1" selected="0">
            <x v="1"/>
          </reference>
          <reference field="9" count="1" selected="0">
            <x v="6"/>
          </reference>
          <reference field="11" count="1">
            <x v="9"/>
          </reference>
          <reference field="30" count="0" selected="0"/>
          <reference field="31" count="1" selected="0">
            <x v="2"/>
          </reference>
          <reference field="32" count="1" selected="0">
            <x v="5"/>
          </reference>
        </references>
      </pivotArea>
    </format>
    <format dxfId="437">
      <pivotArea collapsedLevelsAreSubtotals="1" fieldPosition="0">
        <references count="7">
          <reference field="3" count="1" selected="0">
            <x v="1"/>
          </reference>
          <reference field="5" count="1" selected="0">
            <x v="1"/>
          </reference>
          <reference field="9" count="1" selected="0">
            <x v="8"/>
          </reference>
          <reference field="11" count="1">
            <x v="7"/>
          </reference>
          <reference field="30" count="0" selected="0"/>
          <reference field="31" count="1" selected="0">
            <x v="3"/>
          </reference>
          <reference field="32" count="1" selected="0">
            <x v="3"/>
          </reference>
        </references>
      </pivotArea>
    </format>
    <format dxfId="438">
      <pivotArea dataOnly="0" labelOnly="1" fieldPosition="0">
        <references count="7">
          <reference field="3" count="1" selected="0">
            <x v="1"/>
          </reference>
          <reference field="5" count="1" selected="0">
            <x v="1"/>
          </reference>
          <reference field="9" count="1" selected="0">
            <x v="8"/>
          </reference>
          <reference field="11" count="1">
            <x v="7"/>
          </reference>
          <reference field="30" count="0" selected="0"/>
          <reference field="31" count="1" selected="0">
            <x v="3"/>
          </reference>
          <reference field="32" count="1" selected="0">
            <x v="3"/>
          </reference>
        </references>
      </pivotArea>
    </format>
    <format dxfId="439">
      <pivotArea collapsedLevelsAreSubtotals="1" fieldPosition="0">
        <references count="7">
          <reference field="3" count="1" selected="0">
            <x v="1"/>
          </reference>
          <reference field="5" count="1" selected="0">
            <x v="1"/>
          </reference>
          <reference field="9" count="1" selected="0">
            <x v="1"/>
          </reference>
          <reference field="11" count="1">
            <x v="11"/>
          </reference>
          <reference field="30" count="0" selected="0"/>
          <reference field="31" count="1" selected="0">
            <x v="3"/>
          </reference>
          <reference field="32" count="1" selected="0">
            <x v="7"/>
          </reference>
        </references>
      </pivotArea>
    </format>
    <format dxfId="440">
      <pivotArea dataOnly="0" labelOnly="1" fieldPosition="0">
        <references count="7">
          <reference field="3" count="1" selected="0">
            <x v="1"/>
          </reference>
          <reference field="5" count="1" selected="0">
            <x v="1"/>
          </reference>
          <reference field="9" count="1" selected="0">
            <x v="1"/>
          </reference>
          <reference field="11" count="1">
            <x v="11"/>
          </reference>
          <reference field="30" count="0" selected="0"/>
          <reference field="31" count="1" selected="0">
            <x v="3"/>
          </reference>
          <reference field="32" count="1" selected="0">
            <x v="7"/>
          </reference>
        </references>
      </pivotArea>
    </format>
    <format dxfId="441">
      <pivotArea collapsedLevelsAreSubtotals="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3"/>
          </reference>
          <reference field="32" count="1" selected="0">
            <x v="7"/>
          </reference>
        </references>
      </pivotArea>
    </format>
    <format dxfId="442">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3"/>
          </reference>
          <reference field="32" count="1" selected="0">
            <x v="7"/>
          </reference>
        </references>
      </pivotArea>
    </format>
    <format dxfId="443">
      <pivotArea collapsedLevelsAreSubtotals="1" fieldPosition="0">
        <references count="7">
          <reference field="3" count="1" selected="0">
            <x v="1"/>
          </reference>
          <reference field="5" count="1" selected="0">
            <x v="1"/>
          </reference>
          <reference field="9" count="1" selected="0">
            <x v="4"/>
          </reference>
          <reference field="11" count="1">
            <x v="15"/>
          </reference>
          <reference field="30" count="0" selected="0"/>
          <reference field="31" count="1" selected="0">
            <x v="3"/>
          </reference>
          <reference field="32" count="1" selected="0">
            <x v="7"/>
          </reference>
        </references>
      </pivotArea>
    </format>
    <format dxfId="444">
      <pivotArea dataOnly="0" labelOnly="1" fieldPosition="0">
        <references count="7">
          <reference field="3" count="1" selected="0">
            <x v="1"/>
          </reference>
          <reference field="5" count="1" selected="0">
            <x v="1"/>
          </reference>
          <reference field="9" count="1" selected="0">
            <x v="4"/>
          </reference>
          <reference field="11" count="1">
            <x v="15"/>
          </reference>
          <reference field="30" count="0" selected="0"/>
          <reference field="31" count="1" selected="0">
            <x v="3"/>
          </reference>
          <reference field="32" count="1" selected="0">
            <x v="7"/>
          </reference>
        </references>
      </pivotArea>
    </format>
    <format dxfId="445">
      <pivotArea collapsedLevelsAreSubtotals="1" fieldPosition="0">
        <references count="7">
          <reference field="3" count="1" selected="0">
            <x v="1"/>
          </reference>
          <reference field="5" count="1" selected="0">
            <x v="1"/>
          </reference>
          <reference field="9" count="1" selected="0">
            <x v="5"/>
          </reference>
          <reference field="11" count="1">
            <x v="6"/>
          </reference>
          <reference field="30" count="0" selected="0"/>
          <reference field="31" count="1" selected="0">
            <x v="3"/>
          </reference>
          <reference field="32" count="1" selected="0">
            <x v="7"/>
          </reference>
        </references>
      </pivotArea>
    </format>
    <format dxfId="446">
      <pivotArea dataOnly="0" labelOnly="1" fieldPosition="0">
        <references count="7">
          <reference field="3" count="1" selected="0">
            <x v="1"/>
          </reference>
          <reference field="5" count="1" selected="0">
            <x v="1"/>
          </reference>
          <reference field="9" count="1" selected="0">
            <x v="5"/>
          </reference>
          <reference field="11" count="1">
            <x v="6"/>
          </reference>
          <reference field="30" count="0" selected="0"/>
          <reference field="31" count="1" selected="0">
            <x v="3"/>
          </reference>
          <reference field="32" count="1" selected="0">
            <x v="7"/>
          </reference>
        </references>
      </pivotArea>
    </format>
    <format dxfId="447">
      <pivotArea collapsedLevelsAreSubtotals="1" fieldPosition="0">
        <references count="7">
          <reference field="3" count="1" selected="0">
            <x v="1"/>
          </reference>
          <reference field="5" count="1" selected="0">
            <x v="2"/>
          </reference>
          <reference field="9" count="1" selected="0">
            <x v="9"/>
          </reference>
          <reference field="11" count="1">
            <x v="5"/>
          </reference>
          <reference field="30" count="0" selected="0"/>
          <reference field="31" count="1" selected="0">
            <x v="2"/>
          </reference>
          <reference field="32" count="1" selected="0">
            <x v="5"/>
          </reference>
        </references>
      </pivotArea>
    </format>
    <format dxfId="448">
      <pivotArea dataOnly="0" labelOnly="1" fieldPosition="0">
        <references count="7">
          <reference field="3" count="1" selected="0">
            <x v="1"/>
          </reference>
          <reference field="5" count="1" selected="0">
            <x v="2"/>
          </reference>
          <reference field="9" count="1" selected="0">
            <x v="9"/>
          </reference>
          <reference field="11" count="1">
            <x v="5"/>
          </reference>
          <reference field="30" count="0" selected="0"/>
          <reference field="31" count="1" selected="0">
            <x v="2"/>
          </reference>
          <reference field="32" count="1" selected="0">
            <x v="5"/>
          </reference>
        </references>
      </pivotArea>
    </format>
    <format dxfId="449">
      <pivotArea collapsedLevelsAreSubtotals="1" fieldPosition="0">
        <references count="7">
          <reference field="3" count="1" selected="0">
            <x v="1"/>
          </reference>
          <reference field="5" count="1" selected="0">
            <x v="2"/>
          </reference>
          <reference field="9" count="1" selected="0">
            <x v="9"/>
          </reference>
          <reference field="11" count="1">
            <x v="12"/>
          </reference>
          <reference field="30" count="0" selected="0"/>
          <reference field="31" count="1" selected="0">
            <x v="2"/>
          </reference>
          <reference field="32" count="1" selected="0">
            <x v="5"/>
          </reference>
        </references>
      </pivotArea>
    </format>
    <format dxfId="450">
      <pivotArea dataOnly="0" labelOnly="1" fieldPosition="0">
        <references count="7">
          <reference field="3" count="1" selected="0">
            <x v="1"/>
          </reference>
          <reference field="5" count="1" selected="0">
            <x v="2"/>
          </reference>
          <reference field="9" count="1" selected="0">
            <x v="9"/>
          </reference>
          <reference field="11" count="1">
            <x v="12"/>
          </reference>
          <reference field="30" count="0" selected="0"/>
          <reference field="31" count="1" selected="0">
            <x v="2"/>
          </reference>
          <reference field="32" count="1" selected="0">
            <x v="5"/>
          </reference>
        </references>
      </pivotArea>
    </format>
    <format dxfId="451">
      <pivotArea collapsedLevelsAreSubtotals="1" fieldPosition="0">
        <references count="7">
          <reference field="3" count="1" selected="0">
            <x v="0"/>
          </reference>
          <reference field="5" count="1" selected="0">
            <x v="0"/>
          </reference>
          <reference field="9" count="1" selected="0">
            <x v="0"/>
          </reference>
          <reference field="11" count="1">
            <x v="3"/>
          </reference>
          <reference field="30" count="0" selected="0"/>
          <reference field="31" count="1" selected="0">
            <x v="0"/>
          </reference>
          <reference field="32" count="1" selected="0">
            <x v="1"/>
          </reference>
        </references>
      </pivotArea>
    </format>
    <format dxfId="452">
      <pivotArea dataOnly="0" labelOnly="1" fieldPosition="0">
        <references count="7">
          <reference field="3" count="1" selected="0">
            <x v="0"/>
          </reference>
          <reference field="5" count="1" selected="0">
            <x v="0"/>
          </reference>
          <reference field="9" count="1" selected="0">
            <x v="0"/>
          </reference>
          <reference field="11" count="1">
            <x v="3"/>
          </reference>
          <reference field="30" count="0" selected="0"/>
          <reference field="31" count="1" selected="0">
            <x v="0"/>
          </reference>
          <reference field="32" count="1" selected="0">
            <x v="1"/>
          </reference>
        </references>
      </pivotArea>
    </format>
    <format dxfId="453">
      <pivotArea collapsedLevelsAreSubtotals="1" fieldPosition="0">
        <references count="7">
          <reference field="3" count="1" selected="0">
            <x v="0"/>
          </reference>
          <reference field="5" count="1" selected="0">
            <x v="0"/>
          </reference>
          <reference field="9" count="1" selected="0">
            <x v="0"/>
          </reference>
          <reference field="11" count="1">
            <x v="4"/>
          </reference>
          <reference field="30" count="0" selected="0"/>
          <reference field="31" count="1" selected="0">
            <x v="0"/>
          </reference>
          <reference field="32" count="1" selected="0">
            <x v="2"/>
          </reference>
        </references>
      </pivotArea>
    </format>
    <format dxfId="454">
      <pivotArea dataOnly="0" labelOnly="1" fieldPosition="0">
        <references count="7">
          <reference field="3" count="1" selected="0">
            <x v="0"/>
          </reference>
          <reference field="5" count="1" selected="0">
            <x v="0"/>
          </reference>
          <reference field="9" count="1" selected="0">
            <x v="0"/>
          </reference>
          <reference field="11" count="1">
            <x v="4"/>
          </reference>
          <reference field="30" count="0" selected="0"/>
          <reference field="31" count="1" selected="0">
            <x v="0"/>
          </reference>
          <reference field="32" count="1" selected="0">
            <x v="2"/>
          </reference>
        </references>
      </pivotArea>
    </format>
    <format dxfId="455">
      <pivotArea collapsedLevelsAreSubtotals="1" fieldPosition="0">
        <references count="7">
          <reference field="3" count="1" selected="0">
            <x v="0"/>
          </reference>
          <reference field="5" count="1" selected="0">
            <x v="0"/>
          </reference>
          <reference field="9" count="1" selected="0">
            <x v="0"/>
          </reference>
          <reference field="11" count="1">
            <x v="1"/>
          </reference>
          <reference field="30" count="0" selected="0"/>
          <reference field="31" count="1" selected="0">
            <x v="1"/>
          </reference>
          <reference field="32" count="1" selected="0">
            <x v="4"/>
          </reference>
        </references>
      </pivotArea>
    </format>
    <format dxfId="456">
      <pivotArea dataOnly="0" labelOnly="1" fieldPosition="0">
        <references count="7">
          <reference field="3" count="1" selected="0">
            <x v="0"/>
          </reference>
          <reference field="5" count="1" selected="0">
            <x v="0"/>
          </reference>
          <reference field="9" count="1" selected="0">
            <x v="0"/>
          </reference>
          <reference field="11" count="1">
            <x v="1"/>
          </reference>
          <reference field="30" count="0" selected="0"/>
          <reference field="31" count="1" selected="0">
            <x v="1"/>
          </reference>
          <reference field="32" count="1" selected="0">
            <x v="4"/>
          </reference>
        </references>
      </pivotArea>
    </format>
    <format dxfId="457">
      <pivotArea collapsedLevelsAreSubtotals="1" fieldPosition="0">
        <references count="7">
          <reference field="3" count="1" selected="0">
            <x v="0"/>
          </reference>
          <reference field="5" count="1" selected="0">
            <x v="0"/>
          </reference>
          <reference field="9" count="1" selected="0">
            <x v="0"/>
          </reference>
          <reference field="11" count="1">
            <x v="2"/>
          </reference>
          <reference field="30" count="0" selected="0"/>
          <reference field="31" count="1" selected="0">
            <x v="1"/>
          </reference>
          <reference field="32" count="1" selected="0">
            <x v="6"/>
          </reference>
        </references>
      </pivotArea>
    </format>
    <format dxfId="458">
      <pivotArea dataOnly="0" labelOnly="1" fieldPosition="0">
        <references count="7">
          <reference field="3" count="1" selected="0">
            <x v="0"/>
          </reference>
          <reference field="5" count="1" selected="0">
            <x v="0"/>
          </reference>
          <reference field="9" count="1" selected="0">
            <x v="0"/>
          </reference>
          <reference field="11" count="1">
            <x v="2"/>
          </reference>
          <reference field="30" count="0" selected="0"/>
          <reference field="31" count="1" selected="0">
            <x v="1"/>
          </reference>
          <reference field="32" count="1" selected="0">
            <x v="6"/>
          </reference>
        </references>
      </pivotArea>
    </format>
    <format dxfId="459">
      <pivotArea collapsedLevelsAreSubtotals="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0"/>
          </reference>
          <reference field="32" count="1" selected="0">
            <x v="2"/>
          </reference>
        </references>
      </pivotArea>
    </format>
    <format dxfId="460">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0"/>
          </reference>
          <reference field="32" count="1" selected="0">
            <x v="2"/>
          </reference>
        </references>
      </pivotArea>
    </format>
    <format dxfId="461">
      <pivotArea collapsedLevelsAreSubtotals="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1"/>
          </reference>
          <reference field="32" count="1" selected="0">
            <x v="4"/>
          </reference>
        </references>
      </pivotArea>
    </format>
    <format dxfId="462">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1"/>
          </reference>
          <reference field="32" count="1" selected="0">
            <x v="4"/>
          </reference>
        </references>
      </pivotArea>
    </format>
    <format dxfId="463">
      <pivotArea collapsedLevelsAreSubtotals="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1"/>
          </reference>
          <reference field="32" count="1" selected="0">
            <x v="6"/>
          </reference>
        </references>
      </pivotArea>
    </format>
    <format dxfId="464">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1"/>
          </reference>
          <reference field="32" count="1" selected="0">
            <x v="6"/>
          </reference>
        </references>
      </pivotArea>
    </format>
    <format dxfId="465">
      <pivotArea collapsedLevelsAreSubtotals="1" fieldPosition="0">
        <references count="7">
          <reference field="3" count="1" selected="0">
            <x v="1"/>
          </reference>
          <reference field="5" count="1" selected="0">
            <x v="1"/>
          </reference>
          <reference field="9" count="1" selected="0">
            <x v="7"/>
          </reference>
          <reference field="11" count="1">
            <x v="8"/>
          </reference>
          <reference field="30" count="0" selected="0"/>
          <reference field="31" count="1" selected="0">
            <x v="2"/>
          </reference>
          <reference field="32" count="1" selected="0">
            <x v="0"/>
          </reference>
        </references>
      </pivotArea>
    </format>
    <format dxfId="466">
      <pivotArea dataOnly="0" labelOnly="1" fieldPosition="0">
        <references count="7">
          <reference field="3" count="1" selected="0">
            <x v="1"/>
          </reference>
          <reference field="5" count="1" selected="0">
            <x v="1"/>
          </reference>
          <reference field="9" count="1" selected="0">
            <x v="7"/>
          </reference>
          <reference field="11" count="1">
            <x v="8"/>
          </reference>
          <reference field="30" count="0" selected="0"/>
          <reference field="31" count="1" selected="0">
            <x v="2"/>
          </reference>
          <reference field="32" count="1" selected="0">
            <x v="0"/>
          </reference>
        </references>
      </pivotArea>
    </format>
    <format dxfId="467">
      <pivotArea collapsedLevelsAreSubtotals="1" fieldPosition="0">
        <references count="7">
          <reference field="3" count="1" selected="0">
            <x v="1"/>
          </reference>
          <reference field="5" count="1" selected="0">
            <x v="1"/>
          </reference>
          <reference field="9" count="1" selected="0">
            <x v="7"/>
          </reference>
          <reference field="11" count="1">
            <x v="13"/>
          </reference>
          <reference field="30" count="0" selected="0"/>
          <reference field="31" count="1" selected="0">
            <x v="2"/>
          </reference>
          <reference field="32" count="1" selected="0">
            <x v="0"/>
          </reference>
        </references>
      </pivotArea>
    </format>
    <format dxfId="468">
      <pivotArea dataOnly="0" labelOnly="1" fieldPosition="0">
        <references count="7">
          <reference field="3" count="1" selected="0">
            <x v="1"/>
          </reference>
          <reference field="5" count="1" selected="0">
            <x v="1"/>
          </reference>
          <reference field="9" count="1" selected="0">
            <x v="7"/>
          </reference>
          <reference field="11" count="1">
            <x v="13"/>
          </reference>
          <reference field="30" count="0" selected="0"/>
          <reference field="31" count="1" selected="0">
            <x v="2"/>
          </reference>
          <reference field="32" count="1" selected="0">
            <x v="0"/>
          </reference>
        </references>
      </pivotArea>
    </format>
    <format dxfId="469">
      <pivotArea collapsedLevelsAreSubtotals="1" fieldPosition="0">
        <references count="7">
          <reference field="3" count="1" selected="0">
            <x v="1"/>
          </reference>
          <reference field="5" count="1" selected="0">
            <x v="1"/>
          </reference>
          <reference field="9" count="1" selected="0">
            <x v="2"/>
          </reference>
          <reference field="11" count="1">
            <x v="14"/>
          </reference>
          <reference field="30" count="0" selected="0"/>
          <reference field="31" count="1" selected="0">
            <x v="2"/>
          </reference>
          <reference field="32" count="1" selected="0">
            <x v="5"/>
          </reference>
        </references>
      </pivotArea>
    </format>
    <format dxfId="470">
      <pivotArea dataOnly="0" labelOnly="1" fieldPosition="0">
        <references count="7">
          <reference field="3" count="1" selected="0">
            <x v="1"/>
          </reference>
          <reference field="5" count="1" selected="0">
            <x v="1"/>
          </reference>
          <reference field="9" count="1" selected="0">
            <x v="2"/>
          </reference>
          <reference field="11" count="1">
            <x v="14"/>
          </reference>
          <reference field="30" count="0" selected="0"/>
          <reference field="31" count="1" selected="0">
            <x v="2"/>
          </reference>
          <reference field="32" count="1" selected="0">
            <x v="5"/>
          </reference>
        </references>
      </pivotArea>
    </format>
    <format dxfId="471">
      <pivotArea collapsedLevelsAreSubtotals="1" fieldPosition="0">
        <references count="7">
          <reference field="3" count="1" selected="0">
            <x v="1"/>
          </reference>
          <reference field="5" count="1" selected="0">
            <x v="1"/>
          </reference>
          <reference field="9" count="1" selected="0">
            <x v="6"/>
          </reference>
          <reference field="11" count="1">
            <x v="9"/>
          </reference>
          <reference field="30" count="0" selected="0"/>
          <reference field="31" count="1" selected="0">
            <x v="2"/>
          </reference>
          <reference field="32" count="1" selected="0">
            <x v="5"/>
          </reference>
        </references>
      </pivotArea>
    </format>
    <format dxfId="472">
      <pivotArea dataOnly="0" labelOnly="1" fieldPosition="0">
        <references count="7">
          <reference field="3" count="1" selected="0">
            <x v="1"/>
          </reference>
          <reference field="5" count="1" selected="0">
            <x v="1"/>
          </reference>
          <reference field="9" count="1" selected="0">
            <x v="6"/>
          </reference>
          <reference field="11" count="1">
            <x v="9"/>
          </reference>
          <reference field="30" count="0" selected="0"/>
          <reference field="31" count="1" selected="0">
            <x v="2"/>
          </reference>
          <reference field="32" count="1" selected="0">
            <x v="5"/>
          </reference>
        </references>
      </pivotArea>
    </format>
    <format dxfId="473">
      <pivotArea collapsedLevelsAreSubtotals="1" fieldPosition="0">
        <references count="7">
          <reference field="3" count="1" selected="0">
            <x v="1"/>
          </reference>
          <reference field="5" count="1" selected="0">
            <x v="1"/>
          </reference>
          <reference field="9" count="1" selected="0">
            <x v="8"/>
          </reference>
          <reference field="11" count="1">
            <x v="7"/>
          </reference>
          <reference field="30" count="0" selected="0"/>
          <reference field="31" count="1" selected="0">
            <x v="3"/>
          </reference>
          <reference field="32" count="1" selected="0">
            <x v="3"/>
          </reference>
        </references>
      </pivotArea>
    </format>
    <format dxfId="474">
      <pivotArea dataOnly="0" labelOnly="1" fieldPosition="0">
        <references count="7">
          <reference field="3" count="1" selected="0">
            <x v="1"/>
          </reference>
          <reference field="5" count="1" selected="0">
            <x v="1"/>
          </reference>
          <reference field="9" count="1" selected="0">
            <x v="8"/>
          </reference>
          <reference field="11" count="1">
            <x v="7"/>
          </reference>
          <reference field="30" count="0" selected="0"/>
          <reference field="31" count="1" selected="0">
            <x v="3"/>
          </reference>
          <reference field="32" count="1" selected="0">
            <x v="3"/>
          </reference>
        </references>
      </pivotArea>
    </format>
    <format dxfId="475">
      <pivotArea collapsedLevelsAreSubtotals="1" fieldPosition="0">
        <references count="7">
          <reference field="3" count="1" selected="0">
            <x v="1"/>
          </reference>
          <reference field="5" count="1" selected="0">
            <x v="1"/>
          </reference>
          <reference field="9" count="1" selected="0">
            <x v="1"/>
          </reference>
          <reference field="11" count="1">
            <x v="11"/>
          </reference>
          <reference field="30" count="0" selected="0"/>
          <reference field="31" count="1" selected="0">
            <x v="3"/>
          </reference>
          <reference field="32" count="1" selected="0">
            <x v="7"/>
          </reference>
        </references>
      </pivotArea>
    </format>
    <format dxfId="476">
      <pivotArea dataOnly="0" labelOnly="1" fieldPosition="0">
        <references count="7">
          <reference field="3" count="1" selected="0">
            <x v="1"/>
          </reference>
          <reference field="5" count="1" selected="0">
            <x v="1"/>
          </reference>
          <reference field="9" count="1" selected="0">
            <x v="1"/>
          </reference>
          <reference field="11" count="1">
            <x v="11"/>
          </reference>
          <reference field="30" count="0" selected="0"/>
          <reference field="31" count="1" selected="0">
            <x v="3"/>
          </reference>
          <reference field="32" count="1" selected="0">
            <x v="7"/>
          </reference>
        </references>
      </pivotArea>
    </format>
    <format dxfId="477">
      <pivotArea collapsedLevelsAreSubtotals="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3"/>
          </reference>
          <reference field="32" count="1" selected="0">
            <x v="7"/>
          </reference>
        </references>
      </pivotArea>
    </format>
    <format dxfId="478">
      <pivotArea dataOnly="0" labelOnly="1" fieldPosition="0">
        <references count="7">
          <reference field="3" count="1" selected="0">
            <x v="1"/>
          </reference>
          <reference field="5" count="1" selected="0">
            <x v="1"/>
          </reference>
          <reference field="9" count="1" selected="0">
            <x v="3"/>
          </reference>
          <reference field="11" count="1">
            <x v="10"/>
          </reference>
          <reference field="30" count="0" selected="0"/>
          <reference field="31" count="1" selected="0">
            <x v="3"/>
          </reference>
          <reference field="32" count="1" selected="0">
            <x v="7"/>
          </reference>
        </references>
      </pivotArea>
    </format>
    <format dxfId="479">
      <pivotArea collapsedLevelsAreSubtotals="1" fieldPosition="0">
        <references count="7">
          <reference field="3" count="1" selected="0">
            <x v="1"/>
          </reference>
          <reference field="5" count="1" selected="0">
            <x v="1"/>
          </reference>
          <reference field="9" count="1" selected="0">
            <x v="4"/>
          </reference>
          <reference field="11" count="1">
            <x v="15"/>
          </reference>
          <reference field="30" count="0" selected="0"/>
          <reference field="31" count="1" selected="0">
            <x v="3"/>
          </reference>
          <reference field="32" count="1" selected="0">
            <x v="7"/>
          </reference>
        </references>
      </pivotArea>
    </format>
    <format dxfId="480">
      <pivotArea dataOnly="0" labelOnly="1" fieldPosition="0">
        <references count="7">
          <reference field="3" count="1" selected="0">
            <x v="1"/>
          </reference>
          <reference field="5" count="1" selected="0">
            <x v="1"/>
          </reference>
          <reference field="9" count="1" selected="0">
            <x v="4"/>
          </reference>
          <reference field="11" count="1">
            <x v="15"/>
          </reference>
          <reference field="30" count="0" selected="0"/>
          <reference field="31" count="1" selected="0">
            <x v="3"/>
          </reference>
          <reference field="32" count="1" selected="0">
            <x v="7"/>
          </reference>
        </references>
      </pivotArea>
    </format>
    <format dxfId="481">
      <pivotArea collapsedLevelsAreSubtotals="1" fieldPosition="0">
        <references count="7">
          <reference field="3" count="1" selected="0">
            <x v="1"/>
          </reference>
          <reference field="5" count="1" selected="0">
            <x v="1"/>
          </reference>
          <reference field="9" count="1" selected="0">
            <x v="5"/>
          </reference>
          <reference field="11" count="1">
            <x v="6"/>
          </reference>
          <reference field="30" count="0" selected="0"/>
          <reference field="31" count="1" selected="0">
            <x v="3"/>
          </reference>
          <reference field="32" count="1" selected="0">
            <x v="7"/>
          </reference>
        </references>
      </pivotArea>
    </format>
    <format dxfId="482">
      <pivotArea dataOnly="0" labelOnly="1" fieldPosition="0">
        <references count="7">
          <reference field="3" count="1" selected="0">
            <x v="1"/>
          </reference>
          <reference field="5" count="1" selected="0">
            <x v="1"/>
          </reference>
          <reference field="9" count="1" selected="0">
            <x v="5"/>
          </reference>
          <reference field="11" count="1">
            <x v="6"/>
          </reference>
          <reference field="30" count="0" selected="0"/>
          <reference field="31" count="1" selected="0">
            <x v="3"/>
          </reference>
          <reference field="32" count="1" selected="0">
            <x v="7"/>
          </reference>
        </references>
      </pivotArea>
    </format>
    <format dxfId="483">
      <pivotArea collapsedLevelsAreSubtotals="1" fieldPosition="0">
        <references count="7">
          <reference field="3" count="1" selected="0">
            <x v="1"/>
          </reference>
          <reference field="5" count="1" selected="0">
            <x v="2"/>
          </reference>
          <reference field="9" count="1" selected="0">
            <x v="9"/>
          </reference>
          <reference field="11" count="1">
            <x v="5"/>
          </reference>
          <reference field="30" count="0" selected="0"/>
          <reference field="31" count="1" selected="0">
            <x v="2"/>
          </reference>
          <reference field="32" count="1" selected="0">
            <x v="5"/>
          </reference>
        </references>
      </pivotArea>
    </format>
    <format dxfId="484">
      <pivotArea dataOnly="0" labelOnly="1" fieldPosition="0">
        <references count="7">
          <reference field="3" count="1" selected="0">
            <x v="1"/>
          </reference>
          <reference field="5" count="1" selected="0">
            <x v="2"/>
          </reference>
          <reference field="9" count="1" selected="0">
            <x v="9"/>
          </reference>
          <reference field="11" count="1">
            <x v="5"/>
          </reference>
          <reference field="30" count="0" selected="0"/>
          <reference field="31" count="1" selected="0">
            <x v="2"/>
          </reference>
          <reference field="32" count="1" selected="0">
            <x v="5"/>
          </reference>
        </references>
      </pivotArea>
    </format>
    <format dxfId="485">
      <pivotArea collapsedLevelsAreSubtotals="1" fieldPosition="0">
        <references count="7">
          <reference field="3" count="1" selected="0">
            <x v="1"/>
          </reference>
          <reference field="5" count="1" selected="0">
            <x v="2"/>
          </reference>
          <reference field="9" count="1" selected="0">
            <x v="9"/>
          </reference>
          <reference field="11" count="1">
            <x v="12"/>
          </reference>
          <reference field="30" count="0" selected="0"/>
          <reference field="31" count="1" selected="0">
            <x v="2"/>
          </reference>
          <reference field="32" count="1" selected="0">
            <x v="5"/>
          </reference>
        </references>
      </pivotArea>
    </format>
    <format dxfId="486">
      <pivotArea dataOnly="0" labelOnly="1" fieldPosition="0">
        <references count="7">
          <reference field="3" count="1" selected="0">
            <x v="1"/>
          </reference>
          <reference field="5" count="1" selected="0">
            <x v="2"/>
          </reference>
          <reference field="9" count="1" selected="0">
            <x v="9"/>
          </reference>
          <reference field="11" count="1">
            <x v="12"/>
          </reference>
          <reference field="30" count="0" selected="0"/>
          <reference field="31" count="1" selected="0">
            <x v="2"/>
          </reference>
          <reference field="32" count="1" selected="0">
            <x v="5"/>
          </reference>
        </references>
      </pivotArea>
    </format>
    <format dxfId="48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A08277B-4F95-40CF-8FB5-DC4D7924AD4F}"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B7:J20" firstHeaderRow="0" firstDataRow="1" firstDataCol="1"/>
  <pivotFields count="50">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2">
    <field x="30"/>
    <field x="31"/>
  </rowFields>
  <rowItems count="13">
    <i>
      <x/>
    </i>
    <i r="1">
      <x v="3"/>
    </i>
    <i r="1">
      <x v="7"/>
    </i>
    <i>
      <x v="1"/>
    </i>
    <i r="1">
      <x/>
    </i>
    <i r="1">
      <x v="5"/>
    </i>
    <i>
      <x v="2"/>
    </i>
    <i r="1">
      <x v="4"/>
    </i>
    <i r="1">
      <x v="6"/>
    </i>
    <i>
      <x v="3"/>
    </i>
    <i r="1">
      <x v="1"/>
    </i>
    <i r="1">
      <x v="2"/>
    </i>
    <i t="grand">
      <x/>
    </i>
  </rowItems>
  <colFields count="1">
    <field x="-2"/>
  </colFields>
  <colItems count="8">
    <i>
      <x/>
    </i>
    <i i="1">
      <x v="1"/>
    </i>
    <i i="2">
      <x v="2"/>
    </i>
    <i i="3">
      <x v="3"/>
    </i>
    <i i="4">
      <x v="4"/>
    </i>
    <i i="5">
      <x v="5"/>
    </i>
    <i i="6">
      <x v="6"/>
    </i>
    <i i="7">
      <x v="7"/>
    </i>
  </colItems>
  <dataFields count="8">
    <dataField name="Sum of GUP 1" fld="42" baseField="0" baseItem="0"/>
    <dataField name="Sum of TUP 1" fld="43" baseField="0" baseItem="0"/>
    <dataField name="Sum of GUP 2" fld="44" baseField="0" baseItem="0"/>
    <dataField name="Sum of GUP 3" fld="45" baseField="0" baseItem="0"/>
    <dataField name="Sum of GUP 4" fld="46" baseField="0" baseItem="0"/>
    <dataField name="Sum of GUP 5" fld="47" baseField="0" baseItem="0"/>
    <dataField name="Sum of TUP 2 (1)" fld="48" baseField="0" baseItem="0"/>
    <dataField name="Sum of TUP 2 (2)" fld="49" baseField="0" baseItem="0"/>
  </dataFields>
  <formats count="15">
    <format dxfId="731">
      <pivotArea outline="0" collapsedLevelsAreSubtotals="1" fieldPosition="0"/>
    </format>
    <format dxfId="730">
      <pivotArea type="all" dataOnly="0" outline="0" fieldPosition="0"/>
    </format>
    <format dxfId="729">
      <pivotArea outline="0" collapsedLevelsAreSubtotals="1" fieldPosition="0"/>
    </format>
    <format dxfId="728">
      <pivotArea field="30" type="button" dataOnly="0" labelOnly="1" outline="0" axis="axisRow" fieldPosition="0"/>
    </format>
    <format dxfId="727">
      <pivotArea dataOnly="0" labelOnly="1" grandRow="1" outline="0" fieldPosition="0"/>
    </format>
    <format dxfId="726">
      <pivotArea dataOnly="0" labelOnly="1" outline="0" fieldPosition="0">
        <references count="1">
          <reference field="4294967294" count="4">
            <x v="0"/>
            <x v="1"/>
            <x v="2"/>
            <x v="3"/>
          </reference>
        </references>
      </pivotArea>
    </format>
    <format dxfId="725">
      <pivotArea dataOnly="0" labelOnly="1" fieldPosition="0">
        <references count="1">
          <reference field="30" count="0"/>
        </references>
      </pivotArea>
    </format>
    <format dxfId="724">
      <pivotArea collapsedLevelsAreSubtotals="1" fieldPosition="0">
        <references count="1">
          <reference field="30" count="1">
            <x v="0"/>
          </reference>
        </references>
      </pivotArea>
    </format>
    <format dxfId="723">
      <pivotArea dataOnly="0" labelOnly="1" fieldPosition="0">
        <references count="1">
          <reference field="30" count="1">
            <x v="0"/>
          </reference>
        </references>
      </pivotArea>
    </format>
    <format dxfId="722">
      <pivotArea collapsedLevelsAreSubtotals="1" fieldPosition="0">
        <references count="1">
          <reference field="30" count="1">
            <x v="1"/>
          </reference>
        </references>
      </pivotArea>
    </format>
    <format dxfId="721">
      <pivotArea dataOnly="0" labelOnly="1" fieldPosition="0">
        <references count="1">
          <reference field="30" count="1">
            <x v="1"/>
          </reference>
        </references>
      </pivotArea>
    </format>
    <format dxfId="720">
      <pivotArea collapsedLevelsAreSubtotals="1" fieldPosition="0">
        <references count="1">
          <reference field="30" count="1">
            <x v="2"/>
          </reference>
        </references>
      </pivotArea>
    </format>
    <format dxfId="719">
      <pivotArea dataOnly="0" labelOnly="1" fieldPosition="0">
        <references count="1">
          <reference field="30" count="1">
            <x v="2"/>
          </reference>
        </references>
      </pivotArea>
    </format>
    <format dxfId="718">
      <pivotArea collapsedLevelsAreSubtotals="1" fieldPosition="0">
        <references count="1">
          <reference field="30" count="1">
            <x v="3"/>
          </reference>
        </references>
      </pivotArea>
    </format>
    <format dxfId="717">
      <pivotArea dataOnly="0" labelOnly="1" fieldPosition="0">
        <references count="1">
          <reference field="30"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84D8449-F000-4A03-B0E0-21C0C864E7EF}" name="PivotTable1"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B122" firstHeaderRow="1" firstDataRow="1" firstDataCol="1"/>
  <pivotFields count="17">
    <pivotField showAll="0">
      <items count="4">
        <item x="2"/>
        <item x="1"/>
        <item x="0"/>
        <item t="default"/>
      </items>
    </pivotField>
    <pivotField showAll="0">
      <items count="11">
        <item x="4"/>
        <item x="9"/>
        <item x="6"/>
        <item x="3"/>
        <item x="7"/>
        <item x="8"/>
        <item x="0"/>
        <item x="5"/>
        <item x="2"/>
        <item x="1"/>
        <item t="default"/>
      </items>
    </pivotField>
    <pivotField showAll="0">
      <items count="9">
        <item x="5"/>
        <item x="7"/>
        <item x="2"/>
        <item x="1"/>
        <item x="6"/>
        <item x="0"/>
        <item x="3"/>
        <item x="4"/>
        <item t="default"/>
      </items>
    </pivotField>
    <pivotField showAll="0">
      <items count="22">
        <item x="12"/>
        <item x="15"/>
        <item x="14"/>
        <item x="13"/>
        <item x="19"/>
        <item x="18"/>
        <item x="5"/>
        <item x="17"/>
        <item x="4"/>
        <item x="20"/>
        <item x="16"/>
        <item x="1"/>
        <item x="0"/>
        <item x="8"/>
        <item x="7"/>
        <item x="6"/>
        <item x="2"/>
        <item x="3"/>
        <item x="10"/>
        <item x="9"/>
        <item x="11"/>
        <item t="default"/>
      </items>
    </pivotField>
    <pivotField showAll="0"/>
    <pivotField showAll="0"/>
    <pivotField dataField="1" showAll="0"/>
    <pivotField showAll="0"/>
    <pivotField showAll="0"/>
    <pivotField showAll="0"/>
    <pivotField showAll="0"/>
    <pivotField showAll="0"/>
    <pivotField showAll="0"/>
    <pivotField showAll="0"/>
    <pivotField showAll="0"/>
    <pivotField axis="axisRow" showAll="0" sortType="ascending">
      <items count="120">
        <item x="95"/>
        <item x="94"/>
        <item x="93"/>
        <item x="92"/>
        <item x="91"/>
        <item x="90"/>
        <item x="89"/>
        <item x="10"/>
        <item x="88"/>
        <item x="87"/>
        <item x="86"/>
        <item x="85"/>
        <item x="118"/>
        <item x="84"/>
        <item x="117"/>
        <item x="83"/>
        <item x="82"/>
        <item x="81"/>
        <item x="80"/>
        <item x="79"/>
        <item x="9"/>
        <item x="116"/>
        <item x="115"/>
        <item x="114"/>
        <item x="113"/>
        <item x="78"/>
        <item x="112"/>
        <item x="77"/>
        <item x="111"/>
        <item x="76"/>
        <item x="71"/>
        <item x="29"/>
        <item x="35"/>
        <item x="70"/>
        <item x="28"/>
        <item x="69"/>
        <item x="68"/>
        <item x="27"/>
        <item x="67"/>
        <item x="66"/>
        <item x="26"/>
        <item x="110"/>
        <item x="65"/>
        <item x="64"/>
        <item x="25"/>
        <item x="63"/>
        <item x="24"/>
        <item x="62"/>
        <item x="109"/>
        <item x="61"/>
        <item x="60"/>
        <item x="23"/>
        <item x="59"/>
        <item x="8"/>
        <item x="22"/>
        <item x="58"/>
        <item x="57"/>
        <item x="7"/>
        <item x="21"/>
        <item x="56"/>
        <item x="55"/>
        <item x="54"/>
        <item x="42"/>
        <item x="34"/>
        <item x="41"/>
        <item x="40"/>
        <item x="39"/>
        <item x="38"/>
        <item x="37"/>
        <item x="36"/>
        <item x="53"/>
        <item x="20"/>
        <item x="52"/>
        <item x="33"/>
        <item x="51"/>
        <item x="19"/>
        <item x="108"/>
        <item x="32"/>
        <item x="50"/>
        <item x="18"/>
        <item x="31"/>
        <item x="49"/>
        <item x="17"/>
        <item x="48"/>
        <item x="107"/>
        <item x="6"/>
        <item x="47"/>
        <item x="5"/>
        <item x="16"/>
        <item x="106"/>
        <item x="46"/>
        <item x="15"/>
        <item x="45"/>
        <item x="14"/>
        <item x="44"/>
        <item x="13"/>
        <item x="12"/>
        <item x="43"/>
        <item x="11"/>
        <item x="105"/>
        <item x="30"/>
        <item x="4"/>
        <item x="104"/>
        <item x="103"/>
        <item x="75"/>
        <item x="102"/>
        <item x="101"/>
        <item x="3"/>
        <item x="2"/>
        <item x="1"/>
        <item x="0"/>
        <item x="100"/>
        <item x="74"/>
        <item x="99"/>
        <item x="98"/>
        <item x="97"/>
        <item x="73"/>
        <item x="72"/>
        <item x="96"/>
        <item t="default"/>
      </items>
    </pivotField>
    <pivotField showAll="0"/>
  </pivotFields>
  <rowFields count="1">
    <field x="15"/>
  </rowFields>
  <rowItems count="11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rowItems>
  <colItems count="1">
    <i/>
  </colItems>
  <dataFields count="1">
    <dataField name="Sum of PaguRevisi"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 xr10:uid="{7B3A9FA7-3767-4B3C-842E-087CB788A7D4}" sourceName="Pagu">
  <pivotTables>
    <pivotTable tabId="20" name="PivotTable1"/>
  </pivotTables>
  <data>
    <tabular pivotCacheId="334395377">
      <items count="96">
        <i x="30"/>
        <i x="21" s="1"/>
        <i x="33" s="1"/>
        <i x="65" s="1"/>
        <i x="50" s="1"/>
        <i x="13" s="1"/>
        <i x="44" s="1"/>
        <i x="18" s="1"/>
        <i x="34" s="1"/>
        <i x="39" s="1"/>
        <i x="37" s="1"/>
        <i x="4" s="1"/>
        <i x="45" s="1"/>
        <i x="47" s="1"/>
        <i x="84" s="1"/>
        <i x="15" s="1"/>
        <i x="66" s="1"/>
        <i x="81" s="1"/>
        <i x="9" s="1"/>
        <i x="22" s="1"/>
        <i x="80" s="1"/>
        <i x="79" s="1"/>
        <i x="25" s="1"/>
        <i x="51" s="1"/>
        <i x="48" s="1"/>
        <i x="26" s="1"/>
        <i x="67" s="1"/>
        <i x="29" s="1"/>
        <i x="49" s="1"/>
        <i x="32" s="1"/>
        <i x="40" s="1"/>
        <i x="74" s="1"/>
        <i x="24" s="1"/>
        <i x="82" s="1"/>
        <i x="16" s="1"/>
        <i x="17" s="1"/>
        <i x="5" s="1"/>
        <i x="70" s="1"/>
        <i x="53" s="1"/>
        <i x="76" s="1"/>
        <i x="38" s="1"/>
        <i x="78" s="1"/>
        <i x="73" s="1"/>
        <i x="3" s="1"/>
        <i x="0" s="1"/>
        <i x="1" s="1"/>
        <i x="83" s="1"/>
        <i x="20" s="1"/>
        <i x="69" s="1"/>
        <i x="6" s="1"/>
        <i x="46" s="1"/>
        <i x="23" s="1"/>
        <i x="72" s="1"/>
        <i x="89" s="1"/>
        <i x="56" s="1"/>
        <i x="11" s="1"/>
        <i x="85" s="1"/>
        <i x="54" s="1"/>
        <i x="10" s="1"/>
        <i x="77" s="1"/>
        <i x="7" s="1"/>
        <i x="36" s="1"/>
        <i x="61" s="1"/>
        <i x="42" s="1"/>
        <i x="55" s="1"/>
        <i x="71" s="1"/>
        <i x="2" s="1"/>
        <i x="68" s="1"/>
        <i x="41" s="1"/>
        <i x="95" s="1"/>
        <i x="63" s="1"/>
        <i x="75" s="1"/>
        <i x="52" s="1"/>
        <i x="8" s="1"/>
        <i x="14" s="1"/>
        <i x="86" s="1"/>
        <i x="43" s="1"/>
        <i x="31" s="1"/>
        <i x="27" s="1"/>
        <i x="87" s="1"/>
        <i x="62" s="1"/>
        <i x="90" s="1"/>
        <i x="28" s="1"/>
        <i x="59" s="1"/>
        <i x="91" s="1"/>
        <i x="19" s="1"/>
        <i x="94" s="1"/>
        <i x="58" s="1"/>
        <i x="93" s="1"/>
        <i x="12" s="1"/>
        <i x="35" s="1"/>
        <i x="60" s="1"/>
        <i x="64" s="1"/>
        <i x="57" s="1"/>
        <i x="88" s="1"/>
        <i x="9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PM" xr10:uid="{8FFFCFC8-578D-4430-A55D-E8EAC9C798BB}" sourceName="Jenis SPM">
  <extLst>
    <x:ext xmlns:x15="http://schemas.microsoft.com/office/spreadsheetml/2010/11/main" uri="{2F2917AC-EB37-4324-AD4E-5DD8C200BD13}">
      <x15:tableSlicerCache tableId="1" column="5"/>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 SPM 1" xr10:uid="{972D6E29-7EB3-49F0-9EE9-5D488F7870E3}" cache="Slicer_Jenis_SPM" caption="Jenis SPM"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 name="Pagu" xr10:uid="{AF929C85-891E-446B-A9EE-3A51696AE126}" cache="Slicer_Pagu" caption="Pagu"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F1A80D-8D81-46D2-BE20-023DC4252EDC}" name="eselon2" displayName="eselon2" ref="A1:D4" totalsRowShown="0">
  <autoFilter ref="A1:D4" xr:uid="{60F1A80D-8D81-46D2-BE20-023DC4252EDC}"/>
  <tableColumns count="4">
    <tableColumn id="1" xr3:uid="{19E620FB-94EE-423E-B58D-1F226029061F}" name="id"/>
    <tableColumn id="2" xr3:uid="{E4511979-B9FA-4B6C-82DD-5843D5682468}" name="nmes2"/>
    <tableColumn id="3" xr3:uid="{C4C460D3-9E1E-430F-BF22-AE8CCCAFD5DD}" name="nipes2"/>
    <tableColumn id="4" xr3:uid="{C19885C8-8703-413A-B9A5-E052B8BB4C03}" name="Eselon2" dataDxfId="765">
      <calculatedColumnFormula>_xlfn.TEXTJOIN(" - ",TRUE,eselon2[[#This Row],[id]],eselon2[[#This Row],[nmes2]])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670ECC-3DD2-406B-ACE2-9866B1CA9489}" name="Koord" displayName="Koord" ref="F1:J13" totalsRowShown="0">
  <autoFilter ref="F1:J13" xr:uid="{62670ECC-3DD2-406B-ACE2-9866B1CA9489}"/>
  <tableColumns count="5">
    <tableColumn id="1" xr3:uid="{89F2474D-347C-4A84-A1AA-A1CD5BB38D89}" name="id"/>
    <tableColumn id="2" xr3:uid="{6FAC9058-9857-45FE-90E0-97EBDFD0E36D}" name="id2"/>
    <tableColumn id="3" xr3:uid="{76802AB3-787A-4695-8DBF-B26AAA4C2FC8}" name="krdklpk"/>
    <tableColumn id="4" xr3:uid="{E21E018D-60F3-4BDF-81DD-25751D67C2E5}" name="nipkrd"/>
    <tableColumn id="5" xr3:uid="{FF0CAD82-A473-42D3-9C7C-438BDE64085C}" name="Koordinator" dataDxfId="764">
      <calculatedColumnFormula>_xlfn.TEXTJOIN(" - ",TRUE,Koord[[#This Row],[id]],Koord[[#This Row],[krdklpk]])</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1E688D6-E54F-4C40-9D3D-31E7D10870CE}" name="Subkoord" displayName="Subkoord" ref="M1:T29" totalsRowShown="0">
  <autoFilter ref="M1:T29" xr:uid="{E1E688D6-E54F-4C40-9D3D-31E7D10870CE}"/>
  <tableColumns count="8">
    <tableColumn id="1" xr3:uid="{40D84D24-9FA7-418D-ACE1-608E21A4028D}" name="id"/>
    <tableColumn id="2" xr3:uid="{34D063E3-500B-4FE5-BCF2-91C952A77EC4}" name="id3"/>
    <tableColumn id="3" xr3:uid="{C3AE2A7B-3001-4FDC-84D0-0FF2E617F735}" name="id2"/>
    <tableColumn id="4" xr3:uid="{C121D4DF-038C-4999-8BA2-B40DD5A0209F}" name="skrdklpk"/>
    <tableColumn id="5" xr3:uid="{7E38697F-D04B-41FD-8A6F-8CDC0F23122C}" name="nipskrd"/>
    <tableColumn id="6" xr3:uid="{BCC3D79F-D620-4583-9D81-CC5CD244F0AE}" name="Subkoordinator" dataDxfId="763">
      <calculatedColumnFormula>_xlfn.TEXTJOIN(" - ",TRUE,Subkoord[[#This Row],[id]],Subkoord[[#This Row],[skrdklpk]])</calculatedColumnFormula>
    </tableColumn>
    <tableColumn id="7" xr3:uid="{BB0E08D1-7433-45E1-9A8E-F09478BEE345}" name="Koordinator" dataDxfId="762">
      <calculatedColumnFormula array="1">INDEX(Koord[Koordinator],MATCH(1,(Subkoord[[#This Row],[id2]]=Koord[id2])*(Subkoord[[#This Row],[id3]]=Koord[id]),0))</calculatedColumnFormula>
    </tableColumn>
    <tableColumn id="8" xr3:uid="{CE9A8D26-5115-4AB0-A0D6-173532BAC073}" name="Eselon2" dataDxfId="761">
      <calculatedColumnFormula>INDEX(eselon2[Eselon2],MATCH(Subkoord[[#This Row],[id2]],eselon2[id],0))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0:O170" totalsRowShown="0" headerRowDxfId="760" dataDxfId="759" tableBorderDxfId="758">
  <autoFilter ref="B10:O170" xr:uid="{5439E600-4AE6-4A9C-BF96-1F8B4649EF5E}">
    <filterColumn colId="11">
      <filters>
        <filter val="UM - Umum"/>
      </filters>
    </filterColumn>
  </autoFilter>
  <sortState xmlns:xlrd2="http://schemas.microsoft.com/office/spreadsheetml/2017/richdata2" ref="B11:O155">
    <sortCondition ref="C10:C155"/>
  </sortState>
  <tableColumns count="14">
    <tableColumn id="1" xr3:uid="{EA3EA993-E9B8-4175-AE78-56C2DE826084}" name="No" dataDxfId="757" totalsRowDxfId="756" dataCellStyle="Normal 4" totalsRowCellStyle="Normal 4"/>
    <tableColumn id="14" xr3:uid="{39BE1E11-4C0D-43C9-A7CF-CFD7B6D88EC1}" name="Urut" dataDxfId="755" totalsRowDxfId="754" dataCellStyle="Normal 4" totalsRowCellStyle="Normal 4"/>
    <tableColumn id="2" xr3:uid="{55765DF9-9B2D-49B2-8C10-51C6F4795A2B}" name="Nomor SP2D" dataDxfId="753" totalsRowDxfId="752" totalsRowCellStyle="Normal 4"/>
    <tableColumn id="3" xr3:uid="{95F2A4A6-178D-4D09-BEC2-A35DA9DD284C}" name="Tanggal SP2D" dataDxfId="751" totalsRowDxfId="750" totalsRowCellStyle="Normal 4"/>
    <tableColumn id="4" xr3:uid="{1BFC6E15-B107-44FC-880F-0FA398A70437}" name="Nilai SP2D" dataDxfId="749" totalsRowDxfId="748" dataCellStyle="Comma [0]" totalsRowCellStyle="Comma [0]"/>
    <tableColumn id="5" xr3:uid="{BA79B4B6-6D4D-4C40-A794-FBA956D546A8}" name="Jenis SPM" dataDxfId="747" totalsRowDxfId="746" totalsRowCellStyle="Normal 4"/>
    <tableColumn id="6" xr3:uid="{0728F6B3-877B-4801-849D-78A7FD394756}" name="Nomor Invoice" dataDxfId="745" totalsRowDxfId="744" totalsRowCellStyle="Normal 4"/>
    <tableColumn id="7" xr3:uid="{BC8C9A9E-906E-4F73-AA7C-36C21228DCD0}" name="Tanggal Invoice" dataDxfId="743" totalsRowDxfId="742" totalsRowCellStyle="Normal 4"/>
    <tableColumn id="8" xr3:uid="{4F370E97-CC92-41D4-B70A-C2C397F13E5F}" name="Jenis SP2D" dataDxfId="741" totalsRowDxfId="740" totalsRowCellStyle="Normal 4"/>
    <tableColumn id="9" xr3:uid="{5AB0F2BB-729E-4A36-99C2-531506F2E0D4}" name="Deskripsi" dataDxfId="739" totalsRowDxfId="738" totalsRowCellStyle="Normal 4"/>
    <tableColumn id="10" xr3:uid="{E9855FB4-726E-4E0F-A40E-89C5AF4CAAE7}" name="Bagian / Bidang" dataDxfId="737" totalsRowDxfId="736" dataCellStyle="Normal 4" totalsRowCellStyle="Normal 4"/>
    <tableColumn id="11" xr3:uid="{07CEE088-AC9A-406D-AECA-D9F23626D4D5}" name="Subbagian / Subbidang" dataDxfId="735" totalsRowDxfId="734" dataCellStyle="Normal 4" totalsRowCellStyle="Normal 4"/>
    <tableColumn id="13" xr3:uid="{7D701C80-B1AD-4D78-B3C3-525A71261916}" name="Status Realisasi" dataDxfId="733" dataCellStyle="Normal 4"/>
    <tableColumn id="12" xr3:uid="{BE916C21-2F59-4DE9-9BDF-707A1C1956B2}" name="all" dataDxfId="732" dataCellStyle="Normal 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46C9EE-53F2-428C-9BE4-AA19FA2987DF}" name="SP2D" displayName="SP2D" ref="A3:BA143" totalsRowShown="0" headerRowDxfId="716" dataDxfId="715">
  <autoFilter ref="A3:BA143" xr:uid="{0C46C9EE-53F2-428C-9BE4-AA19FA2987DF}"/>
  <tableColumns count="53">
    <tableColumn id="1" xr3:uid="{A2BC3788-B1CE-4A3F-B6F3-D1D27F201210}" name="kddept" dataDxfId="714"/>
    <tableColumn id="2" xr3:uid="{2DB0BCF7-353A-4057-BFD0-5A9AFD7AD377}" name="kdunit" dataDxfId="713"/>
    <tableColumn id="3" xr3:uid="{6BCC3689-465C-41AB-AA41-B61148952378}" name="kdprogram" dataDxfId="712"/>
    <tableColumn id="4" xr3:uid="{2A5A7B58-839E-4216-A115-BA31451747CC}" name="Program" dataDxfId="711"/>
    <tableColumn id="5" xr3:uid="{B90B5CFD-D8F4-48C4-81DF-60CCA43D8B33}" name="kdgiat" dataDxfId="710"/>
    <tableColumn id="6" xr3:uid="{665306DE-5004-4796-BA54-AF3E581B23DE}" name="Kegiatan" dataDxfId="709"/>
    <tableColumn id="7" xr3:uid="{896282BA-49FB-4172-920C-20AE0DBD436D}" name="kdoutput" dataDxfId="708"/>
    <tableColumn id="8" xr3:uid="{81ACE6BC-C81E-44B5-AC16-FA7339E6C95D}" name="Output" dataDxfId="707"/>
    <tableColumn id="9" xr3:uid="{B9A79FBA-908D-418C-864B-733536EBB6AD}" name="kdsoutput" dataDxfId="706"/>
    <tableColumn id="10" xr3:uid="{8730A0E5-24CD-4DD0-97C9-7EB5897F6937}" name="SubOutput" dataDxfId="705"/>
    <tableColumn id="11" xr3:uid="{A1213678-0772-43DE-9A68-4CCAC2CAB97F}" name="kdkmpnen" dataDxfId="704"/>
    <tableColumn id="12" xr3:uid="{13F01672-806F-47CD-8E7B-DBEF02211C49}" name="Komponen" dataDxfId="703"/>
    <tableColumn id="13" xr3:uid="{EE24777D-4C50-49CF-9D51-B1D10E6B59C5}" name="kdskmpnen" dataDxfId="702"/>
    <tableColumn id="14" xr3:uid="{6B16732C-65AB-40BC-9BE7-38F27B545CA4}" name="SubKomponen" dataDxfId="701"/>
    <tableColumn id="15" xr3:uid="{9DE11426-CAD6-4307-AF79-5BA31FE425C4}" name="kdakun" dataDxfId="700"/>
    <tableColumn id="16" xr3:uid="{95D2AD80-8C0A-4582-9C73-FCD7148568BD}" name="Akun" dataDxfId="699"/>
    <tableColumn id="17" xr3:uid="{1099A73B-6EFE-4758-9112-C98BE9AF6233}" name="Pagu" dataDxfId="698" dataCellStyle="Comma [0]">
      <calculatedColumnFormula array="1">SUM(_xlfn._xlws.FILTER(DIPA2[PaguRevisi],DIPA2[Akun]=SP2D[[#This Row],[Kode Akun]],0))</calculatedColumnFormula>
    </tableColumn>
    <tableColumn id="18" xr3:uid="{F5761B11-9E81-4F7C-BD95-CB52A5BA049C}" name="Pagu Semula" dataDxfId="697" dataCellStyle="Comma [0]"/>
    <tableColumn id="52" xr3:uid="{756AF1CD-7E6D-49D5-9982-55502306D24E}" name="Blokir AA ke 1" dataDxfId="696" dataCellStyle="Comma [0]"/>
    <tableColumn id="53" xr3:uid="{6DF30DE6-28F7-4458-802A-BCB387ECC2BB}" name="Blokir AA ke 2" dataDxfId="695" dataCellStyle="Comma [0]">
      <calculatedColumnFormula>SP2D[[#This Row],[Pagu Semula]]-SP2D[[#This Row],[Pagu]]</calculatedColumnFormula>
    </tableColumn>
    <tableColumn id="19" xr3:uid="{D85464D1-34A4-4D62-B202-AA5B44380AE8}" name="Jan" dataDxfId="694">
      <calculatedColumnFormula>SUM('PER BULAN'!J92:L92)</calculatedColumnFormula>
    </tableColumn>
    <tableColumn id="20" xr3:uid="{59AFB7C3-9561-4F72-BA75-233CA8574E0E}" name="Feb" dataDxfId="693"/>
    <tableColumn id="21" xr3:uid="{339941D9-EB6A-4D9E-AAFD-8BC87914D9CD}" name="Mar" dataDxfId="692"/>
    <tableColumn id="22" xr3:uid="{4DB8271D-A562-4BDB-AF86-6803F5A0D6B6}" name="Apr" dataDxfId="691"/>
    <tableColumn id="23" xr3:uid="{A6296B83-2C3A-4B7B-B349-C7B81EF82E20}" name="Mei" dataDxfId="690"/>
    <tableColumn id="24" xr3:uid="{E35B9BB8-2C59-4938-BD17-AB6DA6D49836}" name="Jun" dataDxfId="689"/>
    <tableColumn id="25" xr3:uid="{0B56CE2F-22F5-4935-B179-82B908FFA45C}" name="Jul" dataDxfId="688"/>
    <tableColumn id="26" xr3:uid="{C5C2C340-1544-4521-9059-33AEBE3423A8}" name="Ags" dataDxfId="687"/>
    <tableColumn id="27" xr3:uid="{86511B91-6FBB-44C6-BFE0-FC75035E6D40}" name="Sep" dataDxfId="686"/>
    <tableColumn id="28" xr3:uid="{2C0763CA-B0D1-4434-BD74-3778A7A332E6}" name="Okt" dataDxfId="685"/>
    <tableColumn id="29" xr3:uid="{1D2AE206-2433-4713-B023-179D69FA3E25}" name="Nov" dataDxfId="684"/>
    <tableColumn id="30" xr3:uid="{C1E5584B-01F1-4175-8FA8-D285D3701F44}" name="Des" dataDxfId="683"/>
    <tableColumn id="31" xr3:uid="{3BEE2055-AE9D-40FE-AE62-8E331B1816BF}" name="eselon2" dataDxfId="682"/>
    <tableColumn id="32" xr3:uid="{A002471B-4101-4577-BC3A-704405B733FB}" name="koordinator" dataDxfId="681"/>
    <tableColumn id="33" xr3:uid="{D023DF90-D6C9-428C-971B-7DDF8C7D5F03}" name="Subkoordinator" dataDxfId="680"/>
    <tableColumn id="34" xr3:uid="{FE48F7A1-0956-4644-89C0-EA36C183F595}" name="Jns_Belanja" dataDxfId="679"/>
    <tableColumn id="35" xr3:uid="{BE3FC102-4A2C-4D3D-B515-5052A70FFDEB}" name="satker" dataDxfId="678"/>
    <tableColumn id="36" xr3:uid="{C44DBFA7-2D15-465C-8D00-F06B638B5ED4}" name="Realisasi" dataDxfId="677" dataCellStyle="Comma [0]">
      <calculatedColumnFormula>SUM(U4:AF4)</calculatedColumnFormula>
    </tableColumn>
    <tableColumn id="37" xr3:uid="{DE361282-2992-4D2B-992E-4096AF6D8E40}" name="Real %" dataDxfId="676">
      <calculatedColumnFormula>IFERROR(AL4/Q4*100,0)</calculatedColumnFormula>
    </tableColumn>
    <tableColumn id="38" xr3:uid="{EEF961EF-FF6A-40D5-A0B6-ED634EBADFBC}" name="Sisa" dataDxfId="675" dataCellStyle="Comma [0]">
      <calculatedColumnFormula>Q4-AL4</calculatedColumnFormula>
    </tableColumn>
    <tableColumn id="39" xr3:uid="{85643851-7A65-42C2-A08E-B6A7A8DA03F0}" name="Real %2" dataDxfId="674">
      <calculatedColumnFormula>IFERROR(AN4/Q4*100,0)</calculatedColumnFormula>
    </tableColumn>
    <tableColumn id="40" xr3:uid="{9E4F31F6-8A80-4410-976A-8EEA7368EA20}" name="Kode Akun" dataDxfId="673">
      <calculatedColumnFormula>_xlfn.TEXTJOIN(".",TRUE,C4,E4,G4,I4,K4,M4,O4)</calculatedColumnFormula>
    </tableColumn>
    <tableColumn id="41" xr3:uid="{0FDDBC90-1CC8-4C07-8122-50D2362EF739}" name="Status Covid" dataDxfId="672">
      <calculatedColumnFormula>IF(ISNUMBER(SEARCH("COVID",SP2D[[#This Row],[Akun]])),"COVID","Non COVID")</calculatedColumnFormula>
    </tableColumn>
    <tableColumn id="42" xr3:uid="{3D9BDB80-A0C7-4422-BA12-733AF91AF0E5}" name="Status Realisasi" dataDxfId="671">
      <calculatedColumnFormula>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calculatedColumnFormula>
    </tableColumn>
    <tableColumn id="43" xr3:uid="{2482823B-0259-4D8F-90FB-AC30AB18C334}" name="Jenis Belanja" dataDxfId="670">
      <calculatedColumnFormula>IF(AND(ISNUMBER(SEARCH("OPERASIONAL",SP2D[[#This Row],[Komponen]])),ISNUMBER(SEARCH("LAYANAN PERKANTORAN",SP2D[[#This Row],[SubOutput]]))),"Belanja Barang Operasional",IF(LEFT(SP2D[[#This Row],[kdakun]],2)="53","Belanja Modal",IF(LEFT(SP2D[[#This Row],[kdakun]],2)="51","Belanja Pegawai","Belanja Barang Non Operasional")))</calculatedColumnFormula>
    </tableColumn>
    <tableColumn id="44" xr3:uid="{3F633488-FF46-4239-9C2B-E12C41E61A1D}" name="GUP 1" dataDxfId="669"/>
    <tableColumn id="45" xr3:uid="{4B827D21-BED7-493A-98C2-BF92D20ACB6E}" name="TUP 1" dataDxfId="668"/>
    <tableColumn id="46" xr3:uid="{1A108E85-F9A8-4C5A-B9B2-E8E733C3D3EB}" name="GUP 2" dataDxfId="667"/>
    <tableColumn id="47" xr3:uid="{197D7FA7-EA56-478F-AC63-0B5D47D9765B}" name="GUP 3" dataDxfId="666"/>
    <tableColumn id="48" xr3:uid="{4614C9FA-2AB0-4D2D-AA55-13680C8EE8C5}" name="GUP 4" dataDxfId="665"/>
    <tableColumn id="49" xr3:uid="{9B9C7D3C-BD3B-413C-9633-5B1476894793}" name="GUP 5" dataDxfId="664"/>
    <tableColumn id="50" xr3:uid="{7F81D278-F155-4728-BD7E-4DD553D05EAC}" name="TUP 2 (1)" dataDxfId="663"/>
    <tableColumn id="51" xr3:uid="{40F6E74E-B62F-4684-A934-E1FBCD0EDECE}" name="TUP 2 (2)" dataDxfId="66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B1B7EF-C3F8-461D-B915-390E1BCE8B8D}" name="SP2D_GAJI" displayName="SP2D_GAJI" ref="A3:BA15" totalsRowShown="0" headerRowDxfId="661" dataDxfId="660">
  <autoFilter ref="A3:BA15" xr:uid="{0218787B-FAFB-4E31-BAF7-C07090CCABB5}"/>
  <tableColumns count="53">
    <tableColumn id="1" xr3:uid="{80105D8C-B6CC-4C67-A0D5-A51108634790}" name="kddept" dataDxfId="659"/>
    <tableColumn id="2" xr3:uid="{79F788C4-BE24-4442-B4A5-787846FC3242}" name="kdunit" dataDxfId="658"/>
    <tableColumn id="3" xr3:uid="{F5607343-B1C5-442F-9F62-66DAB70DF978}" name="kdprogram" dataDxfId="657"/>
    <tableColumn id="4" xr3:uid="{67275D4D-383A-492A-9FB0-586605819489}" name="Program" dataDxfId="656"/>
    <tableColumn id="5" xr3:uid="{7E089115-5279-4639-B5C8-B5B142691A5E}" name="kdgiat" dataDxfId="655"/>
    <tableColumn id="6" xr3:uid="{86B452FA-0999-4C13-97B6-34303305E62C}" name="Kegiatan" dataDxfId="654"/>
    <tableColumn id="7" xr3:uid="{098073A3-0D75-44F5-98F3-9D58ABD0F494}" name="kdoutput" dataDxfId="653"/>
    <tableColumn id="8" xr3:uid="{DD29FD42-F6B4-48DB-ABD5-0B9035D7350B}" name="Output" dataDxfId="652"/>
    <tableColumn id="9" xr3:uid="{DD7BECAC-0FA2-4D83-AFED-EA1423BBAE3B}" name="kdsoutput" dataDxfId="651"/>
    <tableColumn id="10" xr3:uid="{41EDA2EB-4FE5-485A-9A85-BC1CF6F808E6}" name="SubOutput" dataDxfId="650"/>
    <tableColumn id="11" xr3:uid="{0C0092F1-3B9A-4262-87F2-DF8809ADB48A}" name="kdkmpnen" dataDxfId="649"/>
    <tableColumn id="12" xr3:uid="{7F02E6EE-4073-428C-A01E-C7F9404E22AB}" name="Komponen" dataDxfId="648"/>
    <tableColumn id="13" xr3:uid="{D5E22675-8A73-40C8-BA6D-4D22AD4BD880}" name="kdskmpnen" dataDxfId="647"/>
    <tableColumn id="14" xr3:uid="{21C5F2BB-4B18-41F3-8B47-CA7C999E1D95}" name="SubKomponen" dataDxfId="646"/>
    <tableColumn id="15" xr3:uid="{7EF6CEAB-DE31-4DEA-B8DF-BDD5AD5C3604}" name="kdakun" dataDxfId="645"/>
    <tableColumn id="16" xr3:uid="{897A6630-15AA-4E92-AF17-989B50249F0B}" name="Akun" dataDxfId="644"/>
    <tableColumn id="17" xr3:uid="{F469B670-C97B-4C45-BFA1-11EC2F3BBE30}" name="Pagu" dataDxfId="643" dataCellStyle="Comma [0]">
      <calculatedColumnFormula array="1">SUM(_xlfn._xlws.FILTER(DIPA2[PaguRevisi],DIPA2[Akun]=SP2D_GAJI[[#This Row],[Kode Akun]],0))</calculatedColumnFormula>
    </tableColumn>
    <tableColumn id="18" xr3:uid="{331F462C-70B7-43E1-8F2C-778E95ACAEA1}" name="Pagu Semula" dataDxfId="642" dataCellStyle="Comma [0]"/>
    <tableColumn id="52" xr3:uid="{2F016D06-D133-47D7-B695-4667F3490729}" name="Blokir AA ke 1" dataDxfId="641" dataCellStyle="Comma [0]"/>
    <tableColumn id="53" xr3:uid="{165EF6BA-1776-4571-B8AD-920C3A030766}" name="Blokir AA ke 2" dataDxfId="640" dataCellStyle="Comma [0]"/>
    <tableColumn id="19" xr3:uid="{D0C2276A-7026-4576-85D7-919441521A6C}" name="Jan" dataDxfId="639">
      <calculatedColumnFormula>SUM('PER BULAN'!J238:L238)</calculatedColumnFormula>
    </tableColumn>
    <tableColumn id="20" xr3:uid="{A9EF8502-8C6E-4766-AD68-658B4D1E747D}" name="Feb" dataDxfId="638">
      <calculatedColumnFormula>SUM('PER BULAN'!M238:O238)</calculatedColumnFormula>
    </tableColumn>
    <tableColumn id="21" xr3:uid="{746DC00C-C89E-4DDA-BBC9-1D134830D029}" name="Mar" dataDxfId="637">
      <calculatedColumnFormula>SUM('PER BULAN'!P238:R238)</calculatedColumnFormula>
    </tableColumn>
    <tableColumn id="22" xr3:uid="{05F5FC17-0CBB-4151-889F-60CFCD7C34DD}" name="Apr" dataDxfId="636">
      <calculatedColumnFormula>SUM('PER BULAN'!S238:U238)</calculatedColumnFormula>
    </tableColumn>
    <tableColumn id="23" xr3:uid="{C42FB8F4-7097-4474-A778-F18CBF2B07B1}" name="Mei" dataDxfId="635">
      <calculatedColumnFormula>SUM('PER BULAN'!V238:X238)</calculatedColumnFormula>
    </tableColumn>
    <tableColumn id="24" xr3:uid="{F4454E89-E22D-410A-82EB-5F0DC627F170}" name="Jun" dataDxfId="634">
      <calculatedColumnFormula>SUM('PER BULAN'!Y238:AA238)</calculatedColumnFormula>
    </tableColumn>
    <tableColumn id="25" xr3:uid="{2AA6CCE9-FDEE-48C4-8B21-D75DF41DA271}" name="Jul" dataDxfId="633">
      <calculatedColumnFormula>SUM('PER BULAN'!AB238:AD238)</calculatedColumnFormula>
    </tableColumn>
    <tableColumn id="26" xr3:uid="{7FACB806-C5A3-48BA-9D07-F51AF74D0E09}" name="Ags" dataDxfId="632">
      <calculatedColumnFormula>SUM('PER BULAN'!AE238:AG238)</calculatedColumnFormula>
    </tableColumn>
    <tableColumn id="27" xr3:uid="{C4B9A446-705C-463E-B7DA-7A0740B8C905}" name="Sep" dataDxfId="631">
      <calculatedColumnFormula>SUM('PER BULAN'!AH238:AJ238)</calculatedColumnFormula>
    </tableColumn>
    <tableColumn id="28" xr3:uid="{5AAFBEBC-03FC-4E4A-83F9-E67BEB3D5981}" name="Okt" dataDxfId="630">
      <calculatedColumnFormula>SUM('PER BULAN'!AK238:AM238)</calculatedColumnFormula>
    </tableColumn>
    <tableColumn id="29" xr3:uid="{4906B5CD-CEE5-4A98-B22E-AC637B561A64}" name="Nov" dataDxfId="629">
      <calculatedColumnFormula>SUM('PER BULAN'!AN238:AP238)</calculatedColumnFormula>
    </tableColumn>
    <tableColumn id="30" xr3:uid="{CE67CAFB-1501-4D81-9EF9-85B2D20132C0}" name="Des" dataDxfId="628">
      <calculatedColumnFormula>SUM('PER BULAN'!AQ238:AS238)</calculatedColumnFormula>
    </tableColumn>
    <tableColumn id="31" xr3:uid="{68D2BC5B-AA42-4205-92C2-22EE6E2A455F}" name="eselon2" dataDxfId="627"/>
    <tableColumn id="32" xr3:uid="{BA84A518-BE39-4F09-B013-2F165F75B2C4}" name="koordinator" dataDxfId="626"/>
    <tableColumn id="33" xr3:uid="{056A603E-AF28-4BB5-BFC3-BCB9B9C999CA}" name="Subkoordinator" dataDxfId="625"/>
    <tableColumn id="34" xr3:uid="{D4673DE9-E399-427A-A7FA-55224584489E}" name="Jns_Belanja" dataDxfId="624"/>
    <tableColumn id="35" xr3:uid="{A8855799-45D2-43E8-83A2-AA11614A2AB5}" name="satker" dataDxfId="623"/>
    <tableColumn id="36" xr3:uid="{7FE40A5B-7697-4CF3-B532-E8DEA6942EA1}" name="Realisasi" dataDxfId="622" dataCellStyle="Comma [0]">
      <calculatedColumnFormula>SUM(U4:AF4)</calculatedColumnFormula>
    </tableColumn>
    <tableColumn id="37" xr3:uid="{485221C0-0D00-438E-BDE5-343CD7B9DEA0}" name="Real %" dataDxfId="621">
      <calculatedColumnFormula>IFERROR(AL4/Q4*100,0)</calculatedColumnFormula>
    </tableColumn>
    <tableColumn id="38" xr3:uid="{8B93FCA3-495B-49BB-8273-31AF01368B83}" name="Sisa" dataDxfId="620" dataCellStyle="Comma [0]">
      <calculatedColumnFormula>Q4-AL4</calculatedColumnFormula>
    </tableColumn>
    <tableColumn id="39" xr3:uid="{E92777FB-21B0-4FEC-B74B-99E5CBE0B3F9}" name="Real %2" dataDxfId="619">
      <calculatedColumnFormula>IFERROR(AN4/Q4*100,0)</calculatedColumnFormula>
    </tableColumn>
    <tableColumn id="40" xr3:uid="{AF8769F5-B4D9-4C85-9DA8-FD27BDBB1A6C}" name="Kode Akun" dataDxfId="618">
      <calculatedColumnFormula>_xlfn.TEXTJOIN(".",TRUE,C4,E4,G4,I4,K4,M4,O4)</calculatedColumnFormula>
    </tableColumn>
    <tableColumn id="41" xr3:uid="{3D3B549A-EABA-490D-9DA6-37523724BE61}" name="Status Covid" dataDxfId="617">
      <calculatedColumnFormula>IF(ISNUMBER(SEARCH("COVID",SP2D_GAJI[[#This Row],[Akun]])),"COVID","Non COVID")</calculatedColumnFormula>
    </tableColumn>
    <tableColumn id="42" xr3:uid="{184FBB69-68B1-4E38-891F-51917E4DC587}" name="Status Realisasi" dataDxfId="616">
      <calculatedColumnFormula>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calculatedColumnFormula>
    </tableColumn>
    <tableColumn id="43" xr3:uid="{E7A765FF-F0AC-43E7-9DB5-81EBFE5D9949}" name="Jenis Belanja" dataDxfId="615">
      <calculatedColumnFormula>IF(AND(ISNUMBER(SEARCH("OPERASIONAL",SP2D_GAJI[[#This Row],[Komponen]])),ISNUMBER(SEARCH("LAYANAN PERKANTORAN",SP2D_GAJI[[#This Row],[SubOutput]]))),"Belanja Barang Operasional",IF(LEFT(SP2D_GAJI[[#This Row],[kdakun]],2)="53","Belanja Modal",IF(LEFT(SP2D_GAJI[[#This Row],[kdakun]],2)="51","Belanja Pegawai","Belanja Barang Non Operasional")))</calculatedColumnFormula>
    </tableColumn>
    <tableColumn id="44" xr3:uid="{E6B17DD0-CEAB-4C35-9941-D7AE2FE4E258}" name="GUP 1" dataDxfId="614"/>
    <tableColumn id="45" xr3:uid="{9C1934D8-99CF-4988-9800-1BFA557120E5}" name="TUP 1" dataDxfId="613"/>
    <tableColumn id="46" xr3:uid="{A4CF8F3D-CD3D-44F3-9820-88903E09EF80}" name="GUP 2" dataDxfId="612"/>
    <tableColumn id="47" xr3:uid="{099E42CD-67D0-44DB-B845-55EC12EB7D6E}" name="GUP 3" dataDxfId="611"/>
    <tableColumn id="48" xr3:uid="{B5E0BACE-F6DB-4087-90C7-B2D17ED966B6}" name="GUP 4" dataDxfId="610"/>
    <tableColumn id="49" xr3:uid="{BDAA27ED-0F52-48FE-B061-0279E351DC40}" name="GUP 5" dataDxfId="609"/>
    <tableColumn id="50" xr3:uid="{0175969F-6D75-4238-AD70-BADDF74FBCEB}" name="TUP 2 (1)"/>
    <tableColumn id="51" xr3:uid="{7BBFCD08-5D10-4BAA-850A-7EF955E696AE}" name="TUP 2 (2)"/>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3F03F6D-6A59-461B-A929-C35C787407F3}" name="Table9" displayName="Table9" ref="B234:BH250" totalsRowShown="0" headerRowDxfId="608" headerRowBorderDxfId="607" tableBorderDxfId="606">
  <autoFilter ref="B234:BH250" xr:uid="{A3F03F6D-6A59-461B-A929-C35C787407F3}"/>
  <tableColumns count="59">
    <tableColumn id="1" xr3:uid="{006731C9-F32D-4A40-8CDB-A1548E10C0D4}" name="KODE" dataDxfId="605"/>
    <tableColumn id="2" xr3:uid="{A9307D7A-2701-4752-B274-B25BEF4C5078}" name="URAIAN" dataDxfId="604"/>
    <tableColumn id="3" xr3:uid="{FCCF3154-C285-471C-AC86-6DCF2BB5907D}" name="VOL" dataDxfId="603"/>
    <tableColumn id="4" xr3:uid="{C6A127B2-6CDD-4E0C-AF9D-730F6DDD09BC}" name="SATUAN" dataDxfId="602"/>
    <tableColumn id="5" xr3:uid="{3F90CE26-DF36-4D37-9C47-12A1CEB8D773}" name="Pagu Revisi" dataDxfId="601" dataCellStyle="Comma [0]"/>
    <tableColumn id="6" xr3:uid="{A2F11568-8A8E-4AFC-9F99-BFB17EAEEC9C}" name="Pagu Semula" dataDxfId="600" dataCellStyle="Comma [0]"/>
    <tableColumn id="7" xr3:uid="{B7EE8BCB-D0ED-4450-8EBB-6FD673560D7C}" name="Blokir AA ke 1" dataDxfId="599" dataCellStyle="Comma [0]"/>
    <tableColumn id="8" xr3:uid="{9EDAF3A8-6D97-400A-848D-D47BF571F43E}" name="Blokir AA ke 2" dataDxfId="598" dataCellStyle="Comma [0]">
      <calculatedColumnFormula>G235-F235</calculatedColumnFormula>
    </tableColumn>
    <tableColumn id="9" xr3:uid="{63315451-3A2B-4613-A63E-C9450FC73D6C}" name="JANUARI" dataDxfId="597" dataCellStyle="Comma [0]"/>
    <tableColumn id="10" xr3:uid="{16EC35FF-13CF-4870-920C-AAB913E770C7}" name="Column4" dataDxfId="596" dataCellStyle="Comma [0]"/>
    <tableColumn id="11" xr3:uid="{729D99E3-0A52-4B2E-A9C0-DE02E05ED840}" name="Column5" dataDxfId="595" dataCellStyle="Comma [0]"/>
    <tableColumn id="12" xr3:uid="{AB374DB6-7598-4C30-A85F-F63F132B7BA1}" name="FEBRUARI" dataDxfId="594" dataCellStyle="Normal 5"/>
    <tableColumn id="13" xr3:uid="{2D1151EC-AD11-4F11-9D1D-698FBA569F26}" name="Column6" dataDxfId="593" dataCellStyle="Comma [0]"/>
    <tableColumn id="14" xr3:uid="{C25F446B-37CA-4C46-8DE3-5CBDF83F99DF}" name="Column7" dataDxfId="592" dataCellStyle="Comma [0]"/>
    <tableColumn id="15" xr3:uid="{2B771376-C41A-4F53-BC5F-03146D6453D2}" name="MARET" dataDxfId="591" dataCellStyle="Normal 5"/>
    <tableColumn id="16" xr3:uid="{26AE15C1-AF2B-46A7-ADBC-F20B8677DE0D}" name="Column8" dataDxfId="590" dataCellStyle="Comma [0]"/>
    <tableColumn id="17" xr3:uid="{DFBDA772-EF7F-41E6-9DFB-E477C75E4388}" name="Column9" dataDxfId="589" dataCellStyle="Comma [0]"/>
    <tableColumn id="18" xr3:uid="{041FDBBB-13D6-40FC-B497-A1E84A4034E8}" name="APRIL" dataDxfId="588" dataCellStyle="Normal 5"/>
    <tableColumn id="19" xr3:uid="{6168E056-C134-418C-BAA8-73541257F097}" name="Column10" dataDxfId="587" dataCellStyle="Comma [0]"/>
    <tableColumn id="20" xr3:uid="{ECE7E801-4FE3-4CB0-B83E-AEDB75DF320F}" name="Column11" dataDxfId="586" dataCellStyle="Comma [0]"/>
    <tableColumn id="21" xr3:uid="{44FEDD28-091B-4680-A5C6-30F0F745EBBE}" name="MEI" dataDxfId="585"/>
    <tableColumn id="22" xr3:uid="{34244EC1-125A-49F5-8D4B-77C41595EB78}" name="Column12" dataDxfId="584" dataCellStyle="Comma [0]"/>
    <tableColumn id="23" xr3:uid="{695AAE0C-3DE2-4C12-A556-529DF387A4B7}" name="Column13" dataDxfId="583" dataCellStyle="Comma [0]"/>
    <tableColumn id="24" xr3:uid="{EE45409D-1AE3-4403-87A9-813634308CF5}" name="JUNI" dataDxfId="582" dataCellStyle="Comma [0]"/>
    <tableColumn id="25" xr3:uid="{5F933D02-7432-46D2-889E-A346FBEB81C1}" name="Column14" dataDxfId="581" dataCellStyle="Comma [0]"/>
    <tableColumn id="26" xr3:uid="{E340073A-FA27-4696-9028-62785F671D51}" name="Column15" dataDxfId="580" dataCellStyle="Comma [0]"/>
    <tableColumn id="27" xr3:uid="{3C80F9B3-4335-4BCB-A2DB-8F873DB578A1}" name="JULI" dataDxfId="579" dataCellStyle="Comma [0]"/>
    <tableColumn id="28" xr3:uid="{0B52D128-430F-4AE8-AF42-C77BCC1DE967}" name="Column16" dataDxfId="578" dataCellStyle="Comma [0]"/>
    <tableColumn id="29" xr3:uid="{9AA400AA-D217-47D3-8A29-9AD35366E1E5}" name="Column17" dataDxfId="577" dataCellStyle="Comma [0]"/>
    <tableColumn id="30" xr3:uid="{7A16243F-CC4F-4632-957C-54DF727D1493}" name="AGUSTUS" dataDxfId="576" dataCellStyle="Comma [0]"/>
    <tableColumn id="31" xr3:uid="{F53FA9C1-6878-4D23-96E5-3E23407112F3}" name="Column18" dataDxfId="575" dataCellStyle="Comma [0]"/>
    <tableColumn id="32" xr3:uid="{56226304-FD99-45E9-B47F-4A0989BC4182}" name="Column19" dataDxfId="574" dataCellStyle="Comma [0]"/>
    <tableColumn id="33" xr3:uid="{918328DE-54FE-4538-8A7A-0C76AA1E939A}" name="SEPTEMBER" dataDxfId="573" dataCellStyle="Comma [0]"/>
    <tableColumn id="34" xr3:uid="{D961E510-3ED4-4CF9-A7AF-9649B976EA3E}" name="Column20" dataDxfId="572" dataCellStyle="Comma [0]"/>
    <tableColumn id="35" xr3:uid="{91DB1DE3-8092-461D-A09A-AE460872B6BA}" name="Column21" dataDxfId="571" dataCellStyle="Comma [0]"/>
    <tableColumn id="36" xr3:uid="{CE58699D-2136-4257-BAD1-7398B982526B}" name="OKTOBER" dataDxfId="570" dataCellStyle="Comma [0]"/>
    <tableColumn id="37" xr3:uid="{1F4E6F0B-F4F1-4921-A7D5-72862BF6A622}" name="Column22" dataDxfId="569" dataCellStyle="Comma [0]"/>
    <tableColumn id="38" xr3:uid="{B76BAD65-739D-4E3A-852D-D26916987757}" name="Column23" dataDxfId="568" dataCellStyle="Comma [0]"/>
    <tableColumn id="39" xr3:uid="{12105BE2-33F4-4402-9A97-62E8F6987E7A}" name="NOVEMBER" dataDxfId="567" dataCellStyle="Comma [0]"/>
    <tableColumn id="40" xr3:uid="{C58384D0-120F-4BEC-B941-E06587266945}" name="Column24" dataDxfId="566" dataCellStyle="Comma [0]"/>
    <tableColumn id="41" xr3:uid="{A058820D-F058-4589-9874-D1A00D172D60}" name="Column25" dataDxfId="565" dataCellStyle="Comma [0]"/>
    <tableColumn id="42" xr3:uid="{CE32C95C-C534-407E-B4B0-C5BE507ACC7B}" name="DESEMBER" dataDxfId="564" dataCellStyle="Comma [0]"/>
    <tableColumn id="43" xr3:uid="{4AA20C6C-166D-40D3-B153-84B32F3DA47E}" name="Column26" dataDxfId="563" dataCellStyle="Comma [0]"/>
    <tableColumn id="44" xr3:uid="{B6199075-DD1D-4379-9C80-D5E0E5D4086B}" name="Column27" dataDxfId="562" dataCellStyle="Comma [0]"/>
    <tableColumn id="45" xr3:uid="{025D8148-41D1-493D-8F91-43A4491832E5}" name="REALISASI" dataDxfId="561" dataCellStyle="Comma [0]">
      <calculatedColumnFormula>SUM(J235:AS235)</calculatedColumnFormula>
    </tableColumn>
    <tableColumn id="46" xr3:uid="{EB91123A-1AE6-419C-99DE-3A8BFD669434}" name="%" dataDxfId="560">
      <calculatedColumnFormula>IFERROR(AT235/F235*100,0)</calculatedColumnFormula>
    </tableColumn>
    <tableColumn id="47" xr3:uid="{B367B8B8-4A10-4559-8042-C79AD776D92F}" name="SISA PAGU" dataDxfId="559">
      <calculatedColumnFormula>F235-AT235</calculatedColumnFormula>
    </tableColumn>
    <tableColumn id="48" xr3:uid="{4447787F-4DC2-4E59-B3FB-02DC54A3FEB4}" name="%28" dataDxfId="558">
      <calculatedColumnFormula>AV235/F235*100</calculatedColumnFormula>
    </tableColumn>
    <tableColumn id="49" xr3:uid="{C7CC6506-6ABE-4181-9F4B-FEC5B702B017}" name="KOORDINATOR" dataDxfId="557"/>
    <tableColumn id="50" xr3:uid="{048FA016-E7FA-4ECE-BABA-429AD0AEF890}" name="Subkoordinator"/>
    <tableColumn id="51" xr3:uid="{B38F358A-82BF-496A-A23D-71F2B98B29E5}" name="Jenis Belanja Barang"/>
    <tableColumn id="52" xr3:uid="{DB80BE10-1DFD-4F7D-BB32-35C9FE353EFD}" name="SPBy" dataDxfId="556" dataCellStyle="Comma [0]"/>
    <tableColumn id="53" xr3:uid="{078C675B-A0F3-404E-848C-5D5DFFD077BC}" name="Column29"/>
    <tableColumn id="54" xr3:uid="{434FFD64-27FE-4383-9669-FEE5F6BE4180}" name="Column30" dataDxfId="555" dataCellStyle="Comma [0]"/>
    <tableColumn id="55" xr3:uid="{AD184532-E295-4016-A273-BA35EA2F7DDB}" name="Column31"/>
    <tableColumn id="56" xr3:uid="{04589D00-C0CC-4CDF-8818-88356046B349}" name="Column32"/>
    <tableColumn id="57" xr3:uid="{72636C8C-7D70-453F-B896-137E5BF1F9AD}" name="Column33"/>
    <tableColumn id="58" xr3:uid="{6A4813D0-30A7-47BD-B887-13C345001AF0}" name="Column34"/>
    <tableColumn id="59" xr3:uid="{E3AC905E-2B0C-4666-B694-D5121746AFF1}" name="Column3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B22A771-0955-4D7D-AD94-5925532DD3D2}" name="Table6" displayName="Table6" ref="D3:E145" totalsRowCount="1">
  <autoFilter ref="D3:E144" xr:uid="{EB22A771-0955-4D7D-AD94-5925532DD3D2}"/>
  <sortState xmlns:xlrd2="http://schemas.microsoft.com/office/spreadsheetml/2017/richdata2" ref="D4:E144">
    <sortCondition ref="D3:D144"/>
  </sortState>
  <tableColumns count="2">
    <tableColumn id="1" xr3:uid="{3D553159-00D4-4EDD-A3B0-3515F125166D}" name="Column1"/>
    <tableColumn id="2" xr3:uid="{08CB996D-556F-4B95-8D0D-09EFAD099D70}" name="Column2" totalsRowFunction="sum" dataDxfId="554" totalsRowDxfId="553" dataCellStyle="Comma [0]" totalsRowCellStyle="Comma [0]">
      <calculatedColumnFormula>_xlfn.XLOOKUP(Table6[[#This Row],[Column1]],$A$4:$A$122,$B$4:$B$122,0,0,1)</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F079D1-650F-4B82-AE60-B7C99DA21581}" name="DIPA2" displayName="DIPA2" ref="A1:Q276" totalsRowShown="0">
  <autoFilter ref="A1:Q276" xr:uid="{32F079D1-650F-4B82-AE60-B7C99DA21581}"/>
  <tableColumns count="17">
    <tableColumn id="1" xr3:uid="{CF1DBFA4-DDA7-48F7-97C9-C9A9D16487CF}" name="ProgKgt"/>
    <tableColumn id="2" xr3:uid="{CC49D1AF-18CC-493B-A7C0-9198172D3379}" name="KroRo"/>
    <tableColumn id="3" xr3:uid="{05689326-2BAE-407A-AA2C-0C68B200B123}" name="Kmpnen"/>
    <tableColumn id="4" xr3:uid="{F23C8D7C-895F-4A89-931F-45EDA971025F}" name="Skmpnen"/>
    <tableColumn id="5" xr3:uid="{8830C041-FEBE-4416-A3AA-05FF7387D021}" name="Kdakun"/>
    <tableColumn id="6" xr3:uid="{7B85B7BD-E406-481F-8F53-757C5E63D67C}" name="Detil"/>
    <tableColumn id="7" xr3:uid="{25A7FB04-D1E9-41D2-9263-39490764A7B8}" name="PaguRevisi"/>
    <tableColumn id="8" xr3:uid="{8C4E7BF1-7179-4E57-AEBF-0972F9D53B40}" name="PeriodeLalu"/>
    <tableColumn id="9" xr3:uid="{9EDEFB48-E103-4A42-8676-25E96AD0682F}" name="PeriodeIni"/>
    <tableColumn id="10" xr3:uid="{C6941DF3-6BC6-4D59-A675-0EE74734AE20}" name="sdPeriode"/>
    <tableColumn id="11" xr3:uid="{89C14017-9C94-4672-A95C-A3B92F623FEF}" name="Persentase"/>
    <tableColumn id="12" xr3:uid="{DD55E981-CF47-4810-88F6-0A3EEE39267D}" name="Sisa"/>
    <tableColumn id="13" xr3:uid="{4A63F0A4-D41E-4FAA-8ED5-1664956D2B3E}" name="KodeDetil"/>
    <tableColumn id="14" xr3:uid="{671B1BDD-1455-4F0A-B20C-12EC4850BE9C}" name="KetDetil"/>
    <tableColumn id="15" xr3:uid="{4BE43323-17B3-421E-8E1C-759DBB40A11A}" name="IKU"/>
    <tableColumn id="16" xr3:uid="{276C50F3-805C-40B3-8087-646A15111A1E}" name="Akun"/>
    <tableColumn id="17" xr3:uid="{B8BD780B-145F-46C4-B2DC-37FAAE51C1A2}" name="SPJ Fisi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microsoft.com/office/2007/relationships/slicer" Target="../slicers/slicer1.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4" Type="http://schemas.microsoft.com/office/2007/relationships/slicer" Target="../slicers/slicer2.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2.vml"/><Relationship Id="rId1" Type="http://schemas.openxmlformats.org/officeDocument/2006/relationships/printerSettings" Target="../printerSettings/printerSettings11.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12.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40625" defaultRowHeight="14.25" x14ac:dyDescent="0.2"/>
  <cols>
    <col min="1" max="1" width="33.85546875" style="7" bestFit="1" customWidth="1"/>
    <col min="2" max="2" width="16.28515625" style="11" bestFit="1" customWidth="1"/>
    <col min="3" max="3" width="53.7109375" style="12" customWidth="1"/>
    <col min="4" max="4" width="9.28515625" style="11" bestFit="1" customWidth="1"/>
    <col min="5" max="5" width="9.140625" style="48"/>
    <col min="6" max="6" width="14" style="13" bestFit="1" customWidth="1"/>
    <col min="7" max="7" width="16.85546875" style="13" bestFit="1" customWidth="1"/>
    <col min="8" max="8" width="9.28515625" style="8" bestFit="1" customWidth="1"/>
    <col min="9" max="9" width="27.7109375" style="8" customWidth="1"/>
    <col min="10" max="10" width="9.28515625" style="8" bestFit="1" customWidth="1"/>
    <col min="11" max="16384" width="9.140625" style="8"/>
  </cols>
  <sheetData>
    <row r="1" spans="1:10" ht="15.75" x14ac:dyDescent="0.2">
      <c r="B1" s="442" t="s">
        <v>598</v>
      </c>
      <c r="C1" s="442"/>
      <c r="D1" s="442"/>
      <c r="E1" s="442"/>
      <c r="F1" s="442"/>
      <c r="G1" s="442"/>
      <c r="I1" s="9"/>
    </row>
    <row r="2" spans="1:10" ht="15" x14ac:dyDescent="0.25">
      <c r="B2" s="443" t="s">
        <v>614</v>
      </c>
      <c r="C2" s="443"/>
      <c r="D2" s="443"/>
      <c r="E2" s="443"/>
      <c r="F2" s="443"/>
      <c r="G2" s="443"/>
      <c r="I2" s="10"/>
    </row>
    <row r="3" spans="1:10" ht="15" x14ac:dyDescent="0.25">
      <c r="B3" s="65"/>
      <c r="C3" s="65"/>
      <c r="D3" s="65"/>
      <c r="E3" s="65"/>
      <c r="F3" s="65"/>
      <c r="G3" s="65"/>
      <c r="I3" s="10"/>
    </row>
    <row r="4" spans="1:10" x14ac:dyDescent="0.2">
      <c r="B4" s="49" t="s">
        <v>599</v>
      </c>
      <c r="C4" s="49" t="s">
        <v>600</v>
      </c>
      <c r="D4" s="49"/>
      <c r="E4" s="52"/>
      <c r="F4" s="49"/>
      <c r="G4" s="49"/>
      <c r="I4" s="10"/>
    </row>
    <row r="5" spans="1:10" ht="15" x14ac:dyDescent="0.2">
      <c r="B5" s="49" t="s">
        <v>601</v>
      </c>
      <c r="C5" s="49" t="s">
        <v>602</v>
      </c>
      <c r="D5" s="50"/>
      <c r="E5" s="53"/>
      <c r="F5" s="50"/>
      <c r="G5" s="50"/>
      <c r="I5" s="10"/>
    </row>
    <row r="6" spans="1:10" ht="15" x14ac:dyDescent="0.2">
      <c r="B6" s="49" t="s">
        <v>603</v>
      </c>
      <c r="C6" s="49" t="s">
        <v>604</v>
      </c>
      <c r="D6" s="50"/>
      <c r="E6" s="53"/>
      <c r="F6" s="50"/>
      <c r="G6" s="50"/>
      <c r="I6" s="10"/>
    </row>
    <row r="7" spans="1:10" ht="15" x14ac:dyDescent="0.25">
      <c r="B7" s="49" t="s">
        <v>605</v>
      </c>
      <c r="C7" s="51" t="str">
        <f>":  Rp. " &amp; TEXT(G12,"#.##")</f>
        <v xml:space="preserve">:  Rp. </v>
      </c>
      <c r="D7" s="50"/>
      <c r="E7" s="53"/>
      <c r="F7" s="50"/>
      <c r="G7" s="50"/>
      <c r="I7" s="10"/>
    </row>
    <row r="8" spans="1:10" x14ac:dyDescent="0.2">
      <c r="B8" s="48"/>
      <c r="C8" s="48"/>
      <c r="D8" s="48"/>
      <c r="F8" s="48"/>
      <c r="G8" s="48"/>
      <c r="I8" s="10"/>
    </row>
    <row r="9" spans="1:10" x14ac:dyDescent="0.2">
      <c r="B9" s="444" t="s">
        <v>606</v>
      </c>
      <c r="C9" s="446" t="s">
        <v>607</v>
      </c>
      <c r="D9" s="447" t="s">
        <v>608</v>
      </c>
      <c r="E9" s="444" t="s">
        <v>609</v>
      </c>
      <c r="F9" s="447" t="s">
        <v>610</v>
      </c>
      <c r="G9" s="447" t="s">
        <v>611</v>
      </c>
      <c r="I9" s="14"/>
    </row>
    <row r="10" spans="1:10" s="16" customFormat="1" ht="15" x14ac:dyDescent="0.25">
      <c r="A10" s="15" t="s">
        <v>499</v>
      </c>
      <c r="B10" s="445"/>
      <c r="C10" s="445"/>
      <c r="D10" s="445"/>
      <c r="E10" s="448"/>
      <c r="F10" s="445"/>
      <c r="G10" s="445"/>
      <c r="I10" s="17"/>
    </row>
    <row r="11" spans="1:10" s="16" customFormat="1" ht="15" x14ac:dyDescent="0.25">
      <c r="A11" s="15"/>
      <c r="B11" s="72">
        <v>1</v>
      </c>
      <c r="C11" s="72">
        <v>2</v>
      </c>
      <c r="D11" s="72">
        <v>3</v>
      </c>
      <c r="E11" s="72">
        <v>4</v>
      </c>
      <c r="F11" s="72">
        <v>5</v>
      </c>
      <c r="G11" s="72">
        <v>6</v>
      </c>
      <c r="I11" s="17"/>
    </row>
    <row r="12" spans="1:10" s="16" customFormat="1" ht="15" x14ac:dyDescent="0.25">
      <c r="A12" s="15"/>
      <c r="B12" s="73" t="s">
        <v>612</v>
      </c>
      <c r="C12" s="74" t="s">
        <v>613</v>
      </c>
      <c r="D12" s="75"/>
      <c r="E12" s="76"/>
      <c r="F12" s="75"/>
      <c r="G12" s="77"/>
      <c r="I12" s="17"/>
    </row>
    <row r="13" spans="1:10" x14ac:dyDescent="0.2">
      <c r="A13" s="7" t="s">
        <v>0</v>
      </c>
      <c r="B13" s="22" t="s">
        <v>0</v>
      </c>
      <c r="C13" s="23" t="s">
        <v>1</v>
      </c>
      <c r="D13" s="22"/>
      <c r="E13" s="54"/>
      <c r="F13" s="24"/>
      <c r="G13" s="24">
        <v>2500000000</v>
      </c>
      <c r="I13" s="439" t="s">
        <v>596</v>
      </c>
      <c r="J13" s="440" t="s">
        <v>597</v>
      </c>
    </row>
    <row r="14" spans="1:10" x14ac:dyDescent="0.2">
      <c r="A14" s="7" t="s">
        <v>199</v>
      </c>
      <c r="B14" s="25" t="s">
        <v>194</v>
      </c>
      <c r="C14" s="26" t="s">
        <v>2</v>
      </c>
      <c r="D14" s="25"/>
      <c r="E14" s="55"/>
      <c r="F14" s="27"/>
      <c r="G14" s="27">
        <v>1500000000</v>
      </c>
      <c r="I14" s="439"/>
      <c r="J14" s="440"/>
    </row>
    <row r="15" spans="1:10" x14ac:dyDescent="0.2">
      <c r="A15" s="7" t="s">
        <v>200</v>
      </c>
      <c r="B15" s="28" t="s">
        <v>3</v>
      </c>
      <c r="C15" s="29" t="s">
        <v>615</v>
      </c>
      <c r="D15" s="46"/>
      <c r="E15" s="56"/>
      <c r="F15" s="30"/>
      <c r="G15" s="30">
        <v>1500000000</v>
      </c>
      <c r="I15" s="1" t="s">
        <v>496</v>
      </c>
      <c r="J15" s="18" t="b">
        <v>0</v>
      </c>
    </row>
    <row r="16" spans="1:10" ht="25.5" x14ac:dyDescent="0.2">
      <c r="A16" s="7" t="s">
        <v>201</v>
      </c>
      <c r="B16" s="31" t="s">
        <v>616</v>
      </c>
      <c r="C16" s="32" t="s">
        <v>4</v>
      </c>
      <c r="D16" s="31"/>
      <c r="E16" s="57"/>
      <c r="F16" s="33"/>
      <c r="G16" s="33">
        <v>1500000000</v>
      </c>
      <c r="I16" s="2" t="s">
        <v>497</v>
      </c>
      <c r="J16" s="18" t="b">
        <v>0</v>
      </c>
    </row>
    <row r="17" spans="1:10" x14ac:dyDescent="0.2">
      <c r="A17" s="7" t="s">
        <v>202</v>
      </c>
      <c r="B17" s="34" t="s">
        <v>502</v>
      </c>
      <c r="C17" s="35" t="s">
        <v>5</v>
      </c>
      <c r="D17" s="34"/>
      <c r="E17" s="58"/>
      <c r="F17" s="36"/>
      <c r="G17" s="36">
        <v>600000000</v>
      </c>
      <c r="I17" s="3" t="s">
        <v>593</v>
      </c>
      <c r="J17" s="18" t="b">
        <v>0</v>
      </c>
    </row>
    <row r="18" spans="1:10" ht="25.5" x14ac:dyDescent="0.2">
      <c r="A18" s="7" t="s">
        <v>203</v>
      </c>
      <c r="B18" s="37" t="s">
        <v>8</v>
      </c>
      <c r="C18" s="38" t="s">
        <v>6</v>
      </c>
      <c r="D18" s="37"/>
      <c r="E18" s="59"/>
      <c r="F18" s="39"/>
      <c r="G18" s="39">
        <v>72820000</v>
      </c>
      <c r="I18" s="66" t="s">
        <v>594</v>
      </c>
      <c r="J18" s="18" t="b">
        <v>0</v>
      </c>
    </row>
    <row r="19" spans="1:10" x14ac:dyDescent="0.2">
      <c r="A19" s="7" t="s">
        <v>204</v>
      </c>
      <c r="B19" s="40" t="s">
        <v>503</v>
      </c>
      <c r="C19" s="41" t="s">
        <v>7</v>
      </c>
      <c r="D19" s="40"/>
      <c r="E19" s="60"/>
      <c r="F19" s="42"/>
      <c r="G19" s="42">
        <v>6890000</v>
      </c>
      <c r="I19" s="4" t="s">
        <v>498</v>
      </c>
      <c r="J19" s="18" t="b">
        <v>0</v>
      </c>
    </row>
    <row r="20" spans="1:10" x14ac:dyDescent="0.2">
      <c r="A20" s="7" t="s">
        <v>205</v>
      </c>
      <c r="B20" s="43" t="s">
        <v>195</v>
      </c>
      <c r="C20" s="44" t="s">
        <v>617</v>
      </c>
      <c r="D20" s="47">
        <v>1</v>
      </c>
      <c r="E20" s="61" t="s">
        <v>9</v>
      </c>
      <c r="F20" s="45">
        <v>750000</v>
      </c>
      <c r="G20" s="45">
        <v>750000</v>
      </c>
      <c r="I20" s="5" t="s">
        <v>595</v>
      </c>
      <c r="J20" s="18" t="b">
        <v>0</v>
      </c>
    </row>
    <row r="21" spans="1:10" x14ac:dyDescent="0.2">
      <c r="A21" s="7" t="s">
        <v>206</v>
      </c>
      <c r="B21" s="43" t="s">
        <v>195</v>
      </c>
      <c r="C21" s="44" t="s">
        <v>618</v>
      </c>
      <c r="D21" s="47">
        <v>60</v>
      </c>
      <c r="E21" s="61" t="s">
        <v>25</v>
      </c>
      <c r="F21" s="45">
        <v>69000</v>
      </c>
      <c r="G21" s="45">
        <v>4140000</v>
      </c>
      <c r="I21" s="6" t="s">
        <v>499</v>
      </c>
      <c r="J21" s="18" t="b">
        <v>1</v>
      </c>
    </row>
    <row r="22" spans="1:10" x14ac:dyDescent="0.2">
      <c r="A22" s="7" t="s">
        <v>207</v>
      </c>
      <c r="B22" s="43" t="s">
        <v>195</v>
      </c>
      <c r="C22" s="44" t="s">
        <v>619</v>
      </c>
      <c r="D22" s="47">
        <v>1</v>
      </c>
      <c r="E22" s="61" t="s">
        <v>9</v>
      </c>
      <c r="F22" s="45">
        <v>1000000</v>
      </c>
      <c r="G22" s="45">
        <v>1000000</v>
      </c>
      <c r="I22" s="441"/>
      <c r="J22" s="441"/>
    </row>
    <row r="23" spans="1:10" x14ac:dyDescent="0.2">
      <c r="A23" s="7" t="s">
        <v>208</v>
      </c>
      <c r="B23" s="43" t="s">
        <v>195</v>
      </c>
      <c r="C23" s="44" t="s">
        <v>620</v>
      </c>
      <c r="D23" s="47">
        <v>1</v>
      </c>
      <c r="E23" s="61" t="s">
        <v>9</v>
      </c>
      <c r="F23" s="45">
        <v>1000000</v>
      </c>
      <c r="G23" s="45">
        <v>1000000</v>
      </c>
      <c r="I23" s="441"/>
      <c r="J23" s="441"/>
    </row>
    <row r="24" spans="1:10" x14ac:dyDescent="0.2">
      <c r="A24" s="7" t="s">
        <v>209</v>
      </c>
      <c r="B24" s="40" t="s">
        <v>516</v>
      </c>
      <c r="C24" s="41" t="s">
        <v>11</v>
      </c>
      <c r="D24" s="40"/>
      <c r="E24" s="60"/>
      <c r="F24" s="42"/>
      <c r="G24" s="42">
        <v>9000000</v>
      </c>
      <c r="I24" s="441"/>
      <c r="J24" s="441"/>
    </row>
    <row r="25" spans="1:10" x14ac:dyDescent="0.2">
      <c r="A25" s="7" t="s">
        <v>210</v>
      </c>
      <c r="B25" s="43" t="s">
        <v>195</v>
      </c>
      <c r="C25" s="44" t="s">
        <v>621</v>
      </c>
      <c r="D25" s="47">
        <v>10</v>
      </c>
      <c r="E25" s="61" t="s">
        <v>54</v>
      </c>
      <c r="F25" s="45">
        <v>900000</v>
      </c>
      <c r="G25" s="45">
        <v>9000000</v>
      </c>
      <c r="I25" s="19"/>
      <c r="J25" s="19"/>
    </row>
    <row r="26" spans="1:10" x14ac:dyDescent="0.2">
      <c r="A26" s="7" t="s">
        <v>211</v>
      </c>
      <c r="B26" s="40" t="s">
        <v>507</v>
      </c>
      <c r="C26" s="41" t="s">
        <v>13</v>
      </c>
      <c r="D26" s="40"/>
      <c r="E26" s="60"/>
      <c r="F26" s="42"/>
      <c r="G26" s="42">
        <v>900000</v>
      </c>
    </row>
    <row r="27" spans="1:10" x14ac:dyDescent="0.2">
      <c r="A27" s="7" t="s">
        <v>212</v>
      </c>
      <c r="B27" s="43" t="s">
        <v>195</v>
      </c>
      <c r="C27" s="44" t="s">
        <v>622</v>
      </c>
      <c r="D27" s="47">
        <v>6</v>
      </c>
      <c r="E27" s="61" t="s">
        <v>25</v>
      </c>
      <c r="F27" s="45">
        <v>150000</v>
      </c>
      <c r="G27" s="45">
        <v>900000</v>
      </c>
    </row>
    <row r="28" spans="1:10" x14ac:dyDescent="0.2">
      <c r="A28" s="7" t="s">
        <v>213</v>
      </c>
      <c r="B28" s="40" t="s">
        <v>509</v>
      </c>
      <c r="C28" s="41" t="s">
        <v>14</v>
      </c>
      <c r="D28" s="40"/>
      <c r="E28" s="60"/>
      <c r="F28" s="42"/>
      <c r="G28" s="42">
        <v>780000</v>
      </c>
    </row>
    <row r="29" spans="1:10" x14ac:dyDescent="0.2">
      <c r="A29" s="7" t="s">
        <v>214</v>
      </c>
      <c r="B29" s="43" t="s">
        <v>195</v>
      </c>
      <c r="C29" s="44" t="s">
        <v>623</v>
      </c>
      <c r="D29" s="47">
        <v>6</v>
      </c>
      <c r="E29" s="61" t="s">
        <v>25</v>
      </c>
      <c r="F29" s="45">
        <v>130000</v>
      </c>
      <c r="G29" s="45">
        <v>780000</v>
      </c>
    </row>
    <row r="30" spans="1:10" x14ac:dyDescent="0.2">
      <c r="A30" s="7" t="s">
        <v>215</v>
      </c>
      <c r="B30" s="40" t="s">
        <v>510</v>
      </c>
      <c r="C30" s="41" t="s">
        <v>15</v>
      </c>
      <c r="D30" s="40"/>
      <c r="E30" s="60"/>
      <c r="F30" s="42"/>
      <c r="G30" s="42">
        <v>55250000</v>
      </c>
      <c r="I30" s="20"/>
    </row>
    <row r="31" spans="1:10" x14ac:dyDescent="0.2">
      <c r="A31" s="7" t="s">
        <v>216</v>
      </c>
      <c r="B31" s="40" t="s">
        <v>195</v>
      </c>
      <c r="C31" s="41" t="s">
        <v>624</v>
      </c>
      <c r="D31" s="40">
        <v>50</v>
      </c>
      <c r="E31" s="60" t="s">
        <v>25</v>
      </c>
      <c r="F31" s="42">
        <v>450000</v>
      </c>
      <c r="G31" s="42">
        <v>22500000</v>
      </c>
    </row>
    <row r="32" spans="1:10" x14ac:dyDescent="0.2">
      <c r="A32" s="7" t="s">
        <v>217</v>
      </c>
      <c r="B32" s="43" t="s">
        <v>195</v>
      </c>
      <c r="C32" s="44" t="s">
        <v>625</v>
      </c>
      <c r="D32" s="47">
        <v>50</v>
      </c>
      <c r="E32" s="61" t="s">
        <v>25</v>
      </c>
      <c r="F32" s="45">
        <v>105000</v>
      </c>
      <c r="G32" s="45">
        <v>5250000</v>
      </c>
    </row>
    <row r="33" spans="1:7" ht="25.5" x14ac:dyDescent="0.2">
      <c r="A33" s="7" t="s">
        <v>218</v>
      </c>
      <c r="B33" s="43" t="s">
        <v>195</v>
      </c>
      <c r="C33" s="44" t="s">
        <v>626</v>
      </c>
      <c r="D33" s="47">
        <v>50</v>
      </c>
      <c r="E33" s="61" t="s">
        <v>25</v>
      </c>
      <c r="F33" s="45">
        <v>550000</v>
      </c>
      <c r="G33" s="45">
        <v>27500000</v>
      </c>
    </row>
    <row r="34" spans="1:7" ht="25.5" x14ac:dyDescent="0.2">
      <c r="A34" s="7" t="s">
        <v>219</v>
      </c>
      <c r="B34" s="37" t="s">
        <v>511</v>
      </c>
      <c r="C34" s="38" t="s">
        <v>17</v>
      </c>
      <c r="D34" s="70"/>
      <c r="E34" s="59"/>
      <c r="F34" s="39"/>
      <c r="G34" s="39">
        <v>100790000</v>
      </c>
    </row>
    <row r="35" spans="1:7" x14ac:dyDescent="0.2">
      <c r="A35" s="7" t="s">
        <v>220</v>
      </c>
      <c r="B35" s="40" t="s">
        <v>503</v>
      </c>
      <c r="C35" s="41" t="s">
        <v>7</v>
      </c>
      <c r="D35" s="71"/>
      <c r="E35" s="60"/>
      <c r="F35" s="42"/>
      <c r="G35" s="42">
        <v>13540000</v>
      </c>
    </row>
    <row r="36" spans="1:7" x14ac:dyDescent="0.2">
      <c r="A36" s="7" t="s">
        <v>221</v>
      </c>
      <c r="B36" s="40" t="s">
        <v>195</v>
      </c>
      <c r="C36" s="41" t="s">
        <v>617</v>
      </c>
      <c r="D36" s="40">
        <v>1</v>
      </c>
      <c r="E36" s="60" t="s">
        <v>9</v>
      </c>
      <c r="F36" s="42">
        <v>500000</v>
      </c>
      <c r="G36" s="42">
        <v>500000</v>
      </c>
    </row>
    <row r="37" spans="1:7" x14ac:dyDescent="0.2">
      <c r="A37" s="7" t="s">
        <v>222</v>
      </c>
      <c r="B37" s="43" t="s">
        <v>195</v>
      </c>
      <c r="C37" s="44" t="s">
        <v>627</v>
      </c>
      <c r="D37" s="47">
        <v>160</v>
      </c>
      <c r="E37" s="61" t="s">
        <v>25</v>
      </c>
      <c r="F37" s="45">
        <v>47000</v>
      </c>
      <c r="G37" s="45">
        <v>7520000</v>
      </c>
    </row>
    <row r="38" spans="1:7" x14ac:dyDescent="0.2">
      <c r="A38" s="7" t="s">
        <v>223</v>
      </c>
      <c r="B38" s="40" t="s">
        <v>195</v>
      </c>
      <c r="C38" s="41" t="s">
        <v>628</v>
      </c>
      <c r="D38" s="40">
        <v>160</v>
      </c>
      <c r="E38" s="60" t="s">
        <v>25</v>
      </c>
      <c r="F38" s="42">
        <v>22000</v>
      </c>
      <c r="G38" s="42">
        <v>3520000</v>
      </c>
    </row>
    <row r="39" spans="1:7" x14ac:dyDescent="0.2">
      <c r="A39" s="7" t="s">
        <v>224</v>
      </c>
      <c r="B39" s="43" t="s">
        <v>195</v>
      </c>
      <c r="C39" s="44" t="s">
        <v>619</v>
      </c>
      <c r="D39" s="47">
        <v>1</v>
      </c>
      <c r="E39" s="61" t="s">
        <v>9</v>
      </c>
      <c r="F39" s="45">
        <v>1000000</v>
      </c>
      <c r="G39" s="45">
        <v>1000000</v>
      </c>
    </row>
    <row r="40" spans="1:7" x14ac:dyDescent="0.2">
      <c r="A40" s="7" t="s">
        <v>225</v>
      </c>
      <c r="B40" s="37" t="s">
        <v>195</v>
      </c>
      <c r="C40" s="38" t="s">
        <v>620</v>
      </c>
      <c r="D40" s="37">
        <v>1</v>
      </c>
      <c r="E40" s="59" t="s">
        <v>9</v>
      </c>
      <c r="F40" s="39">
        <v>1000000</v>
      </c>
      <c r="G40" s="39">
        <v>1000000</v>
      </c>
    </row>
    <row r="41" spans="1:7" x14ac:dyDescent="0.2">
      <c r="A41" s="7" t="s">
        <v>226</v>
      </c>
      <c r="B41" s="40" t="s">
        <v>516</v>
      </c>
      <c r="C41" s="41" t="s">
        <v>11</v>
      </c>
      <c r="D41" s="40"/>
      <c r="E41" s="60"/>
      <c r="F41" s="42"/>
      <c r="G41" s="42">
        <v>18000000</v>
      </c>
    </row>
    <row r="42" spans="1:7" x14ac:dyDescent="0.2">
      <c r="A42" s="7" t="s">
        <v>227</v>
      </c>
      <c r="B42" s="43" t="s">
        <v>195</v>
      </c>
      <c r="C42" s="44" t="s">
        <v>629</v>
      </c>
      <c r="D42" s="47">
        <v>20</v>
      </c>
      <c r="E42" s="61" t="s">
        <v>54</v>
      </c>
      <c r="F42" s="45">
        <v>900000</v>
      </c>
      <c r="G42" s="45">
        <v>18000000</v>
      </c>
    </row>
    <row r="43" spans="1:7" x14ac:dyDescent="0.2">
      <c r="A43" s="7" t="s">
        <v>228</v>
      </c>
      <c r="B43" s="40" t="s">
        <v>507</v>
      </c>
      <c r="C43" s="41" t="s">
        <v>13</v>
      </c>
      <c r="D43" s="71"/>
      <c r="E43" s="60"/>
      <c r="F43" s="42"/>
      <c r="G43" s="42">
        <v>14000000</v>
      </c>
    </row>
    <row r="44" spans="1:7" x14ac:dyDescent="0.2">
      <c r="A44" s="7" t="s">
        <v>229</v>
      </c>
      <c r="B44" s="43" t="s">
        <v>195</v>
      </c>
      <c r="C44" s="44" t="s">
        <v>630</v>
      </c>
      <c r="D44" s="47">
        <v>50</v>
      </c>
      <c r="E44" s="61" t="s">
        <v>25</v>
      </c>
      <c r="F44" s="45">
        <v>150000</v>
      </c>
      <c r="G44" s="45">
        <v>7500000</v>
      </c>
    </row>
    <row r="45" spans="1:7" x14ac:dyDescent="0.2">
      <c r="A45" s="7" t="s">
        <v>631</v>
      </c>
      <c r="B45" s="43" t="s">
        <v>195</v>
      </c>
      <c r="C45" s="44" t="s">
        <v>623</v>
      </c>
      <c r="D45" s="47">
        <v>50</v>
      </c>
      <c r="E45" s="61" t="s">
        <v>25</v>
      </c>
      <c r="F45" s="45">
        <v>130000</v>
      </c>
      <c r="G45" s="45">
        <v>6500000</v>
      </c>
    </row>
    <row r="46" spans="1:7" x14ac:dyDescent="0.2">
      <c r="A46" s="7" t="s">
        <v>230</v>
      </c>
      <c r="B46" s="40" t="s">
        <v>510</v>
      </c>
      <c r="C46" s="41" t="s">
        <v>15</v>
      </c>
      <c r="D46" s="40"/>
      <c r="E46" s="60"/>
      <c r="F46" s="42"/>
      <c r="G46" s="42">
        <v>55250000</v>
      </c>
    </row>
    <row r="47" spans="1:7" x14ac:dyDescent="0.2">
      <c r="A47" s="7" t="s">
        <v>231</v>
      </c>
      <c r="B47" s="43" t="s">
        <v>195</v>
      </c>
      <c r="C47" s="44" t="s">
        <v>624</v>
      </c>
      <c r="D47" s="47">
        <v>50</v>
      </c>
      <c r="E47" s="61" t="s">
        <v>25</v>
      </c>
      <c r="F47" s="45">
        <v>450000</v>
      </c>
      <c r="G47" s="45">
        <v>22500000</v>
      </c>
    </row>
    <row r="48" spans="1:7" x14ac:dyDescent="0.2">
      <c r="A48" s="7" t="s">
        <v>232</v>
      </c>
      <c r="B48" s="40" t="s">
        <v>195</v>
      </c>
      <c r="C48" s="41" t="s">
        <v>632</v>
      </c>
      <c r="D48" s="40">
        <v>50</v>
      </c>
      <c r="E48" s="60" t="s">
        <v>25</v>
      </c>
      <c r="F48" s="42">
        <v>105000</v>
      </c>
      <c r="G48" s="42">
        <v>5250000</v>
      </c>
    </row>
    <row r="49" spans="1:7" ht="25.5" x14ac:dyDescent="0.2">
      <c r="A49" s="7" t="s">
        <v>233</v>
      </c>
      <c r="B49" s="43" t="s">
        <v>195</v>
      </c>
      <c r="C49" s="44" t="s">
        <v>633</v>
      </c>
      <c r="D49" s="47">
        <v>50</v>
      </c>
      <c r="E49" s="61" t="s">
        <v>25</v>
      </c>
      <c r="F49" s="45">
        <v>550000</v>
      </c>
      <c r="G49" s="45">
        <v>27500000</v>
      </c>
    </row>
    <row r="50" spans="1:7" x14ac:dyDescent="0.2">
      <c r="A50" s="7" t="s">
        <v>234</v>
      </c>
      <c r="B50" s="37" t="s">
        <v>512</v>
      </c>
      <c r="C50" s="38" t="s">
        <v>18</v>
      </c>
      <c r="D50" s="37"/>
      <c r="E50" s="59"/>
      <c r="F50" s="39"/>
      <c r="G50" s="39">
        <v>47060000</v>
      </c>
    </row>
    <row r="51" spans="1:7" x14ac:dyDescent="0.2">
      <c r="A51" s="7" t="s">
        <v>235</v>
      </c>
      <c r="B51" s="40" t="s">
        <v>503</v>
      </c>
      <c r="C51" s="41" t="s">
        <v>7</v>
      </c>
      <c r="D51" s="71"/>
      <c r="E51" s="60"/>
      <c r="F51" s="42"/>
      <c r="G51" s="42">
        <v>4820000</v>
      </c>
    </row>
    <row r="52" spans="1:7" x14ac:dyDescent="0.2">
      <c r="A52" s="7" t="s">
        <v>236</v>
      </c>
      <c r="B52" s="34" t="s">
        <v>195</v>
      </c>
      <c r="C52" s="35" t="s">
        <v>617</v>
      </c>
      <c r="D52" s="34">
        <v>1</v>
      </c>
      <c r="E52" s="58" t="s">
        <v>9</v>
      </c>
      <c r="F52" s="36">
        <v>750000</v>
      </c>
      <c r="G52" s="36">
        <v>750000</v>
      </c>
    </row>
    <row r="53" spans="1:7" x14ac:dyDescent="0.2">
      <c r="A53" s="7" t="s">
        <v>237</v>
      </c>
      <c r="B53" s="37" t="s">
        <v>195</v>
      </c>
      <c r="C53" s="38" t="s">
        <v>634</v>
      </c>
      <c r="D53" s="37">
        <v>30</v>
      </c>
      <c r="E53" s="59" t="s">
        <v>25</v>
      </c>
      <c r="F53" s="39">
        <v>69000</v>
      </c>
      <c r="G53" s="39">
        <v>2070000</v>
      </c>
    </row>
    <row r="54" spans="1:7" x14ac:dyDescent="0.2">
      <c r="A54" s="7" t="s">
        <v>238</v>
      </c>
      <c r="B54" s="40" t="s">
        <v>195</v>
      </c>
      <c r="C54" s="41" t="s">
        <v>619</v>
      </c>
      <c r="D54" s="40">
        <v>1</v>
      </c>
      <c r="E54" s="60" t="s">
        <v>9</v>
      </c>
      <c r="F54" s="42">
        <v>1000000</v>
      </c>
      <c r="G54" s="42">
        <v>1000000</v>
      </c>
    </row>
    <row r="55" spans="1:7" x14ac:dyDescent="0.2">
      <c r="A55" s="7" t="s">
        <v>239</v>
      </c>
      <c r="B55" s="43" t="s">
        <v>195</v>
      </c>
      <c r="C55" s="44" t="s">
        <v>620</v>
      </c>
      <c r="D55" s="47">
        <v>1</v>
      </c>
      <c r="E55" s="61" t="s">
        <v>9</v>
      </c>
      <c r="F55" s="45">
        <v>1000000</v>
      </c>
      <c r="G55" s="45">
        <v>1000000</v>
      </c>
    </row>
    <row r="56" spans="1:7" x14ac:dyDescent="0.2">
      <c r="A56" s="7" t="s">
        <v>240</v>
      </c>
      <c r="B56" s="40" t="s">
        <v>513</v>
      </c>
      <c r="C56" s="41" t="s">
        <v>19</v>
      </c>
      <c r="D56" s="71"/>
      <c r="E56" s="60"/>
      <c r="F56" s="42"/>
      <c r="G56" s="42">
        <v>40000000</v>
      </c>
    </row>
    <row r="57" spans="1:7" ht="25.5" x14ac:dyDescent="0.2">
      <c r="A57" s="7" t="s">
        <v>241</v>
      </c>
      <c r="B57" s="43" t="s">
        <v>195</v>
      </c>
      <c r="C57" s="44" t="s">
        <v>635</v>
      </c>
      <c r="D57" s="47">
        <v>8</v>
      </c>
      <c r="E57" s="61" t="s">
        <v>25</v>
      </c>
      <c r="F57" s="45">
        <v>5000000</v>
      </c>
      <c r="G57" s="45">
        <v>40000000</v>
      </c>
    </row>
    <row r="58" spans="1:7" x14ac:dyDescent="0.2">
      <c r="A58" s="7" t="s">
        <v>636</v>
      </c>
      <c r="B58" s="40" t="s">
        <v>507</v>
      </c>
      <c r="C58" s="41" t="s">
        <v>13</v>
      </c>
      <c r="D58" s="71"/>
      <c r="E58" s="60"/>
      <c r="F58" s="42"/>
      <c r="G58" s="42">
        <v>1200000</v>
      </c>
    </row>
    <row r="59" spans="1:7" x14ac:dyDescent="0.2">
      <c r="A59" s="7" t="s">
        <v>637</v>
      </c>
      <c r="B59" s="43" t="s">
        <v>195</v>
      </c>
      <c r="C59" s="44" t="s">
        <v>638</v>
      </c>
      <c r="D59" s="47">
        <v>8</v>
      </c>
      <c r="E59" s="61" t="s">
        <v>25</v>
      </c>
      <c r="F59" s="45">
        <v>150000</v>
      </c>
      <c r="G59" s="45">
        <v>1200000</v>
      </c>
    </row>
    <row r="60" spans="1:7" x14ac:dyDescent="0.2">
      <c r="A60" s="7" t="s">
        <v>639</v>
      </c>
      <c r="B60" s="40" t="s">
        <v>509</v>
      </c>
      <c r="C60" s="41" t="s">
        <v>14</v>
      </c>
      <c r="D60" s="71"/>
      <c r="E60" s="60"/>
      <c r="F60" s="42"/>
      <c r="G60" s="42">
        <v>1040000</v>
      </c>
    </row>
    <row r="61" spans="1:7" x14ac:dyDescent="0.2">
      <c r="A61" s="7" t="s">
        <v>640</v>
      </c>
      <c r="B61" s="43" t="s">
        <v>195</v>
      </c>
      <c r="C61" s="44" t="s">
        <v>623</v>
      </c>
      <c r="D61" s="47">
        <v>8</v>
      </c>
      <c r="E61" s="61" t="s">
        <v>25</v>
      </c>
      <c r="F61" s="45">
        <v>130000</v>
      </c>
      <c r="G61" s="45">
        <v>1040000</v>
      </c>
    </row>
    <row r="62" spans="1:7" x14ac:dyDescent="0.2">
      <c r="A62" s="7" t="s">
        <v>242</v>
      </c>
      <c r="B62" s="37" t="s">
        <v>514</v>
      </c>
      <c r="C62" s="38" t="s">
        <v>20</v>
      </c>
      <c r="D62" s="37"/>
      <c r="E62" s="59"/>
      <c r="F62" s="39"/>
      <c r="G62" s="39">
        <v>202740000</v>
      </c>
    </row>
    <row r="63" spans="1:7" x14ac:dyDescent="0.2">
      <c r="A63" s="7" t="s">
        <v>243</v>
      </c>
      <c r="B63" s="40" t="s">
        <v>503</v>
      </c>
      <c r="C63" s="41" t="s">
        <v>7</v>
      </c>
      <c r="D63" s="71"/>
      <c r="E63" s="60"/>
      <c r="F63" s="42"/>
      <c r="G63" s="42">
        <v>27540000</v>
      </c>
    </row>
    <row r="64" spans="1:7" x14ac:dyDescent="0.2">
      <c r="A64" s="7" t="s">
        <v>244</v>
      </c>
      <c r="B64" s="40" t="s">
        <v>195</v>
      </c>
      <c r="C64" s="41" t="s">
        <v>617</v>
      </c>
      <c r="D64" s="40">
        <v>6</v>
      </c>
      <c r="E64" s="60" t="s">
        <v>9</v>
      </c>
      <c r="F64" s="42">
        <v>750000</v>
      </c>
      <c r="G64" s="42">
        <v>4500000</v>
      </c>
    </row>
    <row r="65" spans="1:7" x14ac:dyDescent="0.2">
      <c r="A65" s="7" t="s">
        <v>245</v>
      </c>
      <c r="B65" s="43" t="s">
        <v>195</v>
      </c>
      <c r="C65" s="44" t="s">
        <v>641</v>
      </c>
      <c r="D65" s="47">
        <v>160</v>
      </c>
      <c r="E65" s="61" t="s">
        <v>25</v>
      </c>
      <c r="F65" s="45">
        <v>69000</v>
      </c>
      <c r="G65" s="45">
        <v>11040000</v>
      </c>
    </row>
    <row r="66" spans="1:7" x14ac:dyDescent="0.2">
      <c r="A66" s="7" t="s">
        <v>246</v>
      </c>
      <c r="B66" s="40" t="s">
        <v>195</v>
      </c>
      <c r="C66" s="41" t="s">
        <v>619</v>
      </c>
      <c r="D66" s="40">
        <v>6</v>
      </c>
      <c r="E66" s="60" t="s">
        <v>9</v>
      </c>
      <c r="F66" s="42">
        <v>1000000</v>
      </c>
      <c r="G66" s="42">
        <v>6000000</v>
      </c>
    </row>
    <row r="67" spans="1:7" x14ac:dyDescent="0.2">
      <c r="A67" s="7" t="s">
        <v>247</v>
      </c>
      <c r="B67" s="43" t="s">
        <v>195</v>
      </c>
      <c r="C67" s="44" t="s">
        <v>620</v>
      </c>
      <c r="D67" s="47">
        <v>6</v>
      </c>
      <c r="E67" s="61" t="s">
        <v>9</v>
      </c>
      <c r="F67" s="45">
        <v>1000000</v>
      </c>
      <c r="G67" s="45">
        <v>6000000</v>
      </c>
    </row>
    <row r="68" spans="1:7" ht="25.5" x14ac:dyDescent="0.2">
      <c r="A68" s="7" t="s">
        <v>248</v>
      </c>
      <c r="B68" s="40" t="s">
        <v>515</v>
      </c>
      <c r="C68" s="41" t="s">
        <v>642</v>
      </c>
      <c r="D68" s="40"/>
      <c r="E68" s="60"/>
      <c r="F68" s="42"/>
      <c r="G68" s="42">
        <v>14400000</v>
      </c>
    </row>
    <row r="69" spans="1:7" ht="25.5" x14ac:dyDescent="0.2">
      <c r="A69" s="7" t="s">
        <v>249</v>
      </c>
      <c r="B69" s="40" t="s">
        <v>195</v>
      </c>
      <c r="C69" s="41" t="s">
        <v>643</v>
      </c>
      <c r="D69" s="40">
        <v>72</v>
      </c>
      <c r="E69" s="60" t="s">
        <v>32</v>
      </c>
      <c r="F69" s="42">
        <v>200000</v>
      </c>
      <c r="G69" s="42">
        <v>14400000</v>
      </c>
    </row>
    <row r="70" spans="1:7" x14ac:dyDescent="0.2">
      <c r="A70" s="7" t="s">
        <v>250</v>
      </c>
      <c r="B70" s="40" t="s">
        <v>516</v>
      </c>
      <c r="C70" s="41" t="s">
        <v>11</v>
      </c>
      <c r="D70" s="71"/>
      <c r="E70" s="60"/>
      <c r="F70" s="42"/>
      <c r="G70" s="42">
        <v>9000000</v>
      </c>
    </row>
    <row r="71" spans="1:7" x14ac:dyDescent="0.2">
      <c r="A71" s="7" t="s">
        <v>251</v>
      </c>
      <c r="B71" s="43" t="s">
        <v>195</v>
      </c>
      <c r="C71" s="44" t="s">
        <v>621</v>
      </c>
      <c r="D71" s="47">
        <v>10</v>
      </c>
      <c r="E71" s="61" t="s">
        <v>54</v>
      </c>
      <c r="F71" s="45">
        <v>900000</v>
      </c>
      <c r="G71" s="45">
        <v>9000000</v>
      </c>
    </row>
    <row r="72" spans="1:7" x14ac:dyDescent="0.2">
      <c r="A72" s="7" t="s">
        <v>252</v>
      </c>
      <c r="B72" s="40" t="s">
        <v>517</v>
      </c>
      <c r="C72" s="41" t="s">
        <v>22</v>
      </c>
      <c r="D72" s="71"/>
      <c r="E72" s="60"/>
      <c r="F72" s="42"/>
      <c r="G72" s="42">
        <v>96000000</v>
      </c>
    </row>
    <row r="73" spans="1:7" x14ac:dyDescent="0.2">
      <c r="A73" s="7" t="s">
        <v>253</v>
      </c>
      <c r="B73" s="43" t="s">
        <v>195</v>
      </c>
      <c r="C73" s="44" t="s">
        <v>644</v>
      </c>
      <c r="D73" s="47">
        <v>1</v>
      </c>
      <c r="E73" s="61" t="s">
        <v>9</v>
      </c>
      <c r="F73" s="45">
        <v>80000000</v>
      </c>
      <c r="G73" s="45">
        <v>80000000</v>
      </c>
    </row>
    <row r="74" spans="1:7" x14ac:dyDescent="0.2">
      <c r="A74" s="7" t="s">
        <v>254</v>
      </c>
      <c r="B74" s="43" t="s">
        <v>195</v>
      </c>
      <c r="C74" s="44" t="s">
        <v>645</v>
      </c>
      <c r="D74" s="47">
        <v>1</v>
      </c>
      <c r="E74" s="61" t="s">
        <v>9</v>
      </c>
      <c r="F74" s="45">
        <v>16000000</v>
      </c>
      <c r="G74" s="45">
        <v>16000000</v>
      </c>
    </row>
    <row r="75" spans="1:7" x14ac:dyDescent="0.2">
      <c r="A75" s="7" t="s">
        <v>255</v>
      </c>
      <c r="B75" s="40" t="s">
        <v>513</v>
      </c>
      <c r="C75" s="41" t="s">
        <v>19</v>
      </c>
      <c r="D75" s="40"/>
      <c r="E75" s="60"/>
      <c r="F75" s="42"/>
      <c r="G75" s="42">
        <v>53000000</v>
      </c>
    </row>
    <row r="76" spans="1:7" ht="25.5" x14ac:dyDescent="0.2">
      <c r="A76" s="7" t="s">
        <v>256</v>
      </c>
      <c r="B76" s="43" t="s">
        <v>195</v>
      </c>
      <c r="C76" s="44" t="s">
        <v>646</v>
      </c>
      <c r="D76" s="47">
        <v>10</v>
      </c>
      <c r="E76" s="61" t="s">
        <v>25</v>
      </c>
      <c r="F76" s="45">
        <v>2500000</v>
      </c>
      <c r="G76" s="45">
        <v>25000000</v>
      </c>
    </row>
    <row r="77" spans="1:7" ht="25.5" x14ac:dyDescent="0.2">
      <c r="A77" s="7" t="s">
        <v>647</v>
      </c>
      <c r="B77" s="40" t="s">
        <v>195</v>
      </c>
      <c r="C77" s="41" t="s">
        <v>648</v>
      </c>
      <c r="D77" s="40">
        <v>7</v>
      </c>
      <c r="E77" s="60" t="s">
        <v>25</v>
      </c>
      <c r="F77" s="42">
        <v>4000000</v>
      </c>
      <c r="G77" s="42">
        <v>28000000</v>
      </c>
    </row>
    <row r="78" spans="1:7" x14ac:dyDescent="0.2">
      <c r="A78" s="7" t="s">
        <v>649</v>
      </c>
      <c r="B78" s="40" t="s">
        <v>507</v>
      </c>
      <c r="C78" s="41" t="s">
        <v>13</v>
      </c>
      <c r="D78" s="71"/>
      <c r="E78" s="60"/>
      <c r="F78" s="42"/>
      <c r="G78" s="42">
        <v>1500000</v>
      </c>
    </row>
    <row r="79" spans="1:7" x14ac:dyDescent="0.2">
      <c r="A79" s="7" t="s">
        <v>650</v>
      </c>
      <c r="B79" s="37" t="s">
        <v>195</v>
      </c>
      <c r="C79" s="38" t="s">
        <v>630</v>
      </c>
      <c r="D79" s="37">
        <v>10</v>
      </c>
      <c r="E79" s="59" t="s">
        <v>10</v>
      </c>
      <c r="F79" s="39">
        <v>150000</v>
      </c>
      <c r="G79" s="39">
        <v>1500000</v>
      </c>
    </row>
    <row r="80" spans="1:7" x14ac:dyDescent="0.2">
      <c r="A80" s="7" t="s">
        <v>651</v>
      </c>
      <c r="B80" s="40" t="s">
        <v>509</v>
      </c>
      <c r="C80" s="41" t="s">
        <v>14</v>
      </c>
      <c r="D80" s="40"/>
      <c r="E80" s="60"/>
      <c r="F80" s="42"/>
      <c r="G80" s="42">
        <v>1300000</v>
      </c>
    </row>
    <row r="81" spans="1:7" x14ac:dyDescent="0.2">
      <c r="A81" s="7" t="s">
        <v>652</v>
      </c>
      <c r="B81" s="43" t="s">
        <v>195</v>
      </c>
      <c r="C81" s="44" t="s">
        <v>623</v>
      </c>
      <c r="D81" s="47">
        <v>10</v>
      </c>
      <c r="E81" s="61" t="s">
        <v>25</v>
      </c>
      <c r="F81" s="45">
        <v>130000</v>
      </c>
      <c r="G81" s="45">
        <v>1300000</v>
      </c>
    </row>
    <row r="82" spans="1:7" x14ac:dyDescent="0.2">
      <c r="A82" s="7" t="s">
        <v>257</v>
      </c>
      <c r="B82" s="37" t="s">
        <v>519</v>
      </c>
      <c r="C82" s="38" t="s">
        <v>26</v>
      </c>
      <c r="D82" s="70"/>
      <c r="E82" s="59"/>
      <c r="F82" s="39"/>
      <c r="G82" s="39">
        <v>26780000</v>
      </c>
    </row>
    <row r="83" spans="1:7" x14ac:dyDescent="0.2">
      <c r="A83" s="7" t="s">
        <v>258</v>
      </c>
      <c r="B83" s="40" t="s">
        <v>503</v>
      </c>
      <c r="C83" s="41" t="s">
        <v>7</v>
      </c>
      <c r="D83" s="71"/>
      <c r="E83" s="60"/>
      <c r="F83" s="42"/>
      <c r="G83" s="42">
        <v>9140000</v>
      </c>
    </row>
    <row r="84" spans="1:7" x14ac:dyDescent="0.2">
      <c r="A84" s="7" t="s">
        <v>259</v>
      </c>
      <c r="B84" s="40" t="s">
        <v>195</v>
      </c>
      <c r="C84" s="41" t="s">
        <v>619</v>
      </c>
      <c r="D84" s="40">
        <v>2</v>
      </c>
      <c r="E84" s="60" t="s">
        <v>9</v>
      </c>
      <c r="F84" s="42">
        <v>1000000</v>
      </c>
      <c r="G84" s="42">
        <v>2000000</v>
      </c>
    </row>
    <row r="85" spans="1:7" x14ac:dyDescent="0.2">
      <c r="A85" s="7" t="s">
        <v>260</v>
      </c>
      <c r="B85" s="43" t="s">
        <v>195</v>
      </c>
      <c r="C85" s="44" t="s">
        <v>620</v>
      </c>
      <c r="D85" s="47">
        <v>2</v>
      </c>
      <c r="E85" s="61" t="s">
        <v>9</v>
      </c>
      <c r="F85" s="45">
        <v>1000000</v>
      </c>
      <c r="G85" s="45">
        <v>2000000</v>
      </c>
    </row>
    <row r="86" spans="1:7" x14ac:dyDescent="0.2">
      <c r="A86" s="7" t="s">
        <v>261</v>
      </c>
      <c r="B86" s="34" t="s">
        <v>195</v>
      </c>
      <c r="C86" s="35" t="s">
        <v>617</v>
      </c>
      <c r="D86" s="34">
        <v>2</v>
      </c>
      <c r="E86" s="58" t="s">
        <v>9</v>
      </c>
      <c r="F86" s="36">
        <v>500000</v>
      </c>
      <c r="G86" s="36">
        <v>1000000</v>
      </c>
    </row>
    <row r="87" spans="1:7" x14ac:dyDescent="0.2">
      <c r="A87" s="7" t="s">
        <v>262</v>
      </c>
      <c r="B87" s="37" t="s">
        <v>195</v>
      </c>
      <c r="C87" s="38" t="s">
        <v>653</v>
      </c>
      <c r="D87" s="37">
        <v>60</v>
      </c>
      <c r="E87" s="59" t="s">
        <v>9</v>
      </c>
      <c r="F87" s="39">
        <v>69000</v>
      </c>
      <c r="G87" s="39">
        <v>4140000</v>
      </c>
    </row>
    <row r="88" spans="1:7" x14ac:dyDescent="0.2">
      <c r="A88" s="7" t="s">
        <v>263</v>
      </c>
      <c r="B88" s="40" t="s">
        <v>516</v>
      </c>
      <c r="C88" s="41" t="s">
        <v>11</v>
      </c>
      <c r="D88" s="40"/>
      <c r="E88" s="60"/>
      <c r="F88" s="42"/>
      <c r="G88" s="42">
        <v>5400000</v>
      </c>
    </row>
    <row r="89" spans="1:7" x14ac:dyDescent="0.2">
      <c r="A89" s="7" t="s">
        <v>264</v>
      </c>
      <c r="B89" s="43" t="s">
        <v>195</v>
      </c>
      <c r="C89" s="44" t="s">
        <v>654</v>
      </c>
      <c r="D89" s="47">
        <v>6</v>
      </c>
      <c r="E89" s="61" t="s">
        <v>54</v>
      </c>
      <c r="F89" s="45">
        <v>900000</v>
      </c>
      <c r="G89" s="45">
        <v>5400000</v>
      </c>
    </row>
    <row r="90" spans="1:7" x14ac:dyDescent="0.2">
      <c r="A90" s="7" t="s">
        <v>265</v>
      </c>
      <c r="B90" s="40" t="s">
        <v>513</v>
      </c>
      <c r="C90" s="41" t="s">
        <v>19</v>
      </c>
      <c r="D90" s="71"/>
      <c r="E90" s="60"/>
      <c r="F90" s="42"/>
      <c r="G90" s="42">
        <v>10000000</v>
      </c>
    </row>
    <row r="91" spans="1:7" x14ac:dyDescent="0.2">
      <c r="A91" s="7" t="s">
        <v>266</v>
      </c>
      <c r="B91" s="40" t="s">
        <v>195</v>
      </c>
      <c r="C91" s="41" t="s">
        <v>655</v>
      </c>
      <c r="D91" s="40">
        <v>4</v>
      </c>
      <c r="E91" s="60" t="s">
        <v>25</v>
      </c>
      <c r="F91" s="42">
        <v>2500000</v>
      </c>
      <c r="G91" s="42">
        <v>10000000</v>
      </c>
    </row>
    <row r="92" spans="1:7" x14ac:dyDescent="0.2">
      <c r="A92" s="7" t="s">
        <v>656</v>
      </c>
      <c r="B92" s="40" t="s">
        <v>507</v>
      </c>
      <c r="C92" s="41" t="s">
        <v>13</v>
      </c>
      <c r="D92" s="71"/>
      <c r="E92" s="60"/>
      <c r="F92" s="42"/>
      <c r="G92" s="42">
        <v>1200000</v>
      </c>
    </row>
    <row r="93" spans="1:7" x14ac:dyDescent="0.2">
      <c r="A93" s="7" t="s">
        <v>657</v>
      </c>
      <c r="B93" s="43" t="s">
        <v>195</v>
      </c>
      <c r="C93" s="44" t="s">
        <v>630</v>
      </c>
      <c r="D93" s="47">
        <v>8</v>
      </c>
      <c r="E93" s="61" t="s">
        <v>25</v>
      </c>
      <c r="F93" s="45">
        <v>150000</v>
      </c>
      <c r="G93" s="45">
        <v>1200000</v>
      </c>
    </row>
    <row r="94" spans="1:7" x14ac:dyDescent="0.2">
      <c r="A94" s="7" t="s">
        <v>658</v>
      </c>
      <c r="B94" s="40" t="s">
        <v>509</v>
      </c>
      <c r="C94" s="41" t="s">
        <v>14</v>
      </c>
      <c r="D94" s="40"/>
      <c r="E94" s="60"/>
      <c r="F94" s="42"/>
      <c r="G94" s="42">
        <v>1040000</v>
      </c>
    </row>
    <row r="95" spans="1:7" x14ac:dyDescent="0.2">
      <c r="A95" s="7" t="s">
        <v>659</v>
      </c>
      <c r="B95" s="43" t="s">
        <v>195</v>
      </c>
      <c r="C95" s="44" t="s">
        <v>623</v>
      </c>
      <c r="D95" s="47">
        <v>8</v>
      </c>
      <c r="E95" s="61" t="s">
        <v>25</v>
      </c>
      <c r="F95" s="45">
        <v>130000</v>
      </c>
      <c r="G95" s="45">
        <v>1040000</v>
      </c>
    </row>
    <row r="96" spans="1:7" x14ac:dyDescent="0.2">
      <c r="A96" s="7" t="s">
        <v>660</v>
      </c>
      <c r="B96" s="37" t="s">
        <v>578</v>
      </c>
      <c r="C96" s="38" t="s">
        <v>661</v>
      </c>
      <c r="D96" s="70"/>
      <c r="E96" s="59"/>
      <c r="F96" s="39"/>
      <c r="G96" s="39">
        <v>149810000</v>
      </c>
    </row>
    <row r="97" spans="1:7" x14ac:dyDescent="0.2">
      <c r="A97" s="7" t="s">
        <v>662</v>
      </c>
      <c r="B97" s="40" t="s">
        <v>503</v>
      </c>
      <c r="C97" s="41" t="s">
        <v>7</v>
      </c>
      <c r="D97" s="40"/>
      <c r="E97" s="60"/>
      <c r="F97" s="42"/>
      <c r="G97" s="42">
        <v>17280000</v>
      </c>
    </row>
    <row r="98" spans="1:7" x14ac:dyDescent="0.2">
      <c r="A98" s="7" t="s">
        <v>663</v>
      </c>
      <c r="B98" s="43" t="s">
        <v>195</v>
      </c>
      <c r="C98" s="44" t="s">
        <v>664</v>
      </c>
      <c r="D98" s="47">
        <v>120</v>
      </c>
      <c r="E98" s="61" t="s">
        <v>25</v>
      </c>
      <c r="F98" s="45">
        <v>69000</v>
      </c>
      <c r="G98" s="45">
        <v>8280000</v>
      </c>
    </row>
    <row r="99" spans="1:7" x14ac:dyDescent="0.2">
      <c r="A99" s="7" t="s">
        <v>665</v>
      </c>
      <c r="B99" s="40" t="s">
        <v>195</v>
      </c>
      <c r="C99" s="41" t="s">
        <v>619</v>
      </c>
      <c r="D99" s="40">
        <v>2</v>
      </c>
      <c r="E99" s="60" t="s">
        <v>9</v>
      </c>
      <c r="F99" s="42">
        <v>1000000</v>
      </c>
      <c r="G99" s="42">
        <v>2000000</v>
      </c>
    </row>
    <row r="100" spans="1:7" x14ac:dyDescent="0.2">
      <c r="A100" s="7" t="s">
        <v>666</v>
      </c>
      <c r="B100" s="43" t="s">
        <v>195</v>
      </c>
      <c r="C100" s="44" t="s">
        <v>620</v>
      </c>
      <c r="D100" s="47">
        <v>2</v>
      </c>
      <c r="E100" s="61" t="s">
        <v>9</v>
      </c>
      <c r="F100" s="45">
        <v>1000000</v>
      </c>
      <c r="G100" s="45">
        <v>2000000</v>
      </c>
    </row>
    <row r="101" spans="1:7" x14ac:dyDescent="0.2">
      <c r="A101" s="7" t="s">
        <v>667</v>
      </c>
      <c r="B101" s="40" t="s">
        <v>195</v>
      </c>
      <c r="C101" s="41" t="s">
        <v>668</v>
      </c>
      <c r="D101" s="40">
        <v>2</v>
      </c>
      <c r="E101" s="60" t="s">
        <v>9</v>
      </c>
      <c r="F101" s="42">
        <v>2500000</v>
      </c>
      <c r="G101" s="42">
        <v>5000000</v>
      </c>
    </row>
    <row r="102" spans="1:7" x14ac:dyDescent="0.2">
      <c r="A102" s="7" t="s">
        <v>669</v>
      </c>
      <c r="B102" s="40" t="s">
        <v>516</v>
      </c>
      <c r="C102" s="41" t="s">
        <v>11</v>
      </c>
      <c r="D102" s="71"/>
      <c r="E102" s="60"/>
      <c r="F102" s="42"/>
      <c r="G102" s="42">
        <v>10800000</v>
      </c>
    </row>
    <row r="103" spans="1:7" x14ac:dyDescent="0.2">
      <c r="A103" s="7" t="s">
        <v>670</v>
      </c>
      <c r="B103" s="40" t="s">
        <v>195</v>
      </c>
      <c r="C103" s="41" t="s">
        <v>671</v>
      </c>
      <c r="D103" s="40">
        <v>12</v>
      </c>
      <c r="E103" s="60" t="s">
        <v>54</v>
      </c>
      <c r="F103" s="42">
        <v>900000</v>
      </c>
      <c r="G103" s="42">
        <v>10800000</v>
      </c>
    </row>
    <row r="104" spans="1:7" x14ac:dyDescent="0.2">
      <c r="A104" s="7" t="s">
        <v>672</v>
      </c>
      <c r="B104" s="40" t="s">
        <v>513</v>
      </c>
      <c r="C104" s="41" t="s">
        <v>19</v>
      </c>
      <c r="D104" s="71"/>
      <c r="E104" s="60"/>
      <c r="F104" s="42"/>
      <c r="G104" s="42">
        <v>121730000</v>
      </c>
    </row>
    <row r="105" spans="1:7" ht="25.5" x14ac:dyDescent="0.2">
      <c r="A105" s="7" t="s">
        <v>673</v>
      </c>
      <c r="B105" s="37" t="s">
        <v>195</v>
      </c>
      <c r="C105" s="38" t="s">
        <v>674</v>
      </c>
      <c r="D105" s="37">
        <v>20</v>
      </c>
      <c r="E105" s="59" t="s">
        <v>25</v>
      </c>
      <c r="F105" s="39">
        <v>3043000</v>
      </c>
      <c r="G105" s="39">
        <v>60865000</v>
      </c>
    </row>
    <row r="106" spans="1:7" ht="25.5" x14ac:dyDescent="0.2">
      <c r="A106" s="7" t="s">
        <v>675</v>
      </c>
      <c r="B106" s="40" t="s">
        <v>195</v>
      </c>
      <c r="C106" s="41" t="s">
        <v>676</v>
      </c>
      <c r="D106" s="40">
        <v>20</v>
      </c>
      <c r="E106" s="60" t="s">
        <v>10</v>
      </c>
      <c r="F106" s="42">
        <v>3043000</v>
      </c>
      <c r="G106" s="42">
        <v>60865000</v>
      </c>
    </row>
    <row r="107" spans="1:7" x14ac:dyDescent="0.2">
      <c r="A107" s="7" t="s">
        <v>267</v>
      </c>
      <c r="B107" s="34" t="s">
        <v>520</v>
      </c>
      <c r="C107" s="35" t="s">
        <v>27</v>
      </c>
      <c r="D107" s="69"/>
      <c r="E107" s="58"/>
      <c r="F107" s="36"/>
      <c r="G107" s="36">
        <v>300000000</v>
      </c>
    </row>
    <row r="108" spans="1:7" ht="25.5" x14ac:dyDescent="0.2">
      <c r="A108" s="7" t="s">
        <v>268</v>
      </c>
      <c r="B108" s="37" t="s">
        <v>8</v>
      </c>
      <c r="C108" s="38" t="s">
        <v>28</v>
      </c>
      <c r="D108" s="70"/>
      <c r="E108" s="59"/>
      <c r="F108" s="39"/>
      <c r="G108" s="39">
        <v>5600000</v>
      </c>
    </row>
    <row r="109" spans="1:7" x14ac:dyDescent="0.2">
      <c r="A109" s="7" t="s">
        <v>269</v>
      </c>
      <c r="B109" s="40" t="s">
        <v>503</v>
      </c>
      <c r="C109" s="41" t="s">
        <v>7</v>
      </c>
      <c r="D109" s="40"/>
      <c r="E109" s="60"/>
      <c r="F109" s="42"/>
      <c r="G109" s="42">
        <v>5600000</v>
      </c>
    </row>
    <row r="110" spans="1:7" x14ac:dyDescent="0.2">
      <c r="A110" s="7" t="s">
        <v>270</v>
      </c>
      <c r="B110" s="43" t="s">
        <v>195</v>
      </c>
      <c r="C110" s="44" t="s">
        <v>619</v>
      </c>
      <c r="D110" s="47">
        <v>1</v>
      </c>
      <c r="E110" s="61" t="s">
        <v>9</v>
      </c>
      <c r="F110" s="45">
        <v>1000000</v>
      </c>
      <c r="G110" s="45">
        <v>1000000</v>
      </c>
    </row>
    <row r="111" spans="1:7" x14ac:dyDescent="0.2">
      <c r="A111" s="7" t="s">
        <v>271</v>
      </c>
      <c r="B111" s="40" t="s">
        <v>195</v>
      </c>
      <c r="C111" s="41" t="s">
        <v>620</v>
      </c>
      <c r="D111" s="40">
        <v>1</v>
      </c>
      <c r="E111" s="60" t="s">
        <v>9</v>
      </c>
      <c r="F111" s="42">
        <v>1000000</v>
      </c>
      <c r="G111" s="42">
        <v>1000000</v>
      </c>
    </row>
    <row r="112" spans="1:7" ht="25.5" x14ac:dyDescent="0.2">
      <c r="A112" s="7" t="s">
        <v>272</v>
      </c>
      <c r="B112" s="43" t="s">
        <v>195</v>
      </c>
      <c r="C112" s="44" t="s">
        <v>677</v>
      </c>
      <c r="D112" s="47">
        <v>60</v>
      </c>
      <c r="E112" s="61" t="s">
        <v>10</v>
      </c>
      <c r="F112" s="45">
        <v>60000</v>
      </c>
      <c r="G112" s="45">
        <v>3600000</v>
      </c>
    </row>
    <row r="113" spans="1:7" ht="25.5" x14ac:dyDescent="0.2">
      <c r="A113" s="7" t="s">
        <v>273</v>
      </c>
      <c r="B113" s="37" t="s">
        <v>511</v>
      </c>
      <c r="C113" s="38" t="s">
        <v>29</v>
      </c>
      <c r="D113" s="70"/>
      <c r="E113" s="59"/>
      <c r="F113" s="39"/>
      <c r="G113" s="39">
        <v>190540000</v>
      </c>
    </row>
    <row r="114" spans="1:7" x14ac:dyDescent="0.2">
      <c r="A114" s="7" t="s">
        <v>274</v>
      </c>
      <c r="B114" s="40" t="s">
        <v>503</v>
      </c>
      <c r="C114" s="41" t="s">
        <v>7</v>
      </c>
      <c r="D114" s="40"/>
      <c r="E114" s="60"/>
      <c r="F114" s="42"/>
      <c r="G114" s="42">
        <v>9600000</v>
      </c>
    </row>
    <row r="115" spans="1:7" x14ac:dyDescent="0.2">
      <c r="A115" s="7" t="s">
        <v>275</v>
      </c>
      <c r="B115" s="43" t="s">
        <v>195</v>
      </c>
      <c r="C115" s="44" t="s">
        <v>619</v>
      </c>
      <c r="D115" s="47">
        <v>1</v>
      </c>
      <c r="E115" s="61" t="s">
        <v>9</v>
      </c>
      <c r="F115" s="45">
        <v>1000000</v>
      </c>
      <c r="G115" s="45">
        <v>1000000</v>
      </c>
    </row>
    <row r="116" spans="1:7" x14ac:dyDescent="0.2">
      <c r="A116" s="7" t="s">
        <v>276</v>
      </c>
      <c r="B116" s="40" t="s">
        <v>195</v>
      </c>
      <c r="C116" s="41" t="s">
        <v>620</v>
      </c>
      <c r="D116" s="40">
        <v>1</v>
      </c>
      <c r="E116" s="60" t="s">
        <v>9</v>
      </c>
      <c r="F116" s="42">
        <v>1000000</v>
      </c>
      <c r="G116" s="42">
        <v>1000000</v>
      </c>
    </row>
    <row r="117" spans="1:7" ht="25.5" x14ac:dyDescent="0.2">
      <c r="A117" s="7" t="s">
        <v>277</v>
      </c>
      <c r="B117" s="43" t="s">
        <v>195</v>
      </c>
      <c r="C117" s="44" t="s">
        <v>678</v>
      </c>
      <c r="D117" s="47">
        <v>60</v>
      </c>
      <c r="E117" s="61" t="s">
        <v>10</v>
      </c>
      <c r="F117" s="45">
        <v>60000</v>
      </c>
      <c r="G117" s="45">
        <v>3600000</v>
      </c>
    </row>
    <row r="118" spans="1:7" x14ac:dyDescent="0.2">
      <c r="A118" s="7" t="s">
        <v>278</v>
      </c>
      <c r="B118" s="40" t="s">
        <v>195</v>
      </c>
      <c r="C118" s="41" t="s">
        <v>679</v>
      </c>
      <c r="D118" s="40">
        <v>80</v>
      </c>
      <c r="E118" s="60" t="s">
        <v>117</v>
      </c>
      <c r="F118" s="42">
        <v>50000</v>
      </c>
      <c r="G118" s="42">
        <v>4000000</v>
      </c>
    </row>
    <row r="119" spans="1:7" x14ac:dyDescent="0.2">
      <c r="A119" s="7" t="s">
        <v>279</v>
      </c>
      <c r="B119" s="40" t="s">
        <v>522</v>
      </c>
      <c r="C119" s="41" t="s">
        <v>30</v>
      </c>
      <c r="D119" s="71"/>
      <c r="E119" s="60"/>
      <c r="F119" s="42"/>
      <c r="G119" s="42">
        <v>60000000</v>
      </c>
    </row>
    <row r="120" spans="1:7" x14ac:dyDescent="0.2">
      <c r="A120" s="7" t="s">
        <v>280</v>
      </c>
      <c r="B120" s="34" t="s">
        <v>195</v>
      </c>
      <c r="C120" s="35" t="s">
        <v>680</v>
      </c>
      <c r="D120" s="34">
        <v>12</v>
      </c>
      <c r="E120" s="58" t="s">
        <v>31</v>
      </c>
      <c r="F120" s="36">
        <v>5000000</v>
      </c>
      <c r="G120" s="36">
        <v>60000000</v>
      </c>
    </row>
    <row r="121" spans="1:7" x14ac:dyDescent="0.2">
      <c r="A121" s="7" t="s">
        <v>281</v>
      </c>
      <c r="B121" s="40" t="s">
        <v>518</v>
      </c>
      <c r="C121" s="41" t="s">
        <v>24</v>
      </c>
      <c r="D121" s="40"/>
      <c r="E121" s="60"/>
      <c r="F121" s="42"/>
      <c r="G121" s="42">
        <v>12000000</v>
      </c>
    </row>
    <row r="122" spans="1:7" x14ac:dyDescent="0.2">
      <c r="A122" s="7" t="s">
        <v>282</v>
      </c>
      <c r="B122" s="40" t="s">
        <v>195</v>
      </c>
      <c r="C122" s="41" t="s">
        <v>681</v>
      </c>
      <c r="D122" s="40">
        <v>80</v>
      </c>
      <c r="E122" s="60" t="s">
        <v>10</v>
      </c>
      <c r="F122" s="42">
        <v>150000</v>
      </c>
      <c r="G122" s="42">
        <v>12000000</v>
      </c>
    </row>
    <row r="123" spans="1:7" x14ac:dyDescent="0.2">
      <c r="A123" s="7" t="s">
        <v>283</v>
      </c>
      <c r="B123" s="40" t="s">
        <v>513</v>
      </c>
      <c r="C123" s="41" t="s">
        <v>19</v>
      </c>
      <c r="D123" s="71"/>
      <c r="E123" s="60"/>
      <c r="F123" s="42"/>
      <c r="G123" s="42">
        <v>4940000</v>
      </c>
    </row>
    <row r="124" spans="1:7" ht="25.5" x14ac:dyDescent="0.2">
      <c r="A124" s="7" t="s">
        <v>284</v>
      </c>
      <c r="B124" s="43" t="s">
        <v>195</v>
      </c>
      <c r="C124" s="44" t="s">
        <v>682</v>
      </c>
      <c r="D124" s="47">
        <v>2</v>
      </c>
      <c r="E124" s="61" t="s">
        <v>10</v>
      </c>
      <c r="F124" s="45">
        <v>2470000</v>
      </c>
      <c r="G124" s="45">
        <v>4940000</v>
      </c>
    </row>
    <row r="125" spans="1:7" x14ac:dyDescent="0.2">
      <c r="A125" s="7" t="s">
        <v>285</v>
      </c>
      <c r="B125" s="40" t="s">
        <v>510</v>
      </c>
      <c r="C125" s="41" t="s">
        <v>15</v>
      </c>
      <c r="D125" s="71"/>
      <c r="E125" s="60"/>
      <c r="F125" s="42"/>
      <c r="G125" s="42">
        <v>104000000</v>
      </c>
    </row>
    <row r="126" spans="1:7" ht="25.5" x14ac:dyDescent="0.2">
      <c r="A126" s="7" t="s">
        <v>286</v>
      </c>
      <c r="B126" s="40" t="s">
        <v>195</v>
      </c>
      <c r="C126" s="41" t="s">
        <v>683</v>
      </c>
      <c r="D126" s="40">
        <v>80</v>
      </c>
      <c r="E126" s="60" t="s">
        <v>10</v>
      </c>
      <c r="F126" s="42">
        <v>350000</v>
      </c>
      <c r="G126" s="42">
        <v>28000000</v>
      </c>
    </row>
    <row r="127" spans="1:7" ht="25.5" x14ac:dyDescent="0.2">
      <c r="A127" s="7" t="s">
        <v>287</v>
      </c>
      <c r="B127" s="43" t="s">
        <v>195</v>
      </c>
      <c r="C127" s="44" t="s">
        <v>684</v>
      </c>
      <c r="D127" s="47">
        <v>160</v>
      </c>
      <c r="E127" s="61" t="s">
        <v>10</v>
      </c>
      <c r="F127" s="45">
        <v>150000</v>
      </c>
      <c r="G127" s="45">
        <v>24000000</v>
      </c>
    </row>
    <row r="128" spans="1:7" x14ac:dyDescent="0.2">
      <c r="A128" s="7" t="s">
        <v>288</v>
      </c>
      <c r="B128" s="43" t="s">
        <v>195</v>
      </c>
      <c r="C128" s="44" t="s">
        <v>685</v>
      </c>
      <c r="D128" s="47">
        <v>80</v>
      </c>
      <c r="E128" s="61" t="s">
        <v>16</v>
      </c>
      <c r="F128" s="45">
        <v>650000</v>
      </c>
      <c r="G128" s="45">
        <v>52000000</v>
      </c>
    </row>
    <row r="129" spans="1:8" ht="25.5" x14ac:dyDescent="0.2">
      <c r="A129" s="7" t="s">
        <v>289</v>
      </c>
      <c r="B129" s="37" t="s">
        <v>512</v>
      </c>
      <c r="C129" s="38" t="s">
        <v>33</v>
      </c>
      <c r="D129" s="37"/>
      <c r="E129" s="59"/>
      <c r="F129" s="39"/>
      <c r="G129" s="39">
        <v>3800000</v>
      </c>
    </row>
    <row r="130" spans="1:8" x14ac:dyDescent="0.2">
      <c r="A130" s="7" t="s">
        <v>290</v>
      </c>
      <c r="B130" s="40" t="s">
        <v>503</v>
      </c>
      <c r="C130" s="41" t="s">
        <v>7</v>
      </c>
      <c r="D130" s="71"/>
      <c r="E130" s="60"/>
      <c r="F130" s="42"/>
      <c r="G130" s="42">
        <v>3800000</v>
      </c>
    </row>
    <row r="131" spans="1:8" x14ac:dyDescent="0.2">
      <c r="A131" s="7" t="s">
        <v>291</v>
      </c>
      <c r="B131" s="40" t="s">
        <v>195</v>
      </c>
      <c r="C131" s="41" t="s">
        <v>619</v>
      </c>
      <c r="D131" s="40">
        <v>1</v>
      </c>
      <c r="E131" s="60" t="s">
        <v>9</v>
      </c>
      <c r="F131" s="42">
        <v>1000000</v>
      </c>
      <c r="G131" s="42">
        <v>1000000</v>
      </c>
    </row>
    <row r="132" spans="1:8" x14ac:dyDescent="0.2">
      <c r="A132" s="7" t="s">
        <v>292</v>
      </c>
      <c r="B132" s="43" t="s">
        <v>195</v>
      </c>
      <c r="C132" s="44" t="s">
        <v>620</v>
      </c>
      <c r="D132" s="47">
        <v>1</v>
      </c>
      <c r="E132" s="61" t="s">
        <v>9</v>
      </c>
      <c r="F132" s="45">
        <v>1000000</v>
      </c>
      <c r="G132" s="45">
        <v>1000000</v>
      </c>
    </row>
    <row r="133" spans="1:8" ht="25.5" x14ac:dyDescent="0.2">
      <c r="A133" s="7" t="s">
        <v>293</v>
      </c>
      <c r="B133" s="22" t="s">
        <v>195</v>
      </c>
      <c r="C133" s="23" t="s">
        <v>686</v>
      </c>
      <c r="D133" s="22">
        <v>30</v>
      </c>
      <c r="E133" s="54" t="s">
        <v>10</v>
      </c>
      <c r="F133" s="24">
        <v>60000</v>
      </c>
      <c r="G133" s="24">
        <v>1800000</v>
      </c>
      <c r="H133" s="8">
        <f>LEN(A133)</f>
        <v>30</v>
      </c>
    </row>
    <row r="134" spans="1:8" ht="25.5" x14ac:dyDescent="0.2">
      <c r="A134" s="7" t="s">
        <v>294</v>
      </c>
      <c r="B134" s="37" t="s">
        <v>514</v>
      </c>
      <c r="C134" s="38" t="s">
        <v>34</v>
      </c>
      <c r="D134" s="37"/>
      <c r="E134" s="59"/>
      <c r="F134" s="39"/>
      <c r="G134" s="39">
        <v>93300000</v>
      </c>
    </row>
    <row r="135" spans="1:8" x14ac:dyDescent="0.2">
      <c r="A135" s="7" t="s">
        <v>295</v>
      </c>
      <c r="B135" s="40" t="s">
        <v>503</v>
      </c>
      <c r="C135" s="41" t="s">
        <v>7</v>
      </c>
      <c r="D135" s="71"/>
      <c r="E135" s="60"/>
      <c r="F135" s="42"/>
      <c r="G135" s="42">
        <v>5300000</v>
      </c>
    </row>
    <row r="136" spans="1:8" x14ac:dyDescent="0.2">
      <c r="A136" s="7" t="s">
        <v>296</v>
      </c>
      <c r="B136" s="31" t="s">
        <v>195</v>
      </c>
      <c r="C136" s="32" t="s">
        <v>619</v>
      </c>
      <c r="D136" s="31">
        <v>1</v>
      </c>
      <c r="E136" s="57" t="s">
        <v>9</v>
      </c>
      <c r="F136" s="33">
        <v>1000000</v>
      </c>
      <c r="G136" s="33">
        <v>1000000</v>
      </c>
    </row>
    <row r="137" spans="1:8" x14ac:dyDescent="0.2">
      <c r="A137" s="21" t="s">
        <v>297</v>
      </c>
      <c r="B137" s="34" t="s">
        <v>195</v>
      </c>
      <c r="C137" s="35" t="s">
        <v>620</v>
      </c>
      <c r="D137" s="34">
        <v>1</v>
      </c>
      <c r="E137" s="58" t="s">
        <v>9</v>
      </c>
      <c r="F137" s="36">
        <v>1000000</v>
      </c>
      <c r="G137" s="36">
        <v>1000000</v>
      </c>
    </row>
    <row r="138" spans="1:8" ht="25.5" x14ac:dyDescent="0.2">
      <c r="A138" s="21" t="s">
        <v>298</v>
      </c>
      <c r="B138" s="37" t="s">
        <v>195</v>
      </c>
      <c r="C138" s="38" t="s">
        <v>687</v>
      </c>
      <c r="D138" s="37">
        <v>30</v>
      </c>
      <c r="E138" s="59" t="s">
        <v>10</v>
      </c>
      <c r="F138" s="39">
        <v>60000</v>
      </c>
      <c r="G138" s="39">
        <v>1800000</v>
      </c>
    </row>
    <row r="139" spans="1:8" x14ac:dyDescent="0.2">
      <c r="A139" s="21" t="s">
        <v>299</v>
      </c>
      <c r="B139" s="40" t="s">
        <v>195</v>
      </c>
      <c r="C139" s="41" t="s">
        <v>679</v>
      </c>
      <c r="D139" s="40">
        <v>30</v>
      </c>
      <c r="E139" s="60" t="s">
        <v>117</v>
      </c>
      <c r="F139" s="42">
        <v>50000</v>
      </c>
      <c r="G139" s="42">
        <v>1500000</v>
      </c>
    </row>
    <row r="140" spans="1:8" x14ac:dyDescent="0.2">
      <c r="A140" s="21" t="s">
        <v>300</v>
      </c>
      <c r="B140" s="40" t="s">
        <v>522</v>
      </c>
      <c r="C140" s="41" t="s">
        <v>30</v>
      </c>
      <c r="D140" s="71"/>
      <c r="E140" s="60"/>
      <c r="F140" s="42"/>
      <c r="G140" s="42">
        <v>30000000</v>
      </c>
    </row>
    <row r="141" spans="1:8" x14ac:dyDescent="0.2">
      <c r="A141" s="21" t="s">
        <v>301</v>
      </c>
      <c r="B141" s="43" t="s">
        <v>195</v>
      </c>
      <c r="C141" s="44" t="s">
        <v>680</v>
      </c>
      <c r="D141" s="47">
        <v>6</v>
      </c>
      <c r="E141" s="61" t="s">
        <v>31</v>
      </c>
      <c r="F141" s="45">
        <v>5000000</v>
      </c>
      <c r="G141" s="45">
        <v>30000000</v>
      </c>
    </row>
    <row r="142" spans="1:8" x14ac:dyDescent="0.2">
      <c r="A142" s="21" t="s">
        <v>302</v>
      </c>
      <c r="B142" s="40" t="s">
        <v>518</v>
      </c>
      <c r="C142" s="41" t="s">
        <v>24</v>
      </c>
      <c r="D142" s="40"/>
      <c r="E142" s="60"/>
      <c r="F142" s="42"/>
      <c r="G142" s="42">
        <v>6000000</v>
      </c>
    </row>
    <row r="143" spans="1:8" x14ac:dyDescent="0.2">
      <c r="A143" s="21" t="s">
        <v>303</v>
      </c>
      <c r="B143" s="43" t="s">
        <v>195</v>
      </c>
      <c r="C143" s="44" t="s">
        <v>681</v>
      </c>
      <c r="D143" s="47">
        <v>40</v>
      </c>
      <c r="E143" s="61" t="s">
        <v>10</v>
      </c>
      <c r="F143" s="45">
        <v>150000</v>
      </c>
      <c r="G143" s="45">
        <v>6000000</v>
      </c>
    </row>
    <row r="144" spans="1:8" x14ac:dyDescent="0.2">
      <c r="A144" s="21" t="s">
        <v>304</v>
      </c>
      <c r="B144" s="40" t="s">
        <v>510</v>
      </c>
      <c r="C144" s="41" t="s">
        <v>15</v>
      </c>
      <c r="D144" s="40"/>
      <c r="E144" s="60"/>
      <c r="F144" s="42"/>
      <c r="G144" s="42">
        <v>52000000</v>
      </c>
    </row>
    <row r="145" spans="1:7" ht="25.5" x14ac:dyDescent="0.2">
      <c r="A145" s="21" t="s">
        <v>305</v>
      </c>
      <c r="B145" s="43" t="s">
        <v>195</v>
      </c>
      <c r="C145" s="44" t="s">
        <v>688</v>
      </c>
      <c r="D145" s="47">
        <v>40</v>
      </c>
      <c r="E145" s="61" t="s">
        <v>10</v>
      </c>
      <c r="F145" s="45">
        <v>350000</v>
      </c>
      <c r="G145" s="45">
        <v>14000000</v>
      </c>
    </row>
    <row r="146" spans="1:7" ht="25.5" x14ac:dyDescent="0.2">
      <c r="A146" s="21" t="s">
        <v>306</v>
      </c>
      <c r="B146" s="43" t="s">
        <v>195</v>
      </c>
      <c r="C146" s="44" t="s">
        <v>689</v>
      </c>
      <c r="D146" s="47">
        <v>80</v>
      </c>
      <c r="E146" s="61" t="s">
        <v>10</v>
      </c>
      <c r="F146" s="45">
        <v>150000</v>
      </c>
      <c r="G146" s="45">
        <v>12000000</v>
      </c>
    </row>
    <row r="147" spans="1:7" x14ac:dyDescent="0.2">
      <c r="A147" s="21" t="s">
        <v>307</v>
      </c>
      <c r="B147" s="40" t="s">
        <v>195</v>
      </c>
      <c r="C147" s="41" t="s">
        <v>690</v>
      </c>
      <c r="D147" s="40">
        <v>40</v>
      </c>
      <c r="E147" s="60" t="s">
        <v>16</v>
      </c>
      <c r="F147" s="42">
        <v>650000</v>
      </c>
      <c r="G147" s="42">
        <v>26000000</v>
      </c>
    </row>
    <row r="148" spans="1:7" ht="25.5" x14ac:dyDescent="0.2">
      <c r="A148" s="21" t="s">
        <v>308</v>
      </c>
      <c r="B148" s="37" t="s">
        <v>519</v>
      </c>
      <c r="C148" s="38" t="s">
        <v>35</v>
      </c>
      <c r="D148" s="70"/>
      <c r="E148" s="59"/>
      <c r="F148" s="39"/>
      <c r="G148" s="39">
        <v>6760000</v>
      </c>
    </row>
    <row r="149" spans="1:7" x14ac:dyDescent="0.2">
      <c r="A149" s="21" t="s">
        <v>309</v>
      </c>
      <c r="B149" s="40" t="s">
        <v>503</v>
      </c>
      <c r="C149" s="41" t="s">
        <v>7</v>
      </c>
      <c r="D149" s="40"/>
      <c r="E149" s="60"/>
      <c r="F149" s="42"/>
      <c r="G149" s="42">
        <v>4800000</v>
      </c>
    </row>
    <row r="150" spans="1:7" x14ac:dyDescent="0.2">
      <c r="A150" s="21" t="s">
        <v>310</v>
      </c>
      <c r="B150" s="43" t="s">
        <v>195</v>
      </c>
      <c r="C150" s="44" t="s">
        <v>619</v>
      </c>
      <c r="D150" s="47">
        <v>1</v>
      </c>
      <c r="E150" s="61" t="s">
        <v>9</v>
      </c>
      <c r="F150" s="45">
        <v>1000000</v>
      </c>
      <c r="G150" s="45">
        <v>1000000</v>
      </c>
    </row>
    <row r="151" spans="1:7" x14ac:dyDescent="0.2">
      <c r="A151" s="7" t="s">
        <v>311</v>
      </c>
      <c r="B151" s="28" t="s">
        <v>195</v>
      </c>
      <c r="C151" s="29" t="s">
        <v>620</v>
      </c>
      <c r="D151" s="46">
        <v>1</v>
      </c>
      <c r="E151" s="56" t="s">
        <v>9</v>
      </c>
      <c r="F151" s="30">
        <v>1000000</v>
      </c>
      <c r="G151" s="30">
        <v>1000000</v>
      </c>
    </row>
    <row r="152" spans="1:7" x14ac:dyDescent="0.2">
      <c r="A152" s="7" t="s">
        <v>312</v>
      </c>
      <c r="B152" s="31" t="s">
        <v>195</v>
      </c>
      <c r="C152" s="32" t="s">
        <v>691</v>
      </c>
      <c r="D152" s="31">
        <v>30</v>
      </c>
      <c r="E152" s="57" t="s">
        <v>10</v>
      </c>
      <c r="F152" s="33">
        <v>60000</v>
      </c>
      <c r="G152" s="33">
        <v>1800000</v>
      </c>
    </row>
    <row r="153" spans="1:7" x14ac:dyDescent="0.2">
      <c r="A153" s="21" t="s">
        <v>313</v>
      </c>
      <c r="B153" s="34" t="s">
        <v>195</v>
      </c>
      <c r="C153" s="35" t="s">
        <v>692</v>
      </c>
      <c r="D153" s="34">
        <v>20</v>
      </c>
      <c r="E153" s="58" t="s">
        <v>117</v>
      </c>
      <c r="F153" s="36">
        <v>50000</v>
      </c>
      <c r="G153" s="36">
        <v>1000000</v>
      </c>
    </row>
    <row r="154" spans="1:7" x14ac:dyDescent="0.2">
      <c r="A154" s="21" t="s">
        <v>314</v>
      </c>
      <c r="B154" s="40" t="s">
        <v>507</v>
      </c>
      <c r="C154" s="41" t="s">
        <v>13</v>
      </c>
      <c r="D154" s="40"/>
      <c r="E154" s="60"/>
      <c r="F154" s="42"/>
      <c r="G154" s="42">
        <v>1050000</v>
      </c>
    </row>
    <row r="155" spans="1:7" x14ac:dyDescent="0.2">
      <c r="A155" s="21" t="s">
        <v>315</v>
      </c>
      <c r="B155" s="40" t="s">
        <v>195</v>
      </c>
      <c r="C155" s="41" t="s">
        <v>630</v>
      </c>
      <c r="D155" s="40">
        <v>7</v>
      </c>
      <c r="E155" s="60" t="s">
        <v>10</v>
      </c>
      <c r="F155" s="42">
        <v>150000</v>
      </c>
      <c r="G155" s="42">
        <v>1050000</v>
      </c>
    </row>
    <row r="156" spans="1:7" x14ac:dyDescent="0.2">
      <c r="A156" s="21" t="s">
        <v>316</v>
      </c>
      <c r="B156" s="40" t="s">
        <v>509</v>
      </c>
      <c r="C156" s="41" t="s">
        <v>14</v>
      </c>
      <c r="D156" s="71"/>
      <c r="E156" s="60"/>
      <c r="F156" s="42"/>
      <c r="G156" s="42">
        <v>910000</v>
      </c>
    </row>
    <row r="157" spans="1:7" x14ac:dyDescent="0.2">
      <c r="A157" s="21" t="s">
        <v>317</v>
      </c>
      <c r="B157" s="43" t="s">
        <v>195</v>
      </c>
      <c r="C157" s="44" t="s">
        <v>623</v>
      </c>
      <c r="D157" s="47">
        <v>7</v>
      </c>
      <c r="E157" s="61" t="s">
        <v>10</v>
      </c>
      <c r="F157" s="45">
        <v>130000</v>
      </c>
      <c r="G157" s="45">
        <v>910000</v>
      </c>
    </row>
    <row r="158" spans="1:7" ht="25.5" x14ac:dyDescent="0.2">
      <c r="A158" s="21" t="s">
        <v>318</v>
      </c>
      <c r="B158" s="34" t="s">
        <v>523</v>
      </c>
      <c r="C158" s="35" t="s">
        <v>36</v>
      </c>
      <c r="D158" s="69"/>
      <c r="E158" s="58"/>
      <c r="F158" s="36"/>
      <c r="G158" s="36">
        <v>300000000</v>
      </c>
    </row>
    <row r="159" spans="1:7" ht="25.5" x14ac:dyDescent="0.2">
      <c r="A159" s="21" t="s">
        <v>319</v>
      </c>
      <c r="B159" s="37" t="s">
        <v>8</v>
      </c>
      <c r="C159" s="38" t="s">
        <v>37</v>
      </c>
      <c r="D159" s="37"/>
      <c r="E159" s="59"/>
      <c r="F159" s="39"/>
      <c r="G159" s="39">
        <v>108420000</v>
      </c>
    </row>
    <row r="160" spans="1:7" x14ac:dyDescent="0.2">
      <c r="A160" s="21" t="s">
        <v>320</v>
      </c>
      <c r="B160" s="40" t="s">
        <v>503</v>
      </c>
      <c r="C160" s="41" t="s">
        <v>7</v>
      </c>
      <c r="D160" s="71"/>
      <c r="E160" s="60"/>
      <c r="F160" s="42"/>
      <c r="G160" s="42">
        <v>23420000</v>
      </c>
    </row>
    <row r="161" spans="1:7" x14ac:dyDescent="0.2">
      <c r="A161" s="21" t="s">
        <v>321</v>
      </c>
      <c r="B161" s="43" t="s">
        <v>195</v>
      </c>
      <c r="C161" s="44" t="s">
        <v>619</v>
      </c>
      <c r="D161" s="47">
        <v>1</v>
      </c>
      <c r="E161" s="61" t="s">
        <v>9</v>
      </c>
      <c r="F161" s="45">
        <v>1000000</v>
      </c>
      <c r="G161" s="45">
        <v>1000000</v>
      </c>
    </row>
    <row r="162" spans="1:7" x14ac:dyDescent="0.2">
      <c r="A162" s="21" t="s">
        <v>322</v>
      </c>
      <c r="B162" s="43" t="s">
        <v>195</v>
      </c>
      <c r="C162" s="44" t="s">
        <v>693</v>
      </c>
      <c r="D162" s="47">
        <v>1</v>
      </c>
      <c r="E162" s="61" t="s">
        <v>9</v>
      </c>
      <c r="F162" s="45">
        <v>1000000</v>
      </c>
      <c r="G162" s="45">
        <v>1000000</v>
      </c>
    </row>
    <row r="163" spans="1:7" x14ac:dyDescent="0.2">
      <c r="A163" s="21" t="s">
        <v>323</v>
      </c>
      <c r="B163" s="40" t="s">
        <v>195</v>
      </c>
      <c r="C163" s="41" t="s">
        <v>694</v>
      </c>
      <c r="D163" s="40">
        <v>1</v>
      </c>
      <c r="E163" s="60" t="s">
        <v>9</v>
      </c>
      <c r="F163" s="42">
        <v>6000000</v>
      </c>
      <c r="G163" s="42">
        <v>6000000</v>
      </c>
    </row>
    <row r="164" spans="1:7" x14ac:dyDescent="0.2">
      <c r="A164" s="21" t="s">
        <v>324</v>
      </c>
      <c r="B164" s="43" t="s">
        <v>195</v>
      </c>
      <c r="C164" s="44" t="s">
        <v>695</v>
      </c>
      <c r="D164" s="47">
        <v>40</v>
      </c>
      <c r="E164" s="61" t="s">
        <v>10</v>
      </c>
      <c r="F164" s="45">
        <v>150000</v>
      </c>
      <c r="G164" s="45">
        <v>6000000</v>
      </c>
    </row>
    <row r="165" spans="1:7" x14ac:dyDescent="0.2">
      <c r="A165" s="21" t="s">
        <v>325</v>
      </c>
      <c r="B165" s="43" t="s">
        <v>195</v>
      </c>
      <c r="C165" s="44" t="s">
        <v>696</v>
      </c>
      <c r="D165" s="47">
        <v>80</v>
      </c>
      <c r="E165" s="61" t="s">
        <v>10</v>
      </c>
      <c r="F165" s="45">
        <v>69000</v>
      </c>
      <c r="G165" s="45">
        <v>5520000</v>
      </c>
    </row>
    <row r="166" spans="1:7" x14ac:dyDescent="0.2">
      <c r="A166" s="21" t="s">
        <v>326</v>
      </c>
      <c r="B166" s="43" t="s">
        <v>195</v>
      </c>
      <c r="C166" s="44" t="s">
        <v>697</v>
      </c>
      <c r="D166" s="47">
        <v>20</v>
      </c>
      <c r="E166" s="61" t="s">
        <v>10</v>
      </c>
      <c r="F166" s="45">
        <v>65000</v>
      </c>
      <c r="G166" s="45">
        <v>1300000</v>
      </c>
    </row>
    <row r="167" spans="1:7" ht="25.5" x14ac:dyDescent="0.2">
      <c r="A167" s="21" t="s">
        <v>698</v>
      </c>
      <c r="B167" s="40" t="s">
        <v>195</v>
      </c>
      <c r="C167" s="41" t="s">
        <v>699</v>
      </c>
      <c r="D167" s="40">
        <v>40</v>
      </c>
      <c r="E167" s="60" t="s">
        <v>10</v>
      </c>
      <c r="F167" s="42">
        <v>65000</v>
      </c>
      <c r="G167" s="42">
        <v>2600000</v>
      </c>
    </row>
    <row r="168" spans="1:7" ht="25.5" x14ac:dyDescent="0.2">
      <c r="A168" s="21" t="s">
        <v>327</v>
      </c>
      <c r="B168" s="40" t="s">
        <v>515</v>
      </c>
      <c r="C168" s="41" t="s">
        <v>642</v>
      </c>
      <c r="D168" s="71"/>
      <c r="E168" s="60"/>
      <c r="F168" s="42"/>
      <c r="G168" s="42">
        <v>14400000</v>
      </c>
    </row>
    <row r="169" spans="1:7" ht="25.5" x14ac:dyDescent="0.2">
      <c r="A169" s="21" t="s">
        <v>328</v>
      </c>
      <c r="B169" s="43" t="s">
        <v>195</v>
      </c>
      <c r="C169" s="44" t="s">
        <v>700</v>
      </c>
      <c r="D169" s="47">
        <v>72</v>
      </c>
      <c r="E169" s="61" t="s">
        <v>21</v>
      </c>
      <c r="F169" s="45">
        <v>200000</v>
      </c>
      <c r="G169" s="45">
        <v>14400000</v>
      </c>
    </row>
    <row r="170" spans="1:7" x14ac:dyDescent="0.2">
      <c r="A170" s="21" t="s">
        <v>329</v>
      </c>
      <c r="B170" s="40" t="s">
        <v>516</v>
      </c>
      <c r="C170" s="41" t="s">
        <v>11</v>
      </c>
      <c r="D170" s="71"/>
      <c r="E170" s="60"/>
      <c r="F170" s="42"/>
      <c r="G170" s="42">
        <v>4000000</v>
      </c>
    </row>
    <row r="171" spans="1:7" ht="25.5" x14ac:dyDescent="0.2">
      <c r="A171" s="21" t="s">
        <v>330</v>
      </c>
      <c r="B171" s="40" t="s">
        <v>195</v>
      </c>
      <c r="C171" s="41" t="s">
        <v>701</v>
      </c>
      <c r="D171" s="40">
        <v>4</v>
      </c>
      <c r="E171" s="60" t="s">
        <v>12</v>
      </c>
      <c r="F171" s="42">
        <v>1000000</v>
      </c>
      <c r="G171" s="42">
        <v>4000000</v>
      </c>
    </row>
    <row r="172" spans="1:7" x14ac:dyDescent="0.2">
      <c r="A172" s="21" t="s">
        <v>331</v>
      </c>
      <c r="B172" s="40" t="s">
        <v>518</v>
      </c>
      <c r="C172" s="41" t="s">
        <v>24</v>
      </c>
      <c r="D172" s="71"/>
      <c r="E172" s="60"/>
      <c r="F172" s="42"/>
      <c r="G172" s="42">
        <v>5000000</v>
      </c>
    </row>
    <row r="173" spans="1:7" x14ac:dyDescent="0.2">
      <c r="A173" s="21" t="s">
        <v>332</v>
      </c>
      <c r="B173" s="43" t="s">
        <v>195</v>
      </c>
      <c r="C173" s="44" t="s">
        <v>702</v>
      </c>
      <c r="D173" s="47">
        <v>20</v>
      </c>
      <c r="E173" s="61" t="s">
        <v>10</v>
      </c>
      <c r="F173" s="45">
        <v>250000</v>
      </c>
      <c r="G173" s="45">
        <v>5000000</v>
      </c>
    </row>
    <row r="174" spans="1:7" x14ac:dyDescent="0.2">
      <c r="A174" s="21" t="s">
        <v>333</v>
      </c>
      <c r="B174" s="40" t="s">
        <v>513</v>
      </c>
      <c r="C174" s="41" t="s">
        <v>19</v>
      </c>
      <c r="D174" s="71"/>
      <c r="E174" s="60"/>
      <c r="F174" s="42"/>
      <c r="G174" s="42">
        <v>37500000</v>
      </c>
    </row>
    <row r="175" spans="1:7" ht="25.5" x14ac:dyDescent="0.2">
      <c r="A175" s="21" t="s">
        <v>334</v>
      </c>
      <c r="B175" s="40" t="s">
        <v>195</v>
      </c>
      <c r="C175" s="41" t="s">
        <v>703</v>
      </c>
      <c r="D175" s="40">
        <v>6</v>
      </c>
      <c r="E175" s="60" t="s">
        <v>10</v>
      </c>
      <c r="F175" s="42">
        <v>4500000</v>
      </c>
      <c r="G175" s="42">
        <v>27000000</v>
      </c>
    </row>
    <row r="176" spans="1:7" x14ac:dyDescent="0.2">
      <c r="A176" s="21" t="s">
        <v>335</v>
      </c>
      <c r="B176" s="43" t="s">
        <v>195</v>
      </c>
      <c r="C176" s="44" t="s">
        <v>704</v>
      </c>
      <c r="D176" s="47">
        <v>6</v>
      </c>
      <c r="E176" s="61" t="s">
        <v>10</v>
      </c>
      <c r="F176" s="45">
        <v>4500000</v>
      </c>
      <c r="G176" s="45">
        <v>27000000</v>
      </c>
    </row>
    <row r="177" spans="1:7" x14ac:dyDescent="0.2">
      <c r="A177" s="21" t="s">
        <v>705</v>
      </c>
      <c r="B177" s="43" t="s">
        <v>195</v>
      </c>
      <c r="C177" s="44" t="s">
        <v>706</v>
      </c>
      <c r="D177" s="47">
        <v>6</v>
      </c>
      <c r="E177" s="61" t="s">
        <v>10</v>
      </c>
      <c r="F177" s="45">
        <v>1750000</v>
      </c>
      <c r="G177" s="45">
        <v>10500000</v>
      </c>
    </row>
    <row r="178" spans="1:7" x14ac:dyDescent="0.2">
      <c r="A178" s="21" t="s">
        <v>336</v>
      </c>
      <c r="B178" s="40" t="s">
        <v>510</v>
      </c>
      <c r="C178" s="41" t="s">
        <v>15</v>
      </c>
      <c r="D178" s="71"/>
      <c r="E178" s="60"/>
      <c r="F178" s="42"/>
      <c r="G178" s="42">
        <v>24100000</v>
      </c>
    </row>
    <row r="179" spans="1:7" x14ac:dyDescent="0.2">
      <c r="A179" s="21" t="s">
        <v>337</v>
      </c>
      <c r="B179" s="40" t="s">
        <v>195</v>
      </c>
      <c r="C179" s="41" t="s">
        <v>707</v>
      </c>
      <c r="D179" s="40">
        <v>20</v>
      </c>
      <c r="E179" s="60" t="s">
        <v>10</v>
      </c>
      <c r="F179" s="42">
        <v>105000</v>
      </c>
      <c r="G179" s="42">
        <v>2100000</v>
      </c>
    </row>
    <row r="180" spans="1:7" x14ac:dyDescent="0.2">
      <c r="A180" s="21" t="s">
        <v>338</v>
      </c>
      <c r="B180" s="43" t="s">
        <v>195</v>
      </c>
      <c r="C180" s="44" t="s">
        <v>708</v>
      </c>
      <c r="D180" s="47">
        <v>20</v>
      </c>
      <c r="E180" s="61" t="s">
        <v>10</v>
      </c>
      <c r="F180" s="45">
        <v>400000</v>
      </c>
      <c r="G180" s="45">
        <v>8000000</v>
      </c>
    </row>
    <row r="181" spans="1:7" ht="25.5" x14ac:dyDescent="0.2">
      <c r="A181" s="21" t="s">
        <v>709</v>
      </c>
      <c r="B181" s="43" t="s">
        <v>195</v>
      </c>
      <c r="C181" s="44" t="s">
        <v>710</v>
      </c>
      <c r="D181" s="47">
        <v>40</v>
      </c>
      <c r="E181" s="61" t="s">
        <v>10</v>
      </c>
      <c r="F181" s="45">
        <v>100000</v>
      </c>
      <c r="G181" s="45">
        <v>4000000</v>
      </c>
    </row>
    <row r="182" spans="1:7" ht="25.5" x14ac:dyDescent="0.2">
      <c r="A182" s="21" t="s">
        <v>711</v>
      </c>
      <c r="B182" s="43" t="s">
        <v>195</v>
      </c>
      <c r="C182" s="44" t="s">
        <v>712</v>
      </c>
      <c r="D182" s="47">
        <v>40</v>
      </c>
      <c r="E182" s="61" t="s">
        <v>10</v>
      </c>
      <c r="F182" s="45">
        <v>250000</v>
      </c>
      <c r="G182" s="45">
        <v>10000000</v>
      </c>
    </row>
    <row r="183" spans="1:7" ht="25.5" x14ac:dyDescent="0.2">
      <c r="A183" s="21" t="s">
        <v>339</v>
      </c>
      <c r="B183" s="37" t="s">
        <v>511</v>
      </c>
      <c r="C183" s="38" t="s">
        <v>713</v>
      </c>
      <c r="D183" s="37"/>
      <c r="E183" s="59"/>
      <c r="F183" s="39"/>
      <c r="G183" s="39">
        <v>58010000</v>
      </c>
    </row>
    <row r="184" spans="1:7" x14ac:dyDescent="0.2">
      <c r="A184" s="21" t="s">
        <v>340</v>
      </c>
      <c r="B184" s="40" t="s">
        <v>503</v>
      </c>
      <c r="C184" s="41" t="s">
        <v>7</v>
      </c>
      <c r="D184" s="71"/>
      <c r="E184" s="60"/>
      <c r="F184" s="42"/>
      <c r="G184" s="42">
        <v>13610000</v>
      </c>
    </row>
    <row r="185" spans="1:7" x14ac:dyDescent="0.2">
      <c r="A185" s="21" t="s">
        <v>341</v>
      </c>
      <c r="B185" s="40" t="s">
        <v>195</v>
      </c>
      <c r="C185" s="41" t="s">
        <v>619</v>
      </c>
      <c r="D185" s="40">
        <v>2</v>
      </c>
      <c r="E185" s="60" t="s">
        <v>9</v>
      </c>
      <c r="F185" s="42">
        <v>1000000</v>
      </c>
      <c r="G185" s="42">
        <v>2000000</v>
      </c>
    </row>
    <row r="186" spans="1:7" x14ac:dyDescent="0.2">
      <c r="A186" s="21" t="s">
        <v>342</v>
      </c>
      <c r="B186" s="43" t="s">
        <v>195</v>
      </c>
      <c r="C186" s="44" t="s">
        <v>693</v>
      </c>
      <c r="D186" s="47">
        <v>2</v>
      </c>
      <c r="E186" s="61" t="s">
        <v>9</v>
      </c>
      <c r="F186" s="45">
        <v>1000000</v>
      </c>
      <c r="G186" s="45">
        <v>2000000</v>
      </c>
    </row>
    <row r="187" spans="1:7" x14ac:dyDescent="0.2">
      <c r="A187" s="21" t="s">
        <v>343</v>
      </c>
      <c r="B187" s="40" t="s">
        <v>195</v>
      </c>
      <c r="C187" s="41" t="s">
        <v>714</v>
      </c>
      <c r="D187" s="40">
        <v>2</v>
      </c>
      <c r="E187" s="60" t="s">
        <v>9</v>
      </c>
      <c r="F187" s="42">
        <v>915000</v>
      </c>
      <c r="G187" s="42">
        <v>1830000</v>
      </c>
    </row>
    <row r="188" spans="1:7" x14ac:dyDescent="0.2">
      <c r="A188" s="21" t="s">
        <v>344</v>
      </c>
      <c r="B188" s="43" t="s">
        <v>195</v>
      </c>
      <c r="C188" s="44" t="s">
        <v>715</v>
      </c>
      <c r="D188" s="47">
        <v>40</v>
      </c>
      <c r="E188" s="61" t="s">
        <v>25</v>
      </c>
      <c r="F188" s="45">
        <v>22000</v>
      </c>
      <c r="G188" s="45">
        <v>880000</v>
      </c>
    </row>
    <row r="189" spans="1:7" x14ac:dyDescent="0.2">
      <c r="A189" s="21" t="s">
        <v>716</v>
      </c>
      <c r="B189" s="43" t="s">
        <v>195</v>
      </c>
      <c r="C189" s="44" t="s">
        <v>717</v>
      </c>
      <c r="D189" s="47">
        <v>100</v>
      </c>
      <c r="E189" s="61" t="s">
        <v>25</v>
      </c>
      <c r="F189" s="45">
        <v>69000</v>
      </c>
      <c r="G189" s="45">
        <v>6900000</v>
      </c>
    </row>
    <row r="190" spans="1:7" x14ac:dyDescent="0.2">
      <c r="A190" s="21" t="s">
        <v>345</v>
      </c>
      <c r="B190" s="40" t="s">
        <v>516</v>
      </c>
      <c r="C190" s="41" t="s">
        <v>11</v>
      </c>
      <c r="D190" s="71"/>
      <c r="E190" s="60"/>
      <c r="F190" s="42"/>
      <c r="G190" s="42">
        <v>8000000</v>
      </c>
    </row>
    <row r="191" spans="1:7" ht="25.5" x14ac:dyDescent="0.2">
      <c r="A191" s="21" t="s">
        <v>346</v>
      </c>
      <c r="B191" s="37" t="s">
        <v>195</v>
      </c>
      <c r="C191" s="38" t="s">
        <v>718</v>
      </c>
      <c r="D191" s="37">
        <v>8</v>
      </c>
      <c r="E191" s="59" t="s">
        <v>54</v>
      </c>
      <c r="F191" s="39">
        <v>1000000</v>
      </c>
      <c r="G191" s="39">
        <v>8000000</v>
      </c>
    </row>
    <row r="192" spans="1:7" x14ac:dyDescent="0.2">
      <c r="A192" s="21" t="s">
        <v>719</v>
      </c>
      <c r="B192" s="40" t="s">
        <v>513</v>
      </c>
      <c r="C192" s="41" t="s">
        <v>19</v>
      </c>
      <c r="D192" s="40"/>
      <c r="E192" s="60"/>
      <c r="F192" s="42"/>
      <c r="G192" s="42">
        <v>36400000</v>
      </c>
    </row>
    <row r="193" spans="1:7" ht="25.5" x14ac:dyDescent="0.2">
      <c r="A193" s="21" t="s">
        <v>720</v>
      </c>
      <c r="B193" s="43" t="s">
        <v>195</v>
      </c>
      <c r="C193" s="44" t="s">
        <v>721</v>
      </c>
      <c r="D193" s="47">
        <v>8</v>
      </c>
      <c r="E193" s="61" t="s">
        <v>54</v>
      </c>
      <c r="F193" s="45">
        <v>4550000</v>
      </c>
      <c r="G193" s="45">
        <v>36400000</v>
      </c>
    </row>
    <row r="194" spans="1:7" x14ac:dyDescent="0.2">
      <c r="A194" s="21" t="s">
        <v>347</v>
      </c>
      <c r="B194" s="37" t="s">
        <v>512</v>
      </c>
      <c r="C194" s="38" t="s">
        <v>722</v>
      </c>
      <c r="D194" s="37"/>
      <c r="E194" s="59"/>
      <c r="F194" s="39"/>
      <c r="G194" s="39">
        <v>63510000</v>
      </c>
    </row>
    <row r="195" spans="1:7" x14ac:dyDescent="0.2">
      <c r="A195" s="21" t="s">
        <v>348</v>
      </c>
      <c r="B195" s="40" t="s">
        <v>503</v>
      </c>
      <c r="C195" s="41" t="s">
        <v>7</v>
      </c>
      <c r="D195" s="40"/>
      <c r="E195" s="60"/>
      <c r="F195" s="42"/>
      <c r="G195" s="42">
        <v>11610000</v>
      </c>
    </row>
    <row r="196" spans="1:7" x14ac:dyDescent="0.2">
      <c r="A196" s="21" t="s">
        <v>349</v>
      </c>
      <c r="B196" s="40" t="s">
        <v>195</v>
      </c>
      <c r="C196" s="41" t="s">
        <v>619</v>
      </c>
      <c r="D196" s="40">
        <v>1</v>
      </c>
      <c r="E196" s="60" t="s">
        <v>9</v>
      </c>
      <c r="F196" s="42">
        <v>1000000</v>
      </c>
      <c r="G196" s="42">
        <v>1000000</v>
      </c>
    </row>
    <row r="197" spans="1:7" x14ac:dyDescent="0.2">
      <c r="A197" s="21" t="s">
        <v>350</v>
      </c>
      <c r="B197" s="43" t="s">
        <v>195</v>
      </c>
      <c r="C197" s="44" t="s">
        <v>693</v>
      </c>
      <c r="D197" s="47">
        <v>1</v>
      </c>
      <c r="E197" s="61" t="s">
        <v>9</v>
      </c>
      <c r="F197" s="45">
        <v>1000000</v>
      </c>
      <c r="G197" s="45">
        <v>1000000</v>
      </c>
    </row>
    <row r="198" spans="1:7" x14ac:dyDescent="0.2">
      <c r="A198" s="21" t="s">
        <v>351</v>
      </c>
      <c r="B198" s="43" t="s">
        <v>195</v>
      </c>
      <c r="C198" s="44" t="s">
        <v>714</v>
      </c>
      <c r="D198" s="47">
        <v>1</v>
      </c>
      <c r="E198" s="61" t="s">
        <v>9</v>
      </c>
      <c r="F198" s="45">
        <v>1000000</v>
      </c>
      <c r="G198" s="45">
        <v>1000000</v>
      </c>
    </row>
    <row r="199" spans="1:7" ht="25.5" x14ac:dyDescent="0.2">
      <c r="A199" s="21" t="s">
        <v>352</v>
      </c>
      <c r="B199" s="43" t="s">
        <v>195</v>
      </c>
      <c r="C199" s="44" t="s">
        <v>723</v>
      </c>
      <c r="D199" s="47">
        <v>40</v>
      </c>
      <c r="E199" s="61" t="s">
        <v>10</v>
      </c>
      <c r="F199" s="45">
        <v>69000</v>
      </c>
      <c r="G199" s="45">
        <v>2760000</v>
      </c>
    </row>
    <row r="200" spans="1:7" ht="25.5" x14ac:dyDescent="0.2">
      <c r="A200" s="21" t="s">
        <v>353</v>
      </c>
      <c r="B200" s="43" t="s">
        <v>195</v>
      </c>
      <c r="C200" s="44" t="s">
        <v>724</v>
      </c>
      <c r="D200" s="47">
        <v>90</v>
      </c>
      <c r="E200" s="61" t="s">
        <v>10</v>
      </c>
      <c r="F200" s="45">
        <v>65000</v>
      </c>
      <c r="G200" s="45">
        <v>5850000</v>
      </c>
    </row>
    <row r="201" spans="1:7" x14ac:dyDescent="0.2">
      <c r="A201" s="21" t="s">
        <v>354</v>
      </c>
      <c r="B201" s="40" t="s">
        <v>516</v>
      </c>
      <c r="C201" s="41" t="s">
        <v>11</v>
      </c>
      <c r="D201" s="71"/>
      <c r="E201" s="60"/>
      <c r="F201" s="42"/>
      <c r="G201" s="42">
        <v>5400000</v>
      </c>
    </row>
    <row r="202" spans="1:7" ht="25.5" x14ac:dyDescent="0.2">
      <c r="A202" s="21" t="s">
        <v>355</v>
      </c>
      <c r="B202" s="43" t="s">
        <v>195</v>
      </c>
      <c r="C202" s="44" t="s">
        <v>725</v>
      </c>
      <c r="D202" s="47">
        <v>6</v>
      </c>
      <c r="E202" s="61" t="s">
        <v>12</v>
      </c>
      <c r="F202" s="45">
        <v>900000</v>
      </c>
      <c r="G202" s="45">
        <v>5400000</v>
      </c>
    </row>
    <row r="203" spans="1:7" x14ac:dyDescent="0.2">
      <c r="A203" s="21" t="s">
        <v>356</v>
      </c>
      <c r="B203" s="40" t="s">
        <v>513</v>
      </c>
      <c r="C203" s="41" t="s">
        <v>19</v>
      </c>
      <c r="D203" s="71"/>
      <c r="E203" s="60"/>
      <c r="F203" s="42"/>
      <c r="G203" s="42">
        <v>24000000</v>
      </c>
    </row>
    <row r="204" spans="1:7" ht="38.25" x14ac:dyDescent="0.2">
      <c r="A204" s="21" t="s">
        <v>357</v>
      </c>
      <c r="B204" s="43" t="s">
        <v>195</v>
      </c>
      <c r="C204" s="44" t="s">
        <v>726</v>
      </c>
      <c r="D204" s="47">
        <v>6</v>
      </c>
      <c r="E204" s="61" t="s">
        <v>10</v>
      </c>
      <c r="F204" s="45">
        <v>4000000</v>
      </c>
      <c r="G204" s="45">
        <v>24000000</v>
      </c>
    </row>
    <row r="205" spans="1:7" x14ac:dyDescent="0.2">
      <c r="A205" s="21" t="s">
        <v>358</v>
      </c>
      <c r="B205" s="40" t="s">
        <v>510</v>
      </c>
      <c r="C205" s="41" t="s">
        <v>15</v>
      </c>
      <c r="D205" s="71"/>
      <c r="E205" s="60"/>
      <c r="F205" s="42"/>
      <c r="G205" s="42">
        <v>22500000</v>
      </c>
    </row>
    <row r="206" spans="1:7" x14ac:dyDescent="0.2">
      <c r="A206" s="21" t="s">
        <v>359</v>
      </c>
      <c r="B206" s="40" t="s">
        <v>195</v>
      </c>
      <c r="C206" s="41" t="s">
        <v>727</v>
      </c>
      <c r="D206" s="40">
        <v>90</v>
      </c>
      <c r="E206" s="60" t="s">
        <v>10</v>
      </c>
      <c r="F206" s="42">
        <v>100000</v>
      </c>
      <c r="G206" s="42">
        <v>9000000</v>
      </c>
    </row>
    <row r="207" spans="1:7" x14ac:dyDescent="0.2">
      <c r="A207" s="21" t="s">
        <v>360</v>
      </c>
      <c r="B207" s="43" t="s">
        <v>195</v>
      </c>
      <c r="C207" s="44" t="s">
        <v>728</v>
      </c>
      <c r="D207" s="47">
        <v>90</v>
      </c>
      <c r="E207" s="61" t="s">
        <v>10</v>
      </c>
      <c r="F207" s="45">
        <v>150000</v>
      </c>
      <c r="G207" s="45">
        <v>13500000</v>
      </c>
    </row>
    <row r="208" spans="1:7" ht="25.5" x14ac:dyDescent="0.2">
      <c r="A208" s="21" t="s">
        <v>361</v>
      </c>
      <c r="B208" s="37" t="s">
        <v>514</v>
      </c>
      <c r="C208" s="38" t="s">
        <v>729</v>
      </c>
      <c r="D208" s="37"/>
      <c r="E208" s="59"/>
      <c r="F208" s="39"/>
      <c r="G208" s="39">
        <v>70060000</v>
      </c>
    </row>
    <row r="209" spans="1:7" x14ac:dyDescent="0.2">
      <c r="A209" s="21" t="s">
        <v>362</v>
      </c>
      <c r="B209" s="40" t="s">
        <v>503</v>
      </c>
      <c r="C209" s="41" t="s">
        <v>7</v>
      </c>
      <c r="D209" s="71"/>
      <c r="E209" s="60"/>
      <c r="F209" s="42"/>
      <c r="G209" s="42">
        <v>14760000</v>
      </c>
    </row>
    <row r="210" spans="1:7" x14ac:dyDescent="0.2">
      <c r="A210" s="21" t="s">
        <v>363</v>
      </c>
      <c r="B210" s="43" t="s">
        <v>195</v>
      </c>
      <c r="C210" s="44" t="s">
        <v>619</v>
      </c>
      <c r="D210" s="47">
        <v>1</v>
      </c>
      <c r="E210" s="61" t="s">
        <v>9</v>
      </c>
      <c r="F210" s="45">
        <v>1000000</v>
      </c>
      <c r="G210" s="45">
        <v>1000000</v>
      </c>
    </row>
    <row r="211" spans="1:7" x14ac:dyDescent="0.2">
      <c r="A211" s="21" t="s">
        <v>364</v>
      </c>
      <c r="B211" s="43" t="s">
        <v>195</v>
      </c>
      <c r="C211" s="44" t="s">
        <v>693</v>
      </c>
      <c r="D211" s="47">
        <v>1</v>
      </c>
      <c r="E211" s="61" t="s">
        <v>9</v>
      </c>
      <c r="F211" s="45">
        <v>1000000</v>
      </c>
      <c r="G211" s="45">
        <v>1000000</v>
      </c>
    </row>
    <row r="212" spans="1:7" x14ac:dyDescent="0.2">
      <c r="A212" s="21" t="s">
        <v>365</v>
      </c>
      <c r="B212" s="43" t="s">
        <v>195</v>
      </c>
      <c r="C212" s="44" t="s">
        <v>730</v>
      </c>
      <c r="D212" s="47">
        <v>1</v>
      </c>
      <c r="E212" s="61" t="s">
        <v>9</v>
      </c>
      <c r="F212" s="45">
        <v>1000000</v>
      </c>
      <c r="G212" s="45">
        <v>1000000</v>
      </c>
    </row>
    <row r="213" spans="1:7" x14ac:dyDescent="0.2">
      <c r="A213" s="21" t="s">
        <v>366</v>
      </c>
      <c r="B213" s="43" t="s">
        <v>195</v>
      </c>
      <c r="C213" s="44" t="s">
        <v>731</v>
      </c>
      <c r="D213" s="47">
        <v>60</v>
      </c>
      <c r="E213" s="61" t="s">
        <v>10</v>
      </c>
      <c r="F213" s="45">
        <v>150000</v>
      </c>
      <c r="G213" s="45">
        <v>9000000</v>
      </c>
    </row>
    <row r="214" spans="1:7" x14ac:dyDescent="0.2">
      <c r="A214" s="21" t="s">
        <v>367</v>
      </c>
      <c r="B214" s="43" t="s">
        <v>195</v>
      </c>
      <c r="C214" s="44" t="s">
        <v>732</v>
      </c>
      <c r="D214" s="47">
        <v>40</v>
      </c>
      <c r="E214" s="61" t="s">
        <v>10</v>
      </c>
      <c r="F214" s="45">
        <v>69000</v>
      </c>
      <c r="G214" s="45">
        <v>2760000</v>
      </c>
    </row>
    <row r="215" spans="1:7" x14ac:dyDescent="0.2">
      <c r="A215" s="21" t="s">
        <v>368</v>
      </c>
      <c r="B215" s="40" t="s">
        <v>516</v>
      </c>
      <c r="C215" s="41" t="s">
        <v>11</v>
      </c>
      <c r="D215" s="71"/>
      <c r="E215" s="60"/>
      <c r="F215" s="42"/>
      <c r="G215" s="42">
        <v>4000000</v>
      </c>
    </row>
    <row r="216" spans="1:7" ht="25.5" x14ac:dyDescent="0.2">
      <c r="A216" s="21" t="s">
        <v>369</v>
      </c>
      <c r="B216" s="43" t="s">
        <v>195</v>
      </c>
      <c r="C216" s="44" t="s">
        <v>733</v>
      </c>
      <c r="D216" s="47">
        <v>4</v>
      </c>
      <c r="E216" s="61" t="s">
        <v>12</v>
      </c>
      <c r="F216" s="45">
        <v>1000000</v>
      </c>
      <c r="G216" s="45">
        <v>4000000</v>
      </c>
    </row>
    <row r="217" spans="1:7" x14ac:dyDescent="0.2">
      <c r="A217" s="21" t="s">
        <v>734</v>
      </c>
      <c r="B217" s="40" t="s">
        <v>510</v>
      </c>
      <c r="C217" s="41" t="s">
        <v>15</v>
      </c>
      <c r="D217" s="71"/>
      <c r="E217" s="60"/>
      <c r="F217" s="42"/>
      <c r="G217" s="42">
        <v>51300000</v>
      </c>
    </row>
    <row r="218" spans="1:7" x14ac:dyDescent="0.2">
      <c r="A218" s="21" t="s">
        <v>735</v>
      </c>
      <c r="B218" s="40" t="s">
        <v>195</v>
      </c>
      <c r="C218" s="41" t="s">
        <v>736</v>
      </c>
      <c r="D218" s="40">
        <v>60</v>
      </c>
      <c r="E218" s="60" t="s">
        <v>16</v>
      </c>
      <c r="F218" s="42">
        <v>350000</v>
      </c>
      <c r="G218" s="42">
        <v>21000000</v>
      </c>
    </row>
    <row r="219" spans="1:7" x14ac:dyDescent="0.2">
      <c r="A219" s="21" t="s">
        <v>737</v>
      </c>
      <c r="B219" s="43" t="s">
        <v>195</v>
      </c>
      <c r="C219" s="44" t="s">
        <v>738</v>
      </c>
      <c r="D219" s="47">
        <v>60</v>
      </c>
      <c r="E219" s="61" t="s">
        <v>10</v>
      </c>
      <c r="F219" s="45">
        <v>105000</v>
      </c>
      <c r="G219" s="45">
        <v>6300000</v>
      </c>
    </row>
    <row r="220" spans="1:7" x14ac:dyDescent="0.2">
      <c r="A220" s="21" t="s">
        <v>739</v>
      </c>
      <c r="B220" s="37" t="s">
        <v>195</v>
      </c>
      <c r="C220" s="38" t="s">
        <v>740</v>
      </c>
      <c r="D220" s="37">
        <v>60</v>
      </c>
      <c r="E220" s="59" t="s">
        <v>10</v>
      </c>
      <c r="F220" s="39">
        <v>400000</v>
      </c>
      <c r="G220" s="39">
        <v>24000000</v>
      </c>
    </row>
    <row r="221" spans="1:7" x14ac:dyDescent="0.2">
      <c r="A221" s="21" t="s">
        <v>370</v>
      </c>
      <c r="B221" s="34" t="s">
        <v>526</v>
      </c>
      <c r="C221" s="35" t="s">
        <v>38</v>
      </c>
      <c r="D221" s="34"/>
      <c r="E221" s="58"/>
      <c r="F221" s="36"/>
      <c r="G221" s="36">
        <v>300000000</v>
      </c>
    </row>
    <row r="222" spans="1:7" ht="25.5" x14ac:dyDescent="0.2">
      <c r="A222" s="21" t="s">
        <v>371</v>
      </c>
      <c r="B222" s="37" t="s">
        <v>8</v>
      </c>
      <c r="C222" s="38" t="s">
        <v>39</v>
      </c>
      <c r="D222" s="70"/>
      <c r="E222" s="59"/>
      <c r="F222" s="39"/>
      <c r="G222" s="39">
        <v>93840000</v>
      </c>
    </row>
    <row r="223" spans="1:7" x14ac:dyDescent="0.2">
      <c r="A223" s="21" t="s">
        <v>372</v>
      </c>
      <c r="B223" s="40" t="s">
        <v>503</v>
      </c>
      <c r="C223" s="41" t="s">
        <v>7</v>
      </c>
      <c r="D223" s="40"/>
      <c r="E223" s="60"/>
      <c r="F223" s="42"/>
      <c r="G223" s="42">
        <v>20140000</v>
      </c>
    </row>
    <row r="224" spans="1:7" x14ac:dyDescent="0.2">
      <c r="A224" s="21" t="s">
        <v>373</v>
      </c>
      <c r="B224" s="43" t="s">
        <v>195</v>
      </c>
      <c r="C224" s="44" t="s">
        <v>619</v>
      </c>
      <c r="D224" s="47">
        <v>1</v>
      </c>
      <c r="E224" s="61" t="s">
        <v>9</v>
      </c>
      <c r="F224" s="45">
        <v>1000000</v>
      </c>
      <c r="G224" s="45">
        <v>1000000</v>
      </c>
    </row>
    <row r="225" spans="1:7" x14ac:dyDescent="0.2">
      <c r="A225" s="21" t="s">
        <v>374</v>
      </c>
      <c r="B225" s="43" t="s">
        <v>195</v>
      </c>
      <c r="C225" s="44" t="s">
        <v>620</v>
      </c>
      <c r="D225" s="47">
        <v>1</v>
      </c>
      <c r="E225" s="61" t="s">
        <v>9</v>
      </c>
      <c r="F225" s="45">
        <v>1000000</v>
      </c>
      <c r="G225" s="45">
        <v>1000000</v>
      </c>
    </row>
    <row r="226" spans="1:7" x14ac:dyDescent="0.2">
      <c r="A226" s="21" t="s">
        <v>375</v>
      </c>
      <c r="B226" s="37" t="s">
        <v>195</v>
      </c>
      <c r="C226" s="38" t="s">
        <v>617</v>
      </c>
      <c r="D226" s="37">
        <v>1</v>
      </c>
      <c r="E226" s="59" t="s">
        <v>9</v>
      </c>
      <c r="F226" s="39">
        <v>10600000</v>
      </c>
      <c r="G226" s="39">
        <v>10600000</v>
      </c>
    </row>
    <row r="227" spans="1:7" x14ac:dyDescent="0.2">
      <c r="A227" s="21" t="s">
        <v>376</v>
      </c>
      <c r="B227" s="40" t="s">
        <v>195</v>
      </c>
      <c r="C227" s="41" t="s">
        <v>741</v>
      </c>
      <c r="D227" s="40">
        <v>60</v>
      </c>
      <c r="E227" s="60" t="s">
        <v>10</v>
      </c>
      <c r="F227" s="42">
        <v>69000</v>
      </c>
      <c r="G227" s="42">
        <v>4140000</v>
      </c>
    </row>
    <row r="228" spans="1:7" x14ac:dyDescent="0.2">
      <c r="A228" s="21" t="s">
        <v>377</v>
      </c>
      <c r="B228" s="43" t="s">
        <v>195</v>
      </c>
      <c r="C228" s="44" t="s">
        <v>742</v>
      </c>
      <c r="D228" s="47">
        <v>80</v>
      </c>
      <c r="E228" s="61" t="s">
        <v>10</v>
      </c>
      <c r="F228" s="45">
        <v>20000</v>
      </c>
      <c r="G228" s="45">
        <v>1600000</v>
      </c>
    </row>
    <row r="229" spans="1:7" x14ac:dyDescent="0.2">
      <c r="A229" s="21" t="s">
        <v>378</v>
      </c>
      <c r="B229" s="43" t="s">
        <v>195</v>
      </c>
      <c r="C229" s="44" t="s">
        <v>743</v>
      </c>
      <c r="D229" s="47">
        <v>40</v>
      </c>
      <c r="E229" s="61" t="s">
        <v>10</v>
      </c>
      <c r="F229" s="45">
        <v>45000</v>
      </c>
      <c r="G229" s="45">
        <v>1800000</v>
      </c>
    </row>
    <row r="230" spans="1:7" ht="25.5" x14ac:dyDescent="0.2">
      <c r="A230" s="21" t="s">
        <v>379</v>
      </c>
      <c r="B230" s="40" t="s">
        <v>515</v>
      </c>
      <c r="C230" s="41" t="s">
        <v>642</v>
      </c>
      <c r="D230" s="71"/>
      <c r="E230" s="60"/>
      <c r="F230" s="42"/>
      <c r="G230" s="42">
        <v>19200000</v>
      </c>
    </row>
    <row r="231" spans="1:7" ht="25.5" x14ac:dyDescent="0.2">
      <c r="A231" s="21" t="s">
        <v>380</v>
      </c>
      <c r="B231" s="43" t="s">
        <v>195</v>
      </c>
      <c r="C231" s="44" t="s">
        <v>744</v>
      </c>
      <c r="D231" s="47">
        <v>96</v>
      </c>
      <c r="E231" s="61" t="s">
        <v>21</v>
      </c>
      <c r="F231" s="45">
        <v>200000</v>
      </c>
      <c r="G231" s="45">
        <v>19200000</v>
      </c>
    </row>
    <row r="232" spans="1:7" x14ac:dyDescent="0.2">
      <c r="A232" s="21" t="s">
        <v>381</v>
      </c>
      <c r="B232" s="40" t="s">
        <v>518</v>
      </c>
      <c r="C232" s="41" t="s">
        <v>24</v>
      </c>
      <c r="D232" s="71"/>
      <c r="E232" s="60"/>
      <c r="F232" s="42"/>
      <c r="G232" s="42">
        <v>4500000</v>
      </c>
    </row>
    <row r="233" spans="1:7" x14ac:dyDescent="0.2">
      <c r="A233" s="21" t="s">
        <v>382</v>
      </c>
      <c r="B233" s="43" t="s">
        <v>195</v>
      </c>
      <c r="C233" s="44" t="s">
        <v>745</v>
      </c>
      <c r="D233" s="47">
        <v>18</v>
      </c>
      <c r="E233" s="61" t="s">
        <v>10</v>
      </c>
      <c r="F233" s="45">
        <v>250000</v>
      </c>
      <c r="G233" s="45">
        <v>4500000</v>
      </c>
    </row>
    <row r="234" spans="1:7" x14ac:dyDescent="0.2">
      <c r="A234" s="21" t="s">
        <v>383</v>
      </c>
      <c r="B234" s="40" t="s">
        <v>513</v>
      </c>
      <c r="C234" s="41" t="s">
        <v>19</v>
      </c>
      <c r="D234" s="71"/>
      <c r="E234" s="60"/>
      <c r="F234" s="42"/>
      <c r="G234" s="42">
        <v>36000000</v>
      </c>
    </row>
    <row r="235" spans="1:7" x14ac:dyDescent="0.2">
      <c r="A235" s="21" t="s">
        <v>384</v>
      </c>
      <c r="B235" s="43" t="s">
        <v>195</v>
      </c>
      <c r="C235" s="44" t="s">
        <v>746</v>
      </c>
      <c r="D235" s="47">
        <v>8</v>
      </c>
      <c r="E235" s="61" t="s">
        <v>10</v>
      </c>
      <c r="F235" s="45">
        <v>1500000</v>
      </c>
      <c r="G235" s="45">
        <v>12000000</v>
      </c>
    </row>
    <row r="236" spans="1:7" ht="25.5" x14ac:dyDescent="0.2">
      <c r="A236" s="21" t="s">
        <v>747</v>
      </c>
      <c r="B236" s="43" t="s">
        <v>195</v>
      </c>
      <c r="C236" s="44" t="s">
        <v>748</v>
      </c>
      <c r="D236" s="47">
        <v>8</v>
      </c>
      <c r="E236" s="61" t="s">
        <v>10</v>
      </c>
      <c r="F236" s="45">
        <v>3000000</v>
      </c>
      <c r="G236" s="45">
        <v>24000000</v>
      </c>
    </row>
    <row r="237" spans="1:7" x14ac:dyDescent="0.2">
      <c r="A237" s="21" t="s">
        <v>385</v>
      </c>
      <c r="B237" s="40" t="s">
        <v>510</v>
      </c>
      <c r="C237" s="41" t="s">
        <v>15</v>
      </c>
      <c r="D237" s="40"/>
      <c r="E237" s="60"/>
      <c r="F237" s="42"/>
      <c r="G237" s="42">
        <v>14000000</v>
      </c>
    </row>
    <row r="238" spans="1:7" x14ac:dyDescent="0.2">
      <c r="A238" s="21" t="s">
        <v>386</v>
      </c>
      <c r="B238" s="43" t="s">
        <v>195</v>
      </c>
      <c r="C238" s="44" t="s">
        <v>749</v>
      </c>
      <c r="D238" s="47">
        <v>40</v>
      </c>
      <c r="E238" s="61" t="s">
        <v>10</v>
      </c>
      <c r="F238" s="45">
        <v>100000</v>
      </c>
      <c r="G238" s="45">
        <v>4000000</v>
      </c>
    </row>
    <row r="239" spans="1:7" x14ac:dyDescent="0.2">
      <c r="A239" s="21" t="s">
        <v>387</v>
      </c>
      <c r="B239" s="37" t="s">
        <v>195</v>
      </c>
      <c r="C239" s="38" t="s">
        <v>750</v>
      </c>
      <c r="D239" s="37">
        <v>40</v>
      </c>
      <c r="E239" s="59" t="s">
        <v>10</v>
      </c>
      <c r="F239" s="39">
        <v>250000</v>
      </c>
      <c r="G239" s="39">
        <v>10000000</v>
      </c>
    </row>
    <row r="240" spans="1:7" x14ac:dyDescent="0.2">
      <c r="A240" s="21" t="s">
        <v>388</v>
      </c>
      <c r="B240" s="37" t="s">
        <v>511</v>
      </c>
      <c r="C240" s="38" t="s">
        <v>40</v>
      </c>
      <c r="D240" s="37"/>
      <c r="E240" s="59"/>
      <c r="F240" s="39"/>
      <c r="G240" s="39">
        <v>103940000</v>
      </c>
    </row>
    <row r="241" spans="1:7" x14ac:dyDescent="0.2">
      <c r="A241" s="21" t="s">
        <v>389</v>
      </c>
      <c r="B241" s="40" t="s">
        <v>503</v>
      </c>
      <c r="C241" s="41" t="s">
        <v>7</v>
      </c>
      <c r="D241" s="71"/>
      <c r="E241" s="60"/>
      <c r="F241" s="42"/>
      <c r="G241" s="42">
        <v>49940000</v>
      </c>
    </row>
    <row r="242" spans="1:7" x14ac:dyDescent="0.2">
      <c r="A242" s="21" t="s">
        <v>390</v>
      </c>
      <c r="B242" s="43" t="s">
        <v>195</v>
      </c>
      <c r="C242" s="44" t="s">
        <v>619</v>
      </c>
      <c r="D242" s="47">
        <v>1</v>
      </c>
      <c r="E242" s="61" t="s">
        <v>9</v>
      </c>
      <c r="F242" s="45">
        <v>1000000</v>
      </c>
      <c r="G242" s="45">
        <v>1000000</v>
      </c>
    </row>
    <row r="243" spans="1:7" x14ac:dyDescent="0.2">
      <c r="A243" s="21" t="s">
        <v>391</v>
      </c>
      <c r="B243" s="40" t="s">
        <v>195</v>
      </c>
      <c r="C243" s="41" t="s">
        <v>620</v>
      </c>
      <c r="D243" s="40">
        <v>1</v>
      </c>
      <c r="E243" s="60" t="s">
        <v>9</v>
      </c>
      <c r="F243" s="42">
        <v>1000000</v>
      </c>
      <c r="G243" s="42">
        <v>1000000</v>
      </c>
    </row>
    <row r="244" spans="1:7" x14ac:dyDescent="0.2">
      <c r="A244" s="21" t="s">
        <v>392</v>
      </c>
      <c r="B244" s="43" t="s">
        <v>195</v>
      </c>
      <c r="C244" s="44" t="s">
        <v>751</v>
      </c>
      <c r="D244" s="47">
        <v>1</v>
      </c>
      <c r="E244" s="61" t="s">
        <v>9</v>
      </c>
      <c r="F244" s="45">
        <v>1000000</v>
      </c>
      <c r="G244" s="45">
        <v>1000000</v>
      </c>
    </row>
    <row r="245" spans="1:7" x14ac:dyDescent="0.2">
      <c r="A245" s="21" t="s">
        <v>393</v>
      </c>
      <c r="B245" s="43" t="s">
        <v>195</v>
      </c>
      <c r="C245" s="44" t="s">
        <v>752</v>
      </c>
      <c r="D245" s="47">
        <v>500</v>
      </c>
      <c r="E245" s="61" t="s">
        <v>117</v>
      </c>
      <c r="F245" s="45">
        <v>75000</v>
      </c>
      <c r="G245" s="45">
        <v>37500000</v>
      </c>
    </row>
    <row r="246" spans="1:7" x14ac:dyDescent="0.2">
      <c r="A246" s="21" t="s">
        <v>394</v>
      </c>
      <c r="B246" s="43" t="s">
        <v>195</v>
      </c>
      <c r="C246" s="44" t="s">
        <v>753</v>
      </c>
      <c r="D246" s="47">
        <v>80</v>
      </c>
      <c r="E246" s="61" t="s">
        <v>10</v>
      </c>
      <c r="F246" s="45">
        <v>75000</v>
      </c>
      <c r="G246" s="45">
        <v>6000000</v>
      </c>
    </row>
    <row r="247" spans="1:7" x14ac:dyDescent="0.2">
      <c r="A247" s="21" t="s">
        <v>395</v>
      </c>
      <c r="B247" s="43" t="s">
        <v>195</v>
      </c>
      <c r="C247" s="44" t="s">
        <v>754</v>
      </c>
      <c r="D247" s="47">
        <v>80</v>
      </c>
      <c r="E247" s="61" t="s">
        <v>10</v>
      </c>
      <c r="F247" s="45">
        <v>20000</v>
      </c>
      <c r="G247" s="45">
        <v>1600000</v>
      </c>
    </row>
    <row r="248" spans="1:7" x14ac:dyDescent="0.2">
      <c r="A248" s="21" t="s">
        <v>396</v>
      </c>
      <c r="B248" s="43" t="s">
        <v>195</v>
      </c>
      <c r="C248" s="44" t="s">
        <v>755</v>
      </c>
      <c r="D248" s="47">
        <v>40</v>
      </c>
      <c r="E248" s="61" t="s">
        <v>10</v>
      </c>
      <c r="F248" s="45">
        <v>46000</v>
      </c>
      <c r="G248" s="45">
        <v>1840000</v>
      </c>
    </row>
    <row r="249" spans="1:7" x14ac:dyDescent="0.2">
      <c r="A249" s="21" t="s">
        <v>397</v>
      </c>
      <c r="B249" s="40" t="s">
        <v>513</v>
      </c>
      <c r="C249" s="41" t="s">
        <v>19</v>
      </c>
      <c r="D249" s="71"/>
      <c r="E249" s="60"/>
      <c r="F249" s="42"/>
      <c r="G249" s="42">
        <v>40000000</v>
      </c>
    </row>
    <row r="250" spans="1:7" x14ac:dyDescent="0.2">
      <c r="A250" s="21" t="s">
        <v>398</v>
      </c>
      <c r="B250" s="43" t="s">
        <v>195</v>
      </c>
      <c r="C250" s="44" t="s">
        <v>756</v>
      </c>
      <c r="D250" s="47">
        <v>10</v>
      </c>
      <c r="E250" s="61" t="s">
        <v>10</v>
      </c>
      <c r="F250" s="45">
        <v>4000000</v>
      </c>
      <c r="G250" s="45">
        <v>40000000</v>
      </c>
    </row>
    <row r="251" spans="1:7" x14ac:dyDescent="0.2">
      <c r="A251" s="21" t="s">
        <v>399</v>
      </c>
      <c r="B251" s="40" t="s">
        <v>510</v>
      </c>
      <c r="C251" s="41" t="s">
        <v>15</v>
      </c>
      <c r="D251" s="71"/>
      <c r="E251" s="60"/>
      <c r="F251" s="42"/>
      <c r="G251" s="42">
        <v>14000000</v>
      </c>
    </row>
    <row r="252" spans="1:7" x14ac:dyDescent="0.2">
      <c r="A252" s="21" t="s">
        <v>400</v>
      </c>
      <c r="B252" s="43" t="s">
        <v>195</v>
      </c>
      <c r="C252" s="44" t="s">
        <v>757</v>
      </c>
      <c r="D252" s="47">
        <v>40</v>
      </c>
      <c r="E252" s="61" t="s">
        <v>10</v>
      </c>
      <c r="F252" s="45">
        <v>100000</v>
      </c>
      <c r="G252" s="45">
        <v>4000000</v>
      </c>
    </row>
    <row r="253" spans="1:7" x14ac:dyDescent="0.2">
      <c r="A253" s="21" t="s">
        <v>401</v>
      </c>
      <c r="B253" s="43" t="s">
        <v>195</v>
      </c>
      <c r="C253" s="44" t="s">
        <v>758</v>
      </c>
      <c r="D253" s="47">
        <v>40</v>
      </c>
      <c r="E253" s="61" t="s">
        <v>10</v>
      </c>
      <c r="F253" s="45">
        <v>250000</v>
      </c>
      <c r="G253" s="45">
        <v>10000000</v>
      </c>
    </row>
    <row r="254" spans="1:7" ht="25.5" x14ac:dyDescent="0.2">
      <c r="A254" s="21" t="s">
        <v>402</v>
      </c>
      <c r="B254" s="37" t="s">
        <v>512</v>
      </c>
      <c r="C254" s="38" t="s">
        <v>41</v>
      </c>
      <c r="D254" s="70"/>
      <c r="E254" s="59"/>
      <c r="F254" s="39"/>
      <c r="G254" s="39">
        <v>52700000</v>
      </c>
    </row>
    <row r="255" spans="1:7" x14ac:dyDescent="0.2">
      <c r="A255" s="21" t="s">
        <v>403</v>
      </c>
      <c r="B255" s="40" t="s">
        <v>503</v>
      </c>
      <c r="C255" s="41" t="s">
        <v>7</v>
      </c>
      <c r="D255" s="71"/>
      <c r="E255" s="60"/>
      <c r="F255" s="42"/>
      <c r="G255" s="42">
        <v>32700000</v>
      </c>
    </row>
    <row r="256" spans="1:7" x14ac:dyDescent="0.2">
      <c r="A256" s="21" t="s">
        <v>404</v>
      </c>
      <c r="B256" s="43" t="s">
        <v>195</v>
      </c>
      <c r="C256" s="44" t="s">
        <v>619</v>
      </c>
      <c r="D256" s="47">
        <v>4</v>
      </c>
      <c r="E256" s="61" t="s">
        <v>9</v>
      </c>
      <c r="F256" s="45">
        <v>1000000</v>
      </c>
      <c r="G256" s="45">
        <v>4000000</v>
      </c>
    </row>
    <row r="257" spans="1:7" x14ac:dyDescent="0.2">
      <c r="A257" s="21" t="s">
        <v>405</v>
      </c>
      <c r="B257" s="40" t="s">
        <v>195</v>
      </c>
      <c r="C257" s="41" t="s">
        <v>620</v>
      </c>
      <c r="D257" s="40">
        <v>4</v>
      </c>
      <c r="E257" s="60" t="s">
        <v>9</v>
      </c>
      <c r="F257" s="42">
        <v>1000000</v>
      </c>
      <c r="G257" s="42">
        <v>4000000</v>
      </c>
    </row>
    <row r="258" spans="1:7" x14ac:dyDescent="0.2">
      <c r="A258" s="21" t="s">
        <v>406</v>
      </c>
      <c r="B258" s="43" t="s">
        <v>195</v>
      </c>
      <c r="C258" s="44" t="s">
        <v>617</v>
      </c>
      <c r="D258" s="47">
        <v>4</v>
      </c>
      <c r="E258" s="61" t="s">
        <v>9</v>
      </c>
      <c r="F258" s="45">
        <v>1000000</v>
      </c>
      <c r="G258" s="45">
        <v>4000000</v>
      </c>
    </row>
    <row r="259" spans="1:7" x14ac:dyDescent="0.2">
      <c r="A259" s="7" t="s">
        <v>407</v>
      </c>
      <c r="B259" s="28" t="s">
        <v>195</v>
      </c>
      <c r="C259" s="29" t="s">
        <v>759</v>
      </c>
      <c r="D259" s="46">
        <v>300</v>
      </c>
      <c r="E259" s="56" t="s">
        <v>10</v>
      </c>
      <c r="F259" s="30">
        <v>22000</v>
      </c>
      <c r="G259" s="30">
        <v>6600000</v>
      </c>
    </row>
    <row r="260" spans="1:7" x14ac:dyDescent="0.2">
      <c r="A260" s="7" t="s">
        <v>408</v>
      </c>
      <c r="B260" s="31" t="s">
        <v>195</v>
      </c>
      <c r="C260" s="32" t="s">
        <v>760</v>
      </c>
      <c r="D260" s="31">
        <v>300</v>
      </c>
      <c r="E260" s="57" t="s">
        <v>10</v>
      </c>
      <c r="F260" s="33">
        <v>47000</v>
      </c>
      <c r="G260" s="33">
        <v>14100000</v>
      </c>
    </row>
    <row r="261" spans="1:7" x14ac:dyDescent="0.2">
      <c r="A261" s="21" t="s">
        <v>409</v>
      </c>
      <c r="B261" s="40" t="s">
        <v>516</v>
      </c>
      <c r="C261" s="41" t="s">
        <v>11</v>
      </c>
      <c r="D261" s="40"/>
      <c r="E261" s="60"/>
      <c r="F261" s="42"/>
      <c r="G261" s="42">
        <v>5000000</v>
      </c>
    </row>
    <row r="262" spans="1:7" x14ac:dyDescent="0.2">
      <c r="A262" s="21" t="s">
        <v>410</v>
      </c>
      <c r="B262" s="37" t="s">
        <v>195</v>
      </c>
      <c r="C262" s="38" t="s">
        <v>761</v>
      </c>
      <c r="D262" s="37">
        <v>10</v>
      </c>
      <c r="E262" s="59" t="s">
        <v>12</v>
      </c>
      <c r="F262" s="39">
        <v>500000</v>
      </c>
      <c r="G262" s="39">
        <v>5000000</v>
      </c>
    </row>
    <row r="263" spans="1:7" x14ac:dyDescent="0.2">
      <c r="A263" s="21" t="s">
        <v>762</v>
      </c>
      <c r="B263" s="40" t="s">
        <v>513</v>
      </c>
      <c r="C263" s="41" t="s">
        <v>19</v>
      </c>
      <c r="D263" s="40"/>
      <c r="E263" s="60"/>
      <c r="F263" s="42"/>
      <c r="G263" s="42">
        <v>15000000</v>
      </c>
    </row>
    <row r="264" spans="1:7" x14ac:dyDescent="0.2">
      <c r="A264" s="21" t="s">
        <v>763</v>
      </c>
      <c r="B264" s="43" t="s">
        <v>195</v>
      </c>
      <c r="C264" s="44" t="s">
        <v>764</v>
      </c>
      <c r="D264" s="47">
        <v>5</v>
      </c>
      <c r="E264" s="61" t="s">
        <v>10</v>
      </c>
      <c r="F264" s="45">
        <v>3000000</v>
      </c>
      <c r="G264" s="45">
        <v>15000000</v>
      </c>
    </row>
    <row r="265" spans="1:7" x14ac:dyDescent="0.2">
      <c r="A265" s="21" t="s">
        <v>411</v>
      </c>
      <c r="B265" s="37" t="s">
        <v>514</v>
      </c>
      <c r="C265" s="38" t="s">
        <v>765</v>
      </c>
      <c r="D265" s="70"/>
      <c r="E265" s="59"/>
      <c r="F265" s="39"/>
      <c r="G265" s="39">
        <v>49520000</v>
      </c>
    </row>
    <row r="266" spans="1:7" x14ac:dyDescent="0.2">
      <c r="A266" s="21" t="s">
        <v>412</v>
      </c>
      <c r="B266" s="40" t="s">
        <v>503</v>
      </c>
      <c r="C266" s="41" t="s">
        <v>7</v>
      </c>
      <c r="D266" s="40"/>
      <c r="E266" s="60"/>
      <c r="F266" s="42"/>
      <c r="G266" s="42">
        <v>17520000</v>
      </c>
    </row>
    <row r="267" spans="1:7" x14ac:dyDescent="0.2">
      <c r="A267" s="21" t="s">
        <v>413</v>
      </c>
      <c r="B267" s="43" t="s">
        <v>195</v>
      </c>
      <c r="C267" s="44" t="s">
        <v>619</v>
      </c>
      <c r="D267" s="47">
        <v>4</v>
      </c>
      <c r="E267" s="61" t="s">
        <v>9</v>
      </c>
      <c r="F267" s="45">
        <v>1000000</v>
      </c>
      <c r="G267" s="45">
        <v>4000000</v>
      </c>
    </row>
    <row r="268" spans="1:7" x14ac:dyDescent="0.2">
      <c r="A268" s="21" t="s">
        <v>414</v>
      </c>
      <c r="B268" s="43" t="s">
        <v>195</v>
      </c>
      <c r="C268" s="44" t="s">
        <v>620</v>
      </c>
      <c r="D268" s="47">
        <v>4</v>
      </c>
      <c r="E268" s="61" t="s">
        <v>9</v>
      </c>
      <c r="F268" s="45">
        <v>1000000</v>
      </c>
      <c r="G268" s="45">
        <v>4000000</v>
      </c>
    </row>
    <row r="269" spans="1:7" x14ac:dyDescent="0.2">
      <c r="A269" s="21" t="s">
        <v>415</v>
      </c>
      <c r="B269" s="40" t="s">
        <v>195</v>
      </c>
      <c r="C269" s="41" t="s">
        <v>766</v>
      </c>
      <c r="D269" s="40">
        <v>4</v>
      </c>
      <c r="E269" s="60" t="s">
        <v>9</v>
      </c>
      <c r="F269" s="42">
        <v>1000000</v>
      </c>
      <c r="G269" s="42">
        <v>4000000</v>
      </c>
    </row>
    <row r="270" spans="1:7" x14ac:dyDescent="0.2">
      <c r="A270" s="21" t="s">
        <v>416</v>
      </c>
      <c r="B270" s="43" t="s">
        <v>195</v>
      </c>
      <c r="C270" s="44" t="s">
        <v>767</v>
      </c>
      <c r="D270" s="47">
        <v>80</v>
      </c>
      <c r="E270" s="61" t="s">
        <v>10</v>
      </c>
      <c r="F270" s="45">
        <v>22000</v>
      </c>
      <c r="G270" s="45">
        <v>1760000</v>
      </c>
    </row>
    <row r="271" spans="1:7" x14ac:dyDescent="0.2">
      <c r="A271" s="21" t="s">
        <v>768</v>
      </c>
      <c r="B271" s="37" t="s">
        <v>195</v>
      </c>
      <c r="C271" s="38" t="s">
        <v>769</v>
      </c>
      <c r="D271" s="37">
        <v>80</v>
      </c>
      <c r="E271" s="59" t="s">
        <v>10</v>
      </c>
      <c r="F271" s="39">
        <v>47000</v>
      </c>
      <c r="G271" s="39">
        <v>3760000</v>
      </c>
    </row>
    <row r="272" spans="1:7" x14ac:dyDescent="0.2">
      <c r="A272" s="21" t="s">
        <v>417</v>
      </c>
      <c r="B272" s="40" t="s">
        <v>513</v>
      </c>
      <c r="C272" s="41" t="s">
        <v>19</v>
      </c>
      <c r="D272" s="40"/>
      <c r="E272" s="60"/>
      <c r="F272" s="42"/>
      <c r="G272" s="42">
        <v>32000000</v>
      </c>
    </row>
    <row r="273" spans="1:7" x14ac:dyDescent="0.2">
      <c r="A273" s="21" t="s">
        <v>418</v>
      </c>
      <c r="B273" s="43" t="s">
        <v>195</v>
      </c>
      <c r="C273" s="44" t="s">
        <v>770</v>
      </c>
      <c r="D273" s="47">
        <v>8</v>
      </c>
      <c r="E273" s="61" t="s">
        <v>10</v>
      </c>
      <c r="F273" s="45">
        <v>4000000</v>
      </c>
      <c r="G273" s="45">
        <v>32000000</v>
      </c>
    </row>
    <row r="274" spans="1:7" x14ac:dyDescent="0.2">
      <c r="A274" s="21" t="s">
        <v>419</v>
      </c>
      <c r="B274" s="25" t="s">
        <v>196</v>
      </c>
      <c r="C274" s="26" t="s">
        <v>47</v>
      </c>
      <c r="D274" s="68"/>
      <c r="E274" s="55"/>
      <c r="F274" s="27"/>
      <c r="G274" s="27">
        <v>1000000000</v>
      </c>
    </row>
    <row r="275" spans="1:7" x14ac:dyDescent="0.2">
      <c r="A275" s="21" t="s">
        <v>420</v>
      </c>
      <c r="B275" s="28" t="s">
        <v>48</v>
      </c>
      <c r="C275" s="29" t="s">
        <v>615</v>
      </c>
      <c r="D275" s="28"/>
      <c r="E275" s="56"/>
      <c r="F275" s="30"/>
      <c r="G275" s="30">
        <v>1000000000</v>
      </c>
    </row>
    <row r="276" spans="1:7" ht="25.5" x14ac:dyDescent="0.2">
      <c r="A276" s="21" t="s">
        <v>421</v>
      </c>
      <c r="B276" s="43" t="s">
        <v>616</v>
      </c>
      <c r="C276" s="44" t="s">
        <v>49</v>
      </c>
      <c r="D276" s="47"/>
      <c r="E276" s="61"/>
      <c r="F276" s="45"/>
      <c r="G276" s="45">
        <v>1000000000</v>
      </c>
    </row>
    <row r="277" spans="1:7" x14ac:dyDescent="0.2">
      <c r="A277" s="21" t="s">
        <v>422</v>
      </c>
      <c r="B277" s="34" t="s">
        <v>502</v>
      </c>
      <c r="C277" s="35" t="s">
        <v>50</v>
      </c>
      <c r="D277" s="34"/>
      <c r="E277" s="58"/>
      <c r="F277" s="36"/>
      <c r="G277" s="36">
        <v>124100000</v>
      </c>
    </row>
    <row r="278" spans="1:7" x14ac:dyDescent="0.2">
      <c r="A278" s="21" t="s">
        <v>423</v>
      </c>
      <c r="B278" s="37" t="s">
        <v>8</v>
      </c>
      <c r="C278" s="38" t="s">
        <v>51</v>
      </c>
      <c r="D278" s="70"/>
      <c r="E278" s="59"/>
      <c r="F278" s="39"/>
      <c r="G278" s="39">
        <v>83135000</v>
      </c>
    </row>
    <row r="279" spans="1:7" x14ac:dyDescent="0.2">
      <c r="A279" s="21" t="s">
        <v>424</v>
      </c>
      <c r="B279" s="40" t="s">
        <v>503</v>
      </c>
      <c r="C279" s="41" t="s">
        <v>7</v>
      </c>
      <c r="D279" s="71"/>
      <c r="E279" s="60"/>
      <c r="F279" s="42"/>
      <c r="G279" s="42">
        <v>8375000</v>
      </c>
    </row>
    <row r="280" spans="1:7" x14ac:dyDescent="0.2">
      <c r="A280" s="21" t="s">
        <v>425</v>
      </c>
      <c r="B280" s="40" t="s">
        <v>195</v>
      </c>
      <c r="C280" s="41" t="s">
        <v>771</v>
      </c>
      <c r="D280" s="40">
        <v>65</v>
      </c>
      <c r="E280" s="60" t="s">
        <v>10</v>
      </c>
      <c r="F280" s="42">
        <v>75000</v>
      </c>
      <c r="G280" s="42">
        <v>4875000</v>
      </c>
    </row>
    <row r="281" spans="1:7" x14ac:dyDescent="0.2">
      <c r="A281" s="21" t="s">
        <v>426</v>
      </c>
      <c r="B281" s="43" t="s">
        <v>195</v>
      </c>
      <c r="C281" s="44" t="s">
        <v>617</v>
      </c>
      <c r="D281" s="47">
        <v>1</v>
      </c>
      <c r="E281" s="61" t="s">
        <v>106</v>
      </c>
      <c r="F281" s="45">
        <v>1000000</v>
      </c>
      <c r="G281" s="45">
        <v>1000000</v>
      </c>
    </row>
    <row r="282" spans="1:7" x14ac:dyDescent="0.2">
      <c r="A282" s="21" t="s">
        <v>427</v>
      </c>
      <c r="B282" s="40" t="s">
        <v>195</v>
      </c>
      <c r="C282" s="41" t="s">
        <v>619</v>
      </c>
      <c r="D282" s="40">
        <v>1</v>
      </c>
      <c r="E282" s="60" t="s">
        <v>106</v>
      </c>
      <c r="F282" s="42">
        <v>1000000</v>
      </c>
      <c r="G282" s="42">
        <v>1000000</v>
      </c>
    </row>
    <row r="283" spans="1:7" x14ac:dyDescent="0.2">
      <c r="A283" s="21" t="s">
        <v>428</v>
      </c>
      <c r="B283" s="43" t="s">
        <v>195</v>
      </c>
      <c r="C283" s="44" t="s">
        <v>620</v>
      </c>
      <c r="D283" s="47">
        <v>1</v>
      </c>
      <c r="E283" s="61" t="s">
        <v>106</v>
      </c>
      <c r="F283" s="45">
        <v>1500000</v>
      </c>
      <c r="G283" s="45">
        <v>1500000</v>
      </c>
    </row>
    <row r="284" spans="1:7" x14ac:dyDescent="0.2">
      <c r="A284" s="21" t="s">
        <v>772</v>
      </c>
      <c r="B284" s="40" t="s">
        <v>516</v>
      </c>
      <c r="C284" s="41" t="s">
        <v>11</v>
      </c>
      <c r="D284" s="40"/>
      <c r="E284" s="60"/>
      <c r="F284" s="42"/>
      <c r="G284" s="42">
        <v>1000000</v>
      </c>
    </row>
    <row r="285" spans="1:7" x14ac:dyDescent="0.2">
      <c r="A285" s="21" t="s">
        <v>773</v>
      </c>
      <c r="B285" s="40" t="s">
        <v>195</v>
      </c>
      <c r="C285" s="41" t="s">
        <v>774</v>
      </c>
      <c r="D285" s="40">
        <v>1</v>
      </c>
      <c r="E285" s="60" t="s">
        <v>54</v>
      </c>
      <c r="F285" s="42">
        <v>1000000</v>
      </c>
      <c r="G285" s="42">
        <v>1000000</v>
      </c>
    </row>
    <row r="286" spans="1:7" x14ac:dyDescent="0.2">
      <c r="A286" s="21" t="s">
        <v>429</v>
      </c>
      <c r="B286" s="40" t="s">
        <v>513</v>
      </c>
      <c r="C286" s="41" t="s">
        <v>19</v>
      </c>
      <c r="D286" s="71"/>
      <c r="E286" s="60"/>
      <c r="F286" s="42"/>
      <c r="G286" s="42">
        <v>73760000</v>
      </c>
    </row>
    <row r="287" spans="1:7" ht="25.5" x14ac:dyDescent="0.2">
      <c r="A287" s="21" t="s">
        <v>430</v>
      </c>
      <c r="B287" s="43" t="s">
        <v>195</v>
      </c>
      <c r="C287" s="44" t="s">
        <v>775</v>
      </c>
      <c r="D287" s="47">
        <v>12</v>
      </c>
      <c r="E287" s="61" t="s">
        <v>776</v>
      </c>
      <c r="F287" s="45">
        <v>6147000</v>
      </c>
      <c r="G287" s="45">
        <v>73760000</v>
      </c>
    </row>
    <row r="288" spans="1:7" x14ac:dyDescent="0.2">
      <c r="A288" s="21" t="s">
        <v>431</v>
      </c>
      <c r="B288" s="37" t="s">
        <v>511</v>
      </c>
      <c r="C288" s="38" t="s">
        <v>55</v>
      </c>
      <c r="D288" s="70"/>
      <c r="E288" s="59"/>
      <c r="F288" s="39"/>
      <c r="G288" s="39">
        <v>40965000</v>
      </c>
    </row>
    <row r="289" spans="1:7" x14ac:dyDescent="0.2">
      <c r="A289" s="21" t="s">
        <v>432</v>
      </c>
      <c r="B289" s="40" t="s">
        <v>503</v>
      </c>
      <c r="C289" s="41" t="s">
        <v>7</v>
      </c>
      <c r="D289" s="40"/>
      <c r="E289" s="60"/>
      <c r="F289" s="42"/>
      <c r="G289" s="42">
        <v>6725000</v>
      </c>
    </row>
    <row r="290" spans="1:7" x14ac:dyDescent="0.2">
      <c r="A290" s="21" t="s">
        <v>433</v>
      </c>
      <c r="B290" s="43" t="s">
        <v>195</v>
      </c>
      <c r="C290" s="44" t="s">
        <v>771</v>
      </c>
      <c r="D290" s="47">
        <v>43</v>
      </c>
      <c r="E290" s="61" t="s">
        <v>10</v>
      </c>
      <c r="F290" s="45">
        <v>75000</v>
      </c>
      <c r="G290" s="45">
        <v>3225000</v>
      </c>
    </row>
    <row r="291" spans="1:7" x14ac:dyDescent="0.2">
      <c r="A291" s="21" t="s">
        <v>434</v>
      </c>
      <c r="B291" s="40" t="s">
        <v>195</v>
      </c>
      <c r="C291" s="41" t="s">
        <v>617</v>
      </c>
      <c r="D291" s="40">
        <v>1</v>
      </c>
      <c r="E291" s="60" t="s">
        <v>106</v>
      </c>
      <c r="F291" s="42">
        <v>1000000</v>
      </c>
      <c r="G291" s="42">
        <v>1000000</v>
      </c>
    </row>
    <row r="292" spans="1:7" x14ac:dyDescent="0.2">
      <c r="A292" s="21" t="s">
        <v>435</v>
      </c>
      <c r="B292" s="43" t="s">
        <v>195</v>
      </c>
      <c r="C292" s="44" t="s">
        <v>619</v>
      </c>
      <c r="D292" s="47">
        <v>1</v>
      </c>
      <c r="E292" s="61" t="s">
        <v>106</v>
      </c>
      <c r="F292" s="45">
        <v>1000000</v>
      </c>
      <c r="G292" s="45">
        <v>1000000</v>
      </c>
    </row>
    <row r="293" spans="1:7" x14ac:dyDescent="0.2">
      <c r="A293" s="21" t="s">
        <v>436</v>
      </c>
      <c r="B293" s="43" t="s">
        <v>195</v>
      </c>
      <c r="C293" s="44" t="s">
        <v>620</v>
      </c>
      <c r="D293" s="47">
        <v>1</v>
      </c>
      <c r="E293" s="61" t="s">
        <v>106</v>
      </c>
      <c r="F293" s="45">
        <v>1500000</v>
      </c>
      <c r="G293" s="45">
        <v>1500000</v>
      </c>
    </row>
    <row r="294" spans="1:7" x14ac:dyDescent="0.2">
      <c r="A294" s="21" t="s">
        <v>777</v>
      </c>
      <c r="B294" s="40" t="s">
        <v>516</v>
      </c>
      <c r="C294" s="41" t="s">
        <v>11</v>
      </c>
      <c r="D294" s="40"/>
      <c r="E294" s="60"/>
      <c r="F294" s="42"/>
      <c r="G294" s="42">
        <v>1000000</v>
      </c>
    </row>
    <row r="295" spans="1:7" x14ac:dyDescent="0.2">
      <c r="A295" s="21" t="s">
        <v>778</v>
      </c>
      <c r="B295" s="43" t="s">
        <v>195</v>
      </c>
      <c r="C295" s="44" t="s">
        <v>774</v>
      </c>
      <c r="D295" s="47">
        <v>1</v>
      </c>
      <c r="E295" s="61" t="s">
        <v>54</v>
      </c>
      <c r="F295" s="45">
        <v>1000000</v>
      </c>
      <c r="G295" s="45">
        <v>1000000</v>
      </c>
    </row>
    <row r="296" spans="1:7" x14ac:dyDescent="0.2">
      <c r="A296" s="21" t="s">
        <v>437</v>
      </c>
      <c r="B296" s="40" t="s">
        <v>513</v>
      </c>
      <c r="C296" s="41" t="s">
        <v>19</v>
      </c>
      <c r="D296" s="40"/>
      <c r="E296" s="60"/>
      <c r="F296" s="42"/>
      <c r="G296" s="42">
        <v>33240000</v>
      </c>
    </row>
    <row r="297" spans="1:7" ht="25.5" x14ac:dyDescent="0.2">
      <c r="A297" s="21" t="s">
        <v>438</v>
      </c>
      <c r="B297" s="43" t="s">
        <v>195</v>
      </c>
      <c r="C297" s="44" t="s">
        <v>775</v>
      </c>
      <c r="D297" s="47">
        <v>12</v>
      </c>
      <c r="E297" s="61" t="s">
        <v>776</v>
      </c>
      <c r="F297" s="45">
        <v>2770000</v>
      </c>
      <c r="G297" s="45">
        <v>33240000</v>
      </c>
    </row>
    <row r="298" spans="1:7" ht="25.5" x14ac:dyDescent="0.2">
      <c r="A298" s="21" t="s">
        <v>439</v>
      </c>
      <c r="B298" s="34" t="s">
        <v>520</v>
      </c>
      <c r="C298" s="35" t="s">
        <v>57</v>
      </c>
      <c r="D298" s="34"/>
      <c r="E298" s="58"/>
      <c r="F298" s="36"/>
      <c r="G298" s="36">
        <v>54500000</v>
      </c>
    </row>
    <row r="299" spans="1:7" ht="25.5" x14ac:dyDescent="0.2">
      <c r="A299" s="21" t="s">
        <v>440</v>
      </c>
      <c r="B299" s="37" t="s">
        <v>8</v>
      </c>
      <c r="C299" s="38" t="s">
        <v>59</v>
      </c>
      <c r="D299" s="37"/>
      <c r="E299" s="59"/>
      <c r="F299" s="39"/>
      <c r="G299" s="39">
        <v>54500000</v>
      </c>
    </row>
    <row r="300" spans="1:7" x14ac:dyDescent="0.2">
      <c r="A300" s="21" t="s">
        <v>441</v>
      </c>
      <c r="B300" s="40" t="s">
        <v>503</v>
      </c>
      <c r="C300" s="41" t="s">
        <v>7</v>
      </c>
      <c r="D300" s="71"/>
      <c r="E300" s="60"/>
      <c r="F300" s="42"/>
      <c r="G300" s="42">
        <v>19225000</v>
      </c>
    </row>
    <row r="301" spans="1:7" x14ac:dyDescent="0.2">
      <c r="A301" s="7" t="s">
        <v>442</v>
      </c>
      <c r="B301" s="28" t="s">
        <v>195</v>
      </c>
      <c r="C301" s="29" t="s">
        <v>771</v>
      </c>
      <c r="D301" s="46">
        <v>23</v>
      </c>
      <c r="E301" s="56" t="s">
        <v>10</v>
      </c>
      <c r="F301" s="30">
        <v>75000</v>
      </c>
      <c r="G301" s="30">
        <v>1725000</v>
      </c>
    </row>
    <row r="302" spans="1:7" x14ac:dyDescent="0.2">
      <c r="A302" s="7" t="s">
        <v>443</v>
      </c>
      <c r="B302" s="31" t="s">
        <v>195</v>
      </c>
      <c r="C302" s="32" t="s">
        <v>617</v>
      </c>
      <c r="D302" s="31">
        <v>1</v>
      </c>
      <c r="E302" s="57" t="s">
        <v>106</v>
      </c>
      <c r="F302" s="33">
        <v>1000000</v>
      </c>
      <c r="G302" s="33">
        <v>1000000</v>
      </c>
    </row>
    <row r="303" spans="1:7" x14ac:dyDescent="0.2">
      <c r="A303" s="21" t="s">
        <v>444</v>
      </c>
      <c r="B303" s="34" t="s">
        <v>195</v>
      </c>
      <c r="C303" s="35" t="s">
        <v>619</v>
      </c>
      <c r="D303" s="34">
        <v>2</v>
      </c>
      <c r="E303" s="58" t="s">
        <v>106</v>
      </c>
      <c r="F303" s="36">
        <v>1000000</v>
      </c>
      <c r="G303" s="36">
        <v>2000000</v>
      </c>
    </row>
    <row r="304" spans="1:7" x14ac:dyDescent="0.2">
      <c r="A304" s="21" t="s">
        <v>445</v>
      </c>
      <c r="B304" s="37" t="s">
        <v>195</v>
      </c>
      <c r="C304" s="38" t="s">
        <v>620</v>
      </c>
      <c r="D304" s="37">
        <v>2</v>
      </c>
      <c r="E304" s="59" t="s">
        <v>106</v>
      </c>
      <c r="F304" s="39">
        <v>1500000</v>
      </c>
      <c r="G304" s="39">
        <v>3000000</v>
      </c>
    </row>
    <row r="305" spans="1:7" x14ac:dyDescent="0.2">
      <c r="A305" s="21" t="s">
        <v>446</v>
      </c>
      <c r="B305" s="40" t="s">
        <v>195</v>
      </c>
      <c r="C305" s="41" t="s">
        <v>779</v>
      </c>
      <c r="D305" s="40">
        <v>23</v>
      </c>
      <c r="E305" s="60" t="s">
        <v>176</v>
      </c>
      <c r="F305" s="42">
        <v>250000</v>
      </c>
      <c r="G305" s="42">
        <v>5750000</v>
      </c>
    </row>
    <row r="306" spans="1:7" x14ac:dyDescent="0.2">
      <c r="A306" s="21" t="s">
        <v>447</v>
      </c>
      <c r="B306" s="43" t="s">
        <v>195</v>
      </c>
      <c r="C306" s="44" t="s">
        <v>780</v>
      </c>
      <c r="D306" s="47">
        <v>23</v>
      </c>
      <c r="E306" s="61" t="s">
        <v>58</v>
      </c>
      <c r="F306" s="45">
        <v>250000</v>
      </c>
      <c r="G306" s="45">
        <v>5750000</v>
      </c>
    </row>
    <row r="307" spans="1:7" x14ac:dyDescent="0.2">
      <c r="A307" s="21" t="s">
        <v>448</v>
      </c>
      <c r="B307" s="40" t="s">
        <v>513</v>
      </c>
      <c r="C307" s="41" t="s">
        <v>19</v>
      </c>
      <c r="D307" s="71"/>
      <c r="E307" s="60"/>
      <c r="F307" s="42"/>
      <c r="G307" s="42">
        <v>35275000</v>
      </c>
    </row>
    <row r="308" spans="1:7" ht="25.5" x14ac:dyDescent="0.2">
      <c r="A308" s="21" t="s">
        <v>449</v>
      </c>
      <c r="B308" s="43" t="s">
        <v>195</v>
      </c>
      <c r="C308" s="44" t="s">
        <v>781</v>
      </c>
      <c r="D308" s="47">
        <v>10</v>
      </c>
      <c r="E308" s="61" t="s">
        <v>776</v>
      </c>
      <c r="F308" s="45">
        <v>3528000</v>
      </c>
      <c r="G308" s="45">
        <v>35275000</v>
      </c>
    </row>
    <row r="309" spans="1:7" x14ac:dyDescent="0.2">
      <c r="A309" s="21" t="s">
        <v>450</v>
      </c>
      <c r="B309" s="34" t="s">
        <v>523</v>
      </c>
      <c r="C309" s="35" t="s">
        <v>61</v>
      </c>
      <c r="D309" s="34"/>
      <c r="E309" s="58"/>
      <c r="F309" s="36"/>
      <c r="G309" s="36">
        <v>686300000</v>
      </c>
    </row>
    <row r="310" spans="1:7" x14ac:dyDescent="0.2">
      <c r="A310" s="21" t="s">
        <v>451</v>
      </c>
      <c r="B310" s="37" t="s">
        <v>8</v>
      </c>
      <c r="C310" s="38" t="s">
        <v>62</v>
      </c>
      <c r="D310" s="70"/>
      <c r="E310" s="59"/>
      <c r="F310" s="39"/>
      <c r="G310" s="39">
        <v>386924000</v>
      </c>
    </row>
    <row r="311" spans="1:7" x14ac:dyDescent="0.2">
      <c r="A311" s="21" t="s">
        <v>452</v>
      </c>
      <c r="B311" s="40" t="s">
        <v>503</v>
      </c>
      <c r="C311" s="41" t="s">
        <v>7</v>
      </c>
      <c r="D311" s="71"/>
      <c r="E311" s="60"/>
      <c r="F311" s="42"/>
      <c r="G311" s="42">
        <v>64900000</v>
      </c>
    </row>
    <row r="312" spans="1:7" x14ac:dyDescent="0.2">
      <c r="A312" s="21" t="s">
        <v>453</v>
      </c>
      <c r="B312" s="40" t="s">
        <v>195</v>
      </c>
      <c r="C312" s="41" t="s">
        <v>617</v>
      </c>
      <c r="D312" s="40">
        <v>12</v>
      </c>
      <c r="E312" s="60" t="s">
        <v>106</v>
      </c>
      <c r="F312" s="42">
        <v>1500000</v>
      </c>
      <c r="G312" s="42">
        <v>18000000</v>
      </c>
    </row>
    <row r="313" spans="1:7" x14ac:dyDescent="0.2">
      <c r="A313" s="21" t="s">
        <v>454</v>
      </c>
      <c r="B313" s="43" t="s">
        <v>195</v>
      </c>
      <c r="C313" s="44" t="s">
        <v>782</v>
      </c>
      <c r="D313" s="47">
        <v>100</v>
      </c>
      <c r="E313" s="61" t="s">
        <v>25</v>
      </c>
      <c r="F313" s="45">
        <v>69000</v>
      </c>
      <c r="G313" s="45">
        <v>6900000</v>
      </c>
    </row>
    <row r="314" spans="1:7" x14ac:dyDescent="0.2">
      <c r="A314" s="21" t="s">
        <v>783</v>
      </c>
      <c r="B314" s="37" t="s">
        <v>195</v>
      </c>
      <c r="C314" s="38" t="s">
        <v>784</v>
      </c>
      <c r="D314" s="37">
        <v>80</v>
      </c>
      <c r="E314" s="59" t="s">
        <v>58</v>
      </c>
      <c r="F314" s="39">
        <v>500000</v>
      </c>
      <c r="G314" s="39">
        <v>40000000</v>
      </c>
    </row>
    <row r="315" spans="1:7" x14ac:dyDescent="0.2">
      <c r="A315" s="21" t="s">
        <v>455</v>
      </c>
      <c r="B315" s="40" t="s">
        <v>533</v>
      </c>
      <c r="C315" s="41" t="s">
        <v>53</v>
      </c>
      <c r="D315" s="40"/>
      <c r="E315" s="60"/>
      <c r="F315" s="42"/>
      <c r="G315" s="42">
        <v>6000000</v>
      </c>
    </row>
    <row r="316" spans="1:7" x14ac:dyDescent="0.2">
      <c r="A316" s="21" t="s">
        <v>456</v>
      </c>
      <c r="B316" s="43" t="s">
        <v>195</v>
      </c>
      <c r="C316" s="44" t="s">
        <v>785</v>
      </c>
      <c r="D316" s="47">
        <v>4</v>
      </c>
      <c r="E316" s="61" t="s">
        <v>106</v>
      </c>
      <c r="F316" s="45">
        <v>250000</v>
      </c>
      <c r="G316" s="45">
        <v>1000000</v>
      </c>
    </row>
    <row r="317" spans="1:7" x14ac:dyDescent="0.2">
      <c r="A317" s="21" t="s">
        <v>457</v>
      </c>
      <c r="B317" s="43" t="s">
        <v>195</v>
      </c>
      <c r="C317" s="44" t="s">
        <v>786</v>
      </c>
      <c r="D317" s="47">
        <v>10</v>
      </c>
      <c r="E317" s="61" t="s">
        <v>106</v>
      </c>
      <c r="F317" s="45">
        <v>500000</v>
      </c>
      <c r="G317" s="45">
        <v>5000000</v>
      </c>
    </row>
    <row r="318" spans="1:7" x14ac:dyDescent="0.2">
      <c r="A318" s="21" t="s">
        <v>458</v>
      </c>
      <c r="B318" s="40" t="s">
        <v>537</v>
      </c>
      <c r="C318" s="41" t="s">
        <v>64</v>
      </c>
      <c r="D318" s="71"/>
      <c r="E318" s="60"/>
      <c r="F318" s="42"/>
      <c r="G318" s="42">
        <v>30000000</v>
      </c>
    </row>
    <row r="319" spans="1:7" x14ac:dyDescent="0.2">
      <c r="A319" s="21" t="s">
        <v>459</v>
      </c>
      <c r="B319" s="43" t="s">
        <v>195</v>
      </c>
      <c r="C319" s="44" t="s">
        <v>619</v>
      </c>
      <c r="D319" s="47">
        <v>12</v>
      </c>
      <c r="E319" s="61" t="s">
        <v>106</v>
      </c>
      <c r="F319" s="45">
        <v>1000000</v>
      </c>
      <c r="G319" s="45">
        <v>12000000</v>
      </c>
    </row>
    <row r="320" spans="1:7" x14ac:dyDescent="0.2">
      <c r="A320" s="21" t="s">
        <v>460</v>
      </c>
      <c r="B320" s="40" t="s">
        <v>195</v>
      </c>
      <c r="C320" s="41" t="s">
        <v>620</v>
      </c>
      <c r="D320" s="40">
        <v>12</v>
      </c>
      <c r="E320" s="60" t="s">
        <v>106</v>
      </c>
      <c r="F320" s="42">
        <v>1500000</v>
      </c>
      <c r="G320" s="42">
        <v>18000000</v>
      </c>
    </row>
    <row r="321" spans="1:7" x14ac:dyDescent="0.2">
      <c r="A321" s="21" t="s">
        <v>461</v>
      </c>
      <c r="B321" s="40" t="s">
        <v>516</v>
      </c>
      <c r="C321" s="41" t="s">
        <v>11</v>
      </c>
      <c r="D321" s="71"/>
      <c r="E321" s="60"/>
      <c r="F321" s="42"/>
      <c r="G321" s="42">
        <v>25200000</v>
      </c>
    </row>
    <row r="322" spans="1:7" x14ac:dyDescent="0.2">
      <c r="A322" s="21" t="s">
        <v>462</v>
      </c>
      <c r="B322" s="37" t="s">
        <v>195</v>
      </c>
      <c r="C322" s="38" t="s">
        <v>774</v>
      </c>
      <c r="D322" s="37">
        <v>28</v>
      </c>
      <c r="E322" s="59" t="s">
        <v>54</v>
      </c>
      <c r="F322" s="39">
        <v>900000</v>
      </c>
      <c r="G322" s="39">
        <v>25200000</v>
      </c>
    </row>
    <row r="323" spans="1:7" x14ac:dyDescent="0.2">
      <c r="A323" s="21" t="s">
        <v>463</v>
      </c>
      <c r="B323" s="40" t="s">
        <v>518</v>
      </c>
      <c r="C323" s="41" t="s">
        <v>24</v>
      </c>
      <c r="D323" s="40"/>
      <c r="E323" s="60"/>
      <c r="F323" s="42"/>
      <c r="G323" s="42">
        <v>6000000</v>
      </c>
    </row>
    <row r="324" spans="1:7" x14ac:dyDescent="0.2">
      <c r="A324" s="21" t="s">
        <v>464</v>
      </c>
      <c r="B324" s="43" t="s">
        <v>195</v>
      </c>
      <c r="C324" s="44" t="s">
        <v>787</v>
      </c>
      <c r="D324" s="47">
        <v>1</v>
      </c>
      <c r="E324" s="61" t="s">
        <v>60</v>
      </c>
      <c r="F324" s="45">
        <v>6000000</v>
      </c>
      <c r="G324" s="45">
        <v>6000000</v>
      </c>
    </row>
    <row r="325" spans="1:7" x14ac:dyDescent="0.2">
      <c r="A325" s="21" t="s">
        <v>465</v>
      </c>
      <c r="B325" s="40" t="s">
        <v>513</v>
      </c>
      <c r="C325" s="41" t="s">
        <v>19</v>
      </c>
      <c r="D325" s="71"/>
      <c r="E325" s="60"/>
      <c r="F325" s="42"/>
      <c r="G325" s="42">
        <v>253324000</v>
      </c>
    </row>
    <row r="326" spans="1:7" ht="25.5" x14ac:dyDescent="0.2">
      <c r="A326" s="21" t="s">
        <v>466</v>
      </c>
      <c r="B326" s="40" t="s">
        <v>195</v>
      </c>
      <c r="C326" s="41" t="s">
        <v>788</v>
      </c>
      <c r="D326" s="40">
        <v>44</v>
      </c>
      <c r="E326" s="60" t="s">
        <v>776</v>
      </c>
      <c r="F326" s="42">
        <v>5757000</v>
      </c>
      <c r="G326" s="42">
        <v>253324000</v>
      </c>
    </row>
    <row r="327" spans="1:7" x14ac:dyDescent="0.2">
      <c r="A327" s="21" t="s">
        <v>467</v>
      </c>
      <c r="B327" s="40" t="s">
        <v>507</v>
      </c>
      <c r="C327" s="41" t="s">
        <v>13</v>
      </c>
      <c r="D327" s="71"/>
      <c r="E327" s="60"/>
      <c r="F327" s="42"/>
      <c r="G327" s="42">
        <v>1500000</v>
      </c>
    </row>
    <row r="328" spans="1:7" x14ac:dyDescent="0.2">
      <c r="A328" s="21" t="s">
        <v>468</v>
      </c>
      <c r="B328" s="43" t="s">
        <v>195</v>
      </c>
      <c r="C328" s="44" t="s">
        <v>638</v>
      </c>
      <c r="D328" s="47">
        <v>10</v>
      </c>
      <c r="E328" s="61" t="s">
        <v>10</v>
      </c>
      <c r="F328" s="45">
        <v>150000</v>
      </c>
      <c r="G328" s="45">
        <v>1500000</v>
      </c>
    </row>
    <row r="329" spans="1:7" x14ac:dyDescent="0.2">
      <c r="A329" s="21" t="s">
        <v>469</v>
      </c>
      <c r="B329" s="37" t="s">
        <v>511</v>
      </c>
      <c r="C329" s="38" t="s">
        <v>65</v>
      </c>
      <c r="D329" s="37"/>
      <c r="E329" s="59"/>
      <c r="F329" s="39"/>
      <c r="G329" s="39">
        <v>247816000</v>
      </c>
    </row>
    <row r="330" spans="1:7" x14ac:dyDescent="0.2">
      <c r="A330" s="21" t="s">
        <v>470</v>
      </c>
      <c r="B330" s="40" t="s">
        <v>503</v>
      </c>
      <c r="C330" s="41" t="s">
        <v>7</v>
      </c>
      <c r="D330" s="71"/>
      <c r="E330" s="60"/>
      <c r="F330" s="42"/>
      <c r="G330" s="42">
        <v>71456000</v>
      </c>
    </row>
    <row r="331" spans="1:7" x14ac:dyDescent="0.2">
      <c r="A331" s="21" t="s">
        <v>471</v>
      </c>
      <c r="B331" s="37" t="s">
        <v>195</v>
      </c>
      <c r="C331" s="38" t="s">
        <v>782</v>
      </c>
      <c r="D331" s="37">
        <v>224</v>
      </c>
      <c r="E331" s="59" t="s">
        <v>25</v>
      </c>
      <c r="F331" s="39">
        <v>69000</v>
      </c>
      <c r="G331" s="39">
        <v>15456000</v>
      </c>
    </row>
    <row r="332" spans="1:7" x14ac:dyDescent="0.2">
      <c r="A332" s="21" t="s">
        <v>472</v>
      </c>
      <c r="B332" s="40" t="s">
        <v>195</v>
      </c>
      <c r="C332" s="41" t="s">
        <v>617</v>
      </c>
      <c r="D332" s="40">
        <v>4</v>
      </c>
      <c r="E332" s="60" t="s">
        <v>106</v>
      </c>
      <c r="F332" s="42">
        <v>1500000</v>
      </c>
      <c r="G332" s="42">
        <v>6000000</v>
      </c>
    </row>
    <row r="333" spans="1:7" x14ac:dyDescent="0.2">
      <c r="A333" s="21" t="s">
        <v>789</v>
      </c>
      <c r="B333" s="43" t="s">
        <v>195</v>
      </c>
      <c r="C333" s="44" t="s">
        <v>790</v>
      </c>
      <c r="D333" s="47">
        <v>100</v>
      </c>
      <c r="E333" s="61" t="s">
        <v>791</v>
      </c>
      <c r="F333" s="45">
        <v>500000</v>
      </c>
      <c r="G333" s="45">
        <v>50000000</v>
      </c>
    </row>
    <row r="334" spans="1:7" x14ac:dyDescent="0.2">
      <c r="A334" s="21" t="s">
        <v>473</v>
      </c>
      <c r="B334" s="40" t="s">
        <v>533</v>
      </c>
      <c r="C334" s="41" t="s">
        <v>53</v>
      </c>
      <c r="D334" s="71"/>
      <c r="E334" s="60"/>
      <c r="F334" s="42"/>
      <c r="G334" s="42">
        <v>5000000</v>
      </c>
    </row>
    <row r="335" spans="1:7" x14ac:dyDescent="0.2">
      <c r="A335" s="21" t="s">
        <v>474</v>
      </c>
      <c r="B335" s="40" t="s">
        <v>195</v>
      </c>
      <c r="C335" s="41" t="s">
        <v>785</v>
      </c>
      <c r="D335" s="40">
        <v>4</v>
      </c>
      <c r="E335" s="60" t="s">
        <v>106</v>
      </c>
      <c r="F335" s="42">
        <v>250000</v>
      </c>
      <c r="G335" s="42">
        <v>1000000</v>
      </c>
    </row>
    <row r="336" spans="1:7" x14ac:dyDescent="0.2">
      <c r="A336" s="21" t="s">
        <v>792</v>
      </c>
      <c r="B336" s="43" t="s">
        <v>195</v>
      </c>
      <c r="C336" s="44" t="s">
        <v>786</v>
      </c>
      <c r="D336" s="47">
        <v>8</v>
      </c>
      <c r="E336" s="61" t="s">
        <v>106</v>
      </c>
      <c r="F336" s="45">
        <v>500000</v>
      </c>
      <c r="G336" s="45">
        <v>4000000</v>
      </c>
    </row>
    <row r="337" spans="1:7" x14ac:dyDescent="0.2">
      <c r="A337" s="21" t="s">
        <v>475</v>
      </c>
      <c r="B337" s="40" t="s">
        <v>537</v>
      </c>
      <c r="C337" s="41" t="s">
        <v>64</v>
      </c>
      <c r="D337" s="71"/>
      <c r="E337" s="60"/>
      <c r="F337" s="42"/>
      <c r="G337" s="42">
        <v>15000000</v>
      </c>
    </row>
    <row r="338" spans="1:7" x14ac:dyDescent="0.2">
      <c r="A338" s="21" t="s">
        <v>476</v>
      </c>
      <c r="B338" s="40" t="s">
        <v>195</v>
      </c>
      <c r="C338" s="41" t="s">
        <v>619</v>
      </c>
      <c r="D338" s="40">
        <v>6</v>
      </c>
      <c r="E338" s="60" t="s">
        <v>106</v>
      </c>
      <c r="F338" s="42">
        <v>1000000</v>
      </c>
      <c r="G338" s="42">
        <v>6000000</v>
      </c>
    </row>
    <row r="339" spans="1:7" x14ac:dyDescent="0.2">
      <c r="A339" s="21" t="s">
        <v>477</v>
      </c>
      <c r="B339" s="43" t="s">
        <v>195</v>
      </c>
      <c r="C339" s="44" t="s">
        <v>620</v>
      </c>
      <c r="D339" s="47">
        <v>6</v>
      </c>
      <c r="E339" s="61" t="s">
        <v>106</v>
      </c>
      <c r="F339" s="45">
        <v>1500000</v>
      </c>
      <c r="G339" s="45">
        <v>9000000</v>
      </c>
    </row>
    <row r="340" spans="1:7" x14ac:dyDescent="0.2">
      <c r="A340" s="21" t="s">
        <v>478</v>
      </c>
      <c r="B340" s="40" t="s">
        <v>516</v>
      </c>
      <c r="C340" s="41" t="s">
        <v>11</v>
      </c>
      <c r="D340" s="40"/>
      <c r="E340" s="60"/>
      <c r="F340" s="42"/>
      <c r="G340" s="42">
        <v>16200000</v>
      </c>
    </row>
    <row r="341" spans="1:7" x14ac:dyDescent="0.2">
      <c r="A341" s="21" t="s">
        <v>479</v>
      </c>
      <c r="B341" s="40" t="s">
        <v>195</v>
      </c>
      <c r="C341" s="41" t="s">
        <v>774</v>
      </c>
      <c r="D341" s="40">
        <v>18</v>
      </c>
      <c r="E341" s="60" t="s">
        <v>54</v>
      </c>
      <c r="F341" s="42">
        <v>900000</v>
      </c>
      <c r="G341" s="42">
        <v>16200000</v>
      </c>
    </row>
    <row r="342" spans="1:7" x14ac:dyDescent="0.2">
      <c r="A342" s="21" t="s">
        <v>480</v>
      </c>
      <c r="B342" s="40" t="s">
        <v>518</v>
      </c>
      <c r="C342" s="41" t="s">
        <v>24</v>
      </c>
      <c r="D342" s="71"/>
      <c r="E342" s="60"/>
      <c r="F342" s="42"/>
      <c r="G342" s="42">
        <v>2000000</v>
      </c>
    </row>
    <row r="343" spans="1:7" x14ac:dyDescent="0.2">
      <c r="A343" s="21" t="s">
        <v>481</v>
      </c>
      <c r="B343" s="43" t="s">
        <v>195</v>
      </c>
      <c r="C343" s="44" t="s">
        <v>787</v>
      </c>
      <c r="D343" s="47">
        <v>1</v>
      </c>
      <c r="E343" s="61" t="s">
        <v>60</v>
      </c>
      <c r="F343" s="45">
        <v>2000000</v>
      </c>
      <c r="G343" s="45">
        <v>2000000</v>
      </c>
    </row>
    <row r="344" spans="1:7" x14ac:dyDescent="0.2">
      <c r="A344" s="21" t="s">
        <v>482</v>
      </c>
      <c r="B344" s="40" t="s">
        <v>513</v>
      </c>
      <c r="C344" s="41" t="s">
        <v>19</v>
      </c>
      <c r="D344" s="40"/>
      <c r="E344" s="60"/>
      <c r="F344" s="42"/>
      <c r="G344" s="42">
        <v>138160000</v>
      </c>
    </row>
    <row r="345" spans="1:7" x14ac:dyDescent="0.2">
      <c r="A345" s="21" t="s">
        <v>483</v>
      </c>
      <c r="B345" s="43" t="s">
        <v>195</v>
      </c>
      <c r="C345" s="44" t="s">
        <v>793</v>
      </c>
      <c r="D345" s="47">
        <v>22</v>
      </c>
      <c r="E345" s="61" t="s">
        <v>776</v>
      </c>
      <c r="F345" s="45">
        <v>6280000</v>
      </c>
      <c r="G345" s="45">
        <v>138160000</v>
      </c>
    </row>
    <row r="346" spans="1:7" x14ac:dyDescent="0.2">
      <c r="A346" s="21" t="s">
        <v>794</v>
      </c>
      <c r="B346" s="37" t="s">
        <v>512</v>
      </c>
      <c r="C346" s="38" t="s">
        <v>795</v>
      </c>
      <c r="D346" s="70"/>
      <c r="E346" s="59"/>
      <c r="F346" s="39"/>
      <c r="G346" s="39">
        <v>51560000</v>
      </c>
    </row>
    <row r="347" spans="1:7" x14ac:dyDescent="0.2">
      <c r="A347" s="21" t="s">
        <v>796</v>
      </c>
      <c r="B347" s="40" t="s">
        <v>503</v>
      </c>
      <c r="C347" s="41" t="s">
        <v>7</v>
      </c>
      <c r="D347" s="40"/>
      <c r="E347" s="60"/>
      <c r="F347" s="42"/>
      <c r="G347" s="42">
        <v>20830000</v>
      </c>
    </row>
    <row r="348" spans="1:7" x14ac:dyDescent="0.2">
      <c r="A348" s="21" t="s">
        <v>797</v>
      </c>
      <c r="B348" s="43" t="s">
        <v>195</v>
      </c>
      <c r="C348" s="44" t="s">
        <v>619</v>
      </c>
      <c r="D348" s="47">
        <v>4</v>
      </c>
      <c r="E348" s="61" t="s">
        <v>106</v>
      </c>
      <c r="F348" s="45">
        <v>1000000</v>
      </c>
      <c r="G348" s="45">
        <v>4000000</v>
      </c>
    </row>
    <row r="349" spans="1:7" x14ac:dyDescent="0.2">
      <c r="A349" s="21" t="s">
        <v>798</v>
      </c>
      <c r="B349" s="37" t="s">
        <v>195</v>
      </c>
      <c r="C349" s="38" t="s">
        <v>620</v>
      </c>
      <c r="D349" s="37">
        <v>4</v>
      </c>
      <c r="E349" s="59" t="s">
        <v>106</v>
      </c>
      <c r="F349" s="39">
        <v>1500000</v>
      </c>
      <c r="G349" s="39">
        <v>6000000</v>
      </c>
    </row>
    <row r="350" spans="1:7" x14ac:dyDescent="0.2">
      <c r="A350" s="21" t="s">
        <v>799</v>
      </c>
      <c r="B350" s="40" t="s">
        <v>195</v>
      </c>
      <c r="C350" s="41" t="s">
        <v>782</v>
      </c>
      <c r="D350" s="40">
        <v>70</v>
      </c>
      <c r="E350" s="60" t="s">
        <v>25</v>
      </c>
      <c r="F350" s="42">
        <v>69000</v>
      </c>
      <c r="G350" s="42">
        <v>4830000</v>
      </c>
    </row>
    <row r="351" spans="1:7" x14ac:dyDescent="0.2">
      <c r="A351" s="21" t="s">
        <v>800</v>
      </c>
      <c r="B351" s="43" t="s">
        <v>195</v>
      </c>
      <c r="C351" s="44" t="s">
        <v>617</v>
      </c>
      <c r="D351" s="47">
        <v>4</v>
      </c>
      <c r="E351" s="61" t="s">
        <v>106</v>
      </c>
      <c r="F351" s="45">
        <v>1500000</v>
      </c>
      <c r="G351" s="45">
        <v>6000000</v>
      </c>
    </row>
    <row r="352" spans="1:7" x14ac:dyDescent="0.2">
      <c r="A352" s="21" t="s">
        <v>801</v>
      </c>
      <c r="B352" s="40" t="s">
        <v>533</v>
      </c>
      <c r="C352" s="41" t="s">
        <v>53</v>
      </c>
      <c r="D352" s="71"/>
      <c r="E352" s="60"/>
      <c r="F352" s="42"/>
      <c r="G352" s="42">
        <v>500000</v>
      </c>
    </row>
    <row r="353" spans="1:7" x14ac:dyDescent="0.2">
      <c r="A353" s="21" t="s">
        <v>802</v>
      </c>
      <c r="B353" s="40" t="s">
        <v>195</v>
      </c>
      <c r="C353" s="41" t="s">
        <v>785</v>
      </c>
      <c r="D353" s="40">
        <v>2</v>
      </c>
      <c r="E353" s="60" t="s">
        <v>106</v>
      </c>
      <c r="F353" s="42">
        <v>250000</v>
      </c>
      <c r="G353" s="42">
        <v>500000</v>
      </c>
    </row>
    <row r="354" spans="1:7" x14ac:dyDescent="0.2">
      <c r="A354" s="21" t="s">
        <v>803</v>
      </c>
      <c r="B354" s="40" t="s">
        <v>516</v>
      </c>
      <c r="C354" s="41" t="s">
        <v>11</v>
      </c>
      <c r="D354" s="71"/>
      <c r="E354" s="60"/>
      <c r="F354" s="42"/>
      <c r="G354" s="42">
        <v>7200000</v>
      </c>
    </row>
    <row r="355" spans="1:7" x14ac:dyDescent="0.2">
      <c r="A355" s="21" t="s">
        <v>804</v>
      </c>
      <c r="B355" s="43" t="s">
        <v>195</v>
      </c>
      <c r="C355" s="44" t="s">
        <v>774</v>
      </c>
      <c r="D355" s="47">
        <v>8</v>
      </c>
      <c r="E355" s="61" t="s">
        <v>54</v>
      </c>
      <c r="F355" s="45">
        <v>900000</v>
      </c>
      <c r="G355" s="45">
        <v>7200000</v>
      </c>
    </row>
    <row r="356" spans="1:7" x14ac:dyDescent="0.2">
      <c r="A356" s="21" t="s">
        <v>805</v>
      </c>
      <c r="B356" s="40" t="s">
        <v>513</v>
      </c>
      <c r="C356" s="41" t="s">
        <v>19</v>
      </c>
      <c r="D356" s="40"/>
      <c r="E356" s="60"/>
      <c r="F356" s="42"/>
      <c r="G356" s="42">
        <v>23030000</v>
      </c>
    </row>
    <row r="357" spans="1:7" x14ac:dyDescent="0.2">
      <c r="A357" s="21" t="s">
        <v>806</v>
      </c>
      <c r="B357" s="43" t="s">
        <v>195</v>
      </c>
      <c r="C357" s="44" t="s">
        <v>807</v>
      </c>
      <c r="D357" s="47">
        <v>6</v>
      </c>
      <c r="E357" s="61" t="s">
        <v>776</v>
      </c>
      <c r="F357" s="45">
        <v>3838000</v>
      </c>
      <c r="G357" s="45">
        <v>23030000</v>
      </c>
    </row>
    <row r="358" spans="1:7" x14ac:dyDescent="0.2">
      <c r="A358" s="21" t="s">
        <v>484</v>
      </c>
      <c r="B358" s="34" t="s">
        <v>526</v>
      </c>
      <c r="C358" s="35" t="s">
        <v>67</v>
      </c>
      <c r="D358" s="34"/>
      <c r="E358" s="58"/>
      <c r="F358" s="36"/>
      <c r="G358" s="36">
        <v>135100000</v>
      </c>
    </row>
    <row r="359" spans="1:7" x14ac:dyDescent="0.2">
      <c r="A359" s="21" t="s">
        <v>485</v>
      </c>
      <c r="B359" s="37" t="s">
        <v>8</v>
      </c>
      <c r="C359" s="38" t="s">
        <v>68</v>
      </c>
      <c r="D359" s="70"/>
      <c r="E359" s="59"/>
      <c r="F359" s="39"/>
      <c r="G359" s="39">
        <v>135100000</v>
      </c>
    </row>
    <row r="360" spans="1:7" x14ac:dyDescent="0.2">
      <c r="A360" s="21" t="s">
        <v>486</v>
      </c>
      <c r="B360" s="40" t="s">
        <v>503</v>
      </c>
      <c r="C360" s="41" t="s">
        <v>7</v>
      </c>
      <c r="D360" s="40"/>
      <c r="E360" s="60"/>
      <c r="F360" s="42"/>
      <c r="G360" s="42">
        <v>21100000</v>
      </c>
    </row>
    <row r="361" spans="1:7" x14ac:dyDescent="0.2">
      <c r="A361" s="21" t="s">
        <v>487</v>
      </c>
      <c r="B361" s="37" t="s">
        <v>195</v>
      </c>
      <c r="C361" s="38" t="s">
        <v>617</v>
      </c>
      <c r="D361" s="37">
        <v>2</v>
      </c>
      <c r="E361" s="59" t="s">
        <v>106</v>
      </c>
      <c r="F361" s="39">
        <v>1500000</v>
      </c>
      <c r="G361" s="39">
        <v>3000000</v>
      </c>
    </row>
    <row r="362" spans="1:7" x14ac:dyDescent="0.2">
      <c r="A362" s="21" t="s">
        <v>488</v>
      </c>
      <c r="B362" s="40" t="s">
        <v>195</v>
      </c>
      <c r="C362" s="41" t="s">
        <v>808</v>
      </c>
      <c r="D362" s="40">
        <v>90</v>
      </c>
      <c r="E362" s="60" t="s">
        <v>25</v>
      </c>
      <c r="F362" s="42">
        <v>66000</v>
      </c>
      <c r="G362" s="42">
        <v>5900000</v>
      </c>
    </row>
    <row r="363" spans="1:7" x14ac:dyDescent="0.2">
      <c r="A363" s="21" t="s">
        <v>489</v>
      </c>
      <c r="B363" s="43" t="s">
        <v>195</v>
      </c>
      <c r="C363" s="44" t="s">
        <v>619</v>
      </c>
      <c r="D363" s="47">
        <v>2</v>
      </c>
      <c r="E363" s="61" t="s">
        <v>106</v>
      </c>
      <c r="F363" s="45">
        <v>1000000</v>
      </c>
      <c r="G363" s="45">
        <v>2000000</v>
      </c>
    </row>
    <row r="364" spans="1:7" x14ac:dyDescent="0.2">
      <c r="A364" s="21" t="s">
        <v>809</v>
      </c>
      <c r="B364" s="43" t="s">
        <v>195</v>
      </c>
      <c r="C364" s="44" t="s">
        <v>620</v>
      </c>
      <c r="D364" s="47">
        <v>2</v>
      </c>
      <c r="E364" s="61" t="s">
        <v>106</v>
      </c>
      <c r="F364" s="45">
        <v>1500000</v>
      </c>
      <c r="G364" s="45">
        <v>3000000</v>
      </c>
    </row>
    <row r="365" spans="1:7" x14ac:dyDescent="0.2">
      <c r="A365" s="21" t="s">
        <v>810</v>
      </c>
      <c r="B365" s="43" t="s">
        <v>195</v>
      </c>
      <c r="C365" s="44" t="s">
        <v>811</v>
      </c>
      <c r="D365" s="47">
        <v>36</v>
      </c>
      <c r="E365" s="61" t="s">
        <v>25</v>
      </c>
      <c r="F365" s="45">
        <v>200000</v>
      </c>
      <c r="G365" s="45">
        <v>7200000</v>
      </c>
    </row>
    <row r="366" spans="1:7" x14ac:dyDescent="0.2">
      <c r="A366" s="21" t="s">
        <v>490</v>
      </c>
      <c r="B366" s="40" t="s">
        <v>533</v>
      </c>
      <c r="C366" s="41" t="s">
        <v>53</v>
      </c>
      <c r="D366" s="71"/>
      <c r="E366" s="60"/>
      <c r="F366" s="42"/>
      <c r="G366" s="42">
        <v>1584000</v>
      </c>
    </row>
    <row r="367" spans="1:7" ht="25.5" x14ac:dyDescent="0.2">
      <c r="A367" s="21" t="s">
        <v>491</v>
      </c>
      <c r="B367" s="40" t="s">
        <v>195</v>
      </c>
      <c r="C367" s="41" t="s">
        <v>812</v>
      </c>
      <c r="D367" s="40">
        <v>36</v>
      </c>
      <c r="E367" s="60" t="s">
        <v>25</v>
      </c>
      <c r="F367" s="42">
        <v>44000</v>
      </c>
      <c r="G367" s="42">
        <v>1584000</v>
      </c>
    </row>
    <row r="368" spans="1:7" x14ac:dyDescent="0.2">
      <c r="A368" s="21" t="s">
        <v>492</v>
      </c>
      <c r="B368" s="40" t="s">
        <v>516</v>
      </c>
      <c r="C368" s="41" t="s">
        <v>11</v>
      </c>
      <c r="D368" s="71"/>
      <c r="E368" s="60"/>
      <c r="F368" s="42"/>
      <c r="G368" s="42">
        <v>10000000</v>
      </c>
    </row>
    <row r="369" spans="1:7" x14ac:dyDescent="0.2">
      <c r="A369" s="21" t="s">
        <v>493</v>
      </c>
      <c r="B369" s="40" t="s">
        <v>195</v>
      </c>
      <c r="C369" s="41" t="s">
        <v>774</v>
      </c>
      <c r="D369" s="40">
        <v>10</v>
      </c>
      <c r="E369" s="60" t="s">
        <v>54</v>
      </c>
      <c r="F369" s="42">
        <v>1000000</v>
      </c>
      <c r="G369" s="42">
        <v>10000000</v>
      </c>
    </row>
    <row r="370" spans="1:7" x14ac:dyDescent="0.2">
      <c r="A370" s="21" t="s">
        <v>813</v>
      </c>
      <c r="B370" s="40" t="s">
        <v>518</v>
      </c>
      <c r="C370" s="41" t="s">
        <v>24</v>
      </c>
      <c r="D370" s="71"/>
      <c r="E370" s="60"/>
      <c r="F370" s="42"/>
      <c r="G370" s="42">
        <v>5000000</v>
      </c>
    </row>
    <row r="371" spans="1:7" x14ac:dyDescent="0.2">
      <c r="A371" s="21" t="s">
        <v>814</v>
      </c>
      <c r="B371" s="34" t="s">
        <v>195</v>
      </c>
      <c r="C371" s="35" t="s">
        <v>815</v>
      </c>
      <c r="D371" s="34">
        <v>1</v>
      </c>
      <c r="E371" s="58" t="s">
        <v>153</v>
      </c>
      <c r="F371" s="36">
        <v>5000000</v>
      </c>
      <c r="G371" s="36">
        <v>5000000</v>
      </c>
    </row>
    <row r="372" spans="1:7" x14ac:dyDescent="0.2">
      <c r="A372" s="21" t="s">
        <v>816</v>
      </c>
      <c r="B372" s="40" t="s">
        <v>513</v>
      </c>
      <c r="C372" s="41" t="s">
        <v>19</v>
      </c>
      <c r="D372" s="40"/>
      <c r="E372" s="60"/>
      <c r="F372" s="42"/>
      <c r="G372" s="42">
        <v>97416000</v>
      </c>
    </row>
    <row r="373" spans="1:7" x14ac:dyDescent="0.2">
      <c r="A373" s="21" t="s">
        <v>817</v>
      </c>
      <c r="B373" s="40" t="s">
        <v>195</v>
      </c>
      <c r="C373" s="41" t="s">
        <v>818</v>
      </c>
      <c r="D373" s="40">
        <v>36</v>
      </c>
      <c r="E373" s="60" t="s">
        <v>776</v>
      </c>
      <c r="F373" s="42">
        <v>2706000</v>
      </c>
      <c r="G373" s="42">
        <v>97416000</v>
      </c>
    </row>
    <row r="374" spans="1:7" x14ac:dyDescent="0.2">
      <c r="A374" s="21" t="s">
        <v>69</v>
      </c>
      <c r="B374" s="22" t="s">
        <v>69</v>
      </c>
      <c r="C374" s="23" t="s">
        <v>70</v>
      </c>
      <c r="D374" s="67"/>
      <c r="E374" s="54"/>
      <c r="F374" s="24"/>
      <c r="G374" s="24">
        <v>90623782000</v>
      </c>
    </row>
    <row r="375" spans="1:7" ht="25.5" x14ac:dyDescent="0.2">
      <c r="A375" s="21" t="s">
        <v>494</v>
      </c>
      <c r="B375" s="25" t="s">
        <v>197</v>
      </c>
      <c r="C375" s="26" t="s">
        <v>71</v>
      </c>
      <c r="D375" s="68"/>
      <c r="E375" s="55"/>
      <c r="F375" s="27"/>
      <c r="G375" s="27">
        <v>82041282000</v>
      </c>
    </row>
    <row r="376" spans="1:7" x14ac:dyDescent="0.2">
      <c r="A376" s="21" t="s">
        <v>819</v>
      </c>
      <c r="B376" s="28" t="s">
        <v>820</v>
      </c>
      <c r="C376" s="29" t="s">
        <v>821</v>
      </c>
      <c r="D376" s="46"/>
      <c r="E376" s="56"/>
      <c r="F376" s="30"/>
      <c r="G376" s="30">
        <v>584676000</v>
      </c>
    </row>
    <row r="377" spans="1:7" ht="25.5" x14ac:dyDescent="0.2">
      <c r="A377" s="21" t="s">
        <v>822</v>
      </c>
      <c r="B377" s="43" t="s">
        <v>823</v>
      </c>
      <c r="C377" s="44" t="s">
        <v>824</v>
      </c>
      <c r="D377" s="47"/>
      <c r="E377" s="61"/>
      <c r="F377" s="45"/>
      <c r="G377" s="45">
        <v>584676000</v>
      </c>
    </row>
    <row r="378" spans="1:7" ht="25.5" x14ac:dyDescent="0.2">
      <c r="A378" s="21" t="s">
        <v>825</v>
      </c>
      <c r="B378" s="34" t="s">
        <v>826</v>
      </c>
      <c r="C378" s="35" t="s">
        <v>824</v>
      </c>
      <c r="D378" s="69"/>
      <c r="E378" s="58"/>
      <c r="F378" s="36"/>
      <c r="G378" s="36">
        <v>469676000</v>
      </c>
    </row>
    <row r="379" spans="1:7" x14ac:dyDescent="0.2">
      <c r="A379" s="21" t="s">
        <v>827</v>
      </c>
      <c r="B379" s="37" t="s">
        <v>8</v>
      </c>
      <c r="C379" s="38" t="s">
        <v>828</v>
      </c>
      <c r="D379" s="37"/>
      <c r="E379" s="59"/>
      <c r="F379" s="39"/>
      <c r="G379" s="39">
        <v>469676000</v>
      </c>
    </row>
    <row r="380" spans="1:7" x14ac:dyDescent="0.2">
      <c r="A380" s="21" t="s">
        <v>829</v>
      </c>
      <c r="B380" s="40" t="s">
        <v>528</v>
      </c>
      <c r="C380" s="41" t="s">
        <v>43</v>
      </c>
      <c r="D380" s="71"/>
      <c r="E380" s="60"/>
      <c r="F380" s="42"/>
      <c r="G380" s="42">
        <v>469676000</v>
      </c>
    </row>
    <row r="381" spans="1:7" ht="25.5" x14ac:dyDescent="0.2">
      <c r="A381" s="21" t="s">
        <v>830</v>
      </c>
      <c r="B381" s="40" t="s">
        <v>195</v>
      </c>
      <c r="C381" s="41" t="s">
        <v>831</v>
      </c>
      <c r="D381" s="40">
        <v>1</v>
      </c>
      <c r="E381" s="60" t="s">
        <v>106</v>
      </c>
      <c r="F381" s="42">
        <v>469676000</v>
      </c>
      <c r="G381" s="42">
        <v>469676000</v>
      </c>
    </row>
    <row r="382" spans="1:7" ht="25.5" x14ac:dyDescent="0.2">
      <c r="A382" s="21" t="s">
        <v>832</v>
      </c>
      <c r="B382" s="34" t="s">
        <v>833</v>
      </c>
      <c r="C382" s="35" t="s">
        <v>834</v>
      </c>
      <c r="D382" s="69"/>
      <c r="E382" s="58"/>
      <c r="F382" s="36"/>
      <c r="G382" s="36">
        <v>115000000</v>
      </c>
    </row>
    <row r="383" spans="1:7" x14ac:dyDescent="0.2">
      <c r="A383" s="21" t="s">
        <v>835</v>
      </c>
      <c r="B383" s="37" t="s">
        <v>8</v>
      </c>
      <c r="C383" s="38" t="s">
        <v>836</v>
      </c>
      <c r="D383" s="37"/>
      <c r="E383" s="59"/>
      <c r="F383" s="39"/>
      <c r="G383" s="39">
        <v>115000000</v>
      </c>
    </row>
    <row r="384" spans="1:7" x14ac:dyDescent="0.2">
      <c r="A384" s="21" t="s">
        <v>837</v>
      </c>
      <c r="B384" s="40" t="s">
        <v>528</v>
      </c>
      <c r="C384" s="41" t="s">
        <v>43</v>
      </c>
      <c r="D384" s="71"/>
      <c r="E384" s="60"/>
      <c r="F384" s="42"/>
      <c r="G384" s="42">
        <v>115000000</v>
      </c>
    </row>
    <row r="385" spans="1:7" x14ac:dyDescent="0.2">
      <c r="A385" s="21" t="s">
        <v>838</v>
      </c>
      <c r="B385" s="37" t="s">
        <v>195</v>
      </c>
      <c r="C385" s="38" t="s">
        <v>839</v>
      </c>
      <c r="D385" s="37">
        <v>1</v>
      </c>
      <c r="E385" s="59" t="s">
        <v>23</v>
      </c>
      <c r="F385" s="39">
        <v>115000000</v>
      </c>
      <c r="G385" s="39">
        <v>115000000</v>
      </c>
    </row>
    <row r="386" spans="1:7" x14ac:dyDescent="0.2">
      <c r="A386" s="21" t="s">
        <v>840</v>
      </c>
      <c r="B386" s="28" t="s">
        <v>841</v>
      </c>
      <c r="C386" s="29" t="s">
        <v>842</v>
      </c>
      <c r="D386" s="28"/>
      <c r="E386" s="56"/>
      <c r="F386" s="30"/>
      <c r="G386" s="30">
        <v>63693463000</v>
      </c>
    </row>
    <row r="387" spans="1:7" x14ac:dyDescent="0.2">
      <c r="A387" s="21" t="s">
        <v>843</v>
      </c>
      <c r="B387" s="43" t="s">
        <v>844</v>
      </c>
      <c r="C387" s="44" t="s">
        <v>845</v>
      </c>
      <c r="D387" s="47"/>
      <c r="E387" s="61"/>
      <c r="F387" s="45"/>
      <c r="G387" s="45">
        <v>1800000000</v>
      </c>
    </row>
    <row r="388" spans="1:7" ht="38.25" x14ac:dyDescent="0.2">
      <c r="A388" s="21" t="s">
        <v>846</v>
      </c>
      <c r="B388" s="34" t="s">
        <v>826</v>
      </c>
      <c r="C388" s="35" t="s">
        <v>847</v>
      </c>
      <c r="D388" s="34"/>
      <c r="E388" s="58"/>
      <c r="F388" s="36"/>
      <c r="G388" s="36">
        <v>1800000000</v>
      </c>
    </row>
    <row r="389" spans="1:7" ht="25.5" x14ac:dyDescent="0.2">
      <c r="A389" s="21" t="s">
        <v>848</v>
      </c>
      <c r="B389" s="37" t="s">
        <v>8</v>
      </c>
      <c r="C389" s="38" t="s">
        <v>849</v>
      </c>
      <c r="D389" s="70"/>
      <c r="E389" s="59"/>
      <c r="F389" s="39"/>
      <c r="G389" s="39">
        <v>227100000</v>
      </c>
    </row>
    <row r="390" spans="1:7" x14ac:dyDescent="0.2">
      <c r="A390" s="21" t="s">
        <v>850</v>
      </c>
      <c r="B390" s="40" t="s">
        <v>503</v>
      </c>
      <c r="C390" s="41" t="s">
        <v>7</v>
      </c>
      <c r="D390" s="71"/>
      <c r="E390" s="60"/>
      <c r="F390" s="42"/>
      <c r="G390" s="42">
        <v>4500000</v>
      </c>
    </row>
    <row r="391" spans="1:7" ht="38.25" x14ac:dyDescent="0.2">
      <c r="A391" s="21" t="s">
        <v>851</v>
      </c>
      <c r="B391" s="37" t="s">
        <v>195</v>
      </c>
      <c r="C391" s="38" t="s">
        <v>852</v>
      </c>
      <c r="D391" s="37">
        <v>9</v>
      </c>
      <c r="E391" s="59" t="s">
        <v>853</v>
      </c>
      <c r="F391" s="39">
        <v>250000</v>
      </c>
      <c r="G391" s="39">
        <v>2250000</v>
      </c>
    </row>
    <row r="392" spans="1:7" ht="25.5" x14ac:dyDescent="0.2">
      <c r="A392" s="21" t="s">
        <v>854</v>
      </c>
      <c r="B392" s="40" t="s">
        <v>195</v>
      </c>
      <c r="C392" s="41" t="s">
        <v>855</v>
      </c>
      <c r="D392" s="40">
        <v>9</v>
      </c>
      <c r="E392" s="60" t="s">
        <v>853</v>
      </c>
      <c r="F392" s="42">
        <v>250000</v>
      </c>
      <c r="G392" s="42">
        <v>2250000</v>
      </c>
    </row>
    <row r="393" spans="1:7" x14ac:dyDescent="0.2">
      <c r="A393" s="21" t="s">
        <v>856</v>
      </c>
      <c r="B393" s="40" t="s">
        <v>537</v>
      </c>
      <c r="C393" s="41" t="s">
        <v>64</v>
      </c>
      <c r="D393" s="71"/>
      <c r="E393" s="60"/>
      <c r="F393" s="42"/>
      <c r="G393" s="42">
        <v>24000000</v>
      </c>
    </row>
    <row r="394" spans="1:7" x14ac:dyDescent="0.2">
      <c r="A394" s="21" t="s">
        <v>857</v>
      </c>
      <c r="B394" s="43" t="s">
        <v>195</v>
      </c>
      <c r="C394" s="44" t="s">
        <v>619</v>
      </c>
      <c r="D394" s="47">
        <v>12</v>
      </c>
      <c r="E394" s="61" t="s">
        <v>52</v>
      </c>
      <c r="F394" s="45">
        <v>1000000</v>
      </c>
      <c r="G394" s="45">
        <v>12000000</v>
      </c>
    </row>
    <row r="395" spans="1:7" x14ac:dyDescent="0.2">
      <c r="A395" s="21" t="s">
        <v>858</v>
      </c>
      <c r="B395" s="43" t="s">
        <v>195</v>
      </c>
      <c r="C395" s="44" t="s">
        <v>859</v>
      </c>
      <c r="D395" s="47">
        <v>12</v>
      </c>
      <c r="E395" s="61" t="s">
        <v>52</v>
      </c>
      <c r="F395" s="45">
        <v>1000000</v>
      </c>
      <c r="G395" s="45">
        <v>12000000</v>
      </c>
    </row>
    <row r="396" spans="1:7" x14ac:dyDescent="0.2">
      <c r="A396" s="21" t="s">
        <v>860</v>
      </c>
      <c r="B396" s="40" t="s">
        <v>518</v>
      </c>
      <c r="C396" s="41" t="s">
        <v>24</v>
      </c>
      <c r="D396" s="71"/>
      <c r="E396" s="60"/>
      <c r="F396" s="42"/>
      <c r="G396" s="42">
        <v>5400000</v>
      </c>
    </row>
    <row r="397" spans="1:7" x14ac:dyDescent="0.2">
      <c r="A397" s="21" t="s">
        <v>861</v>
      </c>
      <c r="B397" s="43" t="s">
        <v>195</v>
      </c>
      <c r="C397" s="44" t="s">
        <v>862</v>
      </c>
      <c r="D397" s="47">
        <v>18</v>
      </c>
      <c r="E397" s="61" t="s">
        <v>25</v>
      </c>
      <c r="F397" s="45">
        <v>300000</v>
      </c>
      <c r="G397" s="45">
        <v>5400000</v>
      </c>
    </row>
    <row r="398" spans="1:7" x14ac:dyDescent="0.2">
      <c r="A398" s="21" t="s">
        <v>863</v>
      </c>
      <c r="B398" s="40" t="s">
        <v>513</v>
      </c>
      <c r="C398" s="41" t="s">
        <v>19</v>
      </c>
      <c r="D398" s="71"/>
      <c r="E398" s="60"/>
      <c r="F398" s="42"/>
      <c r="G398" s="42">
        <v>193200000</v>
      </c>
    </row>
    <row r="399" spans="1:7" ht="38.25" x14ac:dyDescent="0.2">
      <c r="A399" s="21" t="s">
        <v>864</v>
      </c>
      <c r="B399" s="43" t="s">
        <v>195</v>
      </c>
      <c r="C399" s="44" t="s">
        <v>865</v>
      </c>
      <c r="D399" s="47">
        <v>24</v>
      </c>
      <c r="E399" s="61" t="s">
        <v>25</v>
      </c>
      <c r="F399" s="45">
        <v>8050000</v>
      </c>
      <c r="G399" s="45">
        <v>193200000</v>
      </c>
    </row>
    <row r="400" spans="1:7" ht="25.5" x14ac:dyDescent="0.2">
      <c r="A400" s="21" t="s">
        <v>866</v>
      </c>
      <c r="B400" s="37" t="s">
        <v>511</v>
      </c>
      <c r="C400" s="38" t="s">
        <v>184</v>
      </c>
      <c r="D400" s="37"/>
      <c r="E400" s="59"/>
      <c r="F400" s="39"/>
      <c r="G400" s="39">
        <v>172320000</v>
      </c>
    </row>
    <row r="401" spans="1:7" x14ac:dyDescent="0.2">
      <c r="A401" s="21" t="s">
        <v>867</v>
      </c>
      <c r="B401" s="40" t="s">
        <v>503</v>
      </c>
      <c r="C401" s="41" t="s">
        <v>7</v>
      </c>
      <c r="D401" s="71"/>
      <c r="E401" s="60"/>
      <c r="F401" s="42"/>
      <c r="G401" s="42">
        <v>3120000</v>
      </c>
    </row>
    <row r="402" spans="1:7" x14ac:dyDescent="0.2">
      <c r="A402" s="21" t="s">
        <v>868</v>
      </c>
      <c r="B402" s="40" t="s">
        <v>195</v>
      </c>
      <c r="C402" s="41" t="s">
        <v>617</v>
      </c>
      <c r="D402" s="40">
        <v>10</v>
      </c>
      <c r="E402" s="60" t="s">
        <v>853</v>
      </c>
      <c r="F402" s="42">
        <v>312000</v>
      </c>
      <c r="G402" s="42">
        <v>3120000</v>
      </c>
    </row>
    <row r="403" spans="1:7" x14ac:dyDescent="0.2">
      <c r="A403" s="21" t="s">
        <v>869</v>
      </c>
      <c r="B403" s="40" t="s">
        <v>537</v>
      </c>
      <c r="C403" s="41" t="s">
        <v>64</v>
      </c>
      <c r="D403" s="71"/>
      <c r="E403" s="60"/>
      <c r="F403" s="42"/>
      <c r="G403" s="42">
        <v>24000000</v>
      </c>
    </row>
    <row r="404" spans="1:7" x14ac:dyDescent="0.2">
      <c r="A404" s="21" t="s">
        <v>870</v>
      </c>
      <c r="B404" s="37" t="s">
        <v>195</v>
      </c>
      <c r="C404" s="38" t="s">
        <v>619</v>
      </c>
      <c r="D404" s="37">
        <v>12</v>
      </c>
      <c r="E404" s="59" t="s">
        <v>52</v>
      </c>
      <c r="F404" s="39">
        <v>1000000</v>
      </c>
      <c r="G404" s="39">
        <v>12000000</v>
      </c>
    </row>
    <row r="405" spans="1:7" x14ac:dyDescent="0.2">
      <c r="A405" s="21" t="s">
        <v>871</v>
      </c>
      <c r="B405" s="40" t="s">
        <v>195</v>
      </c>
      <c r="C405" s="41" t="s">
        <v>859</v>
      </c>
      <c r="D405" s="40">
        <v>12</v>
      </c>
      <c r="E405" s="60" t="s">
        <v>52</v>
      </c>
      <c r="F405" s="42">
        <v>1000000</v>
      </c>
      <c r="G405" s="42">
        <v>12000000</v>
      </c>
    </row>
    <row r="406" spans="1:7" x14ac:dyDescent="0.2">
      <c r="A406" s="21" t="s">
        <v>872</v>
      </c>
      <c r="B406" s="40" t="s">
        <v>516</v>
      </c>
      <c r="C406" s="41" t="s">
        <v>11</v>
      </c>
      <c r="D406" s="71"/>
      <c r="E406" s="60"/>
      <c r="F406" s="42"/>
      <c r="G406" s="42">
        <v>10800000</v>
      </c>
    </row>
    <row r="407" spans="1:7" x14ac:dyDescent="0.2">
      <c r="A407" s="21" t="s">
        <v>873</v>
      </c>
      <c r="B407" s="43" t="s">
        <v>195</v>
      </c>
      <c r="C407" s="44" t="s">
        <v>874</v>
      </c>
      <c r="D407" s="47">
        <v>12</v>
      </c>
      <c r="E407" s="61" t="s">
        <v>54</v>
      </c>
      <c r="F407" s="45">
        <v>900000</v>
      </c>
      <c r="G407" s="45">
        <v>10800000</v>
      </c>
    </row>
    <row r="408" spans="1:7" x14ac:dyDescent="0.2">
      <c r="A408" s="21" t="s">
        <v>875</v>
      </c>
      <c r="B408" s="40" t="s">
        <v>518</v>
      </c>
      <c r="C408" s="41" t="s">
        <v>24</v>
      </c>
      <c r="D408" s="71"/>
      <c r="E408" s="60"/>
      <c r="F408" s="42"/>
      <c r="G408" s="42">
        <v>4800000</v>
      </c>
    </row>
    <row r="409" spans="1:7" x14ac:dyDescent="0.2">
      <c r="A409" s="21" t="s">
        <v>876</v>
      </c>
      <c r="B409" s="43" t="s">
        <v>195</v>
      </c>
      <c r="C409" s="44" t="s">
        <v>877</v>
      </c>
      <c r="D409" s="47">
        <v>16</v>
      </c>
      <c r="E409" s="61" t="s">
        <v>25</v>
      </c>
      <c r="F409" s="45">
        <v>300000</v>
      </c>
      <c r="G409" s="45">
        <v>4800000</v>
      </c>
    </row>
    <row r="410" spans="1:7" x14ac:dyDescent="0.2">
      <c r="A410" s="21" t="s">
        <v>878</v>
      </c>
      <c r="B410" s="40" t="s">
        <v>513</v>
      </c>
      <c r="C410" s="41" t="s">
        <v>19</v>
      </c>
      <c r="D410" s="40"/>
      <c r="E410" s="60"/>
      <c r="F410" s="42"/>
      <c r="G410" s="42">
        <v>126000000</v>
      </c>
    </row>
    <row r="411" spans="1:7" ht="38.25" x14ac:dyDescent="0.2">
      <c r="A411" s="21" t="s">
        <v>879</v>
      </c>
      <c r="B411" s="43" t="s">
        <v>195</v>
      </c>
      <c r="C411" s="44" t="s">
        <v>880</v>
      </c>
      <c r="D411" s="47">
        <v>18</v>
      </c>
      <c r="E411" s="61" t="s">
        <v>25</v>
      </c>
      <c r="F411" s="45">
        <v>7000000</v>
      </c>
      <c r="G411" s="45">
        <v>126000000</v>
      </c>
    </row>
    <row r="412" spans="1:7" x14ac:dyDescent="0.2">
      <c r="A412" s="21" t="s">
        <v>881</v>
      </c>
      <c r="B412" s="40" t="s">
        <v>507</v>
      </c>
      <c r="C412" s="41" t="s">
        <v>13</v>
      </c>
      <c r="D412" s="40"/>
      <c r="E412" s="60"/>
      <c r="F412" s="42"/>
      <c r="G412" s="42">
        <v>3600000</v>
      </c>
    </row>
    <row r="413" spans="1:7" ht="25.5" x14ac:dyDescent="0.2">
      <c r="A413" s="21" t="s">
        <v>882</v>
      </c>
      <c r="B413" s="43" t="s">
        <v>195</v>
      </c>
      <c r="C413" s="44" t="s">
        <v>883</v>
      </c>
      <c r="D413" s="47">
        <v>24</v>
      </c>
      <c r="E413" s="61" t="s">
        <v>73</v>
      </c>
      <c r="F413" s="45">
        <v>150000</v>
      </c>
      <c r="G413" s="45">
        <v>3600000</v>
      </c>
    </row>
    <row r="414" spans="1:7" ht="25.5" x14ac:dyDescent="0.2">
      <c r="A414" s="21" t="s">
        <v>884</v>
      </c>
      <c r="B414" s="37" t="s">
        <v>512</v>
      </c>
      <c r="C414" s="38" t="s">
        <v>185</v>
      </c>
      <c r="D414" s="37"/>
      <c r="E414" s="59"/>
      <c r="F414" s="39"/>
      <c r="G414" s="39">
        <v>447280000</v>
      </c>
    </row>
    <row r="415" spans="1:7" x14ac:dyDescent="0.2">
      <c r="A415" s="21" t="s">
        <v>885</v>
      </c>
      <c r="B415" s="40" t="s">
        <v>503</v>
      </c>
      <c r="C415" s="41" t="s">
        <v>7</v>
      </c>
      <c r="D415" s="40"/>
      <c r="E415" s="60"/>
      <c r="F415" s="42"/>
      <c r="G415" s="42">
        <v>10000000</v>
      </c>
    </row>
    <row r="416" spans="1:7" x14ac:dyDescent="0.2">
      <c r="A416" s="21" t="s">
        <v>886</v>
      </c>
      <c r="B416" s="43" t="s">
        <v>195</v>
      </c>
      <c r="C416" s="44" t="s">
        <v>617</v>
      </c>
      <c r="D416" s="47">
        <v>50</v>
      </c>
      <c r="E416" s="61" t="s">
        <v>853</v>
      </c>
      <c r="F416" s="45">
        <v>200000</v>
      </c>
      <c r="G416" s="45">
        <v>10000000</v>
      </c>
    </row>
    <row r="417" spans="1:7" ht="25.5" x14ac:dyDescent="0.2">
      <c r="A417" s="21" t="s">
        <v>887</v>
      </c>
      <c r="B417" s="40" t="s">
        <v>515</v>
      </c>
      <c r="C417" s="41" t="s">
        <v>642</v>
      </c>
      <c r="D417" s="71"/>
      <c r="E417" s="60"/>
      <c r="F417" s="42"/>
      <c r="G417" s="42">
        <v>22800000</v>
      </c>
    </row>
    <row r="418" spans="1:7" x14ac:dyDescent="0.2">
      <c r="A418" s="21" t="s">
        <v>888</v>
      </c>
      <c r="B418" s="43" t="s">
        <v>195</v>
      </c>
      <c r="C418" s="44" t="s">
        <v>889</v>
      </c>
      <c r="D418" s="47">
        <v>96</v>
      </c>
      <c r="E418" s="61" t="s">
        <v>25</v>
      </c>
      <c r="F418" s="45">
        <v>200000</v>
      </c>
      <c r="G418" s="45">
        <v>19200000</v>
      </c>
    </row>
    <row r="419" spans="1:7" ht="25.5" x14ac:dyDescent="0.2">
      <c r="A419" s="21" t="s">
        <v>890</v>
      </c>
      <c r="B419" s="43" t="s">
        <v>195</v>
      </c>
      <c r="C419" s="44" t="s">
        <v>891</v>
      </c>
      <c r="D419" s="47">
        <v>12</v>
      </c>
      <c r="E419" s="61" t="s">
        <v>106</v>
      </c>
      <c r="F419" s="45">
        <v>300000</v>
      </c>
      <c r="G419" s="45">
        <v>3600000</v>
      </c>
    </row>
    <row r="420" spans="1:7" x14ac:dyDescent="0.2">
      <c r="A420" s="21" t="s">
        <v>892</v>
      </c>
      <c r="B420" s="40" t="s">
        <v>537</v>
      </c>
      <c r="C420" s="41" t="s">
        <v>64</v>
      </c>
      <c r="D420" s="40"/>
      <c r="E420" s="60"/>
      <c r="F420" s="42"/>
      <c r="G420" s="42">
        <v>24000000</v>
      </c>
    </row>
    <row r="421" spans="1:7" x14ac:dyDescent="0.2">
      <c r="A421" s="21" t="s">
        <v>893</v>
      </c>
      <c r="B421" s="43" t="s">
        <v>195</v>
      </c>
      <c r="C421" s="44" t="s">
        <v>619</v>
      </c>
      <c r="D421" s="47">
        <v>12</v>
      </c>
      <c r="E421" s="61" t="s">
        <v>52</v>
      </c>
      <c r="F421" s="45">
        <v>1000000</v>
      </c>
      <c r="G421" s="45">
        <v>12000000</v>
      </c>
    </row>
    <row r="422" spans="1:7" x14ac:dyDescent="0.2">
      <c r="A422" s="21" t="s">
        <v>894</v>
      </c>
      <c r="B422" s="43" t="s">
        <v>195</v>
      </c>
      <c r="C422" s="44" t="s">
        <v>859</v>
      </c>
      <c r="D422" s="47">
        <v>12</v>
      </c>
      <c r="E422" s="61" t="s">
        <v>52</v>
      </c>
      <c r="F422" s="45">
        <v>1000000</v>
      </c>
      <c r="G422" s="45">
        <v>12000000</v>
      </c>
    </row>
    <row r="423" spans="1:7" x14ac:dyDescent="0.2">
      <c r="A423" s="21" t="s">
        <v>895</v>
      </c>
      <c r="B423" s="40" t="s">
        <v>516</v>
      </c>
      <c r="C423" s="41" t="s">
        <v>11</v>
      </c>
      <c r="D423" s="40"/>
      <c r="E423" s="60"/>
      <c r="F423" s="42"/>
      <c r="G423" s="42">
        <v>14400000</v>
      </c>
    </row>
    <row r="424" spans="1:7" x14ac:dyDescent="0.2">
      <c r="A424" s="21" t="s">
        <v>896</v>
      </c>
      <c r="B424" s="43" t="s">
        <v>195</v>
      </c>
      <c r="C424" s="44" t="s">
        <v>897</v>
      </c>
      <c r="D424" s="47">
        <v>16</v>
      </c>
      <c r="E424" s="61" t="s">
        <v>54</v>
      </c>
      <c r="F424" s="45">
        <v>900000</v>
      </c>
      <c r="G424" s="45">
        <v>14400000</v>
      </c>
    </row>
    <row r="425" spans="1:7" x14ac:dyDescent="0.2">
      <c r="A425" s="21" t="s">
        <v>898</v>
      </c>
      <c r="B425" s="40" t="s">
        <v>518</v>
      </c>
      <c r="C425" s="41" t="s">
        <v>24</v>
      </c>
      <c r="D425" s="40"/>
      <c r="E425" s="60"/>
      <c r="F425" s="42"/>
      <c r="G425" s="42">
        <v>4200000</v>
      </c>
    </row>
    <row r="426" spans="1:7" x14ac:dyDescent="0.2">
      <c r="A426" s="21" t="s">
        <v>899</v>
      </c>
      <c r="B426" s="43" t="s">
        <v>195</v>
      </c>
      <c r="C426" s="44" t="s">
        <v>900</v>
      </c>
      <c r="D426" s="47">
        <v>14</v>
      </c>
      <c r="E426" s="61" t="s">
        <v>25</v>
      </c>
      <c r="F426" s="45">
        <v>300000</v>
      </c>
      <c r="G426" s="45">
        <v>4200000</v>
      </c>
    </row>
    <row r="427" spans="1:7" x14ac:dyDescent="0.2">
      <c r="A427" s="21" t="s">
        <v>901</v>
      </c>
      <c r="B427" s="40" t="s">
        <v>513</v>
      </c>
      <c r="C427" s="41" t="s">
        <v>19</v>
      </c>
      <c r="D427" s="71"/>
      <c r="E427" s="60"/>
      <c r="F427" s="42"/>
      <c r="G427" s="42">
        <v>360000000</v>
      </c>
    </row>
    <row r="428" spans="1:7" ht="38.25" x14ac:dyDescent="0.2">
      <c r="A428" s="21" t="s">
        <v>902</v>
      </c>
      <c r="B428" s="40" t="s">
        <v>195</v>
      </c>
      <c r="C428" s="41" t="s">
        <v>903</v>
      </c>
      <c r="D428" s="40">
        <v>32</v>
      </c>
      <c r="E428" s="60" t="s">
        <v>25</v>
      </c>
      <c r="F428" s="42">
        <v>6000000</v>
      </c>
      <c r="G428" s="42">
        <v>192000000</v>
      </c>
    </row>
    <row r="429" spans="1:7" x14ac:dyDescent="0.2">
      <c r="A429" s="21" t="s">
        <v>904</v>
      </c>
      <c r="B429" s="43" t="s">
        <v>195</v>
      </c>
      <c r="C429" s="44" t="s">
        <v>905</v>
      </c>
      <c r="D429" s="47">
        <v>28</v>
      </c>
      <c r="E429" s="61" t="s">
        <v>25</v>
      </c>
      <c r="F429" s="45">
        <v>6000000</v>
      </c>
      <c r="G429" s="45">
        <v>168000000</v>
      </c>
    </row>
    <row r="430" spans="1:7" x14ac:dyDescent="0.2">
      <c r="A430" s="21" t="s">
        <v>906</v>
      </c>
      <c r="B430" s="40" t="s">
        <v>507</v>
      </c>
      <c r="C430" s="41" t="s">
        <v>13</v>
      </c>
      <c r="D430" s="40"/>
      <c r="E430" s="60"/>
      <c r="F430" s="42"/>
      <c r="G430" s="42">
        <v>5400000</v>
      </c>
    </row>
    <row r="431" spans="1:7" x14ac:dyDescent="0.2">
      <c r="A431" s="21" t="s">
        <v>907</v>
      </c>
      <c r="B431" s="40" t="s">
        <v>195</v>
      </c>
      <c r="C431" s="41" t="s">
        <v>908</v>
      </c>
      <c r="D431" s="40">
        <v>36</v>
      </c>
      <c r="E431" s="60" t="s">
        <v>73</v>
      </c>
      <c r="F431" s="42">
        <v>150000</v>
      </c>
      <c r="G431" s="42">
        <v>5400000</v>
      </c>
    </row>
    <row r="432" spans="1:7" x14ac:dyDescent="0.2">
      <c r="A432" s="21" t="s">
        <v>909</v>
      </c>
      <c r="B432" s="40" t="s">
        <v>509</v>
      </c>
      <c r="C432" s="41" t="s">
        <v>14</v>
      </c>
      <c r="D432" s="71"/>
      <c r="E432" s="60"/>
      <c r="F432" s="42"/>
      <c r="G432" s="42">
        <v>6480000</v>
      </c>
    </row>
    <row r="433" spans="1:7" ht="25.5" x14ac:dyDescent="0.2">
      <c r="A433" s="21" t="s">
        <v>910</v>
      </c>
      <c r="B433" s="40" t="s">
        <v>195</v>
      </c>
      <c r="C433" s="41" t="s">
        <v>911</v>
      </c>
      <c r="D433" s="40">
        <v>18</v>
      </c>
      <c r="E433" s="60" t="s">
        <v>73</v>
      </c>
      <c r="F433" s="42">
        <v>210000</v>
      </c>
      <c r="G433" s="42">
        <v>3780000</v>
      </c>
    </row>
    <row r="434" spans="1:7" x14ac:dyDescent="0.2">
      <c r="A434" s="21" t="s">
        <v>912</v>
      </c>
      <c r="B434" s="43" t="s">
        <v>195</v>
      </c>
      <c r="C434" s="44" t="s">
        <v>638</v>
      </c>
      <c r="D434" s="47">
        <v>18</v>
      </c>
      <c r="E434" s="61" t="s">
        <v>73</v>
      </c>
      <c r="F434" s="45">
        <v>150000</v>
      </c>
      <c r="G434" s="45">
        <v>2700000</v>
      </c>
    </row>
    <row r="435" spans="1:7" x14ac:dyDescent="0.2">
      <c r="A435" s="21" t="s">
        <v>913</v>
      </c>
      <c r="B435" s="37" t="s">
        <v>514</v>
      </c>
      <c r="C435" s="38" t="s">
        <v>914</v>
      </c>
      <c r="D435" s="70"/>
      <c r="E435" s="59"/>
      <c r="F435" s="39"/>
      <c r="G435" s="39">
        <v>339320000</v>
      </c>
    </row>
    <row r="436" spans="1:7" x14ac:dyDescent="0.2">
      <c r="A436" s="21" t="s">
        <v>915</v>
      </c>
      <c r="B436" s="40" t="s">
        <v>503</v>
      </c>
      <c r="C436" s="41" t="s">
        <v>7</v>
      </c>
      <c r="D436" s="71"/>
      <c r="E436" s="60"/>
      <c r="F436" s="42"/>
      <c r="G436" s="42">
        <v>50750000</v>
      </c>
    </row>
    <row r="437" spans="1:7" x14ac:dyDescent="0.2">
      <c r="A437" s="21" t="s">
        <v>916</v>
      </c>
      <c r="B437" s="43" t="s">
        <v>195</v>
      </c>
      <c r="C437" s="44" t="s">
        <v>619</v>
      </c>
      <c r="D437" s="47">
        <v>1</v>
      </c>
      <c r="E437" s="61" t="s">
        <v>52</v>
      </c>
      <c r="F437" s="45">
        <v>2500000</v>
      </c>
      <c r="G437" s="45">
        <v>2500000</v>
      </c>
    </row>
    <row r="438" spans="1:7" x14ac:dyDescent="0.2">
      <c r="A438" s="21" t="s">
        <v>917</v>
      </c>
      <c r="B438" s="40" t="s">
        <v>195</v>
      </c>
      <c r="C438" s="41" t="s">
        <v>859</v>
      </c>
      <c r="D438" s="40">
        <v>1</v>
      </c>
      <c r="E438" s="60" t="s">
        <v>52</v>
      </c>
      <c r="F438" s="42">
        <v>2500000</v>
      </c>
      <c r="G438" s="42">
        <v>2500000</v>
      </c>
    </row>
    <row r="439" spans="1:7" x14ac:dyDescent="0.2">
      <c r="A439" s="21" t="s">
        <v>918</v>
      </c>
      <c r="B439" s="43" t="s">
        <v>195</v>
      </c>
      <c r="C439" s="44" t="s">
        <v>617</v>
      </c>
      <c r="D439" s="47">
        <v>1</v>
      </c>
      <c r="E439" s="61" t="s">
        <v>52</v>
      </c>
      <c r="F439" s="45">
        <v>1000000</v>
      </c>
      <c r="G439" s="45">
        <v>1000000</v>
      </c>
    </row>
    <row r="440" spans="1:7" x14ac:dyDescent="0.2">
      <c r="A440" s="21" t="s">
        <v>919</v>
      </c>
      <c r="B440" s="40" t="s">
        <v>195</v>
      </c>
      <c r="C440" s="41" t="s">
        <v>920</v>
      </c>
      <c r="D440" s="40">
        <v>1</v>
      </c>
      <c r="E440" s="60" t="s">
        <v>52</v>
      </c>
      <c r="F440" s="42">
        <v>1000000</v>
      </c>
      <c r="G440" s="42">
        <v>1000000</v>
      </c>
    </row>
    <row r="441" spans="1:7" x14ac:dyDescent="0.2">
      <c r="A441" s="21" t="s">
        <v>921</v>
      </c>
      <c r="B441" s="43" t="s">
        <v>195</v>
      </c>
      <c r="C441" s="44" t="s">
        <v>922</v>
      </c>
      <c r="D441" s="47">
        <v>125</v>
      </c>
      <c r="E441" s="61" t="s">
        <v>52</v>
      </c>
      <c r="F441" s="45">
        <v>350000</v>
      </c>
      <c r="G441" s="45">
        <v>43750000</v>
      </c>
    </row>
    <row r="442" spans="1:7" x14ac:dyDescent="0.2">
      <c r="A442" s="21" t="s">
        <v>923</v>
      </c>
      <c r="B442" s="40" t="s">
        <v>516</v>
      </c>
      <c r="C442" s="41" t="s">
        <v>11</v>
      </c>
      <c r="D442" s="40"/>
      <c r="E442" s="60"/>
      <c r="F442" s="42"/>
      <c r="G442" s="42">
        <v>11200000</v>
      </c>
    </row>
    <row r="443" spans="1:7" x14ac:dyDescent="0.2">
      <c r="A443" s="21" t="s">
        <v>924</v>
      </c>
      <c r="B443" s="43" t="s">
        <v>195</v>
      </c>
      <c r="C443" s="44" t="s">
        <v>925</v>
      </c>
      <c r="D443" s="47">
        <v>4</v>
      </c>
      <c r="E443" s="61" t="s">
        <v>54</v>
      </c>
      <c r="F443" s="45">
        <v>1000000</v>
      </c>
      <c r="G443" s="45">
        <v>4000000</v>
      </c>
    </row>
    <row r="444" spans="1:7" ht="25.5" x14ac:dyDescent="0.2">
      <c r="A444" s="21" t="s">
        <v>926</v>
      </c>
      <c r="B444" s="37" t="s">
        <v>195</v>
      </c>
      <c r="C444" s="38" t="s">
        <v>927</v>
      </c>
      <c r="D444" s="37">
        <v>8</v>
      </c>
      <c r="E444" s="59" t="s">
        <v>25</v>
      </c>
      <c r="F444" s="39">
        <v>900000</v>
      </c>
      <c r="G444" s="39">
        <v>7200000</v>
      </c>
    </row>
    <row r="445" spans="1:7" x14ac:dyDescent="0.2">
      <c r="A445" s="21" t="s">
        <v>928</v>
      </c>
      <c r="B445" s="40" t="s">
        <v>513</v>
      </c>
      <c r="C445" s="41" t="s">
        <v>19</v>
      </c>
      <c r="D445" s="40"/>
      <c r="E445" s="60"/>
      <c r="F445" s="42"/>
      <c r="G445" s="42">
        <v>277370000</v>
      </c>
    </row>
    <row r="446" spans="1:7" x14ac:dyDescent="0.2">
      <c r="A446" s="21" t="s">
        <v>929</v>
      </c>
      <c r="B446" s="43" t="s">
        <v>195</v>
      </c>
      <c r="C446" s="44" t="s">
        <v>930</v>
      </c>
      <c r="D446" s="47">
        <v>500</v>
      </c>
      <c r="E446" s="61" t="s">
        <v>73</v>
      </c>
      <c r="F446" s="45">
        <v>430000</v>
      </c>
      <c r="G446" s="45">
        <v>215000000</v>
      </c>
    </row>
    <row r="447" spans="1:7" x14ac:dyDescent="0.2">
      <c r="A447" s="21" t="s">
        <v>931</v>
      </c>
      <c r="B447" s="43" t="s">
        <v>195</v>
      </c>
      <c r="C447" s="44" t="s">
        <v>932</v>
      </c>
      <c r="D447" s="47">
        <v>81</v>
      </c>
      <c r="E447" s="61" t="s">
        <v>73</v>
      </c>
      <c r="F447" s="45">
        <v>570000</v>
      </c>
      <c r="G447" s="45">
        <v>46170000</v>
      </c>
    </row>
    <row r="448" spans="1:7" ht="25.5" x14ac:dyDescent="0.2">
      <c r="A448" s="21" t="s">
        <v>933</v>
      </c>
      <c r="B448" s="43" t="s">
        <v>195</v>
      </c>
      <c r="C448" s="44" t="s">
        <v>934</v>
      </c>
      <c r="D448" s="47">
        <v>27</v>
      </c>
      <c r="E448" s="61" t="s">
        <v>25</v>
      </c>
      <c r="F448" s="45">
        <v>600000</v>
      </c>
      <c r="G448" s="45">
        <v>16200000</v>
      </c>
    </row>
    <row r="449" spans="1:7" ht="25.5" x14ac:dyDescent="0.2">
      <c r="A449" s="21" t="s">
        <v>935</v>
      </c>
      <c r="B449" s="37" t="s">
        <v>519</v>
      </c>
      <c r="C449" s="38" t="s">
        <v>186</v>
      </c>
      <c r="D449" s="37"/>
      <c r="E449" s="59"/>
      <c r="F449" s="39"/>
      <c r="G449" s="39">
        <v>230700000</v>
      </c>
    </row>
    <row r="450" spans="1:7" x14ac:dyDescent="0.2">
      <c r="A450" s="21" t="s">
        <v>936</v>
      </c>
      <c r="B450" s="40" t="s">
        <v>503</v>
      </c>
      <c r="C450" s="41" t="s">
        <v>7</v>
      </c>
      <c r="D450" s="71"/>
      <c r="E450" s="60"/>
      <c r="F450" s="42"/>
      <c r="G450" s="42">
        <v>3000000</v>
      </c>
    </row>
    <row r="451" spans="1:7" x14ac:dyDescent="0.2">
      <c r="A451" s="21" t="s">
        <v>937</v>
      </c>
      <c r="B451" s="43" t="s">
        <v>195</v>
      </c>
      <c r="C451" s="44" t="s">
        <v>617</v>
      </c>
      <c r="D451" s="47">
        <v>10</v>
      </c>
      <c r="E451" s="61" t="s">
        <v>52</v>
      </c>
      <c r="F451" s="45">
        <v>300000</v>
      </c>
      <c r="G451" s="45">
        <v>3000000</v>
      </c>
    </row>
    <row r="452" spans="1:7" x14ac:dyDescent="0.2">
      <c r="A452" s="21" t="s">
        <v>938</v>
      </c>
      <c r="B452" s="40" t="s">
        <v>537</v>
      </c>
      <c r="C452" s="41" t="s">
        <v>64</v>
      </c>
      <c r="D452" s="40"/>
      <c r="E452" s="60"/>
      <c r="F452" s="42"/>
      <c r="G452" s="42">
        <v>24000000</v>
      </c>
    </row>
    <row r="453" spans="1:7" x14ac:dyDescent="0.2">
      <c r="A453" s="21" t="s">
        <v>939</v>
      </c>
      <c r="B453" s="43" t="s">
        <v>195</v>
      </c>
      <c r="C453" s="44" t="s">
        <v>619</v>
      </c>
      <c r="D453" s="47">
        <v>12</v>
      </c>
      <c r="E453" s="61" t="s">
        <v>52</v>
      </c>
      <c r="F453" s="45">
        <v>1000000</v>
      </c>
      <c r="G453" s="45">
        <v>12000000</v>
      </c>
    </row>
    <row r="454" spans="1:7" x14ac:dyDescent="0.2">
      <c r="A454" s="21" t="s">
        <v>940</v>
      </c>
      <c r="B454" s="40" t="s">
        <v>195</v>
      </c>
      <c r="C454" s="41" t="s">
        <v>859</v>
      </c>
      <c r="D454" s="40">
        <v>12</v>
      </c>
      <c r="E454" s="60" t="s">
        <v>52</v>
      </c>
      <c r="F454" s="42">
        <v>1000000</v>
      </c>
      <c r="G454" s="42">
        <v>12000000</v>
      </c>
    </row>
    <row r="455" spans="1:7" x14ac:dyDescent="0.2">
      <c r="A455" s="21" t="s">
        <v>941</v>
      </c>
      <c r="B455" s="40" t="s">
        <v>516</v>
      </c>
      <c r="C455" s="41" t="s">
        <v>11</v>
      </c>
      <c r="D455" s="71"/>
      <c r="E455" s="60"/>
      <c r="F455" s="42"/>
      <c r="G455" s="42">
        <v>7200000</v>
      </c>
    </row>
    <row r="456" spans="1:7" ht="25.5" x14ac:dyDescent="0.2">
      <c r="A456" s="21" t="s">
        <v>942</v>
      </c>
      <c r="B456" s="40" t="s">
        <v>195</v>
      </c>
      <c r="C456" s="41" t="s">
        <v>943</v>
      </c>
      <c r="D456" s="40">
        <v>8</v>
      </c>
      <c r="E456" s="60" t="s">
        <v>54</v>
      </c>
      <c r="F456" s="42">
        <v>900000</v>
      </c>
      <c r="G456" s="42">
        <v>7200000</v>
      </c>
    </row>
    <row r="457" spans="1:7" x14ac:dyDescent="0.2">
      <c r="A457" s="21" t="s">
        <v>944</v>
      </c>
      <c r="B457" s="40" t="s">
        <v>518</v>
      </c>
      <c r="C457" s="41" t="s">
        <v>24</v>
      </c>
      <c r="D457" s="71"/>
      <c r="E457" s="60"/>
      <c r="F457" s="42"/>
      <c r="G457" s="42">
        <v>4500000</v>
      </c>
    </row>
    <row r="458" spans="1:7" x14ac:dyDescent="0.2">
      <c r="A458" s="21" t="s">
        <v>945</v>
      </c>
      <c r="B458" s="37" t="s">
        <v>195</v>
      </c>
      <c r="C458" s="38" t="s">
        <v>946</v>
      </c>
      <c r="D458" s="37">
        <v>15</v>
      </c>
      <c r="E458" s="59" t="s">
        <v>25</v>
      </c>
      <c r="F458" s="39">
        <v>300000</v>
      </c>
      <c r="G458" s="39">
        <v>4500000</v>
      </c>
    </row>
    <row r="459" spans="1:7" x14ac:dyDescent="0.2">
      <c r="A459" s="21" t="s">
        <v>947</v>
      </c>
      <c r="B459" s="40" t="s">
        <v>513</v>
      </c>
      <c r="C459" s="41" t="s">
        <v>19</v>
      </c>
      <c r="D459" s="40"/>
      <c r="E459" s="60"/>
      <c r="F459" s="42"/>
      <c r="G459" s="42">
        <v>192000000</v>
      </c>
    </row>
    <row r="460" spans="1:7" ht="38.25" x14ac:dyDescent="0.2">
      <c r="A460" s="21" t="s">
        <v>948</v>
      </c>
      <c r="B460" s="43" t="s">
        <v>195</v>
      </c>
      <c r="C460" s="44" t="s">
        <v>949</v>
      </c>
      <c r="D460" s="47">
        <v>12</v>
      </c>
      <c r="E460" s="61" t="s">
        <v>25</v>
      </c>
      <c r="F460" s="45">
        <v>8000000</v>
      </c>
      <c r="G460" s="45">
        <v>96000000</v>
      </c>
    </row>
    <row r="461" spans="1:7" ht="25.5" x14ac:dyDescent="0.2">
      <c r="A461" s="21" t="s">
        <v>950</v>
      </c>
      <c r="B461" s="43" t="s">
        <v>195</v>
      </c>
      <c r="C461" s="44" t="s">
        <v>951</v>
      </c>
      <c r="D461" s="47">
        <v>12</v>
      </c>
      <c r="E461" s="61" t="s">
        <v>25</v>
      </c>
      <c r="F461" s="45">
        <v>8000000</v>
      </c>
      <c r="G461" s="45">
        <v>96000000</v>
      </c>
    </row>
    <row r="462" spans="1:7" x14ac:dyDescent="0.2">
      <c r="A462" s="21" t="s">
        <v>952</v>
      </c>
      <c r="B462" s="37" t="s">
        <v>578</v>
      </c>
      <c r="C462" s="38" t="s">
        <v>953</v>
      </c>
      <c r="D462" s="70"/>
      <c r="E462" s="59"/>
      <c r="F462" s="39"/>
      <c r="G462" s="39">
        <v>269980000</v>
      </c>
    </row>
    <row r="463" spans="1:7" x14ac:dyDescent="0.2">
      <c r="A463" s="21" t="s">
        <v>954</v>
      </c>
      <c r="B463" s="40" t="s">
        <v>503</v>
      </c>
      <c r="C463" s="41" t="s">
        <v>7</v>
      </c>
      <c r="D463" s="71"/>
      <c r="E463" s="60"/>
      <c r="F463" s="42"/>
      <c r="G463" s="42">
        <v>50750000</v>
      </c>
    </row>
    <row r="464" spans="1:7" x14ac:dyDescent="0.2">
      <c r="A464" s="21" t="s">
        <v>955</v>
      </c>
      <c r="B464" s="40" t="s">
        <v>195</v>
      </c>
      <c r="C464" s="41" t="s">
        <v>619</v>
      </c>
      <c r="D464" s="40">
        <v>1</v>
      </c>
      <c r="E464" s="60" t="s">
        <v>52</v>
      </c>
      <c r="F464" s="42">
        <v>2500000</v>
      </c>
      <c r="G464" s="42">
        <v>2500000</v>
      </c>
    </row>
    <row r="465" spans="1:7" x14ac:dyDescent="0.2">
      <c r="A465" s="21" t="s">
        <v>956</v>
      </c>
      <c r="B465" s="43" t="s">
        <v>195</v>
      </c>
      <c r="C465" s="44" t="s">
        <v>859</v>
      </c>
      <c r="D465" s="47">
        <v>1</v>
      </c>
      <c r="E465" s="61" t="s">
        <v>52</v>
      </c>
      <c r="F465" s="45">
        <v>2500000</v>
      </c>
      <c r="G465" s="45">
        <v>2500000</v>
      </c>
    </row>
    <row r="466" spans="1:7" x14ac:dyDescent="0.2">
      <c r="A466" s="21" t="s">
        <v>957</v>
      </c>
      <c r="B466" s="43" t="s">
        <v>195</v>
      </c>
      <c r="C466" s="44" t="s">
        <v>617</v>
      </c>
      <c r="D466" s="47">
        <v>1</v>
      </c>
      <c r="E466" s="61" t="s">
        <v>52</v>
      </c>
      <c r="F466" s="45">
        <v>1000000</v>
      </c>
      <c r="G466" s="45">
        <v>1000000</v>
      </c>
    </row>
    <row r="467" spans="1:7" x14ac:dyDescent="0.2">
      <c r="A467" s="21" t="s">
        <v>958</v>
      </c>
      <c r="B467" s="40" t="s">
        <v>195</v>
      </c>
      <c r="C467" s="41" t="s">
        <v>920</v>
      </c>
      <c r="D467" s="40">
        <v>1</v>
      </c>
      <c r="E467" s="60" t="s">
        <v>52</v>
      </c>
      <c r="F467" s="42">
        <v>1000000</v>
      </c>
      <c r="G467" s="42">
        <v>1000000</v>
      </c>
    </row>
    <row r="468" spans="1:7" x14ac:dyDescent="0.2">
      <c r="A468" s="21" t="s">
        <v>959</v>
      </c>
      <c r="B468" s="43" t="s">
        <v>195</v>
      </c>
      <c r="C468" s="44" t="s">
        <v>922</v>
      </c>
      <c r="D468" s="47">
        <v>125</v>
      </c>
      <c r="E468" s="61" t="s">
        <v>52</v>
      </c>
      <c r="F468" s="45">
        <v>350000</v>
      </c>
      <c r="G468" s="45">
        <v>43750000</v>
      </c>
    </row>
    <row r="469" spans="1:7" x14ac:dyDescent="0.2">
      <c r="A469" s="21" t="s">
        <v>960</v>
      </c>
      <c r="B469" s="40" t="s">
        <v>516</v>
      </c>
      <c r="C469" s="41" t="s">
        <v>11</v>
      </c>
      <c r="D469" s="40"/>
      <c r="E469" s="60"/>
      <c r="F469" s="42"/>
      <c r="G469" s="42">
        <v>11000000</v>
      </c>
    </row>
    <row r="470" spans="1:7" x14ac:dyDescent="0.2">
      <c r="A470" s="21" t="s">
        <v>961</v>
      </c>
      <c r="B470" s="43" t="s">
        <v>195</v>
      </c>
      <c r="C470" s="44" t="s">
        <v>962</v>
      </c>
      <c r="D470" s="47">
        <v>2</v>
      </c>
      <c r="E470" s="61" t="s">
        <v>54</v>
      </c>
      <c r="F470" s="45">
        <v>1000000</v>
      </c>
      <c r="G470" s="45">
        <v>2000000</v>
      </c>
    </row>
    <row r="471" spans="1:7" ht="25.5" x14ac:dyDescent="0.2">
      <c r="A471" s="21" t="s">
        <v>963</v>
      </c>
      <c r="B471" s="40" t="s">
        <v>195</v>
      </c>
      <c r="C471" s="41" t="s">
        <v>964</v>
      </c>
      <c r="D471" s="40">
        <v>10</v>
      </c>
      <c r="E471" s="60" t="s">
        <v>54</v>
      </c>
      <c r="F471" s="42">
        <v>900000</v>
      </c>
      <c r="G471" s="42">
        <v>9000000</v>
      </c>
    </row>
    <row r="472" spans="1:7" x14ac:dyDescent="0.2">
      <c r="A472" s="21" t="s">
        <v>965</v>
      </c>
      <c r="B472" s="40" t="s">
        <v>513</v>
      </c>
      <c r="C472" s="41" t="s">
        <v>19</v>
      </c>
      <c r="D472" s="71"/>
      <c r="E472" s="60"/>
      <c r="F472" s="42"/>
      <c r="G472" s="42">
        <v>208230000</v>
      </c>
    </row>
    <row r="473" spans="1:7" ht="25.5" x14ac:dyDescent="0.2">
      <c r="A473" s="21" t="s">
        <v>966</v>
      </c>
      <c r="B473" s="40" t="s">
        <v>195</v>
      </c>
      <c r="C473" s="41" t="s">
        <v>967</v>
      </c>
      <c r="D473" s="40">
        <v>40</v>
      </c>
      <c r="E473" s="60" t="s">
        <v>73</v>
      </c>
      <c r="F473" s="42">
        <v>5206000</v>
      </c>
      <c r="G473" s="42">
        <v>208230000</v>
      </c>
    </row>
    <row r="474" spans="1:7" x14ac:dyDescent="0.2">
      <c r="A474" s="21" t="s">
        <v>968</v>
      </c>
      <c r="B474" s="37" t="s">
        <v>579</v>
      </c>
      <c r="C474" s="38" t="s">
        <v>187</v>
      </c>
      <c r="D474" s="70"/>
      <c r="E474" s="59"/>
      <c r="F474" s="39"/>
      <c r="G474" s="39">
        <v>113300000</v>
      </c>
    </row>
    <row r="475" spans="1:7" x14ac:dyDescent="0.2">
      <c r="A475" s="21" t="s">
        <v>969</v>
      </c>
      <c r="B475" s="40" t="s">
        <v>503</v>
      </c>
      <c r="C475" s="41" t="s">
        <v>7</v>
      </c>
      <c r="D475" s="40"/>
      <c r="E475" s="60"/>
      <c r="F475" s="42"/>
      <c r="G475" s="42">
        <v>5000000</v>
      </c>
    </row>
    <row r="476" spans="1:7" x14ac:dyDescent="0.2">
      <c r="A476" s="21" t="s">
        <v>970</v>
      </c>
      <c r="B476" s="40" t="s">
        <v>195</v>
      </c>
      <c r="C476" s="41" t="s">
        <v>617</v>
      </c>
      <c r="D476" s="40">
        <v>20</v>
      </c>
      <c r="E476" s="60" t="s">
        <v>853</v>
      </c>
      <c r="F476" s="42">
        <v>250000</v>
      </c>
      <c r="G476" s="42">
        <v>5000000</v>
      </c>
    </row>
    <row r="477" spans="1:7" x14ac:dyDescent="0.2">
      <c r="A477" s="21" t="s">
        <v>971</v>
      </c>
      <c r="B477" s="40" t="s">
        <v>537</v>
      </c>
      <c r="C477" s="41" t="s">
        <v>64</v>
      </c>
      <c r="D477" s="71"/>
      <c r="E477" s="60"/>
      <c r="F477" s="42"/>
      <c r="G477" s="42">
        <v>24000000</v>
      </c>
    </row>
    <row r="478" spans="1:7" x14ac:dyDescent="0.2">
      <c r="A478" s="21" t="s">
        <v>972</v>
      </c>
      <c r="B478" s="43" t="s">
        <v>195</v>
      </c>
      <c r="C478" s="44" t="s">
        <v>619</v>
      </c>
      <c r="D478" s="47">
        <v>12</v>
      </c>
      <c r="E478" s="61" t="s">
        <v>23</v>
      </c>
      <c r="F478" s="45">
        <v>1000000</v>
      </c>
      <c r="G478" s="45">
        <v>12000000</v>
      </c>
    </row>
    <row r="479" spans="1:7" x14ac:dyDescent="0.2">
      <c r="A479" s="21" t="s">
        <v>973</v>
      </c>
      <c r="B479" s="43" t="s">
        <v>195</v>
      </c>
      <c r="C479" s="44" t="s">
        <v>974</v>
      </c>
      <c r="D479" s="47">
        <v>12</v>
      </c>
      <c r="E479" s="61" t="s">
        <v>23</v>
      </c>
      <c r="F479" s="45">
        <v>1000000</v>
      </c>
      <c r="G479" s="45">
        <v>12000000</v>
      </c>
    </row>
    <row r="480" spans="1:7" x14ac:dyDescent="0.2">
      <c r="A480" s="21" t="s">
        <v>975</v>
      </c>
      <c r="B480" s="40" t="s">
        <v>516</v>
      </c>
      <c r="C480" s="41" t="s">
        <v>11</v>
      </c>
      <c r="D480" s="71"/>
      <c r="E480" s="60"/>
      <c r="F480" s="42"/>
      <c r="G480" s="42">
        <v>7200000</v>
      </c>
    </row>
    <row r="481" spans="1:7" ht="25.5" x14ac:dyDescent="0.2">
      <c r="A481" s="21" t="s">
        <v>976</v>
      </c>
      <c r="B481" s="40" t="s">
        <v>195</v>
      </c>
      <c r="C481" s="41" t="s">
        <v>977</v>
      </c>
      <c r="D481" s="40">
        <v>8</v>
      </c>
      <c r="E481" s="60" t="s">
        <v>54</v>
      </c>
      <c r="F481" s="42">
        <v>900000</v>
      </c>
      <c r="G481" s="42">
        <v>7200000</v>
      </c>
    </row>
    <row r="482" spans="1:7" x14ac:dyDescent="0.2">
      <c r="A482" s="21" t="s">
        <v>978</v>
      </c>
      <c r="B482" s="40" t="s">
        <v>518</v>
      </c>
      <c r="C482" s="41" t="s">
        <v>24</v>
      </c>
      <c r="D482" s="71"/>
      <c r="E482" s="60"/>
      <c r="F482" s="42"/>
      <c r="G482" s="42">
        <v>2400000</v>
      </c>
    </row>
    <row r="483" spans="1:7" x14ac:dyDescent="0.2">
      <c r="A483" s="21" t="s">
        <v>979</v>
      </c>
      <c r="B483" s="40" t="s">
        <v>195</v>
      </c>
      <c r="C483" s="41" t="s">
        <v>980</v>
      </c>
      <c r="D483" s="40">
        <v>8</v>
      </c>
      <c r="E483" s="60" t="s">
        <v>25</v>
      </c>
      <c r="F483" s="42">
        <v>300000</v>
      </c>
      <c r="G483" s="42">
        <v>2400000</v>
      </c>
    </row>
    <row r="484" spans="1:7" x14ac:dyDescent="0.2">
      <c r="A484" s="21" t="s">
        <v>981</v>
      </c>
      <c r="B484" s="40" t="s">
        <v>513</v>
      </c>
      <c r="C484" s="41" t="s">
        <v>19</v>
      </c>
      <c r="D484" s="71"/>
      <c r="E484" s="60"/>
      <c r="F484" s="42"/>
      <c r="G484" s="42">
        <v>72000000</v>
      </c>
    </row>
    <row r="485" spans="1:7" ht="25.5" x14ac:dyDescent="0.2">
      <c r="A485" s="21" t="s">
        <v>982</v>
      </c>
      <c r="B485" s="43" t="s">
        <v>195</v>
      </c>
      <c r="C485" s="44" t="s">
        <v>983</v>
      </c>
      <c r="D485" s="47">
        <v>12</v>
      </c>
      <c r="E485" s="61" t="s">
        <v>91</v>
      </c>
      <c r="F485" s="45">
        <v>6000000</v>
      </c>
      <c r="G485" s="45">
        <v>72000000</v>
      </c>
    </row>
    <row r="486" spans="1:7" x14ac:dyDescent="0.2">
      <c r="A486" s="21" t="s">
        <v>984</v>
      </c>
      <c r="B486" s="40" t="s">
        <v>507</v>
      </c>
      <c r="C486" s="41" t="s">
        <v>13</v>
      </c>
      <c r="D486" s="71"/>
      <c r="E486" s="60"/>
      <c r="F486" s="42"/>
      <c r="G486" s="42">
        <v>2700000</v>
      </c>
    </row>
    <row r="487" spans="1:7" x14ac:dyDescent="0.2">
      <c r="A487" s="7" t="s">
        <v>985</v>
      </c>
      <c r="B487" s="28" t="s">
        <v>195</v>
      </c>
      <c r="C487" s="29" t="s">
        <v>986</v>
      </c>
      <c r="D487" s="46">
        <v>18</v>
      </c>
      <c r="E487" s="56" t="s">
        <v>73</v>
      </c>
      <c r="F487" s="30">
        <v>150000</v>
      </c>
      <c r="G487" s="30">
        <v>2700000</v>
      </c>
    </row>
    <row r="488" spans="1:7" x14ac:dyDescent="0.2">
      <c r="A488" s="7" t="s">
        <v>987</v>
      </c>
      <c r="B488" s="31" t="s">
        <v>988</v>
      </c>
      <c r="C488" s="32" t="s">
        <v>989</v>
      </c>
      <c r="D488" s="31"/>
      <c r="E488" s="57"/>
      <c r="F488" s="33"/>
      <c r="G488" s="33">
        <v>600000000</v>
      </c>
    </row>
    <row r="489" spans="1:7" ht="25.5" x14ac:dyDescent="0.2">
      <c r="A489" s="21" t="s">
        <v>990</v>
      </c>
      <c r="B489" s="34" t="s">
        <v>826</v>
      </c>
      <c r="C489" s="35" t="s">
        <v>991</v>
      </c>
      <c r="D489" s="34"/>
      <c r="E489" s="58"/>
      <c r="F489" s="36"/>
      <c r="G489" s="36">
        <v>600000000</v>
      </c>
    </row>
    <row r="490" spans="1:7" x14ac:dyDescent="0.2">
      <c r="A490" s="21" t="s">
        <v>992</v>
      </c>
      <c r="B490" s="37" t="s">
        <v>8</v>
      </c>
      <c r="C490" s="38" t="s">
        <v>993</v>
      </c>
      <c r="D490" s="37"/>
      <c r="E490" s="59"/>
      <c r="F490" s="39"/>
      <c r="G490" s="39">
        <v>320190000</v>
      </c>
    </row>
    <row r="491" spans="1:7" x14ac:dyDescent="0.2">
      <c r="A491" s="21" t="s">
        <v>994</v>
      </c>
      <c r="B491" s="40" t="s">
        <v>503</v>
      </c>
      <c r="C491" s="41" t="s">
        <v>7</v>
      </c>
      <c r="D491" s="40"/>
      <c r="E491" s="60"/>
      <c r="F491" s="42"/>
      <c r="G491" s="42">
        <v>44990000</v>
      </c>
    </row>
    <row r="492" spans="1:7" x14ac:dyDescent="0.2">
      <c r="A492" s="21" t="s">
        <v>995</v>
      </c>
      <c r="B492" s="43" t="s">
        <v>195</v>
      </c>
      <c r="C492" s="44" t="s">
        <v>996</v>
      </c>
      <c r="D492" s="47">
        <v>10</v>
      </c>
      <c r="E492" s="61" t="s">
        <v>23</v>
      </c>
      <c r="F492" s="45">
        <v>1000000</v>
      </c>
      <c r="G492" s="45">
        <v>10000000</v>
      </c>
    </row>
    <row r="493" spans="1:7" x14ac:dyDescent="0.2">
      <c r="A493" s="21" t="s">
        <v>997</v>
      </c>
      <c r="B493" s="43" t="s">
        <v>195</v>
      </c>
      <c r="C493" s="44" t="s">
        <v>998</v>
      </c>
      <c r="D493" s="47">
        <v>200</v>
      </c>
      <c r="E493" s="61" t="s">
        <v>999</v>
      </c>
      <c r="F493" s="45">
        <v>175000</v>
      </c>
      <c r="G493" s="45">
        <v>34990000</v>
      </c>
    </row>
    <row r="494" spans="1:7" ht="25.5" x14ac:dyDescent="0.2">
      <c r="A494" s="21" t="s">
        <v>1000</v>
      </c>
      <c r="B494" s="40" t="s">
        <v>515</v>
      </c>
      <c r="C494" s="41" t="s">
        <v>642</v>
      </c>
      <c r="D494" s="71"/>
      <c r="E494" s="60"/>
      <c r="F494" s="42"/>
      <c r="G494" s="42">
        <v>19200000</v>
      </c>
    </row>
    <row r="495" spans="1:7" ht="25.5" x14ac:dyDescent="0.2">
      <c r="A495" s="21" t="s">
        <v>1001</v>
      </c>
      <c r="B495" s="43" t="s">
        <v>195</v>
      </c>
      <c r="C495" s="44" t="s">
        <v>1002</v>
      </c>
      <c r="D495" s="47">
        <v>96</v>
      </c>
      <c r="E495" s="61" t="s">
        <v>25</v>
      </c>
      <c r="F495" s="45">
        <v>200000</v>
      </c>
      <c r="G495" s="45">
        <v>19200000</v>
      </c>
    </row>
    <row r="496" spans="1:7" x14ac:dyDescent="0.2">
      <c r="A496" s="21" t="s">
        <v>1003</v>
      </c>
      <c r="B496" s="40" t="s">
        <v>537</v>
      </c>
      <c r="C496" s="41" t="s">
        <v>64</v>
      </c>
      <c r="D496" s="71"/>
      <c r="E496" s="60"/>
      <c r="F496" s="42"/>
      <c r="G496" s="42">
        <v>20000000</v>
      </c>
    </row>
    <row r="497" spans="1:7" x14ac:dyDescent="0.2">
      <c r="A497" s="21" t="s">
        <v>1004</v>
      </c>
      <c r="B497" s="40" t="s">
        <v>195</v>
      </c>
      <c r="C497" s="41" t="s">
        <v>619</v>
      </c>
      <c r="D497" s="40">
        <v>10</v>
      </c>
      <c r="E497" s="60" t="s">
        <v>23</v>
      </c>
      <c r="F497" s="42">
        <v>1000000</v>
      </c>
      <c r="G497" s="42">
        <v>10000000</v>
      </c>
    </row>
    <row r="498" spans="1:7" x14ac:dyDescent="0.2">
      <c r="A498" s="21" t="s">
        <v>1005</v>
      </c>
      <c r="B498" s="43" t="s">
        <v>195</v>
      </c>
      <c r="C498" s="44" t="s">
        <v>1006</v>
      </c>
      <c r="D498" s="47">
        <v>10</v>
      </c>
      <c r="E498" s="61" t="s">
        <v>23</v>
      </c>
      <c r="F498" s="45">
        <v>1000000</v>
      </c>
      <c r="G498" s="45">
        <v>10000000</v>
      </c>
    </row>
    <row r="499" spans="1:7" x14ac:dyDescent="0.2">
      <c r="A499" s="21" t="s">
        <v>1007</v>
      </c>
      <c r="B499" s="40" t="s">
        <v>516</v>
      </c>
      <c r="C499" s="41" t="s">
        <v>11</v>
      </c>
      <c r="D499" s="40"/>
      <c r="E499" s="60"/>
      <c r="F499" s="42"/>
      <c r="G499" s="42">
        <v>8000000</v>
      </c>
    </row>
    <row r="500" spans="1:7" x14ac:dyDescent="0.2">
      <c r="A500" s="21" t="s">
        <v>1008</v>
      </c>
      <c r="B500" s="43" t="s">
        <v>195</v>
      </c>
      <c r="C500" s="44" t="s">
        <v>1009</v>
      </c>
      <c r="D500" s="47">
        <v>8</v>
      </c>
      <c r="E500" s="61" t="s">
        <v>54</v>
      </c>
      <c r="F500" s="45">
        <v>1000000</v>
      </c>
      <c r="G500" s="45">
        <v>8000000</v>
      </c>
    </row>
    <row r="501" spans="1:7" x14ac:dyDescent="0.2">
      <c r="A501" s="21" t="s">
        <v>1010</v>
      </c>
      <c r="B501" s="40" t="s">
        <v>513</v>
      </c>
      <c r="C501" s="41" t="s">
        <v>19</v>
      </c>
      <c r="D501" s="40"/>
      <c r="E501" s="60"/>
      <c r="F501" s="42"/>
      <c r="G501" s="42">
        <v>220800000</v>
      </c>
    </row>
    <row r="502" spans="1:7" ht="38.25" x14ac:dyDescent="0.2">
      <c r="A502" s="21" t="s">
        <v>1011</v>
      </c>
      <c r="B502" s="43" t="s">
        <v>195</v>
      </c>
      <c r="C502" s="44" t="s">
        <v>1012</v>
      </c>
      <c r="D502" s="47">
        <v>46</v>
      </c>
      <c r="E502" s="61" t="s">
        <v>25</v>
      </c>
      <c r="F502" s="45">
        <v>4800000</v>
      </c>
      <c r="G502" s="45">
        <v>220800000</v>
      </c>
    </row>
    <row r="503" spans="1:7" x14ac:dyDescent="0.2">
      <c r="A503" s="21" t="s">
        <v>1013</v>
      </c>
      <c r="B503" s="40" t="s">
        <v>509</v>
      </c>
      <c r="C503" s="41" t="s">
        <v>14</v>
      </c>
      <c r="D503" s="40"/>
      <c r="E503" s="60"/>
      <c r="F503" s="42"/>
      <c r="G503" s="42">
        <v>7200000</v>
      </c>
    </row>
    <row r="504" spans="1:7" x14ac:dyDescent="0.2">
      <c r="A504" s="21" t="s">
        <v>1014</v>
      </c>
      <c r="B504" s="40" t="s">
        <v>195</v>
      </c>
      <c r="C504" s="41" t="s">
        <v>1015</v>
      </c>
      <c r="D504" s="40">
        <v>20</v>
      </c>
      <c r="E504" s="60" t="s">
        <v>25</v>
      </c>
      <c r="F504" s="42">
        <v>210000</v>
      </c>
      <c r="G504" s="42">
        <v>4200000</v>
      </c>
    </row>
    <row r="505" spans="1:7" x14ac:dyDescent="0.2">
      <c r="A505" s="21" t="s">
        <v>1016</v>
      </c>
      <c r="B505" s="43" t="s">
        <v>195</v>
      </c>
      <c r="C505" s="44" t="s">
        <v>630</v>
      </c>
      <c r="D505" s="47">
        <v>20</v>
      </c>
      <c r="E505" s="61" t="s">
        <v>73</v>
      </c>
      <c r="F505" s="45">
        <v>150000</v>
      </c>
      <c r="G505" s="45">
        <v>3000000</v>
      </c>
    </row>
    <row r="506" spans="1:7" x14ac:dyDescent="0.2">
      <c r="A506" s="21" t="s">
        <v>1017</v>
      </c>
      <c r="B506" s="37" t="s">
        <v>511</v>
      </c>
      <c r="C506" s="38" t="s">
        <v>158</v>
      </c>
      <c r="D506" s="70"/>
      <c r="E506" s="59"/>
      <c r="F506" s="39"/>
      <c r="G506" s="39">
        <v>279810000</v>
      </c>
    </row>
    <row r="507" spans="1:7" x14ac:dyDescent="0.2">
      <c r="A507" s="21" t="s">
        <v>1018</v>
      </c>
      <c r="B507" s="40" t="s">
        <v>503</v>
      </c>
      <c r="C507" s="41" t="s">
        <v>7</v>
      </c>
      <c r="D507" s="71"/>
      <c r="E507" s="60"/>
      <c r="F507" s="42"/>
      <c r="G507" s="42">
        <v>10000000</v>
      </c>
    </row>
    <row r="508" spans="1:7" x14ac:dyDescent="0.2">
      <c r="A508" s="21" t="s">
        <v>1019</v>
      </c>
      <c r="B508" s="43" t="s">
        <v>195</v>
      </c>
      <c r="C508" s="44" t="s">
        <v>1020</v>
      </c>
      <c r="D508" s="47">
        <v>10</v>
      </c>
      <c r="E508" s="61" t="s">
        <v>23</v>
      </c>
      <c r="F508" s="45">
        <v>1000000</v>
      </c>
      <c r="G508" s="45">
        <v>10000000</v>
      </c>
    </row>
    <row r="509" spans="1:7" x14ac:dyDescent="0.2">
      <c r="A509" s="21" t="s">
        <v>1021</v>
      </c>
      <c r="B509" s="40" t="s">
        <v>537</v>
      </c>
      <c r="C509" s="41" t="s">
        <v>64</v>
      </c>
      <c r="D509" s="71"/>
      <c r="E509" s="60"/>
      <c r="F509" s="42"/>
      <c r="G509" s="42">
        <v>20000000</v>
      </c>
    </row>
    <row r="510" spans="1:7" x14ac:dyDescent="0.2">
      <c r="A510" s="21" t="s">
        <v>1022</v>
      </c>
      <c r="B510" s="43" t="s">
        <v>195</v>
      </c>
      <c r="C510" s="44" t="s">
        <v>619</v>
      </c>
      <c r="D510" s="47">
        <v>10</v>
      </c>
      <c r="E510" s="61" t="s">
        <v>23</v>
      </c>
      <c r="F510" s="45">
        <v>1000000</v>
      </c>
      <c r="G510" s="45">
        <v>10000000</v>
      </c>
    </row>
    <row r="511" spans="1:7" x14ac:dyDescent="0.2">
      <c r="A511" s="21" t="s">
        <v>1023</v>
      </c>
      <c r="B511" s="43" t="s">
        <v>195</v>
      </c>
      <c r="C511" s="44" t="s">
        <v>1006</v>
      </c>
      <c r="D511" s="47">
        <v>10</v>
      </c>
      <c r="E511" s="61" t="s">
        <v>23</v>
      </c>
      <c r="F511" s="45">
        <v>1000000</v>
      </c>
      <c r="G511" s="45">
        <v>10000000</v>
      </c>
    </row>
    <row r="512" spans="1:7" x14ac:dyDescent="0.2">
      <c r="A512" s="21" t="s">
        <v>1024</v>
      </c>
      <c r="B512" s="40" t="s">
        <v>516</v>
      </c>
      <c r="C512" s="41" t="s">
        <v>11</v>
      </c>
      <c r="D512" s="40"/>
      <c r="E512" s="60"/>
      <c r="F512" s="42"/>
      <c r="G512" s="42">
        <v>21600000</v>
      </c>
    </row>
    <row r="513" spans="1:7" x14ac:dyDescent="0.2">
      <c r="A513" s="21" t="s">
        <v>1025</v>
      </c>
      <c r="B513" s="43" t="s">
        <v>195</v>
      </c>
      <c r="C513" s="44" t="s">
        <v>1026</v>
      </c>
      <c r="D513" s="47">
        <v>6</v>
      </c>
      <c r="E513" s="61" t="s">
        <v>25</v>
      </c>
      <c r="F513" s="45">
        <v>1800000</v>
      </c>
      <c r="G513" s="45">
        <v>10800000</v>
      </c>
    </row>
    <row r="514" spans="1:7" x14ac:dyDescent="0.2">
      <c r="A514" s="21" t="s">
        <v>1027</v>
      </c>
      <c r="B514" s="43" t="s">
        <v>195</v>
      </c>
      <c r="C514" s="44" t="s">
        <v>1028</v>
      </c>
      <c r="D514" s="47">
        <v>6</v>
      </c>
      <c r="E514" s="61" t="s">
        <v>25</v>
      </c>
      <c r="F514" s="45">
        <v>1800000</v>
      </c>
      <c r="G514" s="45">
        <v>10800000</v>
      </c>
    </row>
    <row r="515" spans="1:7" x14ac:dyDescent="0.2">
      <c r="A515" s="21" t="s">
        <v>1029</v>
      </c>
      <c r="B515" s="40" t="s">
        <v>513</v>
      </c>
      <c r="C515" s="41" t="s">
        <v>19</v>
      </c>
      <c r="D515" s="40"/>
      <c r="E515" s="60"/>
      <c r="F515" s="42"/>
      <c r="G515" s="42">
        <v>223680000</v>
      </c>
    </row>
    <row r="516" spans="1:7" ht="25.5" x14ac:dyDescent="0.2">
      <c r="A516" s="21" t="s">
        <v>1030</v>
      </c>
      <c r="B516" s="43" t="s">
        <v>195</v>
      </c>
      <c r="C516" s="44" t="s">
        <v>1031</v>
      </c>
      <c r="D516" s="47">
        <v>48</v>
      </c>
      <c r="E516" s="61" t="s">
        <v>25</v>
      </c>
      <c r="F516" s="45">
        <v>4660000</v>
      </c>
      <c r="G516" s="45">
        <v>223680000</v>
      </c>
    </row>
    <row r="517" spans="1:7" x14ac:dyDescent="0.2">
      <c r="A517" s="21" t="s">
        <v>1032</v>
      </c>
      <c r="B517" s="40" t="s">
        <v>509</v>
      </c>
      <c r="C517" s="41" t="s">
        <v>14</v>
      </c>
      <c r="D517" s="40"/>
      <c r="E517" s="60"/>
      <c r="F517" s="42"/>
      <c r="G517" s="42">
        <v>4530000</v>
      </c>
    </row>
    <row r="518" spans="1:7" x14ac:dyDescent="0.2">
      <c r="A518" s="21" t="s">
        <v>1033</v>
      </c>
      <c r="B518" s="43" t="s">
        <v>195</v>
      </c>
      <c r="C518" s="44" t="s">
        <v>1015</v>
      </c>
      <c r="D518" s="47">
        <v>13</v>
      </c>
      <c r="E518" s="61" t="s">
        <v>25</v>
      </c>
      <c r="F518" s="45">
        <v>210000</v>
      </c>
      <c r="G518" s="45">
        <v>2730000</v>
      </c>
    </row>
    <row r="519" spans="1:7" x14ac:dyDescent="0.2">
      <c r="A519" s="21" t="s">
        <v>1034</v>
      </c>
      <c r="B519" s="37" t="s">
        <v>195</v>
      </c>
      <c r="C519" s="38" t="s">
        <v>630</v>
      </c>
      <c r="D519" s="37">
        <v>12</v>
      </c>
      <c r="E519" s="59" t="s">
        <v>73</v>
      </c>
      <c r="F519" s="39">
        <v>150000</v>
      </c>
      <c r="G519" s="39">
        <v>1800000</v>
      </c>
    </row>
    <row r="520" spans="1:7" x14ac:dyDescent="0.2">
      <c r="A520" s="21" t="s">
        <v>1035</v>
      </c>
      <c r="B520" s="40" t="s">
        <v>1036</v>
      </c>
      <c r="C520" s="41" t="s">
        <v>1037</v>
      </c>
      <c r="D520" s="40"/>
      <c r="E520" s="60"/>
      <c r="F520" s="42"/>
      <c r="G520" s="42">
        <v>5353780000</v>
      </c>
    </row>
    <row r="521" spans="1:7" ht="25.5" x14ac:dyDescent="0.2">
      <c r="A521" s="21" t="s">
        <v>1038</v>
      </c>
      <c r="B521" s="34" t="s">
        <v>826</v>
      </c>
      <c r="C521" s="35" t="s">
        <v>1039</v>
      </c>
      <c r="D521" s="69"/>
      <c r="E521" s="58"/>
      <c r="F521" s="36"/>
      <c r="G521" s="36">
        <v>1900000000</v>
      </c>
    </row>
    <row r="522" spans="1:7" ht="25.5" x14ac:dyDescent="0.2">
      <c r="A522" s="21" t="s">
        <v>1040</v>
      </c>
      <c r="B522" s="37" t="s">
        <v>8</v>
      </c>
      <c r="C522" s="38" t="s">
        <v>1041</v>
      </c>
      <c r="D522" s="70"/>
      <c r="E522" s="59"/>
      <c r="F522" s="39"/>
      <c r="G522" s="39">
        <v>1900000000</v>
      </c>
    </row>
    <row r="523" spans="1:7" x14ac:dyDescent="0.2">
      <c r="A523" s="21" t="s">
        <v>1042</v>
      </c>
      <c r="B523" s="40" t="s">
        <v>503</v>
      </c>
      <c r="C523" s="41" t="s">
        <v>7</v>
      </c>
      <c r="D523" s="71"/>
      <c r="E523" s="60"/>
      <c r="F523" s="42"/>
      <c r="G523" s="42">
        <v>600000000</v>
      </c>
    </row>
    <row r="524" spans="1:7" x14ac:dyDescent="0.2">
      <c r="A524" s="21" t="s">
        <v>1043</v>
      </c>
      <c r="B524" s="43" t="s">
        <v>195</v>
      </c>
      <c r="C524" s="44" t="s">
        <v>1044</v>
      </c>
      <c r="D524" s="47">
        <v>20</v>
      </c>
      <c r="E524" s="61" t="s">
        <v>106</v>
      </c>
      <c r="F524" s="45">
        <v>30000000</v>
      </c>
      <c r="G524" s="45">
        <v>600000000</v>
      </c>
    </row>
    <row r="525" spans="1:7" x14ac:dyDescent="0.2">
      <c r="A525" s="21" t="s">
        <v>1045</v>
      </c>
      <c r="B525" s="40" t="s">
        <v>522</v>
      </c>
      <c r="C525" s="41" t="s">
        <v>30</v>
      </c>
      <c r="D525" s="71"/>
      <c r="E525" s="60"/>
      <c r="F525" s="42"/>
      <c r="G525" s="42">
        <v>115600000</v>
      </c>
    </row>
    <row r="526" spans="1:7" x14ac:dyDescent="0.2">
      <c r="A526" s="21" t="s">
        <v>195</v>
      </c>
      <c r="B526" s="40" t="s">
        <v>195</v>
      </c>
      <c r="C526" s="41" t="s">
        <v>1046</v>
      </c>
      <c r="D526" s="40">
        <v>0</v>
      </c>
      <c r="E526" s="60" t="s">
        <v>195</v>
      </c>
      <c r="F526" s="42">
        <v>0</v>
      </c>
      <c r="G526" s="42">
        <v>0</v>
      </c>
    </row>
    <row r="527" spans="1:7" x14ac:dyDescent="0.2">
      <c r="A527" s="21" t="s">
        <v>1047</v>
      </c>
      <c r="B527" s="43" t="s">
        <v>195</v>
      </c>
      <c r="C527" s="44" t="s">
        <v>1048</v>
      </c>
      <c r="D527" s="47">
        <v>12</v>
      </c>
      <c r="E527" s="61" t="s">
        <v>32</v>
      </c>
      <c r="F527" s="45">
        <v>400000</v>
      </c>
      <c r="G527" s="45">
        <v>4800000</v>
      </c>
    </row>
    <row r="528" spans="1:7" x14ac:dyDescent="0.2">
      <c r="A528" s="21" t="s">
        <v>1049</v>
      </c>
      <c r="B528" s="40" t="s">
        <v>195</v>
      </c>
      <c r="C528" s="41" t="s">
        <v>1050</v>
      </c>
      <c r="D528" s="40">
        <v>12</v>
      </c>
      <c r="E528" s="60" t="s">
        <v>32</v>
      </c>
      <c r="F528" s="42">
        <v>300000</v>
      </c>
      <c r="G528" s="42">
        <v>3600000</v>
      </c>
    </row>
    <row r="529" spans="1:7" x14ac:dyDescent="0.2">
      <c r="A529" s="21" t="s">
        <v>1051</v>
      </c>
      <c r="B529" s="43" t="s">
        <v>195</v>
      </c>
      <c r="C529" s="44" t="s">
        <v>1052</v>
      </c>
      <c r="D529" s="47">
        <v>84</v>
      </c>
      <c r="E529" s="61" t="s">
        <v>32</v>
      </c>
      <c r="F529" s="45">
        <v>300000</v>
      </c>
      <c r="G529" s="45">
        <v>25200000</v>
      </c>
    </row>
    <row r="530" spans="1:7" x14ac:dyDescent="0.2">
      <c r="A530" s="21" t="s">
        <v>1053</v>
      </c>
      <c r="B530" s="37" t="s">
        <v>195</v>
      </c>
      <c r="C530" s="38" t="s">
        <v>1048</v>
      </c>
      <c r="D530" s="37">
        <v>12</v>
      </c>
      <c r="E530" s="59" t="s">
        <v>32</v>
      </c>
      <c r="F530" s="39">
        <v>400000</v>
      </c>
      <c r="G530" s="39">
        <v>4800000</v>
      </c>
    </row>
    <row r="531" spans="1:7" x14ac:dyDescent="0.2">
      <c r="A531" s="21" t="s">
        <v>1054</v>
      </c>
      <c r="B531" s="40" t="s">
        <v>195</v>
      </c>
      <c r="C531" s="41" t="s">
        <v>1050</v>
      </c>
      <c r="D531" s="40">
        <v>12</v>
      </c>
      <c r="E531" s="60" t="s">
        <v>32</v>
      </c>
      <c r="F531" s="42">
        <v>300000</v>
      </c>
      <c r="G531" s="42">
        <v>3600000</v>
      </c>
    </row>
    <row r="532" spans="1:7" x14ac:dyDescent="0.2">
      <c r="A532" s="21" t="s">
        <v>1055</v>
      </c>
      <c r="B532" s="43" t="s">
        <v>195</v>
      </c>
      <c r="C532" s="44" t="s">
        <v>1056</v>
      </c>
      <c r="D532" s="47">
        <v>60</v>
      </c>
      <c r="E532" s="61" t="s">
        <v>32</v>
      </c>
      <c r="F532" s="45">
        <v>300000</v>
      </c>
      <c r="G532" s="45">
        <v>18000000</v>
      </c>
    </row>
    <row r="533" spans="1:7" x14ac:dyDescent="0.2">
      <c r="A533" s="21" t="s">
        <v>195</v>
      </c>
      <c r="B533" s="40" t="s">
        <v>195</v>
      </c>
      <c r="C533" s="41" t="s">
        <v>1057</v>
      </c>
      <c r="D533" s="40">
        <v>0</v>
      </c>
      <c r="E533" s="60" t="s">
        <v>195</v>
      </c>
      <c r="F533" s="42">
        <v>0</v>
      </c>
      <c r="G533" s="42">
        <v>0</v>
      </c>
    </row>
    <row r="534" spans="1:7" x14ac:dyDescent="0.2">
      <c r="A534" s="21" t="s">
        <v>1058</v>
      </c>
      <c r="B534" s="43" t="s">
        <v>195</v>
      </c>
      <c r="C534" s="44" t="s">
        <v>1059</v>
      </c>
      <c r="D534" s="47">
        <v>40</v>
      </c>
      <c r="E534" s="61" t="s">
        <v>1060</v>
      </c>
      <c r="F534" s="45">
        <v>400000</v>
      </c>
      <c r="G534" s="45">
        <v>16000000</v>
      </c>
    </row>
    <row r="535" spans="1:7" x14ac:dyDescent="0.2">
      <c r="A535" s="7" t="s">
        <v>1061</v>
      </c>
      <c r="B535" s="25" t="s">
        <v>195</v>
      </c>
      <c r="C535" s="26" t="s">
        <v>1062</v>
      </c>
      <c r="D535" s="25">
        <v>120</v>
      </c>
      <c r="E535" s="55" t="s">
        <v>1060</v>
      </c>
      <c r="F535" s="27">
        <v>300000</v>
      </c>
      <c r="G535" s="27">
        <v>36000000</v>
      </c>
    </row>
    <row r="536" spans="1:7" x14ac:dyDescent="0.2">
      <c r="A536" s="7" t="s">
        <v>1063</v>
      </c>
      <c r="B536" s="28" t="s">
        <v>195</v>
      </c>
      <c r="C536" s="29" t="s">
        <v>1064</v>
      </c>
      <c r="D536" s="46">
        <v>20</v>
      </c>
      <c r="E536" s="56" t="s">
        <v>1060</v>
      </c>
      <c r="F536" s="30">
        <v>180000</v>
      </c>
      <c r="G536" s="30">
        <v>3600000</v>
      </c>
    </row>
    <row r="537" spans="1:7" ht="25.5" x14ac:dyDescent="0.2">
      <c r="A537" s="7" t="s">
        <v>195</v>
      </c>
      <c r="B537" s="31" t="s">
        <v>195</v>
      </c>
      <c r="C537" s="32" t="s">
        <v>1065</v>
      </c>
      <c r="D537" s="31">
        <v>0</v>
      </c>
      <c r="E537" s="57" t="s">
        <v>195</v>
      </c>
      <c r="F537" s="33">
        <v>0</v>
      </c>
      <c r="G537" s="33">
        <v>0</v>
      </c>
    </row>
    <row r="538" spans="1:7" ht="25.5" x14ac:dyDescent="0.2">
      <c r="A538" s="7" t="s">
        <v>1066</v>
      </c>
      <c r="B538" s="40" t="s">
        <v>515</v>
      </c>
      <c r="C538" s="41" t="s">
        <v>642</v>
      </c>
      <c r="D538" s="40"/>
      <c r="E538" s="60"/>
      <c r="F538" s="42"/>
      <c r="G538" s="42">
        <v>30000000</v>
      </c>
    </row>
    <row r="539" spans="1:7" ht="25.5" x14ac:dyDescent="0.2">
      <c r="A539" s="7" t="s">
        <v>1067</v>
      </c>
      <c r="B539" s="37" t="s">
        <v>195</v>
      </c>
      <c r="C539" s="38" t="s">
        <v>891</v>
      </c>
      <c r="D539" s="37">
        <v>12</v>
      </c>
      <c r="E539" s="59" t="s">
        <v>106</v>
      </c>
      <c r="F539" s="39">
        <v>300000</v>
      </c>
      <c r="G539" s="39">
        <v>3600000</v>
      </c>
    </row>
    <row r="540" spans="1:7" ht="25.5" x14ac:dyDescent="0.2">
      <c r="A540" s="7" t="s">
        <v>1068</v>
      </c>
      <c r="B540" s="40" t="s">
        <v>195</v>
      </c>
      <c r="C540" s="41" t="s">
        <v>1069</v>
      </c>
      <c r="D540" s="40">
        <v>132</v>
      </c>
      <c r="E540" s="60" t="s">
        <v>106</v>
      </c>
      <c r="F540" s="42">
        <v>200000</v>
      </c>
      <c r="G540" s="42">
        <v>26400000</v>
      </c>
    </row>
    <row r="541" spans="1:7" x14ac:dyDescent="0.2">
      <c r="A541" s="7" t="s">
        <v>1070</v>
      </c>
      <c r="B541" s="40" t="s">
        <v>537</v>
      </c>
      <c r="C541" s="41" t="s">
        <v>64</v>
      </c>
      <c r="D541" s="71"/>
      <c r="E541" s="60"/>
      <c r="F541" s="42"/>
      <c r="G541" s="42">
        <v>24000000</v>
      </c>
    </row>
    <row r="542" spans="1:7" x14ac:dyDescent="0.2">
      <c r="A542" s="7" t="s">
        <v>1071</v>
      </c>
      <c r="B542" s="43" t="s">
        <v>195</v>
      </c>
      <c r="C542" s="44" t="s">
        <v>619</v>
      </c>
      <c r="D542" s="47">
        <v>12</v>
      </c>
      <c r="E542" s="61" t="s">
        <v>106</v>
      </c>
      <c r="F542" s="45">
        <v>1000000</v>
      </c>
      <c r="G542" s="45">
        <v>12000000</v>
      </c>
    </row>
    <row r="543" spans="1:7" x14ac:dyDescent="0.2">
      <c r="A543" s="7" t="s">
        <v>1072</v>
      </c>
      <c r="B543" s="40" t="s">
        <v>195</v>
      </c>
      <c r="C543" s="41" t="s">
        <v>620</v>
      </c>
      <c r="D543" s="40">
        <v>12</v>
      </c>
      <c r="E543" s="60" t="s">
        <v>106</v>
      </c>
      <c r="F543" s="42">
        <v>1000000</v>
      </c>
      <c r="G543" s="42">
        <v>12000000</v>
      </c>
    </row>
    <row r="544" spans="1:7" x14ac:dyDescent="0.2">
      <c r="A544" s="7" t="s">
        <v>1073</v>
      </c>
      <c r="B544" s="40" t="s">
        <v>516</v>
      </c>
      <c r="C544" s="41" t="s">
        <v>11</v>
      </c>
      <c r="D544" s="71"/>
      <c r="E544" s="60"/>
      <c r="F544" s="42"/>
      <c r="G544" s="42">
        <v>33400000</v>
      </c>
    </row>
    <row r="545" spans="1:7" x14ac:dyDescent="0.2">
      <c r="A545" s="7" t="s">
        <v>1074</v>
      </c>
      <c r="B545" s="43" t="s">
        <v>195</v>
      </c>
      <c r="C545" s="44" t="s">
        <v>1075</v>
      </c>
      <c r="D545" s="47">
        <v>10</v>
      </c>
      <c r="E545" s="61" t="s">
        <v>54</v>
      </c>
      <c r="F545" s="45">
        <v>1400000</v>
      </c>
      <c r="G545" s="45">
        <v>14000000</v>
      </c>
    </row>
    <row r="546" spans="1:7" x14ac:dyDescent="0.2">
      <c r="A546" s="7" t="s">
        <v>1076</v>
      </c>
      <c r="B546" s="40" t="s">
        <v>195</v>
      </c>
      <c r="C546" s="41" t="s">
        <v>1077</v>
      </c>
      <c r="D546" s="40">
        <v>5</v>
      </c>
      <c r="E546" s="60" t="s">
        <v>54</v>
      </c>
      <c r="F546" s="42">
        <v>1000000</v>
      </c>
      <c r="G546" s="42">
        <v>5000000</v>
      </c>
    </row>
    <row r="547" spans="1:7" x14ac:dyDescent="0.2">
      <c r="A547" s="7" t="s">
        <v>1078</v>
      </c>
      <c r="B547" s="43" t="s">
        <v>195</v>
      </c>
      <c r="C547" s="44" t="s">
        <v>1079</v>
      </c>
      <c r="D547" s="47">
        <v>16</v>
      </c>
      <c r="E547" s="61" t="s">
        <v>54</v>
      </c>
      <c r="F547" s="45">
        <v>900000</v>
      </c>
      <c r="G547" s="45">
        <v>14400000</v>
      </c>
    </row>
    <row r="548" spans="1:7" x14ac:dyDescent="0.2">
      <c r="A548" s="7" t="s">
        <v>1080</v>
      </c>
      <c r="B548" s="40" t="s">
        <v>517</v>
      </c>
      <c r="C548" s="41" t="s">
        <v>22</v>
      </c>
      <c r="D548" s="71"/>
      <c r="E548" s="60"/>
      <c r="F548" s="42"/>
      <c r="G548" s="42">
        <v>413400000</v>
      </c>
    </row>
    <row r="549" spans="1:7" ht="25.5" x14ac:dyDescent="0.2">
      <c r="A549" s="7" t="s">
        <v>1081</v>
      </c>
      <c r="B549" s="40" t="s">
        <v>195</v>
      </c>
      <c r="C549" s="41" t="s">
        <v>1082</v>
      </c>
      <c r="D549" s="40">
        <v>2</v>
      </c>
      <c r="E549" s="60" t="s">
        <v>106</v>
      </c>
      <c r="F549" s="42">
        <v>86700000</v>
      </c>
      <c r="G549" s="42">
        <v>173400000</v>
      </c>
    </row>
    <row r="550" spans="1:7" ht="25.5" x14ac:dyDescent="0.2">
      <c r="A550" s="7" t="s">
        <v>1083</v>
      </c>
      <c r="B550" s="43" t="s">
        <v>195</v>
      </c>
      <c r="C550" s="44" t="s">
        <v>1084</v>
      </c>
      <c r="D550" s="47">
        <v>12</v>
      </c>
      <c r="E550" s="61" t="s">
        <v>106</v>
      </c>
      <c r="F550" s="45">
        <v>20000000</v>
      </c>
      <c r="G550" s="45">
        <v>240000000</v>
      </c>
    </row>
    <row r="551" spans="1:7" x14ac:dyDescent="0.2">
      <c r="A551" s="7" t="s">
        <v>1085</v>
      </c>
      <c r="B551" s="40" t="s">
        <v>513</v>
      </c>
      <c r="C551" s="41" t="s">
        <v>19</v>
      </c>
      <c r="D551" s="40"/>
      <c r="E551" s="60"/>
      <c r="F551" s="42"/>
      <c r="G551" s="42">
        <v>520000000</v>
      </c>
    </row>
    <row r="552" spans="1:7" x14ac:dyDescent="0.2">
      <c r="A552" s="7" t="s">
        <v>1086</v>
      </c>
      <c r="B552" s="43" t="s">
        <v>195</v>
      </c>
      <c r="C552" s="44" t="s">
        <v>1087</v>
      </c>
      <c r="D552" s="47">
        <v>80</v>
      </c>
      <c r="E552" s="61" t="s">
        <v>25</v>
      </c>
      <c r="F552" s="45">
        <v>5000000</v>
      </c>
      <c r="G552" s="45">
        <v>400000000</v>
      </c>
    </row>
    <row r="553" spans="1:7" ht="25.5" x14ac:dyDescent="0.2">
      <c r="A553" s="7" t="s">
        <v>1088</v>
      </c>
      <c r="B553" s="43" t="s">
        <v>195</v>
      </c>
      <c r="C553" s="44" t="s">
        <v>1089</v>
      </c>
      <c r="D553" s="47">
        <v>24</v>
      </c>
      <c r="E553" s="61" t="s">
        <v>25</v>
      </c>
      <c r="F553" s="45">
        <v>5000000</v>
      </c>
      <c r="G553" s="45">
        <v>120000000</v>
      </c>
    </row>
    <row r="554" spans="1:7" x14ac:dyDescent="0.2">
      <c r="A554" s="7" t="s">
        <v>1090</v>
      </c>
      <c r="B554" s="40" t="s">
        <v>509</v>
      </c>
      <c r="C554" s="41" t="s">
        <v>14</v>
      </c>
      <c r="D554" s="40"/>
      <c r="E554" s="60"/>
      <c r="F554" s="42"/>
      <c r="G554" s="42">
        <v>163600000</v>
      </c>
    </row>
    <row r="555" spans="1:7" x14ac:dyDescent="0.2">
      <c r="A555" s="7" t="s">
        <v>1091</v>
      </c>
      <c r="B555" s="40" t="s">
        <v>195</v>
      </c>
      <c r="C555" s="41" t="s">
        <v>1092</v>
      </c>
      <c r="D555" s="40">
        <v>50</v>
      </c>
      <c r="E555" s="60" t="s">
        <v>25</v>
      </c>
      <c r="F555" s="42">
        <v>200000</v>
      </c>
      <c r="G555" s="42">
        <v>10000000</v>
      </c>
    </row>
    <row r="556" spans="1:7" x14ac:dyDescent="0.2">
      <c r="A556" s="7" t="s">
        <v>1093</v>
      </c>
      <c r="B556" s="43" t="s">
        <v>195</v>
      </c>
      <c r="C556" s="44" t="s">
        <v>1094</v>
      </c>
      <c r="D556" s="47">
        <v>249</v>
      </c>
      <c r="E556" s="61" t="s">
        <v>25</v>
      </c>
      <c r="F556" s="45">
        <v>250000</v>
      </c>
      <c r="G556" s="45">
        <v>62250000</v>
      </c>
    </row>
    <row r="557" spans="1:7" x14ac:dyDescent="0.2">
      <c r="A557" s="7" t="s">
        <v>1095</v>
      </c>
      <c r="B557" s="43" t="s">
        <v>195</v>
      </c>
      <c r="C557" s="44" t="s">
        <v>1096</v>
      </c>
      <c r="D557" s="47">
        <v>100</v>
      </c>
      <c r="E557" s="61" t="s">
        <v>25</v>
      </c>
      <c r="F557" s="45">
        <v>300000</v>
      </c>
      <c r="G557" s="45">
        <v>30000000</v>
      </c>
    </row>
    <row r="558" spans="1:7" x14ac:dyDescent="0.2">
      <c r="A558" s="7" t="s">
        <v>1097</v>
      </c>
      <c r="B558" s="40" t="s">
        <v>195</v>
      </c>
      <c r="C558" s="41" t="s">
        <v>1098</v>
      </c>
      <c r="D558" s="40">
        <v>269</v>
      </c>
      <c r="E558" s="60" t="s">
        <v>73</v>
      </c>
      <c r="F558" s="42">
        <v>150000</v>
      </c>
      <c r="G558" s="42">
        <v>40350000</v>
      </c>
    </row>
    <row r="559" spans="1:7" x14ac:dyDescent="0.2">
      <c r="A559" s="7" t="s">
        <v>1099</v>
      </c>
      <c r="B559" s="43" t="s">
        <v>195</v>
      </c>
      <c r="C559" s="44" t="s">
        <v>1100</v>
      </c>
      <c r="D559" s="47">
        <v>100</v>
      </c>
      <c r="E559" s="61" t="s">
        <v>73</v>
      </c>
      <c r="F559" s="45">
        <v>210000</v>
      </c>
      <c r="G559" s="45">
        <v>21000000</v>
      </c>
    </row>
    <row r="560" spans="1:7" ht="25.5" x14ac:dyDescent="0.2">
      <c r="A560" s="7" t="s">
        <v>1101</v>
      </c>
      <c r="B560" s="34" t="s">
        <v>1102</v>
      </c>
      <c r="C560" s="35" t="s">
        <v>1103</v>
      </c>
      <c r="D560" s="69"/>
      <c r="E560" s="58"/>
      <c r="F560" s="36"/>
      <c r="G560" s="36">
        <v>100000000</v>
      </c>
    </row>
    <row r="561" spans="1:7" ht="25.5" x14ac:dyDescent="0.2">
      <c r="A561" s="7" t="s">
        <v>1104</v>
      </c>
      <c r="B561" s="37" t="s">
        <v>8</v>
      </c>
      <c r="C561" s="38" t="s">
        <v>1103</v>
      </c>
      <c r="D561" s="37"/>
      <c r="E561" s="59"/>
      <c r="F561" s="39"/>
      <c r="G561" s="39">
        <v>100000000</v>
      </c>
    </row>
    <row r="562" spans="1:7" x14ac:dyDescent="0.2">
      <c r="A562" s="7" t="s">
        <v>1105</v>
      </c>
      <c r="B562" s="40" t="s">
        <v>537</v>
      </c>
      <c r="C562" s="41" t="s">
        <v>64</v>
      </c>
      <c r="D562" s="71"/>
      <c r="E562" s="60"/>
      <c r="F562" s="42"/>
      <c r="G562" s="42">
        <v>4200000</v>
      </c>
    </row>
    <row r="563" spans="1:7" x14ac:dyDescent="0.2">
      <c r="A563" s="7" t="s">
        <v>1106</v>
      </c>
      <c r="B563" s="43" t="s">
        <v>195</v>
      </c>
      <c r="C563" s="44" t="s">
        <v>619</v>
      </c>
      <c r="D563" s="47">
        <v>2</v>
      </c>
      <c r="E563" s="61" t="s">
        <v>106</v>
      </c>
      <c r="F563" s="45">
        <v>1000000</v>
      </c>
      <c r="G563" s="45">
        <v>2000000</v>
      </c>
    </row>
    <row r="564" spans="1:7" x14ac:dyDescent="0.2">
      <c r="A564" s="7" t="s">
        <v>1107</v>
      </c>
      <c r="B564" s="40" t="s">
        <v>195</v>
      </c>
      <c r="C564" s="41" t="s">
        <v>620</v>
      </c>
      <c r="D564" s="40">
        <v>2</v>
      </c>
      <c r="E564" s="60" t="s">
        <v>106</v>
      </c>
      <c r="F564" s="42">
        <v>1000000</v>
      </c>
      <c r="G564" s="42">
        <v>2000000</v>
      </c>
    </row>
    <row r="565" spans="1:7" x14ac:dyDescent="0.2">
      <c r="A565" s="7" t="s">
        <v>1108</v>
      </c>
      <c r="B565" s="43" t="s">
        <v>195</v>
      </c>
      <c r="C565" s="44" t="s">
        <v>1109</v>
      </c>
      <c r="D565" s="47">
        <v>2</v>
      </c>
      <c r="E565" s="61" t="s">
        <v>106</v>
      </c>
      <c r="F565" s="45">
        <v>100000</v>
      </c>
      <c r="G565" s="45">
        <v>200000</v>
      </c>
    </row>
    <row r="566" spans="1:7" x14ac:dyDescent="0.2">
      <c r="A566" s="7" t="s">
        <v>1110</v>
      </c>
      <c r="B566" s="40" t="s">
        <v>516</v>
      </c>
      <c r="C566" s="41" t="s">
        <v>11</v>
      </c>
      <c r="D566" s="40"/>
      <c r="E566" s="60"/>
      <c r="F566" s="42"/>
      <c r="G566" s="42">
        <v>20800000</v>
      </c>
    </row>
    <row r="567" spans="1:7" x14ac:dyDescent="0.2">
      <c r="A567" s="7" t="s">
        <v>1111</v>
      </c>
      <c r="B567" s="43" t="s">
        <v>195</v>
      </c>
      <c r="C567" s="44" t="s">
        <v>1112</v>
      </c>
      <c r="D567" s="47">
        <v>12</v>
      </c>
      <c r="E567" s="61" t="s">
        <v>25</v>
      </c>
      <c r="F567" s="45">
        <v>1400000</v>
      </c>
      <c r="G567" s="45">
        <v>16800000</v>
      </c>
    </row>
    <row r="568" spans="1:7" x14ac:dyDescent="0.2">
      <c r="A568" s="7" t="s">
        <v>1113</v>
      </c>
      <c r="B568" s="43" t="s">
        <v>195</v>
      </c>
      <c r="C568" s="44" t="s">
        <v>1114</v>
      </c>
      <c r="D568" s="47">
        <v>4</v>
      </c>
      <c r="E568" s="61" t="s">
        <v>25</v>
      </c>
      <c r="F568" s="45">
        <v>1000000</v>
      </c>
      <c r="G568" s="45">
        <v>4000000</v>
      </c>
    </row>
    <row r="569" spans="1:7" x14ac:dyDescent="0.2">
      <c r="A569" s="7" t="s">
        <v>1115</v>
      </c>
      <c r="B569" s="40" t="s">
        <v>513</v>
      </c>
      <c r="C569" s="41" t="s">
        <v>19</v>
      </c>
      <c r="D569" s="40"/>
      <c r="E569" s="60"/>
      <c r="F569" s="42"/>
      <c r="G569" s="42">
        <v>75000000</v>
      </c>
    </row>
    <row r="570" spans="1:7" ht="25.5" x14ac:dyDescent="0.2">
      <c r="A570" s="7" t="s">
        <v>1116</v>
      </c>
      <c r="B570" s="40" t="s">
        <v>195</v>
      </c>
      <c r="C570" s="41" t="s">
        <v>1117</v>
      </c>
      <c r="D570" s="40">
        <v>15</v>
      </c>
      <c r="E570" s="60" t="s">
        <v>25</v>
      </c>
      <c r="F570" s="42">
        <v>5000000</v>
      </c>
      <c r="G570" s="42">
        <v>75000000</v>
      </c>
    </row>
    <row r="571" spans="1:7" ht="25.5" x14ac:dyDescent="0.2">
      <c r="A571" s="7" t="s">
        <v>1118</v>
      </c>
      <c r="B571" s="34" t="s">
        <v>1119</v>
      </c>
      <c r="C571" s="35" t="s">
        <v>1120</v>
      </c>
      <c r="D571" s="69"/>
      <c r="E571" s="58"/>
      <c r="F571" s="36"/>
      <c r="G571" s="36">
        <v>200000000</v>
      </c>
    </row>
    <row r="572" spans="1:7" ht="25.5" x14ac:dyDescent="0.2">
      <c r="A572" s="7" t="s">
        <v>1121</v>
      </c>
      <c r="B572" s="37" t="s">
        <v>8</v>
      </c>
      <c r="C572" s="38" t="s">
        <v>1122</v>
      </c>
      <c r="D572" s="37"/>
      <c r="E572" s="59"/>
      <c r="F572" s="39"/>
      <c r="G572" s="39">
        <v>200000000</v>
      </c>
    </row>
    <row r="573" spans="1:7" x14ac:dyDescent="0.2">
      <c r="A573" s="7" t="s">
        <v>1123</v>
      </c>
      <c r="B573" s="40" t="s">
        <v>537</v>
      </c>
      <c r="C573" s="41" t="s">
        <v>64</v>
      </c>
      <c r="D573" s="71"/>
      <c r="E573" s="60"/>
      <c r="F573" s="42"/>
      <c r="G573" s="42">
        <v>20000000</v>
      </c>
    </row>
    <row r="574" spans="1:7" x14ac:dyDescent="0.2">
      <c r="A574" s="7" t="s">
        <v>1124</v>
      </c>
      <c r="B574" s="37" t="s">
        <v>195</v>
      </c>
      <c r="C574" s="38" t="s">
        <v>619</v>
      </c>
      <c r="D574" s="37">
        <v>10</v>
      </c>
      <c r="E574" s="59" t="s">
        <v>106</v>
      </c>
      <c r="F574" s="39">
        <v>1000000</v>
      </c>
      <c r="G574" s="39">
        <v>10000000</v>
      </c>
    </row>
    <row r="575" spans="1:7" x14ac:dyDescent="0.2">
      <c r="A575" s="7" t="s">
        <v>1125</v>
      </c>
      <c r="B575" s="40" t="s">
        <v>195</v>
      </c>
      <c r="C575" s="41" t="s">
        <v>859</v>
      </c>
      <c r="D575" s="40">
        <v>10</v>
      </c>
      <c r="E575" s="60" t="s">
        <v>106</v>
      </c>
      <c r="F575" s="42">
        <v>1000000</v>
      </c>
      <c r="G575" s="42">
        <v>10000000</v>
      </c>
    </row>
    <row r="576" spans="1:7" x14ac:dyDescent="0.2">
      <c r="A576" s="7" t="s">
        <v>1126</v>
      </c>
      <c r="B576" s="40" t="s">
        <v>513</v>
      </c>
      <c r="C576" s="41" t="s">
        <v>19</v>
      </c>
      <c r="D576" s="71"/>
      <c r="E576" s="60"/>
      <c r="F576" s="42"/>
      <c r="G576" s="42">
        <v>180000000</v>
      </c>
    </row>
    <row r="577" spans="1:7" ht="25.5" x14ac:dyDescent="0.2">
      <c r="A577" s="7" t="s">
        <v>1127</v>
      </c>
      <c r="B577" s="31" t="s">
        <v>195</v>
      </c>
      <c r="C577" s="32" t="s">
        <v>1128</v>
      </c>
      <c r="D577" s="31">
        <v>26</v>
      </c>
      <c r="E577" s="57" t="s">
        <v>25</v>
      </c>
      <c r="F577" s="33">
        <v>5000000</v>
      </c>
      <c r="G577" s="33">
        <v>130000000</v>
      </c>
    </row>
    <row r="578" spans="1:7" ht="25.5" x14ac:dyDescent="0.2">
      <c r="A578" s="7" t="s">
        <v>1129</v>
      </c>
      <c r="B578" s="34" t="s">
        <v>195</v>
      </c>
      <c r="C578" s="35" t="s">
        <v>1130</v>
      </c>
      <c r="D578" s="34">
        <v>10</v>
      </c>
      <c r="E578" s="58" t="s">
        <v>25</v>
      </c>
      <c r="F578" s="36">
        <v>5000000</v>
      </c>
      <c r="G578" s="36">
        <v>50000000</v>
      </c>
    </row>
    <row r="579" spans="1:7" ht="25.5" x14ac:dyDescent="0.2">
      <c r="A579" s="7" t="s">
        <v>1131</v>
      </c>
      <c r="B579" s="34" t="s">
        <v>1132</v>
      </c>
      <c r="C579" s="35" t="s">
        <v>1133</v>
      </c>
      <c r="D579" s="34"/>
      <c r="E579" s="58"/>
      <c r="F579" s="36"/>
      <c r="G579" s="36">
        <v>3000000000</v>
      </c>
    </row>
    <row r="580" spans="1:7" ht="25.5" x14ac:dyDescent="0.2">
      <c r="A580" s="7" t="s">
        <v>1134</v>
      </c>
      <c r="B580" s="37" t="s">
        <v>8</v>
      </c>
      <c r="C580" s="38" t="s">
        <v>72</v>
      </c>
      <c r="D580" s="37"/>
      <c r="E580" s="59"/>
      <c r="F580" s="39"/>
      <c r="G580" s="39">
        <v>2463500000</v>
      </c>
    </row>
    <row r="581" spans="1:7" x14ac:dyDescent="0.2">
      <c r="A581" s="7" t="s">
        <v>1135</v>
      </c>
      <c r="B581" s="40" t="s">
        <v>503</v>
      </c>
      <c r="C581" s="41" t="s">
        <v>7</v>
      </c>
      <c r="D581" s="71"/>
      <c r="E581" s="60"/>
      <c r="F581" s="42"/>
      <c r="G581" s="42">
        <v>35700000</v>
      </c>
    </row>
    <row r="582" spans="1:7" ht="25.5" x14ac:dyDescent="0.2">
      <c r="A582" s="7" t="s">
        <v>1136</v>
      </c>
      <c r="B582" s="43" t="s">
        <v>195</v>
      </c>
      <c r="C582" s="44" t="s">
        <v>1137</v>
      </c>
      <c r="D582" s="47">
        <v>200</v>
      </c>
      <c r="E582" s="61" t="s">
        <v>853</v>
      </c>
      <c r="F582" s="45">
        <v>178000</v>
      </c>
      <c r="G582" s="45">
        <v>35700000</v>
      </c>
    </row>
    <row r="583" spans="1:7" x14ac:dyDescent="0.2">
      <c r="A583" s="7" t="s">
        <v>1138</v>
      </c>
      <c r="B583" s="40" t="s">
        <v>537</v>
      </c>
      <c r="C583" s="41" t="s">
        <v>64</v>
      </c>
      <c r="D583" s="40"/>
      <c r="E583" s="60"/>
      <c r="F583" s="42"/>
      <c r="G583" s="42">
        <v>24000000</v>
      </c>
    </row>
    <row r="584" spans="1:7" x14ac:dyDescent="0.2">
      <c r="A584" s="7" t="s">
        <v>1139</v>
      </c>
      <c r="B584" s="43" t="s">
        <v>195</v>
      </c>
      <c r="C584" s="44" t="s">
        <v>619</v>
      </c>
      <c r="D584" s="47">
        <v>12</v>
      </c>
      <c r="E584" s="61" t="s">
        <v>106</v>
      </c>
      <c r="F584" s="45">
        <v>1000000</v>
      </c>
      <c r="G584" s="45">
        <v>12000000</v>
      </c>
    </row>
    <row r="585" spans="1:7" x14ac:dyDescent="0.2">
      <c r="A585" s="7" t="s">
        <v>1140</v>
      </c>
      <c r="B585" s="43" t="s">
        <v>195</v>
      </c>
      <c r="C585" s="44" t="s">
        <v>620</v>
      </c>
      <c r="D585" s="47">
        <v>12</v>
      </c>
      <c r="E585" s="61" t="s">
        <v>106</v>
      </c>
      <c r="F585" s="45">
        <v>1000000</v>
      </c>
      <c r="G585" s="45">
        <v>12000000</v>
      </c>
    </row>
    <row r="586" spans="1:7" x14ac:dyDescent="0.2">
      <c r="A586" s="7" t="s">
        <v>1141</v>
      </c>
      <c r="B586" s="40" t="s">
        <v>513</v>
      </c>
      <c r="C586" s="41" t="s">
        <v>19</v>
      </c>
      <c r="D586" s="40"/>
      <c r="E586" s="60"/>
      <c r="F586" s="42"/>
      <c r="G586" s="42">
        <v>349800000</v>
      </c>
    </row>
    <row r="587" spans="1:7" ht="25.5" x14ac:dyDescent="0.2">
      <c r="A587" s="7" t="s">
        <v>1142</v>
      </c>
      <c r="B587" s="43" t="s">
        <v>195</v>
      </c>
      <c r="C587" s="44" t="s">
        <v>1143</v>
      </c>
      <c r="D587" s="47">
        <v>60</v>
      </c>
      <c r="E587" s="61" t="s">
        <v>25</v>
      </c>
      <c r="F587" s="45">
        <v>5830000</v>
      </c>
      <c r="G587" s="45">
        <v>349800000</v>
      </c>
    </row>
    <row r="588" spans="1:7" ht="15" x14ac:dyDescent="0.2">
      <c r="A588" s="7" t="s">
        <v>1144</v>
      </c>
      <c r="B588" s="78" t="s">
        <v>507</v>
      </c>
      <c r="C588" s="79" t="s">
        <v>13</v>
      </c>
      <c r="D588" s="78"/>
      <c r="E588" s="80"/>
      <c r="F588" s="81"/>
      <c r="G588" s="81">
        <v>54000000</v>
      </c>
    </row>
    <row r="589" spans="1:7" s="63" customFormat="1" ht="14.25" customHeight="1" x14ac:dyDescent="0.25">
      <c r="A589" s="62" t="s">
        <v>1145</v>
      </c>
      <c r="B589" s="82" t="s">
        <v>195</v>
      </c>
      <c r="C589" s="82" t="s">
        <v>1146</v>
      </c>
      <c r="D589" s="82">
        <v>150</v>
      </c>
      <c r="E589" s="83" t="s">
        <v>73</v>
      </c>
      <c r="F589" s="82">
        <v>210000</v>
      </c>
      <c r="G589" s="82">
        <v>31500000</v>
      </c>
    </row>
    <row r="590" spans="1:7" s="63" customFormat="1" ht="14.25" customHeight="1" x14ac:dyDescent="0.25">
      <c r="A590" s="62" t="s">
        <v>1147</v>
      </c>
      <c r="B590" s="82" t="s">
        <v>195</v>
      </c>
      <c r="C590" s="82" t="s">
        <v>1148</v>
      </c>
      <c r="D590" s="82">
        <v>150</v>
      </c>
      <c r="E590" s="84" t="s">
        <v>25</v>
      </c>
      <c r="F590" s="82">
        <v>150000</v>
      </c>
      <c r="G590" s="82">
        <v>22500000</v>
      </c>
    </row>
    <row r="591" spans="1:7" s="63" customFormat="1" ht="14.25" customHeight="1" x14ac:dyDescent="0.25">
      <c r="A591" s="62" t="s">
        <v>1149</v>
      </c>
      <c r="B591" s="85" t="s">
        <v>1150</v>
      </c>
      <c r="C591" s="85" t="s">
        <v>1151</v>
      </c>
      <c r="D591" s="85"/>
      <c r="E591" s="85"/>
      <c r="F591" s="85"/>
      <c r="G591" s="85">
        <v>2000000000</v>
      </c>
    </row>
    <row r="592" spans="1:7" s="63" customFormat="1" ht="14.25" customHeight="1" x14ac:dyDescent="0.25">
      <c r="A592" s="64" t="s">
        <v>1152</v>
      </c>
      <c r="B592" s="86" t="s">
        <v>195</v>
      </c>
      <c r="C592" s="86" t="s">
        <v>1153</v>
      </c>
      <c r="D592" s="86">
        <v>32</v>
      </c>
      <c r="E592" s="86" t="s">
        <v>25</v>
      </c>
      <c r="F592" s="86">
        <v>62500000</v>
      </c>
      <c r="G592" s="86">
        <v>2000000000</v>
      </c>
    </row>
    <row r="593" spans="1:7" s="63" customFormat="1" ht="14.25" customHeight="1" x14ac:dyDescent="0.25">
      <c r="A593" s="64" t="s">
        <v>1154</v>
      </c>
      <c r="B593" s="87" t="s">
        <v>511</v>
      </c>
      <c r="C593" s="87" t="s">
        <v>74</v>
      </c>
      <c r="D593" s="87"/>
      <c r="E593" s="88"/>
      <c r="F593" s="87"/>
      <c r="G593" s="87">
        <v>536500000</v>
      </c>
    </row>
    <row r="594" spans="1:7" ht="15" x14ac:dyDescent="0.2">
      <c r="A594" s="7" t="s">
        <v>1155</v>
      </c>
      <c r="B594" s="78" t="s">
        <v>503</v>
      </c>
      <c r="C594" s="79" t="s">
        <v>7</v>
      </c>
      <c r="D594" s="78"/>
      <c r="E594" s="80"/>
      <c r="F594" s="81"/>
      <c r="G594" s="81">
        <v>35700000</v>
      </c>
    </row>
    <row r="595" spans="1:7" ht="28.5" x14ac:dyDescent="0.2">
      <c r="A595" s="7" t="s">
        <v>1156</v>
      </c>
      <c r="B595" s="89" t="s">
        <v>195</v>
      </c>
      <c r="C595" s="90" t="s">
        <v>1157</v>
      </c>
      <c r="D595" s="89">
        <v>200</v>
      </c>
      <c r="E595" s="91" t="s">
        <v>180</v>
      </c>
      <c r="F595" s="92">
        <v>178000</v>
      </c>
      <c r="G595" s="92">
        <v>35700000</v>
      </c>
    </row>
    <row r="596" spans="1:7" ht="30" x14ac:dyDescent="0.2">
      <c r="A596" s="7" t="s">
        <v>1158</v>
      </c>
      <c r="B596" s="78" t="s">
        <v>515</v>
      </c>
      <c r="C596" s="79" t="s">
        <v>642</v>
      </c>
      <c r="D596" s="78"/>
      <c r="E596" s="80"/>
      <c r="F596" s="81"/>
      <c r="G596" s="81">
        <v>14400000</v>
      </c>
    </row>
    <row r="597" spans="1:7" x14ac:dyDescent="0.2">
      <c r="A597" s="7" t="s">
        <v>1159</v>
      </c>
      <c r="B597" s="89" t="s">
        <v>195</v>
      </c>
      <c r="C597" s="90" t="s">
        <v>1160</v>
      </c>
      <c r="D597" s="89">
        <v>72</v>
      </c>
      <c r="E597" s="91" t="s">
        <v>32</v>
      </c>
      <c r="F597" s="92">
        <v>200000</v>
      </c>
      <c r="G597" s="92">
        <v>14400000</v>
      </c>
    </row>
    <row r="598" spans="1:7" ht="15" x14ac:dyDescent="0.2">
      <c r="A598" s="7" t="s">
        <v>1161</v>
      </c>
      <c r="B598" s="78" t="s">
        <v>537</v>
      </c>
      <c r="C598" s="79" t="s">
        <v>64</v>
      </c>
      <c r="D598" s="78"/>
      <c r="E598" s="80"/>
      <c r="F598" s="81"/>
      <c r="G598" s="81">
        <v>24000000</v>
      </c>
    </row>
    <row r="599" spans="1:7" x14ac:dyDescent="0.2">
      <c r="A599" s="7" t="s">
        <v>1162</v>
      </c>
      <c r="B599" s="89" t="s">
        <v>195</v>
      </c>
      <c r="C599" s="90" t="s">
        <v>619</v>
      </c>
      <c r="D599" s="89">
        <v>12</v>
      </c>
      <c r="E599" s="91" t="s">
        <v>106</v>
      </c>
      <c r="F599" s="92">
        <v>1000000</v>
      </c>
      <c r="G599" s="92">
        <v>12000000</v>
      </c>
    </row>
    <row r="600" spans="1:7" x14ac:dyDescent="0.2">
      <c r="A600" s="7" t="s">
        <v>1163</v>
      </c>
      <c r="B600" s="89" t="s">
        <v>195</v>
      </c>
      <c r="C600" s="90" t="s">
        <v>620</v>
      </c>
      <c r="D600" s="89">
        <v>12</v>
      </c>
      <c r="E600" s="91" t="s">
        <v>106</v>
      </c>
      <c r="F600" s="92">
        <v>1000000</v>
      </c>
      <c r="G600" s="92">
        <v>12000000</v>
      </c>
    </row>
    <row r="601" spans="1:7" ht="15" x14ac:dyDescent="0.2">
      <c r="A601" s="7" t="s">
        <v>1164</v>
      </c>
      <c r="B601" s="78" t="s">
        <v>516</v>
      </c>
      <c r="C601" s="79" t="s">
        <v>11</v>
      </c>
      <c r="D601" s="78"/>
      <c r="E601" s="80"/>
      <c r="F601" s="81"/>
      <c r="G601" s="81">
        <v>37600000</v>
      </c>
    </row>
    <row r="602" spans="1:7" x14ac:dyDescent="0.2">
      <c r="A602" s="7" t="s">
        <v>1165</v>
      </c>
      <c r="B602" s="89" t="s">
        <v>195</v>
      </c>
      <c r="C602" s="90" t="s">
        <v>1166</v>
      </c>
      <c r="D602" s="89">
        <v>8</v>
      </c>
      <c r="E602" s="91" t="s">
        <v>54</v>
      </c>
      <c r="F602" s="92">
        <v>1400000</v>
      </c>
      <c r="G602" s="92">
        <v>11200000</v>
      </c>
    </row>
    <row r="603" spans="1:7" x14ac:dyDescent="0.2">
      <c r="A603" s="7" t="s">
        <v>1167</v>
      </c>
      <c r="B603" s="89" t="s">
        <v>195</v>
      </c>
      <c r="C603" s="90" t="s">
        <v>1168</v>
      </c>
      <c r="D603" s="89">
        <v>12</v>
      </c>
      <c r="E603" s="91" t="s">
        <v>54</v>
      </c>
      <c r="F603" s="92">
        <v>1000000</v>
      </c>
      <c r="G603" s="92">
        <v>12000000</v>
      </c>
    </row>
    <row r="604" spans="1:7" x14ac:dyDescent="0.2">
      <c r="A604" s="7" t="s">
        <v>1169</v>
      </c>
      <c r="B604" s="89" t="s">
        <v>195</v>
      </c>
      <c r="C604" s="90" t="s">
        <v>1170</v>
      </c>
      <c r="D604" s="89">
        <v>16</v>
      </c>
      <c r="E604" s="91" t="s">
        <v>54</v>
      </c>
      <c r="F604" s="92">
        <v>900000</v>
      </c>
      <c r="G604" s="92">
        <v>14400000</v>
      </c>
    </row>
    <row r="605" spans="1:7" ht="15" x14ac:dyDescent="0.2">
      <c r="A605" s="7" t="s">
        <v>1171</v>
      </c>
      <c r="B605" s="78" t="s">
        <v>518</v>
      </c>
      <c r="C605" s="79" t="s">
        <v>24</v>
      </c>
      <c r="D605" s="78"/>
      <c r="E605" s="80"/>
      <c r="F605" s="81"/>
      <c r="G605" s="81">
        <v>21000000</v>
      </c>
    </row>
    <row r="606" spans="1:7" x14ac:dyDescent="0.2">
      <c r="A606" s="7" t="s">
        <v>1172</v>
      </c>
      <c r="B606" s="89" t="s">
        <v>195</v>
      </c>
      <c r="C606" s="90" t="s">
        <v>1173</v>
      </c>
      <c r="D606" s="89">
        <v>30</v>
      </c>
      <c r="E606" s="91" t="s">
        <v>25</v>
      </c>
      <c r="F606" s="92">
        <v>100000</v>
      </c>
      <c r="G606" s="92">
        <v>3000000</v>
      </c>
    </row>
    <row r="607" spans="1:7" x14ac:dyDescent="0.2">
      <c r="A607" s="7" t="s">
        <v>1174</v>
      </c>
      <c r="B607" s="89" t="s">
        <v>195</v>
      </c>
      <c r="C607" s="90" t="s">
        <v>1175</v>
      </c>
      <c r="D607" s="89">
        <v>30</v>
      </c>
      <c r="E607" s="91" t="s">
        <v>25</v>
      </c>
      <c r="F607" s="92">
        <v>600000</v>
      </c>
      <c r="G607" s="92">
        <v>18000000</v>
      </c>
    </row>
    <row r="608" spans="1:7" ht="15" x14ac:dyDescent="0.2">
      <c r="A608" s="7" t="s">
        <v>1176</v>
      </c>
      <c r="B608" s="78" t="s">
        <v>513</v>
      </c>
      <c r="C608" s="79" t="s">
        <v>19</v>
      </c>
      <c r="D608" s="78"/>
      <c r="E608" s="80"/>
      <c r="F608" s="81"/>
      <c r="G608" s="81">
        <v>349800000</v>
      </c>
    </row>
    <row r="609" spans="1:7" ht="28.5" x14ac:dyDescent="0.2">
      <c r="A609" s="7" t="s">
        <v>1177</v>
      </c>
      <c r="B609" s="89" t="s">
        <v>195</v>
      </c>
      <c r="C609" s="90" t="s">
        <v>1178</v>
      </c>
      <c r="D609" s="89">
        <v>60</v>
      </c>
      <c r="E609" s="91" t="s">
        <v>25</v>
      </c>
      <c r="F609" s="92">
        <v>5830000</v>
      </c>
      <c r="G609" s="92">
        <v>349800000</v>
      </c>
    </row>
    <row r="610" spans="1:7" ht="15" x14ac:dyDescent="0.2">
      <c r="A610" s="7" t="s">
        <v>1179</v>
      </c>
      <c r="B610" s="78" t="s">
        <v>507</v>
      </c>
      <c r="C610" s="79" t="s">
        <v>13</v>
      </c>
      <c r="D610" s="78"/>
      <c r="E610" s="80"/>
      <c r="F610" s="81"/>
      <c r="G610" s="81">
        <v>54000000</v>
      </c>
    </row>
    <row r="611" spans="1:7" ht="28.5" x14ac:dyDescent="0.2">
      <c r="A611" s="7" t="s">
        <v>1180</v>
      </c>
      <c r="B611" s="89" t="s">
        <v>195</v>
      </c>
      <c r="C611" s="90" t="s">
        <v>1181</v>
      </c>
      <c r="D611" s="89">
        <v>150</v>
      </c>
      <c r="E611" s="91" t="s">
        <v>73</v>
      </c>
      <c r="F611" s="92">
        <v>210000</v>
      </c>
      <c r="G611" s="92">
        <v>31500000</v>
      </c>
    </row>
    <row r="612" spans="1:7" x14ac:dyDescent="0.2">
      <c r="A612" s="7" t="s">
        <v>1182</v>
      </c>
      <c r="B612" s="89" t="s">
        <v>195</v>
      </c>
      <c r="C612" s="90" t="s">
        <v>1183</v>
      </c>
      <c r="D612" s="89">
        <v>150</v>
      </c>
      <c r="E612" s="91" t="s">
        <v>25</v>
      </c>
      <c r="F612" s="92">
        <v>150000</v>
      </c>
      <c r="G612" s="92">
        <v>22500000</v>
      </c>
    </row>
    <row r="613" spans="1:7" ht="30" x14ac:dyDescent="0.2">
      <c r="A613" s="7" t="s">
        <v>1184</v>
      </c>
      <c r="B613" s="93" t="s">
        <v>1185</v>
      </c>
      <c r="C613" s="94" t="s">
        <v>1186</v>
      </c>
      <c r="D613" s="93"/>
      <c r="E613" s="95"/>
      <c r="F613" s="96"/>
      <c r="G613" s="96">
        <v>153780000</v>
      </c>
    </row>
    <row r="614" spans="1:7" ht="15" x14ac:dyDescent="0.2">
      <c r="A614" s="7" t="s">
        <v>1187</v>
      </c>
      <c r="B614" s="97" t="s">
        <v>8</v>
      </c>
      <c r="C614" s="98" t="s">
        <v>75</v>
      </c>
      <c r="D614" s="97"/>
      <c r="E614" s="99"/>
      <c r="F614" s="100"/>
      <c r="G614" s="100">
        <v>153780000</v>
      </c>
    </row>
    <row r="615" spans="1:7" ht="15" x14ac:dyDescent="0.2">
      <c r="A615" s="7" t="s">
        <v>1188</v>
      </c>
      <c r="B615" s="78" t="s">
        <v>503</v>
      </c>
      <c r="C615" s="79" t="s">
        <v>7</v>
      </c>
      <c r="D615" s="78"/>
      <c r="E615" s="80"/>
      <c r="F615" s="81"/>
      <c r="G615" s="81">
        <v>14400000</v>
      </c>
    </row>
    <row r="616" spans="1:7" x14ac:dyDescent="0.2">
      <c r="A616" s="7" t="s">
        <v>1189</v>
      </c>
      <c r="B616" s="89" t="s">
        <v>195</v>
      </c>
      <c r="C616" s="90" t="s">
        <v>617</v>
      </c>
      <c r="D616" s="89">
        <v>6</v>
      </c>
      <c r="E616" s="91" t="s">
        <v>52</v>
      </c>
      <c r="F616" s="92">
        <v>1000000</v>
      </c>
      <c r="G616" s="92">
        <v>6000000</v>
      </c>
    </row>
    <row r="617" spans="1:7" x14ac:dyDescent="0.2">
      <c r="A617" s="7" t="s">
        <v>1190</v>
      </c>
      <c r="B617" s="89" t="s">
        <v>195</v>
      </c>
      <c r="C617" s="90" t="s">
        <v>782</v>
      </c>
      <c r="D617" s="89">
        <v>120</v>
      </c>
      <c r="E617" s="91" t="s">
        <v>25</v>
      </c>
      <c r="F617" s="92">
        <v>70000</v>
      </c>
      <c r="G617" s="92">
        <v>8400000</v>
      </c>
    </row>
    <row r="618" spans="1:7" ht="15" x14ac:dyDescent="0.2">
      <c r="A618" s="7" t="s">
        <v>1191</v>
      </c>
      <c r="B618" s="78" t="s">
        <v>533</v>
      </c>
      <c r="C618" s="79" t="s">
        <v>53</v>
      </c>
      <c r="D618" s="78"/>
      <c r="E618" s="80"/>
      <c r="F618" s="81"/>
      <c r="G618" s="81">
        <v>8000000</v>
      </c>
    </row>
    <row r="619" spans="1:7" x14ac:dyDescent="0.2">
      <c r="A619" s="7" t="s">
        <v>1192</v>
      </c>
      <c r="B619" s="89" t="s">
        <v>195</v>
      </c>
      <c r="C619" s="90" t="s">
        <v>1193</v>
      </c>
      <c r="D619" s="89">
        <v>1</v>
      </c>
      <c r="E619" s="91" t="s">
        <v>106</v>
      </c>
      <c r="F619" s="92">
        <v>8000000</v>
      </c>
      <c r="G619" s="92">
        <v>8000000</v>
      </c>
    </row>
    <row r="620" spans="1:7" ht="15" x14ac:dyDescent="0.2">
      <c r="A620" s="7" t="s">
        <v>1194</v>
      </c>
      <c r="B620" s="78" t="s">
        <v>537</v>
      </c>
      <c r="C620" s="79" t="s">
        <v>64</v>
      </c>
      <c r="D620" s="78"/>
      <c r="E620" s="80"/>
      <c r="F620" s="81"/>
      <c r="G620" s="81">
        <v>12000000</v>
      </c>
    </row>
    <row r="621" spans="1:7" x14ac:dyDescent="0.2">
      <c r="A621" s="7" t="s">
        <v>1195</v>
      </c>
      <c r="B621" s="89" t="s">
        <v>195</v>
      </c>
      <c r="C621" s="90" t="s">
        <v>619</v>
      </c>
      <c r="D621" s="89">
        <v>6</v>
      </c>
      <c r="E621" s="91" t="s">
        <v>52</v>
      </c>
      <c r="F621" s="92">
        <v>1000000</v>
      </c>
      <c r="G621" s="92">
        <v>6000000</v>
      </c>
    </row>
    <row r="622" spans="1:7" x14ac:dyDescent="0.2">
      <c r="A622" s="7" t="s">
        <v>1196</v>
      </c>
      <c r="B622" s="89" t="s">
        <v>195</v>
      </c>
      <c r="C622" s="90" t="s">
        <v>1197</v>
      </c>
      <c r="D622" s="89">
        <v>6</v>
      </c>
      <c r="E622" s="91" t="s">
        <v>52</v>
      </c>
      <c r="F622" s="92">
        <v>1000000</v>
      </c>
      <c r="G622" s="92">
        <v>6000000</v>
      </c>
    </row>
    <row r="623" spans="1:7" ht="15" x14ac:dyDescent="0.2">
      <c r="A623" s="7" t="s">
        <v>1198</v>
      </c>
      <c r="B623" s="78" t="s">
        <v>516</v>
      </c>
      <c r="C623" s="79" t="s">
        <v>11</v>
      </c>
      <c r="D623" s="78"/>
      <c r="E623" s="80"/>
      <c r="F623" s="81"/>
      <c r="G623" s="81">
        <v>4000000</v>
      </c>
    </row>
    <row r="624" spans="1:7" x14ac:dyDescent="0.2">
      <c r="A624" s="7" t="s">
        <v>1199</v>
      </c>
      <c r="B624" s="89" t="s">
        <v>195</v>
      </c>
      <c r="C624" s="90" t="s">
        <v>774</v>
      </c>
      <c r="D624" s="89">
        <v>4</v>
      </c>
      <c r="E624" s="91" t="s">
        <v>54</v>
      </c>
      <c r="F624" s="92">
        <v>1000000</v>
      </c>
      <c r="G624" s="92">
        <v>4000000</v>
      </c>
    </row>
    <row r="625" spans="1:7" ht="15" x14ac:dyDescent="0.2">
      <c r="A625" s="7" t="s">
        <v>1200</v>
      </c>
      <c r="B625" s="78" t="s">
        <v>513</v>
      </c>
      <c r="C625" s="79" t="s">
        <v>19</v>
      </c>
      <c r="D625" s="78"/>
      <c r="E625" s="80"/>
      <c r="F625" s="81"/>
      <c r="G625" s="81">
        <v>115380000</v>
      </c>
    </row>
    <row r="626" spans="1:7" x14ac:dyDescent="0.2">
      <c r="A626" s="7" t="s">
        <v>1201</v>
      </c>
      <c r="B626" s="89" t="s">
        <v>195</v>
      </c>
      <c r="C626" s="90" t="s">
        <v>1202</v>
      </c>
      <c r="D626" s="89">
        <v>20</v>
      </c>
      <c r="E626" s="91" t="s">
        <v>25</v>
      </c>
      <c r="F626" s="92">
        <v>5769000</v>
      </c>
      <c r="G626" s="92">
        <v>115380000</v>
      </c>
    </row>
    <row r="627" spans="1:7" x14ac:dyDescent="0.2">
      <c r="A627" s="7" t="s">
        <v>1203</v>
      </c>
      <c r="B627" s="89" t="s">
        <v>1204</v>
      </c>
      <c r="C627" s="90" t="s">
        <v>1205</v>
      </c>
      <c r="D627" s="89"/>
      <c r="E627" s="91"/>
      <c r="F627" s="92"/>
      <c r="G627" s="92">
        <v>600000000</v>
      </c>
    </row>
    <row r="628" spans="1:7" ht="15" x14ac:dyDescent="0.2">
      <c r="A628" s="7" t="s">
        <v>1206</v>
      </c>
      <c r="B628" s="93" t="s">
        <v>826</v>
      </c>
      <c r="C628" s="94" t="s">
        <v>1205</v>
      </c>
      <c r="D628" s="93"/>
      <c r="E628" s="95"/>
      <c r="F628" s="96"/>
      <c r="G628" s="96">
        <v>300000000</v>
      </c>
    </row>
    <row r="629" spans="1:7" ht="15" x14ac:dyDescent="0.2">
      <c r="A629" s="7" t="s">
        <v>1207</v>
      </c>
      <c r="B629" s="97" t="s">
        <v>8</v>
      </c>
      <c r="C629" s="98" t="s">
        <v>159</v>
      </c>
      <c r="D629" s="97"/>
      <c r="E629" s="99"/>
      <c r="F629" s="100"/>
      <c r="G629" s="100">
        <v>154800000</v>
      </c>
    </row>
    <row r="630" spans="1:7" ht="15" x14ac:dyDescent="0.2">
      <c r="A630" s="7" t="s">
        <v>1208</v>
      </c>
      <c r="B630" s="78" t="s">
        <v>503</v>
      </c>
      <c r="C630" s="79" t="s">
        <v>7</v>
      </c>
      <c r="D630" s="78"/>
      <c r="E630" s="80"/>
      <c r="F630" s="81"/>
      <c r="G630" s="81">
        <v>10000000</v>
      </c>
    </row>
    <row r="631" spans="1:7" ht="28.5" x14ac:dyDescent="0.2">
      <c r="A631" s="7" t="s">
        <v>1209</v>
      </c>
      <c r="B631" s="89" t="s">
        <v>195</v>
      </c>
      <c r="C631" s="90" t="s">
        <v>1210</v>
      </c>
      <c r="D631" s="89">
        <v>10</v>
      </c>
      <c r="E631" s="91" t="s">
        <v>52</v>
      </c>
      <c r="F631" s="92">
        <v>1000000</v>
      </c>
      <c r="G631" s="92">
        <v>10000000</v>
      </c>
    </row>
    <row r="632" spans="1:7" ht="30" x14ac:dyDescent="0.2">
      <c r="A632" s="7" t="s">
        <v>1211</v>
      </c>
      <c r="B632" s="78" t="s">
        <v>515</v>
      </c>
      <c r="C632" s="79" t="s">
        <v>642</v>
      </c>
      <c r="D632" s="78"/>
      <c r="E632" s="80"/>
      <c r="F632" s="81"/>
      <c r="G632" s="81">
        <v>3600000</v>
      </c>
    </row>
    <row r="633" spans="1:7" ht="28.5" x14ac:dyDescent="0.2">
      <c r="A633" s="7" t="s">
        <v>1212</v>
      </c>
      <c r="B633" s="89" t="s">
        <v>195</v>
      </c>
      <c r="C633" s="90" t="s">
        <v>891</v>
      </c>
      <c r="D633" s="89">
        <v>12</v>
      </c>
      <c r="E633" s="91" t="s">
        <v>52</v>
      </c>
      <c r="F633" s="92">
        <v>300000</v>
      </c>
      <c r="G633" s="92">
        <v>3600000</v>
      </c>
    </row>
    <row r="634" spans="1:7" ht="15" x14ac:dyDescent="0.2">
      <c r="A634" s="7" t="s">
        <v>1213</v>
      </c>
      <c r="B634" s="78" t="s">
        <v>537</v>
      </c>
      <c r="C634" s="79" t="s">
        <v>64</v>
      </c>
      <c r="D634" s="78"/>
      <c r="E634" s="80"/>
      <c r="F634" s="81"/>
      <c r="G634" s="81">
        <v>20000000</v>
      </c>
    </row>
    <row r="635" spans="1:7" x14ac:dyDescent="0.2">
      <c r="A635" s="7" t="s">
        <v>1214</v>
      </c>
      <c r="B635" s="89" t="s">
        <v>195</v>
      </c>
      <c r="C635" s="90" t="s">
        <v>619</v>
      </c>
      <c r="D635" s="89">
        <v>10</v>
      </c>
      <c r="E635" s="91" t="s">
        <v>52</v>
      </c>
      <c r="F635" s="92">
        <v>1000000</v>
      </c>
      <c r="G635" s="92">
        <v>10000000</v>
      </c>
    </row>
    <row r="636" spans="1:7" x14ac:dyDescent="0.2">
      <c r="A636" s="7" t="s">
        <v>1215</v>
      </c>
      <c r="B636" s="89" t="s">
        <v>195</v>
      </c>
      <c r="C636" s="90" t="s">
        <v>1197</v>
      </c>
      <c r="D636" s="89">
        <v>10</v>
      </c>
      <c r="E636" s="91" t="s">
        <v>52</v>
      </c>
      <c r="F636" s="92">
        <v>1000000</v>
      </c>
      <c r="G636" s="92">
        <v>10000000</v>
      </c>
    </row>
    <row r="637" spans="1:7" ht="15" x14ac:dyDescent="0.2">
      <c r="A637" s="7" t="s">
        <v>1216</v>
      </c>
      <c r="B637" s="78" t="s">
        <v>516</v>
      </c>
      <c r="C637" s="79" t="s">
        <v>11</v>
      </c>
      <c r="D637" s="78"/>
      <c r="E637" s="80"/>
      <c r="F637" s="81"/>
      <c r="G637" s="81">
        <v>2000000</v>
      </c>
    </row>
    <row r="638" spans="1:7" x14ac:dyDescent="0.2">
      <c r="A638" s="7" t="s">
        <v>1217</v>
      </c>
      <c r="B638" s="89" t="s">
        <v>195</v>
      </c>
      <c r="C638" s="90" t="s">
        <v>1218</v>
      </c>
      <c r="D638" s="89">
        <v>2</v>
      </c>
      <c r="E638" s="91" t="s">
        <v>54</v>
      </c>
      <c r="F638" s="92">
        <v>1000000</v>
      </c>
      <c r="G638" s="92">
        <v>2000000</v>
      </c>
    </row>
    <row r="639" spans="1:7" ht="15" x14ac:dyDescent="0.2">
      <c r="A639" s="7" t="s">
        <v>1219</v>
      </c>
      <c r="B639" s="78" t="s">
        <v>513</v>
      </c>
      <c r="C639" s="79" t="s">
        <v>19</v>
      </c>
      <c r="D639" s="78"/>
      <c r="E639" s="80"/>
      <c r="F639" s="81"/>
      <c r="G639" s="81">
        <v>113800000</v>
      </c>
    </row>
    <row r="640" spans="1:7" ht="42.75" x14ac:dyDescent="0.2">
      <c r="A640" s="7" t="s">
        <v>1220</v>
      </c>
      <c r="B640" s="89" t="s">
        <v>195</v>
      </c>
      <c r="C640" s="90" t="s">
        <v>1221</v>
      </c>
      <c r="D640" s="89">
        <v>20</v>
      </c>
      <c r="E640" s="91" t="s">
        <v>25</v>
      </c>
      <c r="F640" s="92">
        <v>5690000</v>
      </c>
      <c r="G640" s="92">
        <v>113800000</v>
      </c>
    </row>
    <row r="641" spans="1:7" ht="30" x14ac:dyDescent="0.2">
      <c r="A641" s="7" t="s">
        <v>1222</v>
      </c>
      <c r="B641" s="78" t="s">
        <v>509</v>
      </c>
      <c r="C641" s="79" t="s">
        <v>14</v>
      </c>
      <c r="D641" s="78"/>
      <c r="E641" s="80"/>
      <c r="F641" s="81"/>
      <c r="G641" s="81">
        <v>5400000</v>
      </c>
    </row>
    <row r="642" spans="1:7" x14ac:dyDescent="0.2">
      <c r="A642" s="7" t="s">
        <v>1223</v>
      </c>
      <c r="B642" s="89" t="s">
        <v>195</v>
      </c>
      <c r="C642" s="90" t="s">
        <v>1224</v>
      </c>
      <c r="D642" s="89">
        <v>15</v>
      </c>
      <c r="E642" s="91" t="s">
        <v>25</v>
      </c>
      <c r="F642" s="92">
        <v>210000</v>
      </c>
      <c r="G642" s="92">
        <v>3150000</v>
      </c>
    </row>
    <row r="643" spans="1:7" x14ac:dyDescent="0.2">
      <c r="A643" s="7" t="s">
        <v>1225</v>
      </c>
      <c r="B643" s="89" t="s">
        <v>195</v>
      </c>
      <c r="C643" s="90" t="s">
        <v>630</v>
      </c>
      <c r="D643" s="89">
        <v>15</v>
      </c>
      <c r="E643" s="91" t="s">
        <v>73</v>
      </c>
      <c r="F643" s="92">
        <v>150000</v>
      </c>
      <c r="G643" s="92">
        <v>2250000</v>
      </c>
    </row>
    <row r="644" spans="1:7" ht="15" x14ac:dyDescent="0.2">
      <c r="A644" s="7" t="s">
        <v>1226</v>
      </c>
      <c r="B644" s="97" t="s">
        <v>511</v>
      </c>
      <c r="C644" s="98" t="s">
        <v>160</v>
      </c>
      <c r="D644" s="97"/>
      <c r="E644" s="99"/>
      <c r="F644" s="100"/>
      <c r="G644" s="100">
        <v>145200000</v>
      </c>
    </row>
    <row r="645" spans="1:7" ht="15" x14ac:dyDescent="0.2">
      <c r="A645" s="7" t="s">
        <v>1227</v>
      </c>
      <c r="B645" s="78" t="s">
        <v>503</v>
      </c>
      <c r="C645" s="79" t="s">
        <v>7</v>
      </c>
      <c r="D645" s="78"/>
      <c r="E645" s="80"/>
      <c r="F645" s="81"/>
      <c r="G645" s="81">
        <v>10000000</v>
      </c>
    </row>
    <row r="646" spans="1:7" ht="28.5" x14ac:dyDescent="0.2">
      <c r="A646" s="7" t="s">
        <v>1228</v>
      </c>
      <c r="B646" s="89" t="s">
        <v>195</v>
      </c>
      <c r="C646" s="90" t="s">
        <v>1229</v>
      </c>
      <c r="D646" s="89">
        <v>10</v>
      </c>
      <c r="E646" s="91" t="s">
        <v>52</v>
      </c>
      <c r="F646" s="92">
        <v>1000000</v>
      </c>
      <c r="G646" s="92">
        <v>10000000</v>
      </c>
    </row>
    <row r="647" spans="1:7" ht="15" x14ac:dyDescent="0.2">
      <c r="A647" s="7" t="s">
        <v>1230</v>
      </c>
      <c r="B647" s="78" t="s">
        <v>537</v>
      </c>
      <c r="C647" s="79" t="s">
        <v>64</v>
      </c>
      <c r="D647" s="78"/>
      <c r="E647" s="80"/>
      <c r="F647" s="81"/>
      <c r="G647" s="81">
        <v>20000000</v>
      </c>
    </row>
    <row r="648" spans="1:7" x14ac:dyDescent="0.2">
      <c r="A648" s="7" t="s">
        <v>1231</v>
      </c>
      <c r="B648" s="89" t="s">
        <v>195</v>
      </c>
      <c r="C648" s="90" t="s">
        <v>619</v>
      </c>
      <c r="D648" s="89">
        <v>10</v>
      </c>
      <c r="E648" s="91" t="s">
        <v>52</v>
      </c>
      <c r="F648" s="92">
        <v>1000000</v>
      </c>
      <c r="G648" s="92">
        <v>10000000</v>
      </c>
    </row>
    <row r="649" spans="1:7" x14ac:dyDescent="0.2">
      <c r="A649" s="7" t="s">
        <v>1232</v>
      </c>
      <c r="B649" s="89" t="s">
        <v>195</v>
      </c>
      <c r="C649" s="90" t="s">
        <v>1197</v>
      </c>
      <c r="D649" s="89">
        <v>10</v>
      </c>
      <c r="E649" s="91" t="s">
        <v>52</v>
      </c>
      <c r="F649" s="92">
        <v>1000000</v>
      </c>
      <c r="G649" s="92">
        <v>10000000</v>
      </c>
    </row>
    <row r="650" spans="1:7" ht="15" x14ac:dyDescent="0.2">
      <c r="A650" s="7" t="s">
        <v>1233</v>
      </c>
      <c r="B650" s="78" t="s">
        <v>516</v>
      </c>
      <c r="C650" s="79" t="s">
        <v>11</v>
      </c>
      <c r="D650" s="78"/>
      <c r="E650" s="80"/>
      <c r="F650" s="81"/>
      <c r="G650" s="81">
        <v>3800000</v>
      </c>
    </row>
    <row r="651" spans="1:7" x14ac:dyDescent="0.2">
      <c r="A651" s="7" t="s">
        <v>1234</v>
      </c>
      <c r="B651" s="89" t="s">
        <v>195</v>
      </c>
      <c r="C651" s="90" t="s">
        <v>1218</v>
      </c>
      <c r="D651" s="89">
        <v>2</v>
      </c>
      <c r="E651" s="91" t="s">
        <v>54</v>
      </c>
      <c r="F651" s="92">
        <v>1000000</v>
      </c>
      <c r="G651" s="92">
        <v>2000000</v>
      </c>
    </row>
    <row r="652" spans="1:7" x14ac:dyDescent="0.2">
      <c r="A652" s="7" t="s">
        <v>1235</v>
      </c>
      <c r="B652" s="89" t="s">
        <v>195</v>
      </c>
      <c r="C652" s="90" t="s">
        <v>1236</v>
      </c>
      <c r="D652" s="89">
        <v>2</v>
      </c>
      <c r="E652" s="91" t="s">
        <v>54</v>
      </c>
      <c r="F652" s="92">
        <v>900000</v>
      </c>
      <c r="G652" s="92">
        <v>1800000</v>
      </c>
    </row>
    <row r="653" spans="1:7" ht="15" x14ac:dyDescent="0.2">
      <c r="A653" s="7" t="s">
        <v>1237</v>
      </c>
      <c r="B653" s="78" t="s">
        <v>513</v>
      </c>
      <c r="C653" s="79" t="s">
        <v>19</v>
      </c>
      <c r="D653" s="78"/>
      <c r="E653" s="80"/>
      <c r="F653" s="81"/>
      <c r="G653" s="81">
        <v>106000000</v>
      </c>
    </row>
    <row r="654" spans="1:7" ht="42.75" x14ac:dyDescent="0.2">
      <c r="A654" s="7" t="s">
        <v>1238</v>
      </c>
      <c r="B654" s="89" t="s">
        <v>195</v>
      </c>
      <c r="C654" s="90" t="s">
        <v>1239</v>
      </c>
      <c r="D654" s="89">
        <v>25</v>
      </c>
      <c r="E654" s="91" t="s">
        <v>25</v>
      </c>
      <c r="F654" s="92">
        <v>4240000</v>
      </c>
      <c r="G654" s="92">
        <v>106000000</v>
      </c>
    </row>
    <row r="655" spans="1:7" ht="30" x14ac:dyDescent="0.2">
      <c r="A655" s="7" t="s">
        <v>1240</v>
      </c>
      <c r="B655" s="78" t="s">
        <v>509</v>
      </c>
      <c r="C655" s="79" t="s">
        <v>14</v>
      </c>
      <c r="D655" s="78"/>
      <c r="E655" s="80"/>
      <c r="F655" s="81"/>
      <c r="G655" s="81">
        <v>5400000</v>
      </c>
    </row>
    <row r="656" spans="1:7" x14ac:dyDescent="0.2">
      <c r="A656" s="7" t="s">
        <v>1241</v>
      </c>
      <c r="B656" s="89" t="s">
        <v>195</v>
      </c>
      <c r="C656" s="90" t="s">
        <v>1224</v>
      </c>
      <c r="D656" s="89">
        <v>15</v>
      </c>
      <c r="E656" s="91" t="s">
        <v>25</v>
      </c>
      <c r="F656" s="92">
        <v>210000</v>
      </c>
      <c r="G656" s="92">
        <v>3150000</v>
      </c>
    </row>
    <row r="657" spans="1:7" x14ac:dyDescent="0.2">
      <c r="A657" s="7" t="s">
        <v>1242</v>
      </c>
      <c r="B657" s="89" t="s">
        <v>195</v>
      </c>
      <c r="C657" s="90" t="s">
        <v>630</v>
      </c>
      <c r="D657" s="89">
        <v>15</v>
      </c>
      <c r="E657" s="91" t="s">
        <v>73</v>
      </c>
      <c r="F657" s="92">
        <v>150000</v>
      </c>
      <c r="G657" s="92">
        <v>2250000</v>
      </c>
    </row>
    <row r="658" spans="1:7" ht="45" x14ac:dyDescent="0.2">
      <c r="A658" s="7" t="s">
        <v>1243</v>
      </c>
      <c r="B658" s="93" t="s">
        <v>1102</v>
      </c>
      <c r="C658" s="94" t="s">
        <v>1244</v>
      </c>
      <c r="D658" s="93"/>
      <c r="E658" s="95"/>
      <c r="F658" s="96"/>
      <c r="G658" s="96">
        <v>300000000</v>
      </c>
    </row>
    <row r="659" spans="1:7" ht="15" x14ac:dyDescent="0.2">
      <c r="A659" s="7" t="s">
        <v>1245</v>
      </c>
      <c r="B659" s="97" t="s">
        <v>8</v>
      </c>
      <c r="C659" s="98" t="s">
        <v>161</v>
      </c>
      <c r="D659" s="97"/>
      <c r="E659" s="99"/>
      <c r="F659" s="100"/>
      <c r="G659" s="100">
        <v>165000000</v>
      </c>
    </row>
    <row r="660" spans="1:7" ht="15" x14ac:dyDescent="0.2">
      <c r="A660" s="7" t="s">
        <v>1246</v>
      </c>
      <c r="B660" s="78" t="s">
        <v>503</v>
      </c>
      <c r="C660" s="79" t="s">
        <v>7</v>
      </c>
      <c r="D660" s="78"/>
      <c r="E660" s="80"/>
      <c r="F660" s="81"/>
      <c r="G660" s="81">
        <v>10000000</v>
      </c>
    </row>
    <row r="661" spans="1:7" ht="28.5" x14ac:dyDescent="0.2">
      <c r="A661" s="7" t="s">
        <v>1247</v>
      </c>
      <c r="B661" s="89" t="s">
        <v>195</v>
      </c>
      <c r="C661" s="90" t="s">
        <v>1248</v>
      </c>
      <c r="D661" s="89">
        <v>10</v>
      </c>
      <c r="E661" s="91" t="s">
        <v>52</v>
      </c>
      <c r="F661" s="92">
        <v>1000000</v>
      </c>
      <c r="G661" s="92">
        <v>10000000</v>
      </c>
    </row>
    <row r="662" spans="1:7" ht="15" x14ac:dyDescent="0.2">
      <c r="A662" s="7" t="s">
        <v>1249</v>
      </c>
      <c r="B662" s="78" t="s">
        <v>537</v>
      </c>
      <c r="C662" s="79" t="s">
        <v>64</v>
      </c>
      <c r="D662" s="78"/>
      <c r="E662" s="80"/>
      <c r="F662" s="81"/>
      <c r="G662" s="81">
        <v>20000000</v>
      </c>
    </row>
    <row r="663" spans="1:7" x14ac:dyDescent="0.2">
      <c r="A663" s="7" t="s">
        <v>1250</v>
      </c>
      <c r="B663" s="89" t="s">
        <v>195</v>
      </c>
      <c r="C663" s="90" t="s">
        <v>619</v>
      </c>
      <c r="D663" s="89">
        <v>10</v>
      </c>
      <c r="E663" s="91" t="s">
        <v>52</v>
      </c>
      <c r="F663" s="92">
        <v>1000000</v>
      </c>
      <c r="G663" s="92">
        <v>10000000</v>
      </c>
    </row>
    <row r="664" spans="1:7" x14ac:dyDescent="0.2">
      <c r="A664" s="7" t="s">
        <v>1251</v>
      </c>
      <c r="B664" s="89" t="s">
        <v>195</v>
      </c>
      <c r="C664" s="90" t="s">
        <v>1197</v>
      </c>
      <c r="D664" s="89">
        <v>10</v>
      </c>
      <c r="E664" s="91" t="s">
        <v>52</v>
      </c>
      <c r="F664" s="92">
        <v>1000000</v>
      </c>
      <c r="G664" s="92">
        <v>10000000</v>
      </c>
    </row>
    <row r="665" spans="1:7" ht="15" x14ac:dyDescent="0.2">
      <c r="A665" s="7" t="s">
        <v>1252</v>
      </c>
      <c r="B665" s="78" t="s">
        <v>513</v>
      </c>
      <c r="C665" s="79" t="s">
        <v>19</v>
      </c>
      <c r="D665" s="78"/>
      <c r="E665" s="80"/>
      <c r="F665" s="81"/>
      <c r="G665" s="81">
        <v>135000000</v>
      </c>
    </row>
    <row r="666" spans="1:7" ht="42.75" x14ac:dyDescent="0.2">
      <c r="A666" s="7" t="s">
        <v>1253</v>
      </c>
      <c r="B666" s="89" t="s">
        <v>195</v>
      </c>
      <c r="C666" s="90" t="s">
        <v>1254</v>
      </c>
      <c r="D666" s="89">
        <v>27</v>
      </c>
      <c r="E666" s="91" t="s">
        <v>25</v>
      </c>
      <c r="F666" s="92">
        <v>5000000</v>
      </c>
      <c r="G666" s="92">
        <v>135000000</v>
      </c>
    </row>
    <row r="667" spans="1:7" ht="30" x14ac:dyDescent="0.2">
      <c r="A667" s="7" t="s">
        <v>1255</v>
      </c>
      <c r="B667" s="97" t="s">
        <v>511</v>
      </c>
      <c r="C667" s="98" t="s">
        <v>1256</v>
      </c>
      <c r="D667" s="97"/>
      <c r="E667" s="99"/>
      <c r="F667" s="100"/>
      <c r="G667" s="100">
        <v>135000000</v>
      </c>
    </row>
    <row r="668" spans="1:7" ht="15" x14ac:dyDescent="0.2">
      <c r="A668" s="7" t="s">
        <v>1257</v>
      </c>
      <c r="B668" s="78" t="s">
        <v>503</v>
      </c>
      <c r="C668" s="79" t="s">
        <v>7</v>
      </c>
      <c r="D668" s="78"/>
      <c r="E668" s="80"/>
      <c r="F668" s="81"/>
      <c r="G668" s="81">
        <v>10000000</v>
      </c>
    </row>
    <row r="669" spans="1:7" ht="28.5" x14ac:dyDescent="0.2">
      <c r="A669" s="7" t="s">
        <v>1258</v>
      </c>
      <c r="B669" s="89" t="s">
        <v>195</v>
      </c>
      <c r="C669" s="90" t="s">
        <v>1259</v>
      </c>
      <c r="D669" s="89">
        <v>10</v>
      </c>
      <c r="E669" s="91" t="s">
        <v>52</v>
      </c>
      <c r="F669" s="92">
        <v>1000000</v>
      </c>
      <c r="G669" s="92">
        <v>10000000</v>
      </c>
    </row>
    <row r="670" spans="1:7" ht="15" x14ac:dyDescent="0.2">
      <c r="A670" s="7" t="s">
        <v>1260</v>
      </c>
      <c r="B670" s="78" t="s">
        <v>537</v>
      </c>
      <c r="C670" s="79" t="s">
        <v>64</v>
      </c>
      <c r="D670" s="78"/>
      <c r="E670" s="80"/>
      <c r="F670" s="81"/>
      <c r="G670" s="81">
        <v>20000000</v>
      </c>
    </row>
    <row r="671" spans="1:7" x14ac:dyDescent="0.2">
      <c r="A671" s="7" t="s">
        <v>1261</v>
      </c>
      <c r="B671" s="89" t="s">
        <v>195</v>
      </c>
      <c r="C671" s="90" t="s">
        <v>619</v>
      </c>
      <c r="D671" s="89">
        <v>10</v>
      </c>
      <c r="E671" s="91" t="s">
        <v>52</v>
      </c>
      <c r="F671" s="92">
        <v>1000000</v>
      </c>
      <c r="G671" s="92">
        <v>10000000</v>
      </c>
    </row>
    <row r="672" spans="1:7" x14ac:dyDescent="0.2">
      <c r="A672" s="7" t="s">
        <v>1262</v>
      </c>
      <c r="B672" s="89" t="s">
        <v>195</v>
      </c>
      <c r="C672" s="90" t="s">
        <v>1197</v>
      </c>
      <c r="D672" s="89">
        <v>10</v>
      </c>
      <c r="E672" s="91" t="s">
        <v>52</v>
      </c>
      <c r="F672" s="92">
        <v>1000000</v>
      </c>
      <c r="G672" s="92">
        <v>10000000</v>
      </c>
    </row>
    <row r="673" spans="1:7" ht="15" x14ac:dyDescent="0.2">
      <c r="A673" s="7" t="s">
        <v>1263</v>
      </c>
      <c r="B673" s="78" t="s">
        <v>513</v>
      </c>
      <c r="C673" s="79" t="s">
        <v>19</v>
      </c>
      <c r="D673" s="78"/>
      <c r="E673" s="80"/>
      <c r="F673" s="81"/>
      <c r="G673" s="81">
        <v>102600000</v>
      </c>
    </row>
    <row r="674" spans="1:7" ht="42.75" x14ac:dyDescent="0.2">
      <c r="A674" s="7" t="s">
        <v>1264</v>
      </c>
      <c r="B674" s="89" t="s">
        <v>195</v>
      </c>
      <c r="C674" s="90" t="s">
        <v>1265</v>
      </c>
      <c r="D674" s="89">
        <v>20</v>
      </c>
      <c r="E674" s="91" t="s">
        <v>25</v>
      </c>
      <c r="F674" s="92">
        <v>5130000</v>
      </c>
      <c r="G674" s="92">
        <v>102600000</v>
      </c>
    </row>
    <row r="675" spans="1:7" ht="30" x14ac:dyDescent="0.2">
      <c r="A675" s="7" t="s">
        <v>1266</v>
      </c>
      <c r="B675" s="78" t="s">
        <v>509</v>
      </c>
      <c r="C675" s="79" t="s">
        <v>14</v>
      </c>
      <c r="D675" s="78"/>
      <c r="E675" s="80"/>
      <c r="F675" s="81"/>
      <c r="G675" s="81">
        <v>2400000</v>
      </c>
    </row>
    <row r="676" spans="1:7" x14ac:dyDescent="0.2">
      <c r="A676" s="7" t="s">
        <v>1267</v>
      </c>
      <c r="B676" s="89" t="s">
        <v>195</v>
      </c>
      <c r="C676" s="90" t="s">
        <v>630</v>
      </c>
      <c r="D676" s="89">
        <v>16</v>
      </c>
      <c r="E676" s="91" t="s">
        <v>73</v>
      </c>
      <c r="F676" s="92">
        <v>150000</v>
      </c>
      <c r="G676" s="92">
        <v>2400000</v>
      </c>
    </row>
    <row r="677" spans="1:7" x14ac:dyDescent="0.2">
      <c r="A677" s="7" t="s">
        <v>1268</v>
      </c>
      <c r="B677" s="89" t="s">
        <v>1269</v>
      </c>
      <c r="C677" s="90" t="s">
        <v>1270</v>
      </c>
      <c r="D677" s="89"/>
      <c r="E677" s="91"/>
      <c r="F677" s="92"/>
      <c r="G677" s="92">
        <v>5596502000</v>
      </c>
    </row>
    <row r="678" spans="1:7" ht="30" x14ac:dyDescent="0.2">
      <c r="A678" s="7" t="s">
        <v>1271</v>
      </c>
      <c r="B678" s="93" t="s">
        <v>826</v>
      </c>
      <c r="C678" s="94" t="s">
        <v>1272</v>
      </c>
      <c r="D678" s="93"/>
      <c r="E678" s="95"/>
      <c r="F678" s="96"/>
      <c r="G678" s="96">
        <v>2000000000</v>
      </c>
    </row>
    <row r="679" spans="1:7" ht="30" x14ac:dyDescent="0.2">
      <c r="A679" s="7" t="s">
        <v>1273</v>
      </c>
      <c r="B679" s="97" t="s">
        <v>8</v>
      </c>
      <c r="C679" s="98" t="s">
        <v>132</v>
      </c>
      <c r="D679" s="97"/>
      <c r="E679" s="99"/>
      <c r="F679" s="100"/>
      <c r="G679" s="100">
        <v>259650000</v>
      </c>
    </row>
    <row r="680" spans="1:7" ht="15" x14ac:dyDescent="0.2">
      <c r="A680" s="7" t="s">
        <v>1274</v>
      </c>
      <c r="B680" s="78" t="s">
        <v>503</v>
      </c>
      <c r="C680" s="79" t="s">
        <v>7</v>
      </c>
      <c r="D680" s="78"/>
      <c r="E680" s="80"/>
      <c r="F680" s="81"/>
      <c r="G680" s="81">
        <v>12000000</v>
      </c>
    </row>
    <row r="681" spans="1:7" x14ac:dyDescent="0.2">
      <c r="A681" s="7" t="s">
        <v>1275</v>
      </c>
      <c r="B681" s="89" t="s">
        <v>195</v>
      </c>
      <c r="C681" s="90" t="s">
        <v>1276</v>
      </c>
      <c r="D681" s="89">
        <v>12</v>
      </c>
      <c r="E681" s="91" t="s">
        <v>52</v>
      </c>
      <c r="F681" s="92">
        <v>1000000</v>
      </c>
      <c r="G681" s="92">
        <v>12000000</v>
      </c>
    </row>
    <row r="682" spans="1:7" ht="15" x14ac:dyDescent="0.2">
      <c r="A682" s="7" t="s">
        <v>1277</v>
      </c>
      <c r="B682" s="78" t="s">
        <v>537</v>
      </c>
      <c r="C682" s="79" t="s">
        <v>64</v>
      </c>
      <c r="D682" s="78"/>
      <c r="E682" s="80"/>
      <c r="F682" s="81"/>
      <c r="G682" s="81">
        <v>24000000</v>
      </c>
    </row>
    <row r="683" spans="1:7" x14ac:dyDescent="0.2">
      <c r="A683" s="7" t="s">
        <v>1278</v>
      </c>
      <c r="B683" s="89" t="s">
        <v>195</v>
      </c>
      <c r="C683" s="90" t="s">
        <v>619</v>
      </c>
      <c r="D683" s="89">
        <v>12</v>
      </c>
      <c r="E683" s="91" t="s">
        <v>52</v>
      </c>
      <c r="F683" s="92">
        <v>1000000</v>
      </c>
      <c r="G683" s="92">
        <v>12000000</v>
      </c>
    </row>
    <row r="684" spans="1:7" x14ac:dyDescent="0.2">
      <c r="A684" s="7" t="s">
        <v>1279</v>
      </c>
      <c r="B684" s="89" t="s">
        <v>195</v>
      </c>
      <c r="C684" s="90" t="s">
        <v>859</v>
      </c>
      <c r="D684" s="89">
        <v>12</v>
      </c>
      <c r="E684" s="91" t="s">
        <v>52</v>
      </c>
      <c r="F684" s="92">
        <v>1000000</v>
      </c>
      <c r="G684" s="92">
        <v>12000000</v>
      </c>
    </row>
    <row r="685" spans="1:7" ht="15" x14ac:dyDescent="0.2">
      <c r="A685" s="7" t="s">
        <v>1280</v>
      </c>
      <c r="B685" s="78" t="s">
        <v>513</v>
      </c>
      <c r="C685" s="79" t="s">
        <v>19</v>
      </c>
      <c r="D685" s="78"/>
      <c r="E685" s="80"/>
      <c r="F685" s="81"/>
      <c r="G685" s="81">
        <v>210000000</v>
      </c>
    </row>
    <row r="686" spans="1:7" ht="28.5" x14ac:dyDescent="0.2">
      <c r="A686" s="7" t="s">
        <v>1281</v>
      </c>
      <c r="B686" s="89" t="s">
        <v>195</v>
      </c>
      <c r="C686" s="90" t="s">
        <v>1282</v>
      </c>
      <c r="D686" s="89">
        <v>30</v>
      </c>
      <c r="E686" s="91" t="s">
        <v>25</v>
      </c>
      <c r="F686" s="92">
        <v>5000000</v>
      </c>
      <c r="G686" s="92">
        <v>150000000</v>
      </c>
    </row>
    <row r="687" spans="1:7" ht="28.5" x14ac:dyDescent="0.2">
      <c r="A687" s="7" t="s">
        <v>1283</v>
      </c>
      <c r="B687" s="89" t="s">
        <v>195</v>
      </c>
      <c r="C687" s="90" t="s">
        <v>1284</v>
      </c>
      <c r="D687" s="89">
        <v>12</v>
      </c>
      <c r="E687" s="91" t="s">
        <v>25</v>
      </c>
      <c r="F687" s="92">
        <v>5000000</v>
      </c>
      <c r="G687" s="92">
        <v>60000000</v>
      </c>
    </row>
    <row r="688" spans="1:7" ht="30" x14ac:dyDescent="0.2">
      <c r="A688" s="7" t="s">
        <v>1285</v>
      </c>
      <c r="B688" s="78" t="s">
        <v>509</v>
      </c>
      <c r="C688" s="79" t="s">
        <v>14</v>
      </c>
      <c r="D688" s="78"/>
      <c r="E688" s="80"/>
      <c r="F688" s="81"/>
      <c r="G688" s="81">
        <v>13650000</v>
      </c>
    </row>
    <row r="689" spans="1:7" x14ac:dyDescent="0.2">
      <c r="A689" s="7" t="s">
        <v>1286</v>
      </c>
      <c r="B689" s="89" t="s">
        <v>195</v>
      </c>
      <c r="C689" s="90" t="s">
        <v>630</v>
      </c>
      <c r="D689" s="89">
        <v>91</v>
      </c>
      <c r="E689" s="91" t="s">
        <v>73</v>
      </c>
      <c r="F689" s="92">
        <v>150000</v>
      </c>
      <c r="G689" s="92">
        <v>13650000</v>
      </c>
    </row>
    <row r="690" spans="1:7" ht="45" x14ac:dyDescent="0.2">
      <c r="A690" s="7" t="s">
        <v>1287</v>
      </c>
      <c r="B690" s="97" t="s">
        <v>511</v>
      </c>
      <c r="C690" s="98" t="s">
        <v>134</v>
      </c>
      <c r="D690" s="97"/>
      <c r="E690" s="99"/>
      <c r="F690" s="100"/>
      <c r="G690" s="100">
        <v>1740350000</v>
      </c>
    </row>
    <row r="691" spans="1:7" ht="30" x14ac:dyDescent="0.2">
      <c r="A691" s="7" t="s">
        <v>1288</v>
      </c>
      <c r="B691" s="78" t="s">
        <v>515</v>
      </c>
      <c r="C691" s="79" t="s">
        <v>642</v>
      </c>
      <c r="D691" s="78"/>
      <c r="E691" s="80"/>
      <c r="F691" s="81"/>
      <c r="G691" s="81">
        <v>86400000</v>
      </c>
    </row>
    <row r="692" spans="1:7" ht="28.5" x14ac:dyDescent="0.2">
      <c r="A692" s="7" t="s">
        <v>1289</v>
      </c>
      <c r="B692" s="89" t="s">
        <v>195</v>
      </c>
      <c r="C692" s="90" t="s">
        <v>1290</v>
      </c>
      <c r="D692" s="89">
        <v>24</v>
      </c>
      <c r="E692" s="91" t="s">
        <v>32</v>
      </c>
      <c r="F692" s="92">
        <v>400000</v>
      </c>
      <c r="G692" s="92">
        <v>9600000</v>
      </c>
    </row>
    <row r="693" spans="1:7" x14ac:dyDescent="0.2">
      <c r="A693" s="7" t="s">
        <v>1291</v>
      </c>
      <c r="B693" s="89" t="s">
        <v>195</v>
      </c>
      <c r="C693" s="90" t="s">
        <v>1292</v>
      </c>
      <c r="D693" s="89">
        <v>384</v>
      </c>
      <c r="E693" s="91" t="s">
        <v>32</v>
      </c>
      <c r="F693" s="92">
        <v>200000</v>
      </c>
      <c r="G693" s="92">
        <v>76800000</v>
      </c>
    </row>
    <row r="694" spans="1:7" ht="15" x14ac:dyDescent="0.2">
      <c r="A694" s="7" t="s">
        <v>1293</v>
      </c>
      <c r="B694" s="78" t="s">
        <v>537</v>
      </c>
      <c r="C694" s="79" t="s">
        <v>64</v>
      </c>
      <c r="D694" s="78"/>
      <c r="E694" s="80"/>
      <c r="F694" s="81"/>
      <c r="G694" s="81">
        <v>24000000</v>
      </c>
    </row>
    <row r="695" spans="1:7" x14ac:dyDescent="0.2">
      <c r="A695" s="7" t="s">
        <v>1294</v>
      </c>
      <c r="B695" s="89" t="s">
        <v>195</v>
      </c>
      <c r="C695" s="90" t="s">
        <v>619</v>
      </c>
      <c r="D695" s="89">
        <v>12</v>
      </c>
      <c r="E695" s="91" t="s">
        <v>52</v>
      </c>
      <c r="F695" s="92">
        <v>1000000</v>
      </c>
      <c r="G695" s="92">
        <v>12000000</v>
      </c>
    </row>
    <row r="696" spans="1:7" x14ac:dyDescent="0.2">
      <c r="A696" s="7" t="s">
        <v>1295</v>
      </c>
      <c r="B696" s="89" t="s">
        <v>195</v>
      </c>
      <c r="C696" s="90" t="s">
        <v>859</v>
      </c>
      <c r="D696" s="89">
        <v>12</v>
      </c>
      <c r="E696" s="91" t="s">
        <v>52</v>
      </c>
      <c r="F696" s="92">
        <v>1000000</v>
      </c>
      <c r="G696" s="92">
        <v>12000000</v>
      </c>
    </row>
    <row r="697" spans="1:7" ht="15" x14ac:dyDescent="0.2">
      <c r="A697" s="7" t="s">
        <v>1296</v>
      </c>
      <c r="B697" s="78" t="s">
        <v>516</v>
      </c>
      <c r="C697" s="79" t="s">
        <v>11</v>
      </c>
      <c r="D697" s="78"/>
      <c r="E697" s="80"/>
      <c r="F697" s="81"/>
      <c r="G697" s="81">
        <v>43200000</v>
      </c>
    </row>
    <row r="698" spans="1:7" x14ac:dyDescent="0.2">
      <c r="A698" s="7" t="s">
        <v>1297</v>
      </c>
      <c r="B698" s="89" t="s">
        <v>195</v>
      </c>
      <c r="C698" s="90" t="s">
        <v>1298</v>
      </c>
      <c r="D698" s="89">
        <v>24</v>
      </c>
      <c r="E698" s="91" t="s">
        <v>54</v>
      </c>
      <c r="F698" s="92">
        <v>1200000</v>
      </c>
      <c r="G698" s="92">
        <v>28800000</v>
      </c>
    </row>
    <row r="699" spans="1:7" ht="28.5" x14ac:dyDescent="0.2">
      <c r="A699" s="7" t="s">
        <v>1299</v>
      </c>
      <c r="B699" s="89" t="s">
        <v>195</v>
      </c>
      <c r="C699" s="90" t="s">
        <v>1300</v>
      </c>
      <c r="D699" s="89">
        <v>16</v>
      </c>
      <c r="E699" s="91" t="s">
        <v>54</v>
      </c>
      <c r="F699" s="92">
        <v>900000</v>
      </c>
      <c r="G699" s="92">
        <v>14400000</v>
      </c>
    </row>
    <row r="700" spans="1:7" ht="15" x14ac:dyDescent="0.2">
      <c r="A700" s="7" t="s">
        <v>1301</v>
      </c>
      <c r="B700" s="78" t="s">
        <v>518</v>
      </c>
      <c r="C700" s="79" t="s">
        <v>24</v>
      </c>
      <c r="D700" s="78"/>
      <c r="E700" s="80"/>
      <c r="F700" s="81"/>
      <c r="G700" s="81">
        <v>150000000</v>
      </c>
    </row>
    <row r="701" spans="1:7" x14ac:dyDescent="0.2">
      <c r="A701" s="7" t="s">
        <v>1302</v>
      </c>
      <c r="B701" s="89" t="s">
        <v>195</v>
      </c>
      <c r="C701" s="90" t="s">
        <v>1303</v>
      </c>
      <c r="D701" s="89">
        <v>500</v>
      </c>
      <c r="E701" s="91" t="s">
        <v>25</v>
      </c>
      <c r="F701" s="92">
        <v>300000</v>
      </c>
      <c r="G701" s="92">
        <v>150000000</v>
      </c>
    </row>
    <row r="702" spans="1:7" ht="15" x14ac:dyDescent="0.2">
      <c r="A702" s="7" t="s">
        <v>1304</v>
      </c>
      <c r="B702" s="78" t="s">
        <v>513</v>
      </c>
      <c r="C702" s="79" t="s">
        <v>19</v>
      </c>
      <c r="D702" s="78"/>
      <c r="E702" s="80"/>
      <c r="F702" s="81"/>
      <c r="G702" s="81">
        <v>1415000000</v>
      </c>
    </row>
    <row r="703" spans="1:7" ht="42.75" x14ac:dyDescent="0.2">
      <c r="A703" s="7" t="s">
        <v>1305</v>
      </c>
      <c r="B703" s="89" t="s">
        <v>195</v>
      </c>
      <c r="C703" s="90" t="s">
        <v>1306</v>
      </c>
      <c r="D703" s="89">
        <v>15</v>
      </c>
      <c r="E703" s="91" t="s">
        <v>25</v>
      </c>
      <c r="F703" s="92">
        <v>5000000</v>
      </c>
      <c r="G703" s="92">
        <v>75000000</v>
      </c>
    </row>
    <row r="704" spans="1:7" x14ac:dyDescent="0.2">
      <c r="A704" s="7" t="s">
        <v>1307</v>
      </c>
      <c r="B704" s="89" t="s">
        <v>195</v>
      </c>
      <c r="C704" s="90" t="s">
        <v>1308</v>
      </c>
      <c r="D704" s="89">
        <v>74</v>
      </c>
      <c r="E704" s="91" t="s">
        <v>25</v>
      </c>
      <c r="F704" s="92">
        <v>10000000</v>
      </c>
      <c r="G704" s="92">
        <v>740000000</v>
      </c>
    </row>
    <row r="705" spans="1:7" x14ac:dyDescent="0.2">
      <c r="A705" s="7" t="s">
        <v>1309</v>
      </c>
      <c r="B705" s="89" t="s">
        <v>195</v>
      </c>
      <c r="C705" s="90" t="s">
        <v>1310</v>
      </c>
      <c r="D705" s="89">
        <v>60</v>
      </c>
      <c r="E705" s="91" t="s">
        <v>25</v>
      </c>
      <c r="F705" s="92">
        <v>10000000</v>
      </c>
      <c r="G705" s="92">
        <v>600000000</v>
      </c>
    </row>
    <row r="706" spans="1:7" ht="30" x14ac:dyDescent="0.2">
      <c r="A706" s="7" t="s">
        <v>1311</v>
      </c>
      <c r="B706" s="78" t="s">
        <v>509</v>
      </c>
      <c r="C706" s="79" t="s">
        <v>14</v>
      </c>
      <c r="D706" s="78"/>
      <c r="E706" s="80"/>
      <c r="F706" s="81"/>
      <c r="G706" s="81">
        <v>21750000</v>
      </c>
    </row>
    <row r="707" spans="1:7" x14ac:dyDescent="0.2">
      <c r="A707" s="7" t="s">
        <v>1312</v>
      </c>
      <c r="B707" s="89" t="s">
        <v>195</v>
      </c>
      <c r="C707" s="90" t="s">
        <v>1313</v>
      </c>
      <c r="D707" s="89">
        <v>60</v>
      </c>
      <c r="E707" s="91" t="s">
        <v>73</v>
      </c>
      <c r="F707" s="92">
        <v>210000</v>
      </c>
      <c r="G707" s="92">
        <v>12600000</v>
      </c>
    </row>
    <row r="708" spans="1:7" x14ac:dyDescent="0.2">
      <c r="A708" s="7" t="s">
        <v>1314</v>
      </c>
      <c r="B708" s="89" t="s">
        <v>195</v>
      </c>
      <c r="C708" s="90" t="s">
        <v>630</v>
      </c>
      <c r="D708" s="89">
        <v>61</v>
      </c>
      <c r="E708" s="91" t="s">
        <v>73</v>
      </c>
      <c r="F708" s="92">
        <v>150000</v>
      </c>
      <c r="G708" s="92">
        <v>9150000</v>
      </c>
    </row>
    <row r="709" spans="1:7" ht="30" x14ac:dyDescent="0.2">
      <c r="A709" s="7" t="s">
        <v>1315</v>
      </c>
      <c r="B709" s="93" t="s">
        <v>1316</v>
      </c>
      <c r="C709" s="94" t="s">
        <v>1317</v>
      </c>
      <c r="D709" s="93"/>
      <c r="E709" s="95"/>
      <c r="F709" s="96"/>
      <c r="G709" s="96">
        <v>860000000</v>
      </c>
    </row>
    <row r="710" spans="1:7" ht="30" x14ac:dyDescent="0.2">
      <c r="A710" s="7" t="s">
        <v>1318</v>
      </c>
      <c r="B710" s="97" t="s">
        <v>8</v>
      </c>
      <c r="C710" s="98" t="s">
        <v>142</v>
      </c>
      <c r="D710" s="97"/>
      <c r="E710" s="99"/>
      <c r="F710" s="100"/>
      <c r="G710" s="100">
        <v>29629000</v>
      </c>
    </row>
    <row r="711" spans="1:7" ht="15" x14ac:dyDescent="0.2">
      <c r="A711" s="7" t="s">
        <v>1319</v>
      </c>
      <c r="B711" s="78" t="s">
        <v>503</v>
      </c>
      <c r="C711" s="79" t="s">
        <v>7</v>
      </c>
      <c r="D711" s="78"/>
      <c r="E711" s="80"/>
      <c r="F711" s="81"/>
      <c r="G711" s="81">
        <v>3629000</v>
      </c>
    </row>
    <row r="712" spans="1:7" x14ac:dyDescent="0.2">
      <c r="A712" s="7" t="s">
        <v>1320</v>
      </c>
      <c r="B712" s="89" t="s">
        <v>195</v>
      </c>
      <c r="C712" s="90" t="s">
        <v>1321</v>
      </c>
      <c r="D712" s="89">
        <v>36</v>
      </c>
      <c r="E712" s="91" t="s">
        <v>10</v>
      </c>
      <c r="F712" s="92">
        <v>75000</v>
      </c>
      <c r="G712" s="92">
        <v>2700000</v>
      </c>
    </row>
    <row r="713" spans="1:7" x14ac:dyDescent="0.2">
      <c r="A713" s="7" t="s">
        <v>1322</v>
      </c>
      <c r="B713" s="89" t="s">
        <v>195</v>
      </c>
      <c r="C713" s="90" t="s">
        <v>1323</v>
      </c>
      <c r="D713" s="89">
        <v>1</v>
      </c>
      <c r="E713" s="91" t="s">
        <v>9</v>
      </c>
      <c r="F713" s="92">
        <v>929000</v>
      </c>
      <c r="G713" s="92">
        <v>929000</v>
      </c>
    </row>
    <row r="714" spans="1:7" ht="15" x14ac:dyDescent="0.2">
      <c r="A714" s="7" t="s">
        <v>1324</v>
      </c>
      <c r="B714" s="78" t="s">
        <v>537</v>
      </c>
      <c r="C714" s="79" t="s">
        <v>64</v>
      </c>
      <c r="D714" s="78"/>
      <c r="E714" s="80"/>
      <c r="F714" s="81"/>
      <c r="G714" s="81">
        <v>2000000</v>
      </c>
    </row>
    <row r="715" spans="1:7" x14ac:dyDescent="0.2">
      <c r="A715" s="7" t="s">
        <v>1325</v>
      </c>
      <c r="B715" s="89" t="s">
        <v>195</v>
      </c>
      <c r="C715" s="90" t="s">
        <v>619</v>
      </c>
      <c r="D715" s="89">
        <v>1</v>
      </c>
      <c r="E715" s="91" t="s">
        <v>9</v>
      </c>
      <c r="F715" s="92">
        <v>1000000</v>
      </c>
      <c r="G715" s="92">
        <v>1000000</v>
      </c>
    </row>
    <row r="716" spans="1:7" x14ac:dyDescent="0.2">
      <c r="A716" s="7" t="s">
        <v>1326</v>
      </c>
      <c r="B716" s="89" t="s">
        <v>195</v>
      </c>
      <c r="C716" s="90" t="s">
        <v>620</v>
      </c>
      <c r="D716" s="89">
        <v>1</v>
      </c>
      <c r="E716" s="91" t="s">
        <v>9</v>
      </c>
      <c r="F716" s="92">
        <v>1000000</v>
      </c>
      <c r="G716" s="92">
        <v>1000000</v>
      </c>
    </row>
    <row r="717" spans="1:7" ht="15" x14ac:dyDescent="0.2">
      <c r="A717" s="7" t="s">
        <v>1327</v>
      </c>
      <c r="B717" s="78" t="s">
        <v>513</v>
      </c>
      <c r="C717" s="79" t="s">
        <v>19</v>
      </c>
      <c r="D717" s="78"/>
      <c r="E717" s="80"/>
      <c r="F717" s="81"/>
      <c r="G717" s="81">
        <v>24000000</v>
      </c>
    </row>
    <row r="718" spans="1:7" x14ac:dyDescent="0.2">
      <c r="A718" s="7" t="s">
        <v>1328</v>
      </c>
      <c r="B718" s="89" t="s">
        <v>195</v>
      </c>
      <c r="C718" s="90" t="s">
        <v>1329</v>
      </c>
      <c r="D718" s="89">
        <v>4</v>
      </c>
      <c r="E718" s="91" t="s">
        <v>10</v>
      </c>
      <c r="F718" s="92">
        <v>6000000</v>
      </c>
      <c r="G718" s="92">
        <v>24000000</v>
      </c>
    </row>
    <row r="719" spans="1:7" ht="15" x14ac:dyDescent="0.2">
      <c r="A719" s="7" t="s">
        <v>1330</v>
      </c>
      <c r="B719" s="97" t="s">
        <v>511</v>
      </c>
      <c r="C719" s="98" t="s">
        <v>139</v>
      </c>
      <c r="D719" s="97"/>
      <c r="E719" s="99"/>
      <c r="F719" s="100"/>
      <c r="G719" s="100">
        <v>215971000</v>
      </c>
    </row>
    <row r="720" spans="1:7" ht="15" x14ac:dyDescent="0.2">
      <c r="A720" s="7" t="s">
        <v>1331</v>
      </c>
      <c r="B720" s="78" t="s">
        <v>503</v>
      </c>
      <c r="C720" s="79" t="s">
        <v>7</v>
      </c>
      <c r="D720" s="78"/>
      <c r="E720" s="80"/>
      <c r="F720" s="81"/>
      <c r="G720" s="81">
        <v>15500000</v>
      </c>
    </row>
    <row r="721" spans="1:7" x14ac:dyDescent="0.2">
      <c r="A721" s="7" t="s">
        <v>1332</v>
      </c>
      <c r="B721" s="89" t="s">
        <v>195</v>
      </c>
      <c r="C721" s="90" t="s">
        <v>619</v>
      </c>
      <c r="D721" s="89">
        <v>3</v>
      </c>
      <c r="E721" s="91" t="s">
        <v>9</v>
      </c>
      <c r="F721" s="92">
        <v>1000000</v>
      </c>
      <c r="G721" s="92">
        <v>3000000</v>
      </c>
    </row>
    <row r="722" spans="1:7" x14ac:dyDescent="0.2">
      <c r="A722" s="7" t="s">
        <v>1333</v>
      </c>
      <c r="B722" s="89" t="s">
        <v>195</v>
      </c>
      <c r="C722" s="90" t="s">
        <v>620</v>
      </c>
      <c r="D722" s="89">
        <v>3</v>
      </c>
      <c r="E722" s="91" t="s">
        <v>9</v>
      </c>
      <c r="F722" s="92">
        <v>1000000</v>
      </c>
      <c r="G722" s="92">
        <v>3000000</v>
      </c>
    </row>
    <row r="723" spans="1:7" x14ac:dyDescent="0.2">
      <c r="A723" s="7" t="s">
        <v>1334</v>
      </c>
      <c r="B723" s="89" t="s">
        <v>195</v>
      </c>
      <c r="C723" s="90" t="s">
        <v>617</v>
      </c>
      <c r="D723" s="89">
        <v>1</v>
      </c>
      <c r="E723" s="91" t="s">
        <v>9</v>
      </c>
      <c r="F723" s="92">
        <v>2000000</v>
      </c>
      <c r="G723" s="92">
        <v>2000000</v>
      </c>
    </row>
    <row r="724" spans="1:7" x14ac:dyDescent="0.2">
      <c r="A724" s="7" t="s">
        <v>1335</v>
      </c>
      <c r="B724" s="89" t="s">
        <v>195</v>
      </c>
      <c r="C724" s="90" t="s">
        <v>1336</v>
      </c>
      <c r="D724" s="89">
        <v>100</v>
      </c>
      <c r="E724" s="91" t="s">
        <v>10</v>
      </c>
      <c r="F724" s="92">
        <v>75000</v>
      </c>
      <c r="G724" s="92">
        <v>7500000</v>
      </c>
    </row>
    <row r="725" spans="1:7" ht="15" x14ac:dyDescent="0.2">
      <c r="A725" s="7" t="s">
        <v>1337</v>
      </c>
      <c r="B725" s="78" t="s">
        <v>516</v>
      </c>
      <c r="C725" s="79" t="s">
        <v>11</v>
      </c>
      <c r="D725" s="78"/>
      <c r="E725" s="80"/>
      <c r="F725" s="81"/>
      <c r="G725" s="81">
        <v>6000000</v>
      </c>
    </row>
    <row r="726" spans="1:7" x14ac:dyDescent="0.2">
      <c r="A726" s="7" t="s">
        <v>1338</v>
      </c>
      <c r="B726" s="89" t="s">
        <v>195</v>
      </c>
      <c r="C726" s="90" t="s">
        <v>1339</v>
      </c>
      <c r="D726" s="89">
        <v>6</v>
      </c>
      <c r="E726" s="91" t="s">
        <v>12</v>
      </c>
      <c r="F726" s="92">
        <v>1000000</v>
      </c>
      <c r="G726" s="92">
        <v>6000000</v>
      </c>
    </row>
    <row r="727" spans="1:7" ht="15" x14ac:dyDescent="0.2">
      <c r="A727" s="7" t="s">
        <v>1340</v>
      </c>
      <c r="B727" s="78" t="s">
        <v>513</v>
      </c>
      <c r="C727" s="79" t="s">
        <v>19</v>
      </c>
      <c r="D727" s="78"/>
      <c r="E727" s="80"/>
      <c r="F727" s="81"/>
      <c r="G727" s="81">
        <v>194471000</v>
      </c>
    </row>
    <row r="728" spans="1:7" ht="28.5" x14ac:dyDescent="0.2">
      <c r="A728" s="7" t="s">
        <v>1341</v>
      </c>
      <c r="B728" s="89" t="s">
        <v>195</v>
      </c>
      <c r="C728" s="90" t="s">
        <v>1342</v>
      </c>
      <c r="D728" s="89">
        <v>30</v>
      </c>
      <c r="E728" s="91" t="s">
        <v>10</v>
      </c>
      <c r="F728" s="92">
        <v>6482000</v>
      </c>
      <c r="G728" s="92">
        <v>194471000</v>
      </c>
    </row>
    <row r="729" spans="1:7" ht="30" x14ac:dyDescent="0.2">
      <c r="A729" s="7" t="s">
        <v>1343</v>
      </c>
      <c r="B729" s="97" t="s">
        <v>512</v>
      </c>
      <c r="C729" s="98" t="s">
        <v>140</v>
      </c>
      <c r="D729" s="97"/>
      <c r="E729" s="99"/>
      <c r="F729" s="100"/>
      <c r="G729" s="100">
        <v>11200000</v>
      </c>
    </row>
    <row r="730" spans="1:7" ht="15" x14ac:dyDescent="0.2">
      <c r="A730" s="7" t="s">
        <v>1344</v>
      </c>
      <c r="B730" s="78" t="s">
        <v>503</v>
      </c>
      <c r="C730" s="79" t="s">
        <v>7</v>
      </c>
      <c r="D730" s="78"/>
      <c r="E730" s="80"/>
      <c r="F730" s="81"/>
      <c r="G730" s="81">
        <v>1200000</v>
      </c>
    </row>
    <row r="731" spans="1:7" x14ac:dyDescent="0.2">
      <c r="A731" s="7" t="s">
        <v>1345</v>
      </c>
      <c r="B731" s="89" t="s">
        <v>195</v>
      </c>
      <c r="C731" s="90" t="s">
        <v>1346</v>
      </c>
      <c r="D731" s="89">
        <v>16</v>
      </c>
      <c r="E731" s="91" t="s">
        <v>10</v>
      </c>
      <c r="F731" s="92">
        <v>75000</v>
      </c>
      <c r="G731" s="92">
        <v>1200000</v>
      </c>
    </row>
    <row r="732" spans="1:7" ht="15" x14ac:dyDescent="0.2">
      <c r="A732" s="7" t="s">
        <v>1347</v>
      </c>
      <c r="B732" s="78" t="s">
        <v>537</v>
      </c>
      <c r="C732" s="79" t="s">
        <v>64</v>
      </c>
      <c r="D732" s="78"/>
      <c r="E732" s="80"/>
      <c r="F732" s="81"/>
      <c r="G732" s="81">
        <v>4000000</v>
      </c>
    </row>
    <row r="733" spans="1:7" x14ac:dyDescent="0.2">
      <c r="A733" s="7" t="s">
        <v>1348</v>
      </c>
      <c r="B733" s="89" t="s">
        <v>195</v>
      </c>
      <c r="C733" s="90" t="s">
        <v>619</v>
      </c>
      <c r="D733" s="89">
        <v>2</v>
      </c>
      <c r="E733" s="91" t="s">
        <v>9</v>
      </c>
      <c r="F733" s="92">
        <v>1000000</v>
      </c>
      <c r="G733" s="92">
        <v>2000000</v>
      </c>
    </row>
    <row r="734" spans="1:7" x14ac:dyDescent="0.2">
      <c r="A734" s="7" t="s">
        <v>1349</v>
      </c>
      <c r="B734" s="89" t="s">
        <v>195</v>
      </c>
      <c r="C734" s="90" t="s">
        <v>620</v>
      </c>
      <c r="D734" s="89">
        <v>2</v>
      </c>
      <c r="E734" s="91" t="s">
        <v>9</v>
      </c>
      <c r="F734" s="92">
        <v>1000000</v>
      </c>
      <c r="G734" s="92">
        <v>2000000</v>
      </c>
    </row>
    <row r="735" spans="1:7" ht="15" x14ac:dyDescent="0.2">
      <c r="A735" s="7" t="s">
        <v>1350</v>
      </c>
      <c r="B735" s="78" t="s">
        <v>513</v>
      </c>
      <c r="C735" s="79" t="s">
        <v>19</v>
      </c>
      <c r="D735" s="78"/>
      <c r="E735" s="80"/>
      <c r="F735" s="81"/>
      <c r="G735" s="81">
        <v>6000000</v>
      </c>
    </row>
    <row r="736" spans="1:7" x14ac:dyDescent="0.2">
      <c r="A736" s="7" t="s">
        <v>1351</v>
      </c>
      <c r="B736" s="89" t="s">
        <v>195</v>
      </c>
      <c r="C736" s="90" t="s">
        <v>1352</v>
      </c>
      <c r="D736" s="89">
        <v>4</v>
      </c>
      <c r="E736" s="91" t="s">
        <v>10</v>
      </c>
      <c r="F736" s="92">
        <v>1500000</v>
      </c>
      <c r="G736" s="92">
        <v>6000000</v>
      </c>
    </row>
    <row r="737" spans="1:7" ht="15" x14ac:dyDescent="0.2">
      <c r="A737" s="7" t="s">
        <v>1353</v>
      </c>
      <c r="B737" s="97" t="s">
        <v>514</v>
      </c>
      <c r="C737" s="98" t="s">
        <v>1354</v>
      </c>
      <c r="D737" s="97"/>
      <c r="E737" s="99"/>
      <c r="F737" s="100"/>
      <c r="G737" s="100">
        <v>8750000</v>
      </c>
    </row>
    <row r="738" spans="1:7" ht="15" x14ac:dyDescent="0.2">
      <c r="A738" s="7" t="s">
        <v>1355</v>
      </c>
      <c r="B738" s="78" t="s">
        <v>503</v>
      </c>
      <c r="C738" s="79" t="s">
        <v>7</v>
      </c>
      <c r="D738" s="78"/>
      <c r="E738" s="80"/>
      <c r="F738" s="81"/>
      <c r="G738" s="81">
        <v>8750000</v>
      </c>
    </row>
    <row r="739" spans="1:7" x14ac:dyDescent="0.2">
      <c r="A739" s="7" t="s">
        <v>1356</v>
      </c>
      <c r="B739" s="89" t="s">
        <v>195</v>
      </c>
      <c r="C739" s="90" t="s">
        <v>619</v>
      </c>
      <c r="D739" s="89">
        <v>1</v>
      </c>
      <c r="E739" s="91" t="s">
        <v>9</v>
      </c>
      <c r="F739" s="92">
        <v>1000000</v>
      </c>
      <c r="G739" s="92">
        <v>1000000</v>
      </c>
    </row>
    <row r="740" spans="1:7" x14ac:dyDescent="0.2">
      <c r="A740" s="7" t="s">
        <v>1357</v>
      </c>
      <c r="B740" s="89" t="s">
        <v>195</v>
      </c>
      <c r="C740" s="90" t="s">
        <v>620</v>
      </c>
      <c r="D740" s="89">
        <v>1</v>
      </c>
      <c r="E740" s="91" t="s">
        <v>9</v>
      </c>
      <c r="F740" s="92">
        <v>1000000</v>
      </c>
      <c r="G740" s="92">
        <v>1000000</v>
      </c>
    </row>
    <row r="741" spans="1:7" x14ac:dyDescent="0.2">
      <c r="A741" s="7" t="s">
        <v>1358</v>
      </c>
      <c r="B741" s="89" t="s">
        <v>195</v>
      </c>
      <c r="C741" s="90" t="s">
        <v>617</v>
      </c>
      <c r="D741" s="89">
        <v>1</v>
      </c>
      <c r="E741" s="91" t="s">
        <v>9</v>
      </c>
      <c r="F741" s="92">
        <v>750000</v>
      </c>
      <c r="G741" s="92">
        <v>750000</v>
      </c>
    </row>
    <row r="742" spans="1:7" x14ac:dyDescent="0.2">
      <c r="A742" s="7" t="s">
        <v>1359</v>
      </c>
      <c r="B742" s="89" t="s">
        <v>195</v>
      </c>
      <c r="C742" s="90" t="s">
        <v>1360</v>
      </c>
      <c r="D742" s="89">
        <v>80</v>
      </c>
      <c r="E742" s="91" t="s">
        <v>10</v>
      </c>
      <c r="F742" s="92">
        <v>75000</v>
      </c>
      <c r="G742" s="92">
        <v>6000000</v>
      </c>
    </row>
    <row r="743" spans="1:7" ht="15" x14ac:dyDescent="0.2">
      <c r="A743" s="7" t="s">
        <v>1361</v>
      </c>
      <c r="B743" s="97" t="s">
        <v>519</v>
      </c>
      <c r="C743" s="98" t="s">
        <v>1362</v>
      </c>
      <c r="D743" s="97"/>
      <c r="E743" s="99"/>
      <c r="F743" s="100"/>
      <c r="G743" s="100">
        <v>174450000</v>
      </c>
    </row>
    <row r="744" spans="1:7" ht="15" x14ac:dyDescent="0.2">
      <c r="A744" s="7" t="s">
        <v>1363</v>
      </c>
      <c r="B744" s="78" t="s">
        <v>503</v>
      </c>
      <c r="C744" s="79" t="s">
        <v>7</v>
      </c>
      <c r="D744" s="78"/>
      <c r="E744" s="80"/>
      <c r="F744" s="81"/>
      <c r="G744" s="81">
        <v>10750000</v>
      </c>
    </row>
    <row r="745" spans="1:7" x14ac:dyDescent="0.2">
      <c r="A745" s="7" t="s">
        <v>1364</v>
      </c>
      <c r="B745" s="89" t="s">
        <v>195</v>
      </c>
      <c r="C745" s="90" t="s">
        <v>619</v>
      </c>
      <c r="D745" s="89">
        <v>1</v>
      </c>
      <c r="E745" s="91" t="s">
        <v>9</v>
      </c>
      <c r="F745" s="92">
        <v>1000000</v>
      </c>
      <c r="G745" s="92">
        <v>1000000</v>
      </c>
    </row>
    <row r="746" spans="1:7" x14ac:dyDescent="0.2">
      <c r="A746" s="7" t="s">
        <v>1365</v>
      </c>
      <c r="B746" s="89" t="s">
        <v>195</v>
      </c>
      <c r="C746" s="90" t="s">
        <v>1366</v>
      </c>
      <c r="D746" s="89">
        <v>1</v>
      </c>
      <c r="E746" s="91" t="s">
        <v>9</v>
      </c>
      <c r="F746" s="92">
        <v>1000000</v>
      </c>
      <c r="G746" s="92">
        <v>1000000</v>
      </c>
    </row>
    <row r="747" spans="1:7" x14ac:dyDescent="0.2">
      <c r="A747" s="7" t="s">
        <v>1367</v>
      </c>
      <c r="B747" s="89" t="s">
        <v>195</v>
      </c>
      <c r="C747" s="90" t="s">
        <v>1368</v>
      </c>
      <c r="D747" s="89">
        <v>10</v>
      </c>
      <c r="E747" s="91" t="s">
        <v>1369</v>
      </c>
      <c r="F747" s="92">
        <v>425000</v>
      </c>
      <c r="G747" s="92">
        <v>4250000</v>
      </c>
    </row>
    <row r="748" spans="1:7" x14ac:dyDescent="0.2">
      <c r="A748" s="7" t="s">
        <v>1370</v>
      </c>
      <c r="B748" s="89" t="s">
        <v>195</v>
      </c>
      <c r="C748" s="90" t="s">
        <v>1371</v>
      </c>
      <c r="D748" s="89">
        <v>60</v>
      </c>
      <c r="E748" s="91" t="s">
        <v>10</v>
      </c>
      <c r="F748" s="92">
        <v>75000</v>
      </c>
      <c r="G748" s="92">
        <v>4500000</v>
      </c>
    </row>
    <row r="749" spans="1:7" ht="15" x14ac:dyDescent="0.2">
      <c r="A749" s="7" t="s">
        <v>1372</v>
      </c>
      <c r="B749" s="78" t="s">
        <v>516</v>
      </c>
      <c r="C749" s="79" t="s">
        <v>11</v>
      </c>
      <c r="D749" s="78"/>
      <c r="E749" s="80"/>
      <c r="F749" s="81"/>
      <c r="G749" s="81">
        <v>13700000</v>
      </c>
    </row>
    <row r="750" spans="1:7" x14ac:dyDescent="0.2">
      <c r="A750" s="7" t="s">
        <v>1373</v>
      </c>
      <c r="B750" s="89" t="s">
        <v>195</v>
      </c>
      <c r="C750" s="90" t="s">
        <v>1374</v>
      </c>
      <c r="D750" s="89">
        <v>2</v>
      </c>
      <c r="E750" s="91" t="s">
        <v>12</v>
      </c>
      <c r="F750" s="92">
        <v>1000000</v>
      </c>
      <c r="G750" s="92">
        <v>2000000</v>
      </c>
    </row>
    <row r="751" spans="1:7" x14ac:dyDescent="0.2">
      <c r="A751" s="7" t="s">
        <v>1375</v>
      </c>
      <c r="B751" s="89" t="s">
        <v>195</v>
      </c>
      <c r="C751" s="90" t="s">
        <v>1376</v>
      </c>
      <c r="D751" s="89">
        <v>4</v>
      </c>
      <c r="E751" s="91" t="s">
        <v>54</v>
      </c>
      <c r="F751" s="92">
        <v>900000</v>
      </c>
      <c r="G751" s="92">
        <v>3600000</v>
      </c>
    </row>
    <row r="752" spans="1:7" ht="28.5" x14ac:dyDescent="0.2">
      <c r="A752" s="7" t="s">
        <v>1377</v>
      </c>
      <c r="B752" s="89" t="s">
        <v>195</v>
      </c>
      <c r="C752" s="90" t="s">
        <v>1378</v>
      </c>
      <c r="D752" s="89">
        <v>9</v>
      </c>
      <c r="E752" s="91" t="s">
        <v>54</v>
      </c>
      <c r="F752" s="92">
        <v>900000</v>
      </c>
      <c r="G752" s="92">
        <v>8100000</v>
      </c>
    </row>
    <row r="753" spans="1:7" ht="15" x14ac:dyDescent="0.2">
      <c r="A753" s="7" t="s">
        <v>1379</v>
      </c>
      <c r="B753" s="78" t="s">
        <v>513</v>
      </c>
      <c r="C753" s="79" t="s">
        <v>19</v>
      </c>
      <c r="D753" s="78"/>
      <c r="E753" s="80"/>
      <c r="F753" s="81"/>
      <c r="G753" s="81">
        <v>150000000</v>
      </c>
    </row>
    <row r="754" spans="1:7" x14ac:dyDescent="0.2">
      <c r="A754" s="7" t="s">
        <v>1380</v>
      </c>
      <c r="B754" s="89" t="s">
        <v>195</v>
      </c>
      <c r="C754" s="90" t="s">
        <v>1381</v>
      </c>
      <c r="D754" s="89">
        <v>15</v>
      </c>
      <c r="E754" s="91" t="s">
        <v>25</v>
      </c>
      <c r="F754" s="92">
        <v>6000000</v>
      </c>
      <c r="G754" s="92">
        <v>90000000</v>
      </c>
    </row>
    <row r="755" spans="1:7" x14ac:dyDescent="0.2">
      <c r="A755" s="7" t="s">
        <v>1382</v>
      </c>
      <c r="B755" s="89" t="s">
        <v>195</v>
      </c>
      <c r="C755" s="90" t="s">
        <v>1383</v>
      </c>
      <c r="D755" s="89">
        <v>10</v>
      </c>
      <c r="E755" s="91" t="s">
        <v>25</v>
      </c>
      <c r="F755" s="92">
        <v>6000000</v>
      </c>
      <c r="G755" s="92">
        <v>60000000</v>
      </c>
    </row>
    <row r="756" spans="1:7" ht="30" x14ac:dyDescent="0.2">
      <c r="A756" s="7" t="s">
        <v>1384</v>
      </c>
      <c r="B756" s="97" t="s">
        <v>578</v>
      </c>
      <c r="C756" s="98" t="s">
        <v>141</v>
      </c>
      <c r="D756" s="97"/>
      <c r="E756" s="99"/>
      <c r="F756" s="100"/>
      <c r="G756" s="100">
        <v>420000000</v>
      </c>
    </row>
    <row r="757" spans="1:7" ht="15" x14ac:dyDescent="0.2">
      <c r="A757" s="7" t="s">
        <v>1385</v>
      </c>
      <c r="B757" s="78" t="s">
        <v>513</v>
      </c>
      <c r="C757" s="79" t="s">
        <v>19</v>
      </c>
      <c r="D757" s="78"/>
      <c r="E757" s="80"/>
      <c r="F757" s="81"/>
      <c r="G757" s="81">
        <v>420000000</v>
      </c>
    </row>
    <row r="758" spans="1:7" x14ac:dyDescent="0.2">
      <c r="A758" s="7" t="s">
        <v>1386</v>
      </c>
      <c r="B758" s="89" t="s">
        <v>195</v>
      </c>
      <c r="C758" s="90" t="s">
        <v>1387</v>
      </c>
      <c r="D758" s="89">
        <v>70</v>
      </c>
      <c r="E758" s="91" t="s">
        <v>25</v>
      </c>
      <c r="F758" s="92">
        <v>6000000</v>
      </c>
      <c r="G758" s="92">
        <v>420000000</v>
      </c>
    </row>
    <row r="759" spans="1:7" ht="30" x14ac:dyDescent="0.2">
      <c r="A759" s="7" t="s">
        <v>1388</v>
      </c>
      <c r="B759" s="93" t="s">
        <v>833</v>
      </c>
      <c r="C759" s="94" t="s">
        <v>1389</v>
      </c>
      <c r="D759" s="93"/>
      <c r="E759" s="95"/>
      <c r="F759" s="96"/>
      <c r="G759" s="96">
        <v>2736502000</v>
      </c>
    </row>
    <row r="760" spans="1:7" ht="15" x14ac:dyDescent="0.2">
      <c r="A760" s="7" t="s">
        <v>1390</v>
      </c>
      <c r="B760" s="97" t="s">
        <v>8</v>
      </c>
      <c r="C760" s="98" t="s">
        <v>148</v>
      </c>
      <c r="D760" s="97"/>
      <c r="E760" s="99"/>
      <c r="F760" s="100"/>
      <c r="G760" s="100">
        <v>42100000</v>
      </c>
    </row>
    <row r="761" spans="1:7" ht="15" x14ac:dyDescent="0.2">
      <c r="A761" s="7" t="s">
        <v>1391</v>
      </c>
      <c r="B761" s="78" t="s">
        <v>503</v>
      </c>
      <c r="C761" s="79" t="s">
        <v>7</v>
      </c>
      <c r="D761" s="78"/>
      <c r="E761" s="80"/>
      <c r="F761" s="81"/>
      <c r="G761" s="81">
        <v>22000000</v>
      </c>
    </row>
    <row r="762" spans="1:7" x14ac:dyDescent="0.2">
      <c r="A762" s="7" t="s">
        <v>1392</v>
      </c>
      <c r="B762" s="89" t="s">
        <v>195</v>
      </c>
      <c r="C762" s="90" t="s">
        <v>619</v>
      </c>
      <c r="D762" s="89">
        <v>4</v>
      </c>
      <c r="E762" s="91" t="s">
        <v>9</v>
      </c>
      <c r="F762" s="92">
        <v>1500000</v>
      </c>
      <c r="G762" s="92">
        <v>6000000</v>
      </c>
    </row>
    <row r="763" spans="1:7" x14ac:dyDescent="0.2">
      <c r="A763" s="7" t="s">
        <v>1393</v>
      </c>
      <c r="B763" s="89" t="s">
        <v>195</v>
      </c>
      <c r="C763" s="90" t="s">
        <v>620</v>
      </c>
      <c r="D763" s="89">
        <v>4</v>
      </c>
      <c r="E763" s="91" t="s">
        <v>9</v>
      </c>
      <c r="F763" s="92">
        <v>1000000</v>
      </c>
      <c r="G763" s="92">
        <v>4000000</v>
      </c>
    </row>
    <row r="764" spans="1:7" x14ac:dyDescent="0.2">
      <c r="A764" s="7" t="s">
        <v>1394</v>
      </c>
      <c r="B764" s="89" t="s">
        <v>195</v>
      </c>
      <c r="C764" s="90" t="s">
        <v>617</v>
      </c>
      <c r="D764" s="89">
        <v>4</v>
      </c>
      <c r="E764" s="91" t="s">
        <v>9</v>
      </c>
      <c r="F764" s="92">
        <v>1500000</v>
      </c>
      <c r="G764" s="92">
        <v>6000000</v>
      </c>
    </row>
    <row r="765" spans="1:7" x14ac:dyDescent="0.2">
      <c r="A765" s="7" t="s">
        <v>1395</v>
      </c>
      <c r="B765" s="89" t="s">
        <v>195</v>
      </c>
      <c r="C765" s="90" t="s">
        <v>1396</v>
      </c>
      <c r="D765" s="89">
        <v>12</v>
      </c>
      <c r="E765" s="91" t="s">
        <v>176</v>
      </c>
      <c r="F765" s="92">
        <v>500000</v>
      </c>
      <c r="G765" s="92">
        <v>6000000</v>
      </c>
    </row>
    <row r="766" spans="1:7" ht="15" x14ac:dyDescent="0.2">
      <c r="A766" s="7" t="s">
        <v>1397</v>
      </c>
      <c r="B766" s="78" t="s">
        <v>513</v>
      </c>
      <c r="C766" s="79" t="s">
        <v>19</v>
      </c>
      <c r="D766" s="78"/>
      <c r="E766" s="80"/>
      <c r="F766" s="81"/>
      <c r="G766" s="81">
        <v>18000000</v>
      </c>
    </row>
    <row r="767" spans="1:7" x14ac:dyDescent="0.2">
      <c r="A767" s="7" t="s">
        <v>1398</v>
      </c>
      <c r="B767" s="89" t="s">
        <v>195</v>
      </c>
      <c r="C767" s="90" t="s">
        <v>1399</v>
      </c>
      <c r="D767" s="89">
        <v>6</v>
      </c>
      <c r="E767" s="91" t="s">
        <v>10</v>
      </c>
      <c r="F767" s="92">
        <v>3000000</v>
      </c>
      <c r="G767" s="92">
        <v>18000000</v>
      </c>
    </row>
    <row r="768" spans="1:7" ht="15" x14ac:dyDescent="0.2">
      <c r="A768" s="7" t="s">
        <v>1400</v>
      </c>
      <c r="B768" s="78" t="s">
        <v>507</v>
      </c>
      <c r="C768" s="79" t="s">
        <v>13</v>
      </c>
      <c r="D768" s="78"/>
      <c r="E768" s="80"/>
      <c r="F768" s="81"/>
      <c r="G768" s="81">
        <v>2100000</v>
      </c>
    </row>
    <row r="769" spans="1:7" x14ac:dyDescent="0.2">
      <c r="A769" s="7" t="s">
        <v>1401</v>
      </c>
      <c r="B769" s="89" t="s">
        <v>195</v>
      </c>
      <c r="C769" s="90" t="s">
        <v>1402</v>
      </c>
      <c r="D769" s="89">
        <v>14</v>
      </c>
      <c r="E769" s="91" t="s">
        <v>10</v>
      </c>
      <c r="F769" s="92">
        <v>150000</v>
      </c>
      <c r="G769" s="92">
        <v>2100000</v>
      </c>
    </row>
    <row r="770" spans="1:7" ht="15" x14ac:dyDescent="0.2">
      <c r="A770" s="7" t="s">
        <v>1403</v>
      </c>
      <c r="B770" s="97" t="s">
        <v>511</v>
      </c>
      <c r="C770" s="98" t="s">
        <v>150</v>
      </c>
      <c r="D770" s="97"/>
      <c r="E770" s="99"/>
      <c r="F770" s="100"/>
      <c r="G770" s="100">
        <v>571380000</v>
      </c>
    </row>
    <row r="771" spans="1:7" ht="15" x14ac:dyDescent="0.2">
      <c r="A771" s="7" t="s">
        <v>1404</v>
      </c>
      <c r="B771" s="78" t="s">
        <v>503</v>
      </c>
      <c r="C771" s="79" t="s">
        <v>7</v>
      </c>
      <c r="D771" s="78"/>
      <c r="E771" s="80"/>
      <c r="F771" s="81"/>
      <c r="G771" s="81">
        <v>10000000</v>
      </c>
    </row>
    <row r="772" spans="1:7" x14ac:dyDescent="0.2">
      <c r="A772" s="7" t="s">
        <v>1405</v>
      </c>
      <c r="B772" s="89" t="s">
        <v>195</v>
      </c>
      <c r="C772" s="90" t="s">
        <v>619</v>
      </c>
      <c r="D772" s="89">
        <v>4</v>
      </c>
      <c r="E772" s="91" t="s">
        <v>9</v>
      </c>
      <c r="F772" s="92">
        <v>1500000</v>
      </c>
      <c r="G772" s="92">
        <v>6000000</v>
      </c>
    </row>
    <row r="773" spans="1:7" x14ac:dyDescent="0.2">
      <c r="A773" s="7" t="s">
        <v>1406</v>
      </c>
      <c r="B773" s="89" t="s">
        <v>195</v>
      </c>
      <c r="C773" s="90" t="s">
        <v>620</v>
      </c>
      <c r="D773" s="89">
        <v>4</v>
      </c>
      <c r="E773" s="91" t="s">
        <v>9</v>
      </c>
      <c r="F773" s="92">
        <v>1000000</v>
      </c>
      <c r="G773" s="92">
        <v>4000000</v>
      </c>
    </row>
    <row r="774" spans="1:7" ht="15" x14ac:dyDescent="0.2">
      <c r="A774" s="7" t="s">
        <v>1407</v>
      </c>
      <c r="B774" s="78" t="s">
        <v>533</v>
      </c>
      <c r="C774" s="79" t="s">
        <v>53</v>
      </c>
      <c r="D774" s="78"/>
      <c r="E774" s="80"/>
      <c r="F774" s="81"/>
      <c r="G774" s="81">
        <v>7800000</v>
      </c>
    </row>
    <row r="775" spans="1:7" x14ac:dyDescent="0.2">
      <c r="A775" s="7" t="s">
        <v>1408</v>
      </c>
      <c r="B775" s="89" t="s">
        <v>195</v>
      </c>
      <c r="C775" s="90" t="s">
        <v>785</v>
      </c>
      <c r="D775" s="89">
        <v>12</v>
      </c>
      <c r="E775" s="91" t="s">
        <v>66</v>
      </c>
      <c r="F775" s="92">
        <v>650000</v>
      </c>
      <c r="G775" s="92">
        <v>7800000</v>
      </c>
    </row>
    <row r="776" spans="1:7" ht="15" x14ac:dyDescent="0.2">
      <c r="A776" s="7" t="s">
        <v>1409</v>
      </c>
      <c r="B776" s="78" t="s">
        <v>518</v>
      </c>
      <c r="C776" s="79" t="s">
        <v>24</v>
      </c>
      <c r="D776" s="78"/>
      <c r="E776" s="80"/>
      <c r="F776" s="81"/>
      <c r="G776" s="81">
        <v>39080000</v>
      </c>
    </row>
    <row r="777" spans="1:7" x14ac:dyDescent="0.2">
      <c r="A777" s="7" t="s">
        <v>1410</v>
      </c>
      <c r="B777" s="89" t="s">
        <v>195</v>
      </c>
      <c r="C777" s="90" t="s">
        <v>1411</v>
      </c>
      <c r="D777" s="89">
        <v>80</v>
      </c>
      <c r="E777" s="91" t="s">
        <v>25</v>
      </c>
      <c r="F777" s="92">
        <v>488000</v>
      </c>
      <c r="G777" s="92">
        <v>39080000</v>
      </c>
    </row>
    <row r="778" spans="1:7" ht="15" x14ac:dyDescent="0.2">
      <c r="A778" s="7" t="s">
        <v>1412</v>
      </c>
      <c r="B778" s="78" t="s">
        <v>513</v>
      </c>
      <c r="C778" s="79" t="s">
        <v>19</v>
      </c>
      <c r="D778" s="78"/>
      <c r="E778" s="80"/>
      <c r="F778" s="81"/>
      <c r="G778" s="81">
        <v>514500000</v>
      </c>
    </row>
    <row r="779" spans="1:7" x14ac:dyDescent="0.2">
      <c r="A779" s="7" t="s">
        <v>1413</v>
      </c>
      <c r="B779" s="89" t="s">
        <v>195</v>
      </c>
      <c r="C779" s="90" t="s">
        <v>1414</v>
      </c>
      <c r="D779" s="89">
        <v>55</v>
      </c>
      <c r="E779" s="91" t="s">
        <v>10</v>
      </c>
      <c r="F779" s="92">
        <v>6075000</v>
      </c>
      <c r="G779" s="92">
        <v>334125000</v>
      </c>
    </row>
    <row r="780" spans="1:7" ht="28.5" x14ac:dyDescent="0.2">
      <c r="A780" s="7" t="s">
        <v>1415</v>
      </c>
      <c r="B780" s="89" t="s">
        <v>195</v>
      </c>
      <c r="C780" s="90" t="s">
        <v>1416</v>
      </c>
      <c r="D780" s="89">
        <v>30</v>
      </c>
      <c r="E780" s="91" t="s">
        <v>776</v>
      </c>
      <c r="F780" s="92">
        <v>6012000</v>
      </c>
      <c r="G780" s="92">
        <v>180375000</v>
      </c>
    </row>
    <row r="781" spans="1:7" ht="30" x14ac:dyDescent="0.2">
      <c r="A781" s="7" t="s">
        <v>1417</v>
      </c>
      <c r="B781" s="97" t="s">
        <v>512</v>
      </c>
      <c r="C781" s="98" t="s">
        <v>1418</v>
      </c>
      <c r="D781" s="97"/>
      <c r="E781" s="99"/>
      <c r="F781" s="100"/>
      <c r="G781" s="100">
        <v>83500000</v>
      </c>
    </row>
    <row r="782" spans="1:7" ht="15" x14ac:dyDescent="0.2">
      <c r="A782" s="7" t="s">
        <v>1419</v>
      </c>
      <c r="B782" s="78" t="s">
        <v>503</v>
      </c>
      <c r="C782" s="79" t="s">
        <v>7</v>
      </c>
      <c r="D782" s="78"/>
      <c r="E782" s="80"/>
      <c r="F782" s="81"/>
      <c r="G782" s="81">
        <v>46000000</v>
      </c>
    </row>
    <row r="783" spans="1:7" x14ac:dyDescent="0.2">
      <c r="A783" s="7" t="s">
        <v>1420</v>
      </c>
      <c r="B783" s="89" t="s">
        <v>195</v>
      </c>
      <c r="C783" s="90" t="s">
        <v>1421</v>
      </c>
      <c r="D783" s="89">
        <v>500</v>
      </c>
      <c r="E783" s="91" t="s">
        <v>1422</v>
      </c>
      <c r="F783" s="92">
        <v>36000</v>
      </c>
      <c r="G783" s="92">
        <v>18000000</v>
      </c>
    </row>
    <row r="784" spans="1:7" x14ac:dyDescent="0.2">
      <c r="A784" s="7" t="s">
        <v>1423</v>
      </c>
      <c r="B784" s="89" t="s">
        <v>195</v>
      </c>
      <c r="C784" s="90" t="s">
        <v>617</v>
      </c>
      <c r="D784" s="89">
        <v>4</v>
      </c>
      <c r="E784" s="91" t="s">
        <v>9</v>
      </c>
      <c r="F784" s="92">
        <v>1500000</v>
      </c>
      <c r="G784" s="92">
        <v>6000000</v>
      </c>
    </row>
    <row r="785" spans="1:7" x14ac:dyDescent="0.2">
      <c r="A785" s="7" t="s">
        <v>1424</v>
      </c>
      <c r="B785" s="89" t="s">
        <v>195</v>
      </c>
      <c r="C785" s="90" t="s">
        <v>619</v>
      </c>
      <c r="D785" s="89">
        <v>4</v>
      </c>
      <c r="E785" s="91" t="s">
        <v>9</v>
      </c>
      <c r="F785" s="92">
        <v>1000000</v>
      </c>
      <c r="G785" s="92">
        <v>4000000</v>
      </c>
    </row>
    <row r="786" spans="1:7" x14ac:dyDescent="0.2">
      <c r="A786" s="7" t="s">
        <v>1425</v>
      </c>
      <c r="B786" s="89" t="s">
        <v>195</v>
      </c>
      <c r="C786" s="90" t="s">
        <v>620</v>
      </c>
      <c r="D786" s="89">
        <v>4</v>
      </c>
      <c r="E786" s="91" t="s">
        <v>9</v>
      </c>
      <c r="F786" s="92">
        <v>1500000</v>
      </c>
      <c r="G786" s="92">
        <v>6000000</v>
      </c>
    </row>
    <row r="787" spans="1:7" x14ac:dyDescent="0.2">
      <c r="A787" s="7" t="s">
        <v>1426</v>
      </c>
      <c r="B787" s="89" t="s">
        <v>195</v>
      </c>
      <c r="C787" s="90" t="s">
        <v>1427</v>
      </c>
      <c r="D787" s="89">
        <v>24</v>
      </c>
      <c r="E787" s="91" t="s">
        <v>176</v>
      </c>
      <c r="F787" s="92">
        <v>500000</v>
      </c>
      <c r="G787" s="92">
        <v>12000000</v>
      </c>
    </row>
    <row r="788" spans="1:7" ht="15" x14ac:dyDescent="0.2">
      <c r="A788" s="7" t="s">
        <v>1428</v>
      </c>
      <c r="B788" s="78" t="s">
        <v>564</v>
      </c>
      <c r="C788" s="79" t="s">
        <v>95</v>
      </c>
      <c r="D788" s="78"/>
      <c r="E788" s="80"/>
      <c r="F788" s="81"/>
      <c r="G788" s="81">
        <v>6000000</v>
      </c>
    </row>
    <row r="789" spans="1:7" x14ac:dyDescent="0.2">
      <c r="A789" s="7" t="s">
        <v>1429</v>
      </c>
      <c r="B789" s="89" t="s">
        <v>195</v>
      </c>
      <c r="C789" s="90" t="s">
        <v>1430</v>
      </c>
      <c r="D789" s="89">
        <v>4</v>
      </c>
      <c r="E789" s="91" t="s">
        <v>149</v>
      </c>
      <c r="F789" s="92">
        <v>1500000</v>
      </c>
      <c r="G789" s="92">
        <v>6000000</v>
      </c>
    </row>
    <row r="790" spans="1:7" ht="15" x14ac:dyDescent="0.2">
      <c r="A790" s="7" t="s">
        <v>1431</v>
      </c>
      <c r="B790" s="78" t="s">
        <v>513</v>
      </c>
      <c r="C790" s="79" t="s">
        <v>19</v>
      </c>
      <c r="D790" s="78"/>
      <c r="E790" s="80"/>
      <c r="F790" s="81"/>
      <c r="G790" s="81">
        <v>27000000</v>
      </c>
    </row>
    <row r="791" spans="1:7" ht="28.5" x14ac:dyDescent="0.2">
      <c r="A791" s="7" t="s">
        <v>1432</v>
      </c>
      <c r="B791" s="89" t="s">
        <v>195</v>
      </c>
      <c r="C791" s="90" t="s">
        <v>1433</v>
      </c>
      <c r="D791" s="89">
        <v>9</v>
      </c>
      <c r="E791" s="91" t="s">
        <v>10</v>
      </c>
      <c r="F791" s="92">
        <v>3000000</v>
      </c>
      <c r="G791" s="92">
        <v>27000000</v>
      </c>
    </row>
    <row r="792" spans="1:7" ht="15" x14ac:dyDescent="0.2">
      <c r="A792" s="7" t="s">
        <v>1434</v>
      </c>
      <c r="B792" s="78" t="s">
        <v>507</v>
      </c>
      <c r="C792" s="79" t="s">
        <v>13</v>
      </c>
      <c r="D792" s="78"/>
      <c r="E792" s="80"/>
      <c r="F792" s="81"/>
      <c r="G792" s="81">
        <v>4500000</v>
      </c>
    </row>
    <row r="793" spans="1:7" x14ac:dyDescent="0.2">
      <c r="A793" s="7" t="s">
        <v>1435</v>
      </c>
      <c r="B793" s="89" t="s">
        <v>195</v>
      </c>
      <c r="C793" s="90" t="s">
        <v>1436</v>
      </c>
      <c r="D793" s="89">
        <v>30</v>
      </c>
      <c r="E793" s="91" t="s">
        <v>10</v>
      </c>
      <c r="F793" s="92">
        <v>150000</v>
      </c>
      <c r="G793" s="92">
        <v>4500000</v>
      </c>
    </row>
    <row r="794" spans="1:7" ht="30" x14ac:dyDescent="0.2">
      <c r="A794" s="7" t="s">
        <v>1437</v>
      </c>
      <c r="B794" s="97" t="s">
        <v>514</v>
      </c>
      <c r="C794" s="98" t="s">
        <v>151</v>
      </c>
      <c r="D794" s="97"/>
      <c r="E794" s="99"/>
      <c r="F794" s="100"/>
      <c r="G794" s="100">
        <v>101050000</v>
      </c>
    </row>
    <row r="795" spans="1:7" ht="15" x14ac:dyDescent="0.2">
      <c r="A795" s="7" t="s">
        <v>1438</v>
      </c>
      <c r="B795" s="78" t="s">
        <v>503</v>
      </c>
      <c r="C795" s="79" t="s">
        <v>7</v>
      </c>
      <c r="D795" s="78"/>
      <c r="E795" s="80"/>
      <c r="F795" s="81"/>
      <c r="G795" s="81">
        <v>28000000</v>
      </c>
    </row>
    <row r="796" spans="1:7" x14ac:dyDescent="0.2">
      <c r="A796" s="7" t="s">
        <v>1439</v>
      </c>
      <c r="B796" s="89" t="s">
        <v>195</v>
      </c>
      <c r="C796" s="90" t="s">
        <v>619</v>
      </c>
      <c r="D796" s="89">
        <v>4</v>
      </c>
      <c r="E796" s="91" t="s">
        <v>9</v>
      </c>
      <c r="F796" s="92">
        <v>1000000</v>
      </c>
      <c r="G796" s="92">
        <v>4000000</v>
      </c>
    </row>
    <row r="797" spans="1:7" x14ac:dyDescent="0.2">
      <c r="A797" s="7" t="s">
        <v>1440</v>
      </c>
      <c r="B797" s="89" t="s">
        <v>195</v>
      </c>
      <c r="C797" s="90" t="s">
        <v>620</v>
      </c>
      <c r="D797" s="89">
        <v>4</v>
      </c>
      <c r="E797" s="91" t="s">
        <v>9</v>
      </c>
      <c r="F797" s="92">
        <v>1500000</v>
      </c>
      <c r="G797" s="92">
        <v>6000000</v>
      </c>
    </row>
    <row r="798" spans="1:7" x14ac:dyDescent="0.2">
      <c r="A798" s="7" t="s">
        <v>1441</v>
      </c>
      <c r="B798" s="89" t="s">
        <v>195</v>
      </c>
      <c r="C798" s="90" t="s">
        <v>617</v>
      </c>
      <c r="D798" s="89">
        <v>4</v>
      </c>
      <c r="E798" s="91" t="s">
        <v>9</v>
      </c>
      <c r="F798" s="92">
        <v>1500000</v>
      </c>
      <c r="G798" s="92">
        <v>6000000</v>
      </c>
    </row>
    <row r="799" spans="1:7" x14ac:dyDescent="0.2">
      <c r="A799" s="7" t="s">
        <v>1442</v>
      </c>
      <c r="B799" s="89" t="s">
        <v>195</v>
      </c>
      <c r="C799" s="90" t="s">
        <v>1427</v>
      </c>
      <c r="D799" s="89">
        <v>24</v>
      </c>
      <c r="E799" s="91" t="s">
        <v>176</v>
      </c>
      <c r="F799" s="92">
        <v>500000</v>
      </c>
      <c r="G799" s="92">
        <v>12000000</v>
      </c>
    </row>
    <row r="800" spans="1:7" ht="15" x14ac:dyDescent="0.2">
      <c r="A800" s="7" t="s">
        <v>1443</v>
      </c>
      <c r="B800" s="78" t="s">
        <v>513</v>
      </c>
      <c r="C800" s="79" t="s">
        <v>19</v>
      </c>
      <c r="D800" s="78"/>
      <c r="E800" s="80"/>
      <c r="F800" s="81"/>
      <c r="G800" s="81">
        <v>71250000</v>
      </c>
    </row>
    <row r="801" spans="1:7" ht="28.5" x14ac:dyDescent="0.2">
      <c r="A801" s="7" t="s">
        <v>1444</v>
      </c>
      <c r="B801" s="89" t="s">
        <v>195</v>
      </c>
      <c r="C801" s="90" t="s">
        <v>1445</v>
      </c>
      <c r="D801" s="89">
        <v>15</v>
      </c>
      <c r="E801" s="91" t="s">
        <v>10</v>
      </c>
      <c r="F801" s="92">
        <v>4750000</v>
      </c>
      <c r="G801" s="92">
        <v>71250000</v>
      </c>
    </row>
    <row r="802" spans="1:7" ht="15" x14ac:dyDescent="0.2">
      <c r="A802" s="7" t="s">
        <v>1446</v>
      </c>
      <c r="B802" s="78" t="s">
        <v>507</v>
      </c>
      <c r="C802" s="79" t="s">
        <v>13</v>
      </c>
      <c r="D802" s="78"/>
      <c r="E802" s="80"/>
      <c r="F802" s="81"/>
      <c r="G802" s="81">
        <v>1800000</v>
      </c>
    </row>
    <row r="803" spans="1:7" x14ac:dyDescent="0.2">
      <c r="A803" s="7" t="s">
        <v>1447</v>
      </c>
      <c r="B803" s="89" t="s">
        <v>195</v>
      </c>
      <c r="C803" s="90" t="s">
        <v>1436</v>
      </c>
      <c r="D803" s="89">
        <v>12</v>
      </c>
      <c r="E803" s="91" t="s">
        <v>10</v>
      </c>
      <c r="F803" s="92">
        <v>150000</v>
      </c>
      <c r="G803" s="92">
        <v>1800000</v>
      </c>
    </row>
    <row r="804" spans="1:7" ht="15" x14ac:dyDescent="0.2">
      <c r="A804" s="7" t="s">
        <v>1448</v>
      </c>
      <c r="B804" s="97" t="s">
        <v>519</v>
      </c>
      <c r="C804" s="98" t="s">
        <v>152</v>
      </c>
      <c r="D804" s="97"/>
      <c r="E804" s="99"/>
      <c r="F804" s="100"/>
      <c r="G804" s="100">
        <v>388472000</v>
      </c>
    </row>
    <row r="805" spans="1:7" ht="15" x14ac:dyDescent="0.2">
      <c r="A805" s="7" t="s">
        <v>1449</v>
      </c>
      <c r="B805" s="78" t="s">
        <v>503</v>
      </c>
      <c r="C805" s="79" t="s">
        <v>7</v>
      </c>
      <c r="D805" s="78"/>
      <c r="E805" s="80"/>
      <c r="F805" s="81"/>
      <c r="G805" s="81">
        <v>46000000</v>
      </c>
    </row>
    <row r="806" spans="1:7" x14ac:dyDescent="0.2">
      <c r="A806" s="7" t="s">
        <v>1450</v>
      </c>
      <c r="B806" s="89" t="s">
        <v>195</v>
      </c>
      <c r="C806" s="90" t="s">
        <v>617</v>
      </c>
      <c r="D806" s="89">
        <v>4</v>
      </c>
      <c r="E806" s="91" t="s">
        <v>9</v>
      </c>
      <c r="F806" s="92">
        <v>1500000</v>
      </c>
      <c r="G806" s="92">
        <v>6000000</v>
      </c>
    </row>
    <row r="807" spans="1:7" x14ac:dyDescent="0.2">
      <c r="A807" s="7" t="s">
        <v>1451</v>
      </c>
      <c r="B807" s="89" t="s">
        <v>195</v>
      </c>
      <c r="C807" s="90" t="s">
        <v>619</v>
      </c>
      <c r="D807" s="89">
        <v>4</v>
      </c>
      <c r="E807" s="91" t="s">
        <v>9</v>
      </c>
      <c r="F807" s="92">
        <v>1000000</v>
      </c>
      <c r="G807" s="92">
        <v>4000000</v>
      </c>
    </row>
    <row r="808" spans="1:7" x14ac:dyDescent="0.2">
      <c r="A808" s="7" t="s">
        <v>1452</v>
      </c>
      <c r="B808" s="89" t="s">
        <v>195</v>
      </c>
      <c r="C808" s="90" t="s">
        <v>620</v>
      </c>
      <c r="D808" s="89">
        <v>4</v>
      </c>
      <c r="E808" s="91" t="s">
        <v>9</v>
      </c>
      <c r="F808" s="92">
        <v>1500000</v>
      </c>
      <c r="G808" s="92">
        <v>6000000</v>
      </c>
    </row>
    <row r="809" spans="1:7" ht="28.5" x14ac:dyDescent="0.2">
      <c r="A809" s="7" t="s">
        <v>1453</v>
      </c>
      <c r="B809" s="89" t="s">
        <v>195</v>
      </c>
      <c r="C809" s="90" t="s">
        <v>1454</v>
      </c>
      <c r="D809" s="89">
        <v>60</v>
      </c>
      <c r="E809" s="91" t="s">
        <v>176</v>
      </c>
      <c r="F809" s="92">
        <v>500000</v>
      </c>
      <c r="G809" s="92">
        <v>30000000</v>
      </c>
    </row>
    <row r="810" spans="1:7" ht="30" x14ac:dyDescent="0.2">
      <c r="A810" s="7" t="s">
        <v>1455</v>
      </c>
      <c r="B810" s="78" t="s">
        <v>515</v>
      </c>
      <c r="C810" s="79" t="s">
        <v>642</v>
      </c>
      <c r="D810" s="78"/>
      <c r="E810" s="80"/>
      <c r="F810" s="81"/>
      <c r="G810" s="81">
        <v>249600000</v>
      </c>
    </row>
    <row r="811" spans="1:7" x14ac:dyDescent="0.2">
      <c r="A811" s="7" t="s">
        <v>1456</v>
      </c>
      <c r="B811" s="89" t="s">
        <v>195</v>
      </c>
      <c r="C811" s="90" t="s">
        <v>1457</v>
      </c>
      <c r="D811" s="89">
        <v>720</v>
      </c>
      <c r="E811" s="91" t="s">
        <v>32</v>
      </c>
      <c r="F811" s="92">
        <v>200000</v>
      </c>
      <c r="G811" s="92">
        <v>144000000</v>
      </c>
    </row>
    <row r="812" spans="1:7" ht="28.5" x14ac:dyDescent="0.2">
      <c r="A812" s="7" t="s">
        <v>1458</v>
      </c>
      <c r="B812" s="89" t="s">
        <v>195</v>
      </c>
      <c r="C812" s="90" t="s">
        <v>1459</v>
      </c>
      <c r="D812" s="89">
        <v>360</v>
      </c>
      <c r="E812" s="91" t="s">
        <v>776</v>
      </c>
      <c r="F812" s="92">
        <v>280000</v>
      </c>
      <c r="G812" s="92">
        <v>100800000</v>
      </c>
    </row>
    <row r="813" spans="1:7" x14ac:dyDescent="0.2">
      <c r="A813" s="7" t="s">
        <v>1460</v>
      </c>
      <c r="B813" s="89" t="s">
        <v>195</v>
      </c>
      <c r="C813" s="90" t="s">
        <v>1461</v>
      </c>
      <c r="D813" s="89">
        <v>12</v>
      </c>
      <c r="E813" s="91" t="s">
        <v>32</v>
      </c>
      <c r="F813" s="92">
        <v>400000</v>
      </c>
      <c r="G813" s="92">
        <v>4800000</v>
      </c>
    </row>
    <row r="814" spans="1:7" ht="15" x14ac:dyDescent="0.2">
      <c r="A814" s="7" t="s">
        <v>1462</v>
      </c>
      <c r="B814" s="78" t="s">
        <v>518</v>
      </c>
      <c r="C814" s="79" t="s">
        <v>24</v>
      </c>
      <c r="D814" s="78"/>
      <c r="E814" s="80"/>
      <c r="F814" s="81"/>
      <c r="G814" s="81">
        <v>48000000</v>
      </c>
    </row>
    <row r="815" spans="1:7" x14ac:dyDescent="0.2">
      <c r="A815" s="7" t="s">
        <v>1463</v>
      </c>
      <c r="B815" s="89" t="s">
        <v>195</v>
      </c>
      <c r="C815" s="90" t="s">
        <v>1411</v>
      </c>
      <c r="D815" s="89">
        <v>480</v>
      </c>
      <c r="E815" s="91" t="s">
        <v>25</v>
      </c>
      <c r="F815" s="92">
        <v>100000</v>
      </c>
      <c r="G815" s="92">
        <v>48000000</v>
      </c>
    </row>
    <row r="816" spans="1:7" ht="15" x14ac:dyDescent="0.2">
      <c r="A816" s="7" t="s">
        <v>1464</v>
      </c>
      <c r="B816" s="78" t="s">
        <v>513</v>
      </c>
      <c r="C816" s="79" t="s">
        <v>19</v>
      </c>
      <c r="D816" s="78"/>
      <c r="E816" s="80"/>
      <c r="F816" s="81"/>
      <c r="G816" s="81">
        <v>42772000</v>
      </c>
    </row>
    <row r="817" spans="1:7" x14ac:dyDescent="0.2">
      <c r="A817" s="7" t="s">
        <v>1465</v>
      </c>
      <c r="B817" s="89" t="s">
        <v>195</v>
      </c>
      <c r="C817" s="90" t="s">
        <v>1466</v>
      </c>
      <c r="D817" s="89">
        <v>10</v>
      </c>
      <c r="E817" s="91" t="s">
        <v>10</v>
      </c>
      <c r="F817" s="92">
        <v>4277000</v>
      </c>
      <c r="G817" s="92">
        <v>42772000</v>
      </c>
    </row>
    <row r="818" spans="1:7" ht="15" x14ac:dyDescent="0.2">
      <c r="A818" s="7" t="s">
        <v>1467</v>
      </c>
      <c r="B818" s="78" t="s">
        <v>507</v>
      </c>
      <c r="C818" s="79" t="s">
        <v>13</v>
      </c>
      <c r="D818" s="78"/>
      <c r="E818" s="80"/>
      <c r="F818" s="81"/>
      <c r="G818" s="81">
        <v>2100000</v>
      </c>
    </row>
    <row r="819" spans="1:7" x14ac:dyDescent="0.2">
      <c r="A819" s="7" t="s">
        <v>1468</v>
      </c>
      <c r="B819" s="89" t="s">
        <v>195</v>
      </c>
      <c r="C819" s="90" t="s">
        <v>1436</v>
      </c>
      <c r="D819" s="89">
        <v>14</v>
      </c>
      <c r="E819" s="91" t="s">
        <v>10</v>
      </c>
      <c r="F819" s="92">
        <v>150000</v>
      </c>
      <c r="G819" s="92">
        <v>2100000</v>
      </c>
    </row>
    <row r="820" spans="1:7" ht="30" x14ac:dyDescent="0.2">
      <c r="A820" s="7" t="s">
        <v>1469</v>
      </c>
      <c r="B820" s="97" t="s">
        <v>578</v>
      </c>
      <c r="C820" s="98" t="s">
        <v>154</v>
      </c>
      <c r="D820" s="97"/>
      <c r="E820" s="99"/>
      <c r="F820" s="100"/>
      <c r="G820" s="100">
        <v>450000000</v>
      </c>
    </row>
    <row r="821" spans="1:7" ht="15" x14ac:dyDescent="0.2">
      <c r="A821" s="7" t="s">
        <v>1470</v>
      </c>
      <c r="B821" s="78" t="s">
        <v>503</v>
      </c>
      <c r="C821" s="79" t="s">
        <v>7</v>
      </c>
      <c r="D821" s="78"/>
      <c r="E821" s="80"/>
      <c r="F821" s="81"/>
      <c r="G821" s="81">
        <v>32000000</v>
      </c>
    </row>
    <row r="822" spans="1:7" x14ac:dyDescent="0.2">
      <c r="A822" s="7" t="s">
        <v>1471</v>
      </c>
      <c r="B822" s="89" t="s">
        <v>195</v>
      </c>
      <c r="C822" s="90" t="s">
        <v>617</v>
      </c>
      <c r="D822" s="89">
        <v>8</v>
      </c>
      <c r="E822" s="91" t="s">
        <v>9</v>
      </c>
      <c r="F822" s="92">
        <v>1500000</v>
      </c>
      <c r="G822" s="92">
        <v>12000000</v>
      </c>
    </row>
    <row r="823" spans="1:7" x14ac:dyDescent="0.2">
      <c r="A823" s="7" t="s">
        <v>1472</v>
      </c>
      <c r="B823" s="89" t="s">
        <v>195</v>
      </c>
      <c r="C823" s="90" t="s">
        <v>619</v>
      </c>
      <c r="D823" s="89">
        <v>8</v>
      </c>
      <c r="E823" s="91" t="s">
        <v>9</v>
      </c>
      <c r="F823" s="92">
        <v>1000000</v>
      </c>
      <c r="G823" s="92">
        <v>8000000</v>
      </c>
    </row>
    <row r="824" spans="1:7" x14ac:dyDescent="0.2">
      <c r="A824" s="7" t="s">
        <v>1473</v>
      </c>
      <c r="B824" s="89" t="s">
        <v>195</v>
      </c>
      <c r="C824" s="90" t="s">
        <v>620</v>
      </c>
      <c r="D824" s="89">
        <v>8</v>
      </c>
      <c r="E824" s="91" t="s">
        <v>9</v>
      </c>
      <c r="F824" s="92">
        <v>1500000</v>
      </c>
      <c r="G824" s="92">
        <v>12000000</v>
      </c>
    </row>
    <row r="825" spans="1:7" ht="15" x14ac:dyDescent="0.2">
      <c r="A825" s="7" t="s">
        <v>1474</v>
      </c>
      <c r="B825" s="78" t="s">
        <v>533</v>
      </c>
      <c r="C825" s="79" t="s">
        <v>53</v>
      </c>
      <c r="D825" s="78"/>
      <c r="E825" s="80"/>
      <c r="F825" s="81"/>
      <c r="G825" s="81">
        <v>298141000</v>
      </c>
    </row>
    <row r="826" spans="1:7" x14ac:dyDescent="0.2">
      <c r="A826" s="7" t="s">
        <v>1475</v>
      </c>
      <c r="B826" s="89" t="s">
        <v>195</v>
      </c>
      <c r="C826" s="90" t="s">
        <v>1476</v>
      </c>
      <c r="D826" s="89">
        <v>40</v>
      </c>
      <c r="E826" s="91" t="s">
        <v>10</v>
      </c>
      <c r="F826" s="92">
        <v>1000000</v>
      </c>
      <c r="G826" s="92">
        <v>40000000</v>
      </c>
    </row>
    <row r="827" spans="1:7" x14ac:dyDescent="0.2">
      <c r="A827" s="7" t="s">
        <v>1477</v>
      </c>
      <c r="B827" s="89" t="s">
        <v>195</v>
      </c>
      <c r="C827" s="90" t="s">
        <v>1478</v>
      </c>
      <c r="D827" s="89">
        <v>30</v>
      </c>
      <c r="E827" s="91" t="s">
        <v>776</v>
      </c>
      <c r="F827" s="92">
        <v>8000000</v>
      </c>
      <c r="G827" s="92">
        <v>240000000</v>
      </c>
    </row>
    <row r="828" spans="1:7" ht="28.5" x14ac:dyDescent="0.2">
      <c r="A828" s="7" t="s">
        <v>1479</v>
      </c>
      <c r="B828" s="89" t="s">
        <v>195</v>
      </c>
      <c r="C828" s="90" t="s">
        <v>1480</v>
      </c>
      <c r="D828" s="89">
        <v>400</v>
      </c>
      <c r="E828" s="91" t="s">
        <v>10</v>
      </c>
      <c r="F828" s="92">
        <v>15000</v>
      </c>
      <c r="G828" s="92">
        <v>6000000</v>
      </c>
    </row>
    <row r="829" spans="1:7" x14ac:dyDescent="0.2">
      <c r="A829" s="7" t="s">
        <v>1481</v>
      </c>
      <c r="B829" s="89" t="s">
        <v>195</v>
      </c>
      <c r="C829" s="90" t="s">
        <v>1482</v>
      </c>
      <c r="D829" s="89">
        <v>1</v>
      </c>
      <c r="E829" s="91" t="s">
        <v>60</v>
      </c>
      <c r="F829" s="92">
        <v>12141000</v>
      </c>
      <c r="G829" s="92">
        <v>12141000</v>
      </c>
    </row>
    <row r="830" spans="1:7" ht="15" x14ac:dyDescent="0.2">
      <c r="A830" s="7" t="s">
        <v>1483</v>
      </c>
      <c r="B830" s="78" t="s">
        <v>516</v>
      </c>
      <c r="C830" s="79" t="s">
        <v>11</v>
      </c>
      <c r="D830" s="78"/>
      <c r="E830" s="80"/>
      <c r="F830" s="81"/>
      <c r="G830" s="81">
        <v>30000000</v>
      </c>
    </row>
    <row r="831" spans="1:7" x14ac:dyDescent="0.2">
      <c r="A831" s="7" t="s">
        <v>1484</v>
      </c>
      <c r="B831" s="89" t="s">
        <v>195</v>
      </c>
      <c r="C831" s="90" t="s">
        <v>774</v>
      </c>
      <c r="D831" s="89">
        <v>30</v>
      </c>
      <c r="E831" s="91" t="s">
        <v>54</v>
      </c>
      <c r="F831" s="92">
        <v>1000000</v>
      </c>
      <c r="G831" s="92">
        <v>30000000</v>
      </c>
    </row>
    <row r="832" spans="1:7" ht="15" x14ac:dyDescent="0.2">
      <c r="A832" s="7" t="s">
        <v>1485</v>
      </c>
      <c r="B832" s="78" t="s">
        <v>518</v>
      </c>
      <c r="C832" s="79" t="s">
        <v>24</v>
      </c>
      <c r="D832" s="78"/>
      <c r="E832" s="80"/>
      <c r="F832" s="81"/>
      <c r="G832" s="81">
        <v>8000000</v>
      </c>
    </row>
    <row r="833" spans="1:7" x14ac:dyDescent="0.2">
      <c r="A833" s="7" t="s">
        <v>1486</v>
      </c>
      <c r="B833" s="89" t="s">
        <v>195</v>
      </c>
      <c r="C833" s="90" t="s">
        <v>815</v>
      </c>
      <c r="D833" s="89">
        <v>1</v>
      </c>
      <c r="E833" s="91" t="s">
        <v>60</v>
      </c>
      <c r="F833" s="92">
        <v>8000000</v>
      </c>
      <c r="G833" s="92">
        <v>8000000</v>
      </c>
    </row>
    <row r="834" spans="1:7" ht="15" x14ac:dyDescent="0.2">
      <c r="A834" s="7" t="s">
        <v>1487</v>
      </c>
      <c r="B834" s="78" t="s">
        <v>513</v>
      </c>
      <c r="C834" s="79" t="s">
        <v>19</v>
      </c>
      <c r="D834" s="78"/>
      <c r="E834" s="80"/>
      <c r="F834" s="81"/>
      <c r="G834" s="81">
        <v>81859000</v>
      </c>
    </row>
    <row r="835" spans="1:7" ht="28.5" x14ac:dyDescent="0.2">
      <c r="A835" s="7" t="s">
        <v>1488</v>
      </c>
      <c r="B835" s="89" t="s">
        <v>195</v>
      </c>
      <c r="C835" s="90" t="s">
        <v>1489</v>
      </c>
      <c r="D835" s="89">
        <v>32</v>
      </c>
      <c r="E835" s="91" t="s">
        <v>10</v>
      </c>
      <c r="F835" s="92">
        <v>2558000</v>
      </c>
      <c r="G835" s="92">
        <v>81859000</v>
      </c>
    </row>
    <row r="836" spans="1:7" ht="15" x14ac:dyDescent="0.2">
      <c r="A836" s="7" t="s">
        <v>1490</v>
      </c>
      <c r="B836" s="97" t="s">
        <v>579</v>
      </c>
      <c r="C836" s="98" t="s">
        <v>56</v>
      </c>
      <c r="D836" s="97"/>
      <c r="E836" s="99"/>
      <c r="F836" s="100"/>
      <c r="G836" s="100">
        <v>350000000</v>
      </c>
    </row>
    <row r="837" spans="1:7" ht="15" x14ac:dyDescent="0.2">
      <c r="A837" s="7" t="s">
        <v>1491</v>
      </c>
      <c r="B837" s="78" t="s">
        <v>503</v>
      </c>
      <c r="C837" s="79" t="s">
        <v>7</v>
      </c>
      <c r="D837" s="78"/>
      <c r="E837" s="80"/>
      <c r="F837" s="81"/>
      <c r="G837" s="81">
        <v>31000000</v>
      </c>
    </row>
    <row r="838" spans="1:7" x14ac:dyDescent="0.2">
      <c r="A838" s="7" t="s">
        <v>1492</v>
      </c>
      <c r="B838" s="89" t="s">
        <v>195</v>
      </c>
      <c r="C838" s="90" t="s">
        <v>771</v>
      </c>
      <c r="D838" s="89">
        <v>300</v>
      </c>
      <c r="E838" s="91" t="s">
        <v>10</v>
      </c>
      <c r="F838" s="92">
        <v>75000</v>
      </c>
      <c r="G838" s="92">
        <v>22500000</v>
      </c>
    </row>
    <row r="839" spans="1:7" x14ac:dyDescent="0.2">
      <c r="A839" s="7" t="s">
        <v>1493</v>
      </c>
      <c r="B839" s="89" t="s">
        <v>195</v>
      </c>
      <c r="C839" s="90" t="s">
        <v>617</v>
      </c>
      <c r="D839" s="89">
        <v>1</v>
      </c>
      <c r="E839" s="91" t="s">
        <v>9</v>
      </c>
      <c r="F839" s="92">
        <v>1000000</v>
      </c>
      <c r="G839" s="92">
        <v>1000000</v>
      </c>
    </row>
    <row r="840" spans="1:7" x14ac:dyDescent="0.2">
      <c r="A840" s="7" t="s">
        <v>1494</v>
      </c>
      <c r="B840" s="89" t="s">
        <v>195</v>
      </c>
      <c r="C840" s="90" t="s">
        <v>619</v>
      </c>
      <c r="D840" s="89">
        <v>3</v>
      </c>
      <c r="E840" s="91" t="s">
        <v>9</v>
      </c>
      <c r="F840" s="92">
        <v>1000000</v>
      </c>
      <c r="G840" s="92">
        <v>3000000</v>
      </c>
    </row>
    <row r="841" spans="1:7" x14ac:dyDescent="0.2">
      <c r="A841" s="7" t="s">
        <v>1495</v>
      </c>
      <c r="B841" s="89" t="s">
        <v>195</v>
      </c>
      <c r="C841" s="90" t="s">
        <v>620</v>
      </c>
      <c r="D841" s="89">
        <v>3</v>
      </c>
      <c r="E841" s="91" t="s">
        <v>9</v>
      </c>
      <c r="F841" s="92">
        <v>1500000</v>
      </c>
      <c r="G841" s="92">
        <v>4500000</v>
      </c>
    </row>
    <row r="842" spans="1:7" ht="15" x14ac:dyDescent="0.2">
      <c r="A842" s="7" t="s">
        <v>1496</v>
      </c>
      <c r="B842" s="78" t="s">
        <v>533</v>
      </c>
      <c r="C842" s="79" t="s">
        <v>53</v>
      </c>
      <c r="D842" s="78"/>
      <c r="E842" s="80"/>
      <c r="F842" s="81"/>
      <c r="G842" s="81">
        <v>3000000</v>
      </c>
    </row>
    <row r="843" spans="1:7" x14ac:dyDescent="0.2">
      <c r="A843" s="7" t="s">
        <v>1497</v>
      </c>
      <c r="B843" s="89" t="s">
        <v>195</v>
      </c>
      <c r="C843" s="90" t="s">
        <v>785</v>
      </c>
      <c r="D843" s="89">
        <v>12</v>
      </c>
      <c r="E843" s="91" t="s">
        <v>78</v>
      </c>
      <c r="F843" s="92">
        <v>250000</v>
      </c>
      <c r="G843" s="92">
        <v>3000000</v>
      </c>
    </row>
    <row r="844" spans="1:7" ht="15" x14ac:dyDescent="0.2">
      <c r="A844" s="7" t="s">
        <v>1498</v>
      </c>
      <c r="B844" s="78" t="s">
        <v>516</v>
      </c>
      <c r="C844" s="79" t="s">
        <v>11</v>
      </c>
      <c r="D844" s="78"/>
      <c r="E844" s="80"/>
      <c r="F844" s="81"/>
      <c r="G844" s="81">
        <v>70000000</v>
      </c>
    </row>
    <row r="845" spans="1:7" x14ac:dyDescent="0.2">
      <c r="A845" s="7" t="s">
        <v>1499</v>
      </c>
      <c r="B845" s="89" t="s">
        <v>195</v>
      </c>
      <c r="C845" s="90" t="s">
        <v>1500</v>
      </c>
      <c r="D845" s="89">
        <v>70</v>
      </c>
      <c r="E845" s="91" t="s">
        <v>12</v>
      </c>
      <c r="F845" s="92">
        <v>1000000</v>
      </c>
      <c r="G845" s="92">
        <v>70000000</v>
      </c>
    </row>
    <row r="846" spans="1:7" ht="15" x14ac:dyDescent="0.2">
      <c r="A846" s="7" t="s">
        <v>1501</v>
      </c>
      <c r="B846" s="78" t="s">
        <v>513</v>
      </c>
      <c r="C846" s="79" t="s">
        <v>19</v>
      </c>
      <c r="D846" s="78"/>
      <c r="E846" s="80"/>
      <c r="F846" s="81"/>
      <c r="G846" s="81">
        <v>246000000</v>
      </c>
    </row>
    <row r="847" spans="1:7" x14ac:dyDescent="0.2">
      <c r="A847" s="7" t="s">
        <v>1502</v>
      </c>
      <c r="B847" s="89" t="s">
        <v>195</v>
      </c>
      <c r="C847" s="90" t="s">
        <v>1503</v>
      </c>
      <c r="D847" s="89">
        <v>39</v>
      </c>
      <c r="E847" s="91" t="s">
        <v>10</v>
      </c>
      <c r="F847" s="92">
        <v>6308000</v>
      </c>
      <c r="G847" s="92">
        <v>246000000</v>
      </c>
    </row>
    <row r="848" spans="1:7" ht="30" x14ac:dyDescent="0.2">
      <c r="A848" s="7" t="s">
        <v>1504</v>
      </c>
      <c r="B848" s="97" t="s">
        <v>580</v>
      </c>
      <c r="C848" s="98" t="s">
        <v>1505</v>
      </c>
      <c r="D848" s="97"/>
      <c r="E848" s="99"/>
      <c r="F848" s="100"/>
      <c r="G848" s="100">
        <v>668000000</v>
      </c>
    </row>
    <row r="849" spans="1:7" ht="15" x14ac:dyDescent="0.2">
      <c r="A849" s="7" t="s">
        <v>1506</v>
      </c>
      <c r="B849" s="78" t="s">
        <v>503</v>
      </c>
      <c r="C849" s="79" t="s">
        <v>7</v>
      </c>
      <c r="D849" s="78"/>
      <c r="E849" s="80"/>
      <c r="F849" s="81"/>
      <c r="G849" s="81">
        <v>84800000</v>
      </c>
    </row>
    <row r="850" spans="1:7" x14ac:dyDescent="0.2">
      <c r="A850" s="7" t="s">
        <v>1507</v>
      </c>
      <c r="B850" s="89" t="s">
        <v>195</v>
      </c>
      <c r="C850" s="90" t="s">
        <v>771</v>
      </c>
      <c r="D850" s="89">
        <v>50</v>
      </c>
      <c r="E850" s="91" t="s">
        <v>10</v>
      </c>
      <c r="F850" s="92">
        <v>75000</v>
      </c>
      <c r="G850" s="92">
        <v>3750000</v>
      </c>
    </row>
    <row r="851" spans="1:7" x14ac:dyDescent="0.2">
      <c r="A851" s="7" t="s">
        <v>1508</v>
      </c>
      <c r="B851" s="89" t="s">
        <v>195</v>
      </c>
      <c r="C851" s="90" t="s">
        <v>617</v>
      </c>
      <c r="D851" s="89">
        <v>2</v>
      </c>
      <c r="E851" s="91" t="s">
        <v>9</v>
      </c>
      <c r="F851" s="92">
        <v>1000000</v>
      </c>
      <c r="G851" s="92">
        <v>2000000</v>
      </c>
    </row>
    <row r="852" spans="1:7" x14ac:dyDescent="0.2">
      <c r="A852" s="7" t="s">
        <v>1509</v>
      </c>
      <c r="B852" s="89" t="s">
        <v>195</v>
      </c>
      <c r="C852" s="90" t="s">
        <v>619</v>
      </c>
      <c r="D852" s="89">
        <v>2</v>
      </c>
      <c r="E852" s="91" t="s">
        <v>9</v>
      </c>
      <c r="F852" s="92">
        <v>1000000</v>
      </c>
      <c r="G852" s="92">
        <v>2000000</v>
      </c>
    </row>
    <row r="853" spans="1:7" x14ac:dyDescent="0.2">
      <c r="A853" s="7" t="s">
        <v>1510</v>
      </c>
      <c r="B853" s="89" t="s">
        <v>195</v>
      </c>
      <c r="C853" s="90" t="s">
        <v>620</v>
      </c>
      <c r="D853" s="89">
        <v>2</v>
      </c>
      <c r="E853" s="91" t="s">
        <v>9</v>
      </c>
      <c r="F853" s="92">
        <v>1500000</v>
      </c>
      <c r="G853" s="92">
        <v>3000000</v>
      </c>
    </row>
    <row r="854" spans="1:7" x14ac:dyDescent="0.2">
      <c r="A854" s="7" t="s">
        <v>1511</v>
      </c>
      <c r="B854" s="89" t="s">
        <v>195</v>
      </c>
      <c r="C854" s="90" t="s">
        <v>1512</v>
      </c>
      <c r="D854" s="89">
        <v>20</v>
      </c>
      <c r="E854" s="91" t="s">
        <v>58</v>
      </c>
      <c r="F854" s="92">
        <v>450000</v>
      </c>
      <c r="G854" s="92">
        <v>9000000</v>
      </c>
    </row>
    <row r="855" spans="1:7" x14ac:dyDescent="0.2">
      <c r="A855" s="7" t="s">
        <v>1513</v>
      </c>
      <c r="B855" s="89" t="s">
        <v>195</v>
      </c>
      <c r="C855" s="90" t="s">
        <v>1514</v>
      </c>
      <c r="D855" s="89">
        <v>20</v>
      </c>
      <c r="E855" s="91" t="s">
        <v>58</v>
      </c>
      <c r="F855" s="92">
        <v>450000</v>
      </c>
      <c r="G855" s="92">
        <v>9000000</v>
      </c>
    </row>
    <row r="856" spans="1:7" x14ac:dyDescent="0.2">
      <c r="A856" s="7" t="s">
        <v>1515</v>
      </c>
      <c r="B856" s="89" t="s">
        <v>195</v>
      </c>
      <c r="C856" s="90" t="s">
        <v>1516</v>
      </c>
      <c r="D856" s="89">
        <v>1</v>
      </c>
      <c r="E856" s="91" t="s">
        <v>23</v>
      </c>
      <c r="F856" s="92">
        <v>27575000</v>
      </c>
      <c r="G856" s="92">
        <v>27575000</v>
      </c>
    </row>
    <row r="857" spans="1:7" x14ac:dyDescent="0.2">
      <c r="A857" s="7" t="s">
        <v>1517</v>
      </c>
      <c r="B857" s="89" t="s">
        <v>195</v>
      </c>
      <c r="C857" s="90" t="s">
        <v>1518</v>
      </c>
      <c r="D857" s="89">
        <v>1</v>
      </c>
      <c r="E857" s="91" t="s">
        <v>23</v>
      </c>
      <c r="F857" s="92">
        <v>27575000</v>
      </c>
      <c r="G857" s="92">
        <v>27575000</v>
      </c>
    </row>
    <row r="858" spans="1:7" x14ac:dyDescent="0.2">
      <c r="A858" s="7" t="s">
        <v>1519</v>
      </c>
      <c r="B858" s="89" t="s">
        <v>195</v>
      </c>
      <c r="C858" s="90" t="s">
        <v>1520</v>
      </c>
      <c r="D858" s="89">
        <v>3</v>
      </c>
      <c r="E858" s="91" t="s">
        <v>58</v>
      </c>
      <c r="F858" s="92">
        <v>300000</v>
      </c>
      <c r="G858" s="92">
        <v>900000</v>
      </c>
    </row>
    <row r="859" spans="1:7" ht="15" x14ac:dyDescent="0.2">
      <c r="A859" s="7" t="s">
        <v>1521</v>
      </c>
      <c r="B859" s="78" t="s">
        <v>533</v>
      </c>
      <c r="C859" s="79" t="s">
        <v>53</v>
      </c>
      <c r="D859" s="78"/>
      <c r="E859" s="80"/>
      <c r="F859" s="81"/>
      <c r="G859" s="81">
        <v>393200000</v>
      </c>
    </row>
    <row r="860" spans="1:7" x14ac:dyDescent="0.2">
      <c r="A860" s="7" t="s">
        <v>1522</v>
      </c>
      <c r="B860" s="89" t="s">
        <v>195</v>
      </c>
      <c r="C860" s="90" t="s">
        <v>1523</v>
      </c>
      <c r="D860" s="89">
        <v>1</v>
      </c>
      <c r="E860" s="91" t="s">
        <v>66</v>
      </c>
      <c r="F860" s="92">
        <v>196600000</v>
      </c>
      <c r="G860" s="92">
        <v>196600000</v>
      </c>
    </row>
    <row r="861" spans="1:7" x14ac:dyDescent="0.2">
      <c r="A861" s="7" t="s">
        <v>1524</v>
      </c>
      <c r="B861" s="89" t="s">
        <v>195</v>
      </c>
      <c r="C861" s="90" t="s">
        <v>1525</v>
      </c>
      <c r="D861" s="89">
        <v>1</v>
      </c>
      <c r="E861" s="91" t="s">
        <v>66</v>
      </c>
      <c r="F861" s="92">
        <v>196600000</v>
      </c>
      <c r="G861" s="92">
        <v>196600000</v>
      </c>
    </row>
    <row r="862" spans="1:7" ht="15" x14ac:dyDescent="0.2">
      <c r="A862" s="7" t="s">
        <v>1526</v>
      </c>
      <c r="B862" s="78" t="s">
        <v>564</v>
      </c>
      <c r="C862" s="79" t="s">
        <v>95</v>
      </c>
      <c r="D862" s="78"/>
      <c r="E862" s="80"/>
      <c r="F862" s="81"/>
      <c r="G862" s="81">
        <v>160000000</v>
      </c>
    </row>
    <row r="863" spans="1:7" x14ac:dyDescent="0.2">
      <c r="A863" s="7" t="s">
        <v>1527</v>
      </c>
      <c r="B863" s="89" t="s">
        <v>195</v>
      </c>
      <c r="C863" s="90" t="s">
        <v>1528</v>
      </c>
      <c r="D863" s="89">
        <v>2</v>
      </c>
      <c r="E863" s="91" t="s">
        <v>23</v>
      </c>
      <c r="F863" s="92">
        <v>50000000</v>
      </c>
      <c r="G863" s="92">
        <v>100000000</v>
      </c>
    </row>
    <row r="864" spans="1:7" x14ac:dyDescent="0.2">
      <c r="A864" s="7" t="s">
        <v>1529</v>
      </c>
      <c r="B864" s="89" t="s">
        <v>195</v>
      </c>
      <c r="C864" s="90" t="s">
        <v>1530</v>
      </c>
      <c r="D864" s="89">
        <v>2</v>
      </c>
      <c r="E864" s="91" t="s">
        <v>23</v>
      </c>
      <c r="F864" s="92">
        <v>10000000</v>
      </c>
      <c r="G864" s="92">
        <v>20000000</v>
      </c>
    </row>
    <row r="865" spans="1:7" x14ac:dyDescent="0.2">
      <c r="A865" s="7" t="s">
        <v>1531</v>
      </c>
      <c r="B865" s="89" t="s">
        <v>195</v>
      </c>
      <c r="C865" s="90" t="s">
        <v>1532</v>
      </c>
      <c r="D865" s="89">
        <v>4</v>
      </c>
      <c r="E865" s="91" t="s">
        <v>23</v>
      </c>
      <c r="F865" s="92">
        <v>10000000</v>
      </c>
      <c r="G865" s="92">
        <v>40000000</v>
      </c>
    </row>
    <row r="866" spans="1:7" ht="15" x14ac:dyDescent="0.2">
      <c r="A866" s="7" t="s">
        <v>1533</v>
      </c>
      <c r="B866" s="78" t="s">
        <v>513</v>
      </c>
      <c r="C866" s="79" t="s">
        <v>19</v>
      </c>
      <c r="D866" s="78"/>
      <c r="E866" s="80"/>
      <c r="F866" s="81"/>
      <c r="G866" s="81">
        <v>30000000</v>
      </c>
    </row>
    <row r="867" spans="1:7" ht="28.5" x14ac:dyDescent="0.2">
      <c r="A867" s="7" t="s">
        <v>1534</v>
      </c>
      <c r="B867" s="89" t="s">
        <v>195</v>
      </c>
      <c r="C867" s="90" t="s">
        <v>1535</v>
      </c>
      <c r="D867" s="89">
        <v>12</v>
      </c>
      <c r="E867" s="91" t="s">
        <v>10</v>
      </c>
      <c r="F867" s="92">
        <v>2500000</v>
      </c>
      <c r="G867" s="92">
        <v>30000000</v>
      </c>
    </row>
    <row r="868" spans="1:7" ht="30" x14ac:dyDescent="0.2">
      <c r="A868" s="7" t="s">
        <v>1536</v>
      </c>
      <c r="B868" s="97" t="s">
        <v>581</v>
      </c>
      <c r="C868" s="98" t="s">
        <v>1537</v>
      </c>
      <c r="D868" s="97"/>
      <c r="E868" s="99"/>
      <c r="F868" s="100"/>
      <c r="G868" s="100">
        <v>82000000</v>
      </c>
    </row>
    <row r="869" spans="1:7" ht="15" x14ac:dyDescent="0.2">
      <c r="A869" s="7" t="s">
        <v>1538</v>
      </c>
      <c r="B869" s="78" t="s">
        <v>503</v>
      </c>
      <c r="C869" s="79" t="s">
        <v>7</v>
      </c>
      <c r="D869" s="78"/>
      <c r="E869" s="80"/>
      <c r="F869" s="81"/>
      <c r="G869" s="81">
        <v>17550000</v>
      </c>
    </row>
    <row r="870" spans="1:7" x14ac:dyDescent="0.2">
      <c r="A870" s="7" t="s">
        <v>1539</v>
      </c>
      <c r="B870" s="89" t="s">
        <v>195</v>
      </c>
      <c r="C870" s="90" t="s">
        <v>771</v>
      </c>
      <c r="D870" s="89">
        <v>20</v>
      </c>
      <c r="E870" s="91" t="s">
        <v>10</v>
      </c>
      <c r="F870" s="92">
        <v>75000</v>
      </c>
      <c r="G870" s="92">
        <v>1500000</v>
      </c>
    </row>
    <row r="871" spans="1:7" x14ac:dyDescent="0.2">
      <c r="A871" s="7" t="s">
        <v>1540</v>
      </c>
      <c r="B871" s="89" t="s">
        <v>195</v>
      </c>
      <c r="C871" s="90" t="s">
        <v>617</v>
      </c>
      <c r="D871" s="89">
        <v>2</v>
      </c>
      <c r="E871" s="91" t="s">
        <v>9</v>
      </c>
      <c r="F871" s="92">
        <v>1000000</v>
      </c>
      <c r="G871" s="92">
        <v>2000000</v>
      </c>
    </row>
    <row r="872" spans="1:7" x14ac:dyDescent="0.2">
      <c r="A872" s="7" t="s">
        <v>1541</v>
      </c>
      <c r="B872" s="89" t="s">
        <v>195</v>
      </c>
      <c r="C872" s="90" t="s">
        <v>619</v>
      </c>
      <c r="D872" s="89">
        <v>2</v>
      </c>
      <c r="E872" s="91" t="s">
        <v>9</v>
      </c>
      <c r="F872" s="92">
        <v>1000000</v>
      </c>
      <c r="G872" s="92">
        <v>2000000</v>
      </c>
    </row>
    <row r="873" spans="1:7" x14ac:dyDescent="0.2">
      <c r="A873" s="7" t="s">
        <v>1542</v>
      </c>
      <c r="B873" s="89" t="s">
        <v>195</v>
      </c>
      <c r="C873" s="90" t="s">
        <v>620</v>
      </c>
      <c r="D873" s="89">
        <v>2</v>
      </c>
      <c r="E873" s="91" t="s">
        <v>9</v>
      </c>
      <c r="F873" s="92">
        <v>1500000</v>
      </c>
      <c r="G873" s="92">
        <v>3000000</v>
      </c>
    </row>
    <row r="874" spans="1:7" x14ac:dyDescent="0.2">
      <c r="A874" s="7" t="s">
        <v>1543</v>
      </c>
      <c r="B874" s="89" t="s">
        <v>195</v>
      </c>
      <c r="C874" s="90" t="s">
        <v>1544</v>
      </c>
      <c r="D874" s="89">
        <v>10</v>
      </c>
      <c r="E874" s="91" t="s">
        <v>58</v>
      </c>
      <c r="F874" s="92">
        <v>250000</v>
      </c>
      <c r="G874" s="92">
        <v>2500000</v>
      </c>
    </row>
    <row r="875" spans="1:7" x14ac:dyDescent="0.2">
      <c r="A875" s="7" t="s">
        <v>1545</v>
      </c>
      <c r="B875" s="89" t="s">
        <v>195</v>
      </c>
      <c r="C875" s="90" t="s">
        <v>1546</v>
      </c>
      <c r="D875" s="89">
        <v>500</v>
      </c>
      <c r="E875" s="91" t="s">
        <v>58</v>
      </c>
      <c r="F875" s="92">
        <v>6000</v>
      </c>
      <c r="G875" s="92">
        <v>3000000</v>
      </c>
    </row>
    <row r="876" spans="1:7" x14ac:dyDescent="0.2">
      <c r="A876" s="7" t="s">
        <v>1547</v>
      </c>
      <c r="B876" s="89" t="s">
        <v>195</v>
      </c>
      <c r="C876" s="90" t="s">
        <v>1548</v>
      </c>
      <c r="D876" s="89">
        <v>100</v>
      </c>
      <c r="E876" s="91" t="s">
        <v>58</v>
      </c>
      <c r="F876" s="92">
        <v>36000</v>
      </c>
      <c r="G876" s="92">
        <v>3550000</v>
      </c>
    </row>
    <row r="877" spans="1:7" ht="15" x14ac:dyDescent="0.2">
      <c r="A877" s="7" t="s">
        <v>1549</v>
      </c>
      <c r="B877" s="78" t="s">
        <v>533</v>
      </c>
      <c r="C877" s="79" t="s">
        <v>53</v>
      </c>
      <c r="D877" s="78"/>
      <c r="E877" s="80"/>
      <c r="F877" s="81"/>
      <c r="G877" s="81">
        <v>3000000</v>
      </c>
    </row>
    <row r="878" spans="1:7" x14ac:dyDescent="0.2">
      <c r="A878" s="7" t="s">
        <v>1550</v>
      </c>
      <c r="B878" s="89" t="s">
        <v>195</v>
      </c>
      <c r="C878" s="90" t="s">
        <v>785</v>
      </c>
      <c r="D878" s="89">
        <v>12</v>
      </c>
      <c r="E878" s="91" t="s">
        <v>66</v>
      </c>
      <c r="F878" s="92">
        <v>250000</v>
      </c>
      <c r="G878" s="92">
        <v>3000000</v>
      </c>
    </row>
    <row r="879" spans="1:7" ht="15" x14ac:dyDescent="0.2">
      <c r="A879" s="7" t="s">
        <v>1551</v>
      </c>
      <c r="B879" s="78" t="s">
        <v>516</v>
      </c>
      <c r="C879" s="79" t="s">
        <v>11</v>
      </c>
      <c r="D879" s="78"/>
      <c r="E879" s="80"/>
      <c r="F879" s="81"/>
      <c r="G879" s="81">
        <v>40000000</v>
      </c>
    </row>
    <row r="880" spans="1:7" x14ac:dyDescent="0.2">
      <c r="A880" s="7" t="s">
        <v>1552</v>
      </c>
      <c r="B880" s="89" t="s">
        <v>195</v>
      </c>
      <c r="C880" s="90" t="s">
        <v>1500</v>
      </c>
      <c r="D880" s="89">
        <v>40</v>
      </c>
      <c r="E880" s="91" t="s">
        <v>54</v>
      </c>
      <c r="F880" s="92">
        <v>1000000</v>
      </c>
      <c r="G880" s="92">
        <v>40000000</v>
      </c>
    </row>
    <row r="881" spans="1:7" ht="15" x14ac:dyDescent="0.2">
      <c r="A881" s="7" t="s">
        <v>1553</v>
      </c>
      <c r="B881" s="78" t="s">
        <v>513</v>
      </c>
      <c r="C881" s="79" t="s">
        <v>19</v>
      </c>
      <c r="D881" s="78"/>
      <c r="E881" s="80"/>
      <c r="F881" s="81"/>
      <c r="G881" s="81">
        <v>21450000</v>
      </c>
    </row>
    <row r="882" spans="1:7" ht="28.5" x14ac:dyDescent="0.2">
      <c r="A882" s="7" t="s">
        <v>1554</v>
      </c>
      <c r="B882" s="89" t="s">
        <v>195</v>
      </c>
      <c r="C882" s="90" t="s">
        <v>1555</v>
      </c>
      <c r="D882" s="89">
        <v>10</v>
      </c>
      <c r="E882" s="91" t="s">
        <v>10</v>
      </c>
      <c r="F882" s="92">
        <v>2145000</v>
      </c>
      <c r="G882" s="92">
        <v>21450000</v>
      </c>
    </row>
    <row r="883" spans="1:7" x14ac:dyDescent="0.2">
      <c r="A883" s="7" t="s">
        <v>1556</v>
      </c>
      <c r="B883" s="89" t="s">
        <v>1557</v>
      </c>
      <c r="C883" s="90" t="s">
        <v>1558</v>
      </c>
      <c r="D883" s="89"/>
      <c r="E883" s="91"/>
      <c r="F883" s="92"/>
      <c r="G883" s="92">
        <v>920000000</v>
      </c>
    </row>
    <row r="884" spans="1:7" ht="30" x14ac:dyDescent="0.2">
      <c r="A884" s="7" t="s">
        <v>1559</v>
      </c>
      <c r="B884" s="93" t="s">
        <v>826</v>
      </c>
      <c r="C884" s="94" t="s">
        <v>1560</v>
      </c>
      <c r="D884" s="93"/>
      <c r="E884" s="95"/>
      <c r="F884" s="96"/>
      <c r="G884" s="96">
        <v>649500000</v>
      </c>
    </row>
    <row r="885" spans="1:7" ht="15" x14ac:dyDescent="0.2">
      <c r="A885" s="7" t="s">
        <v>1561</v>
      </c>
      <c r="B885" s="97" t="s">
        <v>8</v>
      </c>
      <c r="C885" s="98" t="s">
        <v>1562</v>
      </c>
      <c r="D885" s="97"/>
      <c r="E885" s="99"/>
      <c r="F885" s="100"/>
      <c r="G885" s="100">
        <v>446900000</v>
      </c>
    </row>
    <row r="886" spans="1:7" ht="15" x14ac:dyDescent="0.2">
      <c r="A886" s="7" t="s">
        <v>1563</v>
      </c>
      <c r="B886" s="78" t="s">
        <v>503</v>
      </c>
      <c r="C886" s="79" t="s">
        <v>7</v>
      </c>
      <c r="D886" s="78"/>
      <c r="E886" s="80"/>
      <c r="F886" s="81"/>
      <c r="G886" s="81">
        <v>102000000</v>
      </c>
    </row>
    <row r="887" spans="1:7" x14ac:dyDescent="0.2">
      <c r="A887" s="7" t="s">
        <v>195</v>
      </c>
      <c r="B887" s="89" t="s">
        <v>195</v>
      </c>
      <c r="C887" s="90" t="s">
        <v>1564</v>
      </c>
      <c r="D887" s="89">
        <v>0</v>
      </c>
      <c r="E887" s="91" t="s">
        <v>195</v>
      </c>
      <c r="F887" s="92">
        <v>0</v>
      </c>
      <c r="G887" s="92">
        <v>0</v>
      </c>
    </row>
    <row r="888" spans="1:7" x14ac:dyDescent="0.2">
      <c r="A888" s="7" t="s">
        <v>1565</v>
      </c>
      <c r="B888" s="89" t="s">
        <v>195</v>
      </c>
      <c r="C888" s="90" t="s">
        <v>1566</v>
      </c>
      <c r="D888" s="89">
        <v>200</v>
      </c>
      <c r="E888" s="91" t="s">
        <v>180</v>
      </c>
      <c r="F888" s="92">
        <v>300000</v>
      </c>
      <c r="G888" s="92">
        <v>60000000</v>
      </c>
    </row>
    <row r="889" spans="1:7" x14ac:dyDescent="0.2">
      <c r="A889" s="7" t="s">
        <v>1567</v>
      </c>
      <c r="B889" s="89" t="s">
        <v>195</v>
      </c>
      <c r="C889" s="90" t="s">
        <v>1568</v>
      </c>
      <c r="D889" s="89">
        <v>100</v>
      </c>
      <c r="E889" s="91" t="s">
        <v>180</v>
      </c>
      <c r="F889" s="92">
        <v>300000</v>
      </c>
      <c r="G889" s="92">
        <v>30000000</v>
      </c>
    </row>
    <row r="890" spans="1:7" x14ac:dyDescent="0.2">
      <c r="A890" s="7" t="s">
        <v>1569</v>
      </c>
      <c r="B890" s="89" t="s">
        <v>195</v>
      </c>
      <c r="C890" s="90" t="s">
        <v>1109</v>
      </c>
      <c r="D890" s="89">
        <v>12</v>
      </c>
      <c r="E890" s="91" t="s">
        <v>52</v>
      </c>
      <c r="F890" s="92">
        <v>1000000</v>
      </c>
      <c r="G890" s="92">
        <v>12000000</v>
      </c>
    </row>
    <row r="891" spans="1:7" ht="15" x14ac:dyDescent="0.2">
      <c r="A891" s="7" t="s">
        <v>1570</v>
      </c>
      <c r="B891" s="78" t="s">
        <v>522</v>
      </c>
      <c r="C891" s="79" t="s">
        <v>30</v>
      </c>
      <c r="D891" s="78"/>
      <c r="E891" s="80"/>
      <c r="F891" s="81"/>
      <c r="G891" s="81">
        <v>13400000</v>
      </c>
    </row>
    <row r="892" spans="1:7" x14ac:dyDescent="0.2">
      <c r="A892" s="7" t="s">
        <v>195</v>
      </c>
      <c r="B892" s="89" t="s">
        <v>195</v>
      </c>
      <c r="C892" s="90" t="s">
        <v>1571</v>
      </c>
      <c r="D892" s="89">
        <v>0</v>
      </c>
      <c r="E892" s="91" t="s">
        <v>195</v>
      </c>
      <c r="F892" s="92">
        <v>0</v>
      </c>
      <c r="G892" s="92">
        <v>0</v>
      </c>
    </row>
    <row r="893" spans="1:7" x14ac:dyDescent="0.2">
      <c r="A893" s="7" t="s">
        <v>1572</v>
      </c>
      <c r="B893" s="89" t="s">
        <v>195</v>
      </c>
      <c r="C893" s="90" t="s">
        <v>1573</v>
      </c>
      <c r="D893" s="89">
        <v>2</v>
      </c>
      <c r="E893" s="91" t="s">
        <v>1060</v>
      </c>
      <c r="F893" s="92">
        <v>500000</v>
      </c>
      <c r="G893" s="92">
        <v>1000000</v>
      </c>
    </row>
    <row r="894" spans="1:7" x14ac:dyDescent="0.2">
      <c r="A894" s="7" t="s">
        <v>1574</v>
      </c>
      <c r="B894" s="89" t="s">
        <v>195</v>
      </c>
      <c r="C894" s="90" t="s">
        <v>1575</v>
      </c>
      <c r="D894" s="89">
        <v>16</v>
      </c>
      <c r="E894" s="91" t="s">
        <v>1060</v>
      </c>
      <c r="F894" s="92">
        <v>400000</v>
      </c>
      <c r="G894" s="92">
        <v>6400000</v>
      </c>
    </row>
    <row r="895" spans="1:7" x14ac:dyDescent="0.2">
      <c r="A895" s="7" t="s">
        <v>1576</v>
      </c>
      <c r="B895" s="89" t="s">
        <v>195</v>
      </c>
      <c r="C895" s="90" t="s">
        <v>1577</v>
      </c>
      <c r="D895" s="89">
        <v>20</v>
      </c>
      <c r="E895" s="91" t="s">
        <v>1060</v>
      </c>
      <c r="F895" s="92">
        <v>300000</v>
      </c>
      <c r="G895" s="92">
        <v>6000000</v>
      </c>
    </row>
    <row r="896" spans="1:7" ht="30" x14ac:dyDescent="0.2">
      <c r="A896" s="7" t="s">
        <v>1578</v>
      </c>
      <c r="B896" s="78" t="s">
        <v>515</v>
      </c>
      <c r="C896" s="79" t="s">
        <v>642</v>
      </c>
      <c r="D896" s="78"/>
      <c r="E896" s="80"/>
      <c r="F896" s="81"/>
      <c r="G896" s="81">
        <v>19200000</v>
      </c>
    </row>
    <row r="897" spans="1:7" x14ac:dyDescent="0.2">
      <c r="A897" s="7" t="s">
        <v>1579</v>
      </c>
      <c r="B897" s="89" t="s">
        <v>195</v>
      </c>
      <c r="C897" s="90" t="s">
        <v>1580</v>
      </c>
      <c r="D897" s="89">
        <v>96</v>
      </c>
      <c r="E897" s="91" t="s">
        <v>32</v>
      </c>
      <c r="F897" s="92">
        <v>200000</v>
      </c>
      <c r="G897" s="92">
        <v>19200000</v>
      </c>
    </row>
    <row r="898" spans="1:7" ht="15" x14ac:dyDescent="0.2">
      <c r="A898" s="7" t="s">
        <v>1581</v>
      </c>
      <c r="B898" s="78" t="s">
        <v>537</v>
      </c>
      <c r="C898" s="79" t="s">
        <v>64</v>
      </c>
      <c r="D898" s="78"/>
      <c r="E898" s="80"/>
      <c r="F898" s="81"/>
      <c r="G898" s="81">
        <v>24000000</v>
      </c>
    </row>
    <row r="899" spans="1:7" x14ac:dyDescent="0.2">
      <c r="A899" s="7" t="s">
        <v>1582</v>
      </c>
      <c r="B899" s="89" t="s">
        <v>195</v>
      </c>
      <c r="C899" s="90" t="s">
        <v>619</v>
      </c>
      <c r="D899" s="89">
        <v>12</v>
      </c>
      <c r="E899" s="91" t="s">
        <v>52</v>
      </c>
      <c r="F899" s="92">
        <v>1000000</v>
      </c>
      <c r="G899" s="92">
        <v>12000000</v>
      </c>
    </row>
    <row r="900" spans="1:7" x14ac:dyDescent="0.2">
      <c r="A900" s="7" t="s">
        <v>1583</v>
      </c>
      <c r="B900" s="89" t="s">
        <v>195</v>
      </c>
      <c r="C900" s="90" t="s">
        <v>859</v>
      </c>
      <c r="D900" s="89">
        <v>12</v>
      </c>
      <c r="E900" s="91" t="s">
        <v>52</v>
      </c>
      <c r="F900" s="92">
        <v>1000000</v>
      </c>
      <c r="G900" s="92">
        <v>12000000</v>
      </c>
    </row>
    <row r="901" spans="1:7" ht="15" x14ac:dyDescent="0.2">
      <c r="A901" s="7" t="s">
        <v>1584</v>
      </c>
      <c r="B901" s="78" t="s">
        <v>516</v>
      </c>
      <c r="C901" s="79" t="s">
        <v>11</v>
      </c>
      <c r="D901" s="78"/>
      <c r="E901" s="80"/>
      <c r="F901" s="81"/>
      <c r="G901" s="81">
        <v>22400000</v>
      </c>
    </row>
    <row r="902" spans="1:7" x14ac:dyDescent="0.2">
      <c r="A902" s="7" t="s">
        <v>1585</v>
      </c>
      <c r="B902" s="89" t="s">
        <v>195</v>
      </c>
      <c r="C902" s="90" t="s">
        <v>1586</v>
      </c>
      <c r="D902" s="89">
        <v>8</v>
      </c>
      <c r="E902" s="91" t="s">
        <v>54</v>
      </c>
      <c r="F902" s="92">
        <v>1000000</v>
      </c>
      <c r="G902" s="92">
        <v>8000000</v>
      </c>
    </row>
    <row r="903" spans="1:7" x14ac:dyDescent="0.2">
      <c r="A903" s="7" t="s">
        <v>1587</v>
      </c>
      <c r="B903" s="89" t="s">
        <v>195</v>
      </c>
      <c r="C903" s="90" t="s">
        <v>1588</v>
      </c>
      <c r="D903" s="89">
        <v>16</v>
      </c>
      <c r="E903" s="91" t="s">
        <v>54</v>
      </c>
      <c r="F903" s="92">
        <v>900000</v>
      </c>
      <c r="G903" s="92">
        <v>14400000</v>
      </c>
    </row>
    <row r="904" spans="1:7" ht="15" x14ac:dyDescent="0.2">
      <c r="A904" s="7" t="s">
        <v>1589</v>
      </c>
      <c r="B904" s="78" t="s">
        <v>517</v>
      </c>
      <c r="C904" s="79" t="s">
        <v>22</v>
      </c>
      <c r="D904" s="78"/>
      <c r="E904" s="80"/>
      <c r="F904" s="81"/>
      <c r="G904" s="81">
        <v>60000000</v>
      </c>
    </row>
    <row r="905" spans="1:7" x14ac:dyDescent="0.2">
      <c r="A905" s="7" t="s">
        <v>1590</v>
      </c>
      <c r="B905" s="89" t="s">
        <v>195</v>
      </c>
      <c r="C905" s="90" t="s">
        <v>1591</v>
      </c>
      <c r="D905" s="89">
        <v>12</v>
      </c>
      <c r="E905" s="91" t="s">
        <v>52</v>
      </c>
      <c r="F905" s="92">
        <v>5000000</v>
      </c>
      <c r="G905" s="92">
        <v>60000000</v>
      </c>
    </row>
    <row r="906" spans="1:7" ht="15" x14ac:dyDescent="0.2">
      <c r="A906" s="7" t="s">
        <v>1592</v>
      </c>
      <c r="B906" s="78" t="s">
        <v>518</v>
      </c>
      <c r="C906" s="79" t="s">
        <v>24</v>
      </c>
      <c r="D906" s="78"/>
      <c r="E906" s="80"/>
      <c r="F906" s="81"/>
      <c r="G906" s="81">
        <v>24500000</v>
      </c>
    </row>
    <row r="907" spans="1:7" x14ac:dyDescent="0.2">
      <c r="A907" s="7" t="s">
        <v>1593</v>
      </c>
      <c r="B907" s="89" t="s">
        <v>195</v>
      </c>
      <c r="C907" s="90" t="s">
        <v>1594</v>
      </c>
      <c r="D907" s="89">
        <v>70</v>
      </c>
      <c r="E907" s="91" t="s">
        <v>25</v>
      </c>
      <c r="F907" s="92">
        <v>350000</v>
      </c>
      <c r="G907" s="92">
        <v>24500000</v>
      </c>
    </row>
    <row r="908" spans="1:7" ht="15" x14ac:dyDescent="0.2">
      <c r="A908" s="7" t="s">
        <v>1595</v>
      </c>
      <c r="B908" s="78" t="s">
        <v>513</v>
      </c>
      <c r="C908" s="79" t="s">
        <v>19</v>
      </c>
      <c r="D908" s="78"/>
      <c r="E908" s="80"/>
      <c r="F908" s="81"/>
      <c r="G908" s="81">
        <v>150000000</v>
      </c>
    </row>
    <row r="909" spans="1:7" ht="28.5" x14ac:dyDescent="0.2">
      <c r="A909" s="7" t="s">
        <v>1596</v>
      </c>
      <c r="B909" s="89" t="s">
        <v>195</v>
      </c>
      <c r="C909" s="90" t="s">
        <v>1597</v>
      </c>
      <c r="D909" s="89">
        <v>30</v>
      </c>
      <c r="E909" s="91" t="s">
        <v>25</v>
      </c>
      <c r="F909" s="92">
        <v>5000000</v>
      </c>
      <c r="G909" s="92">
        <v>150000000</v>
      </c>
    </row>
    <row r="910" spans="1:7" ht="15" x14ac:dyDescent="0.2">
      <c r="A910" s="7" t="s">
        <v>1598</v>
      </c>
      <c r="B910" s="78" t="s">
        <v>507</v>
      </c>
      <c r="C910" s="79" t="s">
        <v>13</v>
      </c>
      <c r="D910" s="78"/>
      <c r="E910" s="80"/>
      <c r="F910" s="81"/>
      <c r="G910" s="81">
        <v>15300000</v>
      </c>
    </row>
    <row r="911" spans="1:7" x14ac:dyDescent="0.2">
      <c r="A911" s="7" t="s">
        <v>1599</v>
      </c>
      <c r="B911" s="89" t="s">
        <v>195</v>
      </c>
      <c r="C911" s="90" t="s">
        <v>630</v>
      </c>
      <c r="D911" s="89">
        <v>60</v>
      </c>
      <c r="E911" s="91" t="s">
        <v>25</v>
      </c>
      <c r="F911" s="92">
        <v>150000</v>
      </c>
      <c r="G911" s="92">
        <v>9000000</v>
      </c>
    </row>
    <row r="912" spans="1:7" x14ac:dyDescent="0.2">
      <c r="A912" s="7" t="s">
        <v>1600</v>
      </c>
      <c r="B912" s="89" t="s">
        <v>195</v>
      </c>
      <c r="C912" s="90" t="s">
        <v>1601</v>
      </c>
      <c r="D912" s="89">
        <v>30</v>
      </c>
      <c r="E912" s="91" t="s">
        <v>73</v>
      </c>
      <c r="F912" s="92">
        <v>210000</v>
      </c>
      <c r="G912" s="92">
        <v>6300000</v>
      </c>
    </row>
    <row r="913" spans="1:7" ht="30" x14ac:dyDescent="0.2">
      <c r="A913" s="7" t="s">
        <v>1602</v>
      </c>
      <c r="B913" s="78" t="s">
        <v>509</v>
      </c>
      <c r="C913" s="79" t="s">
        <v>14</v>
      </c>
      <c r="D913" s="78"/>
      <c r="E913" s="80"/>
      <c r="F913" s="81"/>
      <c r="G913" s="81">
        <v>5600000</v>
      </c>
    </row>
    <row r="914" spans="1:7" x14ac:dyDescent="0.2">
      <c r="A914" s="7" t="s">
        <v>1603</v>
      </c>
      <c r="B914" s="89" t="s">
        <v>195</v>
      </c>
      <c r="C914" s="90" t="s">
        <v>1604</v>
      </c>
      <c r="D914" s="89">
        <v>20</v>
      </c>
      <c r="E914" s="91" t="s">
        <v>25</v>
      </c>
      <c r="F914" s="92">
        <v>130000</v>
      </c>
      <c r="G914" s="92">
        <v>2600000</v>
      </c>
    </row>
    <row r="915" spans="1:7" x14ac:dyDescent="0.2">
      <c r="A915" s="7" t="s">
        <v>1605</v>
      </c>
      <c r="B915" s="89" t="s">
        <v>195</v>
      </c>
      <c r="C915" s="90" t="s">
        <v>1606</v>
      </c>
      <c r="D915" s="89">
        <v>20</v>
      </c>
      <c r="E915" s="91" t="s">
        <v>25</v>
      </c>
      <c r="F915" s="92">
        <v>150000</v>
      </c>
      <c r="G915" s="92">
        <v>3000000</v>
      </c>
    </row>
    <row r="916" spans="1:7" ht="15" x14ac:dyDescent="0.2">
      <c r="A916" s="7" t="s">
        <v>1607</v>
      </c>
      <c r="B916" s="78" t="s">
        <v>510</v>
      </c>
      <c r="C916" s="79" t="s">
        <v>15</v>
      </c>
      <c r="D916" s="78"/>
      <c r="E916" s="80"/>
      <c r="F916" s="81"/>
      <c r="G916" s="81">
        <v>10500000</v>
      </c>
    </row>
    <row r="917" spans="1:7" x14ac:dyDescent="0.2">
      <c r="A917" s="7" t="s">
        <v>1608</v>
      </c>
      <c r="B917" s="89" t="s">
        <v>195</v>
      </c>
      <c r="C917" s="90" t="s">
        <v>1609</v>
      </c>
      <c r="D917" s="89">
        <v>14</v>
      </c>
      <c r="E917" s="91" t="s">
        <v>25</v>
      </c>
      <c r="F917" s="92">
        <v>150000</v>
      </c>
      <c r="G917" s="92">
        <v>2100000</v>
      </c>
    </row>
    <row r="918" spans="1:7" x14ac:dyDescent="0.2">
      <c r="A918" s="7" t="s">
        <v>1610</v>
      </c>
      <c r="B918" s="89" t="s">
        <v>195</v>
      </c>
      <c r="C918" s="90" t="s">
        <v>1611</v>
      </c>
      <c r="D918" s="89">
        <v>14</v>
      </c>
      <c r="E918" s="91" t="s">
        <v>25</v>
      </c>
      <c r="F918" s="92">
        <v>600000</v>
      </c>
      <c r="G918" s="92">
        <v>8400000</v>
      </c>
    </row>
    <row r="919" spans="1:7" ht="15" x14ac:dyDescent="0.2">
      <c r="A919" s="7" t="s">
        <v>1612</v>
      </c>
      <c r="B919" s="97" t="s">
        <v>511</v>
      </c>
      <c r="C919" s="98" t="s">
        <v>1613</v>
      </c>
      <c r="D919" s="97"/>
      <c r="E919" s="99"/>
      <c r="F919" s="100"/>
      <c r="G919" s="100">
        <v>202600000</v>
      </c>
    </row>
    <row r="920" spans="1:7" ht="15" x14ac:dyDescent="0.2">
      <c r="A920" s="7" t="s">
        <v>1614</v>
      </c>
      <c r="B920" s="78" t="s">
        <v>503</v>
      </c>
      <c r="C920" s="79" t="s">
        <v>7</v>
      </c>
      <c r="D920" s="78"/>
      <c r="E920" s="80"/>
      <c r="F920" s="81"/>
      <c r="G920" s="81">
        <v>30000000</v>
      </c>
    </row>
    <row r="921" spans="1:7" x14ac:dyDescent="0.2">
      <c r="A921" s="7" t="s">
        <v>195</v>
      </c>
      <c r="B921" s="89" t="s">
        <v>195</v>
      </c>
      <c r="C921" s="90" t="s">
        <v>1615</v>
      </c>
      <c r="D921" s="89">
        <v>0</v>
      </c>
      <c r="E921" s="91" t="s">
        <v>195</v>
      </c>
      <c r="F921" s="92">
        <v>0</v>
      </c>
      <c r="G921" s="92">
        <v>0</v>
      </c>
    </row>
    <row r="922" spans="1:7" x14ac:dyDescent="0.2">
      <c r="A922" s="7" t="s">
        <v>1616</v>
      </c>
      <c r="B922" s="89" t="s">
        <v>195</v>
      </c>
      <c r="C922" s="90" t="s">
        <v>922</v>
      </c>
      <c r="D922" s="89">
        <v>45</v>
      </c>
      <c r="E922" s="91" t="s">
        <v>52</v>
      </c>
      <c r="F922" s="92">
        <v>200000</v>
      </c>
      <c r="G922" s="92">
        <v>9000000</v>
      </c>
    </row>
    <row r="923" spans="1:7" x14ac:dyDescent="0.2">
      <c r="A923" s="7" t="s">
        <v>1617</v>
      </c>
      <c r="B923" s="89" t="s">
        <v>195</v>
      </c>
      <c r="C923" s="90" t="s">
        <v>619</v>
      </c>
      <c r="D923" s="89">
        <v>1</v>
      </c>
      <c r="E923" s="91" t="s">
        <v>52</v>
      </c>
      <c r="F923" s="92">
        <v>2500000</v>
      </c>
      <c r="G923" s="92">
        <v>2500000</v>
      </c>
    </row>
    <row r="924" spans="1:7" x14ac:dyDescent="0.2">
      <c r="A924" s="7" t="s">
        <v>1618</v>
      </c>
      <c r="B924" s="89" t="s">
        <v>195</v>
      </c>
      <c r="C924" s="90" t="s">
        <v>859</v>
      </c>
      <c r="D924" s="89">
        <v>1</v>
      </c>
      <c r="E924" s="91" t="s">
        <v>52</v>
      </c>
      <c r="F924" s="92">
        <v>2500000</v>
      </c>
      <c r="G924" s="92">
        <v>2500000</v>
      </c>
    </row>
    <row r="925" spans="1:7" x14ac:dyDescent="0.2">
      <c r="A925" s="7" t="s">
        <v>1619</v>
      </c>
      <c r="B925" s="89" t="s">
        <v>195</v>
      </c>
      <c r="C925" s="90" t="s">
        <v>1620</v>
      </c>
      <c r="D925" s="89">
        <v>1</v>
      </c>
      <c r="E925" s="91" t="s">
        <v>52</v>
      </c>
      <c r="F925" s="92">
        <v>1000000</v>
      </c>
      <c r="G925" s="92">
        <v>1000000</v>
      </c>
    </row>
    <row r="926" spans="1:7" x14ac:dyDescent="0.2">
      <c r="A926" s="7" t="s">
        <v>1621</v>
      </c>
      <c r="B926" s="89" t="s">
        <v>195</v>
      </c>
      <c r="C926" s="90" t="s">
        <v>922</v>
      </c>
      <c r="D926" s="89">
        <v>45</v>
      </c>
      <c r="E926" s="91" t="s">
        <v>52</v>
      </c>
      <c r="F926" s="92">
        <v>200000</v>
      </c>
      <c r="G926" s="92">
        <v>9000000</v>
      </c>
    </row>
    <row r="927" spans="1:7" x14ac:dyDescent="0.2">
      <c r="A927" s="7" t="s">
        <v>195</v>
      </c>
      <c r="B927" s="89" t="s">
        <v>195</v>
      </c>
      <c r="C927" s="90" t="s">
        <v>1622</v>
      </c>
      <c r="D927" s="89">
        <v>0</v>
      </c>
      <c r="E927" s="91" t="s">
        <v>195</v>
      </c>
      <c r="F927" s="92">
        <v>0</v>
      </c>
      <c r="G927" s="92">
        <v>0</v>
      </c>
    </row>
    <row r="928" spans="1:7" x14ac:dyDescent="0.2">
      <c r="A928" s="7" t="s">
        <v>1623</v>
      </c>
      <c r="B928" s="89" t="s">
        <v>195</v>
      </c>
      <c r="C928" s="90" t="s">
        <v>619</v>
      </c>
      <c r="D928" s="89">
        <v>1</v>
      </c>
      <c r="E928" s="91" t="s">
        <v>52</v>
      </c>
      <c r="F928" s="92">
        <v>2500000</v>
      </c>
      <c r="G928" s="92">
        <v>2500000</v>
      </c>
    </row>
    <row r="929" spans="1:7" x14ac:dyDescent="0.2">
      <c r="A929" s="7" t="s">
        <v>1624</v>
      </c>
      <c r="B929" s="89" t="s">
        <v>195</v>
      </c>
      <c r="C929" s="90" t="s">
        <v>859</v>
      </c>
      <c r="D929" s="89">
        <v>1</v>
      </c>
      <c r="E929" s="91" t="s">
        <v>52</v>
      </c>
      <c r="F929" s="92">
        <v>2500000</v>
      </c>
      <c r="G929" s="92">
        <v>2500000</v>
      </c>
    </row>
    <row r="930" spans="1:7" x14ac:dyDescent="0.2">
      <c r="A930" s="7" t="s">
        <v>1625</v>
      </c>
      <c r="B930" s="89" t="s">
        <v>195</v>
      </c>
      <c r="C930" s="90" t="s">
        <v>1620</v>
      </c>
      <c r="D930" s="89">
        <v>1</v>
      </c>
      <c r="E930" s="91" t="s">
        <v>52</v>
      </c>
      <c r="F930" s="92">
        <v>1000000</v>
      </c>
      <c r="G930" s="92">
        <v>1000000</v>
      </c>
    </row>
    <row r="931" spans="1:7" ht="15" x14ac:dyDescent="0.2">
      <c r="A931" s="7" t="s">
        <v>1626</v>
      </c>
      <c r="B931" s="78" t="s">
        <v>516</v>
      </c>
      <c r="C931" s="79" t="s">
        <v>11</v>
      </c>
      <c r="D931" s="78"/>
      <c r="E931" s="80"/>
      <c r="F931" s="81"/>
      <c r="G931" s="81">
        <v>16800000</v>
      </c>
    </row>
    <row r="932" spans="1:7" x14ac:dyDescent="0.2">
      <c r="A932" s="7" t="s">
        <v>195</v>
      </c>
      <c r="B932" s="89" t="s">
        <v>195</v>
      </c>
      <c r="C932" s="90" t="s">
        <v>1615</v>
      </c>
      <c r="D932" s="89">
        <v>0</v>
      </c>
      <c r="E932" s="91" t="s">
        <v>195</v>
      </c>
      <c r="F932" s="92">
        <v>0</v>
      </c>
      <c r="G932" s="92">
        <v>0</v>
      </c>
    </row>
    <row r="933" spans="1:7" x14ac:dyDescent="0.2">
      <c r="A933" s="7" t="s">
        <v>1627</v>
      </c>
      <c r="B933" s="89" t="s">
        <v>195</v>
      </c>
      <c r="C933" s="90" t="s">
        <v>1628</v>
      </c>
      <c r="D933" s="89">
        <v>4</v>
      </c>
      <c r="E933" s="91" t="s">
        <v>54</v>
      </c>
      <c r="F933" s="92">
        <v>1000000</v>
      </c>
      <c r="G933" s="92">
        <v>4000000</v>
      </c>
    </row>
    <row r="934" spans="1:7" x14ac:dyDescent="0.2">
      <c r="A934" s="7" t="s">
        <v>1629</v>
      </c>
      <c r="B934" s="89" t="s">
        <v>195</v>
      </c>
      <c r="C934" s="90" t="s">
        <v>1630</v>
      </c>
      <c r="D934" s="89">
        <v>4</v>
      </c>
      <c r="E934" s="91" t="s">
        <v>25</v>
      </c>
      <c r="F934" s="92">
        <v>900000</v>
      </c>
      <c r="G934" s="92">
        <v>3600000</v>
      </c>
    </row>
    <row r="935" spans="1:7" x14ac:dyDescent="0.2">
      <c r="A935" s="7" t="s">
        <v>195</v>
      </c>
      <c r="B935" s="89" t="s">
        <v>195</v>
      </c>
      <c r="C935" s="90" t="s">
        <v>1631</v>
      </c>
      <c r="D935" s="89">
        <v>0</v>
      </c>
      <c r="E935" s="91" t="s">
        <v>195</v>
      </c>
      <c r="F935" s="92">
        <v>0</v>
      </c>
      <c r="G935" s="92">
        <v>0</v>
      </c>
    </row>
    <row r="936" spans="1:7" x14ac:dyDescent="0.2">
      <c r="A936" s="7" t="s">
        <v>1632</v>
      </c>
      <c r="B936" s="89" t="s">
        <v>195</v>
      </c>
      <c r="C936" s="90" t="s">
        <v>1633</v>
      </c>
      <c r="D936" s="89">
        <v>2</v>
      </c>
      <c r="E936" s="91" t="s">
        <v>54</v>
      </c>
      <c r="F936" s="92">
        <v>1000000</v>
      </c>
      <c r="G936" s="92">
        <v>2000000</v>
      </c>
    </row>
    <row r="937" spans="1:7" x14ac:dyDescent="0.2">
      <c r="A937" s="7" t="s">
        <v>1634</v>
      </c>
      <c r="B937" s="89" t="s">
        <v>195</v>
      </c>
      <c r="C937" s="90" t="s">
        <v>1635</v>
      </c>
      <c r="D937" s="89">
        <v>8</v>
      </c>
      <c r="E937" s="91" t="s">
        <v>25</v>
      </c>
      <c r="F937" s="92">
        <v>900000</v>
      </c>
      <c r="G937" s="92">
        <v>7200000</v>
      </c>
    </row>
    <row r="938" spans="1:7" ht="15" x14ac:dyDescent="0.2">
      <c r="A938" s="7" t="s">
        <v>1636</v>
      </c>
      <c r="B938" s="78" t="s">
        <v>513</v>
      </c>
      <c r="C938" s="79" t="s">
        <v>19</v>
      </c>
      <c r="D938" s="78"/>
      <c r="E938" s="80"/>
      <c r="F938" s="81"/>
      <c r="G938" s="81">
        <v>10000000</v>
      </c>
    </row>
    <row r="939" spans="1:7" ht="28.5" x14ac:dyDescent="0.2">
      <c r="A939" s="7" t="s">
        <v>1637</v>
      </c>
      <c r="B939" s="89" t="s">
        <v>195</v>
      </c>
      <c r="C939" s="90" t="s">
        <v>1638</v>
      </c>
      <c r="D939" s="89">
        <v>2</v>
      </c>
      <c r="E939" s="91" t="s">
        <v>25</v>
      </c>
      <c r="F939" s="92">
        <v>5000000</v>
      </c>
      <c r="G939" s="92">
        <v>10000000</v>
      </c>
    </row>
    <row r="940" spans="1:7" ht="15" x14ac:dyDescent="0.2">
      <c r="A940" s="7" t="s">
        <v>1639</v>
      </c>
      <c r="B940" s="78" t="s">
        <v>510</v>
      </c>
      <c r="C940" s="79" t="s">
        <v>15</v>
      </c>
      <c r="D940" s="78"/>
      <c r="E940" s="80"/>
      <c r="F940" s="81"/>
      <c r="G940" s="81">
        <v>145800000</v>
      </c>
    </row>
    <row r="941" spans="1:7" x14ac:dyDescent="0.2">
      <c r="A941" s="7" t="s">
        <v>195</v>
      </c>
      <c r="B941" s="89" t="s">
        <v>195</v>
      </c>
      <c r="C941" s="90" t="s">
        <v>1615</v>
      </c>
      <c r="D941" s="89">
        <v>0</v>
      </c>
      <c r="E941" s="91" t="s">
        <v>195</v>
      </c>
      <c r="F941" s="92">
        <v>0</v>
      </c>
      <c r="G941" s="92">
        <v>0</v>
      </c>
    </row>
    <row r="942" spans="1:7" x14ac:dyDescent="0.2">
      <c r="A942" s="7" t="s">
        <v>1640</v>
      </c>
      <c r="B942" s="89" t="s">
        <v>195</v>
      </c>
      <c r="C942" s="90" t="s">
        <v>1641</v>
      </c>
      <c r="D942" s="89">
        <v>45</v>
      </c>
      <c r="E942" s="91" t="s">
        <v>105</v>
      </c>
      <c r="F942" s="92">
        <v>820000</v>
      </c>
      <c r="G942" s="92">
        <v>36900000</v>
      </c>
    </row>
    <row r="943" spans="1:7" x14ac:dyDescent="0.2">
      <c r="A943" s="7" t="s">
        <v>1642</v>
      </c>
      <c r="B943" s="89" t="s">
        <v>195</v>
      </c>
      <c r="C943" s="90" t="s">
        <v>1643</v>
      </c>
      <c r="D943" s="89">
        <v>90</v>
      </c>
      <c r="E943" s="91" t="s">
        <v>73</v>
      </c>
      <c r="F943" s="92">
        <v>150000</v>
      </c>
      <c r="G943" s="92">
        <v>13500000</v>
      </c>
    </row>
    <row r="944" spans="1:7" x14ac:dyDescent="0.2">
      <c r="A944" s="7" t="s">
        <v>1644</v>
      </c>
      <c r="B944" s="89" t="s">
        <v>195</v>
      </c>
      <c r="C944" s="90" t="s">
        <v>1645</v>
      </c>
      <c r="D944" s="89">
        <v>45</v>
      </c>
      <c r="E944" s="91" t="s">
        <v>25</v>
      </c>
      <c r="F944" s="92">
        <v>500000</v>
      </c>
      <c r="G944" s="92">
        <v>22500000</v>
      </c>
    </row>
    <row r="945" spans="1:7" x14ac:dyDescent="0.2">
      <c r="A945" s="7" t="s">
        <v>195</v>
      </c>
      <c r="B945" s="89" t="s">
        <v>195</v>
      </c>
      <c r="C945" s="90" t="s">
        <v>1631</v>
      </c>
      <c r="D945" s="89">
        <v>0</v>
      </c>
      <c r="E945" s="91" t="s">
        <v>195</v>
      </c>
      <c r="F945" s="92">
        <v>0</v>
      </c>
      <c r="G945" s="92">
        <v>0</v>
      </c>
    </row>
    <row r="946" spans="1:7" x14ac:dyDescent="0.2">
      <c r="A946" s="7" t="s">
        <v>1646</v>
      </c>
      <c r="B946" s="89" t="s">
        <v>195</v>
      </c>
      <c r="C946" s="90" t="s">
        <v>1641</v>
      </c>
      <c r="D946" s="89">
        <v>45</v>
      </c>
      <c r="E946" s="91" t="s">
        <v>105</v>
      </c>
      <c r="F946" s="92">
        <v>820000</v>
      </c>
      <c r="G946" s="92">
        <v>36900000</v>
      </c>
    </row>
    <row r="947" spans="1:7" x14ac:dyDescent="0.2">
      <c r="A947" s="7" t="s">
        <v>1647</v>
      </c>
      <c r="B947" s="89" t="s">
        <v>195</v>
      </c>
      <c r="C947" s="90" t="s">
        <v>1643</v>
      </c>
      <c r="D947" s="89">
        <v>90</v>
      </c>
      <c r="E947" s="91" t="s">
        <v>73</v>
      </c>
      <c r="F947" s="92">
        <v>150000</v>
      </c>
      <c r="G947" s="92">
        <v>13500000</v>
      </c>
    </row>
    <row r="948" spans="1:7" x14ac:dyDescent="0.2">
      <c r="A948" s="7" t="s">
        <v>1648</v>
      </c>
      <c r="B948" s="89" t="s">
        <v>195</v>
      </c>
      <c r="C948" s="90" t="s">
        <v>1645</v>
      </c>
      <c r="D948" s="89">
        <v>45</v>
      </c>
      <c r="E948" s="91" t="s">
        <v>25</v>
      </c>
      <c r="F948" s="92">
        <v>500000</v>
      </c>
      <c r="G948" s="92">
        <v>22500000</v>
      </c>
    </row>
    <row r="949" spans="1:7" ht="30" x14ac:dyDescent="0.2">
      <c r="A949" s="7" t="s">
        <v>1649</v>
      </c>
      <c r="B949" s="93" t="s">
        <v>1102</v>
      </c>
      <c r="C949" s="94" t="s">
        <v>1650</v>
      </c>
      <c r="D949" s="93"/>
      <c r="E949" s="95"/>
      <c r="F949" s="96"/>
      <c r="G949" s="96">
        <v>270500000</v>
      </c>
    </row>
    <row r="950" spans="1:7" ht="15" x14ac:dyDescent="0.2">
      <c r="A950" s="7" t="s">
        <v>1651</v>
      </c>
      <c r="B950" s="97" t="s">
        <v>8</v>
      </c>
      <c r="C950" s="98" t="s">
        <v>1652</v>
      </c>
      <c r="D950" s="97"/>
      <c r="E950" s="99"/>
      <c r="F950" s="100"/>
      <c r="G950" s="100">
        <v>180400000</v>
      </c>
    </row>
    <row r="951" spans="1:7" ht="15" x14ac:dyDescent="0.2">
      <c r="A951" s="7" t="s">
        <v>1653</v>
      </c>
      <c r="B951" s="78" t="s">
        <v>503</v>
      </c>
      <c r="C951" s="79" t="s">
        <v>7</v>
      </c>
      <c r="D951" s="78"/>
      <c r="E951" s="80"/>
      <c r="F951" s="81"/>
      <c r="G951" s="81">
        <v>12000000</v>
      </c>
    </row>
    <row r="952" spans="1:7" x14ac:dyDescent="0.2">
      <c r="A952" s="7" t="s">
        <v>1654</v>
      </c>
      <c r="B952" s="89" t="s">
        <v>195</v>
      </c>
      <c r="C952" s="90" t="s">
        <v>1109</v>
      </c>
      <c r="D952" s="89">
        <v>12</v>
      </c>
      <c r="E952" s="91" t="s">
        <v>52</v>
      </c>
      <c r="F952" s="92">
        <v>1000000</v>
      </c>
      <c r="G952" s="92">
        <v>12000000</v>
      </c>
    </row>
    <row r="953" spans="1:7" ht="15" x14ac:dyDescent="0.2">
      <c r="A953" s="7" t="s">
        <v>1655</v>
      </c>
      <c r="B953" s="78" t="s">
        <v>522</v>
      </c>
      <c r="C953" s="79" t="s">
        <v>30</v>
      </c>
      <c r="D953" s="78"/>
      <c r="E953" s="80"/>
      <c r="F953" s="81"/>
      <c r="G953" s="81">
        <v>49800000</v>
      </c>
    </row>
    <row r="954" spans="1:7" x14ac:dyDescent="0.2">
      <c r="A954" s="7" t="s">
        <v>195</v>
      </c>
      <c r="B954" s="89" t="s">
        <v>195</v>
      </c>
      <c r="C954" s="90" t="s">
        <v>1656</v>
      </c>
      <c r="D954" s="89">
        <v>0</v>
      </c>
      <c r="E954" s="91" t="s">
        <v>195</v>
      </c>
      <c r="F954" s="92">
        <v>0</v>
      </c>
      <c r="G954" s="92">
        <v>0</v>
      </c>
    </row>
    <row r="955" spans="1:7" x14ac:dyDescent="0.2">
      <c r="A955" s="7" t="s">
        <v>1657</v>
      </c>
      <c r="B955" s="89" t="s">
        <v>195</v>
      </c>
      <c r="C955" s="90" t="s">
        <v>1658</v>
      </c>
      <c r="D955" s="89">
        <v>12</v>
      </c>
      <c r="E955" s="91" t="s">
        <v>32</v>
      </c>
      <c r="F955" s="92">
        <v>500000</v>
      </c>
      <c r="G955" s="92">
        <v>6000000</v>
      </c>
    </row>
    <row r="956" spans="1:7" x14ac:dyDescent="0.2">
      <c r="A956" s="7" t="s">
        <v>1659</v>
      </c>
      <c r="B956" s="89" t="s">
        <v>195</v>
      </c>
      <c r="C956" s="90" t="s">
        <v>1660</v>
      </c>
      <c r="D956" s="89">
        <v>12</v>
      </c>
      <c r="E956" s="91" t="s">
        <v>32</v>
      </c>
      <c r="F956" s="92">
        <v>450000</v>
      </c>
      <c r="G956" s="92">
        <v>5400000</v>
      </c>
    </row>
    <row r="957" spans="1:7" x14ac:dyDescent="0.2">
      <c r="A957" s="7" t="s">
        <v>1661</v>
      </c>
      <c r="B957" s="89" t="s">
        <v>195</v>
      </c>
      <c r="C957" s="90" t="s">
        <v>1662</v>
      </c>
      <c r="D957" s="89">
        <v>12</v>
      </c>
      <c r="E957" s="91" t="s">
        <v>32</v>
      </c>
      <c r="F957" s="92">
        <v>400000</v>
      </c>
      <c r="G957" s="92">
        <v>4800000</v>
      </c>
    </row>
    <row r="958" spans="1:7" x14ac:dyDescent="0.2">
      <c r="A958" s="7" t="s">
        <v>1663</v>
      </c>
      <c r="B958" s="89" t="s">
        <v>195</v>
      </c>
      <c r="C958" s="90" t="s">
        <v>1664</v>
      </c>
      <c r="D958" s="89">
        <v>96</v>
      </c>
      <c r="E958" s="91" t="s">
        <v>32</v>
      </c>
      <c r="F958" s="92">
        <v>350000</v>
      </c>
      <c r="G958" s="92">
        <v>33600000</v>
      </c>
    </row>
    <row r="959" spans="1:7" ht="15" x14ac:dyDescent="0.2">
      <c r="A959" s="7" t="s">
        <v>1665</v>
      </c>
      <c r="B959" s="78" t="s">
        <v>533</v>
      </c>
      <c r="C959" s="79" t="s">
        <v>53</v>
      </c>
      <c r="D959" s="78"/>
      <c r="E959" s="80"/>
      <c r="F959" s="81"/>
      <c r="G959" s="81">
        <v>34600000</v>
      </c>
    </row>
    <row r="960" spans="1:7" x14ac:dyDescent="0.2">
      <c r="A960" s="7" t="s">
        <v>195</v>
      </c>
      <c r="B960" s="89" t="s">
        <v>195</v>
      </c>
      <c r="C960" s="90" t="s">
        <v>1666</v>
      </c>
      <c r="D960" s="89">
        <v>0</v>
      </c>
      <c r="E960" s="91" t="s">
        <v>195</v>
      </c>
      <c r="F960" s="92">
        <v>0</v>
      </c>
      <c r="G960" s="92">
        <v>0</v>
      </c>
    </row>
    <row r="961" spans="1:7" x14ac:dyDescent="0.2">
      <c r="A961" s="7" t="s">
        <v>1667</v>
      </c>
      <c r="B961" s="89" t="s">
        <v>195</v>
      </c>
      <c r="C961" s="90" t="s">
        <v>1668</v>
      </c>
      <c r="D961" s="89">
        <v>750</v>
      </c>
      <c r="E961" s="91" t="s">
        <v>1669</v>
      </c>
      <c r="F961" s="92">
        <v>16000</v>
      </c>
      <c r="G961" s="92">
        <v>12000000</v>
      </c>
    </row>
    <row r="962" spans="1:7" x14ac:dyDescent="0.2">
      <c r="A962" s="7" t="s">
        <v>1670</v>
      </c>
      <c r="B962" s="89" t="s">
        <v>195</v>
      </c>
      <c r="C962" s="90" t="s">
        <v>1671</v>
      </c>
      <c r="D962" s="89">
        <v>1</v>
      </c>
      <c r="E962" s="91" t="s">
        <v>1672</v>
      </c>
      <c r="F962" s="92">
        <v>5000000</v>
      </c>
      <c r="G962" s="92">
        <v>5000000</v>
      </c>
    </row>
    <row r="963" spans="1:7" x14ac:dyDescent="0.2">
      <c r="A963" s="7" t="s">
        <v>1673</v>
      </c>
      <c r="B963" s="89" t="s">
        <v>195</v>
      </c>
      <c r="C963" s="90" t="s">
        <v>1674</v>
      </c>
      <c r="D963" s="89">
        <v>1</v>
      </c>
      <c r="E963" s="91" t="s">
        <v>1672</v>
      </c>
      <c r="F963" s="92">
        <v>1000000</v>
      </c>
      <c r="G963" s="92">
        <v>1000000</v>
      </c>
    </row>
    <row r="964" spans="1:7" x14ac:dyDescent="0.2">
      <c r="A964" s="7" t="s">
        <v>1675</v>
      </c>
      <c r="B964" s="89" t="s">
        <v>195</v>
      </c>
      <c r="C964" s="90" t="s">
        <v>1676</v>
      </c>
      <c r="D964" s="89">
        <v>750</v>
      </c>
      <c r="E964" s="91" t="s">
        <v>1677</v>
      </c>
      <c r="F964" s="92">
        <v>16000</v>
      </c>
      <c r="G964" s="92">
        <v>12000000</v>
      </c>
    </row>
    <row r="965" spans="1:7" x14ac:dyDescent="0.2">
      <c r="A965" s="7" t="s">
        <v>1678</v>
      </c>
      <c r="B965" s="89" t="s">
        <v>195</v>
      </c>
      <c r="C965" s="90" t="s">
        <v>1679</v>
      </c>
      <c r="D965" s="89">
        <v>1</v>
      </c>
      <c r="E965" s="91" t="s">
        <v>1672</v>
      </c>
      <c r="F965" s="92">
        <v>4600000</v>
      </c>
      <c r="G965" s="92">
        <v>4600000</v>
      </c>
    </row>
    <row r="966" spans="1:7" ht="15" x14ac:dyDescent="0.2">
      <c r="A966" s="7" t="s">
        <v>1680</v>
      </c>
      <c r="B966" s="78" t="s">
        <v>537</v>
      </c>
      <c r="C966" s="79" t="s">
        <v>64</v>
      </c>
      <c r="D966" s="78"/>
      <c r="E966" s="80"/>
      <c r="F966" s="81"/>
      <c r="G966" s="81">
        <v>24000000</v>
      </c>
    </row>
    <row r="967" spans="1:7" x14ac:dyDescent="0.2">
      <c r="A967" s="7" t="s">
        <v>1681</v>
      </c>
      <c r="B967" s="89" t="s">
        <v>195</v>
      </c>
      <c r="C967" s="90" t="s">
        <v>619</v>
      </c>
      <c r="D967" s="89">
        <v>12</v>
      </c>
      <c r="E967" s="91" t="s">
        <v>52</v>
      </c>
      <c r="F967" s="92">
        <v>1000000</v>
      </c>
      <c r="G967" s="92">
        <v>12000000</v>
      </c>
    </row>
    <row r="968" spans="1:7" x14ac:dyDescent="0.2">
      <c r="A968" s="7" t="s">
        <v>1682</v>
      </c>
      <c r="B968" s="89" t="s">
        <v>195</v>
      </c>
      <c r="C968" s="90" t="s">
        <v>859</v>
      </c>
      <c r="D968" s="89">
        <v>12</v>
      </c>
      <c r="E968" s="91" t="s">
        <v>52</v>
      </c>
      <c r="F968" s="92">
        <v>1000000</v>
      </c>
      <c r="G968" s="92">
        <v>12000000</v>
      </c>
    </row>
    <row r="969" spans="1:7" ht="15" x14ac:dyDescent="0.2">
      <c r="A969" s="7" t="s">
        <v>1683</v>
      </c>
      <c r="B969" s="78" t="s">
        <v>513</v>
      </c>
      <c r="C969" s="79" t="s">
        <v>19</v>
      </c>
      <c r="D969" s="78"/>
      <c r="E969" s="80"/>
      <c r="F969" s="81"/>
      <c r="G969" s="81">
        <v>60000000</v>
      </c>
    </row>
    <row r="970" spans="1:7" ht="28.5" x14ac:dyDescent="0.2">
      <c r="A970" s="7" t="s">
        <v>1684</v>
      </c>
      <c r="B970" s="89" t="s">
        <v>195</v>
      </c>
      <c r="C970" s="90" t="s">
        <v>1685</v>
      </c>
      <c r="D970" s="89">
        <v>12</v>
      </c>
      <c r="E970" s="91" t="s">
        <v>25</v>
      </c>
      <c r="F970" s="92">
        <v>5000000</v>
      </c>
      <c r="G970" s="92">
        <v>60000000</v>
      </c>
    </row>
    <row r="971" spans="1:7" ht="30" x14ac:dyDescent="0.2">
      <c r="A971" s="7" t="s">
        <v>1686</v>
      </c>
      <c r="B971" s="97" t="s">
        <v>511</v>
      </c>
      <c r="C971" s="98" t="s">
        <v>1687</v>
      </c>
      <c r="D971" s="97"/>
      <c r="E971" s="99"/>
      <c r="F971" s="100"/>
      <c r="G971" s="100">
        <v>90100000</v>
      </c>
    </row>
    <row r="972" spans="1:7" ht="15" x14ac:dyDescent="0.2">
      <c r="A972" s="7" t="s">
        <v>1688</v>
      </c>
      <c r="B972" s="78" t="s">
        <v>503</v>
      </c>
      <c r="C972" s="79" t="s">
        <v>7</v>
      </c>
      <c r="D972" s="78"/>
      <c r="E972" s="80"/>
      <c r="F972" s="81"/>
      <c r="G972" s="81">
        <v>4000000</v>
      </c>
    </row>
    <row r="973" spans="1:7" x14ac:dyDescent="0.2">
      <c r="A973" s="7" t="s">
        <v>1689</v>
      </c>
      <c r="B973" s="89" t="s">
        <v>195</v>
      </c>
      <c r="C973" s="90" t="s">
        <v>1109</v>
      </c>
      <c r="D973" s="89">
        <v>4</v>
      </c>
      <c r="E973" s="91" t="s">
        <v>52</v>
      </c>
      <c r="F973" s="92">
        <v>1000000</v>
      </c>
      <c r="G973" s="92">
        <v>4000000</v>
      </c>
    </row>
    <row r="974" spans="1:7" ht="15" x14ac:dyDescent="0.2">
      <c r="A974" s="7" t="s">
        <v>1690</v>
      </c>
      <c r="B974" s="78" t="s">
        <v>537</v>
      </c>
      <c r="C974" s="79" t="s">
        <v>64</v>
      </c>
      <c r="D974" s="78"/>
      <c r="E974" s="80"/>
      <c r="F974" s="81"/>
      <c r="G974" s="81">
        <v>8000000</v>
      </c>
    </row>
    <row r="975" spans="1:7" x14ac:dyDescent="0.2">
      <c r="A975" s="7" t="s">
        <v>1691</v>
      </c>
      <c r="B975" s="89" t="s">
        <v>195</v>
      </c>
      <c r="C975" s="90" t="s">
        <v>619</v>
      </c>
      <c r="D975" s="89">
        <v>4</v>
      </c>
      <c r="E975" s="91" t="s">
        <v>52</v>
      </c>
      <c r="F975" s="92">
        <v>1000000</v>
      </c>
      <c r="G975" s="92">
        <v>4000000</v>
      </c>
    </row>
    <row r="976" spans="1:7" x14ac:dyDescent="0.2">
      <c r="A976" s="7" t="s">
        <v>1692</v>
      </c>
      <c r="B976" s="89" t="s">
        <v>195</v>
      </c>
      <c r="C976" s="90" t="s">
        <v>859</v>
      </c>
      <c r="D976" s="89">
        <v>4</v>
      </c>
      <c r="E976" s="91" t="s">
        <v>52</v>
      </c>
      <c r="F976" s="92">
        <v>1000000</v>
      </c>
      <c r="G976" s="92">
        <v>4000000</v>
      </c>
    </row>
    <row r="977" spans="1:7" ht="15" x14ac:dyDescent="0.2">
      <c r="A977" s="7" t="s">
        <v>1693</v>
      </c>
      <c r="B977" s="78" t="s">
        <v>513</v>
      </c>
      <c r="C977" s="79" t="s">
        <v>19</v>
      </c>
      <c r="D977" s="78"/>
      <c r="E977" s="80"/>
      <c r="F977" s="81"/>
      <c r="G977" s="81">
        <v>70000000</v>
      </c>
    </row>
    <row r="978" spans="1:7" ht="28.5" x14ac:dyDescent="0.2">
      <c r="A978" s="7" t="s">
        <v>1694</v>
      </c>
      <c r="B978" s="89" t="s">
        <v>195</v>
      </c>
      <c r="C978" s="90" t="s">
        <v>1695</v>
      </c>
      <c r="D978" s="89">
        <v>14</v>
      </c>
      <c r="E978" s="91" t="s">
        <v>25</v>
      </c>
      <c r="F978" s="92">
        <v>5000000</v>
      </c>
      <c r="G978" s="92">
        <v>70000000</v>
      </c>
    </row>
    <row r="979" spans="1:7" ht="15" x14ac:dyDescent="0.2">
      <c r="A979" s="7" t="s">
        <v>1696</v>
      </c>
      <c r="B979" s="78" t="s">
        <v>507</v>
      </c>
      <c r="C979" s="79" t="s">
        <v>13</v>
      </c>
      <c r="D979" s="78"/>
      <c r="E979" s="80"/>
      <c r="F979" s="81"/>
      <c r="G979" s="81">
        <v>8100000</v>
      </c>
    </row>
    <row r="980" spans="1:7" x14ac:dyDescent="0.2">
      <c r="A980" s="7" t="s">
        <v>1697</v>
      </c>
      <c r="B980" s="89" t="s">
        <v>195</v>
      </c>
      <c r="C980" s="90" t="s">
        <v>1698</v>
      </c>
      <c r="D980" s="89">
        <v>54</v>
      </c>
      <c r="E980" s="91" t="s">
        <v>25</v>
      </c>
      <c r="F980" s="92">
        <v>150000</v>
      </c>
      <c r="G980" s="92">
        <v>8100000</v>
      </c>
    </row>
    <row r="981" spans="1:7" x14ac:dyDescent="0.2">
      <c r="A981" s="7" t="s">
        <v>1699</v>
      </c>
      <c r="B981" s="89" t="s">
        <v>1700</v>
      </c>
      <c r="C981" s="90" t="s">
        <v>1701</v>
      </c>
      <c r="D981" s="89"/>
      <c r="E981" s="91"/>
      <c r="F981" s="92"/>
      <c r="G981" s="92">
        <v>48823181000</v>
      </c>
    </row>
    <row r="982" spans="1:7" ht="15" x14ac:dyDescent="0.2">
      <c r="A982" s="7" t="s">
        <v>1702</v>
      </c>
      <c r="B982" s="93" t="s">
        <v>501</v>
      </c>
      <c r="C982" s="94" t="s">
        <v>76</v>
      </c>
      <c r="D982" s="93"/>
      <c r="E982" s="95"/>
      <c r="F982" s="96"/>
      <c r="G982" s="96">
        <v>23048523000</v>
      </c>
    </row>
    <row r="983" spans="1:7" ht="15" x14ac:dyDescent="0.2">
      <c r="A983" s="7" t="s">
        <v>1703</v>
      </c>
      <c r="B983" s="97" t="s">
        <v>558</v>
      </c>
      <c r="C983" s="98" t="s">
        <v>1704</v>
      </c>
      <c r="D983" s="97"/>
      <c r="E983" s="99"/>
      <c r="F983" s="100"/>
      <c r="G983" s="100">
        <v>10900000000</v>
      </c>
    </row>
    <row r="984" spans="1:7" ht="15" x14ac:dyDescent="0.2">
      <c r="A984" s="7" t="s">
        <v>1705</v>
      </c>
      <c r="B984" s="78" t="s">
        <v>544</v>
      </c>
      <c r="C984" s="79" t="s">
        <v>77</v>
      </c>
      <c r="D984" s="78"/>
      <c r="E984" s="80"/>
      <c r="F984" s="81"/>
      <c r="G984" s="81">
        <v>3970000000</v>
      </c>
    </row>
    <row r="985" spans="1:7" x14ac:dyDescent="0.2">
      <c r="A985" s="7" t="s">
        <v>1706</v>
      </c>
      <c r="B985" s="89" t="s">
        <v>195</v>
      </c>
      <c r="C985" s="90" t="s">
        <v>1707</v>
      </c>
      <c r="D985" s="89">
        <v>1</v>
      </c>
      <c r="E985" s="91" t="s">
        <v>97</v>
      </c>
      <c r="F985" s="92">
        <v>275000000</v>
      </c>
      <c r="G985" s="92">
        <v>275000000</v>
      </c>
    </row>
    <row r="986" spans="1:7" x14ac:dyDescent="0.2">
      <c r="A986" s="7" t="s">
        <v>1708</v>
      </c>
      <c r="B986" s="89" t="s">
        <v>195</v>
      </c>
      <c r="C986" s="90" t="s">
        <v>1709</v>
      </c>
      <c r="D986" s="89">
        <v>12</v>
      </c>
      <c r="E986" s="91" t="s">
        <v>97</v>
      </c>
      <c r="F986" s="92">
        <v>285000000</v>
      </c>
      <c r="G986" s="92">
        <v>3420000000</v>
      </c>
    </row>
    <row r="987" spans="1:7" x14ac:dyDescent="0.2">
      <c r="A987" s="7" t="s">
        <v>1710</v>
      </c>
      <c r="B987" s="89" t="s">
        <v>195</v>
      </c>
      <c r="C987" s="90" t="s">
        <v>1711</v>
      </c>
      <c r="D987" s="89">
        <v>1</v>
      </c>
      <c r="E987" s="91" t="s">
        <v>97</v>
      </c>
      <c r="F987" s="92">
        <v>275000000</v>
      </c>
      <c r="G987" s="92">
        <v>275000000</v>
      </c>
    </row>
    <row r="988" spans="1:7" ht="15" x14ac:dyDescent="0.2">
      <c r="A988" s="7" t="s">
        <v>1712</v>
      </c>
      <c r="B988" s="78" t="s">
        <v>547</v>
      </c>
      <c r="C988" s="79" t="s">
        <v>79</v>
      </c>
      <c r="D988" s="78"/>
      <c r="E988" s="80"/>
      <c r="F988" s="81"/>
      <c r="G988" s="81">
        <v>145000</v>
      </c>
    </row>
    <row r="989" spans="1:7" x14ac:dyDescent="0.2">
      <c r="A989" s="7" t="s">
        <v>1713</v>
      </c>
      <c r="B989" s="89" t="s">
        <v>195</v>
      </c>
      <c r="C989" s="90" t="s">
        <v>1714</v>
      </c>
      <c r="D989" s="89">
        <v>1</v>
      </c>
      <c r="E989" s="91" t="s">
        <v>97</v>
      </c>
      <c r="F989" s="92">
        <v>5000</v>
      </c>
      <c r="G989" s="92">
        <v>5000</v>
      </c>
    </row>
    <row r="990" spans="1:7" x14ac:dyDescent="0.2">
      <c r="A990" s="7" t="s">
        <v>1715</v>
      </c>
      <c r="B990" s="89" t="s">
        <v>195</v>
      </c>
      <c r="C990" s="90" t="s">
        <v>1716</v>
      </c>
      <c r="D990" s="89">
        <v>1</v>
      </c>
      <c r="E990" s="91" t="s">
        <v>153</v>
      </c>
      <c r="F990" s="92">
        <v>135000</v>
      </c>
      <c r="G990" s="92">
        <v>135000</v>
      </c>
    </row>
    <row r="991" spans="1:7" x14ac:dyDescent="0.2">
      <c r="A991" s="7" t="s">
        <v>1717</v>
      </c>
      <c r="B991" s="89" t="s">
        <v>195</v>
      </c>
      <c r="C991" s="90" t="s">
        <v>1718</v>
      </c>
      <c r="D991" s="89">
        <v>1</v>
      </c>
      <c r="E991" s="91" t="s">
        <v>97</v>
      </c>
      <c r="F991" s="92">
        <v>5000</v>
      </c>
      <c r="G991" s="92">
        <v>5000</v>
      </c>
    </row>
    <row r="992" spans="1:7" ht="15" x14ac:dyDescent="0.2">
      <c r="A992" s="7" t="s">
        <v>1719</v>
      </c>
      <c r="B992" s="78" t="s">
        <v>548</v>
      </c>
      <c r="C992" s="79" t="s">
        <v>80</v>
      </c>
      <c r="D992" s="78"/>
      <c r="E992" s="80"/>
      <c r="F992" s="81"/>
      <c r="G992" s="81">
        <v>374784000</v>
      </c>
    </row>
    <row r="993" spans="1:7" x14ac:dyDescent="0.2">
      <c r="A993" s="7" t="s">
        <v>1720</v>
      </c>
      <c r="B993" s="89" t="s">
        <v>195</v>
      </c>
      <c r="C993" s="90" t="s">
        <v>1721</v>
      </c>
      <c r="D993" s="89">
        <v>12</v>
      </c>
      <c r="E993" s="91" t="s">
        <v>97</v>
      </c>
      <c r="F993" s="92">
        <v>27908000</v>
      </c>
      <c r="G993" s="92">
        <v>334892000</v>
      </c>
    </row>
    <row r="994" spans="1:7" x14ac:dyDescent="0.2">
      <c r="A994" s="7" t="s">
        <v>1722</v>
      </c>
      <c r="B994" s="89" t="s">
        <v>195</v>
      </c>
      <c r="C994" s="90" t="s">
        <v>1723</v>
      </c>
      <c r="D994" s="89">
        <v>1</v>
      </c>
      <c r="E994" s="91" t="s">
        <v>97</v>
      </c>
      <c r="F994" s="92">
        <v>19946000</v>
      </c>
      <c r="G994" s="92">
        <v>19946000</v>
      </c>
    </row>
    <row r="995" spans="1:7" x14ac:dyDescent="0.2">
      <c r="A995" s="7" t="s">
        <v>1724</v>
      </c>
      <c r="B995" s="89" t="s">
        <v>195</v>
      </c>
      <c r="C995" s="90" t="s">
        <v>1725</v>
      </c>
      <c r="D995" s="89">
        <v>1</v>
      </c>
      <c r="E995" s="91" t="s">
        <v>97</v>
      </c>
      <c r="F995" s="92">
        <v>19946000</v>
      </c>
      <c r="G995" s="92">
        <v>19946000</v>
      </c>
    </row>
    <row r="996" spans="1:7" ht="15" x14ac:dyDescent="0.2">
      <c r="A996" s="7" t="s">
        <v>1726</v>
      </c>
      <c r="B996" s="78" t="s">
        <v>549</v>
      </c>
      <c r="C996" s="79" t="s">
        <v>81</v>
      </c>
      <c r="D996" s="78"/>
      <c r="E996" s="80"/>
      <c r="F996" s="81"/>
      <c r="G996" s="81">
        <v>94000000</v>
      </c>
    </row>
    <row r="997" spans="1:7" x14ac:dyDescent="0.2">
      <c r="A997" s="7" t="s">
        <v>1727</v>
      </c>
      <c r="B997" s="89" t="s">
        <v>195</v>
      </c>
      <c r="C997" s="90" t="s">
        <v>1728</v>
      </c>
      <c r="D997" s="89">
        <v>1</v>
      </c>
      <c r="E997" s="91" t="s">
        <v>97</v>
      </c>
      <c r="F997" s="92">
        <v>9000000</v>
      </c>
      <c r="G997" s="92">
        <v>9000000</v>
      </c>
    </row>
    <row r="998" spans="1:7" x14ac:dyDescent="0.2">
      <c r="A998" s="7" t="s">
        <v>1729</v>
      </c>
      <c r="B998" s="89" t="s">
        <v>195</v>
      </c>
      <c r="C998" s="90" t="s">
        <v>1730</v>
      </c>
      <c r="D998" s="89">
        <v>12</v>
      </c>
      <c r="E998" s="91" t="s">
        <v>97</v>
      </c>
      <c r="F998" s="92">
        <v>6333000</v>
      </c>
      <c r="G998" s="92">
        <v>76000000</v>
      </c>
    </row>
    <row r="999" spans="1:7" x14ac:dyDescent="0.2">
      <c r="A999" s="7" t="s">
        <v>1731</v>
      </c>
      <c r="B999" s="89" t="s">
        <v>195</v>
      </c>
      <c r="C999" s="90" t="s">
        <v>1732</v>
      </c>
      <c r="D999" s="89">
        <v>1</v>
      </c>
      <c r="E999" s="91" t="s">
        <v>97</v>
      </c>
      <c r="F999" s="92">
        <v>9000000</v>
      </c>
      <c r="G999" s="92">
        <v>9000000</v>
      </c>
    </row>
    <row r="1000" spans="1:7" ht="15" x14ac:dyDescent="0.2">
      <c r="A1000" s="7" t="s">
        <v>1733</v>
      </c>
      <c r="B1000" s="78" t="s">
        <v>550</v>
      </c>
      <c r="C1000" s="79" t="s">
        <v>82</v>
      </c>
      <c r="D1000" s="78"/>
      <c r="E1000" s="80"/>
      <c r="F1000" s="81"/>
      <c r="G1000" s="81">
        <v>217000000</v>
      </c>
    </row>
    <row r="1001" spans="1:7" x14ac:dyDescent="0.2">
      <c r="A1001" s="7" t="s">
        <v>1734</v>
      </c>
      <c r="B1001" s="89" t="s">
        <v>195</v>
      </c>
      <c r="C1001" s="90" t="s">
        <v>1735</v>
      </c>
      <c r="D1001" s="89">
        <v>1</v>
      </c>
      <c r="E1001" s="91" t="s">
        <v>97</v>
      </c>
      <c r="F1001" s="92">
        <v>15500000</v>
      </c>
      <c r="G1001" s="92">
        <v>15500000</v>
      </c>
    </row>
    <row r="1002" spans="1:7" x14ac:dyDescent="0.2">
      <c r="A1002" s="7" t="s">
        <v>1736</v>
      </c>
      <c r="B1002" s="89" t="s">
        <v>195</v>
      </c>
      <c r="C1002" s="90" t="s">
        <v>1737</v>
      </c>
      <c r="D1002" s="89">
        <v>12</v>
      </c>
      <c r="E1002" s="91" t="s">
        <v>97</v>
      </c>
      <c r="F1002" s="92">
        <v>15500000</v>
      </c>
      <c r="G1002" s="92">
        <v>186000000</v>
      </c>
    </row>
    <row r="1003" spans="1:7" x14ac:dyDescent="0.2">
      <c r="A1003" s="7" t="s">
        <v>1738</v>
      </c>
      <c r="B1003" s="89" t="s">
        <v>195</v>
      </c>
      <c r="C1003" s="90" t="s">
        <v>1739</v>
      </c>
      <c r="D1003" s="89">
        <v>1</v>
      </c>
      <c r="E1003" s="91" t="s">
        <v>97</v>
      </c>
      <c r="F1003" s="92">
        <v>15500000</v>
      </c>
      <c r="G1003" s="92">
        <v>15500000</v>
      </c>
    </row>
    <row r="1004" spans="1:7" ht="15" x14ac:dyDescent="0.2">
      <c r="A1004" s="7" t="s">
        <v>1740</v>
      </c>
      <c r="B1004" s="78" t="s">
        <v>551</v>
      </c>
      <c r="C1004" s="79" t="s">
        <v>83</v>
      </c>
      <c r="D1004" s="78"/>
      <c r="E1004" s="80"/>
      <c r="F1004" s="81"/>
      <c r="G1004" s="81">
        <v>210000000</v>
      </c>
    </row>
    <row r="1005" spans="1:7" x14ac:dyDescent="0.2">
      <c r="A1005" s="7" t="s">
        <v>1741</v>
      </c>
      <c r="B1005" s="89" t="s">
        <v>195</v>
      </c>
      <c r="C1005" s="90" t="s">
        <v>1742</v>
      </c>
      <c r="D1005" s="89">
        <v>1</v>
      </c>
      <c r="E1005" s="91" t="s">
        <v>97</v>
      </c>
      <c r="F1005" s="92">
        <v>15000000</v>
      </c>
      <c r="G1005" s="92">
        <v>15000000</v>
      </c>
    </row>
    <row r="1006" spans="1:7" x14ac:dyDescent="0.2">
      <c r="A1006" s="7" t="s">
        <v>1743</v>
      </c>
      <c r="B1006" s="89" t="s">
        <v>195</v>
      </c>
      <c r="C1006" s="90" t="s">
        <v>1744</v>
      </c>
      <c r="D1006" s="89">
        <v>12</v>
      </c>
      <c r="E1006" s="91" t="s">
        <v>97</v>
      </c>
      <c r="F1006" s="92">
        <v>15000000</v>
      </c>
      <c r="G1006" s="92">
        <v>180000000</v>
      </c>
    </row>
    <row r="1007" spans="1:7" x14ac:dyDescent="0.2">
      <c r="A1007" s="7" t="s">
        <v>1745</v>
      </c>
      <c r="B1007" s="89" t="s">
        <v>195</v>
      </c>
      <c r="C1007" s="90" t="s">
        <v>1746</v>
      </c>
      <c r="D1007" s="89">
        <v>1</v>
      </c>
      <c r="E1007" s="91" t="s">
        <v>97</v>
      </c>
      <c r="F1007" s="92">
        <v>15000000</v>
      </c>
      <c r="G1007" s="92">
        <v>15000000</v>
      </c>
    </row>
    <row r="1008" spans="1:7" ht="15" x14ac:dyDescent="0.2">
      <c r="A1008" s="7" t="s">
        <v>1747</v>
      </c>
      <c r="B1008" s="78" t="s">
        <v>552</v>
      </c>
      <c r="C1008" s="79" t="s">
        <v>84</v>
      </c>
      <c r="D1008" s="78"/>
      <c r="E1008" s="80"/>
      <c r="F1008" s="81"/>
      <c r="G1008" s="81">
        <v>12600000</v>
      </c>
    </row>
    <row r="1009" spans="1:7" x14ac:dyDescent="0.2">
      <c r="A1009" s="7" t="s">
        <v>1748</v>
      </c>
      <c r="B1009" s="89" t="s">
        <v>195</v>
      </c>
      <c r="C1009" s="90" t="s">
        <v>1749</v>
      </c>
      <c r="D1009" s="89">
        <v>1</v>
      </c>
      <c r="E1009" s="91" t="s">
        <v>97</v>
      </c>
      <c r="F1009" s="92">
        <v>2100000</v>
      </c>
      <c r="G1009" s="92">
        <v>2100000</v>
      </c>
    </row>
    <row r="1010" spans="1:7" x14ac:dyDescent="0.2">
      <c r="A1010" s="7" t="s">
        <v>1750</v>
      </c>
      <c r="B1010" s="89" t="s">
        <v>195</v>
      </c>
      <c r="C1010" s="90" t="s">
        <v>1751</v>
      </c>
      <c r="D1010" s="89">
        <v>1</v>
      </c>
      <c r="E1010" s="91" t="s">
        <v>153</v>
      </c>
      <c r="F1010" s="92">
        <v>8400000</v>
      </c>
      <c r="G1010" s="92">
        <v>8400000</v>
      </c>
    </row>
    <row r="1011" spans="1:7" x14ac:dyDescent="0.2">
      <c r="A1011" s="7" t="s">
        <v>1752</v>
      </c>
      <c r="B1011" s="89" t="s">
        <v>195</v>
      </c>
      <c r="C1011" s="90" t="s">
        <v>1753</v>
      </c>
      <c r="D1011" s="89">
        <v>1</v>
      </c>
      <c r="E1011" s="91" t="s">
        <v>97</v>
      </c>
      <c r="F1011" s="92">
        <v>2100000</v>
      </c>
      <c r="G1011" s="92">
        <v>2100000</v>
      </c>
    </row>
    <row r="1012" spans="1:7" ht="15" x14ac:dyDescent="0.2">
      <c r="A1012" s="7" t="s">
        <v>1754</v>
      </c>
      <c r="B1012" s="78" t="s">
        <v>553</v>
      </c>
      <c r="C1012" s="79" t="s">
        <v>85</v>
      </c>
      <c r="D1012" s="78"/>
      <c r="E1012" s="80"/>
      <c r="F1012" s="81"/>
      <c r="G1012" s="81">
        <v>205000000</v>
      </c>
    </row>
    <row r="1013" spans="1:7" x14ac:dyDescent="0.2">
      <c r="A1013" s="7" t="s">
        <v>1755</v>
      </c>
      <c r="B1013" s="89" t="s">
        <v>195</v>
      </c>
      <c r="C1013" s="90" t="s">
        <v>1756</v>
      </c>
      <c r="D1013" s="89">
        <v>12</v>
      </c>
      <c r="E1013" s="91" t="s">
        <v>97</v>
      </c>
      <c r="F1013" s="92">
        <v>17083000</v>
      </c>
      <c r="G1013" s="92">
        <v>205000000</v>
      </c>
    </row>
    <row r="1014" spans="1:7" ht="15" x14ac:dyDescent="0.2">
      <c r="A1014" s="7" t="s">
        <v>1757</v>
      </c>
      <c r="B1014" s="78" t="s">
        <v>554</v>
      </c>
      <c r="C1014" s="79" t="s">
        <v>86</v>
      </c>
      <c r="D1014" s="78"/>
      <c r="E1014" s="80"/>
      <c r="F1014" s="81"/>
      <c r="G1014" s="81">
        <v>568000000</v>
      </c>
    </row>
    <row r="1015" spans="1:7" x14ac:dyDescent="0.2">
      <c r="A1015" s="7" t="s">
        <v>1758</v>
      </c>
      <c r="B1015" s="89" t="s">
        <v>195</v>
      </c>
      <c r="C1015" s="90" t="s">
        <v>1759</v>
      </c>
      <c r="D1015" s="89">
        <v>12</v>
      </c>
      <c r="E1015" s="91" t="s">
        <v>97</v>
      </c>
      <c r="F1015" s="92">
        <v>47333000</v>
      </c>
      <c r="G1015" s="92">
        <v>568000000</v>
      </c>
    </row>
    <row r="1016" spans="1:7" ht="15" x14ac:dyDescent="0.2">
      <c r="A1016" s="7" t="s">
        <v>1760</v>
      </c>
      <c r="B1016" s="78" t="s">
        <v>555</v>
      </c>
      <c r="C1016" s="79" t="s">
        <v>87</v>
      </c>
      <c r="D1016" s="78"/>
      <c r="E1016" s="80"/>
      <c r="F1016" s="81"/>
      <c r="G1016" s="81">
        <v>132000000</v>
      </c>
    </row>
    <row r="1017" spans="1:7" x14ac:dyDescent="0.2">
      <c r="A1017" s="7" t="s">
        <v>1761</v>
      </c>
      <c r="B1017" s="89" t="s">
        <v>195</v>
      </c>
      <c r="C1017" s="90" t="s">
        <v>1762</v>
      </c>
      <c r="D1017" s="89">
        <v>1</v>
      </c>
      <c r="E1017" s="91" t="s">
        <v>97</v>
      </c>
      <c r="F1017" s="92">
        <v>11800000</v>
      </c>
      <c r="G1017" s="92">
        <v>11800000</v>
      </c>
    </row>
    <row r="1018" spans="1:7" x14ac:dyDescent="0.2">
      <c r="A1018" s="7" t="s">
        <v>1763</v>
      </c>
      <c r="B1018" s="89" t="s">
        <v>195</v>
      </c>
      <c r="C1018" s="90" t="s">
        <v>1764</v>
      </c>
      <c r="D1018" s="89">
        <v>12</v>
      </c>
      <c r="E1018" s="91" t="s">
        <v>97</v>
      </c>
      <c r="F1018" s="92">
        <v>9033000</v>
      </c>
      <c r="G1018" s="92">
        <v>108400000</v>
      </c>
    </row>
    <row r="1019" spans="1:7" x14ac:dyDescent="0.2">
      <c r="A1019" s="7" t="s">
        <v>1765</v>
      </c>
      <c r="B1019" s="89" t="s">
        <v>195</v>
      </c>
      <c r="C1019" s="90" t="s">
        <v>1766</v>
      </c>
      <c r="D1019" s="89">
        <v>1</v>
      </c>
      <c r="E1019" s="91" t="s">
        <v>97</v>
      </c>
      <c r="F1019" s="92">
        <v>11800000</v>
      </c>
      <c r="G1019" s="92">
        <v>11800000</v>
      </c>
    </row>
    <row r="1020" spans="1:7" ht="30" x14ac:dyDescent="0.2">
      <c r="A1020" s="7" t="s">
        <v>1767</v>
      </c>
      <c r="B1020" s="78" t="s">
        <v>556</v>
      </c>
      <c r="C1020" s="79" t="s">
        <v>88</v>
      </c>
      <c r="D1020" s="78"/>
      <c r="E1020" s="80"/>
      <c r="F1020" s="81"/>
      <c r="G1020" s="81">
        <v>5116471000</v>
      </c>
    </row>
    <row r="1021" spans="1:7" x14ac:dyDescent="0.2">
      <c r="A1021" s="7" t="s">
        <v>1768</v>
      </c>
      <c r="B1021" s="89" t="s">
        <v>195</v>
      </c>
      <c r="C1021" s="90" t="s">
        <v>1769</v>
      </c>
      <c r="D1021" s="89">
        <v>1</v>
      </c>
      <c r="E1021" s="91" t="s">
        <v>153</v>
      </c>
      <c r="F1021" s="92">
        <v>5116471000</v>
      </c>
      <c r="G1021" s="92">
        <v>5116471000</v>
      </c>
    </row>
    <row r="1022" spans="1:7" ht="30" x14ac:dyDescent="0.2">
      <c r="A1022" s="7" t="s">
        <v>1770</v>
      </c>
      <c r="B1022" s="97" t="s">
        <v>1771</v>
      </c>
      <c r="C1022" s="98" t="s">
        <v>1772</v>
      </c>
      <c r="D1022" s="97"/>
      <c r="E1022" s="99"/>
      <c r="F1022" s="100"/>
      <c r="G1022" s="100">
        <v>5669527000</v>
      </c>
    </row>
    <row r="1023" spans="1:7" ht="15" x14ac:dyDescent="0.2">
      <c r="A1023" s="7" t="s">
        <v>1773</v>
      </c>
      <c r="B1023" s="78" t="s">
        <v>544</v>
      </c>
      <c r="C1023" s="79" t="s">
        <v>77</v>
      </c>
      <c r="D1023" s="78"/>
      <c r="E1023" s="80"/>
      <c r="F1023" s="81"/>
      <c r="G1023" s="81">
        <v>2136876000</v>
      </c>
    </row>
    <row r="1024" spans="1:7" x14ac:dyDescent="0.2">
      <c r="A1024" s="7" t="s">
        <v>1774</v>
      </c>
      <c r="B1024" s="89" t="s">
        <v>195</v>
      </c>
      <c r="C1024" s="90" t="s">
        <v>1775</v>
      </c>
      <c r="D1024" s="89">
        <v>14</v>
      </c>
      <c r="E1024" s="91" t="s">
        <v>97</v>
      </c>
      <c r="F1024" s="92">
        <v>152634000</v>
      </c>
      <c r="G1024" s="92">
        <v>2136876000</v>
      </c>
    </row>
    <row r="1025" spans="1:7" ht="15" x14ac:dyDescent="0.2">
      <c r="A1025" s="7" t="s">
        <v>1776</v>
      </c>
      <c r="B1025" s="78" t="s">
        <v>547</v>
      </c>
      <c r="C1025" s="79" t="s">
        <v>79</v>
      </c>
      <c r="D1025" s="78"/>
      <c r="E1025" s="80"/>
      <c r="F1025" s="81"/>
      <c r="G1025" s="81">
        <v>41000</v>
      </c>
    </row>
    <row r="1026" spans="1:7" x14ac:dyDescent="0.2">
      <c r="A1026" s="7" t="s">
        <v>1777</v>
      </c>
      <c r="B1026" s="89" t="s">
        <v>195</v>
      </c>
      <c r="C1026" s="90" t="s">
        <v>1778</v>
      </c>
      <c r="D1026" s="89">
        <v>14</v>
      </c>
      <c r="E1026" s="91" t="s">
        <v>97</v>
      </c>
      <c r="F1026" s="92">
        <v>3000</v>
      </c>
      <c r="G1026" s="92">
        <v>41000</v>
      </c>
    </row>
    <row r="1027" spans="1:7" ht="15" x14ac:dyDescent="0.2">
      <c r="A1027" s="7" t="s">
        <v>1779</v>
      </c>
      <c r="B1027" s="78" t="s">
        <v>548</v>
      </c>
      <c r="C1027" s="79" t="s">
        <v>80</v>
      </c>
      <c r="D1027" s="78"/>
      <c r="E1027" s="80"/>
      <c r="F1027" s="81"/>
      <c r="G1027" s="81">
        <v>167664000</v>
      </c>
    </row>
    <row r="1028" spans="1:7" x14ac:dyDescent="0.2">
      <c r="A1028" s="7" t="s">
        <v>1780</v>
      </c>
      <c r="B1028" s="89" t="s">
        <v>195</v>
      </c>
      <c r="C1028" s="90" t="s">
        <v>1781</v>
      </c>
      <c r="D1028" s="89">
        <v>14</v>
      </c>
      <c r="E1028" s="91" t="s">
        <v>97</v>
      </c>
      <c r="F1028" s="92">
        <v>11976000</v>
      </c>
      <c r="G1028" s="92">
        <v>167664000</v>
      </c>
    </row>
    <row r="1029" spans="1:7" ht="15" x14ac:dyDescent="0.2">
      <c r="A1029" s="7" t="s">
        <v>1782</v>
      </c>
      <c r="B1029" s="78" t="s">
        <v>549</v>
      </c>
      <c r="C1029" s="79" t="s">
        <v>81</v>
      </c>
      <c r="D1029" s="78"/>
      <c r="E1029" s="80"/>
      <c r="F1029" s="81"/>
      <c r="G1029" s="81">
        <v>50764000</v>
      </c>
    </row>
    <row r="1030" spans="1:7" x14ac:dyDescent="0.2">
      <c r="A1030" s="7" t="s">
        <v>1783</v>
      </c>
      <c r="B1030" s="89" t="s">
        <v>195</v>
      </c>
      <c r="C1030" s="90" t="s">
        <v>1784</v>
      </c>
      <c r="D1030" s="89">
        <v>14</v>
      </c>
      <c r="E1030" s="91" t="s">
        <v>97</v>
      </c>
      <c r="F1030" s="92">
        <v>3626000</v>
      </c>
      <c r="G1030" s="92">
        <v>50764000</v>
      </c>
    </row>
    <row r="1031" spans="1:7" ht="15" x14ac:dyDescent="0.2">
      <c r="A1031" s="7" t="s">
        <v>1785</v>
      </c>
      <c r="B1031" s="78" t="s">
        <v>550</v>
      </c>
      <c r="C1031" s="79" t="s">
        <v>82</v>
      </c>
      <c r="D1031" s="78"/>
      <c r="E1031" s="80"/>
      <c r="F1031" s="81"/>
      <c r="G1031" s="81">
        <v>45500000</v>
      </c>
    </row>
    <row r="1032" spans="1:7" x14ac:dyDescent="0.2">
      <c r="A1032" s="7" t="s">
        <v>1786</v>
      </c>
      <c r="B1032" s="89" t="s">
        <v>195</v>
      </c>
      <c r="C1032" s="90" t="s">
        <v>1787</v>
      </c>
      <c r="D1032" s="89">
        <v>14</v>
      </c>
      <c r="E1032" s="91" t="s">
        <v>97</v>
      </c>
      <c r="F1032" s="92">
        <v>3250000</v>
      </c>
      <c r="G1032" s="92">
        <v>45500000</v>
      </c>
    </row>
    <row r="1033" spans="1:7" ht="15" x14ac:dyDescent="0.2">
      <c r="A1033" s="7" t="s">
        <v>1788</v>
      </c>
      <c r="B1033" s="78" t="s">
        <v>551</v>
      </c>
      <c r="C1033" s="79" t="s">
        <v>83</v>
      </c>
      <c r="D1033" s="78"/>
      <c r="E1033" s="80"/>
      <c r="F1033" s="81"/>
      <c r="G1033" s="81">
        <v>200830000</v>
      </c>
    </row>
    <row r="1034" spans="1:7" x14ac:dyDescent="0.2">
      <c r="A1034" s="7" t="s">
        <v>1789</v>
      </c>
      <c r="B1034" s="89" t="s">
        <v>195</v>
      </c>
      <c r="C1034" s="90" t="s">
        <v>1790</v>
      </c>
      <c r="D1034" s="89">
        <v>14</v>
      </c>
      <c r="E1034" s="91" t="s">
        <v>97</v>
      </c>
      <c r="F1034" s="92">
        <v>14345000</v>
      </c>
      <c r="G1034" s="92">
        <v>200830000</v>
      </c>
    </row>
    <row r="1035" spans="1:7" ht="15" x14ac:dyDescent="0.2">
      <c r="A1035" s="7" t="s">
        <v>1791</v>
      </c>
      <c r="B1035" s="78" t="s">
        <v>552</v>
      </c>
      <c r="C1035" s="79" t="s">
        <v>84</v>
      </c>
      <c r="D1035" s="78"/>
      <c r="E1035" s="80"/>
      <c r="F1035" s="81"/>
      <c r="G1035" s="81">
        <v>4858000</v>
      </c>
    </row>
    <row r="1036" spans="1:7" x14ac:dyDescent="0.2">
      <c r="A1036" s="7" t="s">
        <v>1792</v>
      </c>
      <c r="B1036" s="89" t="s">
        <v>195</v>
      </c>
      <c r="C1036" s="90" t="s">
        <v>1793</v>
      </c>
      <c r="D1036" s="89">
        <v>14</v>
      </c>
      <c r="E1036" s="91" t="s">
        <v>97</v>
      </c>
      <c r="F1036" s="92">
        <v>347000</v>
      </c>
      <c r="G1036" s="92">
        <v>4858000</v>
      </c>
    </row>
    <row r="1037" spans="1:7" ht="15" x14ac:dyDescent="0.2">
      <c r="A1037" s="7" t="s">
        <v>1794</v>
      </c>
      <c r="B1037" s="78" t="s">
        <v>553</v>
      </c>
      <c r="C1037" s="79" t="s">
        <v>85</v>
      </c>
      <c r="D1037" s="78"/>
      <c r="E1037" s="80"/>
      <c r="F1037" s="81"/>
      <c r="G1037" s="81">
        <v>105156000</v>
      </c>
    </row>
    <row r="1038" spans="1:7" x14ac:dyDescent="0.2">
      <c r="A1038" s="7" t="s">
        <v>1795</v>
      </c>
      <c r="B1038" s="89" t="s">
        <v>195</v>
      </c>
      <c r="C1038" s="90" t="s">
        <v>1796</v>
      </c>
      <c r="D1038" s="89">
        <v>12</v>
      </c>
      <c r="E1038" s="91" t="s">
        <v>97</v>
      </c>
      <c r="F1038" s="92">
        <v>8763000</v>
      </c>
      <c r="G1038" s="92">
        <v>105156000</v>
      </c>
    </row>
    <row r="1039" spans="1:7" ht="15" x14ac:dyDescent="0.2">
      <c r="A1039" s="7" t="s">
        <v>1797</v>
      </c>
      <c r="B1039" s="78" t="s">
        <v>554</v>
      </c>
      <c r="C1039" s="79" t="s">
        <v>86</v>
      </c>
      <c r="D1039" s="78"/>
      <c r="E1039" s="80"/>
      <c r="F1039" s="81"/>
      <c r="G1039" s="81">
        <v>386916000</v>
      </c>
    </row>
    <row r="1040" spans="1:7" x14ac:dyDescent="0.2">
      <c r="A1040" s="7" t="s">
        <v>1798</v>
      </c>
      <c r="B1040" s="89" t="s">
        <v>195</v>
      </c>
      <c r="C1040" s="90" t="s">
        <v>1799</v>
      </c>
      <c r="D1040" s="89">
        <v>12</v>
      </c>
      <c r="E1040" s="91" t="s">
        <v>97</v>
      </c>
      <c r="F1040" s="92">
        <v>32243000</v>
      </c>
      <c r="G1040" s="92">
        <v>386916000</v>
      </c>
    </row>
    <row r="1041" spans="1:7" ht="15" x14ac:dyDescent="0.2">
      <c r="A1041" s="7" t="s">
        <v>1800</v>
      </c>
      <c r="B1041" s="78" t="s">
        <v>555</v>
      </c>
      <c r="C1041" s="79" t="s">
        <v>87</v>
      </c>
      <c r="D1041" s="78"/>
      <c r="E1041" s="80"/>
      <c r="F1041" s="81"/>
      <c r="G1041" s="81">
        <v>51870000</v>
      </c>
    </row>
    <row r="1042" spans="1:7" x14ac:dyDescent="0.2">
      <c r="A1042" s="7" t="s">
        <v>1801</v>
      </c>
      <c r="B1042" s="89" t="s">
        <v>195</v>
      </c>
      <c r="C1042" s="90" t="s">
        <v>1802</v>
      </c>
      <c r="D1042" s="89">
        <v>14</v>
      </c>
      <c r="E1042" s="91" t="s">
        <v>97</v>
      </c>
      <c r="F1042" s="92">
        <v>3705000</v>
      </c>
      <c r="G1042" s="92">
        <v>51870000</v>
      </c>
    </row>
    <row r="1043" spans="1:7" ht="30" x14ac:dyDescent="0.2">
      <c r="A1043" s="7" t="s">
        <v>1803</v>
      </c>
      <c r="B1043" s="78" t="s">
        <v>556</v>
      </c>
      <c r="C1043" s="79" t="s">
        <v>88</v>
      </c>
      <c r="D1043" s="78"/>
      <c r="E1043" s="80"/>
      <c r="F1043" s="81"/>
      <c r="G1043" s="81">
        <v>2519052000</v>
      </c>
    </row>
    <row r="1044" spans="1:7" ht="28.5" x14ac:dyDescent="0.2">
      <c r="A1044" s="7" t="s">
        <v>1804</v>
      </c>
      <c r="B1044" s="89" t="s">
        <v>195</v>
      </c>
      <c r="C1044" s="90" t="s">
        <v>1805</v>
      </c>
      <c r="D1044" s="89">
        <v>12</v>
      </c>
      <c r="E1044" s="91" t="s">
        <v>97</v>
      </c>
      <c r="F1044" s="92">
        <v>209921000</v>
      </c>
      <c r="G1044" s="92">
        <v>2519052000</v>
      </c>
    </row>
    <row r="1045" spans="1:7" ht="15" x14ac:dyDescent="0.2">
      <c r="A1045" s="7" t="s">
        <v>1806</v>
      </c>
      <c r="B1045" s="97" t="s">
        <v>1807</v>
      </c>
      <c r="C1045" s="98" t="s">
        <v>1808</v>
      </c>
      <c r="D1045" s="97"/>
      <c r="E1045" s="99"/>
      <c r="F1045" s="100"/>
      <c r="G1045" s="100">
        <v>6478996000</v>
      </c>
    </row>
    <row r="1046" spans="1:7" ht="15" x14ac:dyDescent="0.2">
      <c r="A1046" s="7" t="s">
        <v>1809</v>
      </c>
      <c r="B1046" s="78" t="s">
        <v>544</v>
      </c>
      <c r="C1046" s="79" t="s">
        <v>77</v>
      </c>
      <c r="D1046" s="78"/>
      <c r="E1046" s="80"/>
      <c r="F1046" s="81"/>
      <c r="G1046" s="81">
        <v>2483477000</v>
      </c>
    </row>
    <row r="1047" spans="1:7" x14ac:dyDescent="0.2">
      <c r="A1047" s="7" t="s">
        <v>1810</v>
      </c>
      <c r="B1047" s="89" t="s">
        <v>195</v>
      </c>
      <c r="C1047" s="90" t="s">
        <v>1707</v>
      </c>
      <c r="D1047" s="89">
        <v>1</v>
      </c>
      <c r="E1047" s="91" t="s">
        <v>97</v>
      </c>
      <c r="F1047" s="92">
        <v>180000000</v>
      </c>
      <c r="G1047" s="92">
        <v>180000000</v>
      </c>
    </row>
    <row r="1048" spans="1:7" x14ac:dyDescent="0.2">
      <c r="A1048" s="7" t="s">
        <v>1811</v>
      </c>
      <c r="B1048" s="89" t="s">
        <v>195</v>
      </c>
      <c r="C1048" s="90" t="s">
        <v>1709</v>
      </c>
      <c r="D1048" s="89">
        <v>1</v>
      </c>
      <c r="E1048" s="91" t="s">
        <v>60</v>
      </c>
      <c r="F1048" s="92">
        <v>2123477000</v>
      </c>
      <c r="G1048" s="92">
        <v>2123477000</v>
      </c>
    </row>
    <row r="1049" spans="1:7" x14ac:dyDescent="0.2">
      <c r="A1049" s="7" t="s">
        <v>1812</v>
      </c>
      <c r="B1049" s="89" t="s">
        <v>195</v>
      </c>
      <c r="C1049" s="90" t="s">
        <v>1711</v>
      </c>
      <c r="D1049" s="89">
        <v>1</v>
      </c>
      <c r="E1049" s="91" t="s">
        <v>97</v>
      </c>
      <c r="F1049" s="92">
        <v>180000000</v>
      </c>
      <c r="G1049" s="92">
        <v>180000000</v>
      </c>
    </row>
    <row r="1050" spans="1:7" ht="15" x14ac:dyDescent="0.2">
      <c r="A1050" s="7" t="s">
        <v>1813</v>
      </c>
      <c r="B1050" s="78" t="s">
        <v>547</v>
      </c>
      <c r="C1050" s="79" t="s">
        <v>79</v>
      </c>
      <c r="D1050" s="78"/>
      <c r="E1050" s="80"/>
      <c r="F1050" s="81"/>
      <c r="G1050" s="81">
        <v>38000</v>
      </c>
    </row>
    <row r="1051" spans="1:7" x14ac:dyDescent="0.2">
      <c r="A1051" s="7" t="s">
        <v>1814</v>
      </c>
      <c r="B1051" s="89" t="s">
        <v>195</v>
      </c>
      <c r="C1051" s="90" t="s">
        <v>1714</v>
      </c>
      <c r="D1051" s="89">
        <v>1</v>
      </c>
      <c r="E1051" s="91" t="s">
        <v>97</v>
      </c>
      <c r="F1051" s="92">
        <v>3000</v>
      </c>
      <c r="G1051" s="92">
        <v>3000</v>
      </c>
    </row>
    <row r="1052" spans="1:7" x14ac:dyDescent="0.2">
      <c r="A1052" s="7" t="s">
        <v>1815</v>
      </c>
      <c r="B1052" s="89" t="s">
        <v>195</v>
      </c>
      <c r="C1052" s="90" t="s">
        <v>1716</v>
      </c>
      <c r="D1052" s="89">
        <v>1</v>
      </c>
      <c r="E1052" s="91" t="s">
        <v>153</v>
      </c>
      <c r="F1052" s="92">
        <v>32000</v>
      </c>
      <c r="G1052" s="92">
        <v>32000</v>
      </c>
    </row>
    <row r="1053" spans="1:7" x14ac:dyDescent="0.2">
      <c r="A1053" s="7" t="s">
        <v>1816</v>
      </c>
      <c r="B1053" s="89" t="s">
        <v>195</v>
      </c>
      <c r="C1053" s="90" t="s">
        <v>1718</v>
      </c>
      <c r="D1053" s="89">
        <v>1</v>
      </c>
      <c r="E1053" s="91" t="s">
        <v>97</v>
      </c>
      <c r="F1053" s="92">
        <v>3000</v>
      </c>
      <c r="G1053" s="92">
        <v>3000</v>
      </c>
    </row>
    <row r="1054" spans="1:7" ht="15" x14ac:dyDescent="0.2">
      <c r="A1054" s="7" t="s">
        <v>1817</v>
      </c>
      <c r="B1054" s="78" t="s">
        <v>548</v>
      </c>
      <c r="C1054" s="79" t="s">
        <v>80</v>
      </c>
      <c r="D1054" s="78"/>
      <c r="E1054" s="80"/>
      <c r="F1054" s="81"/>
      <c r="G1054" s="81">
        <v>171959000</v>
      </c>
    </row>
    <row r="1055" spans="1:7" x14ac:dyDescent="0.2">
      <c r="A1055" s="7" t="s">
        <v>1818</v>
      </c>
      <c r="B1055" s="89" t="s">
        <v>195</v>
      </c>
      <c r="C1055" s="90" t="s">
        <v>1721</v>
      </c>
      <c r="D1055" s="89">
        <v>1</v>
      </c>
      <c r="E1055" s="91" t="s">
        <v>153</v>
      </c>
      <c r="F1055" s="92">
        <v>147267000</v>
      </c>
      <c r="G1055" s="92">
        <v>147267000</v>
      </c>
    </row>
    <row r="1056" spans="1:7" x14ac:dyDescent="0.2">
      <c r="A1056" s="7" t="s">
        <v>1819</v>
      </c>
      <c r="B1056" s="89" t="s">
        <v>195</v>
      </c>
      <c r="C1056" s="90" t="s">
        <v>1723</v>
      </c>
      <c r="D1056" s="89">
        <v>1</v>
      </c>
      <c r="E1056" s="91" t="s">
        <v>97</v>
      </c>
      <c r="F1056" s="92">
        <v>12494000</v>
      </c>
      <c r="G1056" s="92">
        <v>12494000</v>
      </c>
    </row>
    <row r="1057" spans="1:7" x14ac:dyDescent="0.2">
      <c r="A1057" s="7" t="s">
        <v>1820</v>
      </c>
      <c r="B1057" s="89" t="s">
        <v>195</v>
      </c>
      <c r="C1057" s="90" t="s">
        <v>1725</v>
      </c>
      <c r="D1057" s="89">
        <v>1</v>
      </c>
      <c r="E1057" s="91" t="s">
        <v>97</v>
      </c>
      <c r="F1057" s="92">
        <v>12198000</v>
      </c>
      <c r="G1057" s="92">
        <v>12198000</v>
      </c>
    </row>
    <row r="1058" spans="1:7" ht="15" x14ac:dyDescent="0.2">
      <c r="A1058" s="7" t="s">
        <v>1821</v>
      </c>
      <c r="B1058" s="78" t="s">
        <v>549</v>
      </c>
      <c r="C1058" s="79" t="s">
        <v>81</v>
      </c>
      <c r="D1058" s="78"/>
      <c r="E1058" s="80"/>
      <c r="F1058" s="81"/>
      <c r="G1058" s="81">
        <v>46700000</v>
      </c>
    </row>
    <row r="1059" spans="1:7" x14ac:dyDescent="0.2">
      <c r="A1059" s="7" t="s">
        <v>1822</v>
      </c>
      <c r="B1059" s="89" t="s">
        <v>195</v>
      </c>
      <c r="C1059" s="90" t="s">
        <v>1728</v>
      </c>
      <c r="D1059" s="89">
        <v>1</v>
      </c>
      <c r="E1059" s="91" t="s">
        <v>97</v>
      </c>
      <c r="F1059" s="92">
        <v>3282000</v>
      </c>
      <c r="G1059" s="92">
        <v>3282000</v>
      </c>
    </row>
    <row r="1060" spans="1:7" x14ac:dyDescent="0.2">
      <c r="A1060" s="7" t="s">
        <v>1823</v>
      </c>
      <c r="B1060" s="89" t="s">
        <v>195</v>
      </c>
      <c r="C1060" s="90" t="s">
        <v>1730</v>
      </c>
      <c r="D1060" s="89">
        <v>1</v>
      </c>
      <c r="E1060" s="91" t="s">
        <v>153</v>
      </c>
      <c r="F1060" s="92">
        <v>40080000</v>
      </c>
      <c r="G1060" s="92">
        <v>40080000</v>
      </c>
    </row>
    <row r="1061" spans="1:7" x14ac:dyDescent="0.2">
      <c r="A1061" s="7" t="s">
        <v>1824</v>
      </c>
      <c r="B1061" s="89" t="s">
        <v>195</v>
      </c>
      <c r="C1061" s="90" t="s">
        <v>1732</v>
      </c>
      <c r="D1061" s="89">
        <v>1</v>
      </c>
      <c r="E1061" s="91" t="s">
        <v>97</v>
      </c>
      <c r="F1061" s="92">
        <v>3338000</v>
      </c>
      <c r="G1061" s="92">
        <v>3338000</v>
      </c>
    </row>
    <row r="1062" spans="1:7" ht="15" x14ac:dyDescent="0.2">
      <c r="A1062" s="7" t="s">
        <v>1825</v>
      </c>
      <c r="B1062" s="78" t="s">
        <v>550</v>
      </c>
      <c r="C1062" s="79" t="s">
        <v>82</v>
      </c>
      <c r="D1062" s="78"/>
      <c r="E1062" s="80"/>
      <c r="F1062" s="81"/>
      <c r="G1062" s="81">
        <v>158000000</v>
      </c>
    </row>
    <row r="1063" spans="1:7" x14ac:dyDescent="0.2">
      <c r="A1063" s="7" t="s">
        <v>1826</v>
      </c>
      <c r="B1063" s="89" t="s">
        <v>195</v>
      </c>
      <c r="C1063" s="90" t="s">
        <v>1735</v>
      </c>
      <c r="D1063" s="89">
        <v>1</v>
      </c>
      <c r="E1063" s="91" t="s">
        <v>97</v>
      </c>
      <c r="F1063" s="92">
        <v>12070000</v>
      </c>
      <c r="G1063" s="92">
        <v>12070000</v>
      </c>
    </row>
    <row r="1064" spans="1:7" x14ac:dyDescent="0.2">
      <c r="A1064" s="7" t="s">
        <v>1827</v>
      </c>
      <c r="B1064" s="89" t="s">
        <v>195</v>
      </c>
      <c r="C1064" s="90" t="s">
        <v>1737</v>
      </c>
      <c r="D1064" s="89">
        <v>1</v>
      </c>
      <c r="E1064" s="91" t="s">
        <v>60</v>
      </c>
      <c r="F1064" s="92">
        <v>133860000</v>
      </c>
      <c r="G1064" s="92">
        <v>133860000</v>
      </c>
    </row>
    <row r="1065" spans="1:7" x14ac:dyDescent="0.2">
      <c r="A1065" s="7" t="s">
        <v>1828</v>
      </c>
      <c r="B1065" s="89" t="s">
        <v>195</v>
      </c>
      <c r="C1065" s="90" t="s">
        <v>1739</v>
      </c>
      <c r="D1065" s="89">
        <v>1</v>
      </c>
      <c r="E1065" s="91" t="s">
        <v>97</v>
      </c>
      <c r="F1065" s="92">
        <v>12070000</v>
      </c>
      <c r="G1065" s="92">
        <v>12070000</v>
      </c>
    </row>
    <row r="1066" spans="1:7" ht="15" x14ac:dyDescent="0.2">
      <c r="A1066" s="7" t="s">
        <v>1829</v>
      </c>
      <c r="B1066" s="78" t="s">
        <v>551</v>
      </c>
      <c r="C1066" s="79" t="s">
        <v>83</v>
      </c>
      <c r="D1066" s="78"/>
      <c r="E1066" s="80"/>
      <c r="F1066" s="81"/>
      <c r="G1066" s="81">
        <v>48180000</v>
      </c>
    </row>
    <row r="1067" spans="1:7" x14ac:dyDescent="0.2">
      <c r="A1067" s="7" t="s">
        <v>1830</v>
      </c>
      <c r="B1067" s="89" t="s">
        <v>195</v>
      </c>
      <c r="C1067" s="90" t="s">
        <v>1742</v>
      </c>
      <c r="D1067" s="89">
        <v>1</v>
      </c>
      <c r="E1067" s="91" t="s">
        <v>97</v>
      </c>
      <c r="F1067" s="92">
        <v>2000000</v>
      </c>
      <c r="G1067" s="92">
        <v>2000000</v>
      </c>
    </row>
    <row r="1068" spans="1:7" x14ac:dyDescent="0.2">
      <c r="A1068" s="7" t="s">
        <v>1831</v>
      </c>
      <c r="B1068" s="89" t="s">
        <v>195</v>
      </c>
      <c r="C1068" s="90" t="s">
        <v>1744</v>
      </c>
      <c r="D1068" s="89">
        <v>1</v>
      </c>
      <c r="E1068" s="91" t="s">
        <v>60</v>
      </c>
      <c r="F1068" s="92">
        <v>44180000</v>
      </c>
      <c r="G1068" s="92">
        <v>44180000</v>
      </c>
    </row>
    <row r="1069" spans="1:7" x14ac:dyDescent="0.2">
      <c r="A1069" s="7" t="s">
        <v>1832</v>
      </c>
      <c r="B1069" s="89" t="s">
        <v>195</v>
      </c>
      <c r="C1069" s="90" t="s">
        <v>1746</v>
      </c>
      <c r="D1069" s="89">
        <v>1</v>
      </c>
      <c r="E1069" s="91" t="s">
        <v>97</v>
      </c>
      <c r="F1069" s="92">
        <v>2000000</v>
      </c>
      <c r="G1069" s="92">
        <v>2000000</v>
      </c>
    </row>
    <row r="1070" spans="1:7" ht="15" x14ac:dyDescent="0.2">
      <c r="A1070" s="7" t="s">
        <v>1833</v>
      </c>
      <c r="B1070" s="78" t="s">
        <v>552</v>
      </c>
      <c r="C1070" s="79" t="s">
        <v>84</v>
      </c>
      <c r="D1070" s="78"/>
      <c r="E1070" s="80"/>
      <c r="F1070" s="81"/>
      <c r="G1070" s="81">
        <v>13133000</v>
      </c>
    </row>
    <row r="1071" spans="1:7" x14ac:dyDescent="0.2">
      <c r="A1071" s="7" t="s">
        <v>1834</v>
      </c>
      <c r="B1071" s="89" t="s">
        <v>195</v>
      </c>
      <c r="C1071" s="90" t="s">
        <v>1749</v>
      </c>
      <c r="D1071" s="89">
        <v>1</v>
      </c>
      <c r="E1071" s="91" t="s">
        <v>97</v>
      </c>
      <c r="F1071" s="92">
        <v>3360000</v>
      </c>
      <c r="G1071" s="92">
        <v>3360000</v>
      </c>
    </row>
    <row r="1072" spans="1:7" x14ac:dyDescent="0.2">
      <c r="A1072" s="7" t="s">
        <v>1835</v>
      </c>
      <c r="B1072" s="89" t="s">
        <v>195</v>
      </c>
      <c r="C1072" s="90" t="s">
        <v>1751</v>
      </c>
      <c r="D1072" s="89">
        <v>1</v>
      </c>
      <c r="E1072" s="91" t="s">
        <v>153</v>
      </c>
      <c r="F1072" s="92">
        <v>6407000</v>
      </c>
      <c r="G1072" s="92">
        <v>6407000</v>
      </c>
    </row>
    <row r="1073" spans="1:7" x14ac:dyDescent="0.2">
      <c r="A1073" s="7" t="s">
        <v>1836</v>
      </c>
      <c r="B1073" s="89" t="s">
        <v>195</v>
      </c>
      <c r="C1073" s="90" t="s">
        <v>1753</v>
      </c>
      <c r="D1073" s="89">
        <v>1</v>
      </c>
      <c r="E1073" s="91" t="s">
        <v>97</v>
      </c>
      <c r="F1073" s="92">
        <v>3366000</v>
      </c>
      <c r="G1073" s="92">
        <v>3366000</v>
      </c>
    </row>
    <row r="1074" spans="1:7" ht="15" x14ac:dyDescent="0.2">
      <c r="A1074" s="7" t="s">
        <v>1837</v>
      </c>
      <c r="B1074" s="78" t="s">
        <v>553</v>
      </c>
      <c r="C1074" s="79" t="s">
        <v>85</v>
      </c>
      <c r="D1074" s="78"/>
      <c r="E1074" s="80"/>
      <c r="F1074" s="81"/>
      <c r="G1074" s="81">
        <v>130333000</v>
      </c>
    </row>
    <row r="1075" spans="1:7" x14ac:dyDescent="0.2">
      <c r="A1075" s="7" t="s">
        <v>1838</v>
      </c>
      <c r="B1075" s="89" t="s">
        <v>195</v>
      </c>
      <c r="C1075" s="90" t="s">
        <v>1756</v>
      </c>
      <c r="D1075" s="89">
        <v>1</v>
      </c>
      <c r="E1075" s="91" t="s">
        <v>60</v>
      </c>
      <c r="F1075" s="92">
        <v>130333000</v>
      </c>
      <c r="G1075" s="92">
        <v>130333000</v>
      </c>
    </row>
    <row r="1076" spans="1:7" ht="15" x14ac:dyDescent="0.2">
      <c r="A1076" s="7" t="s">
        <v>1839</v>
      </c>
      <c r="B1076" s="78" t="s">
        <v>554</v>
      </c>
      <c r="C1076" s="79" t="s">
        <v>86</v>
      </c>
      <c r="D1076" s="78"/>
      <c r="E1076" s="80"/>
      <c r="F1076" s="81"/>
      <c r="G1076" s="81">
        <v>379379000</v>
      </c>
    </row>
    <row r="1077" spans="1:7" x14ac:dyDescent="0.2">
      <c r="A1077" s="7" t="s">
        <v>1840</v>
      </c>
      <c r="B1077" s="89" t="s">
        <v>195</v>
      </c>
      <c r="C1077" s="90" t="s">
        <v>1759</v>
      </c>
      <c r="D1077" s="89">
        <v>1</v>
      </c>
      <c r="E1077" s="91" t="s">
        <v>153</v>
      </c>
      <c r="F1077" s="92">
        <v>379379000</v>
      </c>
      <c r="G1077" s="92">
        <v>379379000</v>
      </c>
    </row>
    <row r="1078" spans="1:7" ht="15" x14ac:dyDescent="0.2">
      <c r="A1078" s="7" t="s">
        <v>1841</v>
      </c>
      <c r="B1078" s="78" t="s">
        <v>555</v>
      </c>
      <c r="C1078" s="79" t="s">
        <v>87</v>
      </c>
      <c r="D1078" s="78"/>
      <c r="E1078" s="80"/>
      <c r="F1078" s="81"/>
      <c r="G1078" s="81">
        <v>88360000</v>
      </c>
    </row>
    <row r="1079" spans="1:7" x14ac:dyDescent="0.2">
      <c r="A1079" s="7" t="s">
        <v>1842</v>
      </c>
      <c r="B1079" s="89" t="s">
        <v>195</v>
      </c>
      <c r="C1079" s="90" t="s">
        <v>1762</v>
      </c>
      <c r="D1079" s="89">
        <v>1</v>
      </c>
      <c r="E1079" s="91" t="s">
        <v>97</v>
      </c>
      <c r="F1079" s="92">
        <v>6655000</v>
      </c>
      <c r="G1079" s="92">
        <v>6655000</v>
      </c>
    </row>
    <row r="1080" spans="1:7" x14ac:dyDescent="0.2">
      <c r="A1080" s="7" t="s">
        <v>1843</v>
      </c>
      <c r="B1080" s="89" t="s">
        <v>195</v>
      </c>
      <c r="C1080" s="90" t="s">
        <v>1764</v>
      </c>
      <c r="D1080" s="89">
        <v>1</v>
      </c>
      <c r="E1080" s="91" t="s">
        <v>60</v>
      </c>
      <c r="F1080" s="92">
        <v>75605000</v>
      </c>
      <c r="G1080" s="92">
        <v>75605000</v>
      </c>
    </row>
    <row r="1081" spans="1:7" x14ac:dyDescent="0.2">
      <c r="A1081" s="7" t="s">
        <v>1844</v>
      </c>
      <c r="B1081" s="89" t="s">
        <v>195</v>
      </c>
      <c r="C1081" s="90" t="s">
        <v>1766</v>
      </c>
      <c r="D1081" s="89">
        <v>1</v>
      </c>
      <c r="E1081" s="91" t="s">
        <v>97</v>
      </c>
      <c r="F1081" s="92">
        <v>6100000</v>
      </c>
      <c r="G1081" s="92">
        <v>6100000</v>
      </c>
    </row>
    <row r="1082" spans="1:7" ht="30" x14ac:dyDescent="0.2">
      <c r="A1082" s="7" t="s">
        <v>1845</v>
      </c>
      <c r="B1082" s="78" t="s">
        <v>556</v>
      </c>
      <c r="C1082" s="79" t="s">
        <v>88</v>
      </c>
      <c r="D1082" s="78"/>
      <c r="E1082" s="80"/>
      <c r="F1082" s="81"/>
      <c r="G1082" s="81">
        <v>2959437000</v>
      </c>
    </row>
    <row r="1083" spans="1:7" x14ac:dyDescent="0.2">
      <c r="A1083" s="7" t="s">
        <v>1846</v>
      </c>
      <c r="B1083" s="89" t="s">
        <v>195</v>
      </c>
      <c r="C1083" s="90" t="s">
        <v>1769</v>
      </c>
      <c r="D1083" s="89">
        <v>1</v>
      </c>
      <c r="E1083" s="91" t="s">
        <v>153</v>
      </c>
      <c r="F1083" s="92">
        <v>2959437000</v>
      </c>
      <c r="G1083" s="92">
        <v>2959437000</v>
      </c>
    </row>
    <row r="1084" spans="1:7" ht="15" x14ac:dyDescent="0.2">
      <c r="A1084" s="7" t="s">
        <v>1847</v>
      </c>
      <c r="B1084" s="93" t="s">
        <v>557</v>
      </c>
      <c r="C1084" s="94" t="s">
        <v>89</v>
      </c>
      <c r="D1084" s="93"/>
      <c r="E1084" s="95"/>
      <c r="F1084" s="96"/>
      <c r="G1084" s="96">
        <v>25774658000</v>
      </c>
    </row>
    <row r="1085" spans="1:7" ht="30" x14ac:dyDescent="0.2">
      <c r="A1085" s="7" t="s">
        <v>1848</v>
      </c>
      <c r="B1085" s="97" t="s">
        <v>558</v>
      </c>
      <c r="C1085" s="98" t="s">
        <v>1849</v>
      </c>
      <c r="D1085" s="97"/>
      <c r="E1085" s="99"/>
      <c r="F1085" s="100"/>
      <c r="G1085" s="100">
        <v>4061938000</v>
      </c>
    </row>
    <row r="1086" spans="1:7" ht="15" x14ac:dyDescent="0.2">
      <c r="A1086" s="7" t="s">
        <v>1850</v>
      </c>
      <c r="B1086" s="78" t="s">
        <v>559</v>
      </c>
      <c r="C1086" s="79" t="s">
        <v>90</v>
      </c>
      <c r="D1086" s="78"/>
      <c r="E1086" s="80"/>
      <c r="F1086" s="81"/>
      <c r="G1086" s="81">
        <v>3839118000</v>
      </c>
    </row>
    <row r="1087" spans="1:7" x14ac:dyDescent="0.2">
      <c r="A1087" s="7" t="s">
        <v>1851</v>
      </c>
      <c r="B1087" s="89" t="s">
        <v>195</v>
      </c>
      <c r="C1087" s="90" t="s">
        <v>1852</v>
      </c>
      <c r="D1087" s="89">
        <v>1</v>
      </c>
      <c r="E1087" s="91" t="s">
        <v>1672</v>
      </c>
      <c r="F1087" s="92">
        <v>1699118000</v>
      </c>
      <c r="G1087" s="92">
        <v>1699118000</v>
      </c>
    </row>
    <row r="1088" spans="1:7" ht="28.5" x14ac:dyDescent="0.2">
      <c r="A1088" s="7" t="s">
        <v>1853</v>
      </c>
      <c r="B1088" s="89" t="s">
        <v>195</v>
      </c>
      <c r="C1088" s="90" t="s">
        <v>1854</v>
      </c>
      <c r="D1088" s="89">
        <v>12</v>
      </c>
      <c r="E1088" s="91" t="s">
        <v>1855</v>
      </c>
      <c r="F1088" s="92">
        <v>50000000</v>
      </c>
      <c r="G1088" s="92">
        <v>600000000</v>
      </c>
    </row>
    <row r="1089" spans="1:7" ht="28.5" x14ac:dyDescent="0.2">
      <c r="A1089" s="7" t="s">
        <v>1856</v>
      </c>
      <c r="B1089" s="89" t="s">
        <v>195</v>
      </c>
      <c r="C1089" s="90" t="s">
        <v>1857</v>
      </c>
      <c r="D1089" s="89">
        <v>12</v>
      </c>
      <c r="E1089" s="91" t="s">
        <v>1855</v>
      </c>
      <c r="F1089" s="92">
        <v>20000000</v>
      </c>
      <c r="G1089" s="92">
        <v>240000000</v>
      </c>
    </row>
    <row r="1090" spans="1:7" ht="28.5" x14ac:dyDescent="0.2">
      <c r="A1090" s="7" t="s">
        <v>1858</v>
      </c>
      <c r="B1090" s="89" t="s">
        <v>195</v>
      </c>
      <c r="C1090" s="90" t="s">
        <v>1859</v>
      </c>
      <c r="D1090" s="89">
        <v>12</v>
      </c>
      <c r="E1090" s="91" t="s">
        <v>1855</v>
      </c>
      <c r="F1090" s="92">
        <v>20000000</v>
      </c>
      <c r="G1090" s="92">
        <v>240000000</v>
      </c>
    </row>
    <row r="1091" spans="1:7" x14ac:dyDescent="0.2">
      <c r="A1091" s="7" t="s">
        <v>1860</v>
      </c>
      <c r="B1091" s="89" t="s">
        <v>195</v>
      </c>
      <c r="C1091" s="90" t="s">
        <v>1861</v>
      </c>
      <c r="D1091" s="89">
        <v>165</v>
      </c>
      <c r="E1091" s="91" t="s">
        <v>1862</v>
      </c>
      <c r="F1091" s="92">
        <v>2000000</v>
      </c>
      <c r="G1091" s="92">
        <v>330000000</v>
      </c>
    </row>
    <row r="1092" spans="1:7" ht="28.5" x14ac:dyDescent="0.2">
      <c r="A1092" s="7" t="s">
        <v>1863</v>
      </c>
      <c r="B1092" s="89" t="s">
        <v>195</v>
      </c>
      <c r="C1092" s="90" t="s">
        <v>1864</v>
      </c>
      <c r="D1092" s="89">
        <v>1</v>
      </c>
      <c r="E1092" s="91" t="s">
        <v>1672</v>
      </c>
      <c r="F1092" s="92">
        <v>250000000</v>
      </c>
      <c r="G1092" s="92">
        <v>250000000</v>
      </c>
    </row>
    <row r="1093" spans="1:7" x14ac:dyDescent="0.2">
      <c r="A1093" s="7" t="s">
        <v>1865</v>
      </c>
      <c r="B1093" s="89" t="s">
        <v>195</v>
      </c>
      <c r="C1093" s="90" t="s">
        <v>1866</v>
      </c>
      <c r="D1093" s="89">
        <v>12</v>
      </c>
      <c r="E1093" s="91" t="s">
        <v>97</v>
      </c>
      <c r="F1093" s="92">
        <v>10000000</v>
      </c>
      <c r="G1093" s="92">
        <v>120000000</v>
      </c>
    </row>
    <row r="1094" spans="1:7" x14ac:dyDescent="0.2">
      <c r="A1094" s="7" t="s">
        <v>1867</v>
      </c>
      <c r="B1094" s="89" t="s">
        <v>195</v>
      </c>
      <c r="C1094" s="90" t="s">
        <v>1868</v>
      </c>
      <c r="D1094" s="89">
        <v>72</v>
      </c>
      <c r="E1094" s="91" t="s">
        <v>106</v>
      </c>
      <c r="F1094" s="92">
        <v>2500000</v>
      </c>
      <c r="G1094" s="92">
        <v>180000000</v>
      </c>
    </row>
    <row r="1095" spans="1:7" ht="28.5" x14ac:dyDescent="0.2">
      <c r="A1095" s="7" t="s">
        <v>1869</v>
      </c>
      <c r="B1095" s="89" t="s">
        <v>195</v>
      </c>
      <c r="C1095" s="90" t="s">
        <v>1870</v>
      </c>
      <c r="D1095" s="89">
        <v>72</v>
      </c>
      <c r="E1095" s="91" t="s">
        <v>106</v>
      </c>
      <c r="F1095" s="92">
        <v>2500000</v>
      </c>
      <c r="G1095" s="92">
        <v>180000000</v>
      </c>
    </row>
    <row r="1096" spans="1:7" ht="15" x14ac:dyDescent="0.2">
      <c r="A1096" s="7" t="s">
        <v>1871</v>
      </c>
      <c r="B1096" s="78" t="s">
        <v>561</v>
      </c>
      <c r="C1096" s="79" t="s">
        <v>92</v>
      </c>
      <c r="D1096" s="78"/>
      <c r="E1096" s="80"/>
      <c r="F1096" s="81"/>
      <c r="G1096" s="81">
        <v>222820000</v>
      </c>
    </row>
    <row r="1097" spans="1:7" ht="28.5" x14ac:dyDescent="0.2">
      <c r="A1097" s="7" t="s">
        <v>1872</v>
      </c>
      <c r="B1097" s="89" t="s">
        <v>195</v>
      </c>
      <c r="C1097" s="90" t="s">
        <v>1873</v>
      </c>
      <c r="D1097" s="89">
        <v>260</v>
      </c>
      <c r="E1097" s="91" t="s">
        <v>1874</v>
      </c>
      <c r="F1097" s="92">
        <v>857000</v>
      </c>
      <c r="G1097" s="92">
        <v>222820000</v>
      </c>
    </row>
    <row r="1098" spans="1:7" ht="15" x14ac:dyDescent="0.2">
      <c r="A1098" s="7" t="s">
        <v>1875</v>
      </c>
      <c r="B1098" s="97" t="s">
        <v>562</v>
      </c>
      <c r="C1098" s="98" t="s">
        <v>93</v>
      </c>
      <c r="D1098" s="97"/>
      <c r="E1098" s="99"/>
      <c r="F1098" s="100"/>
      <c r="G1098" s="100">
        <v>652560000</v>
      </c>
    </row>
    <row r="1099" spans="1:7" ht="15" x14ac:dyDescent="0.2">
      <c r="A1099" s="7" t="s">
        <v>1876</v>
      </c>
      <c r="B1099" s="78" t="s">
        <v>559</v>
      </c>
      <c r="C1099" s="79" t="s">
        <v>90</v>
      </c>
      <c r="D1099" s="78"/>
      <c r="E1099" s="80"/>
      <c r="F1099" s="81"/>
      <c r="G1099" s="81">
        <v>60000000</v>
      </c>
    </row>
    <row r="1100" spans="1:7" x14ac:dyDescent="0.2">
      <c r="A1100" s="7" t="s">
        <v>1877</v>
      </c>
      <c r="B1100" s="89" t="s">
        <v>195</v>
      </c>
      <c r="C1100" s="90" t="s">
        <v>1878</v>
      </c>
      <c r="D1100" s="89">
        <v>12</v>
      </c>
      <c r="E1100" s="91" t="s">
        <v>1855</v>
      </c>
      <c r="F1100" s="92">
        <v>5000000</v>
      </c>
      <c r="G1100" s="92">
        <v>60000000</v>
      </c>
    </row>
    <row r="1101" spans="1:7" ht="15" x14ac:dyDescent="0.2">
      <c r="A1101" s="7" t="s">
        <v>1879</v>
      </c>
      <c r="B1101" s="78" t="s">
        <v>563</v>
      </c>
      <c r="C1101" s="79" t="s">
        <v>94</v>
      </c>
      <c r="D1101" s="78"/>
      <c r="E1101" s="80"/>
      <c r="F1101" s="81"/>
      <c r="G1101" s="81">
        <v>300000000</v>
      </c>
    </row>
    <row r="1102" spans="1:7" ht="28.5" x14ac:dyDescent="0.2">
      <c r="A1102" s="7" t="s">
        <v>1880</v>
      </c>
      <c r="B1102" s="89" t="s">
        <v>195</v>
      </c>
      <c r="C1102" s="90" t="s">
        <v>1881</v>
      </c>
      <c r="D1102" s="89">
        <v>12</v>
      </c>
      <c r="E1102" s="91" t="s">
        <v>97</v>
      </c>
      <c r="F1102" s="92">
        <v>25000000</v>
      </c>
      <c r="G1102" s="92">
        <v>300000000</v>
      </c>
    </row>
    <row r="1103" spans="1:7" ht="15" x14ac:dyDescent="0.2">
      <c r="A1103" s="7" t="s">
        <v>1882</v>
      </c>
      <c r="B1103" s="78" t="s">
        <v>564</v>
      </c>
      <c r="C1103" s="79" t="s">
        <v>95</v>
      </c>
      <c r="D1103" s="78"/>
      <c r="E1103" s="80"/>
      <c r="F1103" s="81"/>
      <c r="G1103" s="81">
        <v>292560000</v>
      </c>
    </row>
    <row r="1104" spans="1:7" x14ac:dyDescent="0.2">
      <c r="A1104" s="7" t="s">
        <v>1883</v>
      </c>
      <c r="B1104" s="89" t="s">
        <v>195</v>
      </c>
      <c r="C1104" s="90" t="s">
        <v>1884</v>
      </c>
      <c r="D1104" s="89">
        <v>24</v>
      </c>
      <c r="E1104" s="91" t="s">
        <v>97</v>
      </c>
      <c r="F1104" s="92">
        <v>5500000</v>
      </c>
      <c r="G1104" s="92">
        <v>132000000</v>
      </c>
    </row>
    <row r="1105" spans="1:7" x14ac:dyDescent="0.2">
      <c r="A1105" s="7" t="s">
        <v>1885</v>
      </c>
      <c r="B1105" s="89" t="s">
        <v>195</v>
      </c>
      <c r="C1105" s="90" t="s">
        <v>1886</v>
      </c>
      <c r="D1105" s="89">
        <v>24</v>
      </c>
      <c r="E1105" s="91" t="s">
        <v>97</v>
      </c>
      <c r="F1105" s="92">
        <v>6690000</v>
      </c>
      <c r="G1105" s="92">
        <v>160560000</v>
      </c>
    </row>
    <row r="1106" spans="1:7" ht="15" x14ac:dyDescent="0.2">
      <c r="A1106" s="7" t="s">
        <v>1887</v>
      </c>
      <c r="B1106" s="97" t="s">
        <v>565</v>
      </c>
      <c r="C1106" s="98" t="s">
        <v>98</v>
      </c>
      <c r="D1106" s="97"/>
      <c r="E1106" s="99"/>
      <c r="F1106" s="100"/>
      <c r="G1106" s="100">
        <v>2200340000</v>
      </c>
    </row>
    <row r="1107" spans="1:7" ht="30" x14ac:dyDescent="0.2">
      <c r="A1107" s="7" t="s">
        <v>1888</v>
      </c>
      <c r="B1107" s="78" t="s">
        <v>566</v>
      </c>
      <c r="C1107" s="79" t="s">
        <v>1889</v>
      </c>
      <c r="D1107" s="78"/>
      <c r="E1107" s="80"/>
      <c r="F1107" s="81"/>
      <c r="G1107" s="81">
        <v>678000000</v>
      </c>
    </row>
    <row r="1108" spans="1:7" ht="28.5" x14ac:dyDescent="0.2">
      <c r="A1108" s="7" t="s">
        <v>1890</v>
      </c>
      <c r="B1108" s="89" t="s">
        <v>195</v>
      </c>
      <c r="C1108" s="90" t="s">
        <v>1891</v>
      </c>
      <c r="D1108" s="89">
        <v>12</v>
      </c>
      <c r="E1108" s="91" t="s">
        <v>52</v>
      </c>
      <c r="F1108" s="92">
        <v>30000000</v>
      </c>
      <c r="G1108" s="92">
        <v>360000000</v>
      </c>
    </row>
    <row r="1109" spans="1:7" ht="28.5" x14ac:dyDescent="0.2">
      <c r="A1109" s="7" t="s">
        <v>1892</v>
      </c>
      <c r="B1109" s="89" t="s">
        <v>195</v>
      </c>
      <c r="C1109" s="90" t="s">
        <v>1893</v>
      </c>
      <c r="D1109" s="89">
        <v>12</v>
      </c>
      <c r="E1109" s="91" t="s">
        <v>52</v>
      </c>
      <c r="F1109" s="92">
        <v>1500000</v>
      </c>
      <c r="G1109" s="92">
        <v>18000000</v>
      </c>
    </row>
    <row r="1110" spans="1:7" x14ac:dyDescent="0.2">
      <c r="A1110" s="7" t="s">
        <v>1894</v>
      </c>
      <c r="B1110" s="89" t="s">
        <v>195</v>
      </c>
      <c r="C1110" s="90" t="s">
        <v>1895</v>
      </c>
      <c r="D1110" s="89">
        <v>1</v>
      </c>
      <c r="E1110" s="91" t="s">
        <v>1672</v>
      </c>
      <c r="F1110" s="92">
        <v>300000000</v>
      </c>
      <c r="G1110" s="92">
        <v>300000000</v>
      </c>
    </row>
    <row r="1111" spans="1:7" ht="15" x14ac:dyDescent="0.2">
      <c r="A1111" s="7" t="s">
        <v>1896</v>
      </c>
      <c r="B1111" s="78" t="s">
        <v>575</v>
      </c>
      <c r="C1111" s="79" t="s">
        <v>113</v>
      </c>
      <c r="D1111" s="78"/>
      <c r="E1111" s="80"/>
      <c r="F1111" s="81"/>
      <c r="G1111" s="81">
        <v>33750000</v>
      </c>
    </row>
    <row r="1112" spans="1:7" x14ac:dyDescent="0.2">
      <c r="A1112" s="7" t="s">
        <v>1897</v>
      </c>
      <c r="B1112" s="89" t="s">
        <v>195</v>
      </c>
      <c r="C1112" s="90" t="s">
        <v>1898</v>
      </c>
      <c r="D1112" s="89">
        <v>250</v>
      </c>
      <c r="E1112" s="91" t="s">
        <v>114</v>
      </c>
      <c r="F1112" s="92">
        <v>135000</v>
      </c>
      <c r="G1112" s="92">
        <v>33750000</v>
      </c>
    </row>
    <row r="1113" spans="1:7" ht="15" x14ac:dyDescent="0.2">
      <c r="A1113" s="7" t="s">
        <v>1899</v>
      </c>
      <c r="B1113" s="78" t="s">
        <v>567</v>
      </c>
      <c r="C1113" s="79" t="s">
        <v>99</v>
      </c>
      <c r="D1113" s="78"/>
      <c r="E1113" s="80"/>
      <c r="F1113" s="81"/>
      <c r="G1113" s="81">
        <v>1302590000</v>
      </c>
    </row>
    <row r="1114" spans="1:7" x14ac:dyDescent="0.2">
      <c r="A1114" s="7" t="s">
        <v>1900</v>
      </c>
      <c r="B1114" s="89" t="s">
        <v>195</v>
      </c>
      <c r="C1114" s="90" t="s">
        <v>1901</v>
      </c>
      <c r="D1114" s="89">
        <v>135</v>
      </c>
      <c r="E1114" s="91" t="s">
        <v>100</v>
      </c>
      <c r="F1114" s="92">
        <v>730000</v>
      </c>
      <c r="G1114" s="92">
        <v>98550000</v>
      </c>
    </row>
    <row r="1115" spans="1:7" x14ac:dyDescent="0.2">
      <c r="A1115" s="7" t="s">
        <v>1902</v>
      </c>
      <c r="B1115" s="89" t="s">
        <v>195</v>
      </c>
      <c r="C1115" s="90" t="s">
        <v>1903</v>
      </c>
      <c r="D1115" s="89">
        <v>165</v>
      </c>
      <c r="E1115" s="91" t="s">
        <v>100</v>
      </c>
      <c r="F1115" s="92">
        <v>300000</v>
      </c>
      <c r="G1115" s="92">
        <v>49500000</v>
      </c>
    </row>
    <row r="1116" spans="1:7" x14ac:dyDescent="0.2">
      <c r="A1116" s="7" t="s">
        <v>1904</v>
      </c>
      <c r="B1116" s="89" t="s">
        <v>195</v>
      </c>
      <c r="C1116" s="90" t="s">
        <v>1905</v>
      </c>
      <c r="D1116" s="89">
        <v>165</v>
      </c>
      <c r="E1116" s="91" t="s">
        <v>101</v>
      </c>
      <c r="F1116" s="92">
        <v>80000</v>
      </c>
      <c r="G1116" s="92">
        <v>13200000</v>
      </c>
    </row>
    <row r="1117" spans="1:7" x14ac:dyDescent="0.2">
      <c r="A1117" s="7" t="s">
        <v>1906</v>
      </c>
      <c r="B1117" s="89" t="s">
        <v>195</v>
      </c>
      <c r="C1117" s="90" t="s">
        <v>1907</v>
      </c>
      <c r="D1117" s="89">
        <v>1</v>
      </c>
      <c r="E1117" s="91" t="s">
        <v>153</v>
      </c>
      <c r="F1117" s="92">
        <v>25000000</v>
      </c>
      <c r="G1117" s="92">
        <v>25000000</v>
      </c>
    </row>
    <row r="1118" spans="1:7" x14ac:dyDescent="0.2">
      <c r="A1118" s="7" t="s">
        <v>1908</v>
      </c>
      <c r="B1118" s="89" t="s">
        <v>195</v>
      </c>
      <c r="C1118" s="90" t="s">
        <v>1909</v>
      </c>
      <c r="D1118" s="89">
        <v>1</v>
      </c>
      <c r="E1118" s="91" t="s">
        <v>153</v>
      </c>
      <c r="F1118" s="92">
        <v>100000000</v>
      </c>
      <c r="G1118" s="92">
        <v>100000000</v>
      </c>
    </row>
    <row r="1119" spans="1:7" x14ac:dyDescent="0.2">
      <c r="A1119" s="7" t="s">
        <v>195</v>
      </c>
      <c r="B1119" s="89" t="s">
        <v>195</v>
      </c>
      <c r="C1119" s="90" t="s">
        <v>1910</v>
      </c>
      <c r="D1119" s="89">
        <v>0</v>
      </c>
      <c r="E1119" s="91" t="s">
        <v>195</v>
      </c>
      <c r="F1119" s="92">
        <v>0</v>
      </c>
      <c r="G1119" s="92">
        <v>0</v>
      </c>
    </row>
    <row r="1120" spans="1:7" x14ac:dyDescent="0.2">
      <c r="A1120" s="7" t="s">
        <v>1911</v>
      </c>
      <c r="B1120" s="89" t="s">
        <v>195</v>
      </c>
      <c r="C1120" s="90" t="s">
        <v>1912</v>
      </c>
      <c r="D1120" s="89">
        <v>1</v>
      </c>
      <c r="E1120" s="91" t="s">
        <v>100</v>
      </c>
      <c r="F1120" s="92">
        <v>40000000</v>
      </c>
      <c r="G1120" s="92">
        <v>40000000</v>
      </c>
    </row>
    <row r="1121" spans="1:7" x14ac:dyDescent="0.2">
      <c r="A1121" s="7" t="s">
        <v>1913</v>
      </c>
      <c r="B1121" s="89" t="s">
        <v>195</v>
      </c>
      <c r="C1121" s="90" t="s">
        <v>1914</v>
      </c>
      <c r="D1121" s="89">
        <v>1</v>
      </c>
      <c r="E1121" s="91" t="s">
        <v>100</v>
      </c>
      <c r="F1121" s="92">
        <v>38730000</v>
      </c>
      <c r="G1121" s="92">
        <v>38730000</v>
      </c>
    </row>
    <row r="1122" spans="1:7" x14ac:dyDescent="0.2">
      <c r="A1122" s="7" t="s">
        <v>1915</v>
      </c>
      <c r="B1122" s="89" t="s">
        <v>195</v>
      </c>
      <c r="C1122" s="90" t="s">
        <v>1916</v>
      </c>
      <c r="D1122" s="89">
        <v>12</v>
      </c>
      <c r="E1122" s="91" t="s">
        <v>100</v>
      </c>
      <c r="F1122" s="92">
        <v>33650000</v>
      </c>
      <c r="G1122" s="92">
        <v>403800000</v>
      </c>
    </row>
    <row r="1123" spans="1:7" x14ac:dyDescent="0.2">
      <c r="A1123" s="7" t="s">
        <v>1917</v>
      </c>
      <c r="B1123" s="89" t="s">
        <v>195</v>
      </c>
      <c r="C1123" s="90" t="s">
        <v>1918</v>
      </c>
      <c r="D1123" s="89">
        <v>6</v>
      </c>
      <c r="E1123" s="91" t="s">
        <v>100</v>
      </c>
      <c r="F1123" s="92">
        <v>25000000</v>
      </c>
      <c r="G1123" s="92">
        <v>150000000</v>
      </c>
    </row>
    <row r="1124" spans="1:7" x14ac:dyDescent="0.2">
      <c r="A1124" s="7" t="s">
        <v>195</v>
      </c>
      <c r="B1124" s="89" t="s">
        <v>195</v>
      </c>
      <c r="C1124" s="90" t="s">
        <v>1919</v>
      </c>
      <c r="D1124" s="89">
        <v>0</v>
      </c>
      <c r="E1124" s="91" t="s">
        <v>195</v>
      </c>
      <c r="F1124" s="92">
        <v>0</v>
      </c>
      <c r="G1124" s="92">
        <v>0</v>
      </c>
    </row>
    <row r="1125" spans="1:7" x14ac:dyDescent="0.2">
      <c r="A1125" s="7" t="s">
        <v>1920</v>
      </c>
      <c r="B1125" s="89" t="s">
        <v>195</v>
      </c>
      <c r="C1125" s="90" t="s">
        <v>1921</v>
      </c>
      <c r="D1125" s="89">
        <v>135</v>
      </c>
      <c r="E1125" s="91" t="s">
        <v>100</v>
      </c>
      <c r="F1125" s="92">
        <v>730000</v>
      </c>
      <c r="G1125" s="92">
        <v>98550000</v>
      </c>
    </row>
    <row r="1126" spans="1:7" x14ac:dyDescent="0.2">
      <c r="A1126" s="7" t="s">
        <v>1922</v>
      </c>
      <c r="B1126" s="89" t="s">
        <v>195</v>
      </c>
      <c r="C1126" s="90" t="s">
        <v>1923</v>
      </c>
      <c r="D1126" s="89">
        <v>25</v>
      </c>
      <c r="E1126" s="91" t="s">
        <v>100</v>
      </c>
      <c r="F1126" s="92">
        <v>3640000</v>
      </c>
      <c r="G1126" s="92">
        <v>91000000</v>
      </c>
    </row>
    <row r="1127" spans="1:7" x14ac:dyDescent="0.2">
      <c r="A1127" s="7" t="s">
        <v>1924</v>
      </c>
      <c r="B1127" s="89" t="s">
        <v>195</v>
      </c>
      <c r="C1127" s="90" t="s">
        <v>1925</v>
      </c>
      <c r="D1127" s="89">
        <v>135</v>
      </c>
      <c r="E1127" s="91" t="s">
        <v>100</v>
      </c>
      <c r="F1127" s="92">
        <v>690000</v>
      </c>
      <c r="G1127" s="92">
        <v>93150000</v>
      </c>
    </row>
    <row r="1128" spans="1:7" x14ac:dyDescent="0.2">
      <c r="A1128" s="7" t="s">
        <v>1926</v>
      </c>
      <c r="B1128" s="89" t="s">
        <v>195</v>
      </c>
      <c r="C1128" s="90" t="s">
        <v>1927</v>
      </c>
      <c r="D1128" s="89">
        <v>20</v>
      </c>
      <c r="E1128" s="91" t="s">
        <v>100</v>
      </c>
      <c r="F1128" s="92">
        <v>690000</v>
      </c>
      <c r="G1128" s="92">
        <v>13800000</v>
      </c>
    </row>
    <row r="1129" spans="1:7" x14ac:dyDescent="0.2">
      <c r="A1129" s="7" t="s">
        <v>1928</v>
      </c>
      <c r="B1129" s="89" t="s">
        <v>195</v>
      </c>
      <c r="C1129" s="90" t="s">
        <v>1929</v>
      </c>
      <c r="D1129" s="89">
        <v>50</v>
      </c>
      <c r="E1129" s="91" t="s">
        <v>100</v>
      </c>
      <c r="F1129" s="92">
        <v>690000</v>
      </c>
      <c r="G1129" s="92">
        <v>34500000</v>
      </c>
    </row>
    <row r="1130" spans="1:7" x14ac:dyDescent="0.2">
      <c r="A1130" s="7" t="s">
        <v>1930</v>
      </c>
      <c r="B1130" s="89" t="s">
        <v>195</v>
      </c>
      <c r="C1130" s="90" t="s">
        <v>1931</v>
      </c>
      <c r="D1130" s="89">
        <v>9</v>
      </c>
      <c r="E1130" s="91" t="s">
        <v>100</v>
      </c>
      <c r="F1130" s="92">
        <v>690000</v>
      </c>
      <c r="G1130" s="92">
        <v>6210000</v>
      </c>
    </row>
    <row r="1131" spans="1:7" x14ac:dyDescent="0.2">
      <c r="A1131" s="7" t="s">
        <v>1932</v>
      </c>
      <c r="B1131" s="89" t="s">
        <v>195</v>
      </c>
      <c r="C1131" s="90" t="s">
        <v>1933</v>
      </c>
      <c r="D1131" s="89">
        <v>1</v>
      </c>
      <c r="E1131" s="91" t="s">
        <v>1672</v>
      </c>
      <c r="F1131" s="92">
        <v>25000000</v>
      </c>
      <c r="G1131" s="92">
        <v>25000000</v>
      </c>
    </row>
    <row r="1132" spans="1:7" x14ac:dyDescent="0.2">
      <c r="A1132" s="7" t="s">
        <v>1934</v>
      </c>
      <c r="B1132" s="89" t="s">
        <v>195</v>
      </c>
      <c r="C1132" s="90" t="s">
        <v>1935</v>
      </c>
      <c r="D1132" s="89">
        <v>10</v>
      </c>
      <c r="E1132" s="91" t="s">
        <v>100</v>
      </c>
      <c r="F1132" s="92">
        <v>300000</v>
      </c>
      <c r="G1132" s="92">
        <v>3000000</v>
      </c>
    </row>
    <row r="1133" spans="1:7" x14ac:dyDescent="0.2">
      <c r="A1133" s="7" t="s">
        <v>1936</v>
      </c>
      <c r="B1133" s="89" t="s">
        <v>195</v>
      </c>
      <c r="C1133" s="90" t="s">
        <v>1937</v>
      </c>
      <c r="D1133" s="89">
        <v>31</v>
      </c>
      <c r="E1133" s="91" t="s">
        <v>100</v>
      </c>
      <c r="F1133" s="92">
        <v>600000</v>
      </c>
      <c r="G1133" s="92">
        <v>18600000</v>
      </c>
    </row>
    <row r="1134" spans="1:7" ht="15" x14ac:dyDescent="0.2">
      <c r="A1134" s="7" t="s">
        <v>1938</v>
      </c>
      <c r="B1134" s="78" t="s">
        <v>568</v>
      </c>
      <c r="C1134" s="79" t="s">
        <v>102</v>
      </c>
      <c r="D1134" s="78"/>
      <c r="E1134" s="80"/>
      <c r="F1134" s="81"/>
      <c r="G1134" s="81">
        <v>186000000</v>
      </c>
    </row>
    <row r="1135" spans="1:7" x14ac:dyDescent="0.2">
      <c r="A1135" s="7" t="s">
        <v>1939</v>
      </c>
      <c r="B1135" s="89" t="s">
        <v>195</v>
      </c>
      <c r="C1135" s="90" t="s">
        <v>1940</v>
      </c>
      <c r="D1135" s="89">
        <v>100</v>
      </c>
      <c r="E1135" s="91" t="s">
        <v>100</v>
      </c>
      <c r="F1135" s="92">
        <v>1000000</v>
      </c>
      <c r="G1135" s="92">
        <v>100000000</v>
      </c>
    </row>
    <row r="1136" spans="1:7" x14ac:dyDescent="0.2">
      <c r="A1136" s="7" t="s">
        <v>1941</v>
      </c>
      <c r="B1136" s="89" t="s">
        <v>195</v>
      </c>
      <c r="C1136" s="90" t="s">
        <v>1942</v>
      </c>
      <c r="D1136" s="89">
        <v>1</v>
      </c>
      <c r="E1136" s="91" t="s">
        <v>153</v>
      </c>
      <c r="F1136" s="92">
        <v>50000000</v>
      </c>
      <c r="G1136" s="92">
        <v>50000000</v>
      </c>
    </row>
    <row r="1137" spans="1:7" ht="28.5" x14ac:dyDescent="0.2">
      <c r="A1137" s="7" t="s">
        <v>1943</v>
      </c>
      <c r="B1137" s="89" t="s">
        <v>195</v>
      </c>
      <c r="C1137" s="90" t="s">
        <v>1944</v>
      </c>
      <c r="D1137" s="89">
        <v>24</v>
      </c>
      <c r="E1137" s="91" t="s">
        <v>97</v>
      </c>
      <c r="F1137" s="92">
        <v>1500000</v>
      </c>
      <c r="G1137" s="92">
        <v>36000000</v>
      </c>
    </row>
    <row r="1138" spans="1:7" ht="15" x14ac:dyDescent="0.2">
      <c r="A1138" s="7" t="s">
        <v>1945</v>
      </c>
      <c r="B1138" s="97" t="s">
        <v>569</v>
      </c>
      <c r="C1138" s="98" t="s">
        <v>103</v>
      </c>
      <c r="D1138" s="97"/>
      <c r="E1138" s="99"/>
      <c r="F1138" s="100"/>
      <c r="G1138" s="100">
        <v>3269208000</v>
      </c>
    </row>
    <row r="1139" spans="1:7" ht="15" x14ac:dyDescent="0.2">
      <c r="A1139" s="7" t="s">
        <v>1946</v>
      </c>
      <c r="B1139" s="78" t="s">
        <v>559</v>
      </c>
      <c r="C1139" s="79" t="s">
        <v>90</v>
      </c>
      <c r="D1139" s="78"/>
      <c r="E1139" s="80"/>
      <c r="F1139" s="81"/>
      <c r="G1139" s="81">
        <v>2824368000</v>
      </c>
    </row>
    <row r="1140" spans="1:7" x14ac:dyDescent="0.2">
      <c r="A1140" s="7" t="s">
        <v>1947</v>
      </c>
      <c r="B1140" s="89" t="s">
        <v>195</v>
      </c>
      <c r="C1140" s="90" t="s">
        <v>1948</v>
      </c>
      <c r="D1140" s="89">
        <v>468</v>
      </c>
      <c r="E1140" s="91" t="s">
        <v>1949</v>
      </c>
      <c r="F1140" s="92">
        <v>5060000</v>
      </c>
      <c r="G1140" s="92">
        <v>2368080000</v>
      </c>
    </row>
    <row r="1141" spans="1:7" x14ac:dyDescent="0.2">
      <c r="A1141" s="7" t="s">
        <v>1950</v>
      </c>
      <c r="B1141" s="89" t="s">
        <v>195</v>
      </c>
      <c r="C1141" s="90" t="s">
        <v>1951</v>
      </c>
      <c r="D1141" s="89">
        <v>78</v>
      </c>
      <c r="E1141" s="91" t="s">
        <v>32</v>
      </c>
      <c r="F1141" s="92">
        <v>5680000</v>
      </c>
      <c r="G1141" s="92">
        <v>443040000</v>
      </c>
    </row>
    <row r="1142" spans="1:7" ht="28.5" x14ac:dyDescent="0.2">
      <c r="A1142" s="7" t="s">
        <v>1952</v>
      </c>
      <c r="B1142" s="89" t="s">
        <v>195</v>
      </c>
      <c r="C1142" s="90" t="s">
        <v>1953</v>
      </c>
      <c r="D1142" s="89">
        <v>432</v>
      </c>
      <c r="E1142" s="91" t="s">
        <v>32</v>
      </c>
      <c r="F1142" s="92">
        <v>26000</v>
      </c>
      <c r="G1142" s="92">
        <v>11232000</v>
      </c>
    </row>
    <row r="1143" spans="1:7" ht="28.5" x14ac:dyDescent="0.2">
      <c r="A1143" s="7" t="s">
        <v>1954</v>
      </c>
      <c r="B1143" s="89" t="s">
        <v>195</v>
      </c>
      <c r="C1143" s="90" t="s">
        <v>1955</v>
      </c>
      <c r="D1143" s="89">
        <v>72</v>
      </c>
      <c r="E1143" s="91" t="s">
        <v>32</v>
      </c>
      <c r="F1143" s="92">
        <v>28000</v>
      </c>
      <c r="G1143" s="92">
        <v>2016000</v>
      </c>
    </row>
    <row r="1144" spans="1:7" ht="15" x14ac:dyDescent="0.2">
      <c r="A1144" s="7" t="s">
        <v>1956</v>
      </c>
      <c r="B1144" s="78" t="s">
        <v>570</v>
      </c>
      <c r="C1144" s="79" t="s">
        <v>104</v>
      </c>
      <c r="D1144" s="78"/>
      <c r="E1144" s="80"/>
      <c r="F1144" s="81"/>
      <c r="G1144" s="81">
        <v>321840000</v>
      </c>
    </row>
    <row r="1145" spans="1:7" x14ac:dyDescent="0.2">
      <c r="A1145" s="7" t="s">
        <v>195</v>
      </c>
      <c r="B1145" s="89" t="s">
        <v>195</v>
      </c>
      <c r="C1145" s="90" t="s">
        <v>1957</v>
      </c>
      <c r="D1145" s="89">
        <v>0</v>
      </c>
      <c r="E1145" s="91" t="s">
        <v>195</v>
      </c>
      <c r="F1145" s="92">
        <v>0</v>
      </c>
      <c r="G1145" s="92">
        <v>0</v>
      </c>
    </row>
    <row r="1146" spans="1:7" ht="42.75" x14ac:dyDescent="0.2">
      <c r="A1146" s="7" t="s">
        <v>1958</v>
      </c>
      <c r="B1146" s="89" t="s">
        <v>195</v>
      </c>
      <c r="C1146" s="90" t="s">
        <v>1959</v>
      </c>
      <c r="D1146" s="89">
        <v>12</v>
      </c>
      <c r="E1146" s="91" t="s">
        <v>32</v>
      </c>
      <c r="F1146" s="92">
        <v>2420000</v>
      </c>
      <c r="G1146" s="92">
        <v>29040000</v>
      </c>
    </row>
    <row r="1147" spans="1:7" ht="28.5" x14ac:dyDescent="0.2">
      <c r="A1147" s="7" t="s">
        <v>1960</v>
      </c>
      <c r="B1147" s="89" t="s">
        <v>195</v>
      </c>
      <c r="C1147" s="90" t="s">
        <v>1961</v>
      </c>
      <c r="D1147" s="89">
        <v>12</v>
      </c>
      <c r="E1147" s="91" t="s">
        <v>32</v>
      </c>
      <c r="F1147" s="92">
        <v>4770000</v>
      </c>
      <c r="G1147" s="92">
        <v>57240000</v>
      </c>
    </row>
    <row r="1148" spans="1:7" ht="28.5" x14ac:dyDescent="0.2">
      <c r="A1148" s="7" t="s">
        <v>1962</v>
      </c>
      <c r="B1148" s="89" t="s">
        <v>195</v>
      </c>
      <c r="C1148" s="90" t="s">
        <v>1963</v>
      </c>
      <c r="D1148" s="89">
        <v>12</v>
      </c>
      <c r="E1148" s="91" t="s">
        <v>32</v>
      </c>
      <c r="F1148" s="92">
        <v>2120000</v>
      </c>
      <c r="G1148" s="92">
        <v>25440000</v>
      </c>
    </row>
    <row r="1149" spans="1:7" ht="28.5" x14ac:dyDescent="0.2">
      <c r="A1149" s="7" t="s">
        <v>1964</v>
      </c>
      <c r="B1149" s="89" t="s">
        <v>195</v>
      </c>
      <c r="C1149" s="90" t="s">
        <v>1965</v>
      </c>
      <c r="D1149" s="89">
        <v>12</v>
      </c>
      <c r="E1149" s="91" t="s">
        <v>32</v>
      </c>
      <c r="F1149" s="92">
        <v>3720000</v>
      </c>
      <c r="G1149" s="92">
        <v>44640000</v>
      </c>
    </row>
    <row r="1150" spans="1:7" ht="28.5" x14ac:dyDescent="0.2">
      <c r="A1150" s="7" t="s">
        <v>1966</v>
      </c>
      <c r="B1150" s="89" t="s">
        <v>195</v>
      </c>
      <c r="C1150" s="90" t="s">
        <v>1967</v>
      </c>
      <c r="D1150" s="89">
        <v>24</v>
      </c>
      <c r="E1150" s="91" t="s">
        <v>32</v>
      </c>
      <c r="F1150" s="92">
        <v>1580000</v>
      </c>
      <c r="G1150" s="92">
        <v>37920000</v>
      </c>
    </row>
    <row r="1151" spans="1:7" ht="28.5" x14ac:dyDescent="0.2">
      <c r="A1151" s="7" t="s">
        <v>1968</v>
      </c>
      <c r="B1151" s="89" t="s">
        <v>195</v>
      </c>
      <c r="C1151" s="90" t="s">
        <v>1969</v>
      </c>
      <c r="D1151" s="89">
        <v>24</v>
      </c>
      <c r="E1151" s="91" t="s">
        <v>32</v>
      </c>
      <c r="F1151" s="92">
        <v>1365000</v>
      </c>
      <c r="G1151" s="92">
        <v>32760000</v>
      </c>
    </row>
    <row r="1152" spans="1:7" ht="28.5" x14ac:dyDescent="0.2">
      <c r="A1152" s="7" t="s">
        <v>195</v>
      </c>
      <c r="B1152" s="89" t="s">
        <v>195</v>
      </c>
      <c r="C1152" s="90" t="s">
        <v>1970</v>
      </c>
      <c r="D1152" s="89">
        <v>0</v>
      </c>
      <c r="E1152" s="91" t="s">
        <v>195</v>
      </c>
      <c r="F1152" s="92">
        <v>0</v>
      </c>
      <c r="G1152" s="92">
        <v>0</v>
      </c>
    </row>
    <row r="1153" spans="1:7" x14ac:dyDescent="0.2">
      <c r="A1153" s="7" t="s">
        <v>1971</v>
      </c>
      <c r="B1153" s="89" t="s">
        <v>195</v>
      </c>
      <c r="C1153" s="90" t="s">
        <v>1972</v>
      </c>
      <c r="D1153" s="89">
        <v>12</v>
      </c>
      <c r="E1153" s="91" t="s">
        <v>32</v>
      </c>
      <c r="F1153" s="92">
        <v>300000</v>
      </c>
      <c r="G1153" s="92">
        <v>3600000</v>
      </c>
    </row>
    <row r="1154" spans="1:7" x14ac:dyDescent="0.2">
      <c r="A1154" s="7" t="s">
        <v>1973</v>
      </c>
      <c r="B1154" s="89" t="s">
        <v>195</v>
      </c>
      <c r="C1154" s="90" t="s">
        <v>1974</v>
      </c>
      <c r="D1154" s="89">
        <v>12</v>
      </c>
      <c r="E1154" s="91" t="s">
        <v>32</v>
      </c>
      <c r="F1154" s="92">
        <v>200000</v>
      </c>
      <c r="G1154" s="92">
        <v>2400000</v>
      </c>
    </row>
    <row r="1155" spans="1:7" x14ac:dyDescent="0.2">
      <c r="A1155" s="7" t="s">
        <v>1975</v>
      </c>
      <c r="B1155" s="89" t="s">
        <v>195</v>
      </c>
      <c r="C1155" s="90" t="s">
        <v>1976</v>
      </c>
      <c r="D1155" s="89">
        <v>12</v>
      </c>
      <c r="E1155" s="91" t="s">
        <v>32</v>
      </c>
      <c r="F1155" s="92">
        <v>250000</v>
      </c>
      <c r="G1155" s="92">
        <v>3000000</v>
      </c>
    </row>
    <row r="1156" spans="1:7" ht="28.5" x14ac:dyDescent="0.2">
      <c r="A1156" s="7" t="s">
        <v>1977</v>
      </c>
      <c r="B1156" s="89" t="s">
        <v>195</v>
      </c>
      <c r="C1156" s="90" t="s">
        <v>1978</v>
      </c>
      <c r="D1156" s="89">
        <v>12</v>
      </c>
      <c r="E1156" s="91" t="s">
        <v>32</v>
      </c>
      <c r="F1156" s="92">
        <v>980000</v>
      </c>
      <c r="G1156" s="92">
        <v>11760000</v>
      </c>
    </row>
    <row r="1157" spans="1:7" ht="28.5" x14ac:dyDescent="0.2">
      <c r="A1157" s="7" t="s">
        <v>1979</v>
      </c>
      <c r="B1157" s="89" t="s">
        <v>195</v>
      </c>
      <c r="C1157" s="90" t="s">
        <v>1980</v>
      </c>
      <c r="D1157" s="89">
        <v>24</v>
      </c>
      <c r="E1157" s="91" t="s">
        <v>32</v>
      </c>
      <c r="F1157" s="92">
        <v>150000</v>
      </c>
      <c r="G1157" s="92">
        <v>3600000</v>
      </c>
    </row>
    <row r="1158" spans="1:7" ht="28.5" x14ac:dyDescent="0.2">
      <c r="A1158" s="7" t="s">
        <v>195</v>
      </c>
      <c r="B1158" s="89" t="s">
        <v>195</v>
      </c>
      <c r="C1158" s="90" t="s">
        <v>1981</v>
      </c>
      <c r="D1158" s="89">
        <v>0</v>
      </c>
      <c r="E1158" s="91" t="s">
        <v>195</v>
      </c>
      <c r="F1158" s="92">
        <v>0</v>
      </c>
      <c r="G1158" s="92">
        <v>0</v>
      </c>
    </row>
    <row r="1159" spans="1:7" x14ac:dyDescent="0.2">
      <c r="A1159" s="7" t="s">
        <v>1982</v>
      </c>
      <c r="B1159" s="89" t="s">
        <v>195</v>
      </c>
      <c r="C1159" s="90" t="s">
        <v>1983</v>
      </c>
      <c r="D1159" s="89">
        <v>12</v>
      </c>
      <c r="E1159" s="91" t="s">
        <v>32</v>
      </c>
      <c r="F1159" s="92">
        <v>450000</v>
      </c>
      <c r="G1159" s="92">
        <v>5400000</v>
      </c>
    </row>
    <row r="1160" spans="1:7" x14ac:dyDescent="0.2">
      <c r="A1160" s="7" t="s">
        <v>1984</v>
      </c>
      <c r="B1160" s="89" t="s">
        <v>195</v>
      </c>
      <c r="C1160" s="90" t="s">
        <v>1985</v>
      </c>
      <c r="D1160" s="89">
        <v>12</v>
      </c>
      <c r="E1160" s="91" t="s">
        <v>32</v>
      </c>
      <c r="F1160" s="92">
        <v>400000</v>
      </c>
      <c r="G1160" s="92">
        <v>4800000</v>
      </c>
    </row>
    <row r="1161" spans="1:7" x14ac:dyDescent="0.2">
      <c r="A1161" s="7" t="s">
        <v>1986</v>
      </c>
      <c r="B1161" s="89" t="s">
        <v>195</v>
      </c>
      <c r="C1161" s="90" t="s">
        <v>1987</v>
      </c>
      <c r="D1161" s="89">
        <v>12</v>
      </c>
      <c r="E1161" s="91" t="s">
        <v>32</v>
      </c>
      <c r="F1161" s="92">
        <v>350000</v>
      </c>
      <c r="G1161" s="92">
        <v>4200000</v>
      </c>
    </row>
    <row r="1162" spans="1:7" ht="28.5" x14ac:dyDescent="0.2">
      <c r="A1162" s="7" t="s">
        <v>1988</v>
      </c>
      <c r="B1162" s="89" t="s">
        <v>195</v>
      </c>
      <c r="C1162" s="90" t="s">
        <v>1989</v>
      </c>
      <c r="D1162" s="89">
        <v>36</v>
      </c>
      <c r="E1162" s="91" t="s">
        <v>32</v>
      </c>
      <c r="F1162" s="92">
        <v>300000</v>
      </c>
      <c r="G1162" s="92">
        <v>10800000</v>
      </c>
    </row>
    <row r="1163" spans="1:7" ht="28.5" x14ac:dyDescent="0.2">
      <c r="A1163" s="7" t="s">
        <v>1990</v>
      </c>
      <c r="B1163" s="89" t="s">
        <v>195</v>
      </c>
      <c r="C1163" s="90" t="s">
        <v>1991</v>
      </c>
      <c r="D1163" s="89">
        <v>12</v>
      </c>
      <c r="E1163" s="91" t="s">
        <v>32</v>
      </c>
      <c r="F1163" s="92">
        <v>980000</v>
      </c>
      <c r="G1163" s="92">
        <v>11760000</v>
      </c>
    </row>
    <row r="1164" spans="1:7" ht="28.5" x14ac:dyDescent="0.2">
      <c r="A1164" s="7" t="s">
        <v>1992</v>
      </c>
      <c r="B1164" s="89" t="s">
        <v>195</v>
      </c>
      <c r="C1164" s="90" t="s">
        <v>1993</v>
      </c>
      <c r="D1164" s="89">
        <v>12</v>
      </c>
      <c r="E1164" s="91" t="s">
        <v>32</v>
      </c>
      <c r="F1164" s="92">
        <v>300000</v>
      </c>
      <c r="G1164" s="92">
        <v>3600000</v>
      </c>
    </row>
    <row r="1165" spans="1:7" ht="28.5" x14ac:dyDescent="0.2">
      <c r="A1165" s="7" t="s">
        <v>1994</v>
      </c>
      <c r="B1165" s="89" t="s">
        <v>195</v>
      </c>
      <c r="C1165" s="90" t="s">
        <v>1995</v>
      </c>
      <c r="D1165" s="89">
        <v>12</v>
      </c>
      <c r="E1165" s="91" t="s">
        <v>32</v>
      </c>
      <c r="F1165" s="92">
        <v>680000</v>
      </c>
      <c r="G1165" s="92">
        <v>8160000</v>
      </c>
    </row>
    <row r="1166" spans="1:7" ht="28.5" x14ac:dyDescent="0.2">
      <c r="A1166" s="7" t="s">
        <v>1996</v>
      </c>
      <c r="B1166" s="89" t="s">
        <v>195</v>
      </c>
      <c r="C1166" s="90" t="s">
        <v>1997</v>
      </c>
      <c r="D1166" s="89">
        <v>3</v>
      </c>
      <c r="E1166" s="91" t="s">
        <v>105</v>
      </c>
      <c r="F1166" s="92">
        <v>760000</v>
      </c>
      <c r="G1166" s="92">
        <v>2280000</v>
      </c>
    </row>
    <row r="1167" spans="1:7" x14ac:dyDescent="0.2">
      <c r="A1167" s="7" t="s">
        <v>1998</v>
      </c>
      <c r="B1167" s="89" t="s">
        <v>195</v>
      </c>
      <c r="C1167" s="90" t="s">
        <v>1999</v>
      </c>
      <c r="D1167" s="89">
        <v>3</v>
      </c>
      <c r="E1167" s="91" t="s">
        <v>105</v>
      </c>
      <c r="F1167" s="92">
        <v>760000</v>
      </c>
      <c r="G1167" s="92">
        <v>2280000</v>
      </c>
    </row>
    <row r="1168" spans="1:7" ht="28.5" x14ac:dyDescent="0.2">
      <c r="A1168" s="7" t="s">
        <v>2000</v>
      </c>
      <c r="B1168" s="89" t="s">
        <v>195</v>
      </c>
      <c r="C1168" s="90" t="s">
        <v>2001</v>
      </c>
      <c r="D1168" s="89">
        <v>3</v>
      </c>
      <c r="E1168" s="91" t="s">
        <v>105</v>
      </c>
      <c r="F1168" s="92">
        <v>480000</v>
      </c>
      <c r="G1168" s="92">
        <v>1440000</v>
      </c>
    </row>
    <row r="1169" spans="1:7" ht="28.5" x14ac:dyDescent="0.2">
      <c r="A1169" s="7" t="s">
        <v>2002</v>
      </c>
      <c r="B1169" s="89" t="s">
        <v>195</v>
      </c>
      <c r="C1169" s="90" t="s">
        <v>2003</v>
      </c>
      <c r="D1169" s="89">
        <v>30</v>
      </c>
      <c r="E1169" s="91" t="s">
        <v>105</v>
      </c>
      <c r="F1169" s="92">
        <v>600000</v>
      </c>
      <c r="G1169" s="92">
        <v>18000000</v>
      </c>
    </row>
    <row r="1170" spans="1:7" ht="28.5" x14ac:dyDescent="0.2">
      <c r="A1170" s="7" t="s">
        <v>195</v>
      </c>
      <c r="B1170" s="89" t="s">
        <v>195</v>
      </c>
      <c r="C1170" s="90" t="s">
        <v>2004</v>
      </c>
      <c r="D1170" s="89">
        <v>0</v>
      </c>
      <c r="E1170" s="91" t="s">
        <v>195</v>
      </c>
      <c r="F1170" s="92">
        <v>0</v>
      </c>
      <c r="G1170" s="92">
        <v>0</v>
      </c>
    </row>
    <row r="1171" spans="1:7" ht="15" x14ac:dyDescent="0.2">
      <c r="A1171" s="7" t="s">
        <v>2005</v>
      </c>
      <c r="B1171" s="78" t="s">
        <v>503</v>
      </c>
      <c r="C1171" s="79" t="s">
        <v>7</v>
      </c>
      <c r="D1171" s="78"/>
      <c r="E1171" s="80"/>
      <c r="F1171" s="81"/>
      <c r="G1171" s="81">
        <v>63000000</v>
      </c>
    </row>
    <row r="1172" spans="1:7" x14ac:dyDescent="0.2">
      <c r="A1172" s="7" t="s">
        <v>2006</v>
      </c>
      <c r="B1172" s="89" t="s">
        <v>195</v>
      </c>
      <c r="C1172" s="90" t="s">
        <v>2007</v>
      </c>
      <c r="D1172" s="89">
        <v>12</v>
      </c>
      <c r="E1172" s="91" t="s">
        <v>52</v>
      </c>
      <c r="F1172" s="92">
        <v>5000000</v>
      </c>
      <c r="G1172" s="92">
        <v>60000000</v>
      </c>
    </row>
    <row r="1173" spans="1:7" x14ac:dyDescent="0.2">
      <c r="A1173" s="7" t="s">
        <v>2008</v>
      </c>
      <c r="B1173" s="89" t="s">
        <v>195</v>
      </c>
      <c r="C1173" s="90" t="s">
        <v>2009</v>
      </c>
      <c r="D1173" s="89">
        <v>1</v>
      </c>
      <c r="E1173" s="91" t="s">
        <v>52</v>
      </c>
      <c r="F1173" s="92">
        <v>3000000</v>
      </c>
      <c r="G1173" s="92">
        <v>3000000</v>
      </c>
    </row>
    <row r="1174" spans="1:7" ht="15" x14ac:dyDescent="0.2">
      <c r="A1174" s="7" t="s">
        <v>2010</v>
      </c>
      <c r="B1174" s="78" t="s">
        <v>537</v>
      </c>
      <c r="C1174" s="79" t="s">
        <v>64</v>
      </c>
      <c r="D1174" s="78"/>
      <c r="E1174" s="80"/>
      <c r="F1174" s="81"/>
      <c r="G1174" s="81">
        <v>60000000</v>
      </c>
    </row>
    <row r="1175" spans="1:7" x14ac:dyDescent="0.2">
      <c r="A1175" s="7" t="s">
        <v>2011</v>
      </c>
      <c r="B1175" s="89" t="s">
        <v>195</v>
      </c>
      <c r="C1175" s="90" t="s">
        <v>619</v>
      </c>
      <c r="D1175" s="89">
        <v>12</v>
      </c>
      <c r="E1175" s="91" t="s">
        <v>52</v>
      </c>
      <c r="F1175" s="92">
        <v>2500000</v>
      </c>
      <c r="G1175" s="92">
        <v>30000000</v>
      </c>
    </row>
    <row r="1176" spans="1:7" x14ac:dyDescent="0.2">
      <c r="A1176" s="7" t="s">
        <v>2012</v>
      </c>
      <c r="B1176" s="89" t="s">
        <v>195</v>
      </c>
      <c r="C1176" s="90" t="s">
        <v>2013</v>
      </c>
      <c r="D1176" s="89">
        <v>12</v>
      </c>
      <c r="E1176" s="91" t="s">
        <v>106</v>
      </c>
      <c r="F1176" s="92">
        <v>2500000</v>
      </c>
      <c r="G1176" s="92">
        <v>30000000</v>
      </c>
    </row>
    <row r="1177" spans="1:7" ht="15" x14ac:dyDescent="0.2">
      <c r="A1177" s="7" t="s">
        <v>2014</v>
      </c>
      <c r="B1177" s="97" t="s">
        <v>2015</v>
      </c>
      <c r="C1177" s="98" t="s">
        <v>2016</v>
      </c>
      <c r="D1177" s="97"/>
      <c r="E1177" s="99"/>
      <c r="F1177" s="100"/>
      <c r="G1177" s="100">
        <v>5077908000</v>
      </c>
    </row>
    <row r="1178" spans="1:7" ht="15" x14ac:dyDescent="0.2">
      <c r="A1178" s="7" t="s">
        <v>2017</v>
      </c>
      <c r="B1178" s="78" t="s">
        <v>559</v>
      </c>
      <c r="C1178" s="79" t="s">
        <v>90</v>
      </c>
      <c r="D1178" s="78"/>
      <c r="E1178" s="80"/>
      <c r="F1178" s="81"/>
      <c r="G1178" s="81">
        <v>5077908000</v>
      </c>
    </row>
    <row r="1179" spans="1:7" x14ac:dyDescent="0.2">
      <c r="A1179" s="7" t="s">
        <v>2018</v>
      </c>
      <c r="B1179" s="89" t="s">
        <v>195</v>
      </c>
      <c r="C1179" s="90" t="s">
        <v>2019</v>
      </c>
      <c r="D1179" s="89">
        <v>12</v>
      </c>
      <c r="E1179" s="91" t="s">
        <v>1855</v>
      </c>
      <c r="F1179" s="92">
        <v>2310000</v>
      </c>
      <c r="G1179" s="92">
        <v>27720000</v>
      </c>
    </row>
    <row r="1180" spans="1:7" x14ac:dyDescent="0.2">
      <c r="A1180" s="7" t="s">
        <v>2020</v>
      </c>
      <c r="B1180" s="89" t="s">
        <v>195</v>
      </c>
      <c r="C1180" s="90" t="s">
        <v>2021</v>
      </c>
      <c r="D1180" s="89">
        <v>12</v>
      </c>
      <c r="E1180" s="91" t="s">
        <v>1855</v>
      </c>
      <c r="F1180" s="92">
        <v>189582000</v>
      </c>
      <c r="G1180" s="92">
        <v>2274984000</v>
      </c>
    </row>
    <row r="1181" spans="1:7" x14ac:dyDescent="0.2">
      <c r="A1181" s="7" t="s">
        <v>2022</v>
      </c>
      <c r="B1181" s="89" t="s">
        <v>195</v>
      </c>
      <c r="C1181" s="90" t="s">
        <v>2023</v>
      </c>
      <c r="D1181" s="89">
        <v>12</v>
      </c>
      <c r="E1181" s="91" t="s">
        <v>1855</v>
      </c>
      <c r="F1181" s="92">
        <v>231267000</v>
      </c>
      <c r="G1181" s="92">
        <v>2775204000</v>
      </c>
    </row>
    <row r="1182" spans="1:7" ht="15" x14ac:dyDescent="0.2">
      <c r="A1182" s="7" t="s">
        <v>2024</v>
      </c>
      <c r="B1182" s="97" t="s">
        <v>2025</v>
      </c>
      <c r="C1182" s="98" t="s">
        <v>107</v>
      </c>
      <c r="D1182" s="97"/>
      <c r="E1182" s="99"/>
      <c r="F1182" s="100"/>
      <c r="G1182" s="100">
        <v>2523600000</v>
      </c>
    </row>
    <row r="1183" spans="1:7" ht="15" x14ac:dyDescent="0.2">
      <c r="A1183" s="7" t="s">
        <v>2026</v>
      </c>
      <c r="B1183" s="78" t="s">
        <v>571</v>
      </c>
      <c r="C1183" s="79" t="s">
        <v>108</v>
      </c>
      <c r="D1183" s="78"/>
      <c r="E1183" s="80"/>
      <c r="F1183" s="81"/>
      <c r="G1183" s="81">
        <v>1560000000</v>
      </c>
    </row>
    <row r="1184" spans="1:7" x14ac:dyDescent="0.2">
      <c r="A1184" s="7" t="s">
        <v>2027</v>
      </c>
      <c r="B1184" s="89" t="s">
        <v>195</v>
      </c>
      <c r="C1184" s="90" t="s">
        <v>2028</v>
      </c>
      <c r="D1184" s="89">
        <v>12</v>
      </c>
      <c r="E1184" s="91" t="s">
        <v>97</v>
      </c>
      <c r="F1184" s="92">
        <v>130000000</v>
      </c>
      <c r="G1184" s="92">
        <v>1560000000</v>
      </c>
    </row>
    <row r="1185" spans="1:7" ht="15" x14ac:dyDescent="0.2">
      <c r="A1185" s="7" t="s">
        <v>2029</v>
      </c>
      <c r="B1185" s="78" t="s">
        <v>572</v>
      </c>
      <c r="C1185" s="79" t="s">
        <v>109</v>
      </c>
      <c r="D1185" s="78"/>
      <c r="E1185" s="80"/>
      <c r="F1185" s="81"/>
      <c r="G1185" s="81">
        <v>113400000</v>
      </c>
    </row>
    <row r="1186" spans="1:7" x14ac:dyDescent="0.2">
      <c r="A1186" s="7" t="s">
        <v>2030</v>
      </c>
      <c r="B1186" s="89" t="s">
        <v>195</v>
      </c>
      <c r="C1186" s="90" t="s">
        <v>2031</v>
      </c>
      <c r="D1186" s="89">
        <v>12</v>
      </c>
      <c r="E1186" s="91" t="s">
        <v>97</v>
      </c>
      <c r="F1186" s="92">
        <v>9450000</v>
      </c>
      <c r="G1186" s="92">
        <v>113400000</v>
      </c>
    </row>
    <row r="1187" spans="1:7" ht="15" x14ac:dyDescent="0.2">
      <c r="A1187" s="7" t="s">
        <v>2032</v>
      </c>
      <c r="B1187" s="78" t="s">
        <v>573</v>
      </c>
      <c r="C1187" s="79" t="s">
        <v>110</v>
      </c>
      <c r="D1187" s="78"/>
      <c r="E1187" s="80"/>
      <c r="F1187" s="81"/>
      <c r="G1187" s="81">
        <v>214200000</v>
      </c>
    </row>
    <row r="1188" spans="1:7" x14ac:dyDescent="0.2">
      <c r="A1188" s="7" t="s">
        <v>2033</v>
      </c>
      <c r="B1188" s="89" t="s">
        <v>195</v>
      </c>
      <c r="C1188" s="90" t="s">
        <v>2034</v>
      </c>
      <c r="D1188" s="89">
        <v>12</v>
      </c>
      <c r="E1188" s="91" t="s">
        <v>97</v>
      </c>
      <c r="F1188" s="92">
        <v>17850000</v>
      </c>
      <c r="G1188" s="92">
        <v>214200000</v>
      </c>
    </row>
    <row r="1189" spans="1:7" ht="15" x14ac:dyDescent="0.2">
      <c r="A1189" s="7" t="s">
        <v>2035</v>
      </c>
      <c r="B1189" s="78" t="s">
        <v>574</v>
      </c>
      <c r="C1189" s="79" t="s">
        <v>111</v>
      </c>
      <c r="D1189" s="78"/>
      <c r="E1189" s="80"/>
      <c r="F1189" s="81"/>
      <c r="G1189" s="81">
        <v>636000000</v>
      </c>
    </row>
    <row r="1190" spans="1:7" x14ac:dyDescent="0.2">
      <c r="A1190" s="7" t="s">
        <v>2036</v>
      </c>
      <c r="B1190" s="89" t="s">
        <v>195</v>
      </c>
      <c r="C1190" s="90" t="s">
        <v>2037</v>
      </c>
      <c r="D1190" s="89">
        <v>12</v>
      </c>
      <c r="E1190" s="91" t="s">
        <v>97</v>
      </c>
      <c r="F1190" s="92">
        <v>53000000</v>
      </c>
      <c r="G1190" s="92">
        <v>636000000</v>
      </c>
    </row>
    <row r="1191" spans="1:7" ht="15" x14ac:dyDescent="0.2">
      <c r="A1191" s="7" t="s">
        <v>2038</v>
      </c>
      <c r="B1191" s="97" t="s">
        <v>2039</v>
      </c>
      <c r="C1191" s="98" t="s">
        <v>112</v>
      </c>
      <c r="D1191" s="97"/>
      <c r="E1191" s="99"/>
      <c r="F1191" s="100"/>
      <c r="G1191" s="100">
        <v>3464446000</v>
      </c>
    </row>
    <row r="1192" spans="1:7" ht="15" x14ac:dyDescent="0.2">
      <c r="A1192" s="7" t="s">
        <v>2040</v>
      </c>
      <c r="B1192" s="78" t="s">
        <v>575</v>
      </c>
      <c r="C1192" s="79" t="s">
        <v>113</v>
      </c>
      <c r="D1192" s="78"/>
      <c r="E1192" s="80"/>
      <c r="F1192" s="81"/>
      <c r="G1192" s="81">
        <v>1732830000</v>
      </c>
    </row>
    <row r="1193" spans="1:7" x14ac:dyDescent="0.2">
      <c r="A1193" s="7" t="s">
        <v>2041</v>
      </c>
      <c r="B1193" s="89" t="s">
        <v>195</v>
      </c>
      <c r="C1193" s="90" t="s">
        <v>2042</v>
      </c>
      <c r="D1193" s="89">
        <v>10502</v>
      </c>
      <c r="E1193" s="91" t="s">
        <v>46</v>
      </c>
      <c r="F1193" s="92">
        <v>165000</v>
      </c>
      <c r="G1193" s="92">
        <v>1732830000</v>
      </c>
    </row>
    <row r="1194" spans="1:7" ht="15" x14ac:dyDescent="0.2">
      <c r="A1194" s="7" t="s">
        <v>2043</v>
      </c>
      <c r="B1194" s="78" t="s">
        <v>567</v>
      </c>
      <c r="C1194" s="79" t="s">
        <v>99</v>
      </c>
      <c r="D1194" s="78"/>
      <c r="E1194" s="80"/>
      <c r="F1194" s="81"/>
      <c r="G1194" s="81">
        <v>1413616000</v>
      </c>
    </row>
    <row r="1195" spans="1:7" x14ac:dyDescent="0.2">
      <c r="A1195" s="7" t="s">
        <v>195</v>
      </c>
      <c r="B1195" s="89" t="s">
        <v>195</v>
      </c>
      <c r="C1195" s="90" t="s">
        <v>2044</v>
      </c>
      <c r="D1195" s="89">
        <v>0</v>
      </c>
      <c r="E1195" s="91" t="s">
        <v>195</v>
      </c>
      <c r="F1195" s="92">
        <v>0</v>
      </c>
      <c r="G1195" s="92">
        <v>0</v>
      </c>
    </row>
    <row r="1196" spans="1:7" x14ac:dyDescent="0.2">
      <c r="A1196" s="7" t="s">
        <v>2045</v>
      </c>
      <c r="B1196" s="89" t="s">
        <v>195</v>
      </c>
      <c r="C1196" s="90" t="s">
        <v>2046</v>
      </c>
      <c r="D1196" s="89">
        <v>2</v>
      </c>
      <c r="E1196" s="91" t="s">
        <v>42</v>
      </c>
      <c r="F1196" s="92">
        <v>36203000</v>
      </c>
      <c r="G1196" s="92">
        <v>72406000</v>
      </c>
    </row>
    <row r="1197" spans="1:7" x14ac:dyDescent="0.2">
      <c r="A1197" s="7" t="s">
        <v>2047</v>
      </c>
      <c r="B1197" s="89" t="s">
        <v>195</v>
      </c>
      <c r="C1197" s="90" t="s">
        <v>2048</v>
      </c>
      <c r="D1197" s="89">
        <v>1</v>
      </c>
      <c r="E1197" s="91" t="s">
        <v>63</v>
      </c>
      <c r="F1197" s="92">
        <v>50000000</v>
      </c>
      <c r="G1197" s="92">
        <v>50000000</v>
      </c>
    </row>
    <row r="1198" spans="1:7" x14ac:dyDescent="0.2">
      <c r="A1198" s="7" t="s">
        <v>2049</v>
      </c>
      <c r="B1198" s="89" t="s">
        <v>195</v>
      </c>
      <c r="C1198" s="90" t="s">
        <v>2050</v>
      </c>
      <c r="D1198" s="89">
        <v>1</v>
      </c>
      <c r="E1198" s="91" t="s">
        <v>63</v>
      </c>
      <c r="F1198" s="92">
        <v>50000000</v>
      </c>
      <c r="G1198" s="92">
        <v>50000000</v>
      </c>
    </row>
    <row r="1199" spans="1:7" x14ac:dyDescent="0.2">
      <c r="A1199" s="7" t="s">
        <v>2051</v>
      </c>
      <c r="B1199" s="89" t="s">
        <v>195</v>
      </c>
      <c r="C1199" s="90" t="s">
        <v>2052</v>
      </c>
      <c r="D1199" s="89">
        <v>1</v>
      </c>
      <c r="E1199" s="91" t="s">
        <v>106</v>
      </c>
      <c r="F1199" s="92">
        <v>10000000</v>
      </c>
      <c r="G1199" s="92">
        <v>10000000</v>
      </c>
    </row>
    <row r="1200" spans="1:7" ht="28.5" x14ac:dyDescent="0.2">
      <c r="A1200" s="7" t="s">
        <v>2053</v>
      </c>
      <c r="B1200" s="89" t="s">
        <v>195</v>
      </c>
      <c r="C1200" s="90" t="s">
        <v>2054</v>
      </c>
      <c r="D1200" s="89">
        <v>12</v>
      </c>
      <c r="E1200" s="91" t="s">
        <v>97</v>
      </c>
      <c r="F1200" s="92">
        <v>17000000</v>
      </c>
      <c r="G1200" s="92">
        <v>204000000</v>
      </c>
    </row>
    <row r="1201" spans="1:7" x14ac:dyDescent="0.2">
      <c r="A1201" s="7" t="s">
        <v>2055</v>
      </c>
      <c r="B1201" s="89" t="s">
        <v>195</v>
      </c>
      <c r="C1201" s="90" t="s">
        <v>2056</v>
      </c>
      <c r="D1201" s="89">
        <v>1</v>
      </c>
      <c r="E1201" s="91" t="s">
        <v>63</v>
      </c>
      <c r="F1201" s="92">
        <v>30000000</v>
      </c>
      <c r="G1201" s="92">
        <v>30000000</v>
      </c>
    </row>
    <row r="1202" spans="1:7" x14ac:dyDescent="0.2">
      <c r="A1202" s="7" t="s">
        <v>2057</v>
      </c>
      <c r="B1202" s="89" t="s">
        <v>195</v>
      </c>
      <c r="C1202" s="90" t="s">
        <v>2058</v>
      </c>
      <c r="D1202" s="89">
        <v>50</v>
      </c>
      <c r="E1202" s="91" t="s">
        <v>2059</v>
      </c>
      <c r="F1202" s="92">
        <v>330000</v>
      </c>
      <c r="G1202" s="92">
        <v>16500000</v>
      </c>
    </row>
    <row r="1203" spans="1:7" x14ac:dyDescent="0.2">
      <c r="A1203" s="7" t="s">
        <v>2060</v>
      </c>
      <c r="B1203" s="89" t="s">
        <v>195</v>
      </c>
      <c r="C1203" s="90" t="s">
        <v>2061</v>
      </c>
      <c r="D1203" s="89">
        <v>3</v>
      </c>
      <c r="E1203" s="91" t="s">
        <v>42</v>
      </c>
      <c r="F1203" s="92">
        <v>3500000</v>
      </c>
      <c r="G1203" s="92">
        <v>10500000</v>
      </c>
    </row>
    <row r="1204" spans="1:7" x14ac:dyDescent="0.2">
      <c r="A1204" s="7" t="s">
        <v>2062</v>
      </c>
      <c r="B1204" s="89" t="s">
        <v>195</v>
      </c>
      <c r="C1204" s="90" t="s">
        <v>2063</v>
      </c>
      <c r="D1204" s="89">
        <v>5</v>
      </c>
      <c r="E1204" s="91" t="s">
        <v>42</v>
      </c>
      <c r="F1204" s="92">
        <v>15000000</v>
      </c>
      <c r="G1204" s="92">
        <v>75000000</v>
      </c>
    </row>
    <row r="1205" spans="1:7" x14ac:dyDescent="0.2">
      <c r="A1205" s="7" t="s">
        <v>2064</v>
      </c>
      <c r="B1205" s="89" t="s">
        <v>195</v>
      </c>
      <c r="C1205" s="90" t="s">
        <v>2065</v>
      </c>
      <c r="D1205" s="89">
        <v>1</v>
      </c>
      <c r="E1205" s="91" t="s">
        <v>106</v>
      </c>
      <c r="F1205" s="92">
        <v>50000000</v>
      </c>
      <c r="G1205" s="92">
        <v>50000000</v>
      </c>
    </row>
    <row r="1206" spans="1:7" x14ac:dyDescent="0.2">
      <c r="A1206" s="7" t="s">
        <v>2066</v>
      </c>
      <c r="B1206" s="89" t="s">
        <v>195</v>
      </c>
      <c r="C1206" s="90" t="s">
        <v>1927</v>
      </c>
      <c r="D1206" s="89">
        <v>5</v>
      </c>
      <c r="E1206" s="91" t="s">
        <v>42</v>
      </c>
      <c r="F1206" s="92">
        <v>690000</v>
      </c>
      <c r="G1206" s="92">
        <v>3450000</v>
      </c>
    </row>
    <row r="1207" spans="1:7" x14ac:dyDescent="0.2">
      <c r="A1207" s="7" t="s">
        <v>2067</v>
      </c>
      <c r="B1207" s="89" t="s">
        <v>195</v>
      </c>
      <c r="C1207" s="90" t="s">
        <v>2068</v>
      </c>
      <c r="D1207" s="89">
        <v>1</v>
      </c>
      <c r="E1207" s="91" t="s">
        <v>63</v>
      </c>
      <c r="F1207" s="92">
        <v>50000000</v>
      </c>
      <c r="G1207" s="92">
        <v>50000000</v>
      </c>
    </row>
    <row r="1208" spans="1:7" x14ac:dyDescent="0.2">
      <c r="A1208" s="7" t="s">
        <v>2069</v>
      </c>
      <c r="B1208" s="89" t="s">
        <v>195</v>
      </c>
      <c r="C1208" s="90" t="s">
        <v>2070</v>
      </c>
      <c r="D1208" s="89">
        <v>1</v>
      </c>
      <c r="E1208" s="91" t="s">
        <v>63</v>
      </c>
      <c r="F1208" s="92">
        <v>150000000</v>
      </c>
      <c r="G1208" s="92">
        <v>150000000</v>
      </c>
    </row>
    <row r="1209" spans="1:7" x14ac:dyDescent="0.2">
      <c r="A1209" s="7" t="s">
        <v>2071</v>
      </c>
      <c r="B1209" s="89" t="s">
        <v>195</v>
      </c>
      <c r="C1209" s="90" t="s">
        <v>2072</v>
      </c>
      <c r="D1209" s="89">
        <v>124</v>
      </c>
      <c r="E1209" s="91" t="s">
        <v>42</v>
      </c>
      <c r="F1209" s="92">
        <v>610000</v>
      </c>
      <c r="G1209" s="92">
        <v>75640000</v>
      </c>
    </row>
    <row r="1210" spans="1:7" x14ac:dyDescent="0.2">
      <c r="A1210" s="7" t="s">
        <v>2073</v>
      </c>
      <c r="B1210" s="89" t="s">
        <v>195</v>
      </c>
      <c r="C1210" s="90" t="s">
        <v>2074</v>
      </c>
      <c r="D1210" s="89">
        <v>1</v>
      </c>
      <c r="E1210" s="91" t="s">
        <v>63</v>
      </c>
      <c r="F1210" s="92">
        <v>100000000</v>
      </c>
      <c r="G1210" s="92">
        <v>100000000</v>
      </c>
    </row>
    <row r="1211" spans="1:7" x14ac:dyDescent="0.2">
      <c r="A1211" s="7" t="s">
        <v>2075</v>
      </c>
      <c r="B1211" s="89" t="s">
        <v>195</v>
      </c>
      <c r="C1211" s="90" t="s">
        <v>2076</v>
      </c>
      <c r="D1211" s="89">
        <v>1</v>
      </c>
      <c r="E1211" s="91" t="s">
        <v>63</v>
      </c>
      <c r="F1211" s="92">
        <v>50000000</v>
      </c>
      <c r="G1211" s="92">
        <v>50000000</v>
      </c>
    </row>
    <row r="1212" spans="1:7" x14ac:dyDescent="0.2">
      <c r="A1212" s="7" t="s">
        <v>2077</v>
      </c>
      <c r="B1212" s="89" t="s">
        <v>195</v>
      </c>
      <c r="C1212" s="90" t="s">
        <v>1933</v>
      </c>
      <c r="D1212" s="89">
        <v>1</v>
      </c>
      <c r="E1212" s="91" t="s">
        <v>63</v>
      </c>
      <c r="F1212" s="92">
        <v>50000000</v>
      </c>
      <c r="G1212" s="92">
        <v>50000000</v>
      </c>
    </row>
    <row r="1213" spans="1:7" x14ac:dyDescent="0.2">
      <c r="A1213" s="7" t="s">
        <v>2078</v>
      </c>
      <c r="B1213" s="89" t="s">
        <v>195</v>
      </c>
      <c r="C1213" s="90" t="s">
        <v>2079</v>
      </c>
      <c r="D1213" s="89">
        <v>2</v>
      </c>
      <c r="E1213" s="91" t="s">
        <v>42</v>
      </c>
      <c r="F1213" s="92">
        <v>1000000</v>
      </c>
      <c r="G1213" s="92">
        <v>2000000</v>
      </c>
    </row>
    <row r="1214" spans="1:7" x14ac:dyDescent="0.2">
      <c r="A1214" s="7" t="s">
        <v>195</v>
      </c>
      <c r="B1214" s="89" t="s">
        <v>195</v>
      </c>
      <c r="C1214" s="90" t="s">
        <v>2080</v>
      </c>
      <c r="D1214" s="89">
        <v>0</v>
      </c>
      <c r="E1214" s="91" t="s">
        <v>195</v>
      </c>
      <c r="F1214" s="92">
        <v>0</v>
      </c>
      <c r="G1214" s="92">
        <v>0</v>
      </c>
    </row>
    <row r="1215" spans="1:7" ht="28.5" x14ac:dyDescent="0.2">
      <c r="A1215" s="7" t="s">
        <v>2081</v>
      </c>
      <c r="B1215" s="89" t="s">
        <v>195</v>
      </c>
      <c r="C1215" s="90" t="s">
        <v>2082</v>
      </c>
      <c r="D1215" s="89">
        <v>1</v>
      </c>
      <c r="E1215" s="91" t="s">
        <v>42</v>
      </c>
      <c r="F1215" s="92">
        <v>50000000</v>
      </c>
      <c r="G1215" s="92">
        <v>50000000</v>
      </c>
    </row>
    <row r="1216" spans="1:7" x14ac:dyDescent="0.2">
      <c r="A1216" s="7" t="s">
        <v>2083</v>
      </c>
      <c r="B1216" s="89" t="s">
        <v>195</v>
      </c>
      <c r="C1216" s="90" t="s">
        <v>1940</v>
      </c>
      <c r="D1216" s="89">
        <v>100</v>
      </c>
      <c r="E1216" s="91" t="s">
        <v>42</v>
      </c>
      <c r="F1216" s="92">
        <v>1000000</v>
      </c>
      <c r="G1216" s="92">
        <v>100000000</v>
      </c>
    </row>
    <row r="1217" spans="1:7" x14ac:dyDescent="0.2">
      <c r="A1217" s="7" t="s">
        <v>2084</v>
      </c>
      <c r="B1217" s="89" t="s">
        <v>195</v>
      </c>
      <c r="C1217" s="90" t="s">
        <v>1916</v>
      </c>
      <c r="D1217" s="89">
        <v>2</v>
      </c>
      <c r="E1217" s="91" t="s">
        <v>42</v>
      </c>
      <c r="F1217" s="92">
        <v>33650000</v>
      </c>
      <c r="G1217" s="92">
        <v>67300000</v>
      </c>
    </row>
    <row r="1218" spans="1:7" ht="28.5" x14ac:dyDescent="0.2">
      <c r="A1218" s="7" t="s">
        <v>2085</v>
      </c>
      <c r="B1218" s="89" t="s">
        <v>195</v>
      </c>
      <c r="C1218" s="90" t="s">
        <v>2086</v>
      </c>
      <c r="D1218" s="89">
        <v>12</v>
      </c>
      <c r="E1218" s="91" t="s">
        <v>106</v>
      </c>
      <c r="F1218" s="92">
        <v>12235000</v>
      </c>
      <c r="G1218" s="92">
        <v>146820000</v>
      </c>
    </row>
    <row r="1219" spans="1:7" ht="15" x14ac:dyDescent="0.2">
      <c r="A1219" s="7" t="s">
        <v>2087</v>
      </c>
      <c r="B1219" s="78" t="s">
        <v>568</v>
      </c>
      <c r="C1219" s="79" t="s">
        <v>102</v>
      </c>
      <c r="D1219" s="78"/>
      <c r="E1219" s="80"/>
      <c r="F1219" s="81"/>
      <c r="G1219" s="81">
        <v>318000000</v>
      </c>
    </row>
    <row r="1220" spans="1:7" ht="28.5" x14ac:dyDescent="0.2">
      <c r="A1220" s="7" t="s">
        <v>2088</v>
      </c>
      <c r="B1220" s="89" t="s">
        <v>195</v>
      </c>
      <c r="C1220" s="90" t="s">
        <v>2089</v>
      </c>
      <c r="D1220" s="89">
        <v>72</v>
      </c>
      <c r="E1220" s="91" t="s">
        <v>42</v>
      </c>
      <c r="F1220" s="92">
        <v>1500000</v>
      </c>
      <c r="G1220" s="92">
        <v>108000000</v>
      </c>
    </row>
    <row r="1221" spans="1:7" x14ac:dyDescent="0.2">
      <c r="A1221" s="7" t="s">
        <v>2090</v>
      </c>
      <c r="B1221" s="89" t="s">
        <v>195</v>
      </c>
      <c r="C1221" s="90" t="s">
        <v>2091</v>
      </c>
      <c r="D1221" s="89">
        <v>12</v>
      </c>
      <c r="E1221" s="91" t="s">
        <v>106</v>
      </c>
      <c r="F1221" s="92">
        <v>17500000</v>
      </c>
      <c r="G1221" s="92">
        <v>210000000</v>
      </c>
    </row>
    <row r="1222" spans="1:7" ht="30" x14ac:dyDescent="0.2">
      <c r="A1222" s="7" t="s">
        <v>2092</v>
      </c>
      <c r="B1222" s="97" t="s">
        <v>1771</v>
      </c>
      <c r="C1222" s="98" t="s">
        <v>2093</v>
      </c>
      <c r="D1222" s="97"/>
      <c r="E1222" s="99"/>
      <c r="F1222" s="100"/>
      <c r="G1222" s="100">
        <v>1577491000</v>
      </c>
    </row>
    <row r="1223" spans="1:7" ht="15" x14ac:dyDescent="0.2">
      <c r="A1223" s="7" t="s">
        <v>2094</v>
      </c>
      <c r="B1223" s="78" t="s">
        <v>559</v>
      </c>
      <c r="C1223" s="79" t="s">
        <v>90</v>
      </c>
      <c r="D1223" s="78"/>
      <c r="E1223" s="80"/>
      <c r="F1223" s="81"/>
      <c r="G1223" s="81">
        <v>1500322000</v>
      </c>
    </row>
    <row r="1224" spans="1:7" x14ac:dyDescent="0.2">
      <c r="A1224" s="7" t="s">
        <v>2095</v>
      </c>
      <c r="B1224" s="89" t="s">
        <v>195</v>
      </c>
      <c r="C1224" s="90" t="s">
        <v>2096</v>
      </c>
      <c r="D1224" s="89">
        <v>52</v>
      </c>
      <c r="E1224" s="91" t="s">
        <v>116</v>
      </c>
      <c r="F1224" s="92">
        <v>1520000</v>
      </c>
      <c r="G1224" s="92">
        <v>79040000</v>
      </c>
    </row>
    <row r="1225" spans="1:7" x14ac:dyDescent="0.2">
      <c r="A1225" s="7" t="s">
        <v>2097</v>
      </c>
      <c r="B1225" s="89" t="s">
        <v>195</v>
      </c>
      <c r="C1225" s="90" t="s">
        <v>2098</v>
      </c>
      <c r="D1225" s="89">
        <v>195</v>
      </c>
      <c r="E1225" s="91" t="s">
        <v>21</v>
      </c>
      <c r="F1225" s="92">
        <v>4858000</v>
      </c>
      <c r="G1225" s="92">
        <v>947310000</v>
      </c>
    </row>
    <row r="1226" spans="1:7" x14ac:dyDescent="0.2">
      <c r="A1226" s="7" t="s">
        <v>2099</v>
      </c>
      <c r="B1226" s="89" t="s">
        <v>195</v>
      </c>
      <c r="C1226" s="90" t="s">
        <v>2100</v>
      </c>
      <c r="D1226" s="89">
        <v>13</v>
      </c>
      <c r="E1226" s="91" t="s">
        <v>32</v>
      </c>
      <c r="F1226" s="92">
        <v>5344000</v>
      </c>
      <c r="G1226" s="92">
        <v>69472000</v>
      </c>
    </row>
    <row r="1227" spans="1:7" x14ac:dyDescent="0.2">
      <c r="A1227" s="7" t="s">
        <v>2101</v>
      </c>
      <c r="B1227" s="89" t="s">
        <v>195</v>
      </c>
      <c r="C1227" s="90" t="s">
        <v>2102</v>
      </c>
      <c r="D1227" s="89">
        <v>180</v>
      </c>
      <c r="E1227" s="91" t="s">
        <v>32</v>
      </c>
      <c r="F1227" s="92">
        <v>25000</v>
      </c>
      <c r="G1227" s="92">
        <v>4500000</v>
      </c>
    </row>
    <row r="1228" spans="1:7" x14ac:dyDescent="0.2">
      <c r="A1228" s="7" t="s">
        <v>2103</v>
      </c>
      <c r="B1228" s="89" t="s">
        <v>195</v>
      </c>
      <c r="C1228" s="90" t="s">
        <v>2104</v>
      </c>
      <c r="D1228" s="89">
        <v>12</v>
      </c>
      <c r="E1228" s="91" t="s">
        <v>21</v>
      </c>
      <c r="F1228" s="92">
        <v>25000</v>
      </c>
      <c r="G1228" s="92">
        <v>300000</v>
      </c>
    </row>
    <row r="1229" spans="1:7" x14ac:dyDescent="0.2">
      <c r="A1229" s="7" t="s">
        <v>2105</v>
      </c>
      <c r="B1229" s="89" t="s">
        <v>195</v>
      </c>
      <c r="C1229" s="90" t="s">
        <v>2106</v>
      </c>
      <c r="D1229" s="89">
        <v>2</v>
      </c>
      <c r="E1229" s="91" t="s">
        <v>9</v>
      </c>
      <c r="F1229" s="92">
        <v>199850000</v>
      </c>
      <c r="G1229" s="92">
        <v>399700000</v>
      </c>
    </row>
    <row r="1230" spans="1:7" ht="30" x14ac:dyDescent="0.2">
      <c r="A1230" s="7" t="s">
        <v>2107</v>
      </c>
      <c r="B1230" s="78" t="s">
        <v>566</v>
      </c>
      <c r="C1230" s="79" t="s">
        <v>1889</v>
      </c>
      <c r="D1230" s="78"/>
      <c r="E1230" s="80"/>
      <c r="F1230" s="81"/>
      <c r="G1230" s="81">
        <v>20800000</v>
      </c>
    </row>
    <row r="1231" spans="1:7" x14ac:dyDescent="0.2">
      <c r="A1231" s="7" t="s">
        <v>2108</v>
      </c>
      <c r="B1231" s="89" t="s">
        <v>195</v>
      </c>
      <c r="C1231" s="90" t="s">
        <v>2109</v>
      </c>
      <c r="D1231" s="89">
        <v>52</v>
      </c>
      <c r="E1231" s="91" t="s">
        <v>9</v>
      </c>
      <c r="F1231" s="92">
        <v>400000</v>
      </c>
      <c r="G1231" s="92">
        <v>20800000</v>
      </c>
    </row>
    <row r="1232" spans="1:7" ht="15" x14ac:dyDescent="0.2">
      <c r="A1232" s="7" t="s">
        <v>2110</v>
      </c>
      <c r="B1232" s="78" t="s">
        <v>537</v>
      </c>
      <c r="C1232" s="79" t="s">
        <v>64</v>
      </c>
      <c r="D1232" s="78"/>
      <c r="E1232" s="80"/>
      <c r="F1232" s="81"/>
      <c r="G1232" s="81">
        <v>56369000</v>
      </c>
    </row>
    <row r="1233" spans="1:7" x14ac:dyDescent="0.2">
      <c r="A1233" s="7" t="s">
        <v>2111</v>
      </c>
      <c r="B1233" s="89" t="s">
        <v>195</v>
      </c>
      <c r="C1233" s="90" t="s">
        <v>2112</v>
      </c>
      <c r="D1233" s="89">
        <v>12</v>
      </c>
      <c r="E1233" s="91" t="s">
        <v>21</v>
      </c>
      <c r="F1233" s="92">
        <v>947000</v>
      </c>
      <c r="G1233" s="92">
        <v>11369000</v>
      </c>
    </row>
    <row r="1234" spans="1:7" x14ac:dyDescent="0.2">
      <c r="A1234" s="7" t="s">
        <v>2113</v>
      </c>
      <c r="B1234" s="89" t="s">
        <v>195</v>
      </c>
      <c r="C1234" s="90" t="s">
        <v>2114</v>
      </c>
      <c r="D1234" s="89">
        <v>3</v>
      </c>
      <c r="E1234" s="91" t="s">
        <v>9</v>
      </c>
      <c r="F1234" s="92">
        <v>15000000</v>
      </c>
      <c r="G1234" s="92">
        <v>45000000</v>
      </c>
    </row>
    <row r="1235" spans="1:7" ht="15" x14ac:dyDescent="0.2">
      <c r="A1235" s="7" t="s">
        <v>2115</v>
      </c>
      <c r="B1235" s="97" t="s">
        <v>2116</v>
      </c>
      <c r="C1235" s="98" t="s">
        <v>93</v>
      </c>
      <c r="D1235" s="97"/>
      <c r="E1235" s="99"/>
      <c r="F1235" s="100"/>
      <c r="G1235" s="100">
        <v>362307000</v>
      </c>
    </row>
    <row r="1236" spans="1:7" ht="15" x14ac:dyDescent="0.2">
      <c r="A1236" s="7" t="s">
        <v>2117</v>
      </c>
      <c r="B1236" s="78" t="s">
        <v>563</v>
      </c>
      <c r="C1236" s="79" t="s">
        <v>94</v>
      </c>
      <c r="D1236" s="78"/>
      <c r="E1236" s="80"/>
      <c r="F1236" s="81"/>
      <c r="G1236" s="81">
        <v>12000000</v>
      </c>
    </row>
    <row r="1237" spans="1:7" x14ac:dyDescent="0.2">
      <c r="A1237" s="7" t="s">
        <v>2118</v>
      </c>
      <c r="B1237" s="89" t="s">
        <v>195</v>
      </c>
      <c r="C1237" s="90" t="s">
        <v>2119</v>
      </c>
      <c r="D1237" s="89">
        <v>12</v>
      </c>
      <c r="E1237" s="91" t="s">
        <v>2120</v>
      </c>
      <c r="F1237" s="92">
        <v>1000000</v>
      </c>
      <c r="G1237" s="92">
        <v>12000000</v>
      </c>
    </row>
    <row r="1238" spans="1:7" ht="15" x14ac:dyDescent="0.2">
      <c r="A1238" s="7" t="s">
        <v>2121</v>
      </c>
      <c r="B1238" s="78" t="s">
        <v>564</v>
      </c>
      <c r="C1238" s="79" t="s">
        <v>95</v>
      </c>
      <c r="D1238" s="78"/>
      <c r="E1238" s="80"/>
      <c r="F1238" s="81"/>
      <c r="G1238" s="81">
        <v>294200000</v>
      </c>
    </row>
    <row r="1239" spans="1:7" x14ac:dyDescent="0.2">
      <c r="A1239" s="7" t="s">
        <v>2122</v>
      </c>
      <c r="B1239" s="89" t="s">
        <v>195</v>
      </c>
      <c r="C1239" s="90" t="s">
        <v>2123</v>
      </c>
      <c r="D1239" s="89">
        <v>12</v>
      </c>
      <c r="E1239" s="91" t="s">
        <v>118</v>
      </c>
      <c r="F1239" s="92">
        <v>4100000</v>
      </c>
      <c r="G1239" s="92">
        <v>49200000</v>
      </c>
    </row>
    <row r="1240" spans="1:7" x14ac:dyDescent="0.2">
      <c r="A1240" s="7" t="s">
        <v>2124</v>
      </c>
      <c r="B1240" s="89" t="s">
        <v>195</v>
      </c>
      <c r="C1240" s="90" t="s">
        <v>2125</v>
      </c>
      <c r="D1240" s="89">
        <v>12</v>
      </c>
      <c r="E1240" s="91" t="s">
        <v>118</v>
      </c>
      <c r="F1240" s="92">
        <v>3000000</v>
      </c>
      <c r="G1240" s="92">
        <v>36000000</v>
      </c>
    </row>
    <row r="1241" spans="1:7" x14ac:dyDescent="0.2">
      <c r="A1241" s="7" t="s">
        <v>2126</v>
      </c>
      <c r="B1241" s="89" t="s">
        <v>195</v>
      </c>
      <c r="C1241" s="90" t="s">
        <v>2127</v>
      </c>
      <c r="D1241" s="89">
        <v>1</v>
      </c>
      <c r="E1241" s="91" t="s">
        <v>9</v>
      </c>
      <c r="F1241" s="92">
        <v>50000000</v>
      </c>
      <c r="G1241" s="92">
        <v>50000000</v>
      </c>
    </row>
    <row r="1242" spans="1:7" ht="28.5" x14ac:dyDescent="0.2">
      <c r="A1242" s="7" t="s">
        <v>2128</v>
      </c>
      <c r="B1242" s="89" t="s">
        <v>195</v>
      </c>
      <c r="C1242" s="90" t="s">
        <v>2129</v>
      </c>
      <c r="D1242" s="89">
        <v>12</v>
      </c>
      <c r="E1242" s="91" t="s">
        <v>118</v>
      </c>
      <c r="F1242" s="92">
        <v>13250000</v>
      </c>
      <c r="G1242" s="92">
        <v>159000000</v>
      </c>
    </row>
    <row r="1243" spans="1:7" ht="15" x14ac:dyDescent="0.2">
      <c r="A1243" s="7" t="s">
        <v>2130</v>
      </c>
      <c r="B1243" s="78" t="s">
        <v>517</v>
      </c>
      <c r="C1243" s="79" t="s">
        <v>22</v>
      </c>
      <c r="D1243" s="78"/>
      <c r="E1243" s="80"/>
      <c r="F1243" s="81"/>
      <c r="G1243" s="81">
        <v>46507000</v>
      </c>
    </row>
    <row r="1244" spans="1:7" ht="28.5" x14ac:dyDescent="0.2">
      <c r="A1244" s="7" t="s">
        <v>2131</v>
      </c>
      <c r="B1244" s="89" t="s">
        <v>195</v>
      </c>
      <c r="C1244" s="90" t="s">
        <v>2132</v>
      </c>
      <c r="D1244" s="89">
        <v>12</v>
      </c>
      <c r="E1244" s="91" t="s">
        <v>96</v>
      </c>
      <c r="F1244" s="92">
        <v>1575000</v>
      </c>
      <c r="G1244" s="92">
        <v>18900000</v>
      </c>
    </row>
    <row r="1245" spans="1:7" ht="28.5" x14ac:dyDescent="0.2">
      <c r="A1245" s="7" t="s">
        <v>2133</v>
      </c>
      <c r="B1245" s="89" t="s">
        <v>195</v>
      </c>
      <c r="C1245" s="90" t="s">
        <v>2134</v>
      </c>
      <c r="D1245" s="89">
        <v>60</v>
      </c>
      <c r="E1245" s="91" t="s">
        <v>118</v>
      </c>
      <c r="F1245" s="92">
        <v>250000</v>
      </c>
      <c r="G1245" s="92">
        <v>15000000</v>
      </c>
    </row>
    <row r="1246" spans="1:7" x14ac:dyDescent="0.2">
      <c r="A1246" s="7" t="s">
        <v>2135</v>
      </c>
      <c r="B1246" s="89" t="s">
        <v>195</v>
      </c>
      <c r="C1246" s="90" t="s">
        <v>2136</v>
      </c>
      <c r="D1246" s="89">
        <v>1</v>
      </c>
      <c r="E1246" s="91" t="s">
        <v>9</v>
      </c>
      <c r="F1246" s="92">
        <v>12607000</v>
      </c>
      <c r="G1246" s="92">
        <v>12607000</v>
      </c>
    </row>
    <row r="1247" spans="1:7" ht="15" x14ac:dyDescent="0.2">
      <c r="A1247" s="7" t="s">
        <v>2137</v>
      </c>
      <c r="B1247" s="78" t="s">
        <v>567</v>
      </c>
      <c r="C1247" s="79" t="s">
        <v>99</v>
      </c>
      <c r="D1247" s="78"/>
      <c r="E1247" s="80"/>
      <c r="F1247" s="81"/>
      <c r="G1247" s="81">
        <v>9600000</v>
      </c>
    </row>
    <row r="1248" spans="1:7" x14ac:dyDescent="0.2">
      <c r="A1248" s="7" t="s">
        <v>2138</v>
      </c>
      <c r="B1248" s="89" t="s">
        <v>195</v>
      </c>
      <c r="C1248" s="90" t="s">
        <v>2139</v>
      </c>
      <c r="D1248" s="89">
        <v>12</v>
      </c>
      <c r="E1248" s="91" t="s">
        <v>118</v>
      </c>
      <c r="F1248" s="92">
        <v>800000</v>
      </c>
      <c r="G1248" s="92">
        <v>9600000</v>
      </c>
    </row>
    <row r="1249" spans="1:7" ht="15" x14ac:dyDescent="0.2">
      <c r="A1249" s="7" t="s">
        <v>2140</v>
      </c>
      <c r="B1249" s="97" t="s">
        <v>2141</v>
      </c>
      <c r="C1249" s="98" t="s">
        <v>98</v>
      </c>
      <c r="D1249" s="97"/>
      <c r="E1249" s="99"/>
      <c r="F1249" s="100"/>
      <c r="G1249" s="100">
        <v>274466000</v>
      </c>
    </row>
    <row r="1250" spans="1:7" ht="15" x14ac:dyDescent="0.2">
      <c r="A1250" s="7" t="s">
        <v>2142</v>
      </c>
      <c r="B1250" s="78" t="s">
        <v>567</v>
      </c>
      <c r="C1250" s="79" t="s">
        <v>99</v>
      </c>
      <c r="D1250" s="78"/>
      <c r="E1250" s="80"/>
      <c r="F1250" s="81"/>
      <c r="G1250" s="81">
        <v>274466000</v>
      </c>
    </row>
    <row r="1251" spans="1:7" x14ac:dyDescent="0.2">
      <c r="A1251" s="7" t="s">
        <v>2143</v>
      </c>
      <c r="B1251" s="89" t="s">
        <v>195</v>
      </c>
      <c r="C1251" s="90" t="s">
        <v>1901</v>
      </c>
      <c r="D1251" s="89">
        <v>20</v>
      </c>
      <c r="E1251" s="91" t="s">
        <v>44</v>
      </c>
      <c r="F1251" s="92">
        <v>660000</v>
      </c>
      <c r="G1251" s="92">
        <v>13200000</v>
      </c>
    </row>
    <row r="1252" spans="1:7" x14ac:dyDescent="0.2">
      <c r="A1252" s="7" t="s">
        <v>2144</v>
      </c>
      <c r="B1252" s="89" t="s">
        <v>195</v>
      </c>
      <c r="C1252" s="90" t="s">
        <v>2145</v>
      </c>
      <c r="D1252" s="89">
        <v>20</v>
      </c>
      <c r="E1252" s="91" t="s">
        <v>44</v>
      </c>
      <c r="F1252" s="92">
        <v>660000</v>
      </c>
      <c r="G1252" s="92">
        <v>13200000</v>
      </c>
    </row>
    <row r="1253" spans="1:7" x14ac:dyDescent="0.2">
      <c r="A1253" s="7" t="s">
        <v>2146</v>
      </c>
      <c r="B1253" s="89" t="s">
        <v>195</v>
      </c>
      <c r="C1253" s="90" t="s">
        <v>1925</v>
      </c>
      <c r="D1253" s="89">
        <v>20</v>
      </c>
      <c r="E1253" s="91" t="s">
        <v>44</v>
      </c>
      <c r="F1253" s="92">
        <v>580000</v>
      </c>
      <c r="G1253" s="92">
        <v>11600000</v>
      </c>
    </row>
    <row r="1254" spans="1:7" ht="28.5" x14ac:dyDescent="0.2">
      <c r="A1254" s="7" t="s">
        <v>2147</v>
      </c>
      <c r="B1254" s="89" t="s">
        <v>195</v>
      </c>
      <c r="C1254" s="90" t="s">
        <v>2148</v>
      </c>
      <c r="D1254" s="89">
        <v>1</v>
      </c>
      <c r="E1254" s="91" t="s">
        <v>44</v>
      </c>
      <c r="F1254" s="92">
        <v>27000000</v>
      </c>
      <c r="G1254" s="92">
        <v>27000000</v>
      </c>
    </row>
    <row r="1255" spans="1:7" x14ac:dyDescent="0.2">
      <c r="A1255" s="7" t="s">
        <v>2149</v>
      </c>
      <c r="B1255" s="89" t="s">
        <v>195</v>
      </c>
      <c r="C1255" s="90" t="s">
        <v>1916</v>
      </c>
      <c r="D1255" s="89">
        <v>6</v>
      </c>
      <c r="E1255" s="91" t="s">
        <v>44</v>
      </c>
      <c r="F1255" s="92">
        <v>26500000</v>
      </c>
      <c r="G1255" s="92">
        <v>159000000</v>
      </c>
    </row>
    <row r="1256" spans="1:7" x14ac:dyDescent="0.2">
      <c r="A1256" s="7" t="s">
        <v>2150</v>
      </c>
      <c r="B1256" s="89" t="s">
        <v>195</v>
      </c>
      <c r="C1256" s="90" t="s">
        <v>2151</v>
      </c>
      <c r="D1256" s="89">
        <v>15</v>
      </c>
      <c r="E1256" s="91" t="s">
        <v>44</v>
      </c>
      <c r="F1256" s="92">
        <v>3364000</v>
      </c>
      <c r="G1256" s="92">
        <v>50466000</v>
      </c>
    </row>
    <row r="1257" spans="1:7" ht="15" x14ac:dyDescent="0.2">
      <c r="A1257" s="7" t="s">
        <v>2152</v>
      </c>
      <c r="B1257" s="97" t="s">
        <v>2153</v>
      </c>
      <c r="C1257" s="98" t="s">
        <v>119</v>
      </c>
      <c r="D1257" s="97"/>
      <c r="E1257" s="99"/>
      <c r="F1257" s="100"/>
      <c r="G1257" s="100">
        <v>114736000</v>
      </c>
    </row>
    <row r="1258" spans="1:7" ht="15" x14ac:dyDescent="0.2">
      <c r="A1258" s="7" t="s">
        <v>2154</v>
      </c>
      <c r="B1258" s="78" t="s">
        <v>559</v>
      </c>
      <c r="C1258" s="79" t="s">
        <v>90</v>
      </c>
      <c r="D1258" s="78"/>
      <c r="E1258" s="80"/>
      <c r="F1258" s="81"/>
      <c r="G1258" s="81">
        <v>19200000</v>
      </c>
    </row>
    <row r="1259" spans="1:7" x14ac:dyDescent="0.2">
      <c r="A1259" s="7" t="s">
        <v>2155</v>
      </c>
      <c r="B1259" s="89" t="s">
        <v>195</v>
      </c>
      <c r="C1259" s="90" t="s">
        <v>2156</v>
      </c>
      <c r="D1259" s="89">
        <v>800</v>
      </c>
      <c r="E1259" s="91" t="s">
        <v>10</v>
      </c>
      <c r="F1259" s="92">
        <v>24000</v>
      </c>
      <c r="G1259" s="92">
        <v>19200000</v>
      </c>
    </row>
    <row r="1260" spans="1:7" ht="15" x14ac:dyDescent="0.2">
      <c r="A1260" s="7" t="s">
        <v>2157</v>
      </c>
      <c r="B1260" s="78" t="s">
        <v>570</v>
      </c>
      <c r="C1260" s="79" t="s">
        <v>104</v>
      </c>
      <c r="D1260" s="78"/>
      <c r="E1260" s="80"/>
      <c r="F1260" s="81"/>
      <c r="G1260" s="81">
        <v>60696000</v>
      </c>
    </row>
    <row r="1261" spans="1:7" ht="28.5" x14ac:dyDescent="0.2">
      <c r="A1261" s="7" t="s">
        <v>2158</v>
      </c>
      <c r="B1261" s="89" t="s">
        <v>195</v>
      </c>
      <c r="C1261" s="90" t="s">
        <v>2159</v>
      </c>
      <c r="D1261" s="89">
        <v>12</v>
      </c>
      <c r="E1261" s="91" t="s">
        <v>21</v>
      </c>
      <c r="F1261" s="92">
        <v>2920000</v>
      </c>
      <c r="G1261" s="92">
        <v>35040000</v>
      </c>
    </row>
    <row r="1262" spans="1:7" ht="28.5" x14ac:dyDescent="0.2">
      <c r="A1262" s="7" t="s">
        <v>2160</v>
      </c>
      <c r="B1262" s="89" t="s">
        <v>195</v>
      </c>
      <c r="C1262" s="90" t="s">
        <v>2161</v>
      </c>
      <c r="D1262" s="89">
        <v>24</v>
      </c>
      <c r="E1262" s="91" t="s">
        <v>21</v>
      </c>
      <c r="F1262" s="92">
        <v>324000</v>
      </c>
      <c r="G1262" s="92">
        <v>7776000</v>
      </c>
    </row>
    <row r="1263" spans="1:7" x14ac:dyDescent="0.2">
      <c r="A1263" s="7" t="s">
        <v>2162</v>
      </c>
      <c r="B1263" s="89" t="s">
        <v>195</v>
      </c>
      <c r="C1263" s="90" t="s">
        <v>2163</v>
      </c>
      <c r="D1263" s="89">
        <v>12</v>
      </c>
      <c r="E1263" s="91" t="s">
        <v>21</v>
      </c>
      <c r="F1263" s="92">
        <v>810000</v>
      </c>
      <c r="G1263" s="92">
        <v>9720000</v>
      </c>
    </row>
    <row r="1264" spans="1:7" x14ac:dyDescent="0.2">
      <c r="A1264" s="7" t="s">
        <v>2164</v>
      </c>
      <c r="B1264" s="89" t="s">
        <v>195</v>
      </c>
      <c r="C1264" s="90" t="s">
        <v>2165</v>
      </c>
      <c r="D1264" s="89">
        <v>12</v>
      </c>
      <c r="E1264" s="91" t="s">
        <v>21</v>
      </c>
      <c r="F1264" s="92">
        <v>680000</v>
      </c>
      <c r="G1264" s="92">
        <v>8160000</v>
      </c>
    </row>
    <row r="1265" spans="1:7" ht="15" x14ac:dyDescent="0.2">
      <c r="A1265" s="7" t="s">
        <v>2166</v>
      </c>
      <c r="B1265" s="78" t="s">
        <v>561</v>
      </c>
      <c r="C1265" s="79" t="s">
        <v>92</v>
      </c>
      <c r="D1265" s="78"/>
      <c r="E1265" s="80"/>
      <c r="F1265" s="81"/>
      <c r="G1265" s="81">
        <v>34840000</v>
      </c>
    </row>
    <row r="1266" spans="1:7" x14ac:dyDescent="0.2">
      <c r="A1266" s="7" t="s">
        <v>2167</v>
      </c>
      <c r="B1266" s="89" t="s">
        <v>195</v>
      </c>
      <c r="C1266" s="90" t="s">
        <v>2168</v>
      </c>
      <c r="D1266" s="89">
        <v>52</v>
      </c>
      <c r="E1266" s="91" t="s">
        <v>2169</v>
      </c>
      <c r="F1266" s="92">
        <v>670000</v>
      </c>
      <c r="G1266" s="92">
        <v>34840000</v>
      </c>
    </row>
    <row r="1267" spans="1:7" ht="30" x14ac:dyDescent="0.2">
      <c r="A1267" s="7" t="s">
        <v>2170</v>
      </c>
      <c r="B1267" s="97" t="s">
        <v>1807</v>
      </c>
      <c r="C1267" s="98" t="s">
        <v>2171</v>
      </c>
      <c r="D1267" s="97"/>
      <c r="E1267" s="99"/>
      <c r="F1267" s="100"/>
      <c r="G1267" s="100">
        <v>1325380000</v>
      </c>
    </row>
    <row r="1268" spans="1:7" ht="15" x14ac:dyDescent="0.2">
      <c r="A1268" s="7" t="s">
        <v>2172</v>
      </c>
      <c r="B1268" s="78" t="s">
        <v>559</v>
      </c>
      <c r="C1268" s="79" t="s">
        <v>90</v>
      </c>
      <c r="D1268" s="78"/>
      <c r="E1268" s="80"/>
      <c r="F1268" s="81"/>
      <c r="G1268" s="81">
        <v>1121220000</v>
      </c>
    </row>
    <row r="1269" spans="1:7" x14ac:dyDescent="0.2">
      <c r="A1269" s="7" t="s">
        <v>2173</v>
      </c>
      <c r="B1269" s="89" t="s">
        <v>195</v>
      </c>
      <c r="C1269" s="90" t="s">
        <v>2096</v>
      </c>
      <c r="D1269" s="89">
        <v>60</v>
      </c>
      <c r="E1269" s="91" t="s">
        <v>116</v>
      </c>
      <c r="F1269" s="92">
        <v>1500000</v>
      </c>
      <c r="G1269" s="92">
        <v>90000000</v>
      </c>
    </row>
    <row r="1270" spans="1:7" x14ac:dyDescent="0.2">
      <c r="A1270" s="7" t="s">
        <v>2174</v>
      </c>
      <c r="B1270" s="89" t="s">
        <v>195</v>
      </c>
      <c r="C1270" s="90" t="s">
        <v>2175</v>
      </c>
      <c r="D1270" s="89">
        <v>1</v>
      </c>
      <c r="E1270" s="91" t="s">
        <v>60</v>
      </c>
      <c r="F1270" s="92">
        <v>63000000</v>
      </c>
      <c r="G1270" s="92">
        <v>63000000</v>
      </c>
    </row>
    <row r="1271" spans="1:7" x14ac:dyDescent="0.2">
      <c r="A1271" s="7" t="s">
        <v>2176</v>
      </c>
      <c r="B1271" s="89" t="s">
        <v>195</v>
      </c>
      <c r="C1271" s="90" t="s">
        <v>2177</v>
      </c>
      <c r="D1271" s="89">
        <v>156</v>
      </c>
      <c r="E1271" s="91" t="s">
        <v>21</v>
      </c>
      <c r="F1271" s="92">
        <v>4858000</v>
      </c>
      <c r="G1271" s="92">
        <v>757848000</v>
      </c>
    </row>
    <row r="1272" spans="1:7" x14ac:dyDescent="0.2">
      <c r="A1272" s="7" t="s">
        <v>2178</v>
      </c>
      <c r="B1272" s="89" t="s">
        <v>195</v>
      </c>
      <c r="C1272" s="90" t="s">
        <v>2100</v>
      </c>
      <c r="D1272" s="89">
        <v>13</v>
      </c>
      <c r="E1272" s="91" t="s">
        <v>32</v>
      </c>
      <c r="F1272" s="92">
        <v>5344000</v>
      </c>
      <c r="G1272" s="92">
        <v>69472000</v>
      </c>
    </row>
    <row r="1273" spans="1:7" x14ac:dyDescent="0.2">
      <c r="A1273" s="7" t="s">
        <v>2179</v>
      </c>
      <c r="B1273" s="89" t="s">
        <v>195</v>
      </c>
      <c r="C1273" s="90" t="s">
        <v>2180</v>
      </c>
      <c r="D1273" s="89">
        <v>12</v>
      </c>
      <c r="E1273" s="91" t="s">
        <v>78</v>
      </c>
      <c r="F1273" s="92">
        <v>500000</v>
      </c>
      <c r="G1273" s="92">
        <v>6000000</v>
      </c>
    </row>
    <row r="1274" spans="1:7" x14ac:dyDescent="0.2">
      <c r="A1274" s="7" t="s">
        <v>2181</v>
      </c>
      <c r="B1274" s="89" t="s">
        <v>195</v>
      </c>
      <c r="C1274" s="90" t="s">
        <v>2182</v>
      </c>
      <c r="D1274" s="89">
        <v>148</v>
      </c>
      <c r="E1274" s="91" t="s">
        <v>58</v>
      </c>
      <c r="F1274" s="92">
        <v>500000</v>
      </c>
      <c r="G1274" s="92">
        <v>74000000</v>
      </c>
    </row>
    <row r="1275" spans="1:7" x14ac:dyDescent="0.2">
      <c r="A1275" s="7" t="s">
        <v>2183</v>
      </c>
      <c r="B1275" s="89" t="s">
        <v>195</v>
      </c>
      <c r="C1275" s="90" t="s">
        <v>2184</v>
      </c>
      <c r="D1275" s="89">
        <v>12</v>
      </c>
      <c r="E1275" s="91" t="s">
        <v>115</v>
      </c>
      <c r="F1275" s="92">
        <v>750000</v>
      </c>
      <c r="G1275" s="92">
        <v>9000000</v>
      </c>
    </row>
    <row r="1276" spans="1:7" x14ac:dyDescent="0.2">
      <c r="A1276" s="7" t="s">
        <v>2185</v>
      </c>
      <c r="B1276" s="89" t="s">
        <v>195</v>
      </c>
      <c r="C1276" s="90" t="s">
        <v>2186</v>
      </c>
      <c r="D1276" s="89">
        <v>12</v>
      </c>
      <c r="E1276" s="91" t="s">
        <v>115</v>
      </c>
      <c r="F1276" s="92">
        <v>1325000</v>
      </c>
      <c r="G1276" s="92">
        <v>15900000</v>
      </c>
    </row>
    <row r="1277" spans="1:7" x14ac:dyDescent="0.2">
      <c r="A1277" s="7" t="s">
        <v>2187</v>
      </c>
      <c r="B1277" s="89" t="s">
        <v>195</v>
      </c>
      <c r="C1277" s="90" t="s">
        <v>2188</v>
      </c>
      <c r="D1277" s="89">
        <v>12</v>
      </c>
      <c r="E1277" s="91" t="s">
        <v>78</v>
      </c>
      <c r="F1277" s="92">
        <v>3000000</v>
      </c>
      <c r="G1277" s="92">
        <v>36000000</v>
      </c>
    </row>
    <row r="1278" spans="1:7" ht="15" x14ac:dyDescent="0.2">
      <c r="A1278" s="7" t="s">
        <v>2189</v>
      </c>
      <c r="B1278" s="78" t="s">
        <v>537</v>
      </c>
      <c r="C1278" s="79" t="s">
        <v>64</v>
      </c>
      <c r="D1278" s="78"/>
      <c r="E1278" s="80"/>
      <c r="F1278" s="81"/>
      <c r="G1278" s="81">
        <v>204160000</v>
      </c>
    </row>
    <row r="1279" spans="1:7" x14ac:dyDescent="0.2">
      <c r="A1279" s="7" t="s">
        <v>2190</v>
      </c>
      <c r="B1279" s="89" t="s">
        <v>195</v>
      </c>
      <c r="C1279" s="90" t="s">
        <v>619</v>
      </c>
      <c r="D1279" s="89">
        <v>48</v>
      </c>
      <c r="E1279" s="91" t="s">
        <v>9</v>
      </c>
      <c r="F1279" s="92">
        <v>1000000</v>
      </c>
      <c r="G1279" s="92">
        <v>48000000</v>
      </c>
    </row>
    <row r="1280" spans="1:7" x14ac:dyDescent="0.2">
      <c r="A1280" s="7" t="s">
        <v>2191</v>
      </c>
      <c r="B1280" s="89" t="s">
        <v>195</v>
      </c>
      <c r="C1280" s="90" t="s">
        <v>620</v>
      </c>
      <c r="D1280" s="89">
        <v>48</v>
      </c>
      <c r="E1280" s="91" t="s">
        <v>9</v>
      </c>
      <c r="F1280" s="92">
        <v>1500000</v>
      </c>
      <c r="G1280" s="92">
        <v>72000000</v>
      </c>
    </row>
    <row r="1281" spans="1:7" x14ac:dyDescent="0.2">
      <c r="A1281" s="7" t="s">
        <v>2192</v>
      </c>
      <c r="B1281" s="89" t="s">
        <v>195</v>
      </c>
      <c r="C1281" s="90" t="s">
        <v>2193</v>
      </c>
      <c r="D1281" s="89">
        <v>192</v>
      </c>
      <c r="E1281" s="91" t="s">
        <v>9</v>
      </c>
      <c r="F1281" s="92">
        <v>50000</v>
      </c>
      <c r="G1281" s="92">
        <v>9600000</v>
      </c>
    </row>
    <row r="1282" spans="1:7" x14ac:dyDescent="0.2">
      <c r="A1282" s="7" t="s">
        <v>2194</v>
      </c>
      <c r="B1282" s="89" t="s">
        <v>195</v>
      </c>
      <c r="C1282" s="90" t="s">
        <v>2195</v>
      </c>
      <c r="D1282" s="89">
        <v>192</v>
      </c>
      <c r="E1282" s="91" t="s">
        <v>9</v>
      </c>
      <c r="F1282" s="92">
        <v>55000</v>
      </c>
      <c r="G1282" s="92">
        <v>10560000</v>
      </c>
    </row>
    <row r="1283" spans="1:7" x14ac:dyDescent="0.2">
      <c r="A1283" s="7" t="s">
        <v>2196</v>
      </c>
      <c r="B1283" s="89" t="s">
        <v>195</v>
      </c>
      <c r="C1283" s="90" t="s">
        <v>2197</v>
      </c>
      <c r="D1283" s="89">
        <v>50</v>
      </c>
      <c r="E1283" s="91" t="s">
        <v>2198</v>
      </c>
      <c r="F1283" s="92">
        <v>220000</v>
      </c>
      <c r="G1283" s="92">
        <v>11000000</v>
      </c>
    </row>
    <row r="1284" spans="1:7" x14ac:dyDescent="0.2">
      <c r="A1284" s="7" t="s">
        <v>2199</v>
      </c>
      <c r="B1284" s="89" t="s">
        <v>195</v>
      </c>
      <c r="C1284" s="90" t="s">
        <v>2200</v>
      </c>
      <c r="D1284" s="89">
        <v>50</v>
      </c>
      <c r="E1284" s="91" t="s">
        <v>2198</v>
      </c>
      <c r="F1284" s="92">
        <v>240000</v>
      </c>
      <c r="G1284" s="92">
        <v>12000000</v>
      </c>
    </row>
    <row r="1285" spans="1:7" x14ac:dyDescent="0.2">
      <c r="A1285" s="7" t="s">
        <v>2201</v>
      </c>
      <c r="B1285" s="89" t="s">
        <v>195</v>
      </c>
      <c r="C1285" s="90" t="s">
        <v>2202</v>
      </c>
      <c r="D1285" s="89">
        <v>1000</v>
      </c>
      <c r="E1285" s="91" t="s">
        <v>120</v>
      </c>
      <c r="F1285" s="92">
        <v>5000</v>
      </c>
      <c r="G1285" s="92">
        <v>5000000</v>
      </c>
    </row>
    <row r="1286" spans="1:7" x14ac:dyDescent="0.2">
      <c r="A1286" s="7" t="s">
        <v>2203</v>
      </c>
      <c r="B1286" s="89" t="s">
        <v>195</v>
      </c>
      <c r="C1286" s="90" t="s">
        <v>2204</v>
      </c>
      <c r="D1286" s="89">
        <v>50</v>
      </c>
      <c r="E1286" s="91" t="s">
        <v>1422</v>
      </c>
      <c r="F1286" s="92">
        <v>220000</v>
      </c>
      <c r="G1286" s="92">
        <v>11000000</v>
      </c>
    </row>
    <row r="1287" spans="1:7" x14ac:dyDescent="0.2">
      <c r="A1287" s="7" t="s">
        <v>2205</v>
      </c>
      <c r="B1287" s="89" t="s">
        <v>195</v>
      </c>
      <c r="C1287" s="90" t="s">
        <v>2206</v>
      </c>
      <c r="D1287" s="89">
        <v>1000</v>
      </c>
      <c r="E1287" s="91" t="s">
        <v>120</v>
      </c>
      <c r="F1287" s="92">
        <v>25000</v>
      </c>
      <c r="G1287" s="92">
        <v>25000000</v>
      </c>
    </row>
    <row r="1288" spans="1:7" ht="15" x14ac:dyDescent="0.2">
      <c r="A1288" s="7" t="s">
        <v>2207</v>
      </c>
      <c r="B1288" s="97" t="s">
        <v>2208</v>
      </c>
      <c r="C1288" s="98" t="s">
        <v>2209</v>
      </c>
      <c r="D1288" s="97"/>
      <c r="E1288" s="99"/>
      <c r="F1288" s="100"/>
      <c r="G1288" s="100">
        <v>148852000</v>
      </c>
    </row>
    <row r="1289" spans="1:7" ht="15" x14ac:dyDescent="0.2">
      <c r="A1289" s="7" t="s">
        <v>2210</v>
      </c>
      <c r="B1289" s="78" t="s">
        <v>563</v>
      </c>
      <c r="C1289" s="79" t="s">
        <v>94</v>
      </c>
      <c r="D1289" s="78"/>
      <c r="E1289" s="80"/>
      <c r="F1289" s="81"/>
      <c r="G1289" s="81">
        <v>30000000</v>
      </c>
    </row>
    <row r="1290" spans="1:7" x14ac:dyDescent="0.2">
      <c r="A1290" s="7" t="s">
        <v>2211</v>
      </c>
      <c r="B1290" s="89" t="s">
        <v>195</v>
      </c>
      <c r="C1290" s="90" t="s">
        <v>2212</v>
      </c>
      <c r="D1290" s="89">
        <v>12</v>
      </c>
      <c r="E1290" s="91" t="s">
        <v>78</v>
      </c>
      <c r="F1290" s="92">
        <v>2500000</v>
      </c>
      <c r="G1290" s="92">
        <v>30000000</v>
      </c>
    </row>
    <row r="1291" spans="1:7" ht="15" x14ac:dyDescent="0.2">
      <c r="A1291" s="7" t="s">
        <v>2213</v>
      </c>
      <c r="B1291" s="78" t="s">
        <v>564</v>
      </c>
      <c r="C1291" s="79" t="s">
        <v>95</v>
      </c>
      <c r="D1291" s="78"/>
      <c r="E1291" s="80"/>
      <c r="F1291" s="81"/>
      <c r="G1291" s="81">
        <v>118852000</v>
      </c>
    </row>
    <row r="1292" spans="1:7" x14ac:dyDescent="0.2">
      <c r="A1292" s="7" t="s">
        <v>2214</v>
      </c>
      <c r="B1292" s="89" t="s">
        <v>195</v>
      </c>
      <c r="C1292" s="90" t="s">
        <v>2215</v>
      </c>
      <c r="D1292" s="89">
        <v>12</v>
      </c>
      <c r="E1292" s="91" t="s">
        <v>78</v>
      </c>
      <c r="F1292" s="92">
        <v>5000000</v>
      </c>
      <c r="G1292" s="92">
        <v>60000000</v>
      </c>
    </row>
    <row r="1293" spans="1:7" x14ac:dyDescent="0.2">
      <c r="A1293" s="7" t="s">
        <v>2216</v>
      </c>
      <c r="B1293" s="89" t="s">
        <v>195</v>
      </c>
      <c r="C1293" s="90" t="s">
        <v>2217</v>
      </c>
      <c r="D1293" s="89">
        <v>1</v>
      </c>
      <c r="E1293" s="91" t="s">
        <v>60</v>
      </c>
      <c r="F1293" s="92">
        <v>58852000</v>
      </c>
      <c r="G1293" s="92">
        <v>58852000</v>
      </c>
    </row>
    <row r="1294" spans="1:7" ht="15" x14ac:dyDescent="0.2">
      <c r="A1294" s="7" t="s">
        <v>2218</v>
      </c>
      <c r="B1294" s="97" t="s">
        <v>2219</v>
      </c>
      <c r="C1294" s="98" t="s">
        <v>2220</v>
      </c>
      <c r="D1294" s="97"/>
      <c r="E1294" s="99"/>
      <c r="F1294" s="100"/>
      <c r="G1294" s="100">
        <v>562050000</v>
      </c>
    </row>
    <row r="1295" spans="1:7" ht="15" x14ac:dyDescent="0.2">
      <c r="A1295" s="7" t="s">
        <v>2221</v>
      </c>
      <c r="B1295" s="78" t="s">
        <v>567</v>
      </c>
      <c r="C1295" s="79" t="s">
        <v>99</v>
      </c>
      <c r="D1295" s="78"/>
      <c r="E1295" s="80"/>
      <c r="F1295" s="81"/>
      <c r="G1295" s="81">
        <v>526050000</v>
      </c>
    </row>
    <row r="1296" spans="1:7" ht="28.5" x14ac:dyDescent="0.2">
      <c r="A1296" s="7" t="s">
        <v>2222</v>
      </c>
      <c r="B1296" s="89" t="s">
        <v>195</v>
      </c>
      <c r="C1296" s="90" t="s">
        <v>2223</v>
      </c>
      <c r="D1296" s="89">
        <v>1</v>
      </c>
      <c r="E1296" s="91" t="s">
        <v>44</v>
      </c>
      <c r="F1296" s="92">
        <v>38730000</v>
      </c>
      <c r="G1296" s="92">
        <v>38730000</v>
      </c>
    </row>
    <row r="1297" spans="1:7" x14ac:dyDescent="0.2">
      <c r="A1297" s="7" t="s">
        <v>2224</v>
      </c>
      <c r="B1297" s="89" t="s">
        <v>195</v>
      </c>
      <c r="C1297" s="90" t="s">
        <v>2225</v>
      </c>
      <c r="D1297" s="89">
        <v>9</v>
      </c>
      <c r="E1297" s="91" t="s">
        <v>195</v>
      </c>
      <c r="F1297" s="92">
        <v>33650000</v>
      </c>
      <c r="G1297" s="92">
        <v>302850000</v>
      </c>
    </row>
    <row r="1298" spans="1:7" x14ac:dyDescent="0.2">
      <c r="A1298" s="7" t="s">
        <v>2226</v>
      </c>
      <c r="B1298" s="89" t="s">
        <v>195</v>
      </c>
      <c r="C1298" s="90" t="s">
        <v>2227</v>
      </c>
      <c r="D1298" s="89">
        <v>5</v>
      </c>
      <c r="E1298" s="91" t="s">
        <v>42</v>
      </c>
      <c r="F1298" s="92">
        <v>3640000</v>
      </c>
      <c r="G1298" s="92">
        <v>18200000</v>
      </c>
    </row>
    <row r="1299" spans="1:7" x14ac:dyDescent="0.2">
      <c r="A1299" s="7" t="s">
        <v>2228</v>
      </c>
      <c r="B1299" s="89" t="s">
        <v>195</v>
      </c>
      <c r="C1299" s="90" t="s">
        <v>1901</v>
      </c>
      <c r="D1299" s="89">
        <v>50</v>
      </c>
      <c r="E1299" s="91" t="s">
        <v>42</v>
      </c>
      <c r="F1299" s="92">
        <v>730000</v>
      </c>
      <c r="G1299" s="92">
        <v>36500000</v>
      </c>
    </row>
    <row r="1300" spans="1:7" x14ac:dyDescent="0.2">
      <c r="A1300" s="7" t="s">
        <v>2229</v>
      </c>
      <c r="B1300" s="89" t="s">
        <v>195</v>
      </c>
      <c r="C1300" s="90" t="s">
        <v>1921</v>
      </c>
      <c r="D1300" s="89">
        <v>45</v>
      </c>
      <c r="E1300" s="91" t="s">
        <v>44</v>
      </c>
      <c r="F1300" s="92">
        <v>730000</v>
      </c>
      <c r="G1300" s="92">
        <v>32850000</v>
      </c>
    </row>
    <row r="1301" spans="1:7" x14ac:dyDescent="0.2">
      <c r="A1301" s="7" t="s">
        <v>2230</v>
      </c>
      <c r="B1301" s="89" t="s">
        <v>195</v>
      </c>
      <c r="C1301" s="90" t="s">
        <v>1925</v>
      </c>
      <c r="D1301" s="89">
        <v>45</v>
      </c>
      <c r="E1301" s="91" t="s">
        <v>44</v>
      </c>
      <c r="F1301" s="92">
        <v>690000</v>
      </c>
      <c r="G1301" s="92">
        <v>31050000</v>
      </c>
    </row>
    <row r="1302" spans="1:7" x14ac:dyDescent="0.2">
      <c r="A1302" s="7" t="s">
        <v>2231</v>
      </c>
      <c r="B1302" s="89" t="s">
        <v>195</v>
      </c>
      <c r="C1302" s="90" t="s">
        <v>1927</v>
      </c>
      <c r="D1302" s="89">
        <v>3</v>
      </c>
      <c r="E1302" s="91" t="s">
        <v>44</v>
      </c>
      <c r="F1302" s="92">
        <v>3500000</v>
      </c>
      <c r="G1302" s="92">
        <v>10500000</v>
      </c>
    </row>
    <row r="1303" spans="1:7" x14ac:dyDescent="0.2">
      <c r="A1303" s="7" t="s">
        <v>2232</v>
      </c>
      <c r="B1303" s="89" t="s">
        <v>195</v>
      </c>
      <c r="C1303" s="90" t="s">
        <v>2233</v>
      </c>
      <c r="D1303" s="89">
        <v>6</v>
      </c>
      <c r="E1303" s="91" t="s">
        <v>44</v>
      </c>
      <c r="F1303" s="92">
        <v>470000</v>
      </c>
      <c r="G1303" s="92">
        <v>2820000</v>
      </c>
    </row>
    <row r="1304" spans="1:7" x14ac:dyDescent="0.2">
      <c r="A1304" s="7" t="s">
        <v>2234</v>
      </c>
      <c r="B1304" s="89" t="s">
        <v>195</v>
      </c>
      <c r="C1304" s="90" t="s">
        <v>1905</v>
      </c>
      <c r="D1304" s="89">
        <v>1</v>
      </c>
      <c r="E1304" s="91" t="s">
        <v>60</v>
      </c>
      <c r="F1304" s="92">
        <v>52550000</v>
      </c>
      <c r="G1304" s="92">
        <v>52550000</v>
      </c>
    </row>
    <row r="1305" spans="1:7" ht="15" x14ac:dyDescent="0.2">
      <c r="A1305" s="7" t="s">
        <v>2235</v>
      </c>
      <c r="B1305" s="78" t="s">
        <v>568</v>
      </c>
      <c r="C1305" s="79" t="s">
        <v>102</v>
      </c>
      <c r="D1305" s="78"/>
      <c r="E1305" s="80"/>
      <c r="F1305" s="81"/>
      <c r="G1305" s="81">
        <v>36000000</v>
      </c>
    </row>
    <row r="1306" spans="1:7" x14ac:dyDescent="0.2">
      <c r="A1306" s="7" t="s">
        <v>2236</v>
      </c>
      <c r="B1306" s="89" t="s">
        <v>195</v>
      </c>
      <c r="C1306" s="90" t="s">
        <v>2237</v>
      </c>
      <c r="D1306" s="89">
        <v>24</v>
      </c>
      <c r="E1306" s="91" t="s">
        <v>96</v>
      </c>
      <c r="F1306" s="92">
        <v>1500000</v>
      </c>
      <c r="G1306" s="92">
        <v>36000000</v>
      </c>
    </row>
    <row r="1307" spans="1:7" ht="30" x14ac:dyDescent="0.2">
      <c r="A1307" s="7" t="s">
        <v>2238</v>
      </c>
      <c r="B1307" s="97" t="s">
        <v>2239</v>
      </c>
      <c r="C1307" s="98" t="s">
        <v>2240</v>
      </c>
      <c r="D1307" s="97"/>
      <c r="E1307" s="99"/>
      <c r="F1307" s="100"/>
      <c r="G1307" s="100">
        <v>159376000</v>
      </c>
    </row>
    <row r="1308" spans="1:7" ht="15" x14ac:dyDescent="0.2">
      <c r="A1308" s="7" t="s">
        <v>2241</v>
      </c>
      <c r="B1308" s="78" t="s">
        <v>559</v>
      </c>
      <c r="C1308" s="79" t="s">
        <v>90</v>
      </c>
      <c r="D1308" s="78"/>
      <c r="E1308" s="80"/>
      <c r="F1308" s="81"/>
      <c r="G1308" s="81">
        <v>101040000</v>
      </c>
    </row>
    <row r="1309" spans="1:7" x14ac:dyDescent="0.2">
      <c r="A1309" s="7" t="s">
        <v>2242</v>
      </c>
      <c r="B1309" s="89" t="s">
        <v>195</v>
      </c>
      <c r="C1309" s="90" t="s">
        <v>2243</v>
      </c>
      <c r="D1309" s="89">
        <v>100</v>
      </c>
      <c r="E1309" s="91" t="s">
        <v>2244</v>
      </c>
      <c r="F1309" s="92">
        <v>857000</v>
      </c>
      <c r="G1309" s="92">
        <v>85700000</v>
      </c>
    </row>
    <row r="1310" spans="1:7" x14ac:dyDescent="0.2">
      <c r="A1310" s="7" t="s">
        <v>2245</v>
      </c>
      <c r="B1310" s="89" t="s">
        <v>195</v>
      </c>
      <c r="C1310" s="90" t="s">
        <v>2246</v>
      </c>
      <c r="D1310" s="89">
        <v>26</v>
      </c>
      <c r="E1310" s="91" t="s">
        <v>121</v>
      </c>
      <c r="F1310" s="92">
        <v>590000</v>
      </c>
      <c r="G1310" s="92">
        <v>15340000</v>
      </c>
    </row>
    <row r="1311" spans="1:7" ht="15" x14ac:dyDescent="0.2">
      <c r="A1311" s="7" t="s">
        <v>2247</v>
      </c>
      <c r="B1311" s="78" t="s">
        <v>570</v>
      </c>
      <c r="C1311" s="79" t="s">
        <v>104</v>
      </c>
      <c r="D1311" s="78"/>
      <c r="E1311" s="80"/>
      <c r="F1311" s="81"/>
      <c r="G1311" s="81">
        <v>58336000</v>
      </c>
    </row>
    <row r="1312" spans="1:7" x14ac:dyDescent="0.2">
      <c r="A1312" s="7" t="s">
        <v>2248</v>
      </c>
      <c r="B1312" s="89" t="s">
        <v>195</v>
      </c>
      <c r="C1312" s="90" t="s">
        <v>2249</v>
      </c>
      <c r="D1312" s="89">
        <v>12</v>
      </c>
      <c r="E1312" s="91" t="s">
        <v>32</v>
      </c>
      <c r="F1312" s="92">
        <v>2920000</v>
      </c>
      <c r="G1312" s="92">
        <v>35040000</v>
      </c>
    </row>
    <row r="1313" spans="1:7" x14ac:dyDescent="0.2">
      <c r="A1313" s="7" t="s">
        <v>2250</v>
      </c>
      <c r="B1313" s="89" t="s">
        <v>195</v>
      </c>
      <c r="C1313" s="90" t="s">
        <v>2251</v>
      </c>
      <c r="D1313" s="89">
        <v>3</v>
      </c>
      <c r="E1313" s="91" t="s">
        <v>25</v>
      </c>
      <c r="F1313" s="92">
        <v>300000</v>
      </c>
      <c r="G1313" s="92">
        <v>900000</v>
      </c>
    </row>
    <row r="1314" spans="1:7" ht="28.5" x14ac:dyDescent="0.2">
      <c r="A1314" s="7" t="s">
        <v>2252</v>
      </c>
      <c r="B1314" s="89" t="s">
        <v>195</v>
      </c>
      <c r="C1314" s="90" t="s">
        <v>2253</v>
      </c>
      <c r="D1314" s="89">
        <v>12</v>
      </c>
      <c r="E1314" s="91" t="s">
        <v>32</v>
      </c>
      <c r="F1314" s="92">
        <v>324000</v>
      </c>
      <c r="G1314" s="92">
        <v>3888000</v>
      </c>
    </row>
    <row r="1315" spans="1:7" x14ac:dyDescent="0.2">
      <c r="A1315" s="7" t="s">
        <v>2254</v>
      </c>
      <c r="B1315" s="89" t="s">
        <v>195</v>
      </c>
      <c r="C1315" s="90" t="s">
        <v>2255</v>
      </c>
      <c r="D1315" s="89">
        <v>12</v>
      </c>
      <c r="E1315" s="91" t="s">
        <v>32</v>
      </c>
      <c r="F1315" s="92">
        <v>324000</v>
      </c>
      <c r="G1315" s="92">
        <v>3888000</v>
      </c>
    </row>
    <row r="1316" spans="1:7" ht="28.5" x14ac:dyDescent="0.2">
      <c r="A1316" s="7" t="s">
        <v>2256</v>
      </c>
      <c r="B1316" s="89" t="s">
        <v>195</v>
      </c>
      <c r="C1316" s="90" t="s">
        <v>2257</v>
      </c>
      <c r="D1316" s="89">
        <v>12</v>
      </c>
      <c r="E1316" s="91" t="s">
        <v>32</v>
      </c>
      <c r="F1316" s="92">
        <v>680000</v>
      </c>
      <c r="G1316" s="92">
        <v>8160000</v>
      </c>
    </row>
    <row r="1317" spans="1:7" x14ac:dyDescent="0.2">
      <c r="A1317" s="7" t="s">
        <v>2258</v>
      </c>
      <c r="B1317" s="89" t="s">
        <v>195</v>
      </c>
      <c r="C1317" s="90" t="s">
        <v>2259</v>
      </c>
      <c r="D1317" s="89">
        <v>12</v>
      </c>
      <c r="E1317" s="91" t="s">
        <v>32</v>
      </c>
      <c r="F1317" s="92">
        <v>200000</v>
      </c>
      <c r="G1317" s="92">
        <v>2400000</v>
      </c>
    </row>
    <row r="1318" spans="1:7" x14ac:dyDescent="0.2">
      <c r="A1318" s="7" t="s">
        <v>2260</v>
      </c>
      <c r="B1318" s="89" t="s">
        <v>195</v>
      </c>
      <c r="C1318" s="90" t="s">
        <v>2261</v>
      </c>
      <c r="D1318" s="89">
        <v>12</v>
      </c>
      <c r="E1318" s="91" t="s">
        <v>32</v>
      </c>
      <c r="F1318" s="92">
        <v>80000</v>
      </c>
      <c r="G1318" s="92">
        <v>960000</v>
      </c>
    </row>
    <row r="1319" spans="1:7" x14ac:dyDescent="0.2">
      <c r="A1319" s="7" t="s">
        <v>2262</v>
      </c>
      <c r="B1319" s="89" t="s">
        <v>195</v>
      </c>
      <c r="C1319" s="90" t="s">
        <v>2263</v>
      </c>
      <c r="D1319" s="89">
        <v>12</v>
      </c>
      <c r="E1319" s="91" t="s">
        <v>32</v>
      </c>
      <c r="F1319" s="92">
        <v>200000</v>
      </c>
      <c r="G1319" s="92">
        <v>2400000</v>
      </c>
    </row>
    <row r="1320" spans="1:7" x14ac:dyDescent="0.2">
      <c r="A1320" s="7" t="s">
        <v>2264</v>
      </c>
      <c r="B1320" s="89" t="s">
        <v>195</v>
      </c>
      <c r="C1320" s="90" t="s">
        <v>2265</v>
      </c>
      <c r="D1320" s="89">
        <v>1</v>
      </c>
      <c r="E1320" s="91" t="s">
        <v>776</v>
      </c>
      <c r="F1320" s="92">
        <v>400000</v>
      </c>
      <c r="G1320" s="92">
        <v>400000</v>
      </c>
    </row>
    <row r="1321" spans="1:7" x14ac:dyDescent="0.2">
      <c r="A1321" s="7" t="s">
        <v>2266</v>
      </c>
      <c r="B1321" s="89" t="s">
        <v>195</v>
      </c>
      <c r="C1321" s="90" t="s">
        <v>2267</v>
      </c>
      <c r="D1321" s="89">
        <v>1</v>
      </c>
      <c r="E1321" s="91" t="s">
        <v>25</v>
      </c>
      <c r="F1321" s="92">
        <v>300000</v>
      </c>
      <c r="G1321" s="92">
        <v>300000</v>
      </c>
    </row>
    <row r="1322" spans="1:7" ht="15" x14ac:dyDescent="0.2">
      <c r="A1322" s="7" t="s">
        <v>2268</v>
      </c>
      <c r="B1322" s="101" t="s">
        <v>2269</v>
      </c>
      <c r="C1322" s="102" t="s">
        <v>2270</v>
      </c>
      <c r="D1322" s="101"/>
      <c r="E1322" s="103"/>
      <c r="F1322" s="104"/>
      <c r="G1322" s="104">
        <v>1740934000</v>
      </c>
    </row>
    <row r="1323" spans="1:7" x14ac:dyDescent="0.2">
      <c r="A1323" s="7" t="s">
        <v>2271</v>
      </c>
      <c r="B1323" s="89" t="s">
        <v>2272</v>
      </c>
      <c r="C1323" s="90" t="s">
        <v>2273</v>
      </c>
      <c r="D1323" s="89"/>
      <c r="E1323" s="91"/>
      <c r="F1323" s="92"/>
      <c r="G1323" s="92">
        <v>740934000</v>
      </c>
    </row>
    <row r="1324" spans="1:7" ht="30" x14ac:dyDescent="0.2">
      <c r="A1324" s="7" t="s">
        <v>2274</v>
      </c>
      <c r="B1324" s="93" t="s">
        <v>826</v>
      </c>
      <c r="C1324" s="94" t="s">
        <v>2275</v>
      </c>
      <c r="D1324" s="93"/>
      <c r="E1324" s="95"/>
      <c r="F1324" s="96"/>
      <c r="G1324" s="96">
        <v>0</v>
      </c>
    </row>
    <row r="1325" spans="1:7" ht="30" x14ac:dyDescent="0.2">
      <c r="A1325" s="7" t="s">
        <v>2276</v>
      </c>
      <c r="B1325" s="97" t="s">
        <v>8</v>
      </c>
      <c r="C1325" s="98" t="s">
        <v>2275</v>
      </c>
      <c r="D1325" s="97"/>
      <c r="E1325" s="99"/>
      <c r="F1325" s="100"/>
      <c r="G1325" s="100">
        <v>0</v>
      </c>
    </row>
    <row r="1326" spans="1:7" ht="15" x14ac:dyDescent="0.2">
      <c r="A1326" s="7" t="s">
        <v>2277</v>
      </c>
      <c r="B1326" s="78" t="s">
        <v>528</v>
      </c>
      <c r="C1326" s="79" t="s">
        <v>43</v>
      </c>
      <c r="D1326" s="78"/>
      <c r="E1326" s="80"/>
      <c r="F1326" s="81"/>
      <c r="G1326" s="81">
        <v>0</v>
      </c>
    </row>
    <row r="1327" spans="1:7" x14ac:dyDescent="0.2">
      <c r="A1327" s="7" t="s">
        <v>2278</v>
      </c>
      <c r="B1327" s="89" t="s">
        <v>195</v>
      </c>
      <c r="C1327" s="90" t="s">
        <v>2279</v>
      </c>
      <c r="D1327" s="89">
        <v>1</v>
      </c>
      <c r="E1327" s="91" t="s">
        <v>42</v>
      </c>
      <c r="F1327" s="92">
        <v>700000000</v>
      </c>
      <c r="G1327" s="92">
        <v>0</v>
      </c>
    </row>
    <row r="1328" spans="1:7" ht="30" x14ac:dyDescent="0.2">
      <c r="A1328" s="7" t="s">
        <v>2280</v>
      </c>
      <c r="B1328" s="93" t="s">
        <v>1119</v>
      </c>
      <c r="C1328" s="94" t="s">
        <v>2281</v>
      </c>
      <c r="D1328" s="93"/>
      <c r="E1328" s="95"/>
      <c r="F1328" s="96"/>
      <c r="G1328" s="96">
        <v>200000000</v>
      </c>
    </row>
    <row r="1329" spans="1:7" ht="15" x14ac:dyDescent="0.2">
      <c r="A1329" s="7" t="s">
        <v>2282</v>
      </c>
      <c r="B1329" s="97" t="s">
        <v>8</v>
      </c>
      <c r="C1329" s="98" t="s">
        <v>2283</v>
      </c>
      <c r="D1329" s="97"/>
      <c r="E1329" s="99"/>
      <c r="F1329" s="100"/>
      <c r="G1329" s="100">
        <v>200000000</v>
      </c>
    </row>
    <row r="1330" spans="1:7" ht="15" x14ac:dyDescent="0.2">
      <c r="A1330" s="7" t="s">
        <v>2284</v>
      </c>
      <c r="B1330" s="78" t="s">
        <v>528</v>
      </c>
      <c r="C1330" s="79" t="s">
        <v>43</v>
      </c>
      <c r="D1330" s="78"/>
      <c r="E1330" s="80"/>
      <c r="F1330" s="81"/>
      <c r="G1330" s="81">
        <v>200000000</v>
      </c>
    </row>
    <row r="1331" spans="1:7" x14ac:dyDescent="0.2">
      <c r="A1331" s="7" t="s">
        <v>2285</v>
      </c>
      <c r="B1331" s="89" t="s">
        <v>195</v>
      </c>
      <c r="C1331" s="90" t="s">
        <v>2286</v>
      </c>
      <c r="D1331" s="89">
        <v>1</v>
      </c>
      <c r="E1331" s="91" t="s">
        <v>52</v>
      </c>
      <c r="F1331" s="92">
        <v>100000000</v>
      </c>
      <c r="G1331" s="92">
        <v>100000000</v>
      </c>
    </row>
    <row r="1332" spans="1:7" x14ac:dyDescent="0.2">
      <c r="A1332" s="7" t="s">
        <v>2287</v>
      </c>
      <c r="B1332" s="89" t="s">
        <v>195</v>
      </c>
      <c r="C1332" s="90" t="s">
        <v>2288</v>
      </c>
      <c r="D1332" s="89">
        <v>1</v>
      </c>
      <c r="E1332" s="91" t="s">
        <v>106</v>
      </c>
      <c r="F1332" s="92">
        <v>100000000</v>
      </c>
      <c r="G1332" s="92">
        <v>100000000</v>
      </c>
    </row>
    <row r="1333" spans="1:7" ht="30" x14ac:dyDescent="0.2">
      <c r="A1333" s="7" t="s">
        <v>2289</v>
      </c>
      <c r="B1333" s="93" t="s">
        <v>833</v>
      </c>
      <c r="C1333" s="94" t="s">
        <v>2290</v>
      </c>
      <c r="D1333" s="93"/>
      <c r="E1333" s="95"/>
      <c r="F1333" s="96"/>
      <c r="G1333" s="96">
        <v>540934000</v>
      </c>
    </row>
    <row r="1334" spans="1:7" ht="15" x14ac:dyDescent="0.2">
      <c r="A1334" s="7" t="s">
        <v>2291</v>
      </c>
      <c r="B1334" s="97" t="s">
        <v>8</v>
      </c>
      <c r="C1334" s="98" t="s">
        <v>2292</v>
      </c>
      <c r="D1334" s="97"/>
      <c r="E1334" s="99"/>
      <c r="F1334" s="100"/>
      <c r="G1334" s="100">
        <v>540934000</v>
      </c>
    </row>
    <row r="1335" spans="1:7" ht="15" x14ac:dyDescent="0.2">
      <c r="A1335" s="7" t="s">
        <v>2293</v>
      </c>
      <c r="B1335" s="78" t="s">
        <v>528</v>
      </c>
      <c r="C1335" s="79" t="s">
        <v>43</v>
      </c>
      <c r="D1335" s="78"/>
      <c r="E1335" s="80"/>
      <c r="F1335" s="81"/>
      <c r="G1335" s="81">
        <v>540934000</v>
      </c>
    </row>
    <row r="1336" spans="1:7" x14ac:dyDescent="0.2">
      <c r="A1336" s="7" t="s">
        <v>2294</v>
      </c>
      <c r="B1336" s="89" t="s">
        <v>195</v>
      </c>
      <c r="C1336" s="90" t="s">
        <v>2295</v>
      </c>
      <c r="D1336" s="89">
        <v>1</v>
      </c>
      <c r="E1336" s="91" t="s">
        <v>42</v>
      </c>
      <c r="F1336" s="92">
        <v>540934000</v>
      </c>
      <c r="G1336" s="92">
        <v>540934000</v>
      </c>
    </row>
    <row r="1337" spans="1:7" x14ac:dyDescent="0.2">
      <c r="A1337" s="7" t="s">
        <v>2296</v>
      </c>
      <c r="B1337" s="89" t="s">
        <v>2297</v>
      </c>
      <c r="C1337" s="90" t="s">
        <v>2298</v>
      </c>
      <c r="D1337" s="89"/>
      <c r="E1337" s="91"/>
      <c r="F1337" s="92"/>
      <c r="G1337" s="92">
        <v>1000000000</v>
      </c>
    </row>
    <row r="1338" spans="1:7" ht="30" x14ac:dyDescent="0.2">
      <c r="A1338" s="7" t="s">
        <v>2299</v>
      </c>
      <c r="B1338" s="93" t="s">
        <v>1102</v>
      </c>
      <c r="C1338" s="94" t="s">
        <v>2300</v>
      </c>
      <c r="D1338" s="93"/>
      <c r="E1338" s="95"/>
      <c r="F1338" s="96"/>
      <c r="G1338" s="96">
        <v>1000000000</v>
      </c>
    </row>
    <row r="1339" spans="1:7" ht="30" x14ac:dyDescent="0.2">
      <c r="A1339" s="7" t="s">
        <v>2301</v>
      </c>
      <c r="B1339" s="97" t="s">
        <v>8</v>
      </c>
      <c r="C1339" s="98" t="s">
        <v>2300</v>
      </c>
      <c r="D1339" s="97"/>
      <c r="E1339" s="99"/>
      <c r="F1339" s="100"/>
      <c r="G1339" s="100">
        <v>1000000000</v>
      </c>
    </row>
    <row r="1340" spans="1:7" ht="15" x14ac:dyDescent="0.2">
      <c r="A1340" s="7" t="s">
        <v>2302</v>
      </c>
      <c r="B1340" s="78" t="s">
        <v>529</v>
      </c>
      <c r="C1340" s="79" t="s">
        <v>45</v>
      </c>
      <c r="D1340" s="78"/>
      <c r="E1340" s="80"/>
      <c r="F1340" s="81"/>
      <c r="G1340" s="81">
        <v>1000000000</v>
      </c>
    </row>
    <row r="1341" spans="1:7" x14ac:dyDescent="0.2">
      <c r="A1341" s="7" t="s">
        <v>195</v>
      </c>
      <c r="B1341" s="89" t="s">
        <v>195</v>
      </c>
      <c r="C1341" s="90" t="s">
        <v>2303</v>
      </c>
      <c r="D1341" s="89">
        <v>0</v>
      </c>
      <c r="E1341" s="91" t="s">
        <v>195</v>
      </c>
      <c r="F1341" s="92">
        <v>0</v>
      </c>
      <c r="G1341" s="92">
        <v>0</v>
      </c>
    </row>
    <row r="1342" spans="1:7" x14ac:dyDescent="0.2">
      <c r="A1342" s="7" t="s">
        <v>2304</v>
      </c>
      <c r="B1342" s="89" t="s">
        <v>195</v>
      </c>
      <c r="C1342" s="90" t="s">
        <v>2305</v>
      </c>
      <c r="D1342" s="89">
        <v>2</v>
      </c>
      <c r="E1342" s="91" t="s">
        <v>106</v>
      </c>
      <c r="F1342" s="92">
        <v>100000000</v>
      </c>
      <c r="G1342" s="92">
        <v>200000000</v>
      </c>
    </row>
    <row r="1343" spans="1:7" ht="28.5" x14ac:dyDescent="0.2">
      <c r="A1343" s="7" t="s">
        <v>2306</v>
      </c>
      <c r="B1343" s="89" t="s">
        <v>195</v>
      </c>
      <c r="C1343" s="90" t="s">
        <v>2307</v>
      </c>
      <c r="D1343" s="89">
        <v>2</v>
      </c>
      <c r="E1343" s="91" t="s">
        <v>106</v>
      </c>
      <c r="F1343" s="92">
        <v>200000000</v>
      </c>
      <c r="G1343" s="92">
        <v>400000000</v>
      </c>
    </row>
    <row r="1344" spans="1:7" x14ac:dyDescent="0.2">
      <c r="A1344" s="7" t="s">
        <v>2308</v>
      </c>
      <c r="B1344" s="89" t="s">
        <v>195</v>
      </c>
      <c r="C1344" s="90" t="s">
        <v>2309</v>
      </c>
      <c r="D1344" s="89">
        <v>2</v>
      </c>
      <c r="E1344" s="91" t="s">
        <v>106</v>
      </c>
      <c r="F1344" s="92">
        <v>200000000</v>
      </c>
      <c r="G1344" s="92">
        <v>400000000</v>
      </c>
    </row>
    <row r="1345" spans="1:7" ht="15" x14ac:dyDescent="0.2">
      <c r="A1345" s="7" t="s">
        <v>2310</v>
      </c>
      <c r="B1345" s="101" t="s">
        <v>2311</v>
      </c>
      <c r="C1345" s="102" t="s">
        <v>2312</v>
      </c>
      <c r="D1345" s="101"/>
      <c r="E1345" s="103"/>
      <c r="F1345" s="104"/>
      <c r="G1345" s="104">
        <v>2400000000</v>
      </c>
    </row>
    <row r="1346" spans="1:7" x14ac:dyDescent="0.2">
      <c r="A1346" s="7" t="s">
        <v>2313</v>
      </c>
      <c r="B1346" s="89" t="s">
        <v>2314</v>
      </c>
      <c r="C1346" s="90" t="s">
        <v>2315</v>
      </c>
      <c r="D1346" s="89"/>
      <c r="E1346" s="91"/>
      <c r="F1346" s="92"/>
      <c r="G1346" s="92">
        <v>2400000000</v>
      </c>
    </row>
    <row r="1347" spans="1:7" ht="45" x14ac:dyDescent="0.2">
      <c r="A1347" s="7" t="s">
        <v>2316</v>
      </c>
      <c r="B1347" s="93" t="s">
        <v>826</v>
      </c>
      <c r="C1347" s="94" t="s">
        <v>2317</v>
      </c>
      <c r="D1347" s="93"/>
      <c r="E1347" s="95"/>
      <c r="F1347" s="96"/>
      <c r="G1347" s="96">
        <v>600000000</v>
      </c>
    </row>
    <row r="1348" spans="1:7" ht="45" x14ac:dyDescent="0.2">
      <c r="A1348" s="7" t="s">
        <v>2318</v>
      </c>
      <c r="B1348" s="97" t="s">
        <v>8</v>
      </c>
      <c r="C1348" s="98" t="s">
        <v>2319</v>
      </c>
      <c r="D1348" s="97"/>
      <c r="E1348" s="99"/>
      <c r="F1348" s="100"/>
      <c r="G1348" s="100">
        <v>600000000</v>
      </c>
    </row>
    <row r="1349" spans="1:7" ht="15" x14ac:dyDescent="0.2">
      <c r="A1349" s="7" t="s">
        <v>2320</v>
      </c>
      <c r="B1349" s="78" t="s">
        <v>503</v>
      </c>
      <c r="C1349" s="79" t="s">
        <v>7</v>
      </c>
      <c r="D1349" s="78"/>
      <c r="E1349" s="80"/>
      <c r="F1349" s="81"/>
      <c r="G1349" s="81">
        <v>34200000</v>
      </c>
    </row>
    <row r="1350" spans="1:7" ht="28.5" x14ac:dyDescent="0.2">
      <c r="A1350" s="7" t="s">
        <v>2321</v>
      </c>
      <c r="B1350" s="89" t="s">
        <v>195</v>
      </c>
      <c r="C1350" s="90" t="s">
        <v>2322</v>
      </c>
      <c r="D1350" s="89">
        <v>200</v>
      </c>
      <c r="E1350" s="91" t="s">
        <v>2323</v>
      </c>
      <c r="F1350" s="92">
        <v>121000</v>
      </c>
      <c r="G1350" s="92">
        <v>24200000</v>
      </c>
    </row>
    <row r="1351" spans="1:7" x14ac:dyDescent="0.2">
      <c r="A1351" s="7" t="s">
        <v>2324</v>
      </c>
      <c r="B1351" s="89" t="s">
        <v>195</v>
      </c>
      <c r="C1351" s="90" t="s">
        <v>1620</v>
      </c>
      <c r="D1351" s="89">
        <v>10</v>
      </c>
      <c r="E1351" s="91" t="s">
        <v>106</v>
      </c>
      <c r="F1351" s="92">
        <v>1000000</v>
      </c>
      <c r="G1351" s="92">
        <v>10000000</v>
      </c>
    </row>
    <row r="1352" spans="1:7" ht="15" x14ac:dyDescent="0.2">
      <c r="A1352" s="7" t="s">
        <v>2325</v>
      </c>
      <c r="B1352" s="78" t="s">
        <v>522</v>
      </c>
      <c r="C1352" s="79" t="s">
        <v>30</v>
      </c>
      <c r="D1352" s="78"/>
      <c r="E1352" s="80"/>
      <c r="F1352" s="81"/>
      <c r="G1352" s="81">
        <v>3000000</v>
      </c>
    </row>
    <row r="1353" spans="1:7" x14ac:dyDescent="0.2">
      <c r="A1353" s="7" t="s">
        <v>2326</v>
      </c>
      <c r="B1353" s="89" t="s">
        <v>195</v>
      </c>
      <c r="C1353" s="90" t="s">
        <v>2327</v>
      </c>
      <c r="D1353" s="89">
        <v>5</v>
      </c>
      <c r="E1353" s="91" t="s">
        <v>25</v>
      </c>
      <c r="F1353" s="92">
        <v>300000</v>
      </c>
      <c r="G1353" s="92">
        <v>1500000</v>
      </c>
    </row>
    <row r="1354" spans="1:7" x14ac:dyDescent="0.2">
      <c r="A1354" s="7" t="s">
        <v>2328</v>
      </c>
      <c r="B1354" s="89" t="s">
        <v>195</v>
      </c>
      <c r="C1354" s="90" t="s">
        <v>2329</v>
      </c>
      <c r="D1354" s="89">
        <v>5</v>
      </c>
      <c r="E1354" s="91" t="s">
        <v>25</v>
      </c>
      <c r="F1354" s="92">
        <v>300000</v>
      </c>
      <c r="G1354" s="92">
        <v>1500000</v>
      </c>
    </row>
    <row r="1355" spans="1:7" ht="15" x14ac:dyDescent="0.2">
      <c r="A1355" s="7" t="s">
        <v>2330</v>
      </c>
      <c r="B1355" s="78" t="s">
        <v>537</v>
      </c>
      <c r="C1355" s="79" t="s">
        <v>64</v>
      </c>
      <c r="D1355" s="78"/>
      <c r="E1355" s="80"/>
      <c r="F1355" s="81"/>
      <c r="G1355" s="81">
        <v>20000000</v>
      </c>
    </row>
    <row r="1356" spans="1:7" x14ac:dyDescent="0.2">
      <c r="A1356" s="7" t="s">
        <v>2331</v>
      </c>
      <c r="B1356" s="89" t="s">
        <v>195</v>
      </c>
      <c r="C1356" s="90" t="s">
        <v>620</v>
      </c>
      <c r="D1356" s="89">
        <v>10</v>
      </c>
      <c r="E1356" s="91" t="s">
        <v>106</v>
      </c>
      <c r="F1356" s="92">
        <v>1000000</v>
      </c>
      <c r="G1356" s="92">
        <v>10000000</v>
      </c>
    </row>
    <row r="1357" spans="1:7" x14ac:dyDescent="0.2">
      <c r="A1357" s="7" t="s">
        <v>2332</v>
      </c>
      <c r="B1357" s="89" t="s">
        <v>195</v>
      </c>
      <c r="C1357" s="90" t="s">
        <v>619</v>
      </c>
      <c r="D1357" s="89">
        <v>10</v>
      </c>
      <c r="E1357" s="91" t="s">
        <v>106</v>
      </c>
      <c r="F1357" s="92">
        <v>1000000</v>
      </c>
      <c r="G1357" s="92">
        <v>10000000</v>
      </c>
    </row>
    <row r="1358" spans="1:7" ht="15" x14ac:dyDescent="0.2">
      <c r="A1358" s="7" t="s">
        <v>2333</v>
      </c>
      <c r="B1358" s="78" t="s">
        <v>516</v>
      </c>
      <c r="C1358" s="79" t="s">
        <v>11</v>
      </c>
      <c r="D1358" s="78"/>
      <c r="E1358" s="80"/>
      <c r="F1358" s="81"/>
      <c r="G1358" s="81">
        <v>42000000</v>
      </c>
    </row>
    <row r="1359" spans="1:7" x14ac:dyDescent="0.2">
      <c r="A1359" s="7" t="s">
        <v>2334</v>
      </c>
      <c r="B1359" s="89" t="s">
        <v>195</v>
      </c>
      <c r="C1359" s="90" t="s">
        <v>2335</v>
      </c>
      <c r="D1359" s="89">
        <v>24</v>
      </c>
      <c r="E1359" s="91" t="s">
        <v>54</v>
      </c>
      <c r="F1359" s="92">
        <v>1000000</v>
      </c>
      <c r="G1359" s="92">
        <v>24000000</v>
      </c>
    </row>
    <row r="1360" spans="1:7" x14ac:dyDescent="0.2">
      <c r="A1360" s="7" t="s">
        <v>2336</v>
      </c>
      <c r="B1360" s="89" t="s">
        <v>195</v>
      </c>
      <c r="C1360" s="90" t="s">
        <v>2337</v>
      </c>
      <c r="D1360" s="89">
        <v>20</v>
      </c>
      <c r="E1360" s="91" t="s">
        <v>54</v>
      </c>
      <c r="F1360" s="92">
        <v>900000</v>
      </c>
      <c r="G1360" s="92">
        <v>18000000</v>
      </c>
    </row>
    <row r="1361" spans="1:7" ht="15" x14ac:dyDescent="0.2">
      <c r="A1361" s="7" t="s">
        <v>2338</v>
      </c>
      <c r="B1361" s="78" t="s">
        <v>517</v>
      </c>
      <c r="C1361" s="79" t="s">
        <v>22</v>
      </c>
      <c r="D1361" s="78"/>
      <c r="E1361" s="80"/>
      <c r="F1361" s="81"/>
      <c r="G1361" s="81">
        <v>80000000</v>
      </c>
    </row>
    <row r="1362" spans="1:7" x14ac:dyDescent="0.2">
      <c r="A1362" s="7" t="s">
        <v>2339</v>
      </c>
      <c r="B1362" s="89" t="s">
        <v>195</v>
      </c>
      <c r="C1362" s="90" t="s">
        <v>2340</v>
      </c>
      <c r="D1362" s="89">
        <v>10</v>
      </c>
      <c r="E1362" s="91" t="s">
        <v>25</v>
      </c>
      <c r="F1362" s="92">
        <v>4000000</v>
      </c>
      <c r="G1362" s="92">
        <v>40000000</v>
      </c>
    </row>
    <row r="1363" spans="1:7" x14ac:dyDescent="0.2">
      <c r="A1363" s="7" t="s">
        <v>2341</v>
      </c>
      <c r="B1363" s="89" t="s">
        <v>195</v>
      </c>
      <c r="C1363" s="90" t="s">
        <v>2342</v>
      </c>
      <c r="D1363" s="89">
        <v>10</v>
      </c>
      <c r="E1363" s="91" t="s">
        <v>25</v>
      </c>
      <c r="F1363" s="92">
        <v>4000000</v>
      </c>
      <c r="G1363" s="92">
        <v>40000000</v>
      </c>
    </row>
    <row r="1364" spans="1:7" ht="15" x14ac:dyDescent="0.2">
      <c r="A1364" s="7" t="s">
        <v>2343</v>
      </c>
      <c r="B1364" s="78" t="s">
        <v>513</v>
      </c>
      <c r="C1364" s="79" t="s">
        <v>19</v>
      </c>
      <c r="D1364" s="78"/>
      <c r="E1364" s="80"/>
      <c r="F1364" s="81"/>
      <c r="G1364" s="81">
        <v>410000000</v>
      </c>
    </row>
    <row r="1365" spans="1:7" x14ac:dyDescent="0.2">
      <c r="A1365" s="7" t="s">
        <v>2344</v>
      </c>
      <c r="B1365" s="89" t="s">
        <v>195</v>
      </c>
      <c r="C1365" s="90" t="s">
        <v>2345</v>
      </c>
      <c r="D1365" s="89">
        <v>10</v>
      </c>
      <c r="E1365" s="91" t="s">
        <v>25</v>
      </c>
      <c r="F1365" s="92">
        <v>3000000</v>
      </c>
      <c r="G1365" s="92">
        <v>30000000</v>
      </c>
    </row>
    <row r="1366" spans="1:7" x14ac:dyDescent="0.2">
      <c r="A1366" s="7" t="s">
        <v>2346</v>
      </c>
      <c r="B1366" s="89" t="s">
        <v>195</v>
      </c>
      <c r="C1366" s="90" t="s">
        <v>2347</v>
      </c>
      <c r="D1366" s="89">
        <v>10</v>
      </c>
      <c r="E1366" s="91" t="s">
        <v>25</v>
      </c>
      <c r="F1366" s="92">
        <v>5000000</v>
      </c>
      <c r="G1366" s="92">
        <v>50000000</v>
      </c>
    </row>
    <row r="1367" spans="1:7" x14ac:dyDescent="0.2">
      <c r="A1367" s="7" t="s">
        <v>2348</v>
      </c>
      <c r="B1367" s="89" t="s">
        <v>195</v>
      </c>
      <c r="C1367" s="90" t="s">
        <v>2349</v>
      </c>
      <c r="D1367" s="89">
        <v>10</v>
      </c>
      <c r="E1367" s="91" t="s">
        <v>25</v>
      </c>
      <c r="F1367" s="92">
        <v>3000000</v>
      </c>
      <c r="G1367" s="92">
        <v>30000000</v>
      </c>
    </row>
    <row r="1368" spans="1:7" ht="28.5" x14ac:dyDescent="0.2">
      <c r="A1368" s="7" t="s">
        <v>2350</v>
      </c>
      <c r="B1368" s="89" t="s">
        <v>195</v>
      </c>
      <c r="C1368" s="90" t="s">
        <v>2351</v>
      </c>
      <c r="D1368" s="89">
        <v>10</v>
      </c>
      <c r="E1368" s="91" t="s">
        <v>25</v>
      </c>
      <c r="F1368" s="92">
        <v>5000000</v>
      </c>
      <c r="G1368" s="92">
        <v>50000000</v>
      </c>
    </row>
    <row r="1369" spans="1:7" x14ac:dyDescent="0.2">
      <c r="A1369" s="7" t="s">
        <v>2352</v>
      </c>
      <c r="B1369" s="89" t="s">
        <v>195</v>
      </c>
      <c r="C1369" s="90" t="s">
        <v>2353</v>
      </c>
      <c r="D1369" s="89">
        <v>5</v>
      </c>
      <c r="E1369" s="91" t="s">
        <v>25</v>
      </c>
      <c r="F1369" s="92">
        <v>5000000</v>
      </c>
      <c r="G1369" s="92">
        <v>25000000</v>
      </c>
    </row>
    <row r="1370" spans="1:7" x14ac:dyDescent="0.2">
      <c r="A1370" s="7" t="s">
        <v>2354</v>
      </c>
      <c r="B1370" s="89" t="s">
        <v>195</v>
      </c>
      <c r="C1370" s="90" t="s">
        <v>2355</v>
      </c>
      <c r="D1370" s="89">
        <v>20</v>
      </c>
      <c r="E1370" s="91" t="s">
        <v>25</v>
      </c>
      <c r="F1370" s="92">
        <v>5000000</v>
      </c>
      <c r="G1370" s="92">
        <v>100000000</v>
      </c>
    </row>
    <row r="1371" spans="1:7" x14ac:dyDescent="0.2">
      <c r="A1371" s="7" t="s">
        <v>2356</v>
      </c>
      <c r="B1371" s="89" t="s">
        <v>195</v>
      </c>
      <c r="C1371" s="90" t="s">
        <v>2357</v>
      </c>
      <c r="D1371" s="89">
        <v>5</v>
      </c>
      <c r="E1371" s="91" t="s">
        <v>25</v>
      </c>
      <c r="F1371" s="92">
        <v>5000000</v>
      </c>
      <c r="G1371" s="92">
        <v>25000000</v>
      </c>
    </row>
    <row r="1372" spans="1:7" ht="28.5" x14ac:dyDescent="0.2">
      <c r="A1372" s="7" t="s">
        <v>2358</v>
      </c>
      <c r="B1372" s="89" t="s">
        <v>195</v>
      </c>
      <c r="C1372" s="90" t="s">
        <v>2359</v>
      </c>
      <c r="D1372" s="89">
        <v>5</v>
      </c>
      <c r="E1372" s="91" t="s">
        <v>25</v>
      </c>
      <c r="F1372" s="92">
        <v>5000000</v>
      </c>
      <c r="G1372" s="92">
        <v>25000000</v>
      </c>
    </row>
    <row r="1373" spans="1:7" x14ac:dyDescent="0.2">
      <c r="A1373" s="7" t="s">
        <v>2360</v>
      </c>
      <c r="B1373" s="89" t="s">
        <v>195</v>
      </c>
      <c r="C1373" s="90" t="s">
        <v>2361</v>
      </c>
      <c r="D1373" s="89">
        <v>5</v>
      </c>
      <c r="E1373" s="91" t="s">
        <v>25</v>
      </c>
      <c r="F1373" s="92">
        <v>5000000</v>
      </c>
      <c r="G1373" s="92">
        <v>25000000</v>
      </c>
    </row>
    <row r="1374" spans="1:7" x14ac:dyDescent="0.2">
      <c r="A1374" s="7" t="s">
        <v>2362</v>
      </c>
      <c r="B1374" s="89" t="s">
        <v>195</v>
      </c>
      <c r="C1374" s="90" t="s">
        <v>2363</v>
      </c>
      <c r="D1374" s="89">
        <v>10</v>
      </c>
      <c r="E1374" s="91" t="s">
        <v>25</v>
      </c>
      <c r="F1374" s="92">
        <v>5000000</v>
      </c>
      <c r="G1374" s="92">
        <v>50000000</v>
      </c>
    </row>
    <row r="1375" spans="1:7" ht="30" x14ac:dyDescent="0.2">
      <c r="A1375" s="7" t="s">
        <v>2364</v>
      </c>
      <c r="B1375" s="78" t="s">
        <v>509</v>
      </c>
      <c r="C1375" s="79" t="s">
        <v>14</v>
      </c>
      <c r="D1375" s="78"/>
      <c r="E1375" s="80"/>
      <c r="F1375" s="81"/>
      <c r="G1375" s="81">
        <v>10800000</v>
      </c>
    </row>
    <row r="1376" spans="1:7" ht="28.5" x14ac:dyDescent="0.2">
      <c r="A1376" s="7" t="s">
        <v>2365</v>
      </c>
      <c r="B1376" s="89" t="s">
        <v>195</v>
      </c>
      <c r="C1376" s="90" t="s">
        <v>2366</v>
      </c>
      <c r="D1376" s="89">
        <v>30</v>
      </c>
      <c r="E1376" s="91" t="s">
        <v>25</v>
      </c>
      <c r="F1376" s="92">
        <v>210000</v>
      </c>
      <c r="G1376" s="92">
        <v>6300000</v>
      </c>
    </row>
    <row r="1377" spans="1:7" x14ac:dyDescent="0.2">
      <c r="A1377" s="7" t="s">
        <v>2367</v>
      </c>
      <c r="B1377" s="89" t="s">
        <v>195</v>
      </c>
      <c r="C1377" s="90" t="s">
        <v>630</v>
      </c>
      <c r="D1377" s="89">
        <v>30</v>
      </c>
      <c r="E1377" s="91" t="s">
        <v>25</v>
      </c>
      <c r="F1377" s="92">
        <v>150000</v>
      </c>
      <c r="G1377" s="92">
        <v>4500000</v>
      </c>
    </row>
    <row r="1378" spans="1:7" ht="30" x14ac:dyDescent="0.2">
      <c r="A1378" s="7" t="s">
        <v>2368</v>
      </c>
      <c r="B1378" s="93" t="s">
        <v>1102</v>
      </c>
      <c r="C1378" s="94" t="s">
        <v>2369</v>
      </c>
      <c r="D1378" s="93"/>
      <c r="E1378" s="95"/>
      <c r="F1378" s="96"/>
      <c r="G1378" s="96">
        <v>1200000000</v>
      </c>
    </row>
    <row r="1379" spans="1:7" ht="30" x14ac:dyDescent="0.2">
      <c r="A1379" s="7" t="s">
        <v>2370</v>
      </c>
      <c r="B1379" s="97" t="s">
        <v>8</v>
      </c>
      <c r="C1379" s="98" t="s">
        <v>156</v>
      </c>
      <c r="D1379" s="97"/>
      <c r="E1379" s="99"/>
      <c r="F1379" s="100"/>
      <c r="G1379" s="100">
        <v>1116000000</v>
      </c>
    </row>
    <row r="1380" spans="1:7" ht="15" x14ac:dyDescent="0.2">
      <c r="A1380" s="7" t="s">
        <v>2371</v>
      </c>
      <c r="B1380" s="78" t="s">
        <v>503</v>
      </c>
      <c r="C1380" s="79" t="s">
        <v>7</v>
      </c>
      <c r="D1380" s="78"/>
      <c r="E1380" s="80"/>
      <c r="F1380" s="81"/>
      <c r="G1380" s="81">
        <v>48000000</v>
      </c>
    </row>
    <row r="1381" spans="1:7" x14ac:dyDescent="0.2">
      <c r="A1381" s="7" t="s">
        <v>2372</v>
      </c>
      <c r="B1381" s="89" t="s">
        <v>195</v>
      </c>
      <c r="C1381" s="90" t="s">
        <v>2373</v>
      </c>
      <c r="D1381" s="89">
        <v>20</v>
      </c>
      <c r="E1381" s="91" t="s">
        <v>106</v>
      </c>
      <c r="F1381" s="92">
        <v>1000000</v>
      </c>
      <c r="G1381" s="92">
        <v>20000000</v>
      </c>
    </row>
    <row r="1382" spans="1:7" x14ac:dyDescent="0.2">
      <c r="A1382" s="7" t="s">
        <v>2374</v>
      </c>
      <c r="B1382" s="89" t="s">
        <v>195</v>
      </c>
      <c r="C1382" s="90" t="s">
        <v>2375</v>
      </c>
      <c r="D1382" s="89">
        <v>100</v>
      </c>
      <c r="E1382" s="91" t="s">
        <v>2323</v>
      </c>
      <c r="F1382" s="92">
        <v>240000</v>
      </c>
      <c r="G1382" s="92">
        <v>24000000</v>
      </c>
    </row>
    <row r="1383" spans="1:7" x14ac:dyDescent="0.2">
      <c r="A1383" s="7" t="s">
        <v>2376</v>
      </c>
      <c r="B1383" s="89" t="s">
        <v>195</v>
      </c>
      <c r="C1383" s="90" t="s">
        <v>2377</v>
      </c>
      <c r="D1383" s="89">
        <v>4</v>
      </c>
      <c r="E1383" s="91" t="s">
        <v>106</v>
      </c>
      <c r="F1383" s="92">
        <v>1000000</v>
      </c>
      <c r="G1383" s="92">
        <v>4000000</v>
      </c>
    </row>
    <row r="1384" spans="1:7" ht="30" x14ac:dyDescent="0.2">
      <c r="A1384" s="7" t="s">
        <v>2378</v>
      </c>
      <c r="B1384" s="78" t="s">
        <v>515</v>
      </c>
      <c r="C1384" s="79" t="s">
        <v>642</v>
      </c>
      <c r="D1384" s="78"/>
      <c r="E1384" s="80"/>
      <c r="F1384" s="81"/>
      <c r="G1384" s="81">
        <v>18000000</v>
      </c>
    </row>
    <row r="1385" spans="1:7" ht="28.5" x14ac:dyDescent="0.2">
      <c r="A1385" s="7" t="s">
        <v>2379</v>
      </c>
      <c r="B1385" s="89" t="s">
        <v>195</v>
      </c>
      <c r="C1385" s="90" t="s">
        <v>2380</v>
      </c>
      <c r="D1385" s="89">
        <v>12</v>
      </c>
      <c r="E1385" s="91" t="s">
        <v>106</v>
      </c>
      <c r="F1385" s="92">
        <v>300000</v>
      </c>
      <c r="G1385" s="92">
        <v>3600000</v>
      </c>
    </row>
    <row r="1386" spans="1:7" ht="28.5" x14ac:dyDescent="0.2">
      <c r="A1386" s="7" t="s">
        <v>2381</v>
      </c>
      <c r="B1386" s="89" t="s">
        <v>195</v>
      </c>
      <c r="C1386" s="90" t="s">
        <v>2382</v>
      </c>
      <c r="D1386" s="89">
        <v>72</v>
      </c>
      <c r="E1386" s="91" t="s">
        <v>25</v>
      </c>
      <c r="F1386" s="92">
        <v>200000</v>
      </c>
      <c r="G1386" s="92">
        <v>14400000</v>
      </c>
    </row>
    <row r="1387" spans="1:7" ht="15" x14ac:dyDescent="0.2">
      <c r="A1387" s="7" t="s">
        <v>2383</v>
      </c>
      <c r="B1387" s="78" t="s">
        <v>537</v>
      </c>
      <c r="C1387" s="79" t="s">
        <v>64</v>
      </c>
      <c r="D1387" s="78"/>
      <c r="E1387" s="80"/>
      <c r="F1387" s="81"/>
      <c r="G1387" s="81">
        <v>40000000</v>
      </c>
    </row>
    <row r="1388" spans="1:7" x14ac:dyDescent="0.2">
      <c r="A1388" s="7" t="s">
        <v>2384</v>
      </c>
      <c r="B1388" s="89" t="s">
        <v>195</v>
      </c>
      <c r="C1388" s="90" t="s">
        <v>619</v>
      </c>
      <c r="D1388" s="89">
        <v>20</v>
      </c>
      <c r="E1388" s="91" t="s">
        <v>106</v>
      </c>
      <c r="F1388" s="92">
        <v>1000000</v>
      </c>
      <c r="G1388" s="92">
        <v>20000000</v>
      </c>
    </row>
    <row r="1389" spans="1:7" x14ac:dyDescent="0.2">
      <c r="A1389" s="7" t="s">
        <v>2385</v>
      </c>
      <c r="B1389" s="89" t="s">
        <v>195</v>
      </c>
      <c r="C1389" s="90" t="s">
        <v>2386</v>
      </c>
      <c r="D1389" s="89">
        <v>20</v>
      </c>
      <c r="E1389" s="91" t="s">
        <v>106</v>
      </c>
      <c r="F1389" s="92">
        <v>1000000</v>
      </c>
      <c r="G1389" s="92">
        <v>20000000</v>
      </c>
    </row>
    <row r="1390" spans="1:7" ht="15" x14ac:dyDescent="0.2">
      <c r="A1390" s="7" t="s">
        <v>2387</v>
      </c>
      <c r="B1390" s="78" t="s">
        <v>516</v>
      </c>
      <c r="C1390" s="79" t="s">
        <v>11</v>
      </c>
      <c r="D1390" s="78"/>
      <c r="E1390" s="80"/>
      <c r="F1390" s="81"/>
      <c r="G1390" s="81">
        <v>18000000</v>
      </c>
    </row>
    <row r="1391" spans="1:7" x14ac:dyDescent="0.2">
      <c r="A1391" s="7" t="s">
        <v>195</v>
      </c>
      <c r="B1391" s="89" t="s">
        <v>195</v>
      </c>
      <c r="C1391" s="90" t="s">
        <v>2388</v>
      </c>
      <c r="D1391" s="89">
        <v>0</v>
      </c>
      <c r="E1391" s="91" t="s">
        <v>195</v>
      </c>
      <c r="F1391" s="92">
        <v>0</v>
      </c>
      <c r="G1391" s="92">
        <v>0</v>
      </c>
    </row>
    <row r="1392" spans="1:7" x14ac:dyDescent="0.2">
      <c r="A1392" s="7" t="s">
        <v>2389</v>
      </c>
      <c r="B1392" s="89" t="s">
        <v>195</v>
      </c>
      <c r="C1392" s="90" t="s">
        <v>2390</v>
      </c>
      <c r="D1392" s="89">
        <v>20</v>
      </c>
      <c r="E1392" s="91" t="s">
        <v>54</v>
      </c>
      <c r="F1392" s="92">
        <v>900000</v>
      </c>
      <c r="G1392" s="92">
        <v>18000000</v>
      </c>
    </row>
    <row r="1393" spans="1:7" ht="15" x14ac:dyDescent="0.2">
      <c r="A1393" s="7" t="s">
        <v>2391</v>
      </c>
      <c r="B1393" s="78" t="s">
        <v>518</v>
      </c>
      <c r="C1393" s="79" t="s">
        <v>24</v>
      </c>
      <c r="D1393" s="78"/>
      <c r="E1393" s="80"/>
      <c r="F1393" s="81"/>
      <c r="G1393" s="81">
        <v>24000000</v>
      </c>
    </row>
    <row r="1394" spans="1:7" ht="28.5" x14ac:dyDescent="0.2">
      <c r="A1394" s="7" t="s">
        <v>2392</v>
      </c>
      <c r="B1394" s="89" t="s">
        <v>195</v>
      </c>
      <c r="C1394" s="90" t="s">
        <v>2393</v>
      </c>
      <c r="D1394" s="89">
        <v>96</v>
      </c>
      <c r="E1394" s="91" t="s">
        <v>25</v>
      </c>
      <c r="F1394" s="92">
        <v>250000</v>
      </c>
      <c r="G1394" s="92">
        <v>24000000</v>
      </c>
    </row>
    <row r="1395" spans="1:7" ht="15" x14ac:dyDescent="0.2">
      <c r="A1395" s="7" t="s">
        <v>2394</v>
      </c>
      <c r="B1395" s="78" t="s">
        <v>513</v>
      </c>
      <c r="C1395" s="79" t="s">
        <v>19</v>
      </c>
      <c r="D1395" s="78"/>
      <c r="E1395" s="80"/>
      <c r="F1395" s="81"/>
      <c r="G1395" s="81">
        <v>957200000</v>
      </c>
    </row>
    <row r="1396" spans="1:7" x14ac:dyDescent="0.2">
      <c r="A1396" s="7" t="s">
        <v>195</v>
      </c>
      <c r="B1396" s="89" t="s">
        <v>195</v>
      </c>
      <c r="C1396" s="90" t="s">
        <v>2395</v>
      </c>
      <c r="D1396" s="89">
        <v>0</v>
      </c>
      <c r="E1396" s="91" t="s">
        <v>195</v>
      </c>
      <c r="F1396" s="92">
        <v>0</v>
      </c>
      <c r="G1396" s="92">
        <v>0</v>
      </c>
    </row>
    <row r="1397" spans="1:7" x14ac:dyDescent="0.2">
      <c r="A1397" s="7" t="s">
        <v>2396</v>
      </c>
      <c r="B1397" s="89" t="s">
        <v>195</v>
      </c>
      <c r="C1397" s="90" t="s">
        <v>2397</v>
      </c>
      <c r="D1397" s="89">
        <v>10</v>
      </c>
      <c r="E1397" s="91" t="s">
        <v>25</v>
      </c>
      <c r="F1397" s="92">
        <v>5000000</v>
      </c>
      <c r="G1397" s="92">
        <v>50000000</v>
      </c>
    </row>
    <row r="1398" spans="1:7" x14ac:dyDescent="0.2">
      <c r="A1398" s="7" t="s">
        <v>195</v>
      </c>
      <c r="B1398" s="89" t="s">
        <v>195</v>
      </c>
      <c r="C1398" s="90" t="s">
        <v>2388</v>
      </c>
      <c r="D1398" s="89">
        <v>0</v>
      </c>
      <c r="E1398" s="91" t="s">
        <v>195</v>
      </c>
      <c r="F1398" s="92">
        <v>0</v>
      </c>
      <c r="G1398" s="92">
        <v>0</v>
      </c>
    </row>
    <row r="1399" spans="1:7" ht="28.5" x14ac:dyDescent="0.2">
      <c r="A1399" s="7" t="s">
        <v>2398</v>
      </c>
      <c r="B1399" s="89" t="s">
        <v>195</v>
      </c>
      <c r="C1399" s="90" t="s">
        <v>2399</v>
      </c>
      <c r="D1399" s="89">
        <v>224</v>
      </c>
      <c r="E1399" s="91" t="s">
        <v>25</v>
      </c>
      <c r="F1399" s="92">
        <v>4050000</v>
      </c>
      <c r="G1399" s="92">
        <v>907200000</v>
      </c>
    </row>
    <row r="1400" spans="1:7" ht="30" x14ac:dyDescent="0.2">
      <c r="A1400" s="7" t="s">
        <v>2400</v>
      </c>
      <c r="B1400" s="78" t="s">
        <v>509</v>
      </c>
      <c r="C1400" s="79" t="s">
        <v>14</v>
      </c>
      <c r="D1400" s="78"/>
      <c r="E1400" s="80"/>
      <c r="F1400" s="81"/>
      <c r="G1400" s="81">
        <v>10800000</v>
      </c>
    </row>
    <row r="1401" spans="1:7" x14ac:dyDescent="0.2">
      <c r="A1401" s="7" t="s">
        <v>195</v>
      </c>
      <c r="B1401" s="89" t="s">
        <v>195</v>
      </c>
      <c r="C1401" s="90" t="s">
        <v>2388</v>
      </c>
      <c r="D1401" s="89">
        <v>0</v>
      </c>
      <c r="E1401" s="91" t="s">
        <v>195</v>
      </c>
      <c r="F1401" s="92">
        <v>0</v>
      </c>
      <c r="G1401" s="92">
        <v>0</v>
      </c>
    </row>
    <row r="1402" spans="1:7" x14ac:dyDescent="0.2">
      <c r="A1402" s="7" t="s">
        <v>2401</v>
      </c>
      <c r="B1402" s="89" t="s">
        <v>195</v>
      </c>
      <c r="C1402" s="90" t="s">
        <v>2402</v>
      </c>
      <c r="D1402" s="89">
        <v>30</v>
      </c>
      <c r="E1402" s="91" t="s">
        <v>73</v>
      </c>
      <c r="F1402" s="92">
        <v>210000</v>
      </c>
      <c r="G1402" s="92">
        <v>6300000</v>
      </c>
    </row>
    <row r="1403" spans="1:7" x14ac:dyDescent="0.2">
      <c r="A1403" s="7" t="s">
        <v>2403</v>
      </c>
      <c r="B1403" s="89" t="s">
        <v>195</v>
      </c>
      <c r="C1403" s="90" t="s">
        <v>622</v>
      </c>
      <c r="D1403" s="89">
        <v>30</v>
      </c>
      <c r="E1403" s="91" t="s">
        <v>73</v>
      </c>
      <c r="F1403" s="92">
        <v>150000</v>
      </c>
      <c r="G1403" s="92">
        <v>4500000</v>
      </c>
    </row>
    <row r="1404" spans="1:7" ht="30" x14ac:dyDescent="0.2">
      <c r="A1404" s="7" t="s">
        <v>2404</v>
      </c>
      <c r="B1404" s="97" t="s">
        <v>511</v>
      </c>
      <c r="C1404" s="98" t="s">
        <v>157</v>
      </c>
      <c r="D1404" s="97"/>
      <c r="E1404" s="99"/>
      <c r="F1404" s="100"/>
      <c r="G1404" s="100">
        <v>84000000</v>
      </c>
    </row>
    <row r="1405" spans="1:7" ht="15" x14ac:dyDescent="0.2">
      <c r="A1405" s="7" t="s">
        <v>2405</v>
      </c>
      <c r="B1405" s="78" t="s">
        <v>503</v>
      </c>
      <c r="C1405" s="79" t="s">
        <v>7</v>
      </c>
      <c r="D1405" s="78"/>
      <c r="E1405" s="80"/>
      <c r="F1405" s="81"/>
      <c r="G1405" s="81">
        <v>8000000</v>
      </c>
    </row>
    <row r="1406" spans="1:7" x14ac:dyDescent="0.2">
      <c r="A1406" s="7" t="s">
        <v>2406</v>
      </c>
      <c r="B1406" s="89" t="s">
        <v>195</v>
      </c>
      <c r="C1406" s="90" t="s">
        <v>1620</v>
      </c>
      <c r="D1406" s="89">
        <v>4</v>
      </c>
      <c r="E1406" s="91" t="s">
        <v>106</v>
      </c>
      <c r="F1406" s="92">
        <v>1000000</v>
      </c>
      <c r="G1406" s="92">
        <v>4000000</v>
      </c>
    </row>
    <row r="1407" spans="1:7" x14ac:dyDescent="0.2">
      <c r="A1407" s="7" t="s">
        <v>2407</v>
      </c>
      <c r="B1407" s="89" t="s">
        <v>195</v>
      </c>
      <c r="C1407" s="90" t="s">
        <v>2408</v>
      </c>
      <c r="D1407" s="89">
        <v>4</v>
      </c>
      <c r="E1407" s="91" t="s">
        <v>106</v>
      </c>
      <c r="F1407" s="92">
        <v>1000000</v>
      </c>
      <c r="G1407" s="92">
        <v>4000000</v>
      </c>
    </row>
    <row r="1408" spans="1:7" ht="15" x14ac:dyDescent="0.2">
      <c r="A1408" s="7" t="s">
        <v>2409</v>
      </c>
      <c r="B1408" s="78" t="s">
        <v>537</v>
      </c>
      <c r="C1408" s="79" t="s">
        <v>64</v>
      </c>
      <c r="D1408" s="78"/>
      <c r="E1408" s="80"/>
      <c r="F1408" s="81"/>
      <c r="G1408" s="81">
        <v>16000000</v>
      </c>
    </row>
    <row r="1409" spans="1:7" x14ac:dyDescent="0.2">
      <c r="A1409" s="7" t="s">
        <v>2410</v>
      </c>
      <c r="B1409" s="89" t="s">
        <v>195</v>
      </c>
      <c r="C1409" s="90" t="s">
        <v>619</v>
      </c>
      <c r="D1409" s="89">
        <v>8</v>
      </c>
      <c r="E1409" s="91" t="s">
        <v>106</v>
      </c>
      <c r="F1409" s="92">
        <v>1000000</v>
      </c>
      <c r="G1409" s="92">
        <v>8000000</v>
      </c>
    </row>
    <row r="1410" spans="1:7" x14ac:dyDescent="0.2">
      <c r="A1410" s="7" t="s">
        <v>2411</v>
      </c>
      <c r="B1410" s="89" t="s">
        <v>195</v>
      </c>
      <c r="C1410" s="90" t="s">
        <v>1197</v>
      </c>
      <c r="D1410" s="89">
        <v>8</v>
      </c>
      <c r="E1410" s="91" t="s">
        <v>106</v>
      </c>
      <c r="F1410" s="92">
        <v>1000000</v>
      </c>
      <c r="G1410" s="92">
        <v>8000000</v>
      </c>
    </row>
    <row r="1411" spans="1:7" ht="15" x14ac:dyDescent="0.2">
      <c r="A1411" s="7" t="s">
        <v>2412</v>
      </c>
      <c r="B1411" s="78" t="s">
        <v>513</v>
      </c>
      <c r="C1411" s="79" t="s">
        <v>19</v>
      </c>
      <c r="D1411" s="78"/>
      <c r="E1411" s="80"/>
      <c r="F1411" s="81"/>
      <c r="G1411" s="81">
        <v>60000000</v>
      </c>
    </row>
    <row r="1412" spans="1:7" ht="28.5" x14ac:dyDescent="0.2">
      <c r="A1412" s="7" t="s">
        <v>2413</v>
      </c>
      <c r="B1412" s="89" t="s">
        <v>195</v>
      </c>
      <c r="C1412" s="90" t="s">
        <v>2414</v>
      </c>
      <c r="D1412" s="89">
        <v>12</v>
      </c>
      <c r="E1412" s="91" t="s">
        <v>25</v>
      </c>
      <c r="F1412" s="92">
        <v>5000000</v>
      </c>
      <c r="G1412" s="92">
        <v>60000000</v>
      </c>
    </row>
    <row r="1413" spans="1:7" ht="30" x14ac:dyDescent="0.2">
      <c r="A1413" s="7" t="s">
        <v>2415</v>
      </c>
      <c r="B1413" s="93" t="s">
        <v>1119</v>
      </c>
      <c r="C1413" s="94" t="s">
        <v>2416</v>
      </c>
      <c r="D1413" s="93"/>
      <c r="E1413" s="95"/>
      <c r="F1413" s="96"/>
      <c r="G1413" s="96">
        <v>600000000</v>
      </c>
    </row>
    <row r="1414" spans="1:7" ht="15" x14ac:dyDescent="0.2">
      <c r="A1414" s="7" t="s">
        <v>2417</v>
      </c>
      <c r="B1414" s="97" t="s">
        <v>8</v>
      </c>
      <c r="C1414" s="98" t="s">
        <v>2418</v>
      </c>
      <c r="D1414" s="97"/>
      <c r="E1414" s="99"/>
      <c r="F1414" s="100"/>
      <c r="G1414" s="100">
        <v>284000000</v>
      </c>
    </row>
    <row r="1415" spans="1:7" ht="15" x14ac:dyDescent="0.2">
      <c r="A1415" s="7" t="s">
        <v>2419</v>
      </c>
      <c r="B1415" s="78" t="s">
        <v>503</v>
      </c>
      <c r="C1415" s="79" t="s">
        <v>7</v>
      </c>
      <c r="D1415" s="78"/>
      <c r="E1415" s="80"/>
      <c r="F1415" s="81"/>
      <c r="G1415" s="81">
        <v>10000000</v>
      </c>
    </row>
    <row r="1416" spans="1:7" x14ac:dyDescent="0.2">
      <c r="A1416" s="7" t="s">
        <v>2420</v>
      </c>
      <c r="B1416" s="89" t="s">
        <v>195</v>
      </c>
      <c r="C1416" s="90" t="s">
        <v>2421</v>
      </c>
      <c r="D1416" s="89">
        <v>10</v>
      </c>
      <c r="E1416" s="91" t="s">
        <v>106</v>
      </c>
      <c r="F1416" s="92">
        <v>1000000</v>
      </c>
      <c r="G1416" s="92">
        <v>10000000</v>
      </c>
    </row>
    <row r="1417" spans="1:7" ht="15" x14ac:dyDescent="0.2">
      <c r="A1417" s="7" t="s">
        <v>2422</v>
      </c>
      <c r="B1417" s="78" t="s">
        <v>537</v>
      </c>
      <c r="C1417" s="79" t="s">
        <v>64</v>
      </c>
      <c r="D1417" s="78"/>
      <c r="E1417" s="80"/>
      <c r="F1417" s="81"/>
      <c r="G1417" s="81">
        <v>20000000</v>
      </c>
    </row>
    <row r="1418" spans="1:7" x14ac:dyDescent="0.2">
      <c r="A1418" s="7" t="s">
        <v>2423</v>
      </c>
      <c r="B1418" s="89" t="s">
        <v>195</v>
      </c>
      <c r="C1418" s="90" t="s">
        <v>619</v>
      </c>
      <c r="D1418" s="89">
        <v>10</v>
      </c>
      <c r="E1418" s="91" t="s">
        <v>106</v>
      </c>
      <c r="F1418" s="92">
        <v>1000000</v>
      </c>
      <c r="G1418" s="92">
        <v>10000000</v>
      </c>
    </row>
    <row r="1419" spans="1:7" x14ac:dyDescent="0.2">
      <c r="A1419" s="7" t="s">
        <v>2424</v>
      </c>
      <c r="B1419" s="89" t="s">
        <v>195</v>
      </c>
      <c r="C1419" s="90" t="s">
        <v>620</v>
      </c>
      <c r="D1419" s="89">
        <v>10</v>
      </c>
      <c r="E1419" s="91" t="s">
        <v>106</v>
      </c>
      <c r="F1419" s="92">
        <v>1000000</v>
      </c>
      <c r="G1419" s="92">
        <v>10000000</v>
      </c>
    </row>
    <row r="1420" spans="1:7" ht="15" x14ac:dyDescent="0.2">
      <c r="A1420" s="7" t="s">
        <v>2425</v>
      </c>
      <c r="B1420" s="78" t="s">
        <v>516</v>
      </c>
      <c r="C1420" s="79" t="s">
        <v>11</v>
      </c>
      <c r="D1420" s="78"/>
      <c r="E1420" s="80"/>
      <c r="F1420" s="81"/>
      <c r="G1420" s="81">
        <v>30000000</v>
      </c>
    </row>
    <row r="1421" spans="1:7" x14ac:dyDescent="0.2">
      <c r="A1421" s="7" t="s">
        <v>2426</v>
      </c>
      <c r="B1421" s="89" t="s">
        <v>195</v>
      </c>
      <c r="C1421" s="90" t="s">
        <v>2427</v>
      </c>
      <c r="D1421" s="89">
        <v>75</v>
      </c>
      <c r="E1421" s="91" t="s">
        <v>25</v>
      </c>
      <c r="F1421" s="92">
        <v>400000</v>
      </c>
      <c r="G1421" s="92">
        <v>30000000</v>
      </c>
    </row>
    <row r="1422" spans="1:7" ht="15" x14ac:dyDescent="0.2">
      <c r="A1422" s="7" t="s">
        <v>2428</v>
      </c>
      <c r="B1422" s="78" t="s">
        <v>517</v>
      </c>
      <c r="C1422" s="79" t="s">
        <v>22</v>
      </c>
      <c r="D1422" s="78"/>
      <c r="E1422" s="80"/>
      <c r="F1422" s="81"/>
      <c r="G1422" s="81">
        <v>40000000</v>
      </c>
    </row>
    <row r="1423" spans="1:7" ht="28.5" x14ac:dyDescent="0.2">
      <c r="A1423" s="7" t="s">
        <v>2429</v>
      </c>
      <c r="B1423" s="89" t="s">
        <v>195</v>
      </c>
      <c r="C1423" s="90" t="s">
        <v>2430</v>
      </c>
      <c r="D1423" s="89">
        <v>10</v>
      </c>
      <c r="E1423" s="91" t="s">
        <v>106</v>
      </c>
      <c r="F1423" s="92">
        <v>4000000</v>
      </c>
      <c r="G1423" s="92">
        <v>40000000</v>
      </c>
    </row>
    <row r="1424" spans="1:7" ht="15" x14ac:dyDescent="0.2">
      <c r="A1424" s="7" t="s">
        <v>2431</v>
      </c>
      <c r="B1424" s="78" t="s">
        <v>513</v>
      </c>
      <c r="C1424" s="79" t="s">
        <v>19</v>
      </c>
      <c r="D1424" s="78"/>
      <c r="E1424" s="80"/>
      <c r="F1424" s="81"/>
      <c r="G1424" s="81">
        <v>175000000</v>
      </c>
    </row>
    <row r="1425" spans="1:7" x14ac:dyDescent="0.2">
      <c r="A1425" s="7" t="s">
        <v>2432</v>
      </c>
      <c r="B1425" s="89" t="s">
        <v>195</v>
      </c>
      <c r="C1425" s="90" t="s">
        <v>2433</v>
      </c>
      <c r="D1425" s="89">
        <v>10</v>
      </c>
      <c r="E1425" s="91" t="s">
        <v>25</v>
      </c>
      <c r="F1425" s="92">
        <v>5000000</v>
      </c>
      <c r="G1425" s="92">
        <v>50000000</v>
      </c>
    </row>
    <row r="1426" spans="1:7" ht="28.5" x14ac:dyDescent="0.2">
      <c r="A1426" s="7" t="s">
        <v>2434</v>
      </c>
      <c r="B1426" s="89" t="s">
        <v>195</v>
      </c>
      <c r="C1426" s="90" t="s">
        <v>2435</v>
      </c>
      <c r="D1426" s="89">
        <v>10</v>
      </c>
      <c r="E1426" s="91" t="s">
        <v>25</v>
      </c>
      <c r="F1426" s="92">
        <v>5000000</v>
      </c>
      <c r="G1426" s="92">
        <v>50000000</v>
      </c>
    </row>
    <row r="1427" spans="1:7" x14ac:dyDescent="0.2">
      <c r="A1427" s="7" t="s">
        <v>2436</v>
      </c>
      <c r="B1427" s="89" t="s">
        <v>195</v>
      </c>
      <c r="C1427" s="90" t="s">
        <v>2437</v>
      </c>
      <c r="D1427" s="89">
        <v>15</v>
      </c>
      <c r="E1427" s="91" t="s">
        <v>25</v>
      </c>
      <c r="F1427" s="92">
        <v>5000000</v>
      </c>
      <c r="G1427" s="92">
        <v>75000000</v>
      </c>
    </row>
    <row r="1428" spans="1:7" ht="30" x14ac:dyDescent="0.2">
      <c r="A1428" s="7" t="s">
        <v>2438</v>
      </c>
      <c r="B1428" s="78" t="s">
        <v>509</v>
      </c>
      <c r="C1428" s="79" t="s">
        <v>14</v>
      </c>
      <c r="D1428" s="78"/>
      <c r="E1428" s="80"/>
      <c r="F1428" s="81"/>
      <c r="G1428" s="81">
        <v>9000000</v>
      </c>
    </row>
    <row r="1429" spans="1:7" ht="28.5" x14ac:dyDescent="0.2">
      <c r="A1429" s="7" t="s">
        <v>2439</v>
      </c>
      <c r="B1429" s="89" t="s">
        <v>195</v>
      </c>
      <c r="C1429" s="90" t="s">
        <v>2440</v>
      </c>
      <c r="D1429" s="89">
        <v>25</v>
      </c>
      <c r="E1429" s="91" t="s">
        <v>25</v>
      </c>
      <c r="F1429" s="92">
        <v>210000</v>
      </c>
      <c r="G1429" s="92">
        <v>5250000</v>
      </c>
    </row>
    <row r="1430" spans="1:7" x14ac:dyDescent="0.2">
      <c r="A1430" s="7" t="s">
        <v>2441</v>
      </c>
      <c r="B1430" s="89" t="s">
        <v>195</v>
      </c>
      <c r="C1430" s="90" t="s">
        <v>630</v>
      </c>
      <c r="D1430" s="89">
        <v>25</v>
      </c>
      <c r="E1430" s="91" t="s">
        <v>25</v>
      </c>
      <c r="F1430" s="92">
        <v>150000</v>
      </c>
      <c r="G1430" s="92">
        <v>3750000</v>
      </c>
    </row>
    <row r="1431" spans="1:7" ht="15" x14ac:dyDescent="0.2">
      <c r="A1431" s="7" t="s">
        <v>2442</v>
      </c>
      <c r="B1431" s="97" t="s">
        <v>511</v>
      </c>
      <c r="C1431" s="98" t="s">
        <v>2443</v>
      </c>
      <c r="D1431" s="97"/>
      <c r="E1431" s="99"/>
      <c r="F1431" s="100"/>
      <c r="G1431" s="100">
        <v>316000000</v>
      </c>
    </row>
    <row r="1432" spans="1:7" ht="15" x14ac:dyDescent="0.2">
      <c r="A1432" s="7" t="s">
        <v>2444</v>
      </c>
      <c r="B1432" s="78" t="s">
        <v>503</v>
      </c>
      <c r="C1432" s="79" t="s">
        <v>7</v>
      </c>
      <c r="D1432" s="78"/>
      <c r="E1432" s="80"/>
      <c r="F1432" s="81"/>
      <c r="G1432" s="81">
        <v>10000000</v>
      </c>
    </row>
    <row r="1433" spans="1:7" x14ac:dyDescent="0.2">
      <c r="A1433" s="7" t="s">
        <v>2445</v>
      </c>
      <c r="B1433" s="89" t="s">
        <v>195</v>
      </c>
      <c r="C1433" s="90" t="s">
        <v>1620</v>
      </c>
      <c r="D1433" s="89">
        <v>10</v>
      </c>
      <c r="E1433" s="91" t="s">
        <v>106</v>
      </c>
      <c r="F1433" s="92">
        <v>1000000</v>
      </c>
      <c r="G1433" s="92">
        <v>10000000</v>
      </c>
    </row>
    <row r="1434" spans="1:7" ht="30" x14ac:dyDescent="0.2">
      <c r="A1434" s="7" t="s">
        <v>2446</v>
      </c>
      <c r="B1434" s="78" t="s">
        <v>515</v>
      </c>
      <c r="C1434" s="79" t="s">
        <v>642</v>
      </c>
      <c r="D1434" s="78"/>
      <c r="E1434" s="80"/>
      <c r="F1434" s="81"/>
      <c r="G1434" s="81">
        <v>20400000</v>
      </c>
    </row>
    <row r="1435" spans="1:7" ht="28.5" x14ac:dyDescent="0.2">
      <c r="A1435" s="7" t="s">
        <v>2447</v>
      </c>
      <c r="B1435" s="89" t="s">
        <v>195</v>
      </c>
      <c r="C1435" s="90" t="s">
        <v>2448</v>
      </c>
      <c r="D1435" s="89">
        <v>84</v>
      </c>
      <c r="E1435" s="91" t="s">
        <v>32</v>
      </c>
      <c r="F1435" s="92">
        <v>200000</v>
      </c>
      <c r="G1435" s="92">
        <v>16800000</v>
      </c>
    </row>
    <row r="1436" spans="1:7" ht="28.5" x14ac:dyDescent="0.2">
      <c r="A1436" s="7" t="s">
        <v>2449</v>
      </c>
      <c r="B1436" s="89" t="s">
        <v>195</v>
      </c>
      <c r="C1436" s="90" t="s">
        <v>891</v>
      </c>
      <c r="D1436" s="89">
        <v>12</v>
      </c>
      <c r="E1436" s="91" t="s">
        <v>78</v>
      </c>
      <c r="F1436" s="92">
        <v>300000</v>
      </c>
      <c r="G1436" s="92">
        <v>3600000</v>
      </c>
    </row>
    <row r="1437" spans="1:7" ht="15" x14ac:dyDescent="0.2">
      <c r="A1437" s="7" t="s">
        <v>2450</v>
      </c>
      <c r="B1437" s="78" t="s">
        <v>537</v>
      </c>
      <c r="C1437" s="79" t="s">
        <v>64</v>
      </c>
      <c r="D1437" s="78"/>
      <c r="E1437" s="80"/>
      <c r="F1437" s="81"/>
      <c r="G1437" s="81">
        <v>20000000</v>
      </c>
    </row>
    <row r="1438" spans="1:7" x14ac:dyDescent="0.2">
      <c r="A1438" s="7" t="s">
        <v>2451</v>
      </c>
      <c r="B1438" s="89" t="s">
        <v>195</v>
      </c>
      <c r="C1438" s="90" t="s">
        <v>619</v>
      </c>
      <c r="D1438" s="89">
        <v>10</v>
      </c>
      <c r="E1438" s="91" t="s">
        <v>106</v>
      </c>
      <c r="F1438" s="92">
        <v>1000000</v>
      </c>
      <c r="G1438" s="92">
        <v>10000000</v>
      </c>
    </row>
    <row r="1439" spans="1:7" x14ac:dyDescent="0.2">
      <c r="A1439" s="7" t="s">
        <v>2452</v>
      </c>
      <c r="B1439" s="89" t="s">
        <v>195</v>
      </c>
      <c r="C1439" s="90" t="s">
        <v>620</v>
      </c>
      <c r="D1439" s="89">
        <v>10</v>
      </c>
      <c r="E1439" s="91" t="s">
        <v>106</v>
      </c>
      <c r="F1439" s="92">
        <v>1000000</v>
      </c>
      <c r="G1439" s="92">
        <v>10000000</v>
      </c>
    </row>
    <row r="1440" spans="1:7" ht="15" x14ac:dyDescent="0.2">
      <c r="A1440" s="7" t="s">
        <v>2453</v>
      </c>
      <c r="B1440" s="78" t="s">
        <v>518</v>
      </c>
      <c r="C1440" s="79" t="s">
        <v>24</v>
      </c>
      <c r="D1440" s="78"/>
      <c r="E1440" s="80"/>
      <c r="F1440" s="81"/>
      <c r="G1440" s="81">
        <v>20000000</v>
      </c>
    </row>
    <row r="1441" spans="1:7" ht="28.5" x14ac:dyDescent="0.2">
      <c r="A1441" s="7" t="s">
        <v>2454</v>
      </c>
      <c r="B1441" s="89" t="s">
        <v>195</v>
      </c>
      <c r="C1441" s="90" t="s">
        <v>2455</v>
      </c>
      <c r="D1441" s="89">
        <v>100</v>
      </c>
      <c r="E1441" s="91" t="s">
        <v>25</v>
      </c>
      <c r="F1441" s="92">
        <v>200000</v>
      </c>
      <c r="G1441" s="92">
        <v>20000000</v>
      </c>
    </row>
    <row r="1442" spans="1:7" ht="15" x14ac:dyDescent="0.2">
      <c r="A1442" s="7" t="s">
        <v>2456</v>
      </c>
      <c r="B1442" s="78" t="s">
        <v>513</v>
      </c>
      <c r="C1442" s="79" t="s">
        <v>19</v>
      </c>
      <c r="D1442" s="78"/>
      <c r="E1442" s="80"/>
      <c r="F1442" s="81"/>
      <c r="G1442" s="81">
        <v>50000000</v>
      </c>
    </row>
    <row r="1443" spans="1:7" ht="28.5" x14ac:dyDescent="0.2">
      <c r="A1443" s="7" t="s">
        <v>2457</v>
      </c>
      <c r="B1443" s="89" t="s">
        <v>195</v>
      </c>
      <c r="C1443" s="90" t="s">
        <v>2458</v>
      </c>
      <c r="D1443" s="89">
        <v>10</v>
      </c>
      <c r="E1443" s="91" t="s">
        <v>25</v>
      </c>
      <c r="F1443" s="92">
        <v>5000000</v>
      </c>
      <c r="G1443" s="92">
        <v>50000000</v>
      </c>
    </row>
    <row r="1444" spans="1:7" ht="30" x14ac:dyDescent="0.2">
      <c r="A1444" s="7" t="s">
        <v>2459</v>
      </c>
      <c r="B1444" s="78" t="s">
        <v>509</v>
      </c>
      <c r="C1444" s="79" t="s">
        <v>14</v>
      </c>
      <c r="D1444" s="78"/>
      <c r="E1444" s="80"/>
      <c r="F1444" s="81"/>
      <c r="G1444" s="81">
        <v>195600000</v>
      </c>
    </row>
    <row r="1445" spans="1:7" x14ac:dyDescent="0.2">
      <c r="A1445" s="7" t="s">
        <v>2460</v>
      </c>
      <c r="B1445" s="89" t="s">
        <v>195</v>
      </c>
      <c r="C1445" s="90" t="s">
        <v>1313</v>
      </c>
      <c r="D1445" s="89">
        <v>20</v>
      </c>
      <c r="E1445" s="91" t="s">
        <v>25</v>
      </c>
      <c r="F1445" s="92">
        <v>210000</v>
      </c>
      <c r="G1445" s="92">
        <v>4200000</v>
      </c>
    </row>
    <row r="1446" spans="1:7" x14ac:dyDescent="0.2">
      <c r="A1446" s="7" t="s">
        <v>2461</v>
      </c>
      <c r="B1446" s="89" t="s">
        <v>195</v>
      </c>
      <c r="C1446" s="90" t="s">
        <v>2462</v>
      </c>
      <c r="D1446" s="89">
        <v>20</v>
      </c>
      <c r="E1446" s="91" t="s">
        <v>25</v>
      </c>
      <c r="F1446" s="92">
        <v>150000</v>
      </c>
      <c r="G1446" s="92">
        <v>3000000</v>
      </c>
    </row>
    <row r="1447" spans="1:7" ht="28.5" x14ac:dyDescent="0.2">
      <c r="A1447" s="7" t="s">
        <v>2463</v>
      </c>
      <c r="B1447" s="89" t="s">
        <v>195</v>
      </c>
      <c r="C1447" s="90" t="s">
        <v>2464</v>
      </c>
      <c r="D1447" s="89">
        <v>1256</v>
      </c>
      <c r="E1447" s="91" t="s">
        <v>25</v>
      </c>
      <c r="F1447" s="92">
        <v>150000</v>
      </c>
      <c r="G1447" s="92">
        <v>188400000</v>
      </c>
    </row>
    <row r="1448" spans="1:7" ht="15" x14ac:dyDescent="0.2">
      <c r="A1448" s="7" t="s">
        <v>2465</v>
      </c>
      <c r="B1448" s="101" t="s">
        <v>2466</v>
      </c>
      <c r="C1448" s="102" t="s">
        <v>2467</v>
      </c>
      <c r="D1448" s="101"/>
      <c r="E1448" s="103"/>
      <c r="F1448" s="104"/>
      <c r="G1448" s="104">
        <v>13542209000</v>
      </c>
    </row>
    <row r="1449" spans="1:7" x14ac:dyDescent="0.2">
      <c r="A1449" s="7" t="s">
        <v>2468</v>
      </c>
      <c r="B1449" s="89" t="s">
        <v>2469</v>
      </c>
      <c r="C1449" s="90" t="s">
        <v>2470</v>
      </c>
      <c r="D1449" s="89"/>
      <c r="E1449" s="91"/>
      <c r="F1449" s="92"/>
      <c r="G1449" s="92">
        <v>4063138000</v>
      </c>
    </row>
    <row r="1450" spans="1:7" ht="30" x14ac:dyDescent="0.2">
      <c r="A1450" s="7" t="s">
        <v>2471</v>
      </c>
      <c r="B1450" s="93" t="s">
        <v>826</v>
      </c>
      <c r="C1450" s="94" t="s">
        <v>2472</v>
      </c>
      <c r="D1450" s="93"/>
      <c r="E1450" s="95"/>
      <c r="F1450" s="96"/>
      <c r="G1450" s="96">
        <v>2000000000</v>
      </c>
    </row>
    <row r="1451" spans="1:7" ht="15" x14ac:dyDescent="0.2">
      <c r="A1451" s="7" t="s">
        <v>2473</v>
      </c>
      <c r="B1451" s="97" t="s">
        <v>8</v>
      </c>
      <c r="C1451" s="98" t="s">
        <v>122</v>
      </c>
      <c r="D1451" s="97"/>
      <c r="E1451" s="99"/>
      <c r="F1451" s="100"/>
      <c r="G1451" s="100">
        <v>145000000</v>
      </c>
    </row>
    <row r="1452" spans="1:7" ht="15" x14ac:dyDescent="0.2">
      <c r="A1452" s="7" t="s">
        <v>2474</v>
      </c>
      <c r="B1452" s="78" t="s">
        <v>503</v>
      </c>
      <c r="C1452" s="79" t="s">
        <v>7</v>
      </c>
      <c r="D1452" s="78"/>
      <c r="E1452" s="80"/>
      <c r="F1452" s="81"/>
      <c r="G1452" s="81">
        <v>6300000</v>
      </c>
    </row>
    <row r="1453" spans="1:7" x14ac:dyDescent="0.2">
      <c r="A1453" s="7" t="s">
        <v>195</v>
      </c>
      <c r="B1453" s="89" t="s">
        <v>195</v>
      </c>
      <c r="C1453" s="90" t="s">
        <v>2475</v>
      </c>
      <c r="D1453" s="89">
        <v>0</v>
      </c>
      <c r="E1453" s="91" t="s">
        <v>195</v>
      </c>
      <c r="F1453" s="92">
        <v>0</v>
      </c>
      <c r="G1453" s="92">
        <v>0</v>
      </c>
    </row>
    <row r="1454" spans="1:7" x14ac:dyDescent="0.2">
      <c r="A1454" s="7" t="s">
        <v>2476</v>
      </c>
      <c r="B1454" s="89" t="s">
        <v>195</v>
      </c>
      <c r="C1454" s="90" t="s">
        <v>2477</v>
      </c>
      <c r="D1454" s="89">
        <v>7</v>
      </c>
      <c r="E1454" s="91" t="s">
        <v>180</v>
      </c>
      <c r="F1454" s="92">
        <v>200000</v>
      </c>
      <c r="G1454" s="92">
        <v>1400000</v>
      </c>
    </row>
    <row r="1455" spans="1:7" x14ac:dyDescent="0.2">
      <c r="A1455" s="7" t="s">
        <v>2478</v>
      </c>
      <c r="B1455" s="89" t="s">
        <v>195</v>
      </c>
      <c r="C1455" s="90" t="s">
        <v>2479</v>
      </c>
      <c r="D1455" s="89">
        <v>7</v>
      </c>
      <c r="E1455" s="91" t="s">
        <v>180</v>
      </c>
      <c r="F1455" s="92">
        <v>200000</v>
      </c>
      <c r="G1455" s="92">
        <v>1400000</v>
      </c>
    </row>
    <row r="1456" spans="1:7" x14ac:dyDescent="0.2">
      <c r="A1456" s="7" t="s">
        <v>2480</v>
      </c>
      <c r="B1456" s="89" t="s">
        <v>195</v>
      </c>
      <c r="C1456" s="90" t="s">
        <v>2481</v>
      </c>
      <c r="D1456" s="89">
        <v>7</v>
      </c>
      <c r="E1456" s="91" t="s">
        <v>106</v>
      </c>
      <c r="F1456" s="92">
        <v>500000</v>
      </c>
      <c r="G1456" s="92">
        <v>3500000</v>
      </c>
    </row>
    <row r="1457" spans="1:7" ht="15" x14ac:dyDescent="0.2">
      <c r="A1457" s="7" t="s">
        <v>2482</v>
      </c>
      <c r="B1457" s="78" t="s">
        <v>537</v>
      </c>
      <c r="C1457" s="79" t="s">
        <v>64</v>
      </c>
      <c r="D1457" s="78"/>
      <c r="E1457" s="80"/>
      <c r="F1457" s="81"/>
      <c r="G1457" s="81">
        <v>7990000</v>
      </c>
    </row>
    <row r="1458" spans="1:7" x14ac:dyDescent="0.2">
      <c r="A1458" s="7" t="s">
        <v>2483</v>
      </c>
      <c r="B1458" s="89" t="s">
        <v>195</v>
      </c>
      <c r="C1458" s="90" t="s">
        <v>619</v>
      </c>
      <c r="D1458" s="89">
        <v>4</v>
      </c>
      <c r="E1458" s="91" t="s">
        <v>106</v>
      </c>
      <c r="F1458" s="92">
        <v>1000000</v>
      </c>
      <c r="G1458" s="92">
        <v>4000000</v>
      </c>
    </row>
    <row r="1459" spans="1:7" x14ac:dyDescent="0.2">
      <c r="A1459" s="7" t="s">
        <v>2484</v>
      </c>
      <c r="B1459" s="89" t="s">
        <v>195</v>
      </c>
      <c r="C1459" s="90" t="s">
        <v>620</v>
      </c>
      <c r="D1459" s="89">
        <v>4</v>
      </c>
      <c r="E1459" s="91" t="s">
        <v>106</v>
      </c>
      <c r="F1459" s="92">
        <v>998000</v>
      </c>
      <c r="G1459" s="92">
        <v>3990000</v>
      </c>
    </row>
    <row r="1460" spans="1:7" ht="15" x14ac:dyDescent="0.2">
      <c r="A1460" s="7" t="s">
        <v>2485</v>
      </c>
      <c r="B1460" s="78" t="s">
        <v>516</v>
      </c>
      <c r="C1460" s="79" t="s">
        <v>11</v>
      </c>
      <c r="D1460" s="78"/>
      <c r="E1460" s="80"/>
      <c r="F1460" s="81"/>
      <c r="G1460" s="81">
        <v>12200000</v>
      </c>
    </row>
    <row r="1461" spans="1:7" ht="28.5" x14ac:dyDescent="0.2">
      <c r="A1461" s="7" t="s">
        <v>2486</v>
      </c>
      <c r="B1461" s="89" t="s">
        <v>195</v>
      </c>
      <c r="C1461" s="90" t="s">
        <v>2487</v>
      </c>
      <c r="D1461" s="89">
        <v>2</v>
      </c>
      <c r="E1461" s="91" t="s">
        <v>54</v>
      </c>
      <c r="F1461" s="92">
        <v>1400000</v>
      </c>
      <c r="G1461" s="92">
        <v>2800000</v>
      </c>
    </row>
    <row r="1462" spans="1:7" ht="28.5" x14ac:dyDescent="0.2">
      <c r="A1462" s="7" t="s">
        <v>2488</v>
      </c>
      <c r="B1462" s="89" t="s">
        <v>195</v>
      </c>
      <c r="C1462" s="90" t="s">
        <v>2489</v>
      </c>
      <c r="D1462" s="89">
        <v>4</v>
      </c>
      <c r="E1462" s="91" t="s">
        <v>54</v>
      </c>
      <c r="F1462" s="92">
        <v>1000000</v>
      </c>
      <c r="G1462" s="92">
        <v>4000000</v>
      </c>
    </row>
    <row r="1463" spans="1:7" ht="28.5" x14ac:dyDescent="0.2">
      <c r="A1463" s="7" t="s">
        <v>2490</v>
      </c>
      <c r="B1463" s="89" t="s">
        <v>195</v>
      </c>
      <c r="C1463" s="90" t="s">
        <v>2491</v>
      </c>
      <c r="D1463" s="89">
        <v>6</v>
      </c>
      <c r="E1463" s="91" t="s">
        <v>54</v>
      </c>
      <c r="F1463" s="92">
        <v>900000</v>
      </c>
      <c r="G1463" s="92">
        <v>5400000</v>
      </c>
    </row>
    <row r="1464" spans="1:7" ht="15" x14ac:dyDescent="0.2">
      <c r="A1464" s="7" t="s">
        <v>2492</v>
      </c>
      <c r="B1464" s="78" t="s">
        <v>513</v>
      </c>
      <c r="C1464" s="79" t="s">
        <v>19</v>
      </c>
      <c r="D1464" s="78"/>
      <c r="E1464" s="80"/>
      <c r="F1464" s="81"/>
      <c r="G1464" s="81">
        <v>100000000</v>
      </c>
    </row>
    <row r="1465" spans="1:7" ht="42.75" x14ac:dyDescent="0.2">
      <c r="A1465" s="7" t="s">
        <v>2493</v>
      </c>
      <c r="B1465" s="89" t="s">
        <v>195</v>
      </c>
      <c r="C1465" s="90" t="s">
        <v>2494</v>
      </c>
      <c r="D1465" s="89">
        <v>20</v>
      </c>
      <c r="E1465" s="91" t="s">
        <v>25</v>
      </c>
      <c r="F1465" s="92">
        <v>5000000</v>
      </c>
      <c r="G1465" s="92">
        <v>100000000</v>
      </c>
    </row>
    <row r="1466" spans="1:7" ht="15" x14ac:dyDescent="0.2">
      <c r="A1466" s="7" t="s">
        <v>2495</v>
      </c>
      <c r="B1466" s="78" t="s">
        <v>507</v>
      </c>
      <c r="C1466" s="79" t="s">
        <v>13</v>
      </c>
      <c r="D1466" s="78"/>
      <c r="E1466" s="80"/>
      <c r="F1466" s="81"/>
      <c r="G1466" s="81">
        <v>2250000</v>
      </c>
    </row>
    <row r="1467" spans="1:7" x14ac:dyDescent="0.2">
      <c r="A1467" s="7" t="s">
        <v>2496</v>
      </c>
      <c r="B1467" s="89" t="s">
        <v>195</v>
      </c>
      <c r="C1467" s="90" t="s">
        <v>2497</v>
      </c>
      <c r="D1467" s="89">
        <v>15</v>
      </c>
      <c r="E1467" s="91" t="s">
        <v>25</v>
      </c>
      <c r="F1467" s="92">
        <v>150000</v>
      </c>
      <c r="G1467" s="92">
        <v>2250000</v>
      </c>
    </row>
    <row r="1468" spans="1:7" ht="30" x14ac:dyDescent="0.2">
      <c r="A1468" s="7" t="s">
        <v>2498</v>
      </c>
      <c r="B1468" s="78" t="s">
        <v>509</v>
      </c>
      <c r="C1468" s="79" t="s">
        <v>14</v>
      </c>
      <c r="D1468" s="78"/>
      <c r="E1468" s="80"/>
      <c r="F1468" s="81"/>
      <c r="G1468" s="81">
        <v>5760000</v>
      </c>
    </row>
    <row r="1469" spans="1:7" ht="28.5" x14ac:dyDescent="0.2">
      <c r="A1469" s="7" t="s">
        <v>2499</v>
      </c>
      <c r="B1469" s="89" t="s">
        <v>195</v>
      </c>
      <c r="C1469" s="90" t="s">
        <v>2500</v>
      </c>
      <c r="D1469" s="89">
        <v>16</v>
      </c>
      <c r="E1469" s="91" t="s">
        <v>25</v>
      </c>
      <c r="F1469" s="92">
        <v>210000</v>
      </c>
      <c r="G1469" s="92">
        <v>3360000</v>
      </c>
    </row>
    <row r="1470" spans="1:7" ht="28.5" x14ac:dyDescent="0.2">
      <c r="A1470" s="7" t="s">
        <v>2501</v>
      </c>
      <c r="B1470" s="89" t="s">
        <v>195</v>
      </c>
      <c r="C1470" s="90" t="s">
        <v>2502</v>
      </c>
      <c r="D1470" s="89">
        <v>16</v>
      </c>
      <c r="E1470" s="91" t="s">
        <v>25</v>
      </c>
      <c r="F1470" s="92">
        <v>150000</v>
      </c>
      <c r="G1470" s="92">
        <v>2400000</v>
      </c>
    </row>
    <row r="1471" spans="1:7" ht="15" x14ac:dyDescent="0.2">
      <c r="A1471" s="7" t="s">
        <v>2503</v>
      </c>
      <c r="B1471" s="78" t="s">
        <v>510</v>
      </c>
      <c r="C1471" s="79" t="s">
        <v>15</v>
      </c>
      <c r="D1471" s="78"/>
      <c r="E1471" s="80"/>
      <c r="F1471" s="81"/>
      <c r="G1471" s="81">
        <v>10500000</v>
      </c>
    </row>
    <row r="1472" spans="1:7" ht="28.5" x14ac:dyDescent="0.2">
      <c r="A1472" s="7" t="s">
        <v>2504</v>
      </c>
      <c r="B1472" s="89" t="s">
        <v>195</v>
      </c>
      <c r="C1472" s="90" t="s">
        <v>2505</v>
      </c>
      <c r="D1472" s="89">
        <v>14</v>
      </c>
      <c r="E1472" s="91" t="s">
        <v>25</v>
      </c>
      <c r="F1472" s="92">
        <v>150000</v>
      </c>
      <c r="G1472" s="92">
        <v>2100000</v>
      </c>
    </row>
    <row r="1473" spans="1:7" ht="28.5" x14ac:dyDescent="0.2">
      <c r="A1473" s="7" t="s">
        <v>2506</v>
      </c>
      <c r="B1473" s="89" t="s">
        <v>195</v>
      </c>
      <c r="C1473" s="90" t="s">
        <v>2507</v>
      </c>
      <c r="D1473" s="89">
        <v>14</v>
      </c>
      <c r="E1473" s="91" t="s">
        <v>25</v>
      </c>
      <c r="F1473" s="92">
        <v>600000</v>
      </c>
      <c r="G1473" s="92">
        <v>8400000</v>
      </c>
    </row>
    <row r="1474" spans="1:7" ht="30" x14ac:dyDescent="0.2">
      <c r="A1474" s="7" t="s">
        <v>2508</v>
      </c>
      <c r="B1474" s="97" t="s">
        <v>511</v>
      </c>
      <c r="C1474" s="98" t="s">
        <v>123</v>
      </c>
      <c r="D1474" s="97"/>
      <c r="E1474" s="99"/>
      <c r="F1474" s="100"/>
      <c r="G1474" s="100">
        <v>895000000</v>
      </c>
    </row>
    <row r="1475" spans="1:7" ht="15" x14ac:dyDescent="0.2">
      <c r="A1475" s="7" t="s">
        <v>2509</v>
      </c>
      <c r="B1475" s="78" t="s">
        <v>503</v>
      </c>
      <c r="C1475" s="79" t="s">
        <v>7</v>
      </c>
      <c r="D1475" s="78"/>
      <c r="E1475" s="80"/>
      <c r="F1475" s="81"/>
      <c r="G1475" s="81">
        <v>135000000</v>
      </c>
    </row>
    <row r="1476" spans="1:7" x14ac:dyDescent="0.2">
      <c r="A1476" s="7" t="s">
        <v>2510</v>
      </c>
      <c r="B1476" s="89" t="s">
        <v>195</v>
      </c>
      <c r="C1476" s="90" t="s">
        <v>2511</v>
      </c>
      <c r="D1476" s="89">
        <v>100</v>
      </c>
      <c r="E1476" s="91" t="s">
        <v>180</v>
      </c>
      <c r="F1476" s="92">
        <v>100000</v>
      </c>
      <c r="G1476" s="92">
        <v>10000000</v>
      </c>
    </row>
    <row r="1477" spans="1:7" x14ac:dyDescent="0.2">
      <c r="A1477" s="7" t="s">
        <v>2512</v>
      </c>
      <c r="B1477" s="89" t="s">
        <v>195</v>
      </c>
      <c r="C1477" s="90" t="s">
        <v>2513</v>
      </c>
      <c r="D1477" s="89">
        <v>10</v>
      </c>
      <c r="E1477" s="91" t="s">
        <v>180</v>
      </c>
      <c r="F1477" s="92">
        <v>3200000</v>
      </c>
      <c r="G1477" s="92">
        <v>32000000</v>
      </c>
    </row>
    <row r="1478" spans="1:7" x14ac:dyDescent="0.2">
      <c r="A1478" s="7" t="s">
        <v>2514</v>
      </c>
      <c r="B1478" s="89" t="s">
        <v>195</v>
      </c>
      <c r="C1478" s="90" t="s">
        <v>2515</v>
      </c>
      <c r="D1478" s="89">
        <v>310</v>
      </c>
      <c r="E1478" s="91" t="s">
        <v>106</v>
      </c>
      <c r="F1478" s="92">
        <v>300000</v>
      </c>
      <c r="G1478" s="92">
        <v>93000000</v>
      </c>
    </row>
    <row r="1479" spans="1:7" ht="15" x14ac:dyDescent="0.2">
      <c r="A1479" s="7" t="s">
        <v>2516</v>
      </c>
      <c r="B1479" s="78" t="s">
        <v>537</v>
      </c>
      <c r="C1479" s="79" t="s">
        <v>64</v>
      </c>
      <c r="D1479" s="78"/>
      <c r="E1479" s="80"/>
      <c r="F1479" s="81"/>
      <c r="G1479" s="81">
        <v>24000000</v>
      </c>
    </row>
    <row r="1480" spans="1:7" x14ac:dyDescent="0.2">
      <c r="A1480" s="7" t="s">
        <v>2517</v>
      </c>
      <c r="B1480" s="89" t="s">
        <v>195</v>
      </c>
      <c r="C1480" s="90" t="s">
        <v>619</v>
      </c>
      <c r="D1480" s="89">
        <v>12</v>
      </c>
      <c r="E1480" s="91" t="s">
        <v>106</v>
      </c>
      <c r="F1480" s="92">
        <v>1000000</v>
      </c>
      <c r="G1480" s="92">
        <v>12000000</v>
      </c>
    </row>
    <row r="1481" spans="1:7" x14ac:dyDescent="0.2">
      <c r="A1481" s="7" t="s">
        <v>2518</v>
      </c>
      <c r="B1481" s="89" t="s">
        <v>195</v>
      </c>
      <c r="C1481" s="90" t="s">
        <v>620</v>
      </c>
      <c r="D1481" s="89">
        <v>12</v>
      </c>
      <c r="E1481" s="91" t="s">
        <v>106</v>
      </c>
      <c r="F1481" s="92">
        <v>1000000</v>
      </c>
      <c r="G1481" s="92">
        <v>12000000</v>
      </c>
    </row>
    <row r="1482" spans="1:7" ht="15" x14ac:dyDescent="0.2">
      <c r="A1482" s="7" t="s">
        <v>2519</v>
      </c>
      <c r="B1482" s="78" t="s">
        <v>516</v>
      </c>
      <c r="C1482" s="79" t="s">
        <v>11</v>
      </c>
      <c r="D1482" s="78"/>
      <c r="E1482" s="80"/>
      <c r="F1482" s="81"/>
      <c r="G1482" s="81">
        <v>28200000</v>
      </c>
    </row>
    <row r="1483" spans="1:7" ht="28.5" x14ac:dyDescent="0.2">
      <c r="A1483" s="7" t="s">
        <v>2520</v>
      </c>
      <c r="B1483" s="89" t="s">
        <v>195</v>
      </c>
      <c r="C1483" s="90" t="s">
        <v>2521</v>
      </c>
      <c r="D1483" s="89">
        <v>12</v>
      </c>
      <c r="E1483" s="91" t="s">
        <v>54</v>
      </c>
      <c r="F1483" s="92">
        <v>1000000</v>
      </c>
      <c r="G1483" s="92">
        <v>12000000</v>
      </c>
    </row>
    <row r="1484" spans="1:7" ht="28.5" x14ac:dyDescent="0.2">
      <c r="A1484" s="7" t="s">
        <v>2522</v>
      </c>
      <c r="B1484" s="89" t="s">
        <v>195</v>
      </c>
      <c r="C1484" s="90" t="s">
        <v>2523</v>
      </c>
      <c r="D1484" s="89">
        <v>18</v>
      </c>
      <c r="E1484" s="91" t="s">
        <v>54</v>
      </c>
      <c r="F1484" s="92">
        <v>900000</v>
      </c>
      <c r="G1484" s="92">
        <v>16200000</v>
      </c>
    </row>
    <row r="1485" spans="1:7" ht="15" x14ac:dyDescent="0.2">
      <c r="A1485" s="7" t="s">
        <v>2524</v>
      </c>
      <c r="B1485" s="78" t="s">
        <v>513</v>
      </c>
      <c r="C1485" s="79" t="s">
        <v>19</v>
      </c>
      <c r="D1485" s="78"/>
      <c r="E1485" s="80"/>
      <c r="F1485" s="81"/>
      <c r="G1485" s="81">
        <v>640000000</v>
      </c>
    </row>
    <row r="1486" spans="1:7" ht="28.5" x14ac:dyDescent="0.2">
      <c r="A1486" s="7" t="s">
        <v>2525</v>
      </c>
      <c r="B1486" s="89" t="s">
        <v>195</v>
      </c>
      <c r="C1486" s="90" t="s">
        <v>2526</v>
      </c>
      <c r="D1486" s="89">
        <v>50</v>
      </c>
      <c r="E1486" s="91" t="s">
        <v>25</v>
      </c>
      <c r="F1486" s="92">
        <v>5000000</v>
      </c>
      <c r="G1486" s="92">
        <v>250000000</v>
      </c>
    </row>
    <row r="1487" spans="1:7" ht="28.5" x14ac:dyDescent="0.2">
      <c r="A1487" s="7" t="s">
        <v>2527</v>
      </c>
      <c r="B1487" s="89" t="s">
        <v>195</v>
      </c>
      <c r="C1487" s="90" t="s">
        <v>2528</v>
      </c>
      <c r="D1487" s="89">
        <v>48</v>
      </c>
      <c r="E1487" s="91" t="s">
        <v>25</v>
      </c>
      <c r="F1487" s="92">
        <v>5000000</v>
      </c>
      <c r="G1487" s="92">
        <v>240000000</v>
      </c>
    </row>
    <row r="1488" spans="1:7" ht="42.75" x14ac:dyDescent="0.2">
      <c r="A1488" s="7" t="s">
        <v>2529</v>
      </c>
      <c r="B1488" s="89" t="s">
        <v>195</v>
      </c>
      <c r="C1488" s="90" t="s">
        <v>2530</v>
      </c>
      <c r="D1488" s="89">
        <v>300</v>
      </c>
      <c r="E1488" s="91" t="s">
        <v>25</v>
      </c>
      <c r="F1488" s="92">
        <v>500000</v>
      </c>
      <c r="G1488" s="92">
        <v>150000000</v>
      </c>
    </row>
    <row r="1489" spans="1:7" ht="15" x14ac:dyDescent="0.2">
      <c r="A1489" s="7" t="s">
        <v>2531</v>
      </c>
      <c r="B1489" s="78" t="s">
        <v>507</v>
      </c>
      <c r="C1489" s="79" t="s">
        <v>13</v>
      </c>
      <c r="D1489" s="78"/>
      <c r="E1489" s="80"/>
      <c r="F1489" s="81"/>
      <c r="G1489" s="81">
        <v>27000000</v>
      </c>
    </row>
    <row r="1490" spans="1:7" ht="28.5" x14ac:dyDescent="0.2">
      <c r="A1490" s="7" t="s">
        <v>2532</v>
      </c>
      <c r="B1490" s="89" t="s">
        <v>195</v>
      </c>
      <c r="C1490" s="90" t="s">
        <v>2533</v>
      </c>
      <c r="D1490" s="89">
        <v>75</v>
      </c>
      <c r="E1490" s="91" t="s">
        <v>25</v>
      </c>
      <c r="F1490" s="92">
        <v>150000</v>
      </c>
      <c r="G1490" s="92">
        <v>11250000</v>
      </c>
    </row>
    <row r="1491" spans="1:7" x14ac:dyDescent="0.2">
      <c r="A1491" s="7" t="s">
        <v>2534</v>
      </c>
      <c r="B1491" s="89" t="s">
        <v>195</v>
      </c>
      <c r="C1491" s="90" t="s">
        <v>2535</v>
      </c>
      <c r="D1491" s="89">
        <v>75</v>
      </c>
      <c r="E1491" s="91" t="s">
        <v>73</v>
      </c>
      <c r="F1491" s="92">
        <v>210000</v>
      </c>
      <c r="G1491" s="92">
        <v>15750000</v>
      </c>
    </row>
    <row r="1492" spans="1:7" ht="30" x14ac:dyDescent="0.2">
      <c r="A1492" s="7" t="s">
        <v>2536</v>
      </c>
      <c r="B1492" s="78" t="s">
        <v>509</v>
      </c>
      <c r="C1492" s="79" t="s">
        <v>14</v>
      </c>
      <c r="D1492" s="78"/>
      <c r="E1492" s="80"/>
      <c r="F1492" s="81"/>
      <c r="G1492" s="81">
        <v>10800000</v>
      </c>
    </row>
    <row r="1493" spans="1:7" ht="28.5" x14ac:dyDescent="0.2">
      <c r="A1493" s="7" t="s">
        <v>2537</v>
      </c>
      <c r="B1493" s="89" t="s">
        <v>195</v>
      </c>
      <c r="C1493" s="90" t="s">
        <v>2538</v>
      </c>
      <c r="D1493" s="89">
        <v>30</v>
      </c>
      <c r="E1493" s="91" t="s">
        <v>25</v>
      </c>
      <c r="F1493" s="92">
        <v>210000</v>
      </c>
      <c r="G1493" s="92">
        <v>6300000</v>
      </c>
    </row>
    <row r="1494" spans="1:7" ht="28.5" x14ac:dyDescent="0.2">
      <c r="A1494" s="7" t="s">
        <v>2539</v>
      </c>
      <c r="B1494" s="89" t="s">
        <v>195</v>
      </c>
      <c r="C1494" s="90" t="s">
        <v>2540</v>
      </c>
      <c r="D1494" s="89">
        <v>30</v>
      </c>
      <c r="E1494" s="91" t="s">
        <v>25</v>
      </c>
      <c r="F1494" s="92">
        <v>150000</v>
      </c>
      <c r="G1494" s="92">
        <v>4500000</v>
      </c>
    </row>
    <row r="1495" spans="1:7" ht="15" x14ac:dyDescent="0.2">
      <c r="A1495" s="7" t="s">
        <v>2541</v>
      </c>
      <c r="B1495" s="78" t="s">
        <v>510</v>
      </c>
      <c r="C1495" s="79" t="s">
        <v>15</v>
      </c>
      <c r="D1495" s="78"/>
      <c r="E1495" s="80"/>
      <c r="F1495" s="81"/>
      <c r="G1495" s="81">
        <v>30000000</v>
      </c>
    </row>
    <row r="1496" spans="1:7" ht="28.5" x14ac:dyDescent="0.2">
      <c r="A1496" s="7" t="s">
        <v>2542</v>
      </c>
      <c r="B1496" s="89" t="s">
        <v>195</v>
      </c>
      <c r="C1496" s="90" t="s">
        <v>2543</v>
      </c>
      <c r="D1496" s="89">
        <v>40</v>
      </c>
      <c r="E1496" s="91" t="s">
        <v>25</v>
      </c>
      <c r="F1496" s="92">
        <v>150000</v>
      </c>
      <c r="G1496" s="92">
        <v>6000000</v>
      </c>
    </row>
    <row r="1497" spans="1:7" ht="28.5" x14ac:dyDescent="0.2">
      <c r="A1497" s="7" t="s">
        <v>2544</v>
      </c>
      <c r="B1497" s="89" t="s">
        <v>195</v>
      </c>
      <c r="C1497" s="90" t="s">
        <v>2545</v>
      </c>
      <c r="D1497" s="89">
        <v>40</v>
      </c>
      <c r="E1497" s="91" t="s">
        <v>25</v>
      </c>
      <c r="F1497" s="92">
        <v>600000</v>
      </c>
      <c r="G1497" s="92">
        <v>24000000</v>
      </c>
    </row>
    <row r="1498" spans="1:7" ht="15" x14ac:dyDescent="0.2">
      <c r="A1498" s="7" t="s">
        <v>2546</v>
      </c>
      <c r="B1498" s="97" t="s">
        <v>512</v>
      </c>
      <c r="C1498" s="98" t="s">
        <v>124</v>
      </c>
      <c r="D1498" s="97"/>
      <c r="E1498" s="99"/>
      <c r="F1498" s="100"/>
      <c r="G1498" s="100">
        <v>150000000</v>
      </c>
    </row>
    <row r="1499" spans="1:7" ht="15" x14ac:dyDescent="0.2">
      <c r="A1499" s="7" t="s">
        <v>2547</v>
      </c>
      <c r="B1499" s="78" t="s">
        <v>503</v>
      </c>
      <c r="C1499" s="79" t="s">
        <v>7</v>
      </c>
      <c r="D1499" s="78"/>
      <c r="E1499" s="80"/>
      <c r="F1499" s="81"/>
      <c r="G1499" s="81">
        <v>11500000</v>
      </c>
    </row>
    <row r="1500" spans="1:7" x14ac:dyDescent="0.2">
      <c r="A1500" s="7" t="s">
        <v>2548</v>
      </c>
      <c r="B1500" s="89" t="s">
        <v>195</v>
      </c>
      <c r="C1500" s="90" t="s">
        <v>2549</v>
      </c>
      <c r="D1500" s="89">
        <v>25</v>
      </c>
      <c r="E1500" s="91" t="s">
        <v>180</v>
      </c>
      <c r="F1500" s="92">
        <v>100000</v>
      </c>
      <c r="G1500" s="92">
        <v>2500000</v>
      </c>
    </row>
    <row r="1501" spans="1:7" x14ac:dyDescent="0.2">
      <c r="A1501" s="7" t="s">
        <v>2550</v>
      </c>
      <c r="B1501" s="89" t="s">
        <v>195</v>
      </c>
      <c r="C1501" s="90" t="s">
        <v>2551</v>
      </c>
      <c r="D1501" s="89">
        <v>90</v>
      </c>
      <c r="E1501" s="91" t="s">
        <v>180</v>
      </c>
      <c r="F1501" s="92">
        <v>100000</v>
      </c>
      <c r="G1501" s="92">
        <v>9000000</v>
      </c>
    </row>
    <row r="1502" spans="1:7" ht="15" x14ac:dyDescent="0.2">
      <c r="A1502" s="7" t="s">
        <v>2552</v>
      </c>
      <c r="B1502" s="78" t="s">
        <v>537</v>
      </c>
      <c r="C1502" s="79" t="s">
        <v>64</v>
      </c>
      <c r="D1502" s="78"/>
      <c r="E1502" s="80"/>
      <c r="F1502" s="81"/>
      <c r="G1502" s="81">
        <v>16000000</v>
      </c>
    </row>
    <row r="1503" spans="1:7" x14ac:dyDescent="0.2">
      <c r="A1503" s="7" t="s">
        <v>2553</v>
      </c>
      <c r="B1503" s="89" t="s">
        <v>195</v>
      </c>
      <c r="C1503" s="90" t="s">
        <v>619</v>
      </c>
      <c r="D1503" s="89">
        <v>8</v>
      </c>
      <c r="E1503" s="91" t="s">
        <v>106</v>
      </c>
      <c r="F1503" s="92">
        <v>1000000</v>
      </c>
      <c r="G1503" s="92">
        <v>8000000</v>
      </c>
    </row>
    <row r="1504" spans="1:7" x14ac:dyDescent="0.2">
      <c r="A1504" s="7" t="s">
        <v>2554</v>
      </c>
      <c r="B1504" s="89" t="s">
        <v>195</v>
      </c>
      <c r="C1504" s="90" t="s">
        <v>620</v>
      </c>
      <c r="D1504" s="89">
        <v>8</v>
      </c>
      <c r="E1504" s="91" t="s">
        <v>106</v>
      </c>
      <c r="F1504" s="92">
        <v>1000000</v>
      </c>
      <c r="G1504" s="92">
        <v>8000000</v>
      </c>
    </row>
    <row r="1505" spans="1:7" ht="15" x14ac:dyDescent="0.2">
      <c r="A1505" s="7" t="s">
        <v>2555</v>
      </c>
      <c r="B1505" s="78" t="s">
        <v>516</v>
      </c>
      <c r="C1505" s="79" t="s">
        <v>11</v>
      </c>
      <c r="D1505" s="78"/>
      <c r="E1505" s="80"/>
      <c r="F1505" s="81"/>
      <c r="G1505" s="81">
        <v>3600000</v>
      </c>
    </row>
    <row r="1506" spans="1:7" ht="28.5" x14ac:dyDescent="0.2">
      <c r="A1506" s="7" t="s">
        <v>2556</v>
      </c>
      <c r="B1506" s="89" t="s">
        <v>195</v>
      </c>
      <c r="C1506" s="90" t="s">
        <v>2557</v>
      </c>
      <c r="D1506" s="89">
        <v>4</v>
      </c>
      <c r="E1506" s="91" t="s">
        <v>54</v>
      </c>
      <c r="F1506" s="92">
        <v>900000</v>
      </c>
      <c r="G1506" s="92">
        <v>3600000</v>
      </c>
    </row>
    <row r="1507" spans="1:7" ht="15" x14ac:dyDescent="0.2">
      <c r="A1507" s="7" t="s">
        <v>2558</v>
      </c>
      <c r="B1507" s="78" t="s">
        <v>513</v>
      </c>
      <c r="C1507" s="79" t="s">
        <v>19</v>
      </c>
      <c r="D1507" s="78"/>
      <c r="E1507" s="80"/>
      <c r="F1507" s="81"/>
      <c r="G1507" s="81">
        <v>100000000</v>
      </c>
    </row>
    <row r="1508" spans="1:7" ht="28.5" x14ac:dyDescent="0.2">
      <c r="A1508" s="7" t="s">
        <v>2559</v>
      </c>
      <c r="B1508" s="89" t="s">
        <v>195</v>
      </c>
      <c r="C1508" s="90" t="s">
        <v>2560</v>
      </c>
      <c r="D1508" s="89">
        <v>10</v>
      </c>
      <c r="E1508" s="91" t="s">
        <v>25</v>
      </c>
      <c r="F1508" s="92">
        <v>5000000</v>
      </c>
      <c r="G1508" s="92">
        <v>50000000</v>
      </c>
    </row>
    <row r="1509" spans="1:7" ht="28.5" x14ac:dyDescent="0.2">
      <c r="A1509" s="7" t="s">
        <v>2561</v>
      </c>
      <c r="B1509" s="89" t="s">
        <v>195</v>
      </c>
      <c r="C1509" s="90" t="s">
        <v>2562</v>
      </c>
      <c r="D1509" s="89">
        <v>10</v>
      </c>
      <c r="E1509" s="91" t="s">
        <v>25</v>
      </c>
      <c r="F1509" s="92">
        <v>5000000</v>
      </c>
      <c r="G1509" s="92">
        <v>50000000</v>
      </c>
    </row>
    <row r="1510" spans="1:7" ht="15" x14ac:dyDescent="0.2">
      <c r="A1510" s="7" t="s">
        <v>2563</v>
      </c>
      <c r="B1510" s="78" t="s">
        <v>507</v>
      </c>
      <c r="C1510" s="79" t="s">
        <v>13</v>
      </c>
      <c r="D1510" s="78"/>
      <c r="E1510" s="80"/>
      <c r="F1510" s="81"/>
      <c r="G1510" s="81">
        <v>4200000</v>
      </c>
    </row>
    <row r="1511" spans="1:7" ht="28.5" x14ac:dyDescent="0.2">
      <c r="A1511" s="7" t="s">
        <v>2564</v>
      </c>
      <c r="B1511" s="89" t="s">
        <v>195</v>
      </c>
      <c r="C1511" s="90" t="s">
        <v>2565</v>
      </c>
      <c r="D1511" s="89">
        <v>28</v>
      </c>
      <c r="E1511" s="91" t="s">
        <v>25</v>
      </c>
      <c r="F1511" s="92">
        <v>150000</v>
      </c>
      <c r="G1511" s="92">
        <v>4200000</v>
      </c>
    </row>
    <row r="1512" spans="1:7" ht="30" x14ac:dyDescent="0.2">
      <c r="A1512" s="7" t="s">
        <v>2566</v>
      </c>
      <c r="B1512" s="78" t="s">
        <v>509</v>
      </c>
      <c r="C1512" s="79" t="s">
        <v>14</v>
      </c>
      <c r="D1512" s="78"/>
      <c r="E1512" s="80"/>
      <c r="F1512" s="81"/>
      <c r="G1512" s="81">
        <v>7200000</v>
      </c>
    </row>
    <row r="1513" spans="1:7" ht="28.5" x14ac:dyDescent="0.2">
      <c r="A1513" s="7" t="s">
        <v>2567</v>
      </c>
      <c r="B1513" s="89" t="s">
        <v>195</v>
      </c>
      <c r="C1513" s="90" t="s">
        <v>2568</v>
      </c>
      <c r="D1513" s="89">
        <v>20</v>
      </c>
      <c r="E1513" s="91" t="s">
        <v>25</v>
      </c>
      <c r="F1513" s="92">
        <v>210000</v>
      </c>
      <c r="G1513" s="92">
        <v>4200000</v>
      </c>
    </row>
    <row r="1514" spans="1:7" ht="28.5" x14ac:dyDescent="0.2">
      <c r="A1514" s="7" t="s">
        <v>2569</v>
      </c>
      <c r="B1514" s="89" t="s">
        <v>195</v>
      </c>
      <c r="C1514" s="90" t="s">
        <v>2570</v>
      </c>
      <c r="D1514" s="89">
        <v>20</v>
      </c>
      <c r="E1514" s="91" t="s">
        <v>25</v>
      </c>
      <c r="F1514" s="92">
        <v>150000</v>
      </c>
      <c r="G1514" s="92">
        <v>3000000</v>
      </c>
    </row>
    <row r="1515" spans="1:7" ht="15" x14ac:dyDescent="0.2">
      <c r="A1515" s="7" t="s">
        <v>2571</v>
      </c>
      <c r="B1515" s="78" t="s">
        <v>510</v>
      </c>
      <c r="C1515" s="79" t="s">
        <v>15</v>
      </c>
      <c r="D1515" s="78"/>
      <c r="E1515" s="80"/>
      <c r="F1515" s="81"/>
      <c r="G1515" s="81">
        <v>7500000</v>
      </c>
    </row>
    <row r="1516" spans="1:7" ht="28.5" x14ac:dyDescent="0.2">
      <c r="A1516" s="7" t="s">
        <v>2572</v>
      </c>
      <c r="B1516" s="89" t="s">
        <v>195</v>
      </c>
      <c r="C1516" s="90" t="s">
        <v>2573</v>
      </c>
      <c r="D1516" s="89">
        <v>10</v>
      </c>
      <c r="E1516" s="91" t="s">
        <v>25</v>
      </c>
      <c r="F1516" s="92">
        <v>150000</v>
      </c>
      <c r="G1516" s="92">
        <v>1500000</v>
      </c>
    </row>
    <row r="1517" spans="1:7" x14ac:dyDescent="0.2">
      <c r="A1517" s="7" t="s">
        <v>2574</v>
      </c>
      <c r="B1517" s="89" t="s">
        <v>195</v>
      </c>
      <c r="C1517" s="90" t="s">
        <v>2575</v>
      </c>
      <c r="D1517" s="89">
        <v>10</v>
      </c>
      <c r="E1517" s="91" t="s">
        <v>25</v>
      </c>
      <c r="F1517" s="92">
        <v>150000</v>
      </c>
      <c r="G1517" s="92">
        <v>1500000</v>
      </c>
    </row>
    <row r="1518" spans="1:7" ht="28.5" x14ac:dyDescent="0.2">
      <c r="A1518" s="7" t="s">
        <v>2576</v>
      </c>
      <c r="B1518" s="89" t="s">
        <v>195</v>
      </c>
      <c r="C1518" s="90" t="s">
        <v>2577</v>
      </c>
      <c r="D1518" s="89">
        <v>10</v>
      </c>
      <c r="E1518" s="91" t="s">
        <v>25</v>
      </c>
      <c r="F1518" s="92">
        <v>600000</v>
      </c>
      <c r="G1518" s="92">
        <v>6000000</v>
      </c>
    </row>
    <row r="1519" spans="1:7" ht="15" x14ac:dyDescent="0.2">
      <c r="A1519" s="7" t="s">
        <v>2578</v>
      </c>
      <c r="B1519" s="97" t="s">
        <v>514</v>
      </c>
      <c r="C1519" s="98" t="s">
        <v>125</v>
      </c>
      <c r="D1519" s="97"/>
      <c r="E1519" s="99"/>
      <c r="F1519" s="100"/>
      <c r="G1519" s="100">
        <v>810000000</v>
      </c>
    </row>
    <row r="1520" spans="1:7" ht="15" x14ac:dyDescent="0.2">
      <c r="A1520" s="7" t="s">
        <v>2579</v>
      </c>
      <c r="B1520" s="78" t="s">
        <v>503</v>
      </c>
      <c r="C1520" s="79" t="s">
        <v>7</v>
      </c>
      <c r="D1520" s="78"/>
      <c r="E1520" s="80"/>
      <c r="F1520" s="81"/>
      <c r="G1520" s="81">
        <v>86780000</v>
      </c>
    </row>
    <row r="1521" spans="1:7" x14ac:dyDescent="0.2">
      <c r="A1521" s="7" t="s">
        <v>195</v>
      </c>
      <c r="B1521" s="89" t="s">
        <v>195</v>
      </c>
      <c r="C1521" s="90" t="s">
        <v>2580</v>
      </c>
      <c r="D1521" s="89">
        <v>0</v>
      </c>
      <c r="E1521" s="91" t="s">
        <v>195</v>
      </c>
      <c r="F1521" s="92">
        <v>0</v>
      </c>
      <c r="G1521" s="92">
        <v>0</v>
      </c>
    </row>
    <row r="1522" spans="1:7" x14ac:dyDescent="0.2">
      <c r="A1522" s="7" t="s">
        <v>2581</v>
      </c>
      <c r="B1522" s="89" t="s">
        <v>195</v>
      </c>
      <c r="C1522" s="90" t="s">
        <v>620</v>
      </c>
      <c r="D1522" s="89">
        <v>1</v>
      </c>
      <c r="E1522" s="91" t="s">
        <v>106</v>
      </c>
      <c r="F1522" s="92">
        <v>1000000</v>
      </c>
      <c r="G1522" s="92">
        <v>1000000</v>
      </c>
    </row>
    <row r="1523" spans="1:7" x14ac:dyDescent="0.2">
      <c r="A1523" s="7" t="s">
        <v>2582</v>
      </c>
      <c r="B1523" s="89" t="s">
        <v>195</v>
      </c>
      <c r="C1523" s="90" t="s">
        <v>2583</v>
      </c>
      <c r="D1523" s="89">
        <v>20</v>
      </c>
      <c r="E1523" s="91" t="s">
        <v>180</v>
      </c>
      <c r="F1523" s="92">
        <v>50000</v>
      </c>
      <c r="G1523" s="92">
        <v>1000000</v>
      </c>
    </row>
    <row r="1524" spans="1:7" x14ac:dyDescent="0.2">
      <c r="A1524" s="7" t="s">
        <v>2584</v>
      </c>
      <c r="B1524" s="89" t="s">
        <v>195</v>
      </c>
      <c r="C1524" s="90" t="s">
        <v>2585</v>
      </c>
      <c r="D1524" s="89">
        <v>20</v>
      </c>
      <c r="E1524" s="91" t="s">
        <v>180</v>
      </c>
      <c r="F1524" s="92">
        <v>100000</v>
      </c>
      <c r="G1524" s="92">
        <v>2000000</v>
      </c>
    </row>
    <row r="1525" spans="1:7" x14ac:dyDescent="0.2">
      <c r="A1525" s="7" t="s">
        <v>2586</v>
      </c>
      <c r="B1525" s="89" t="s">
        <v>195</v>
      </c>
      <c r="C1525" s="90" t="s">
        <v>619</v>
      </c>
      <c r="D1525" s="89">
        <v>1</v>
      </c>
      <c r="E1525" s="91" t="s">
        <v>106</v>
      </c>
      <c r="F1525" s="92">
        <v>1000000</v>
      </c>
      <c r="G1525" s="92">
        <v>1000000</v>
      </c>
    </row>
    <row r="1526" spans="1:7" x14ac:dyDescent="0.2">
      <c r="A1526" s="7" t="s">
        <v>195</v>
      </c>
      <c r="B1526" s="89" t="s">
        <v>195</v>
      </c>
      <c r="C1526" s="90" t="s">
        <v>2587</v>
      </c>
      <c r="D1526" s="89">
        <v>0</v>
      </c>
      <c r="E1526" s="91" t="s">
        <v>195</v>
      </c>
      <c r="F1526" s="92">
        <v>0</v>
      </c>
      <c r="G1526" s="92">
        <v>0</v>
      </c>
    </row>
    <row r="1527" spans="1:7" x14ac:dyDescent="0.2">
      <c r="A1527" s="7" t="s">
        <v>2588</v>
      </c>
      <c r="B1527" s="89" t="s">
        <v>195</v>
      </c>
      <c r="C1527" s="90" t="s">
        <v>619</v>
      </c>
      <c r="D1527" s="89">
        <v>1</v>
      </c>
      <c r="E1527" s="91" t="s">
        <v>106</v>
      </c>
      <c r="F1527" s="92">
        <v>1000000</v>
      </c>
      <c r="G1527" s="92">
        <v>1000000</v>
      </c>
    </row>
    <row r="1528" spans="1:7" x14ac:dyDescent="0.2">
      <c r="A1528" s="7" t="s">
        <v>2589</v>
      </c>
      <c r="B1528" s="89" t="s">
        <v>195</v>
      </c>
      <c r="C1528" s="90" t="s">
        <v>620</v>
      </c>
      <c r="D1528" s="89">
        <v>1</v>
      </c>
      <c r="E1528" s="91" t="s">
        <v>106</v>
      </c>
      <c r="F1528" s="92">
        <v>1000000</v>
      </c>
      <c r="G1528" s="92">
        <v>1000000</v>
      </c>
    </row>
    <row r="1529" spans="1:7" x14ac:dyDescent="0.2">
      <c r="A1529" s="7" t="s">
        <v>2590</v>
      </c>
      <c r="B1529" s="89" t="s">
        <v>195</v>
      </c>
      <c r="C1529" s="90" t="s">
        <v>2591</v>
      </c>
      <c r="D1529" s="89">
        <v>100</v>
      </c>
      <c r="E1529" s="91" t="s">
        <v>180</v>
      </c>
      <c r="F1529" s="92">
        <v>15000</v>
      </c>
      <c r="G1529" s="92">
        <v>1500000</v>
      </c>
    </row>
    <row r="1530" spans="1:7" x14ac:dyDescent="0.2">
      <c r="A1530" s="7" t="s">
        <v>2592</v>
      </c>
      <c r="B1530" s="89" t="s">
        <v>195</v>
      </c>
      <c r="C1530" s="90" t="s">
        <v>920</v>
      </c>
      <c r="D1530" s="89">
        <v>1</v>
      </c>
      <c r="E1530" s="91" t="s">
        <v>106</v>
      </c>
      <c r="F1530" s="92">
        <v>2000000</v>
      </c>
      <c r="G1530" s="92">
        <v>2000000</v>
      </c>
    </row>
    <row r="1531" spans="1:7" x14ac:dyDescent="0.2">
      <c r="A1531" s="7" t="s">
        <v>2593</v>
      </c>
      <c r="B1531" s="89" t="s">
        <v>195</v>
      </c>
      <c r="C1531" s="90" t="s">
        <v>2594</v>
      </c>
      <c r="D1531" s="89">
        <v>1</v>
      </c>
      <c r="E1531" s="91" t="s">
        <v>106</v>
      </c>
      <c r="F1531" s="92">
        <v>500000</v>
      </c>
      <c r="G1531" s="92">
        <v>500000</v>
      </c>
    </row>
    <row r="1532" spans="1:7" x14ac:dyDescent="0.2">
      <c r="A1532" s="7" t="s">
        <v>2595</v>
      </c>
      <c r="B1532" s="89" t="s">
        <v>195</v>
      </c>
      <c r="C1532" s="90" t="s">
        <v>920</v>
      </c>
      <c r="D1532" s="89">
        <v>1</v>
      </c>
      <c r="E1532" s="91" t="s">
        <v>106</v>
      </c>
      <c r="F1532" s="92">
        <v>1030000</v>
      </c>
      <c r="G1532" s="92">
        <v>1030000</v>
      </c>
    </row>
    <row r="1533" spans="1:7" x14ac:dyDescent="0.2">
      <c r="A1533" s="7" t="s">
        <v>2596</v>
      </c>
      <c r="B1533" s="89" t="s">
        <v>195</v>
      </c>
      <c r="C1533" s="90" t="s">
        <v>2597</v>
      </c>
      <c r="D1533" s="89">
        <v>160</v>
      </c>
      <c r="E1533" s="91" t="s">
        <v>106</v>
      </c>
      <c r="F1533" s="92">
        <v>350000</v>
      </c>
      <c r="G1533" s="92">
        <v>56000000</v>
      </c>
    </row>
    <row r="1534" spans="1:7" x14ac:dyDescent="0.2">
      <c r="A1534" s="7" t="s">
        <v>2598</v>
      </c>
      <c r="B1534" s="89" t="s">
        <v>195</v>
      </c>
      <c r="C1534" s="90" t="s">
        <v>2585</v>
      </c>
      <c r="D1534" s="89">
        <v>10</v>
      </c>
      <c r="E1534" s="91" t="s">
        <v>180</v>
      </c>
      <c r="F1534" s="92">
        <v>200000</v>
      </c>
      <c r="G1534" s="92">
        <v>2000000</v>
      </c>
    </row>
    <row r="1535" spans="1:7" x14ac:dyDescent="0.2">
      <c r="A1535" s="7" t="s">
        <v>2599</v>
      </c>
      <c r="B1535" s="89" t="s">
        <v>195</v>
      </c>
      <c r="C1535" s="90" t="s">
        <v>2594</v>
      </c>
      <c r="D1535" s="89">
        <v>1</v>
      </c>
      <c r="E1535" s="91" t="s">
        <v>106</v>
      </c>
      <c r="F1535" s="92">
        <v>250000</v>
      </c>
      <c r="G1535" s="92">
        <v>250000</v>
      </c>
    </row>
    <row r="1536" spans="1:7" x14ac:dyDescent="0.2">
      <c r="A1536" s="7" t="s">
        <v>2600</v>
      </c>
      <c r="B1536" s="89" t="s">
        <v>195</v>
      </c>
      <c r="C1536" s="90" t="s">
        <v>2597</v>
      </c>
      <c r="D1536" s="89">
        <v>32</v>
      </c>
      <c r="E1536" s="91" t="s">
        <v>106</v>
      </c>
      <c r="F1536" s="92">
        <v>250000</v>
      </c>
      <c r="G1536" s="92">
        <v>8000000</v>
      </c>
    </row>
    <row r="1537" spans="1:7" x14ac:dyDescent="0.2">
      <c r="A1537" s="7" t="s">
        <v>2601</v>
      </c>
      <c r="B1537" s="89" t="s">
        <v>195</v>
      </c>
      <c r="C1537" s="90" t="s">
        <v>619</v>
      </c>
      <c r="D1537" s="89">
        <v>1</v>
      </c>
      <c r="E1537" s="91" t="s">
        <v>106</v>
      </c>
      <c r="F1537" s="92">
        <v>1000000</v>
      </c>
      <c r="G1537" s="92">
        <v>1000000</v>
      </c>
    </row>
    <row r="1538" spans="1:7" x14ac:dyDescent="0.2">
      <c r="A1538" s="7" t="s">
        <v>2602</v>
      </c>
      <c r="B1538" s="89" t="s">
        <v>195</v>
      </c>
      <c r="C1538" s="90" t="s">
        <v>620</v>
      </c>
      <c r="D1538" s="89">
        <v>1</v>
      </c>
      <c r="E1538" s="91" t="s">
        <v>106</v>
      </c>
      <c r="F1538" s="92">
        <v>1000000</v>
      </c>
      <c r="G1538" s="92">
        <v>1000000</v>
      </c>
    </row>
    <row r="1539" spans="1:7" x14ac:dyDescent="0.2">
      <c r="A1539" s="7" t="s">
        <v>2603</v>
      </c>
      <c r="B1539" s="89" t="s">
        <v>195</v>
      </c>
      <c r="C1539" s="90" t="s">
        <v>1109</v>
      </c>
      <c r="D1539" s="89">
        <v>50</v>
      </c>
      <c r="E1539" s="91" t="s">
        <v>180</v>
      </c>
      <c r="F1539" s="92">
        <v>30000</v>
      </c>
      <c r="G1539" s="92">
        <v>1500000</v>
      </c>
    </row>
    <row r="1540" spans="1:7" x14ac:dyDescent="0.2">
      <c r="A1540" s="7" t="s">
        <v>2604</v>
      </c>
      <c r="B1540" s="89" t="s">
        <v>195</v>
      </c>
      <c r="C1540" s="90" t="s">
        <v>2114</v>
      </c>
      <c r="D1540" s="89">
        <v>50</v>
      </c>
      <c r="E1540" s="91" t="s">
        <v>180</v>
      </c>
      <c r="F1540" s="92">
        <v>100000</v>
      </c>
      <c r="G1540" s="92">
        <v>5000000</v>
      </c>
    </row>
    <row r="1541" spans="1:7" x14ac:dyDescent="0.2">
      <c r="A1541" s="7" t="s">
        <v>195</v>
      </c>
      <c r="B1541" s="89" t="s">
        <v>195</v>
      </c>
      <c r="C1541" s="90" t="s">
        <v>2605</v>
      </c>
      <c r="D1541" s="89">
        <v>0</v>
      </c>
      <c r="E1541" s="91" t="s">
        <v>195</v>
      </c>
      <c r="F1541" s="92">
        <v>0</v>
      </c>
      <c r="G1541" s="92">
        <v>0</v>
      </c>
    </row>
    <row r="1542" spans="1:7" ht="30" x14ac:dyDescent="0.2">
      <c r="A1542" s="7" t="s">
        <v>2606</v>
      </c>
      <c r="B1542" s="78" t="s">
        <v>515</v>
      </c>
      <c r="C1542" s="79" t="s">
        <v>642</v>
      </c>
      <c r="D1542" s="78"/>
      <c r="E1542" s="80"/>
      <c r="F1542" s="81"/>
      <c r="G1542" s="81">
        <v>24720000</v>
      </c>
    </row>
    <row r="1543" spans="1:7" ht="28.5" x14ac:dyDescent="0.2">
      <c r="A1543" s="7" t="s">
        <v>2607</v>
      </c>
      <c r="B1543" s="89" t="s">
        <v>195</v>
      </c>
      <c r="C1543" s="90" t="s">
        <v>2608</v>
      </c>
      <c r="D1543" s="89">
        <v>96</v>
      </c>
      <c r="E1543" s="91" t="s">
        <v>25</v>
      </c>
      <c r="F1543" s="92">
        <v>200000</v>
      </c>
      <c r="G1543" s="92">
        <v>19200000</v>
      </c>
    </row>
    <row r="1544" spans="1:7" ht="28.5" x14ac:dyDescent="0.2">
      <c r="A1544" s="7" t="s">
        <v>2609</v>
      </c>
      <c r="B1544" s="89" t="s">
        <v>195</v>
      </c>
      <c r="C1544" s="90" t="s">
        <v>891</v>
      </c>
      <c r="D1544" s="89">
        <v>12</v>
      </c>
      <c r="E1544" s="91" t="s">
        <v>106</v>
      </c>
      <c r="F1544" s="92">
        <v>300000</v>
      </c>
      <c r="G1544" s="92">
        <v>3600000</v>
      </c>
    </row>
    <row r="1545" spans="1:7" x14ac:dyDescent="0.2">
      <c r="A1545" s="7" t="s">
        <v>2610</v>
      </c>
      <c r="B1545" s="89" t="s">
        <v>195</v>
      </c>
      <c r="C1545" s="90" t="s">
        <v>2611</v>
      </c>
      <c r="D1545" s="89">
        <v>12</v>
      </c>
      <c r="E1545" s="91" t="s">
        <v>106</v>
      </c>
      <c r="F1545" s="92">
        <v>160000</v>
      </c>
      <c r="G1545" s="92">
        <v>1920000</v>
      </c>
    </row>
    <row r="1546" spans="1:7" ht="15" x14ac:dyDescent="0.2">
      <c r="A1546" s="7" t="s">
        <v>2612</v>
      </c>
      <c r="B1546" s="78" t="s">
        <v>537</v>
      </c>
      <c r="C1546" s="79" t="s">
        <v>64</v>
      </c>
      <c r="D1546" s="78"/>
      <c r="E1546" s="80"/>
      <c r="F1546" s="81"/>
      <c r="G1546" s="81">
        <v>20000000</v>
      </c>
    </row>
    <row r="1547" spans="1:7" x14ac:dyDescent="0.2">
      <c r="A1547" s="7" t="s">
        <v>2613</v>
      </c>
      <c r="B1547" s="89" t="s">
        <v>195</v>
      </c>
      <c r="C1547" s="90" t="s">
        <v>619</v>
      </c>
      <c r="D1547" s="89">
        <v>10</v>
      </c>
      <c r="E1547" s="91" t="s">
        <v>106</v>
      </c>
      <c r="F1547" s="92">
        <v>1000000</v>
      </c>
      <c r="G1547" s="92">
        <v>10000000</v>
      </c>
    </row>
    <row r="1548" spans="1:7" x14ac:dyDescent="0.2">
      <c r="A1548" s="7" t="s">
        <v>2614</v>
      </c>
      <c r="B1548" s="89" t="s">
        <v>195</v>
      </c>
      <c r="C1548" s="90" t="s">
        <v>620</v>
      </c>
      <c r="D1548" s="89">
        <v>10</v>
      </c>
      <c r="E1548" s="91" t="s">
        <v>106</v>
      </c>
      <c r="F1548" s="92">
        <v>1000000</v>
      </c>
      <c r="G1548" s="92">
        <v>10000000</v>
      </c>
    </row>
    <row r="1549" spans="1:7" ht="15" x14ac:dyDescent="0.2">
      <c r="A1549" s="7" t="s">
        <v>2615</v>
      </c>
      <c r="B1549" s="78" t="s">
        <v>516</v>
      </c>
      <c r="C1549" s="79" t="s">
        <v>11</v>
      </c>
      <c r="D1549" s="78"/>
      <c r="E1549" s="80"/>
      <c r="F1549" s="81"/>
      <c r="G1549" s="81">
        <v>24400000</v>
      </c>
    </row>
    <row r="1550" spans="1:7" x14ac:dyDescent="0.2">
      <c r="A1550" s="7" t="s">
        <v>2616</v>
      </c>
      <c r="B1550" s="89" t="s">
        <v>195</v>
      </c>
      <c r="C1550" s="90" t="s">
        <v>2617</v>
      </c>
      <c r="D1550" s="89">
        <v>4</v>
      </c>
      <c r="E1550" s="91" t="s">
        <v>54</v>
      </c>
      <c r="F1550" s="92">
        <v>1400000</v>
      </c>
      <c r="G1550" s="92">
        <v>5600000</v>
      </c>
    </row>
    <row r="1551" spans="1:7" ht="28.5" x14ac:dyDescent="0.2">
      <c r="A1551" s="7" t="s">
        <v>2618</v>
      </c>
      <c r="B1551" s="89" t="s">
        <v>195</v>
      </c>
      <c r="C1551" s="90" t="s">
        <v>2619</v>
      </c>
      <c r="D1551" s="89">
        <v>8</v>
      </c>
      <c r="E1551" s="91" t="s">
        <v>54</v>
      </c>
      <c r="F1551" s="92">
        <v>1000000</v>
      </c>
      <c r="G1551" s="92">
        <v>8000000</v>
      </c>
    </row>
    <row r="1552" spans="1:7" ht="28.5" x14ac:dyDescent="0.2">
      <c r="A1552" s="7" t="s">
        <v>2620</v>
      </c>
      <c r="B1552" s="89" t="s">
        <v>195</v>
      </c>
      <c r="C1552" s="90" t="s">
        <v>2621</v>
      </c>
      <c r="D1552" s="89">
        <v>12</v>
      </c>
      <c r="E1552" s="91" t="s">
        <v>54</v>
      </c>
      <c r="F1552" s="92">
        <v>900000</v>
      </c>
      <c r="G1552" s="92">
        <v>10800000</v>
      </c>
    </row>
    <row r="1553" spans="1:7" ht="15" x14ac:dyDescent="0.2">
      <c r="A1553" s="7" t="s">
        <v>2622</v>
      </c>
      <c r="B1553" s="78" t="s">
        <v>518</v>
      </c>
      <c r="C1553" s="79" t="s">
        <v>24</v>
      </c>
      <c r="D1553" s="78"/>
      <c r="E1553" s="80"/>
      <c r="F1553" s="81"/>
      <c r="G1553" s="81">
        <v>24000000</v>
      </c>
    </row>
    <row r="1554" spans="1:7" x14ac:dyDescent="0.2">
      <c r="A1554" s="7" t="s">
        <v>2623</v>
      </c>
      <c r="B1554" s="89" t="s">
        <v>195</v>
      </c>
      <c r="C1554" s="90" t="s">
        <v>2624</v>
      </c>
      <c r="D1554" s="89">
        <v>160</v>
      </c>
      <c r="E1554" s="91" t="s">
        <v>25</v>
      </c>
      <c r="F1554" s="92">
        <v>150000</v>
      </c>
      <c r="G1554" s="92">
        <v>24000000</v>
      </c>
    </row>
    <row r="1555" spans="1:7" ht="15" x14ac:dyDescent="0.2">
      <c r="A1555" s="7" t="s">
        <v>2625</v>
      </c>
      <c r="B1555" s="78" t="s">
        <v>513</v>
      </c>
      <c r="C1555" s="79" t="s">
        <v>19</v>
      </c>
      <c r="D1555" s="78"/>
      <c r="E1555" s="80"/>
      <c r="F1555" s="81"/>
      <c r="G1555" s="81">
        <v>180000000</v>
      </c>
    </row>
    <row r="1556" spans="1:7" x14ac:dyDescent="0.2">
      <c r="A1556" s="7" t="s">
        <v>2626</v>
      </c>
      <c r="B1556" s="89" t="s">
        <v>195</v>
      </c>
      <c r="C1556" s="90" t="s">
        <v>2627</v>
      </c>
      <c r="D1556" s="89">
        <v>36</v>
      </c>
      <c r="E1556" s="91" t="s">
        <v>25</v>
      </c>
      <c r="F1556" s="92">
        <v>5000000</v>
      </c>
      <c r="G1556" s="92">
        <v>180000000</v>
      </c>
    </row>
    <row r="1557" spans="1:7" ht="30" x14ac:dyDescent="0.2">
      <c r="A1557" s="7" t="s">
        <v>2628</v>
      </c>
      <c r="B1557" s="78" t="s">
        <v>509</v>
      </c>
      <c r="C1557" s="79" t="s">
        <v>14</v>
      </c>
      <c r="D1557" s="78"/>
      <c r="E1557" s="80"/>
      <c r="F1557" s="81"/>
      <c r="G1557" s="81">
        <v>10800000</v>
      </c>
    </row>
    <row r="1558" spans="1:7" ht="28.5" x14ac:dyDescent="0.2">
      <c r="A1558" s="7" t="s">
        <v>2629</v>
      </c>
      <c r="B1558" s="89" t="s">
        <v>195</v>
      </c>
      <c r="C1558" s="90" t="s">
        <v>2630</v>
      </c>
      <c r="D1558" s="89">
        <v>30</v>
      </c>
      <c r="E1558" s="91" t="s">
        <v>25</v>
      </c>
      <c r="F1558" s="92">
        <v>210000</v>
      </c>
      <c r="G1558" s="92">
        <v>6300000</v>
      </c>
    </row>
    <row r="1559" spans="1:7" ht="28.5" x14ac:dyDescent="0.2">
      <c r="A1559" s="7" t="s">
        <v>2631</v>
      </c>
      <c r="B1559" s="89" t="s">
        <v>195</v>
      </c>
      <c r="C1559" s="90" t="s">
        <v>2632</v>
      </c>
      <c r="D1559" s="89">
        <v>30</v>
      </c>
      <c r="E1559" s="91" t="s">
        <v>25</v>
      </c>
      <c r="F1559" s="92">
        <v>150000</v>
      </c>
      <c r="G1559" s="92">
        <v>4500000</v>
      </c>
    </row>
    <row r="1560" spans="1:7" ht="15" x14ac:dyDescent="0.2">
      <c r="A1560" s="7" t="s">
        <v>2633</v>
      </c>
      <c r="B1560" s="78" t="s">
        <v>510</v>
      </c>
      <c r="C1560" s="79" t="s">
        <v>15</v>
      </c>
      <c r="D1560" s="78"/>
      <c r="E1560" s="80"/>
      <c r="F1560" s="81"/>
      <c r="G1560" s="81">
        <v>439300000</v>
      </c>
    </row>
    <row r="1561" spans="1:7" x14ac:dyDescent="0.2">
      <c r="A1561" s="7" t="s">
        <v>195</v>
      </c>
      <c r="B1561" s="89" t="s">
        <v>195</v>
      </c>
      <c r="C1561" s="90" t="s">
        <v>2634</v>
      </c>
      <c r="D1561" s="89">
        <v>0</v>
      </c>
      <c r="E1561" s="91" t="s">
        <v>195</v>
      </c>
      <c r="F1561" s="92">
        <v>0</v>
      </c>
      <c r="G1561" s="92">
        <v>0</v>
      </c>
    </row>
    <row r="1562" spans="1:7" x14ac:dyDescent="0.2">
      <c r="A1562" s="7" t="s">
        <v>2635</v>
      </c>
      <c r="B1562" s="89" t="s">
        <v>195</v>
      </c>
      <c r="C1562" s="90" t="s">
        <v>2636</v>
      </c>
      <c r="D1562" s="89">
        <v>480</v>
      </c>
      <c r="E1562" s="91" t="s">
        <v>25</v>
      </c>
      <c r="F1562" s="92">
        <v>808000</v>
      </c>
      <c r="G1562" s="92">
        <v>387600000</v>
      </c>
    </row>
    <row r="1563" spans="1:7" x14ac:dyDescent="0.2">
      <c r="A1563" s="7" t="s">
        <v>2637</v>
      </c>
      <c r="B1563" s="89" t="s">
        <v>195</v>
      </c>
      <c r="C1563" s="90" t="s">
        <v>2638</v>
      </c>
      <c r="D1563" s="89">
        <v>24</v>
      </c>
      <c r="E1563" s="91" t="s">
        <v>25</v>
      </c>
      <c r="F1563" s="92">
        <v>600000</v>
      </c>
      <c r="G1563" s="92">
        <v>14400000</v>
      </c>
    </row>
    <row r="1564" spans="1:7" ht="28.5" x14ac:dyDescent="0.2">
      <c r="A1564" s="7" t="s">
        <v>2639</v>
      </c>
      <c r="B1564" s="89" t="s">
        <v>195</v>
      </c>
      <c r="C1564" s="90" t="s">
        <v>2640</v>
      </c>
      <c r="D1564" s="89">
        <v>30</v>
      </c>
      <c r="E1564" s="91" t="s">
        <v>73</v>
      </c>
      <c r="F1564" s="92">
        <v>150000</v>
      </c>
      <c r="G1564" s="92">
        <v>4500000</v>
      </c>
    </row>
    <row r="1565" spans="1:7" ht="28.5" x14ac:dyDescent="0.2">
      <c r="A1565" s="7" t="s">
        <v>2641</v>
      </c>
      <c r="B1565" s="89" t="s">
        <v>195</v>
      </c>
      <c r="C1565" s="90" t="s">
        <v>2642</v>
      </c>
      <c r="D1565" s="89">
        <v>10</v>
      </c>
      <c r="E1565" s="91" t="s">
        <v>25</v>
      </c>
      <c r="F1565" s="92">
        <v>1030000</v>
      </c>
      <c r="G1565" s="92">
        <v>10300000</v>
      </c>
    </row>
    <row r="1566" spans="1:7" x14ac:dyDescent="0.2">
      <c r="A1566" s="7" t="s">
        <v>195</v>
      </c>
      <c r="B1566" s="89" t="s">
        <v>195</v>
      </c>
      <c r="C1566" s="90" t="s">
        <v>2643</v>
      </c>
      <c r="D1566" s="89">
        <v>0</v>
      </c>
      <c r="E1566" s="91" t="s">
        <v>195</v>
      </c>
      <c r="F1566" s="92">
        <v>0</v>
      </c>
      <c r="G1566" s="92">
        <v>0</v>
      </c>
    </row>
    <row r="1567" spans="1:7" ht="28.5" x14ac:dyDescent="0.2">
      <c r="A1567" s="7" t="s">
        <v>2644</v>
      </c>
      <c r="B1567" s="89" t="s">
        <v>195</v>
      </c>
      <c r="C1567" s="90" t="s">
        <v>2630</v>
      </c>
      <c r="D1567" s="89">
        <v>30</v>
      </c>
      <c r="E1567" s="91" t="s">
        <v>25</v>
      </c>
      <c r="F1567" s="92">
        <v>150000</v>
      </c>
      <c r="G1567" s="92">
        <v>4500000</v>
      </c>
    </row>
    <row r="1568" spans="1:7" ht="28.5" x14ac:dyDescent="0.2">
      <c r="A1568" s="7" t="s">
        <v>2645</v>
      </c>
      <c r="B1568" s="89" t="s">
        <v>195</v>
      </c>
      <c r="C1568" s="90" t="s">
        <v>2646</v>
      </c>
      <c r="D1568" s="89">
        <v>30</v>
      </c>
      <c r="E1568" s="91" t="s">
        <v>25</v>
      </c>
      <c r="F1568" s="92">
        <v>600000</v>
      </c>
      <c r="G1568" s="92">
        <v>18000000</v>
      </c>
    </row>
    <row r="1569" spans="1:7" ht="45" x14ac:dyDescent="0.2">
      <c r="A1569" s="7" t="s">
        <v>2647</v>
      </c>
      <c r="B1569" s="93" t="s">
        <v>1316</v>
      </c>
      <c r="C1569" s="94" t="s">
        <v>2648</v>
      </c>
      <c r="D1569" s="93"/>
      <c r="E1569" s="95"/>
      <c r="F1569" s="96"/>
      <c r="G1569" s="96">
        <v>1448000000</v>
      </c>
    </row>
    <row r="1570" spans="1:7" ht="30" x14ac:dyDescent="0.2">
      <c r="A1570" s="7" t="s">
        <v>2649</v>
      </c>
      <c r="B1570" s="97" t="s">
        <v>8</v>
      </c>
      <c r="C1570" s="98" t="s">
        <v>126</v>
      </c>
      <c r="D1570" s="97"/>
      <c r="E1570" s="99"/>
      <c r="F1570" s="100"/>
      <c r="G1570" s="100">
        <v>68200000</v>
      </c>
    </row>
    <row r="1571" spans="1:7" ht="15" x14ac:dyDescent="0.2">
      <c r="A1571" s="7" t="s">
        <v>2650</v>
      </c>
      <c r="B1571" s="78" t="s">
        <v>503</v>
      </c>
      <c r="C1571" s="79" t="s">
        <v>7</v>
      </c>
      <c r="D1571" s="78"/>
      <c r="E1571" s="80"/>
      <c r="F1571" s="81"/>
      <c r="G1571" s="81">
        <v>26200000</v>
      </c>
    </row>
    <row r="1572" spans="1:7" x14ac:dyDescent="0.2">
      <c r="A1572" s="7" t="s">
        <v>2651</v>
      </c>
      <c r="B1572" s="89" t="s">
        <v>195</v>
      </c>
      <c r="C1572" s="90" t="s">
        <v>619</v>
      </c>
      <c r="D1572" s="89">
        <v>3</v>
      </c>
      <c r="E1572" s="91" t="s">
        <v>9</v>
      </c>
      <c r="F1572" s="92">
        <v>1000000</v>
      </c>
      <c r="G1572" s="92">
        <v>3000000</v>
      </c>
    </row>
    <row r="1573" spans="1:7" x14ac:dyDescent="0.2">
      <c r="A1573" s="7" t="s">
        <v>2652</v>
      </c>
      <c r="B1573" s="89" t="s">
        <v>195</v>
      </c>
      <c r="C1573" s="90" t="s">
        <v>620</v>
      </c>
      <c r="D1573" s="89">
        <v>3</v>
      </c>
      <c r="E1573" s="91" t="s">
        <v>9</v>
      </c>
      <c r="F1573" s="92">
        <v>1000000</v>
      </c>
      <c r="G1573" s="92">
        <v>3000000</v>
      </c>
    </row>
    <row r="1574" spans="1:7" x14ac:dyDescent="0.2">
      <c r="A1574" s="7" t="s">
        <v>2653</v>
      </c>
      <c r="B1574" s="89" t="s">
        <v>195</v>
      </c>
      <c r="C1574" s="90" t="s">
        <v>617</v>
      </c>
      <c r="D1574" s="89">
        <v>3</v>
      </c>
      <c r="E1574" s="91" t="s">
        <v>9</v>
      </c>
      <c r="F1574" s="92">
        <v>1000000</v>
      </c>
      <c r="G1574" s="92">
        <v>3000000</v>
      </c>
    </row>
    <row r="1575" spans="1:7" x14ac:dyDescent="0.2">
      <c r="A1575" s="7" t="s">
        <v>2654</v>
      </c>
      <c r="B1575" s="89" t="s">
        <v>195</v>
      </c>
      <c r="C1575" s="90" t="s">
        <v>2655</v>
      </c>
      <c r="D1575" s="89">
        <v>100</v>
      </c>
      <c r="E1575" s="91" t="s">
        <v>10</v>
      </c>
      <c r="F1575" s="92">
        <v>22000</v>
      </c>
      <c r="G1575" s="92">
        <v>2200000</v>
      </c>
    </row>
    <row r="1576" spans="1:7" x14ac:dyDescent="0.2">
      <c r="A1576" s="7" t="s">
        <v>2656</v>
      </c>
      <c r="B1576" s="89" t="s">
        <v>195</v>
      </c>
      <c r="C1576" s="90" t="s">
        <v>2657</v>
      </c>
      <c r="D1576" s="89">
        <v>3</v>
      </c>
      <c r="E1576" s="91" t="s">
        <v>9</v>
      </c>
      <c r="F1576" s="92">
        <v>5000000</v>
      </c>
      <c r="G1576" s="92">
        <v>15000000</v>
      </c>
    </row>
    <row r="1577" spans="1:7" ht="15" x14ac:dyDescent="0.2">
      <c r="A1577" s="7" t="s">
        <v>2658</v>
      </c>
      <c r="B1577" s="78" t="s">
        <v>513</v>
      </c>
      <c r="C1577" s="79" t="s">
        <v>19</v>
      </c>
      <c r="D1577" s="78"/>
      <c r="E1577" s="80"/>
      <c r="F1577" s="81"/>
      <c r="G1577" s="81">
        <v>42000000</v>
      </c>
    </row>
    <row r="1578" spans="1:7" ht="28.5" x14ac:dyDescent="0.2">
      <c r="A1578" s="7" t="s">
        <v>2659</v>
      </c>
      <c r="B1578" s="89" t="s">
        <v>195</v>
      </c>
      <c r="C1578" s="90" t="s">
        <v>2660</v>
      </c>
      <c r="D1578" s="89">
        <v>10</v>
      </c>
      <c r="E1578" s="91" t="s">
        <v>10</v>
      </c>
      <c r="F1578" s="92">
        <v>4200000</v>
      </c>
      <c r="G1578" s="92">
        <v>42000000</v>
      </c>
    </row>
    <row r="1579" spans="1:7" ht="30" x14ac:dyDescent="0.2">
      <c r="A1579" s="7" t="s">
        <v>2661</v>
      </c>
      <c r="B1579" s="97" t="s">
        <v>511</v>
      </c>
      <c r="C1579" s="98" t="s">
        <v>2662</v>
      </c>
      <c r="D1579" s="97"/>
      <c r="E1579" s="99"/>
      <c r="F1579" s="100"/>
      <c r="G1579" s="100">
        <v>72700000</v>
      </c>
    </row>
    <row r="1580" spans="1:7" ht="15" x14ac:dyDescent="0.2">
      <c r="A1580" s="7" t="s">
        <v>2663</v>
      </c>
      <c r="B1580" s="78" t="s">
        <v>503</v>
      </c>
      <c r="C1580" s="79" t="s">
        <v>7</v>
      </c>
      <c r="D1580" s="78"/>
      <c r="E1580" s="80"/>
      <c r="F1580" s="81"/>
      <c r="G1580" s="81">
        <v>26200000</v>
      </c>
    </row>
    <row r="1581" spans="1:7" x14ac:dyDescent="0.2">
      <c r="A1581" s="7" t="s">
        <v>2664</v>
      </c>
      <c r="B1581" s="89" t="s">
        <v>195</v>
      </c>
      <c r="C1581" s="90" t="s">
        <v>619</v>
      </c>
      <c r="D1581" s="89">
        <v>3</v>
      </c>
      <c r="E1581" s="91" t="s">
        <v>9</v>
      </c>
      <c r="F1581" s="92">
        <v>1000000</v>
      </c>
      <c r="G1581" s="92">
        <v>3000000</v>
      </c>
    </row>
    <row r="1582" spans="1:7" x14ac:dyDescent="0.2">
      <c r="A1582" s="7" t="s">
        <v>2665</v>
      </c>
      <c r="B1582" s="89" t="s">
        <v>195</v>
      </c>
      <c r="C1582" s="90" t="s">
        <v>620</v>
      </c>
      <c r="D1582" s="89">
        <v>3</v>
      </c>
      <c r="E1582" s="91" t="s">
        <v>9</v>
      </c>
      <c r="F1582" s="92">
        <v>1000000</v>
      </c>
      <c r="G1582" s="92">
        <v>3000000</v>
      </c>
    </row>
    <row r="1583" spans="1:7" x14ac:dyDescent="0.2">
      <c r="A1583" s="7" t="s">
        <v>2666</v>
      </c>
      <c r="B1583" s="89" t="s">
        <v>195</v>
      </c>
      <c r="C1583" s="90" t="s">
        <v>617</v>
      </c>
      <c r="D1583" s="89">
        <v>3</v>
      </c>
      <c r="E1583" s="91" t="s">
        <v>9</v>
      </c>
      <c r="F1583" s="92">
        <v>1000000</v>
      </c>
      <c r="G1583" s="92">
        <v>3000000</v>
      </c>
    </row>
    <row r="1584" spans="1:7" x14ac:dyDescent="0.2">
      <c r="A1584" s="7" t="s">
        <v>2667</v>
      </c>
      <c r="B1584" s="89" t="s">
        <v>195</v>
      </c>
      <c r="C1584" s="90" t="s">
        <v>2655</v>
      </c>
      <c r="D1584" s="89">
        <v>100</v>
      </c>
      <c r="E1584" s="91" t="s">
        <v>10</v>
      </c>
      <c r="F1584" s="92">
        <v>22000</v>
      </c>
      <c r="G1584" s="92">
        <v>2200000</v>
      </c>
    </row>
    <row r="1585" spans="1:7" x14ac:dyDescent="0.2">
      <c r="A1585" s="7" t="s">
        <v>2668</v>
      </c>
      <c r="B1585" s="89" t="s">
        <v>195</v>
      </c>
      <c r="C1585" s="90" t="s">
        <v>2657</v>
      </c>
      <c r="D1585" s="89">
        <v>3</v>
      </c>
      <c r="E1585" s="91" t="s">
        <v>9</v>
      </c>
      <c r="F1585" s="92">
        <v>5000000</v>
      </c>
      <c r="G1585" s="92">
        <v>15000000</v>
      </c>
    </row>
    <row r="1586" spans="1:7" ht="15" x14ac:dyDescent="0.2">
      <c r="A1586" s="7" t="s">
        <v>2669</v>
      </c>
      <c r="B1586" s="78" t="s">
        <v>513</v>
      </c>
      <c r="C1586" s="79" t="s">
        <v>19</v>
      </c>
      <c r="D1586" s="78"/>
      <c r="E1586" s="80"/>
      <c r="F1586" s="81"/>
      <c r="G1586" s="81">
        <v>42000000</v>
      </c>
    </row>
    <row r="1587" spans="1:7" ht="28.5" x14ac:dyDescent="0.2">
      <c r="A1587" s="7" t="s">
        <v>2670</v>
      </c>
      <c r="B1587" s="89" t="s">
        <v>195</v>
      </c>
      <c r="C1587" s="90" t="s">
        <v>2660</v>
      </c>
      <c r="D1587" s="89">
        <v>10</v>
      </c>
      <c r="E1587" s="91" t="s">
        <v>10</v>
      </c>
      <c r="F1587" s="92">
        <v>4200000</v>
      </c>
      <c r="G1587" s="92">
        <v>42000000</v>
      </c>
    </row>
    <row r="1588" spans="1:7" ht="15" x14ac:dyDescent="0.2">
      <c r="A1588" s="7" t="s">
        <v>2671</v>
      </c>
      <c r="B1588" s="78" t="s">
        <v>507</v>
      </c>
      <c r="C1588" s="79" t="s">
        <v>13</v>
      </c>
      <c r="D1588" s="78"/>
      <c r="E1588" s="80"/>
      <c r="F1588" s="81"/>
      <c r="G1588" s="81">
        <v>4500000</v>
      </c>
    </row>
    <row r="1589" spans="1:7" x14ac:dyDescent="0.2">
      <c r="A1589" s="7" t="s">
        <v>2672</v>
      </c>
      <c r="B1589" s="89" t="s">
        <v>195</v>
      </c>
      <c r="C1589" s="90" t="s">
        <v>2673</v>
      </c>
      <c r="D1589" s="89">
        <v>30</v>
      </c>
      <c r="E1589" s="91" t="s">
        <v>10</v>
      </c>
      <c r="F1589" s="92">
        <v>150000</v>
      </c>
      <c r="G1589" s="92">
        <v>4500000</v>
      </c>
    </row>
    <row r="1590" spans="1:7" ht="30" x14ac:dyDescent="0.2">
      <c r="A1590" s="7" t="s">
        <v>2674</v>
      </c>
      <c r="B1590" s="97" t="s">
        <v>512</v>
      </c>
      <c r="C1590" s="98" t="s">
        <v>127</v>
      </c>
      <c r="D1590" s="97"/>
      <c r="E1590" s="99"/>
      <c r="F1590" s="100"/>
      <c r="G1590" s="100">
        <v>851600000</v>
      </c>
    </row>
    <row r="1591" spans="1:7" ht="15" x14ac:dyDescent="0.2">
      <c r="A1591" s="7" t="s">
        <v>2675</v>
      </c>
      <c r="B1591" s="78" t="s">
        <v>503</v>
      </c>
      <c r="C1591" s="79" t="s">
        <v>7</v>
      </c>
      <c r="D1591" s="78"/>
      <c r="E1591" s="80"/>
      <c r="F1591" s="81"/>
      <c r="G1591" s="81">
        <v>68650000</v>
      </c>
    </row>
    <row r="1592" spans="1:7" x14ac:dyDescent="0.2">
      <c r="A1592" s="7" t="s">
        <v>2676</v>
      </c>
      <c r="B1592" s="89" t="s">
        <v>195</v>
      </c>
      <c r="C1592" s="90" t="s">
        <v>619</v>
      </c>
      <c r="D1592" s="89">
        <v>2</v>
      </c>
      <c r="E1592" s="91" t="s">
        <v>9</v>
      </c>
      <c r="F1592" s="92">
        <v>1000000</v>
      </c>
      <c r="G1592" s="92">
        <v>2000000</v>
      </c>
    </row>
    <row r="1593" spans="1:7" x14ac:dyDescent="0.2">
      <c r="A1593" s="7" t="s">
        <v>2677</v>
      </c>
      <c r="B1593" s="89" t="s">
        <v>195</v>
      </c>
      <c r="C1593" s="90" t="s">
        <v>620</v>
      </c>
      <c r="D1593" s="89">
        <v>2</v>
      </c>
      <c r="E1593" s="91" t="s">
        <v>9</v>
      </c>
      <c r="F1593" s="92">
        <v>1000000</v>
      </c>
      <c r="G1593" s="92">
        <v>2000000</v>
      </c>
    </row>
    <row r="1594" spans="1:7" x14ac:dyDescent="0.2">
      <c r="A1594" s="7" t="s">
        <v>2678</v>
      </c>
      <c r="B1594" s="89" t="s">
        <v>195</v>
      </c>
      <c r="C1594" s="90" t="s">
        <v>617</v>
      </c>
      <c r="D1594" s="89">
        <v>2</v>
      </c>
      <c r="E1594" s="91" t="s">
        <v>9</v>
      </c>
      <c r="F1594" s="92">
        <v>1500000</v>
      </c>
      <c r="G1594" s="92">
        <v>3000000</v>
      </c>
    </row>
    <row r="1595" spans="1:7" x14ac:dyDescent="0.2">
      <c r="A1595" s="7" t="s">
        <v>2679</v>
      </c>
      <c r="B1595" s="89" t="s">
        <v>195</v>
      </c>
      <c r="C1595" s="90" t="s">
        <v>920</v>
      </c>
      <c r="D1595" s="89">
        <v>2</v>
      </c>
      <c r="E1595" s="91" t="s">
        <v>9</v>
      </c>
      <c r="F1595" s="92">
        <v>1500000</v>
      </c>
      <c r="G1595" s="92">
        <v>3000000</v>
      </c>
    </row>
    <row r="1596" spans="1:7" x14ac:dyDescent="0.2">
      <c r="A1596" s="7" t="s">
        <v>2680</v>
      </c>
      <c r="B1596" s="89" t="s">
        <v>195</v>
      </c>
      <c r="C1596" s="90" t="s">
        <v>2681</v>
      </c>
      <c r="D1596" s="89">
        <v>140</v>
      </c>
      <c r="E1596" s="91" t="s">
        <v>10</v>
      </c>
      <c r="F1596" s="92">
        <v>350000</v>
      </c>
      <c r="G1596" s="92">
        <v>49000000</v>
      </c>
    </row>
    <row r="1597" spans="1:7" x14ac:dyDescent="0.2">
      <c r="A1597" s="7" t="s">
        <v>2682</v>
      </c>
      <c r="B1597" s="89" t="s">
        <v>195</v>
      </c>
      <c r="C1597" s="90" t="s">
        <v>1276</v>
      </c>
      <c r="D1597" s="89">
        <v>2</v>
      </c>
      <c r="E1597" s="91" t="s">
        <v>9</v>
      </c>
      <c r="F1597" s="92">
        <v>4000000</v>
      </c>
      <c r="G1597" s="92">
        <v>8000000</v>
      </c>
    </row>
    <row r="1598" spans="1:7" x14ac:dyDescent="0.2">
      <c r="A1598" s="7" t="s">
        <v>2683</v>
      </c>
      <c r="B1598" s="89" t="s">
        <v>195</v>
      </c>
      <c r="C1598" s="90" t="s">
        <v>2655</v>
      </c>
      <c r="D1598" s="89">
        <v>75</v>
      </c>
      <c r="E1598" s="91" t="s">
        <v>10</v>
      </c>
      <c r="F1598" s="92">
        <v>22000</v>
      </c>
      <c r="G1598" s="92">
        <v>1650000</v>
      </c>
    </row>
    <row r="1599" spans="1:7" ht="15" x14ac:dyDescent="0.2">
      <c r="A1599" s="7" t="s">
        <v>2684</v>
      </c>
      <c r="B1599" s="78" t="s">
        <v>516</v>
      </c>
      <c r="C1599" s="79" t="s">
        <v>11</v>
      </c>
      <c r="D1599" s="78"/>
      <c r="E1599" s="80"/>
      <c r="F1599" s="81"/>
      <c r="G1599" s="81">
        <v>26400000</v>
      </c>
    </row>
    <row r="1600" spans="1:7" x14ac:dyDescent="0.2">
      <c r="A1600" s="7" t="s">
        <v>2685</v>
      </c>
      <c r="B1600" s="89" t="s">
        <v>195</v>
      </c>
      <c r="C1600" s="90" t="s">
        <v>2686</v>
      </c>
      <c r="D1600" s="89">
        <v>8</v>
      </c>
      <c r="E1600" s="91" t="s">
        <v>12</v>
      </c>
      <c r="F1600" s="92">
        <v>1400000</v>
      </c>
      <c r="G1600" s="92">
        <v>11200000</v>
      </c>
    </row>
    <row r="1601" spans="1:7" x14ac:dyDescent="0.2">
      <c r="A1601" s="7" t="s">
        <v>2687</v>
      </c>
      <c r="B1601" s="89" t="s">
        <v>195</v>
      </c>
      <c r="C1601" s="90" t="s">
        <v>2688</v>
      </c>
      <c r="D1601" s="89">
        <v>8</v>
      </c>
      <c r="E1601" s="91" t="s">
        <v>12</v>
      </c>
      <c r="F1601" s="92">
        <v>1000000</v>
      </c>
      <c r="G1601" s="92">
        <v>8000000</v>
      </c>
    </row>
    <row r="1602" spans="1:7" x14ac:dyDescent="0.2">
      <c r="A1602" s="7" t="s">
        <v>2689</v>
      </c>
      <c r="B1602" s="89" t="s">
        <v>195</v>
      </c>
      <c r="C1602" s="90" t="s">
        <v>2690</v>
      </c>
      <c r="D1602" s="89">
        <v>8</v>
      </c>
      <c r="E1602" s="91" t="s">
        <v>12</v>
      </c>
      <c r="F1602" s="92">
        <v>900000</v>
      </c>
      <c r="G1602" s="92">
        <v>7200000</v>
      </c>
    </row>
    <row r="1603" spans="1:7" ht="15" x14ac:dyDescent="0.2">
      <c r="A1603" s="7" t="s">
        <v>2691</v>
      </c>
      <c r="B1603" s="78" t="s">
        <v>518</v>
      </c>
      <c r="C1603" s="79" t="s">
        <v>24</v>
      </c>
      <c r="D1603" s="78"/>
      <c r="E1603" s="80"/>
      <c r="F1603" s="81"/>
      <c r="G1603" s="81">
        <v>32000000</v>
      </c>
    </row>
    <row r="1604" spans="1:7" x14ac:dyDescent="0.2">
      <c r="A1604" s="7" t="s">
        <v>2692</v>
      </c>
      <c r="B1604" s="89" t="s">
        <v>195</v>
      </c>
      <c r="C1604" s="90" t="s">
        <v>2693</v>
      </c>
      <c r="D1604" s="89">
        <v>160</v>
      </c>
      <c r="E1604" s="91" t="s">
        <v>10</v>
      </c>
      <c r="F1604" s="92">
        <v>200000</v>
      </c>
      <c r="G1604" s="92">
        <v>32000000</v>
      </c>
    </row>
    <row r="1605" spans="1:7" ht="15" x14ac:dyDescent="0.2">
      <c r="A1605" s="7" t="s">
        <v>2694</v>
      </c>
      <c r="B1605" s="78" t="s">
        <v>513</v>
      </c>
      <c r="C1605" s="79" t="s">
        <v>19</v>
      </c>
      <c r="D1605" s="78"/>
      <c r="E1605" s="80"/>
      <c r="F1605" s="81"/>
      <c r="G1605" s="81">
        <v>60000000</v>
      </c>
    </row>
    <row r="1606" spans="1:7" ht="28.5" x14ac:dyDescent="0.2">
      <c r="A1606" s="7" t="s">
        <v>2695</v>
      </c>
      <c r="B1606" s="89" t="s">
        <v>195</v>
      </c>
      <c r="C1606" s="90" t="s">
        <v>2696</v>
      </c>
      <c r="D1606" s="89">
        <v>15</v>
      </c>
      <c r="E1606" s="91" t="s">
        <v>10</v>
      </c>
      <c r="F1606" s="92">
        <v>4000000</v>
      </c>
      <c r="G1606" s="92">
        <v>60000000</v>
      </c>
    </row>
    <row r="1607" spans="1:7" ht="15" x14ac:dyDescent="0.2">
      <c r="A1607" s="7" t="s">
        <v>2697</v>
      </c>
      <c r="B1607" s="78" t="s">
        <v>510</v>
      </c>
      <c r="C1607" s="79" t="s">
        <v>15</v>
      </c>
      <c r="D1607" s="78"/>
      <c r="E1607" s="80"/>
      <c r="F1607" s="81"/>
      <c r="G1607" s="81">
        <v>664550000</v>
      </c>
    </row>
    <row r="1608" spans="1:7" x14ac:dyDescent="0.2">
      <c r="A1608" s="7" t="s">
        <v>2698</v>
      </c>
      <c r="B1608" s="89" t="s">
        <v>195</v>
      </c>
      <c r="C1608" s="90" t="s">
        <v>2699</v>
      </c>
      <c r="D1608" s="89">
        <v>280</v>
      </c>
      <c r="E1608" s="91" t="s">
        <v>16</v>
      </c>
      <c r="F1608" s="92">
        <v>820000</v>
      </c>
      <c r="G1608" s="92">
        <v>229600000</v>
      </c>
    </row>
    <row r="1609" spans="1:7" ht="28.5" x14ac:dyDescent="0.2">
      <c r="A1609" s="7" t="s">
        <v>2700</v>
      </c>
      <c r="B1609" s="89" t="s">
        <v>195</v>
      </c>
      <c r="C1609" s="90" t="s">
        <v>2701</v>
      </c>
      <c r="D1609" s="89">
        <v>420</v>
      </c>
      <c r="E1609" s="91" t="s">
        <v>16</v>
      </c>
      <c r="F1609" s="92">
        <v>150000</v>
      </c>
      <c r="G1609" s="92">
        <v>63000000</v>
      </c>
    </row>
    <row r="1610" spans="1:7" x14ac:dyDescent="0.2">
      <c r="A1610" s="7" t="s">
        <v>2702</v>
      </c>
      <c r="B1610" s="89" t="s">
        <v>195</v>
      </c>
      <c r="C1610" s="90" t="s">
        <v>2703</v>
      </c>
      <c r="D1610" s="89">
        <v>140</v>
      </c>
      <c r="E1610" s="91" t="s">
        <v>10</v>
      </c>
      <c r="F1610" s="92">
        <v>2341000</v>
      </c>
      <c r="G1610" s="92">
        <v>327750000</v>
      </c>
    </row>
    <row r="1611" spans="1:7" x14ac:dyDescent="0.2">
      <c r="A1611" s="7" t="s">
        <v>2704</v>
      </c>
      <c r="B1611" s="89" t="s">
        <v>195</v>
      </c>
      <c r="C1611" s="90" t="s">
        <v>2705</v>
      </c>
      <c r="D1611" s="89">
        <v>34</v>
      </c>
      <c r="E1611" s="91" t="s">
        <v>10</v>
      </c>
      <c r="F1611" s="92">
        <v>1300000</v>
      </c>
      <c r="G1611" s="92">
        <v>44200000</v>
      </c>
    </row>
    <row r="1612" spans="1:7" ht="45" x14ac:dyDescent="0.2">
      <c r="A1612" s="7" t="s">
        <v>2706</v>
      </c>
      <c r="B1612" s="97" t="s">
        <v>514</v>
      </c>
      <c r="C1612" s="98" t="s">
        <v>128</v>
      </c>
      <c r="D1612" s="97"/>
      <c r="E1612" s="99"/>
      <c r="F1612" s="100"/>
      <c r="G1612" s="100">
        <v>455500000</v>
      </c>
    </row>
    <row r="1613" spans="1:7" ht="15" x14ac:dyDescent="0.2">
      <c r="A1613" s="7" t="s">
        <v>2707</v>
      </c>
      <c r="B1613" s="78" t="s">
        <v>503</v>
      </c>
      <c r="C1613" s="79" t="s">
        <v>7</v>
      </c>
      <c r="D1613" s="78"/>
      <c r="E1613" s="80"/>
      <c r="F1613" s="81"/>
      <c r="G1613" s="81">
        <v>49800000</v>
      </c>
    </row>
    <row r="1614" spans="1:7" x14ac:dyDescent="0.2">
      <c r="A1614" s="7" t="s">
        <v>2708</v>
      </c>
      <c r="B1614" s="89" t="s">
        <v>195</v>
      </c>
      <c r="C1614" s="90" t="s">
        <v>619</v>
      </c>
      <c r="D1614" s="89">
        <v>4</v>
      </c>
      <c r="E1614" s="91" t="s">
        <v>9</v>
      </c>
      <c r="F1614" s="92">
        <v>1000000</v>
      </c>
      <c r="G1614" s="92">
        <v>4000000</v>
      </c>
    </row>
    <row r="1615" spans="1:7" x14ac:dyDescent="0.2">
      <c r="A1615" s="7" t="s">
        <v>2709</v>
      </c>
      <c r="B1615" s="89" t="s">
        <v>195</v>
      </c>
      <c r="C1615" s="90" t="s">
        <v>620</v>
      </c>
      <c r="D1615" s="89">
        <v>4</v>
      </c>
      <c r="E1615" s="91" t="s">
        <v>9</v>
      </c>
      <c r="F1615" s="92">
        <v>1000000</v>
      </c>
      <c r="G1615" s="92">
        <v>4000000</v>
      </c>
    </row>
    <row r="1616" spans="1:7" x14ac:dyDescent="0.2">
      <c r="A1616" s="7" t="s">
        <v>2710</v>
      </c>
      <c r="B1616" s="89" t="s">
        <v>195</v>
      </c>
      <c r="C1616" s="90" t="s">
        <v>617</v>
      </c>
      <c r="D1616" s="89">
        <v>4</v>
      </c>
      <c r="E1616" s="91" t="s">
        <v>9</v>
      </c>
      <c r="F1616" s="92">
        <v>1000000</v>
      </c>
      <c r="G1616" s="92">
        <v>4000000</v>
      </c>
    </row>
    <row r="1617" spans="1:7" x14ac:dyDescent="0.2">
      <c r="A1617" s="7" t="s">
        <v>2711</v>
      </c>
      <c r="B1617" s="89" t="s">
        <v>195</v>
      </c>
      <c r="C1617" s="90" t="s">
        <v>1276</v>
      </c>
      <c r="D1617" s="89">
        <v>4</v>
      </c>
      <c r="E1617" s="91" t="s">
        <v>9</v>
      </c>
      <c r="F1617" s="92">
        <v>6000000</v>
      </c>
      <c r="G1617" s="92">
        <v>24000000</v>
      </c>
    </row>
    <row r="1618" spans="1:7" x14ac:dyDescent="0.2">
      <c r="A1618" s="7" t="s">
        <v>2712</v>
      </c>
      <c r="B1618" s="89" t="s">
        <v>195</v>
      </c>
      <c r="C1618" s="90" t="s">
        <v>2713</v>
      </c>
      <c r="D1618" s="89">
        <v>200</v>
      </c>
      <c r="E1618" s="91" t="s">
        <v>10</v>
      </c>
      <c r="F1618" s="92">
        <v>69000</v>
      </c>
      <c r="G1618" s="92">
        <v>13800000</v>
      </c>
    </row>
    <row r="1619" spans="1:7" ht="30" x14ac:dyDescent="0.2">
      <c r="A1619" s="7" t="s">
        <v>2714</v>
      </c>
      <c r="B1619" s="78" t="s">
        <v>515</v>
      </c>
      <c r="C1619" s="79" t="s">
        <v>642</v>
      </c>
      <c r="D1619" s="78"/>
      <c r="E1619" s="80"/>
      <c r="F1619" s="81"/>
      <c r="G1619" s="81">
        <v>12000000</v>
      </c>
    </row>
    <row r="1620" spans="1:7" x14ac:dyDescent="0.2">
      <c r="A1620" s="7" t="s">
        <v>2715</v>
      </c>
      <c r="B1620" s="89" t="s">
        <v>195</v>
      </c>
      <c r="C1620" s="90" t="s">
        <v>2716</v>
      </c>
      <c r="D1620" s="89">
        <v>60</v>
      </c>
      <c r="E1620" s="91" t="s">
        <v>21</v>
      </c>
      <c r="F1620" s="92">
        <v>200000</v>
      </c>
      <c r="G1620" s="92">
        <v>12000000</v>
      </c>
    </row>
    <row r="1621" spans="1:7" ht="15" x14ac:dyDescent="0.2">
      <c r="A1621" s="7" t="s">
        <v>2717</v>
      </c>
      <c r="B1621" s="78" t="s">
        <v>516</v>
      </c>
      <c r="C1621" s="79" t="s">
        <v>11</v>
      </c>
      <c r="D1621" s="78"/>
      <c r="E1621" s="80"/>
      <c r="F1621" s="81"/>
      <c r="G1621" s="81">
        <v>30700000</v>
      </c>
    </row>
    <row r="1622" spans="1:7" x14ac:dyDescent="0.2">
      <c r="A1622" s="7" t="s">
        <v>2718</v>
      </c>
      <c r="B1622" s="89" t="s">
        <v>195</v>
      </c>
      <c r="C1622" s="90" t="s">
        <v>2719</v>
      </c>
      <c r="D1622" s="89">
        <v>3</v>
      </c>
      <c r="E1622" s="91" t="s">
        <v>12</v>
      </c>
      <c r="F1622" s="92">
        <v>1700000</v>
      </c>
      <c r="G1622" s="92">
        <v>5100000</v>
      </c>
    </row>
    <row r="1623" spans="1:7" x14ac:dyDescent="0.2">
      <c r="A1623" s="7" t="s">
        <v>2720</v>
      </c>
      <c r="B1623" s="89" t="s">
        <v>195</v>
      </c>
      <c r="C1623" s="90" t="s">
        <v>2721</v>
      </c>
      <c r="D1623" s="89">
        <v>8</v>
      </c>
      <c r="E1623" s="91" t="s">
        <v>12</v>
      </c>
      <c r="F1623" s="92">
        <v>1400000</v>
      </c>
      <c r="G1623" s="92">
        <v>11200000</v>
      </c>
    </row>
    <row r="1624" spans="1:7" x14ac:dyDescent="0.2">
      <c r="A1624" s="7" t="s">
        <v>2722</v>
      </c>
      <c r="B1624" s="89" t="s">
        <v>195</v>
      </c>
      <c r="C1624" s="90" t="s">
        <v>2723</v>
      </c>
      <c r="D1624" s="89">
        <v>8</v>
      </c>
      <c r="E1624" s="91" t="s">
        <v>12</v>
      </c>
      <c r="F1624" s="92">
        <v>1000000</v>
      </c>
      <c r="G1624" s="92">
        <v>8000000</v>
      </c>
    </row>
    <row r="1625" spans="1:7" x14ac:dyDescent="0.2">
      <c r="A1625" s="7" t="s">
        <v>2724</v>
      </c>
      <c r="B1625" s="89" t="s">
        <v>195</v>
      </c>
      <c r="C1625" s="90" t="s">
        <v>2725</v>
      </c>
      <c r="D1625" s="89">
        <v>8</v>
      </c>
      <c r="E1625" s="91" t="s">
        <v>12</v>
      </c>
      <c r="F1625" s="92">
        <v>800000</v>
      </c>
      <c r="G1625" s="92">
        <v>6400000</v>
      </c>
    </row>
    <row r="1626" spans="1:7" ht="15" x14ac:dyDescent="0.2">
      <c r="A1626" s="7" t="s">
        <v>2726</v>
      </c>
      <c r="B1626" s="78" t="s">
        <v>517</v>
      </c>
      <c r="C1626" s="79" t="s">
        <v>22</v>
      </c>
      <c r="D1626" s="78"/>
      <c r="E1626" s="80"/>
      <c r="F1626" s="81"/>
      <c r="G1626" s="81">
        <v>320000000</v>
      </c>
    </row>
    <row r="1627" spans="1:7" ht="28.5" x14ac:dyDescent="0.2">
      <c r="A1627" s="7" t="s">
        <v>2727</v>
      </c>
      <c r="B1627" s="89" t="s">
        <v>195</v>
      </c>
      <c r="C1627" s="90" t="s">
        <v>2728</v>
      </c>
      <c r="D1627" s="89">
        <v>1</v>
      </c>
      <c r="E1627" s="91" t="s">
        <v>9</v>
      </c>
      <c r="F1627" s="92">
        <v>50000000</v>
      </c>
      <c r="G1627" s="92">
        <v>50000000</v>
      </c>
    </row>
    <row r="1628" spans="1:7" x14ac:dyDescent="0.2">
      <c r="A1628" s="7" t="s">
        <v>2729</v>
      </c>
      <c r="B1628" s="89" t="s">
        <v>195</v>
      </c>
      <c r="C1628" s="90" t="s">
        <v>2730</v>
      </c>
      <c r="D1628" s="89">
        <v>5</v>
      </c>
      <c r="E1628" s="91" t="s">
        <v>9</v>
      </c>
      <c r="F1628" s="92">
        <v>27000000</v>
      </c>
      <c r="G1628" s="92">
        <v>135000000</v>
      </c>
    </row>
    <row r="1629" spans="1:7" x14ac:dyDescent="0.2">
      <c r="A1629" s="7" t="s">
        <v>2731</v>
      </c>
      <c r="B1629" s="89" t="s">
        <v>195</v>
      </c>
      <c r="C1629" s="90" t="s">
        <v>2732</v>
      </c>
      <c r="D1629" s="89">
        <v>5</v>
      </c>
      <c r="E1629" s="91" t="s">
        <v>9</v>
      </c>
      <c r="F1629" s="92">
        <v>27000000</v>
      </c>
      <c r="G1629" s="92">
        <v>135000000</v>
      </c>
    </row>
    <row r="1630" spans="1:7" ht="15" x14ac:dyDescent="0.2">
      <c r="A1630" s="7" t="s">
        <v>2733</v>
      </c>
      <c r="B1630" s="78" t="s">
        <v>513</v>
      </c>
      <c r="C1630" s="79" t="s">
        <v>19</v>
      </c>
      <c r="D1630" s="78"/>
      <c r="E1630" s="80"/>
      <c r="F1630" s="81"/>
      <c r="G1630" s="81">
        <v>40000000</v>
      </c>
    </row>
    <row r="1631" spans="1:7" ht="28.5" x14ac:dyDescent="0.2">
      <c r="A1631" s="7" t="s">
        <v>2734</v>
      </c>
      <c r="B1631" s="89" t="s">
        <v>195</v>
      </c>
      <c r="C1631" s="90" t="s">
        <v>2735</v>
      </c>
      <c r="D1631" s="89">
        <v>10</v>
      </c>
      <c r="E1631" s="91" t="s">
        <v>10</v>
      </c>
      <c r="F1631" s="92">
        <v>4000000</v>
      </c>
      <c r="G1631" s="92">
        <v>40000000</v>
      </c>
    </row>
    <row r="1632" spans="1:7" ht="15" x14ac:dyDescent="0.2">
      <c r="A1632" s="7" t="s">
        <v>2736</v>
      </c>
      <c r="B1632" s="78" t="s">
        <v>507</v>
      </c>
      <c r="C1632" s="79" t="s">
        <v>13</v>
      </c>
      <c r="D1632" s="78"/>
      <c r="E1632" s="80"/>
      <c r="F1632" s="81"/>
      <c r="G1632" s="81">
        <v>3000000</v>
      </c>
    </row>
    <row r="1633" spans="1:7" x14ac:dyDescent="0.2">
      <c r="A1633" s="7" t="s">
        <v>2737</v>
      </c>
      <c r="B1633" s="89" t="s">
        <v>195</v>
      </c>
      <c r="C1633" s="90" t="s">
        <v>2738</v>
      </c>
      <c r="D1633" s="89">
        <v>20</v>
      </c>
      <c r="E1633" s="91" t="s">
        <v>10</v>
      </c>
      <c r="F1633" s="92">
        <v>150000</v>
      </c>
      <c r="G1633" s="92">
        <v>3000000</v>
      </c>
    </row>
    <row r="1634" spans="1:7" ht="30" x14ac:dyDescent="0.2">
      <c r="A1634" s="7" t="s">
        <v>2739</v>
      </c>
      <c r="B1634" s="93" t="s">
        <v>833</v>
      </c>
      <c r="C1634" s="94" t="s">
        <v>2740</v>
      </c>
      <c r="D1634" s="93"/>
      <c r="E1634" s="95"/>
      <c r="F1634" s="96"/>
      <c r="G1634" s="96">
        <v>615138000</v>
      </c>
    </row>
    <row r="1635" spans="1:7" ht="15" x14ac:dyDescent="0.2">
      <c r="A1635" s="7" t="s">
        <v>2741</v>
      </c>
      <c r="B1635" s="97" t="s">
        <v>8</v>
      </c>
      <c r="C1635" s="98" t="s">
        <v>129</v>
      </c>
      <c r="D1635" s="97"/>
      <c r="E1635" s="99"/>
      <c r="F1635" s="100"/>
      <c r="G1635" s="100">
        <v>101050000</v>
      </c>
    </row>
    <row r="1636" spans="1:7" ht="15" x14ac:dyDescent="0.2">
      <c r="A1636" s="7" t="s">
        <v>2742</v>
      </c>
      <c r="B1636" s="78" t="s">
        <v>503</v>
      </c>
      <c r="C1636" s="79" t="s">
        <v>7</v>
      </c>
      <c r="D1636" s="78"/>
      <c r="E1636" s="80"/>
      <c r="F1636" s="81"/>
      <c r="G1636" s="81">
        <v>22650000</v>
      </c>
    </row>
    <row r="1637" spans="1:7" x14ac:dyDescent="0.2">
      <c r="A1637" s="7" t="s">
        <v>2743</v>
      </c>
      <c r="B1637" s="89" t="s">
        <v>195</v>
      </c>
      <c r="C1637" s="90" t="s">
        <v>617</v>
      </c>
      <c r="D1637" s="89">
        <v>6</v>
      </c>
      <c r="E1637" s="91" t="s">
        <v>9</v>
      </c>
      <c r="F1637" s="92">
        <v>1500000</v>
      </c>
      <c r="G1637" s="92">
        <v>9000000</v>
      </c>
    </row>
    <row r="1638" spans="1:7" x14ac:dyDescent="0.2">
      <c r="A1638" s="7" t="s">
        <v>2744</v>
      </c>
      <c r="B1638" s="89" t="s">
        <v>195</v>
      </c>
      <c r="C1638" s="90" t="s">
        <v>2745</v>
      </c>
      <c r="D1638" s="89">
        <v>70</v>
      </c>
      <c r="E1638" s="91" t="s">
        <v>10</v>
      </c>
      <c r="F1638" s="92">
        <v>70000</v>
      </c>
      <c r="G1638" s="92">
        <v>4900000</v>
      </c>
    </row>
    <row r="1639" spans="1:7" x14ac:dyDescent="0.2">
      <c r="A1639" s="7" t="s">
        <v>2746</v>
      </c>
      <c r="B1639" s="89" t="s">
        <v>195</v>
      </c>
      <c r="C1639" s="90" t="s">
        <v>2114</v>
      </c>
      <c r="D1639" s="89">
        <v>25</v>
      </c>
      <c r="E1639" s="91" t="s">
        <v>176</v>
      </c>
      <c r="F1639" s="92">
        <v>350000</v>
      </c>
      <c r="G1639" s="92">
        <v>8750000</v>
      </c>
    </row>
    <row r="1640" spans="1:7" ht="15" x14ac:dyDescent="0.2">
      <c r="A1640" s="7" t="s">
        <v>2747</v>
      </c>
      <c r="B1640" s="78" t="s">
        <v>533</v>
      </c>
      <c r="C1640" s="79" t="s">
        <v>53</v>
      </c>
      <c r="D1640" s="78"/>
      <c r="E1640" s="80"/>
      <c r="F1640" s="81"/>
      <c r="G1640" s="81">
        <v>1000000</v>
      </c>
    </row>
    <row r="1641" spans="1:7" x14ac:dyDescent="0.2">
      <c r="A1641" s="7" t="s">
        <v>2748</v>
      </c>
      <c r="B1641" s="89" t="s">
        <v>195</v>
      </c>
      <c r="C1641" s="90" t="s">
        <v>785</v>
      </c>
      <c r="D1641" s="89">
        <v>4</v>
      </c>
      <c r="E1641" s="91" t="s">
        <v>2749</v>
      </c>
      <c r="F1641" s="92">
        <v>250000</v>
      </c>
      <c r="G1641" s="92">
        <v>1000000</v>
      </c>
    </row>
    <row r="1642" spans="1:7" ht="15" x14ac:dyDescent="0.2">
      <c r="A1642" s="7" t="s">
        <v>2750</v>
      </c>
      <c r="B1642" s="78" t="s">
        <v>537</v>
      </c>
      <c r="C1642" s="79" t="s">
        <v>64</v>
      </c>
      <c r="D1642" s="78"/>
      <c r="E1642" s="80"/>
      <c r="F1642" s="81"/>
      <c r="G1642" s="81">
        <v>15000000</v>
      </c>
    </row>
    <row r="1643" spans="1:7" x14ac:dyDescent="0.2">
      <c r="A1643" s="7" t="s">
        <v>2751</v>
      </c>
      <c r="B1643" s="89" t="s">
        <v>195</v>
      </c>
      <c r="C1643" s="90" t="s">
        <v>619</v>
      </c>
      <c r="D1643" s="89">
        <v>6</v>
      </c>
      <c r="E1643" s="91" t="s">
        <v>106</v>
      </c>
      <c r="F1643" s="92">
        <v>1000000</v>
      </c>
      <c r="G1643" s="92">
        <v>6000000</v>
      </c>
    </row>
    <row r="1644" spans="1:7" x14ac:dyDescent="0.2">
      <c r="A1644" s="7" t="s">
        <v>2752</v>
      </c>
      <c r="B1644" s="89" t="s">
        <v>195</v>
      </c>
      <c r="C1644" s="90" t="s">
        <v>620</v>
      </c>
      <c r="D1644" s="89">
        <v>6</v>
      </c>
      <c r="E1644" s="91" t="s">
        <v>106</v>
      </c>
      <c r="F1644" s="92">
        <v>1500000</v>
      </c>
      <c r="G1644" s="92">
        <v>9000000</v>
      </c>
    </row>
    <row r="1645" spans="1:7" ht="15" x14ac:dyDescent="0.2">
      <c r="A1645" s="7" t="s">
        <v>2753</v>
      </c>
      <c r="B1645" s="78" t="s">
        <v>513</v>
      </c>
      <c r="C1645" s="79" t="s">
        <v>19</v>
      </c>
      <c r="D1645" s="78"/>
      <c r="E1645" s="80"/>
      <c r="F1645" s="81"/>
      <c r="G1645" s="81">
        <v>62400000</v>
      </c>
    </row>
    <row r="1646" spans="1:7" x14ac:dyDescent="0.2">
      <c r="A1646" s="7" t="s">
        <v>2754</v>
      </c>
      <c r="B1646" s="89" t="s">
        <v>195</v>
      </c>
      <c r="C1646" s="90" t="s">
        <v>2755</v>
      </c>
      <c r="D1646" s="89">
        <v>12</v>
      </c>
      <c r="E1646" s="91" t="s">
        <v>10</v>
      </c>
      <c r="F1646" s="92">
        <v>5200000</v>
      </c>
      <c r="G1646" s="92">
        <v>62400000</v>
      </c>
    </row>
    <row r="1647" spans="1:7" ht="15" x14ac:dyDescent="0.2">
      <c r="A1647" s="7" t="s">
        <v>2756</v>
      </c>
      <c r="B1647" s="97" t="s">
        <v>511</v>
      </c>
      <c r="C1647" s="98" t="s">
        <v>130</v>
      </c>
      <c r="D1647" s="97"/>
      <c r="E1647" s="99"/>
      <c r="F1647" s="100"/>
      <c r="G1647" s="100">
        <v>345988000</v>
      </c>
    </row>
    <row r="1648" spans="1:7" ht="15" x14ac:dyDescent="0.2">
      <c r="A1648" s="7" t="s">
        <v>2757</v>
      </c>
      <c r="B1648" s="78" t="s">
        <v>503</v>
      </c>
      <c r="C1648" s="79" t="s">
        <v>7</v>
      </c>
      <c r="D1648" s="78"/>
      <c r="E1648" s="80"/>
      <c r="F1648" s="81"/>
      <c r="G1648" s="81">
        <v>49300000</v>
      </c>
    </row>
    <row r="1649" spans="1:7" x14ac:dyDescent="0.2">
      <c r="A1649" s="7" t="s">
        <v>2758</v>
      </c>
      <c r="B1649" s="89" t="s">
        <v>195</v>
      </c>
      <c r="C1649" s="90" t="s">
        <v>617</v>
      </c>
      <c r="D1649" s="89">
        <v>10</v>
      </c>
      <c r="E1649" s="91" t="s">
        <v>9</v>
      </c>
      <c r="F1649" s="92">
        <v>1500000</v>
      </c>
      <c r="G1649" s="92">
        <v>15000000</v>
      </c>
    </row>
    <row r="1650" spans="1:7" x14ac:dyDescent="0.2">
      <c r="A1650" s="7" t="s">
        <v>2759</v>
      </c>
      <c r="B1650" s="89" t="s">
        <v>195</v>
      </c>
      <c r="C1650" s="90" t="s">
        <v>2745</v>
      </c>
      <c r="D1650" s="89">
        <v>290</v>
      </c>
      <c r="E1650" s="91" t="s">
        <v>10</v>
      </c>
      <c r="F1650" s="92">
        <v>70000</v>
      </c>
      <c r="G1650" s="92">
        <v>20300000</v>
      </c>
    </row>
    <row r="1651" spans="1:7" x14ac:dyDescent="0.2">
      <c r="A1651" s="7" t="s">
        <v>2760</v>
      </c>
      <c r="B1651" s="89" t="s">
        <v>195</v>
      </c>
      <c r="C1651" s="90" t="s">
        <v>2114</v>
      </c>
      <c r="D1651" s="89">
        <v>40</v>
      </c>
      <c r="E1651" s="91" t="s">
        <v>176</v>
      </c>
      <c r="F1651" s="92">
        <v>350000</v>
      </c>
      <c r="G1651" s="92">
        <v>14000000</v>
      </c>
    </row>
    <row r="1652" spans="1:7" ht="15" x14ac:dyDescent="0.2">
      <c r="A1652" s="7" t="s">
        <v>2761</v>
      </c>
      <c r="B1652" s="78" t="s">
        <v>533</v>
      </c>
      <c r="C1652" s="79" t="s">
        <v>53</v>
      </c>
      <c r="D1652" s="78"/>
      <c r="E1652" s="80"/>
      <c r="F1652" s="81"/>
      <c r="G1652" s="81">
        <v>1000000</v>
      </c>
    </row>
    <row r="1653" spans="1:7" x14ac:dyDescent="0.2">
      <c r="A1653" s="7" t="s">
        <v>2762</v>
      </c>
      <c r="B1653" s="89" t="s">
        <v>195</v>
      </c>
      <c r="C1653" s="90" t="s">
        <v>785</v>
      </c>
      <c r="D1653" s="89">
        <v>4</v>
      </c>
      <c r="E1653" s="91" t="s">
        <v>9</v>
      </c>
      <c r="F1653" s="92">
        <v>250000</v>
      </c>
      <c r="G1653" s="92">
        <v>1000000</v>
      </c>
    </row>
    <row r="1654" spans="1:7" ht="15" x14ac:dyDescent="0.2">
      <c r="A1654" s="7" t="s">
        <v>2763</v>
      </c>
      <c r="B1654" s="78" t="s">
        <v>537</v>
      </c>
      <c r="C1654" s="79" t="s">
        <v>64</v>
      </c>
      <c r="D1654" s="78"/>
      <c r="E1654" s="80"/>
      <c r="F1654" s="81"/>
      <c r="G1654" s="81">
        <v>25000000</v>
      </c>
    </row>
    <row r="1655" spans="1:7" x14ac:dyDescent="0.2">
      <c r="A1655" s="7" t="s">
        <v>2764</v>
      </c>
      <c r="B1655" s="89" t="s">
        <v>195</v>
      </c>
      <c r="C1655" s="90" t="s">
        <v>619</v>
      </c>
      <c r="D1655" s="89">
        <v>10</v>
      </c>
      <c r="E1655" s="91" t="s">
        <v>106</v>
      </c>
      <c r="F1655" s="92">
        <v>1000000</v>
      </c>
      <c r="G1655" s="92">
        <v>10000000</v>
      </c>
    </row>
    <row r="1656" spans="1:7" x14ac:dyDescent="0.2">
      <c r="A1656" s="7" t="s">
        <v>2765</v>
      </c>
      <c r="B1656" s="89" t="s">
        <v>195</v>
      </c>
      <c r="C1656" s="90" t="s">
        <v>620</v>
      </c>
      <c r="D1656" s="89">
        <v>10</v>
      </c>
      <c r="E1656" s="91" t="s">
        <v>106</v>
      </c>
      <c r="F1656" s="92">
        <v>1500000</v>
      </c>
      <c r="G1656" s="92">
        <v>15000000</v>
      </c>
    </row>
    <row r="1657" spans="1:7" ht="15" x14ac:dyDescent="0.2">
      <c r="A1657" s="7" t="s">
        <v>2766</v>
      </c>
      <c r="B1657" s="78" t="s">
        <v>516</v>
      </c>
      <c r="C1657" s="79" t="s">
        <v>11</v>
      </c>
      <c r="D1657" s="78"/>
      <c r="E1657" s="80"/>
      <c r="F1657" s="81"/>
      <c r="G1657" s="81">
        <v>12000000</v>
      </c>
    </row>
    <row r="1658" spans="1:7" x14ac:dyDescent="0.2">
      <c r="A1658" s="7" t="s">
        <v>2767</v>
      </c>
      <c r="B1658" s="89" t="s">
        <v>195</v>
      </c>
      <c r="C1658" s="90" t="s">
        <v>774</v>
      </c>
      <c r="D1658" s="89">
        <v>12</v>
      </c>
      <c r="E1658" s="91" t="s">
        <v>54</v>
      </c>
      <c r="F1658" s="92">
        <v>1000000</v>
      </c>
      <c r="G1658" s="92">
        <v>12000000</v>
      </c>
    </row>
    <row r="1659" spans="1:7" ht="15" x14ac:dyDescent="0.2">
      <c r="A1659" s="7" t="s">
        <v>2768</v>
      </c>
      <c r="B1659" s="78" t="s">
        <v>513</v>
      </c>
      <c r="C1659" s="79" t="s">
        <v>19</v>
      </c>
      <c r="D1659" s="78"/>
      <c r="E1659" s="80"/>
      <c r="F1659" s="81"/>
      <c r="G1659" s="81">
        <v>258688000</v>
      </c>
    </row>
    <row r="1660" spans="1:7" x14ac:dyDescent="0.2">
      <c r="A1660" s="7" t="s">
        <v>2769</v>
      </c>
      <c r="B1660" s="89" t="s">
        <v>195</v>
      </c>
      <c r="C1660" s="90" t="s">
        <v>2770</v>
      </c>
      <c r="D1660" s="89">
        <v>40</v>
      </c>
      <c r="E1660" s="91" t="s">
        <v>10</v>
      </c>
      <c r="F1660" s="92">
        <v>6467000</v>
      </c>
      <c r="G1660" s="92">
        <v>258688000</v>
      </c>
    </row>
    <row r="1661" spans="1:7" ht="15" x14ac:dyDescent="0.2">
      <c r="A1661" s="7" t="s">
        <v>2771</v>
      </c>
      <c r="B1661" s="97" t="s">
        <v>512</v>
      </c>
      <c r="C1661" s="98" t="s">
        <v>131</v>
      </c>
      <c r="D1661" s="97"/>
      <c r="E1661" s="99"/>
      <c r="F1661" s="100"/>
      <c r="G1661" s="100">
        <v>168100000</v>
      </c>
    </row>
    <row r="1662" spans="1:7" ht="15" x14ac:dyDescent="0.2">
      <c r="A1662" s="7" t="s">
        <v>2772</v>
      </c>
      <c r="B1662" s="78" t="s">
        <v>503</v>
      </c>
      <c r="C1662" s="79" t="s">
        <v>7</v>
      </c>
      <c r="D1662" s="78"/>
      <c r="E1662" s="80"/>
      <c r="F1662" s="81"/>
      <c r="G1662" s="81">
        <v>39500000</v>
      </c>
    </row>
    <row r="1663" spans="1:7" x14ac:dyDescent="0.2">
      <c r="A1663" s="7" t="s">
        <v>2773</v>
      </c>
      <c r="B1663" s="89" t="s">
        <v>195</v>
      </c>
      <c r="C1663" s="90" t="s">
        <v>617</v>
      </c>
      <c r="D1663" s="89">
        <v>10</v>
      </c>
      <c r="E1663" s="91" t="s">
        <v>9</v>
      </c>
      <c r="F1663" s="92">
        <v>1500000</v>
      </c>
      <c r="G1663" s="92">
        <v>15000000</v>
      </c>
    </row>
    <row r="1664" spans="1:7" x14ac:dyDescent="0.2">
      <c r="A1664" s="7" t="s">
        <v>2774</v>
      </c>
      <c r="B1664" s="89" t="s">
        <v>195</v>
      </c>
      <c r="C1664" s="90" t="s">
        <v>2745</v>
      </c>
      <c r="D1664" s="89">
        <v>150</v>
      </c>
      <c r="E1664" s="91" t="s">
        <v>10</v>
      </c>
      <c r="F1664" s="92">
        <v>70000</v>
      </c>
      <c r="G1664" s="92">
        <v>10500000</v>
      </c>
    </row>
    <row r="1665" spans="1:7" x14ac:dyDescent="0.2">
      <c r="A1665" s="7" t="s">
        <v>2775</v>
      </c>
      <c r="B1665" s="89" t="s">
        <v>195</v>
      </c>
      <c r="C1665" s="90" t="s">
        <v>2114</v>
      </c>
      <c r="D1665" s="89">
        <v>40</v>
      </c>
      <c r="E1665" s="91" t="s">
        <v>176</v>
      </c>
      <c r="F1665" s="92">
        <v>350000</v>
      </c>
      <c r="G1665" s="92">
        <v>14000000</v>
      </c>
    </row>
    <row r="1666" spans="1:7" ht="15" x14ac:dyDescent="0.2">
      <c r="A1666" s="7" t="s">
        <v>2776</v>
      </c>
      <c r="B1666" s="78" t="s">
        <v>537</v>
      </c>
      <c r="C1666" s="79" t="s">
        <v>64</v>
      </c>
      <c r="D1666" s="78"/>
      <c r="E1666" s="80"/>
      <c r="F1666" s="81"/>
      <c r="G1666" s="81">
        <v>25000000</v>
      </c>
    </row>
    <row r="1667" spans="1:7" x14ac:dyDescent="0.2">
      <c r="A1667" s="7" t="s">
        <v>2777</v>
      </c>
      <c r="B1667" s="89" t="s">
        <v>195</v>
      </c>
      <c r="C1667" s="90" t="s">
        <v>619</v>
      </c>
      <c r="D1667" s="89">
        <v>10</v>
      </c>
      <c r="E1667" s="91" t="s">
        <v>106</v>
      </c>
      <c r="F1667" s="92">
        <v>1000000</v>
      </c>
      <c r="G1667" s="92">
        <v>10000000</v>
      </c>
    </row>
    <row r="1668" spans="1:7" x14ac:dyDescent="0.2">
      <c r="A1668" s="7" t="s">
        <v>2778</v>
      </c>
      <c r="B1668" s="89" t="s">
        <v>195</v>
      </c>
      <c r="C1668" s="90" t="s">
        <v>620</v>
      </c>
      <c r="D1668" s="89">
        <v>10</v>
      </c>
      <c r="E1668" s="91" t="s">
        <v>106</v>
      </c>
      <c r="F1668" s="92">
        <v>1500000</v>
      </c>
      <c r="G1668" s="92">
        <v>15000000</v>
      </c>
    </row>
    <row r="1669" spans="1:7" ht="15" x14ac:dyDescent="0.2">
      <c r="A1669" s="7" t="s">
        <v>2779</v>
      </c>
      <c r="B1669" s="78" t="s">
        <v>516</v>
      </c>
      <c r="C1669" s="79" t="s">
        <v>11</v>
      </c>
      <c r="D1669" s="78"/>
      <c r="E1669" s="80"/>
      <c r="F1669" s="81"/>
      <c r="G1669" s="81">
        <v>10000000</v>
      </c>
    </row>
    <row r="1670" spans="1:7" x14ac:dyDescent="0.2">
      <c r="A1670" s="7" t="s">
        <v>2780</v>
      </c>
      <c r="B1670" s="89" t="s">
        <v>195</v>
      </c>
      <c r="C1670" s="90" t="s">
        <v>774</v>
      </c>
      <c r="D1670" s="89">
        <v>10</v>
      </c>
      <c r="E1670" s="91" t="s">
        <v>54</v>
      </c>
      <c r="F1670" s="92">
        <v>1000000</v>
      </c>
      <c r="G1670" s="92">
        <v>10000000</v>
      </c>
    </row>
    <row r="1671" spans="1:7" ht="15" x14ac:dyDescent="0.2">
      <c r="A1671" s="7" t="s">
        <v>2781</v>
      </c>
      <c r="B1671" s="78" t="s">
        <v>513</v>
      </c>
      <c r="C1671" s="79" t="s">
        <v>19</v>
      </c>
      <c r="D1671" s="78"/>
      <c r="E1671" s="80"/>
      <c r="F1671" s="81"/>
      <c r="G1671" s="81">
        <v>93600000</v>
      </c>
    </row>
    <row r="1672" spans="1:7" ht="28.5" x14ac:dyDescent="0.2">
      <c r="A1672" s="7" t="s">
        <v>2782</v>
      </c>
      <c r="B1672" s="89" t="s">
        <v>195</v>
      </c>
      <c r="C1672" s="90" t="s">
        <v>2783</v>
      </c>
      <c r="D1672" s="89">
        <v>18</v>
      </c>
      <c r="E1672" s="91" t="s">
        <v>10</v>
      </c>
      <c r="F1672" s="92">
        <v>5200000</v>
      </c>
      <c r="G1672" s="92">
        <v>93600000</v>
      </c>
    </row>
    <row r="1673" spans="1:7" x14ac:dyDescent="0.2">
      <c r="A1673" s="7" t="s">
        <v>2784</v>
      </c>
      <c r="B1673" s="89" t="s">
        <v>2785</v>
      </c>
      <c r="C1673" s="90" t="s">
        <v>2786</v>
      </c>
      <c r="D1673" s="89"/>
      <c r="E1673" s="91"/>
      <c r="F1673" s="92"/>
      <c r="G1673" s="92">
        <v>5188332000</v>
      </c>
    </row>
    <row r="1674" spans="1:7" ht="30" x14ac:dyDescent="0.2">
      <c r="A1674" s="7" t="s">
        <v>2787</v>
      </c>
      <c r="B1674" s="93" t="s">
        <v>826</v>
      </c>
      <c r="C1674" s="94" t="s">
        <v>2788</v>
      </c>
      <c r="D1674" s="93"/>
      <c r="E1674" s="95"/>
      <c r="F1674" s="96"/>
      <c r="G1674" s="96">
        <v>2600000000</v>
      </c>
    </row>
    <row r="1675" spans="1:7" ht="15" x14ac:dyDescent="0.2">
      <c r="A1675" s="7" t="s">
        <v>2789</v>
      </c>
      <c r="B1675" s="97" t="s">
        <v>8</v>
      </c>
      <c r="C1675" s="98" t="s">
        <v>162</v>
      </c>
      <c r="D1675" s="97"/>
      <c r="E1675" s="99"/>
      <c r="F1675" s="100"/>
      <c r="G1675" s="100">
        <v>1423330000</v>
      </c>
    </row>
    <row r="1676" spans="1:7" ht="15" x14ac:dyDescent="0.2">
      <c r="A1676" s="7" t="s">
        <v>2790</v>
      </c>
      <c r="B1676" s="78" t="s">
        <v>503</v>
      </c>
      <c r="C1676" s="79" t="s">
        <v>7</v>
      </c>
      <c r="D1676" s="78"/>
      <c r="E1676" s="80"/>
      <c r="F1676" s="81"/>
      <c r="G1676" s="81">
        <v>130000000</v>
      </c>
    </row>
    <row r="1677" spans="1:7" x14ac:dyDescent="0.2">
      <c r="A1677" s="7" t="s">
        <v>2791</v>
      </c>
      <c r="B1677" s="89" t="s">
        <v>195</v>
      </c>
      <c r="C1677" s="90" t="s">
        <v>617</v>
      </c>
      <c r="D1677" s="89">
        <v>80</v>
      </c>
      <c r="E1677" s="91" t="s">
        <v>180</v>
      </c>
      <c r="F1677" s="92">
        <v>100000</v>
      </c>
      <c r="G1677" s="92">
        <v>8000000</v>
      </c>
    </row>
    <row r="1678" spans="1:7" x14ac:dyDescent="0.2">
      <c r="A1678" s="7" t="s">
        <v>2792</v>
      </c>
      <c r="B1678" s="89" t="s">
        <v>195</v>
      </c>
      <c r="C1678" s="90" t="s">
        <v>2793</v>
      </c>
      <c r="D1678" s="89">
        <v>80</v>
      </c>
      <c r="E1678" s="91" t="s">
        <v>180</v>
      </c>
      <c r="F1678" s="92">
        <v>100000</v>
      </c>
      <c r="G1678" s="92">
        <v>8000000</v>
      </c>
    </row>
    <row r="1679" spans="1:7" x14ac:dyDescent="0.2">
      <c r="A1679" s="7" t="s">
        <v>2794</v>
      </c>
      <c r="B1679" s="89" t="s">
        <v>195</v>
      </c>
      <c r="C1679" s="90" t="s">
        <v>2795</v>
      </c>
      <c r="D1679" s="89">
        <v>3</v>
      </c>
      <c r="E1679" s="91" t="s">
        <v>106</v>
      </c>
      <c r="F1679" s="92">
        <v>1000000</v>
      </c>
      <c r="G1679" s="92">
        <v>3000000</v>
      </c>
    </row>
    <row r="1680" spans="1:7" x14ac:dyDescent="0.2">
      <c r="A1680" s="7" t="s">
        <v>2796</v>
      </c>
      <c r="B1680" s="89" t="s">
        <v>195</v>
      </c>
      <c r="C1680" s="90" t="s">
        <v>2797</v>
      </c>
      <c r="D1680" s="89">
        <v>3</v>
      </c>
      <c r="E1680" s="91" t="s">
        <v>106</v>
      </c>
      <c r="F1680" s="92">
        <v>1000000</v>
      </c>
      <c r="G1680" s="92">
        <v>3000000</v>
      </c>
    </row>
    <row r="1681" spans="1:7" x14ac:dyDescent="0.2">
      <c r="A1681" s="7" t="s">
        <v>2798</v>
      </c>
      <c r="B1681" s="89" t="s">
        <v>195</v>
      </c>
      <c r="C1681" s="90" t="s">
        <v>922</v>
      </c>
      <c r="D1681" s="89">
        <v>280</v>
      </c>
      <c r="E1681" s="91" t="s">
        <v>106</v>
      </c>
      <c r="F1681" s="92">
        <v>350000</v>
      </c>
      <c r="G1681" s="92">
        <v>98000000</v>
      </c>
    </row>
    <row r="1682" spans="1:7" x14ac:dyDescent="0.2">
      <c r="A1682" s="7" t="s">
        <v>2799</v>
      </c>
      <c r="B1682" s="89" t="s">
        <v>195</v>
      </c>
      <c r="C1682" s="90" t="s">
        <v>1276</v>
      </c>
      <c r="D1682" s="89">
        <v>40</v>
      </c>
      <c r="E1682" s="91" t="s">
        <v>180</v>
      </c>
      <c r="F1682" s="92">
        <v>250000</v>
      </c>
      <c r="G1682" s="92">
        <v>10000000</v>
      </c>
    </row>
    <row r="1683" spans="1:7" ht="30" x14ac:dyDescent="0.2">
      <c r="A1683" s="7" t="s">
        <v>2800</v>
      </c>
      <c r="B1683" s="78" t="s">
        <v>515</v>
      </c>
      <c r="C1683" s="79" t="s">
        <v>642</v>
      </c>
      <c r="D1683" s="78"/>
      <c r="E1683" s="80"/>
      <c r="F1683" s="81"/>
      <c r="G1683" s="81">
        <v>16800000</v>
      </c>
    </row>
    <row r="1684" spans="1:7" ht="28.5" x14ac:dyDescent="0.2">
      <c r="A1684" s="7" t="s">
        <v>2801</v>
      </c>
      <c r="B1684" s="89" t="s">
        <v>195</v>
      </c>
      <c r="C1684" s="90" t="s">
        <v>2802</v>
      </c>
      <c r="D1684" s="89">
        <v>84</v>
      </c>
      <c r="E1684" s="91" t="s">
        <v>32</v>
      </c>
      <c r="F1684" s="92">
        <v>200000</v>
      </c>
      <c r="G1684" s="92">
        <v>16800000</v>
      </c>
    </row>
    <row r="1685" spans="1:7" ht="15" x14ac:dyDescent="0.2">
      <c r="A1685" s="7" t="s">
        <v>2803</v>
      </c>
      <c r="B1685" s="78" t="s">
        <v>537</v>
      </c>
      <c r="C1685" s="79" t="s">
        <v>64</v>
      </c>
      <c r="D1685" s="78"/>
      <c r="E1685" s="80"/>
      <c r="F1685" s="81"/>
      <c r="G1685" s="81">
        <v>20000000</v>
      </c>
    </row>
    <row r="1686" spans="1:7" x14ac:dyDescent="0.2">
      <c r="A1686" s="7" t="s">
        <v>2804</v>
      </c>
      <c r="B1686" s="89" t="s">
        <v>195</v>
      </c>
      <c r="C1686" s="90" t="s">
        <v>619</v>
      </c>
      <c r="D1686" s="89">
        <v>10</v>
      </c>
      <c r="E1686" s="91" t="s">
        <v>106</v>
      </c>
      <c r="F1686" s="92">
        <v>1000000</v>
      </c>
      <c r="G1686" s="92">
        <v>10000000</v>
      </c>
    </row>
    <row r="1687" spans="1:7" x14ac:dyDescent="0.2">
      <c r="A1687" s="7" t="s">
        <v>2805</v>
      </c>
      <c r="B1687" s="89" t="s">
        <v>195</v>
      </c>
      <c r="C1687" s="90" t="s">
        <v>620</v>
      </c>
      <c r="D1687" s="89">
        <v>10</v>
      </c>
      <c r="E1687" s="91" t="s">
        <v>106</v>
      </c>
      <c r="F1687" s="92">
        <v>1000000</v>
      </c>
      <c r="G1687" s="92">
        <v>10000000</v>
      </c>
    </row>
    <row r="1688" spans="1:7" ht="15" x14ac:dyDescent="0.2">
      <c r="A1688" s="7" t="s">
        <v>2806</v>
      </c>
      <c r="B1688" s="78" t="s">
        <v>516</v>
      </c>
      <c r="C1688" s="79" t="s">
        <v>11</v>
      </c>
      <c r="D1688" s="78"/>
      <c r="E1688" s="80"/>
      <c r="F1688" s="81"/>
      <c r="G1688" s="81">
        <v>77000000</v>
      </c>
    </row>
    <row r="1689" spans="1:7" x14ac:dyDescent="0.2">
      <c r="A1689" s="7" t="s">
        <v>2807</v>
      </c>
      <c r="B1689" s="89" t="s">
        <v>195</v>
      </c>
      <c r="C1689" s="90" t="s">
        <v>2808</v>
      </c>
      <c r="D1689" s="89">
        <v>20</v>
      </c>
      <c r="E1689" s="91" t="s">
        <v>54</v>
      </c>
      <c r="F1689" s="92">
        <v>1000000</v>
      </c>
      <c r="G1689" s="92">
        <v>20000000</v>
      </c>
    </row>
    <row r="1690" spans="1:7" x14ac:dyDescent="0.2">
      <c r="A1690" s="7" t="s">
        <v>2809</v>
      </c>
      <c r="B1690" s="89" t="s">
        <v>195</v>
      </c>
      <c r="C1690" s="90" t="s">
        <v>2810</v>
      </c>
      <c r="D1690" s="89">
        <v>60</v>
      </c>
      <c r="E1690" s="91" t="s">
        <v>54</v>
      </c>
      <c r="F1690" s="92">
        <v>900000</v>
      </c>
      <c r="G1690" s="92">
        <v>54000000</v>
      </c>
    </row>
    <row r="1691" spans="1:7" x14ac:dyDescent="0.2">
      <c r="A1691" s="7" t="s">
        <v>2811</v>
      </c>
      <c r="B1691" s="89" t="s">
        <v>195</v>
      </c>
      <c r="C1691" s="90" t="s">
        <v>2812</v>
      </c>
      <c r="D1691" s="89">
        <v>2</v>
      </c>
      <c r="E1691" s="91" t="s">
        <v>54</v>
      </c>
      <c r="F1691" s="92">
        <v>1500000</v>
      </c>
      <c r="G1691" s="92">
        <v>3000000</v>
      </c>
    </row>
    <row r="1692" spans="1:7" ht="15" x14ac:dyDescent="0.2">
      <c r="A1692" s="7" t="s">
        <v>2813</v>
      </c>
      <c r="B1692" s="78" t="s">
        <v>518</v>
      </c>
      <c r="C1692" s="79" t="s">
        <v>24</v>
      </c>
      <c r="D1692" s="78"/>
      <c r="E1692" s="80"/>
      <c r="F1692" s="81"/>
      <c r="G1692" s="81">
        <v>25200000</v>
      </c>
    </row>
    <row r="1693" spans="1:7" x14ac:dyDescent="0.2">
      <c r="A1693" s="7" t="s">
        <v>2814</v>
      </c>
      <c r="B1693" s="89" t="s">
        <v>195</v>
      </c>
      <c r="C1693" s="90" t="s">
        <v>2815</v>
      </c>
      <c r="D1693" s="89">
        <v>168</v>
      </c>
      <c r="E1693" s="91" t="s">
        <v>25</v>
      </c>
      <c r="F1693" s="92">
        <v>150000</v>
      </c>
      <c r="G1693" s="92">
        <v>25200000</v>
      </c>
    </row>
    <row r="1694" spans="1:7" ht="15" x14ac:dyDescent="0.2">
      <c r="A1694" s="7" t="s">
        <v>2816</v>
      </c>
      <c r="B1694" s="78" t="s">
        <v>513</v>
      </c>
      <c r="C1694" s="79" t="s">
        <v>19</v>
      </c>
      <c r="D1694" s="78"/>
      <c r="E1694" s="80"/>
      <c r="F1694" s="81"/>
      <c r="G1694" s="81">
        <v>1102850000</v>
      </c>
    </row>
    <row r="1695" spans="1:7" ht="28.5" x14ac:dyDescent="0.2">
      <c r="A1695" s="7" t="s">
        <v>2817</v>
      </c>
      <c r="B1695" s="89" t="s">
        <v>195</v>
      </c>
      <c r="C1695" s="90" t="s">
        <v>2818</v>
      </c>
      <c r="D1695" s="89">
        <v>80</v>
      </c>
      <c r="E1695" s="91" t="s">
        <v>25</v>
      </c>
      <c r="F1695" s="92">
        <v>5000000</v>
      </c>
      <c r="G1695" s="92">
        <v>400000000</v>
      </c>
    </row>
    <row r="1696" spans="1:7" ht="28.5" x14ac:dyDescent="0.2">
      <c r="A1696" s="7" t="s">
        <v>2819</v>
      </c>
      <c r="B1696" s="89" t="s">
        <v>195</v>
      </c>
      <c r="C1696" s="90" t="s">
        <v>2820</v>
      </c>
      <c r="D1696" s="89">
        <v>40</v>
      </c>
      <c r="E1696" s="91" t="s">
        <v>25</v>
      </c>
      <c r="F1696" s="92">
        <v>5000000</v>
      </c>
      <c r="G1696" s="92">
        <v>200000000</v>
      </c>
    </row>
    <row r="1697" spans="1:7" ht="28.5" x14ac:dyDescent="0.2">
      <c r="A1697" s="7" t="s">
        <v>2821</v>
      </c>
      <c r="B1697" s="89" t="s">
        <v>195</v>
      </c>
      <c r="C1697" s="90" t="s">
        <v>2822</v>
      </c>
      <c r="D1697" s="89">
        <v>40</v>
      </c>
      <c r="E1697" s="91" t="s">
        <v>25</v>
      </c>
      <c r="F1697" s="92">
        <v>5000000</v>
      </c>
      <c r="G1697" s="92">
        <v>200000000</v>
      </c>
    </row>
    <row r="1698" spans="1:7" ht="28.5" x14ac:dyDescent="0.2">
      <c r="A1698" s="7" t="s">
        <v>2823</v>
      </c>
      <c r="B1698" s="89" t="s">
        <v>195</v>
      </c>
      <c r="C1698" s="90" t="s">
        <v>2824</v>
      </c>
      <c r="D1698" s="89">
        <v>30</v>
      </c>
      <c r="E1698" s="91" t="s">
        <v>25</v>
      </c>
      <c r="F1698" s="92">
        <v>5000000</v>
      </c>
      <c r="G1698" s="92">
        <v>150000000</v>
      </c>
    </row>
    <row r="1699" spans="1:7" ht="28.5" x14ac:dyDescent="0.2">
      <c r="A1699" s="7" t="s">
        <v>2825</v>
      </c>
      <c r="B1699" s="89" t="s">
        <v>195</v>
      </c>
      <c r="C1699" s="90" t="s">
        <v>2826</v>
      </c>
      <c r="D1699" s="89">
        <v>30</v>
      </c>
      <c r="E1699" s="91" t="s">
        <v>25</v>
      </c>
      <c r="F1699" s="92">
        <v>5095000</v>
      </c>
      <c r="G1699" s="92">
        <v>152850000</v>
      </c>
    </row>
    <row r="1700" spans="1:7" ht="15" x14ac:dyDescent="0.2">
      <c r="A1700" s="7" t="s">
        <v>2827</v>
      </c>
      <c r="B1700" s="78" t="s">
        <v>507</v>
      </c>
      <c r="C1700" s="79" t="s">
        <v>13</v>
      </c>
      <c r="D1700" s="78"/>
      <c r="E1700" s="80"/>
      <c r="F1700" s="81"/>
      <c r="G1700" s="81">
        <v>51480000</v>
      </c>
    </row>
    <row r="1701" spans="1:7" ht="28.5" x14ac:dyDescent="0.2">
      <c r="A1701" s="7" t="s">
        <v>2828</v>
      </c>
      <c r="B1701" s="89" t="s">
        <v>195</v>
      </c>
      <c r="C1701" s="90" t="s">
        <v>2829</v>
      </c>
      <c r="D1701" s="89">
        <v>143</v>
      </c>
      <c r="E1701" s="91" t="s">
        <v>25</v>
      </c>
      <c r="F1701" s="92">
        <v>210000</v>
      </c>
      <c r="G1701" s="92">
        <v>30030000</v>
      </c>
    </row>
    <row r="1702" spans="1:7" x14ac:dyDescent="0.2">
      <c r="A1702" s="7" t="s">
        <v>2830</v>
      </c>
      <c r="B1702" s="89" t="s">
        <v>195</v>
      </c>
      <c r="C1702" s="90" t="s">
        <v>2831</v>
      </c>
      <c r="D1702" s="89">
        <v>143</v>
      </c>
      <c r="E1702" s="91" t="s">
        <v>25</v>
      </c>
      <c r="F1702" s="92">
        <v>150000</v>
      </c>
      <c r="G1702" s="92">
        <v>21450000</v>
      </c>
    </row>
    <row r="1703" spans="1:7" ht="30" x14ac:dyDescent="0.2">
      <c r="A1703" s="7" t="s">
        <v>2832</v>
      </c>
      <c r="B1703" s="97" t="s">
        <v>511</v>
      </c>
      <c r="C1703" s="98" t="s">
        <v>163</v>
      </c>
      <c r="D1703" s="97"/>
      <c r="E1703" s="99"/>
      <c r="F1703" s="100"/>
      <c r="G1703" s="100">
        <v>802220000</v>
      </c>
    </row>
    <row r="1704" spans="1:7" ht="15" x14ac:dyDescent="0.2">
      <c r="A1704" s="7" t="s">
        <v>2833</v>
      </c>
      <c r="B1704" s="78" t="s">
        <v>503</v>
      </c>
      <c r="C1704" s="79" t="s">
        <v>7</v>
      </c>
      <c r="D1704" s="78"/>
      <c r="E1704" s="80"/>
      <c r="F1704" s="81"/>
      <c r="G1704" s="81">
        <v>75900000</v>
      </c>
    </row>
    <row r="1705" spans="1:7" x14ac:dyDescent="0.2">
      <c r="A1705" s="7" t="s">
        <v>2834</v>
      </c>
      <c r="B1705" s="89" t="s">
        <v>195</v>
      </c>
      <c r="C1705" s="90" t="s">
        <v>617</v>
      </c>
      <c r="D1705" s="89">
        <v>60</v>
      </c>
      <c r="E1705" s="91" t="s">
        <v>180</v>
      </c>
      <c r="F1705" s="92">
        <v>100000</v>
      </c>
      <c r="G1705" s="92">
        <v>6000000</v>
      </c>
    </row>
    <row r="1706" spans="1:7" x14ac:dyDescent="0.2">
      <c r="A1706" s="7" t="s">
        <v>2835</v>
      </c>
      <c r="B1706" s="89" t="s">
        <v>195</v>
      </c>
      <c r="C1706" s="90" t="s">
        <v>2795</v>
      </c>
      <c r="D1706" s="89">
        <v>3</v>
      </c>
      <c r="E1706" s="91" t="s">
        <v>106</v>
      </c>
      <c r="F1706" s="92">
        <v>1000000</v>
      </c>
      <c r="G1706" s="92">
        <v>3000000</v>
      </c>
    </row>
    <row r="1707" spans="1:7" x14ac:dyDescent="0.2">
      <c r="A1707" s="7" t="s">
        <v>2836</v>
      </c>
      <c r="B1707" s="89" t="s">
        <v>195</v>
      </c>
      <c r="C1707" s="90" t="s">
        <v>2797</v>
      </c>
      <c r="D1707" s="89">
        <v>15</v>
      </c>
      <c r="E1707" s="91" t="s">
        <v>106</v>
      </c>
      <c r="F1707" s="92">
        <v>100000</v>
      </c>
      <c r="G1707" s="92">
        <v>1500000</v>
      </c>
    </row>
    <row r="1708" spans="1:7" x14ac:dyDescent="0.2">
      <c r="A1708" s="7" t="s">
        <v>2837</v>
      </c>
      <c r="B1708" s="89" t="s">
        <v>195</v>
      </c>
      <c r="C1708" s="90" t="s">
        <v>922</v>
      </c>
      <c r="D1708" s="89">
        <v>180</v>
      </c>
      <c r="E1708" s="91" t="s">
        <v>106</v>
      </c>
      <c r="F1708" s="92">
        <v>350000</v>
      </c>
      <c r="G1708" s="92">
        <v>63000000</v>
      </c>
    </row>
    <row r="1709" spans="1:7" x14ac:dyDescent="0.2">
      <c r="A1709" s="7" t="s">
        <v>2838</v>
      </c>
      <c r="B1709" s="89" t="s">
        <v>195</v>
      </c>
      <c r="C1709" s="90" t="s">
        <v>1276</v>
      </c>
      <c r="D1709" s="89">
        <v>12</v>
      </c>
      <c r="E1709" s="91" t="s">
        <v>180</v>
      </c>
      <c r="F1709" s="92">
        <v>200000</v>
      </c>
      <c r="G1709" s="92">
        <v>2400000</v>
      </c>
    </row>
    <row r="1710" spans="1:7" ht="15" x14ac:dyDescent="0.2">
      <c r="A1710" s="7" t="s">
        <v>2839</v>
      </c>
      <c r="B1710" s="78" t="s">
        <v>537</v>
      </c>
      <c r="C1710" s="79" t="s">
        <v>64</v>
      </c>
      <c r="D1710" s="78"/>
      <c r="E1710" s="80"/>
      <c r="F1710" s="81"/>
      <c r="G1710" s="81">
        <v>20000000</v>
      </c>
    </row>
    <row r="1711" spans="1:7" x14ac:dyDescent="0.2">
      <c r="A1711" s="7" t="s">
        <v>2840</v>
      </c>
      <c r="B1711" s="89" t="s">
        <v>195</v>
      </c>
      <c r="C1711" s="90" t="s">
        <v>619</v>
      </c>
      <c r="D1711" s="89">
        <v>10</v>
      </c>
      <c r="E1711" s="91" t="s">
        <v>106</v>
      </c>
      <c r="F1711" s="92">
        <v>1000000</v>
      </c>
      <c r="G1711" s="92">
        <v>10000000</v>
      </c>
    </row>
    <row r="1712" spans="1:7" x14ac:dyDescent="0.2">
      <c r="A1712" s="7" t="s">
        <v>2841</v>
      </c>
      <c r="B1712" s="89" t="s">
        <v>195</v>
      </c>
      <c r="C1712" s="90" t="s">
        <v>620</v>
      </c>
      <c r="D1712" s="89">
        <v>10</v>
      </c>
      <c r="E1712" s="91" t="s">
        <v>106</v>
      </c>
      <c r="F1712" s="92">
        <v>1000000</v>
      </c>
      <c r="G1712" s="92">
        <v>10000000</v>
      </c>
    </row>
    <row r="1713" spans="1:7" ht="15" x14ac:dyDescent="0.2">
      <c r="A1713" s="7" t="s">
        <v>2842</v>
      </c>
      <c r="B1713" s="78" t="s">
        <v>516</v>
      </c>
      <c r="C1713" s="79" t="s">
        <v>11</v>
      </c>
      <c r="D1713" s="78"/>
      <c r="E1713" s="80"/>
      <c r="F1713" s="81"/>
      <c r="G1713" s="81">
        <v>44400000</v>
      </c>
    </row>
    <row r="1714" spans="1:7" x14ac:dyDescent="0.2">
      <c r="A1714" s="7" t="s">
        <v>2843</v>
      </c>
      <c r="B1714" s="89" t="s">
        <v>195</v>
      </c>
      <c r="C1714" s="90" t="s">
        <v>2844</v>
      </c>
      <c r="D1714" s="89">
        <v>12</v>
      </c>
      <c r="E1714" s="91" t="s">
        <v>54</v>
      </c>
      <c r="F1714" s="92">
        <v>1000000</v>
      </c>
      <c r="G1714" s="92">
        <v>12000000</v>
      </c>
    </row>
    <row r="1715" spans="1:7" x14ac:dyDescent="0.2">
      <c r="A1715" s="7" t="s">
        <v>2845</v>
      </c>
      <c r="B1715" s="89" t="s">
        <v>195</v>
      </c>
      <c r="C1715" s="90" t="s">
        <v>2846</v>
      </c>
      <c r="D1715" s="89">
        <v>36</v>
      </c>
      <c r="E1715" s="91" t="s">
        <v>54</v>
      </c>
      <c r="F1715" s="92">
        <v>900000</v>
      </c>
      <c r="G1715" s="92">
        <v>32400000</v>
      </c>
    </row>
    <row r="1716" spans="1:7" ht="15" x14ac:dyDescent="0.2">
      <c r="A1716" s="7" t="s">
        <v>2847</v>
      </c>
      <c r="B1716" s="78" t="s">
        <v>513</v>
      </c>
      <c r="C1716" s="79" t="s">
        <v>19</v>
      </c>
      <c r="D1716" s="78"/>
      <c r="E1716" s="80"/>
      <c r="F1716" s="81"/>
      <c r="G1716" s="81">
        <v>610080000</v>
      </c>
    </row>
    <row r="1717" spans="1:7" ht="28.5" x14ac:dyDescent="0.2">
      <c r="A1717" s="7" t="s">
        <v>2848</v>
      </c>
      <c r="B1717" s="89" t="s">
        <v>195</v>
      </c>
      <c r="C1717" s="90" t="s">
        <v>2849</v>
      </c>
      <c r="D1717" s="89">
        <v>40</v>
      </c>
      <c r="E1717" s="91" t="s">
        <v>25</v>
      </c>
      <c r="F1717" s="92">
        <v>5252000</v>
      </c>
      <c r="G1717" s="92">
        <v>210080000</v>
      </c>
    </row>
    <row r="1718" spans="1:7" x14ac:dyDescent="0.2">
      <c r="A1718" s="7" t="s">
        <v>2850</v>
      </c>
      <c r="B1718" s="89" t="s">
        <v>195</v>
      </c>
      <c r="C1718" s="90" t="s">
        <v>2851</v>
      </c>
      <c r="D1718" s="89">
        <v>40</v>
      </c>
      <c r="E1718" s="91" t="s">
        <v>25</v>
      </c>
      <c r="F1718" s="92">
        <v>5000000</v>
      </c>
      <c r="G1718" s="92">
        <v>200000000</v>
      </c>
    </row>
    <row r="1719" spans="1:7" ht="28.5" x14ac:dyDescent="0.2">
      <c r="A1719" s="7" t="s">
        <v>2852</v>
      </c>
      <c r="B1719" s="89" t="s">
        <v>195</v>
      </c>
      <c r="C1719" s="90" t="s">
        <v>2853</v>
      </c>
      <c r="D1719" s="89">
        <v>40</v>
      </c>
      <c r="E1719" s="91" t="s">
        <v>25</v>
      </c>
      <c r="F1719" s="92">
        <v>5000000</v>
      </c>
      <c r="G1719" s="92">
        <v>200000000</v>
      </c>
    </row>
    <row r="1720" spans="1:7" ht="15" x14ac:dyDescent="0.2">
      <c r="A1720" s="7" t="s">
        <v>2854</v>
      </c>
      <c r="B1720" s="78" t="s">
        <v>507</v>
      </c>
      <c r="C1720" s="79" t="s">
        <v>13</v>
      </c>
      <c r="D1720" s="78"/>
      <c r="E1720" s="80"/>
      <c r="F1720" s="81"/>
      <c r="G1720" s="81">
        <v>51840000</v>
      </c>
    </row>
    <row r="1721" spans="1:7" ht="28.5" x14ac:dyDescent="0.2">
      <c r="A1721" s="7" t="s">
        <v>2855</v>
      </c>
      <c r="B1721" s="89" t="s">
        <v>195</v>
      </c>
      <c r="C1721" s="90" t="s">
        <v>2829</v>
      </c>
      <c r="D1721" s="89">
        <v>144</v>
      </c>
      <c r="E1721" s="91" t="s">
        <v>73</v>
      </c>
      <c r="F1721" s="92">
        <v>210000</v>
      </c>
      <c r="G1721" s="92">
        <v>30240000</v>
      </c>
    </row>
    <row r="1722" spans="1:7" x14ac:dyDescent="0.2">
      <c r="A1722" s="7" t="s">
        <v>2856</v>
      </c>
      <c r="B1722" s="89" t="s">
        <v>195</v>
      </c>
      <c r="C1722" s="90" t="s">
        <v>2831</v>
      </c>
      <c r="D1722" s="89">
        <v>144</v>
      </c>
      <c r="E1722" s="91" t="s">
        <v>73</v>
      </c>
      <c r="F1722" s="92">
        <v>150000</v>
      </c>
      <c r="G1722" s="92">
        <v>21600000</v>
      </c>
    </row>
    <row r="1723" spans="1:7" ht="30" x14ac:dyDescent="0.2">
      <c r="A1723" s="7" t="s">
        <v>2857</v>
      </c>
      <c r="B1723" s="97" t="s">
        <v>512</v>
      </c>
      <c r="C1723" s="98" t="s">
        <v>164</v>
      </c>
      <c r="D1723" s="97"/>
      <c r="E1723" s="99"/>
      <c r="F1723" s="100"/>
      <c r="G1723" s="100">
        <v>374450000</v>
      </c>
    </row>
    <row r="1724" spans="1:7" ht="15" x14ac:dyDescent="0.2">
      <c r="A1724" s="7" t="s">
        <v>2858</v>
      </c>
      <c r="B1724" s="78" t="s">
        <v>503</v>
      </c>
      <c r="C1724" s="79" t="s">
        <v>7</v>
      </c>
      <c r="D1724" s="78"/>
      <c r="E1724" s="80"/>
      <c r="F1724" s="81"/>
      <c r="G1724" s="81">
        <v>64750000</v>
      </c>
    </row>
    <row r="1725" spans="1:7" x14ac:dyDescent="0.2">
      <c r="A1725" s="7" t="s">
        <v>2859</v>
      </c>
      <c r="B1725" s="89" t="s">
        <v>195</v>
      </c>
      <c r="C1725" s="90" t="s">
        <v>617</v>
      </c>
      <c r="D1725" s="89">
        <v>25</v>
      </c>
      <c r="E1725" s="91" t="s">
        <v>180</v>
      </c>
      <c r="F1725" s="92">
        <v>100000</v>
      </c>
      <c r="G1725" s="92">
        <v>2500000</v>
      </c>
    </row>
    <row r="1726" spans="1:7" x14ac:dyDescent="0.2">
      <c r="A1726" s="7" t="s">
        <v>2860</v>
      </c>
      <c r="B1726" s="89" t="s">
        <v>195</v>
      </c>
      <c r="C1726" s="90" t="s">
        <v>2797</v>
      </c>
      <c r="D1726" s="89">
        <v>15</v>
      </c>
      <c r="E1726" s="91" t="s">
        <v>180</v>
      </c>
      <c r="F1726" s="92">
        <v>100000</v>
      </c>
      <c r="G1726" s="92">
        <v>1500000</v>
      </c>
    </row>
    <row r="1727" spans="1:7" x14ac:dyDescent="0.2">
      <c r="A1727" s="7" t="s">
        <v>2861</v>
      </c>
      <c r="B1727" s="89" t="s">
        <v>195</v>
      </c>
      <c r="C1727" s="90" t="s">
        <v>2862</v>
      </c>
      <c r="D1727" s="89">
        <v>3</v>
      </c>
      <c r="E1727" s="91" t="s">
        <v>106</v>
      </c>
      <c r="F1727" s="92">
        <v>1500000</v>
      </c>
      <c r="G1727" s="92">
        <v>4500000</v>
      </c>
    </row>
    <row r="1728" spans="1:7" x14ac:dyDescent="0.2">
      <c r="A1728" s="7" t="s">
        <v>2863</v>
      </c>
      <c r="B1728" s="89" t="s">
        <v>195</v>
      </c>
      <c r="C1728" s="90" t="s">
        <v>2864</v>
      </c>
      <c r="D1728" s="89">
        <v>150</v>
      </c>
      <c r="E1728" s="91" t="s">
        <v>180</v>
      </c>
      <c r="F1728" s="92">
        <v>350000</v>
      </c>
      <c r="G1728" s="92">
        <v>52500000</v>
      </c>
    </row>
    <row r="1729" spans="1:7" x14ac:dyDescent="0.2">
      <c r="A1729" s="7" t="s">
        <v>2865</v>
      </c>
      <c r="B1729" s="89" t="s">
        <v>195</v>
      </c>
      <c r="C1729" s="90" t="s">
        <v>2866</v>
      </c>
      <c r="D1729" s="89">
        <v>15</v>
      </c>
      <c r="E1729" s="91" t="s">
        <v>180</v>
      </c>
      <c r="F1729" s="92">
        <v>250000</v>
      </c>
      <c r="G1729" s="92">
        <v>3750000</v>
      </c>
    </row>
    <row r="1730" spans="1:7" ht="15" x14ac:dyDescent="0.2">
      <c r="A1730" s="7" t="s">
        <v>2867</v>
      </c>
      <c r="B1730" s="78" t="s">
        <v>537</v>
      </c>
      <c r="C1730" s="79" t="s">
        <v>64</v>
      </c>
      <c r="D1730" s="78"/>
      <c r="E1730" s="80"/>
      <c r="F1730" s="81"/>
      <c r="G1730" s="81">
        <v>6000000</v>
      </c>
    </row>
    <row r="1731" spans="1:7" x14ac:dyDescent="0.2">
      <c r="A1731" s="7" t="s">
        <v>2868</v>
      </c>
      <c r="B1731" s="89" t="s">
        <v>195</v>
      </c>
      <c r="C1731" s="90" t="s">
        <v>619</v>
      </c>
      <c r="D1731" s="89">
        <v>3</v>
      </c>
      <c r="E1731" s="91" t="s">
        <v>106</v>
      </c>
      <c r="F1731" s="92">
        <v>1000000</v>
      </c>
      <c r="G1731" s="92">
        <v>3000000</v>
      </c>
    </row>
    <row r="1732" spans="1:7" x14ac:dyDescent="0.2">
      <c r="A1732" s="7" t="s">
        <v>2869</v>
      </c>
      <c r="B1732" s="89" t="s">
        <v>195</v>
      </c>
      <c r="C1732" s="90" t="s">
        <v>2870</v>
      </c>
      <c r="D1732" s="89">
        <v>3</v>
      </c>
      <c r="E1732" s="91" t="s">
        <v>106</v>
      </c>
      <c r="F1732" s="92">
        <v>1000000</v>
      </c>
      <c r="G1732" s="92">
        <v>3000000</v>
      </c>
    </row>
    <row r="1733" spans="1:7" ht="15" x14ac:dyDescent="0.2">
      <c r="A1733" s="7" t="s">
        <v>2871</v>
      </c>
      <c r="B1733" s="78" t="s">
        <v>516</v>
      </c>
      <c r="C1733" s="79" t="s">
        <v>11</v>
      </c>
      <c r="D1733" s="78"/>
      <c r="E1733" s="80"/>
      <c r="F1733" s="81"/>
      <c r="G1733" s="81">
        <v>28200000</v>
      </c>
    </row>
    <row r="1734" spans="1:7" x14ac:dyDescent="0.2">
      <c r="A1734" s="7" t="s">
        <v>2872</v>
      </c>
      <c r="B1734" s="89" t="s">
        <v>195</v>
      </c>
      <c r="C1734" s="90" t="s">
        <v>2873</v>
      </c>
      <c r="D1734" s="89">
        <v>12</v>
      </c>
      <c r="E1734" s="91" t="s">
        <v>54</v>
      </c>
      <c r="F1734" s="92">
        <v>1000000</v>
      </c>
      <c r="G1734" s="92">
        <v>12000000</v>
      </c>
    </row>
    <row r="1735" spans="1:7" x14ac:dyDescent="0.2">
      <c r="A1735" s="7" t="s">
        <v>2874</v>
      </c>
      <c r="B1735" s="89" t="s">
        <v>195</v>
      </c>
      <c r="C1735" s="90" t="s">
        <v>2875</v>
      </c>
      <c r="D1735" s="89">
        <v>18</v>
      </c>
      <c r="E1735" s="91" t="s">
        <v>54</v>
      </c>
      <c r="F1735" s="92">
        <v>900000</v>
      </c>
      <c r="G1735" s="92">
        <v>16200000</v>
      </c>
    </row>
    <row r="1736" spans="1:7" ht="15" x14ac:dyDescent="0.2">
      <c r="A1736" s="7" t="s">
        <v>2876</v>
      </c>
      <c r="B1736" s="78" t="s">
        <v>513</v>
      </c>
      <c r="C1736" s="79" t="s">
        <v>19</v>
      </c>
      <c r="D1736" s="78"/>
      <c r="E1736" s="80"/>
      <c r="F1736" s="81"/>
      <c r="G1736" s="81">
        <v>275500000</v>
      </c>
    </row>
    <row r="1737" spans="1:7" ht="28.5" x14ac:dyDescent="0.2">
      <c r="A1737" s="7" t="s">
        <v>2877</v>
      </c>
      <c r="B1737" s="89" t="s">
        <v>195</v>
      </c>
      <c r="C1737" s="90" t="s">
        <v>2878</v>
      </c>
      <c r="D1737" s="89">
        <v>50</v>
      </c>
      <c r="E1737" s="91" t="s">
        <v>25</v>
      </c>
      <c r="F1737" s="92">
        <v>5510000</v>
      </c>
      <c r="G1737" s="92">
        <v>275500000</v>
      </c>
    </row>
    <row r="1738" spans="1:7" ht="30" x14ac:dyDescent="0.2">
      <c r="A1738" s="7" t="s">
        <v>2879</v>
      </c>
      <c r="B1738" s="93" t="s">
        <v>1102</v>
      </c>
      <c r="C1738" s="94" t="s">
        <v>2880</v>
      </c>
      <c r="D1738" s="93"/>
      <c r="E1738" s="95"/>
      <c r="F1738" s="96"/>
      <c r="G1738" s="96">
        <v>1200000000</v>
      </c>
    </row>
    <row r="1739" spans="1:7" ht="15" x14ac:dyDescent="0.2">
      <c r="A1739" s="7" t="s">
        <v>2881</v>
      </c>
      <c r="B1739" s="97" t="s">
        <v>8</v>
      </c>
      <c r="C1739" s="98" t="s">
        <v>2882</v>
      </c>
      <c r="D1739" s="97"/>
      <c r="E1739" s="99"/>
      <c r="F1739" s="100"/>
      <c r="G1739" s="100">
        <v>417300000</v>
      </c>
    </row>
    <row r="1740" spans="1:7" ht="15" x14ac:dyDescent="0.2">
      <c r="A1740" s="7" t="s">
        <v>2883</v>
      </c>
      <c r="B1740" s="78" t="s">
        <v>503</v>
      </c>
      <c r="C1740" s="79" t="s">
        <v>7</v>
      </c>
      <c r="D1740" s="78"/>
      <c r="E1740" s="80"/>
      <c r="F1740" s="81"/>
      <c r="G1740" s="81">
        <v>16400000</v>
      </c>
    </row>
    <row r="1741" spans="1:7" x14ac:dyDescent="0.2">
      <c r="A1741" s="7" t="s">
        <v>2884</v>
      </c>
      <c r="B1741" s="89" t="s">
        <v>195</v>
      </c>
      <c r="C1741" s="90" t="s">
        <v>617</v>
      </c>
      <c r="D1741" s="89">
        <v>100</v>
      </c>
      <c r="E1741" s="91" t="s">
        <v>180</v>
      </c>
      <c r="F1741" s="92">
        <v>100000</v>
      </c>
      <c r="G1741" s="92">
        <v>10000000</v>
      </c>
    </row>
    <row r="1742" spans="1:7" x14ac:dyDescent="0.2">
      <c r="A1742" s="7" t="s">
        <v>2885</v>
      </c>
      <c r="B1742" s="89" t="s">
        <v>195</v>
      </c>
      <c r="C1742" s="90" t="s">
        <v>2866</v>
      </c>
      <c r="D1742" s="89">
        <v>16</v>
      </c>
      <c r="E1742" s="91" t="s">
        <v>180</v>
      </c>
      <c r="F1742" s="92">
        <v>400000</v>
      </c>
      <c r="G1742" s="92">
        <v>6400000</v>
      </c>
    </row>
    <row r="1743" spans="1:7" ht="15" x14ac:dyDescent="0.2">
      <c r="A1743" s="7" t="s">
        <v>2886</v>
      </c>
      <c r="B1743" s="78" t="s">
        <v>537</v>
      </c>
      <c r="C1743" s="79" t="s">
        <v>64</v>
      </c>
      <c r="D1743" s="78"/>
      <c r="E1743" s="80"/>
      <c r="F1743" s="81"/>
      <c r="G1743" s="81">
        <v>22000000</v>
      </c>
    </row>
    <row r="1744" spans="1:7" x14ac:dyDescent="0.2">
      <c r="A1744" s="7" t="s">
        <v>2887</v>
      </c>
      <c r="B1744" s="89" t="s">
        <v>195</v>
      </c>
      <c r="C1744" s="90" t="s">
        <v>619</v>
      </c>
      <c r="D1744" s="89">
        <v>11</v>
      </c>
      <c r="E1744" s="91" t="s">
        <v>106</v>
      </c>
      <c r="F1744" s="92">
        <v>1000000</v>
      </c>
      <c r="G1744" s="92">
        <v>11000000</v>
      </c>
    </row>
    <row r="1745" spans="1:7" x14ac:dyDescent="0.2">
      <c r="A1745" s="7" t="s">
        <v>2888</v>
      </c>
      <c r="B1745" s="89" t="s">
        <v>195</v>
      </c>
      <c r="C1745" s="90" t="s">
        <v>1006</v>
      </c>
      <c r="D1745" s="89">
        <v>11</v>
      </c>
      <c r="E1745" s="91" t="s">
        <v>106</v>
      </c>
      <c r="F1745" s="92">
        <v>1000000</v>
      </c>
      <c r="G1745" s="92">
        <v>11000000</v>
      </c>
    </row>
    <row r="1746" spans="1:7" ht="15" x14ac:dyDescent="0.2">
      <c r="A1746" s="7" t="s">
        <v>2889</v>
      </c>
      <c r="B1746" s="78" t="s">
        <v>516</v>
      </c>
      <c r="C1746" s="79" t="s">
        <v>11</v>
      </c>
      <c r="D1746" s="78"/>
      <c r="E1746" s="80"/>
      <c r="F1746" s="81"/>
      <c r="G1746" s="81">
        <v>50400000</v>
      </c>
    </row>
    <row r="1747" spans="1:7" x14ac:dyDescent="0.2">
      <c r="A1747" s="7" t="s">
        <v>2890</v>
      </c>
      <c r="B1747" s="89" t="s">
        <v>195</v>
      </c>
      <c r="C1747" s="90" t="s">
        <v>2891</v>
      </c>
      <c r="D1747" s="89">
        <v>36</v>
      </c>
      <c r="E1747" s="91" t="s">
        <v>25</v>
      </c>
      <c r="F1747" s="92">
        <v>1400000</v>
      </c>
      <c r="G1747" s="92">
        <v>50400000</v>
      </c>
    </row>
    <row r="1748" spans="1:7" ht="15" x14ac:dyDescent="0.2">
      <c r="A1748" s="7" t="s">
        <v>2892</v>
      </c>
      <c r="B1748" s="78" t="s">
        <v>518</v>
      </c>
      <c r="C1748" s="79" t="s">
        <v>24</v>
      </c>
      <c r="D1748" s="78"/>
      <c r="E1748" s="80"/>
      <c r="F1748" s="81"/>
      <c r="G1748" s="81">
        <v>32400000</v>
      </c>
    </row>
    <row r="1749" spans="1:7" x14ac:dyDescent="0.2">
      <c r="A1749" s="7" t="s">
        <v>2893</v>
      </c>
      <c r="B1749" s="89" t="s">
        <v>195</v>
      </c>
      <c r="C1749" s="90" t="s">
        <v>2894</v>
      </c>
      <c r="D1749" s="89">
        <v>72</v>
      </c>
      <c r="E1749" s="91" t="s">
        <v>25</v>
      </c>
      <c r="F1749" s="92">
        <v>450000</v>
      </c>
      <c r="G1749" s="92">
        <v>32400000</v>
      </c>
    </row>
    <row r="1750" spans="1:7" ht="15" x14ac:dyDescent="0.2">
      <c r="A1750" s="7" t="s">
        <v>2895</v>
      </c>
      <c r="B1750" s="78" t="s">
        <v>513</v>
      </c>
      <c r="C1750" s="79" t="s">
        <v>19</v>
      </c>
      <c r="D1750" s="78"/>
      <c r="E1750" s="80"/>
      <c r="F1750" s="81"/>
      <c r="G1750" s="81">
        <v>296100000</v>
      </c>
    </row>
    <row r="1751" spans="1:7" x14ac:dyDescent="0.2">
      <c r="A1751" s="7" t="s">
        <v>2896</v>
      </c>
      <c r="B1751" s="89" t="s">
        <v>195</v>
      </c>
      <c r="C1751" s="90" t="s">
        <v>2897</v>
      </c>
      <c r="D1751" s="89">
        <v>60</v>
      </c>
      <c r="E1751" s="91" t="s">
        <v>25</v>
      </c>
      <c r="F1751" s="92">
        <v>4935000</v>
      </c>
      <c r="G1751" s="92">
        <v>296100000</v>
      </c>
    </row>
    <row r="1752" spans="1:7" ht="15" x14ac:dyDescent="0.2">
      <c r="A1752" s="7" t="s">
        <v>2898</v>
      </c>
      <c r="B1752" s="97" t="s">
        <v>511</v>
      </c>
      <c r="C1752" s="98" t="s">
        <v>165</v>
      </c>
      <c r="D1752" s="97"/>
      <c r="E1752" s="99"/>
      <c r="F1752" s="100"/>
      <c r="G1752" s="100">
        <v>207880000</v>
      </c>
    </row>
    <row r="1753" spans="1:7" ht="15" x14ac:dyDescent="0.2">
      <c r="A1753" s="7" t="s">
        <v>2899</v>
      </c>
      <c r="B1753" s="78" t="s">
        <v>503</v>
      </c>
      <c r="C1753" s="79" t="s">
        <v>7</v>
      </c>
      <c r="D1753" s="78"/>
      <c r="E1753" s="80"/>
      <c r="F1753" s="81"/>
      <c r="G1753" s="81">
        <v>20000000</v>
      </c>
    </row>
    <row r="1754" spans="1:7" x14ac:dyDescent="0.2">
      <c r="A1754" s="7" t="s">
        <v>2900</v>
      </c>
      <c r="B1754" s="89" t="s">
        <v>195</v>
      </c>
      <c r="C1754" s="90" t="s">
        <v>617</v>
      </c>
      <c r="D1754" s="89">
        <v>110</v>
      </c>
      <c r="E1754" s="91" t="s">
        <v>180</v>
      </c>
      <c r="F1754" s="92">
        <v>100000</v>
      </c>
      <c r="G1754" s="92">
        <v>11000000</v>
      </c>
    </row>
    <row r="1755" spans="1:7" x14ac:dyDescent="0.2">
      <c r="A1755" s="7" t="s">
        <v>2901</v>
      </c>
      <c r="B1755" s="89" t="s">
        <v>195</v>
      </c>
      <c r="C1755" s="90" t="s">
        <v>2902</v>
      </c>
      <c r="D1755" s="89">
        <v>36</v>
      </c>
      <c r="E1755" s="91" t="s">
        <v>180</v>
      </c>
      <c r="F1755" s="92">
        <v>250000</v>
      </c>
      <c r="G1755" s="92">
        <v>9000000</v>
      </c>
    </row>
    <row r="1756" spans="1:7" ht="15" x14ac:dyDescent="0.2">
      <c r="A1756" s="7" t="s">
        <v>2903</v>
      </c>
      <c r="B1756" s="78" t="s">
        <v>537</v>
      </c>
      <c r="C1756" s="79" t="s">
        <v>64</v>
      </c>
      <c r="D1756" s="78"/>
      <c r="E1756" s="80"/>
      <c r="F1756" s="81"/>
      <c r="G1756" s="81">
        <v>22000000</v>
      </c>
    </row>
    <row r="1757" spans="1:7" x14ac:dyDescent="0.2">
      <c r="A1757" s="7" t="s">
        <v>2904</v>
      </c>
      <c r="B1757" s="89" t="s">
        <v>195</v>
      </c>
      <c r="C1757" s="90" t="s">
        <v>619</v>
      </c>
      <c r="D1757" s="89">
        <v>11</v>
      </c>
      <c r="E1757" s="91" t="s">
        <v>106</v>
      </c>
      <c r="F1757" s="92">
        <v>1000000</v>
      </c>
      <c r="G1757" s="92">
        <v>11000000</v>
      </c>
    </row>
    <row r="1758" spans="1:7" x14ac:dyDescent="0.2">
      <c r="A1758" s="7" t="s">
        <v>2905</v>
      </c>
      <c r="B1758" s="89" t="s">
        <v>195</v>
      </c>
      <c r="C1758" s="90" t="s">
        <v>1197</v>
      </c>
      <c r="D1758" s="89">
        <v>11</v>
      </c>
      <c r="E1758" s="91" t="s">
        <v>106</v>
      </c>
      <c r="F1758" s="92">
        <v>1000000</v>
      </c>
      <c r="G1758" s="92">
        <v>11000000</v>
      </c>
    </row>
    <row r="1759" spans="1:7" ht="15" x14ac:dyDescent="0.2">
      <c r="A1759" s="7" t="s">
        <v>2906</v>
      </c>
      <c r="B1759" s="78" t="s">
        <v>516</v>
      </c>
      <c r="C1759" s="79" t="s">
        <v>11</v>
      </c>
      <c r="D1759" s="78"/>
      <c r="E1759" s="80"/>
      <c r="F1759" s="81"/>
      <c r="G1759" s="81">
        <v>67200000</v>
      </c>
    </row>
    <row r="1760" spans="1:7" x14ac:dyDescent="0.2">
      <c r="A1760" s="7" t="s">
        <v>2907</v>
      </c>
      <c r="B1760" s="89" t="s">
        <v>195</v>
      </c>
      <c r="C1760" s="90" t="s">
        <v>2891</v>
      </c>
      <c r="D1760" s="89">
        <v>48</v>
      </c>
      <c r="E1760" s="91" t="s">
        <v>25</v>
      </c>
      <c r="F1760" s="92">
        <v>1400000</v>
      </c>
      <c r="G1760" s="92">
        <v>67200000</v>
      </c>
    </row>
    <row r="1761" spans="1:7" ht="15" x14ac:dyDescent="0.2">
      <c r="A1761" s="7" t="s">
        <v>2908</v>
      </c>
      <c r="B1761" s="78" t="s">
        <v>513</v>
      </c>
      <c r="C1761" s="79" t="s">
        <v>19</v>
      </c>
      <c r="D1761" s="78"/>
      <c r="E1761" s="80"/>
      <c r="F1761" s="81"/>
      <c r="G1761" s="81">
        <v>84280000</v>
      </c>
    </row>
    <row r="1762" spans="1:7" ht="28.5" x14ac:dyDescent="0.2">
      <c r="A1762" s="7" t="s">
        <v>2909</v>
      </c>
      <c r="B1762" s="89" t="s">
        <v>195</v>
      </c>
      <c r="C1762" s="90" t="s">
        <v>2910</v>
      </c>
      <c r="D1762" s="89">
        <v>20</v>
      </c>
      <c r="E1762" s="91" t="s">
        <v>25</v>
      </c>
      <c r="F1762" s="92">
        <v>4214000</v>
      </c>
      <c r="G1762" s="92">
        <v>84280000</v>
      </c>
    </row>
    <row r="1763" spans="1:7" ht="15" x14ac:dyDescent="0.2">
      <c r="A1763" s="7" t="s">
        <v>2911</v>
      </c>
      <c r="B1763" s="78" t="s">
        <v>507</v>
      </c>
      <c r="C1763" s="79" t="s">
        <v>13</v>
      </c>
      <c r="D1763" s="78"/>
      <c r="E1763" s="80"/>
      <c r="F1763" s="81"/>
      <c r="G1763" s="81">
        <v>14400000</v>
      </c>
    </row>
    <row r="1764" spans="1:7" x14ac:dyDescent="0.2">
      <c r="A1764" s="7" t="s">
        <v>2912</v>
      </c>
      <c r="B1764" s="89" t="s">
        <v>195</v>
      </c>
      <c r="C1764" s="90" t="s">
        <v>2913</v>
      </c>
      <c r="D1764" s="89">
        <v>40</v>
      </c>
      <c r="E1764" s="91" t="s">
        <v>25</v>
      </c>
      <c r="F1764" s="92">
        <v>210000</v>
      </c>
      <c r="G1764" s="92">
        <v>8400000</v>
      </c>
    </row>
    <row r="1765" spans="1:7" x14ac:dyDescent="0.2">
      <c r="A1765" s="7" t="s">
        <v>2914</v>
      </c>
      <c r="B1765" s="89" t="s">
        <v>195</v>
      </c>
      <c r="C1765" s="90" t="s">
        <v>630</v>
      </c>
      <c r="D1765" s="89">
        <v>40</v>
      </c>
      <c r="E1765" s="91" t="s">
        <v>25</v>
      </c>
      <c r="F1765" s="92">
        <v>150000</v>
      </c>
      <c r="G1765" s="92">
        <v>6000000</v>
      </c>
    </row>
    <row r="1766" spans="1:7" ht="15" x14ac:dyDescent="0.2">
      <c r="A1766" s="7" t="s">
        <v>2915</v>
      </c>
      <c r="B1766" s="97" t="s">
        <v>512</v>
      </c>
      <c r="C1766" s="98" t="s">
        <v>166</v>
      </c>
      <c r="D1766" s="97"/>
      <c r="E1766" s="99"/>
      <c r="F1766" s="100"/>
      <c r="G1766" s="100">
        <v>213980000</v>
      </c>
    </row>
    <row r="1767" spans="1:7" ht="15" x14ac:dyDescent="0.2">
      <c r="A1767" s="7" t="s">
        <v>2916</v>
      </c>
      <c r="B1767" s="78" t="s">
        <v>503</v>
      </c>
      <c r="C1767" s="79" t="s">
        <v>7</v>
      </c>
      <c r="D1767" s="78"/>
      <c r="E1767" s="80"/>
      <c r="F1767" s="81"/>
      <c r="G1767" s="81">
        <v>76400000</v>
      </c>
    </row>
    <row r="1768" spans="1:7" x14ac:dyDescent="0.2">
      <c r="A1768" s="7" t="s">
        <v>2917</v>
      </c>
      <c r="B1768" s="89" t="s">
        <v>195</v>
      </c>
      <c r="C1768" s="90" t="s">
        <v>2918</v>
      </c>
      <c r="D1768" s="89">
        <v>60</v>
      </c>
      <c r="E1768" s="91" t="s">
        <v>180</v>
      </c>
      <c r="F1768" s="92">
        <v>300000</v>
      </c>
      <c r="G1768" s="92">
        <v>18000000</v>
      </c>
    </row>
    <row r="1769" spans="1:7" ht="28.5" x14ac:dyDescent="0.2">
      <c r="A1769" s="7" t="s">
        <v>2919</v>
      </c>
      <c r="B1769" s="89" t="s">
        <v>195</v>
      </c>
      <c r="C1769" s="90" t="s">
        <v>2920</v>
      </c>
      <c r="D1769" s="89">
        <v>60</v>
      </c>
      <c r="E1769" s="91" t="s">
        <v>180</v>
      </c>
      <c r="F1769" s="92">
        <v>300000</v>
      </c>
      <c r="G1769" s="92">
        <v>18000000</v>
      </c>
    </row>
    <row r="1770" spans="1:7" x14ac:dyDescent="0.2">
      <c r="A1770" s="7" t="s">
        <v>2921</v>
      </c>
      <c r="B1770" s="89" t="s">
        <v>195</v>
      </c>
      <c r="C1770" s="90" t="s">
        <v>2922</v>
      </c>
      <c r="D1770" s="89">
        <v>20</v>
      </c>
      <c r="E1770" s="91" t="s">
        <v>180</v>
      </c>
      <c r="F1770" s="92">
        <v>380000</v>
      </c>
      <c r="G1770" s="92">
        <v>7600000</v>
      </c>
    </row>
    <row r="1771" spans="1:7" x14ac:dyDescent="0.2">
      <c r="A1771" s="7" t="s">
        <v>2923</v>
      </c>
      <c r="B1771" s="89" t="s">
        <v>195</v>
      </c>
      <c r="C1771" s="90" t="s">
        <v>2924</v>
      </c>
      <c r="D1771" s="89">
        <v>60</v>
      </c>
      <c r="E1771" s="91" t="s">
        <v>180</v>
      </c>
      <c r="F1771" s="92">
        <v>380000</v>
      </c>
      <c r="G1771" s="92">
        <v>22800000</v>
      </c>
    </row>
    <row r="1772" spans="1:7" x14ac:dyDescent="0.2">
      <c r="A1772" s="7" t="s">
        <v>2925</v>
      </c>
      <c r="B1772" s="89" t="s">
        <v>195</v>
      </c>
      <c r="C1772" s="90" t="s">
        <v>617</v>
      </c>
      <c r="D1772" s="89">
        <v>100</v>
      </c>
      <c r="E1772" s="91" t="s">
        <v>180</v>
      </c>
      <c r="F1772" s="92">
        <v>100000</v>
      </c>
      <c r="G1772" s="92">
        <v>10000000</v>
      </c>
    </row>
    <row r="1773" spans="1:7" ht="15" x14ac:dyDescent="0.2">
      <c r="A1773" s="7" t="s">
        <v>2926</v>
      </c>
      <c r="B1773" s="78" t="s">
        <v>537</v>
      </c>
      <c r="C1773" s="79" t="s">
        <v>64</v>
      </c>
      <c r="D1773" s="78"/>
      <c r="E1773" s="80"/>
      <c r="F1773" s="81"/>
      <c r="G1773" s="81">
        <v>22000000</v>
      </c>
    </row>
    <row r="1774" spans="1:7" x14ac:dyDescent="0.2">
      <c r="A1774" s="7" t="s">
        <v>2927</v>
      </c>
      <c r="B1774" s="89" t="s">
        <v>195</v>
      </c>
      <c r="C1774" s="90" t="s">
        <v>619</v>
      </c>
      <c r="D1774" s="89">
        <v>11</v>
      </c>
      <c r="E1774" s="91" t="s">
        <v>106</v>
      </c>
      <c r="F1774" s="92">
        <v>1000000</v>
      </c>
      <c r="G1774" s="92">
        <v>11000000</v>
      </c>
    </row>
    <row r="1775" spans="1:7" x14ac:dyDescent="0.2">
      <c r="A1775" s="7" t="s">
        <v>2928</v>
      </c>
      <c r="B1775" s="89" t="s">
        <v>195</v>
      </c>
      <c r="C1775" s="90" t="s">
        <v>1006</v>
      </c>
      <c r="D1775" s="89">
        <v>11</v>
      </c>
      <c r="E1775" s="91" t="s">
        <v>106</v>
      </c>
      <c r="F1775" s="92">
        <v>1000000</v>
      </c>
      <c r="G1775" s="92">
        <v>11000000</v>
      </c>
    </row>
    <row r="1776" spans="1:7" ht="15" x14ac:dyDescent="0.2">
      <c r="A1776" s="7" t="s">
        <v>2929</v>
      </c>
      <c r="B1776" s="78" t="s">
        <v>517</v>
      </c>
      <c r="C1776" s="79" t="s">
        <v>22</v>
      </c>
      <c r="D1776" s="78"/>
      <c r="E1776" s="80"/>
      <c r="F1776" s="81"/>
      <c r="G1776" s="81">
        <v>31000000</v>
      </c>
    </row>
    <row r="1777" spans="1:7" ht="28.5" x14ac:dyDescent="0.2">
      <c r="A1777" s="7" t="s">
        <v>2930</v>
      </c>
      <c r="B1777" s="89" t="s">
        <v>195</v>
      </c>
      <c r="C1777" s="90" t="s">
        <v>2931</v>
      </c>
      <c r="D1777" s="89">
        <v>3</v>
      </c>
      <c r="E1777" s="91" t="s">
        <v>106</v>
      </c>
      <c r="F1777" s="92">
        <v>3500000</v>
      </c>
      <c r="G1777" s="92">
        <v>10500000</v>
      </c>
    </row>
    <row r="1778" spans="1:7" ht="28.5" x14ac:dyDescent="0.2">
      <c r="A1778" s="7" t="s">
        <v>2932</v>
      </c>
      <c r="B1778" s="89" t="s">
        <v>195</v>
      </c>
      <c r="C1778" s="90" t="s">
        <v>2933</v>
      </c>
      <c r="D1778" s="89">
        <v>3</v>
      </c>
      <c r="E1778" s="91" t="s">
        <v>106</v>
      </c>
      <c r="F1778" s="92">
        <v>3500000</v>
      </c>
      <c r="G1778" s="92">
        <v>10500000</v>
      </c>
    </row>
    <row r="1779" spans="1:7" ht="28.5" x14ac:dyDescent="0.2">
      <c r="A1779" s="7" t="s">
        <v>2934</v>
      </c>
      <c r="B1779" s="89" t="s">
        <v>195</v>
      </c>
      <c r="C1779" s="90" t="s">
        <v>2935</v>
      </c>
      <c r="D1779" s="89">
        <v>1</v>
      </c>
      <c r="E1779" s="91" t="s">
        <v>106</v>
      </c>
      <c r="F1779" s="92">
        <v>5000000</v>
      </c>
      <c r="G1779" s="92">
        <v>5000000</v>
      </c>
    </row>
    <row r="1780" spans="1:7" ht="28.5" x14ac:dyDescent="0.2">
      <c r="A1780" s="7" t="s">
        <v>2936</v>
      </c>
      <c r="B1780" s="89" t="s">
        <v>195</v>
      </c>
      <c r="C1780" s="90" t="s">
        <v>2937</v>
      </c>
      <c r="D1780" s="89">
        <v>1</v>
      </c>
      <c r="E1780" s="91" t="s">
        <v>106</v>
      </c>
      <c r="F1780" s="92">
        <v>5000000</v>
      </c>
      <c r="G1780" s="92">
        <v>5000000</v>
      </c>
    </row>
    <row r="1781" spans="1:7" ht="15" x14ac:dyDescent="0.2">
      <c r="A1781" s="7" t="s">
        <v>2938</v>
      </c>
      <c r="B1781" s="78" t="s">
        <v>513</v>
      </c>
      <c r="C1781" s="79" t="s">
        <v>19</v>
      </c>
      <c r="D1781" s="78"/>
      <c r="E1781" s="80"/>
      <c r="F1781" s="81"/>
      <c r="G1781" s="81">
        <v>77980000</v>
      </c>
    </row>
    <row r="1782" spans="1:7" x14ac:dyDescent="0.2">
      <c r="A1782" s="7" t="s">
        <v>2939</v>
      </c>
      <c r="B1782" s="89" t="s">
        <v>195</v>
      </c>
      <c r="C1782" s="90" t="s">
        <v>2940</v>
      </c>
      <c r="D1782" s="89">
        <v>28</v>
      </c>
      <c r="E1782" s="91" t="s">
        <v>25</v>
      </c>
      <c r="F1782" s="92">
        <v>2785000</v>
      </c>
      <c r="G1782" s="92">
        <v>77980000</v>
      </c>
    </row>
    <row r="1783" spans="1:7" ht="30" x14ac:dyDescent="0.2">
      <c r="A1783" s="7" t="s">
        <v>2941</v>
      </c>
      <c r="B1783" s="78" t="s">
        <v>509</v>
      </c>
      <c r="C1783" s="79" t="s">
        <v>14</v>
      </c>
      <c r="D1783" s="78"/>
      <c r="E1783" s="80"/>
      <c r="F1783" s="81"/>
      <c r="G1783" s="81">
        <v>6600000</v>
      </c>
    </row>
    <row r="1784" spans="1:7" ht="28.5" x14ac:dyDescent="0.2">
      <c r="A1784" s="7" t="s">
        <v>2942</v>
      </c>
      <c r="B1784" s="89" t="s">
        <v>195</v>
      </c>
      <c r="C1784" s="90" t="s">
        <v>2943</v>
      </c>
      <c r="D1784" s="89">
        <v>20</v>
      </c>
      <c r="E1784" s="91" t="s">
        <v>25</v>
      </c>
      <c r="F1784" s="92">
        <v>180000</v>
      </c>
      <c r="G1784" s="92">
        <v>3600000</v>
      </c>
    </row>
    <row r="1785" spans="1:7" x14ac:dyDescent="0.2">
      <c r="A1785" s="7" t="s">
        <v>2944</v>
      </c>
      <c r="B1785" s="89" t="s">
        <v>195</v>
      </c>
      <c r="C1785" s="90" t="s">
        <v>638</v>
      </c>
      <c r="D1785" s="89">
        <v>20</v>
      </c>
      <c r="E1785" s="91" t="s">
        <v>25</v>
      </c>
      <c r="F1785" s="92">
        <v>150000</v>
      </c>
      <c r="G1785" s="92">
        <v>3000000</v>
      </c>
    </row>
    <row r="1786" spans="1:7" ht="30" x14ac:dyDescent="0.2">
      <c r="A1786" s="7" t="s">
        <v>2945</v>
      </c>
      <c r="B1786" s="97" t="s">
        <v>514</v>
      </c>
      <c r="C1786" s="98" t="s">
        <v>167</v>
      </c>
      <c r="D1786" s="97"/>
      <c r="E1786" s="99"/>
      <c r="F1786" s="100"/>
      <c r="G1786" s="100">
        <v>360840000</v>
      </c>
    </row>
    <row r="1787" spans="1:7" ht="15" x14ac:dyDescent="0.2">
      <c r="A1787" s="7" t="s">
        <v>2946</v>
      </c>
      <c r="B1787" s="78" t="s">
        <v>503</v>
      </c>
      <c r="C1787" s="79" t="s">
        <v>7</v>
      </c>
      <c r="D1787" s="78"/>
      <c r="E1787" s="80"/>
      <c r="F1787" s="81"/>
      <c r="G1787" s="81">
        <v>118300000</v>
      </c>
    </row>
    <row r="1788" spans="1:7" x14ac:dyDescent="0.2">
      <c r="A1788" s="7" t="s">
        <v>2947</v>
      </c>
      <c r="B1788" s="89" t="s">
        <v>195</v>
      </c>
      <c r="C1788" s="90" t="s">
        <v>2948</v>
      </c>
      <c r="D1788" s="89">
        <v>240</v>
      </c>
      <c r="E1788" s="91" t="s">
        <v>180</v>
      </c>
      <c r="F1788" s="92">
        <v>300000</v>
      </c>
      <c r="G1788" s="92">
        <v>72000000</v>
      </c>
    </row>
    <row r="1789" spans="1:7" x14ac:dyDescent="0.2">
      <c r="A1789" s="7" t="s">
        <v>2949</v>
      </c>
      <c r="B1789" s="89" t="s">
        <v>195</v>
      </c>
      <c r="C1789" s="90" t="s">
        <v>2950</v>
      </c>
      <c r="D1789" s="89">
        <v>70</v>
      </c>
      <c r="E1789" s="91" t="s">
        <v>180</v>
      </c>
      <c r="F1789" s="92">
        <v>450000</v>
      </c>
      <c r="G1789" s="92">
        <v>31500000</v>
      </c>
    </row>
    <row r="1790" spans="1:7" x14ac:dyDescent="0.2">
      <c r="A1790" s="7" t="s">
        <v>2951</v>
      </c>
      <c r="B1790" s="89" t="s">
        <v>195</v>
      </c>
      <c r="C1790" s="90" t="s">
        <v>617</v>
      </c>
      <c r="D1790" s="89">
        <v>100</v>
      </c>
      <c r="E1790" s="91" t="s">
        <v>180</v>
      </c>
      <c r="F1790" s="92">
        <v>100000</v>
      </c>
      <c r="G1790" s="92">
        <v>10000000</v>
      </c>
    </row>
    <row r="1791" spans="1:7" x14ac:dyDescent="0.2">
      <c r="A1791" s="7" t="s">
        <v>2952</v>
      </c>
      <c r="B1791" s="89" t="s">
        <v>195</v>
      </c>
      <c r="C1791" s="90" t="s">
        <v>2953</v>
      </c>
      <c r="D1791" s="89">
        <v>12</v>
      </c>
      <c r="E1791" s="91" t="s">
        <v>180</v>
      </c>
      <c r="F1791" s="92">
        <v>400000</v>
      </c>
      <c r="G1791" s="92">
        <v>4800000</v>
      </c>
    </row>
    <row r="1792" spans="1:7" ht="30" x14ac:dyDescent="0.2">
      <c r="A1792" s="7" t="s">
        <v>2954</v>
      </c>
      <c r="B1792" s="78" t="s">
        <v>515</v>
      </c>
      <c r="C1792" s="79" t="s">
        <v>642</v>
      </c>
      <c r="D1792" s="78"/>
      <c r="E1792" s="80"/>
      <c r="F1792" s="81"/>
      <c r="G1792" s="81">
        <v>15600000</v>
      </c>
    </row>
    <row r="1793" spans="1:7" x14ac:dyDescent="0.2">
      <c r="A1793" s="7" t="s">
        <v>2955</v>
      </c>
      <c r="B1793" s="89" t="s">
        <v>195</v>
      </c>
      <c r="C1793" s="90" t="s">
        <v>2956</v>
      </c>
      <c r="D1793" s="89">
        <v>60</v>
      </c>
      <c r="E1793" s="91" t="s">
        <v>32</v>
      </c>
      <c r="F1793" s="92">
        <v>200000</v>
      </c>
      <c r="G1793" s="92">
        <v>12000000</v>
      </c>
    </row>
    <row r="1794" spans="1:7" ht="42.75" x14ac:dyDescent="0.2">
      <c r="A1794" s="7" t="s">
        <v>2957</v>
      </c>
      <c r="B1794" s="89" t="s">
        <v>195</v>
      </c>
      <c r="C1794" s="90" t="s">
        <v>2958</v>
      </c>
      <c r="D1794" s="89">
        <v>12</v>
      </c>
      <c r="E1794" s="91" t="s">
        <v>106</v>
      </c>
      <c r="F1794" s="92">
        <v>300000</v>
      </c>
      <c r="G1794" s="92">
        <v>3600000</v>
      </c>
    </row>
    <row r="1795" spans="1:7" ht="15" x14ac:dyDescent="0.2">
      <c r="A1795" s="7" t="s">
        <v>2959</v>
      </c>
      <c r="B1795" s="78" t="s">
        <v>537</v>
      </c>
      <c r="C1795" s="79" t="s">
        <v>64</v>
      </c>
      <c r="D1795" s="78"/>
      <c r="E1795" s="80"/>
      <c r="F1795" s="81"/>
      <c r="G1795" s="81">
        <v>22000000</v>
      </c>
    </row>
    <row r="1796" spans="1:7" x14ac:dyDescent="0.2">
      <c r="A1796" s="7" t="s">
        <v>2960</v>
      </c>
      <c r="B1796" s="89" t="s">
        <v>195</v>
      </c>
      <c r="C1796" s="90" t="s">
        <v>619</v>
      </c>
      <c r="D1796" s="89">
        <v>11</v>
      </c>
      <c r="E1796" s="91" t="s">
        <v>106</v>
      </c>
      <c r="F1796" s="92">
        <v>1000000</v>
      </c>
      <c r="G1796" s="92">
        <v>11000000</v>
      </c>
    </row>
    <row r="1797" spans="1:7" x14ac:dyDescent="0.2">
      <c r="A1797" s="7" t="s">
        <v>2961</v>
      </c>
      <c r="B1797" s="89" t="s">
        <v>195</v>
      </c>
      <c r="C1797" s="90" t="s">
        <v>1006</v>
      </c>
      <c r="D1797" s="89">
        <v>11</v>
      </c>
      <c r="E1797" s="91" t="s">
        <v>106</v>
      </c>
      <c r="F1797" s="92">
        <v>1000000</v>
      </c>
      <c r="G1797" s="92">
        <v>11000000</v>
      </c>
    </row>
    <row r="1798" spans="1:7" ht="15" x14ac:dyDescent="0.2">
      <c r="A1798" s="7" t="s">
        <v>2962</v>
      </c>
      <c r="B1798" s="78" t="s">
        <v>516</v>
      </c>
      <c r="C1798" s="79" t="s">
        <v>11</v>
      </c>
      <c r="D1798" s="78"/>
      <c r="E1798" s="80"/>
      <c r="F1798" s="81"/>
      <c r="G1798" s="81">
        <v>30600000</v>
      </c>
    </row>
    <row r="1799" spans="1:7" x14ac:dyDescent="0.2">
      <c r="A1799" s="7" t="s">
        <v>2963</v>
      </c>
      <c r="B1799" s="89" t="s">
        <v>195</v>
      </c>
      <c r="C1799" s="90" t="s">
        <v>2891</v>
      </c>
      <c r="D1799" s="89">
        <v>18</v>
      </c>
      <c r="E1799" s="91" t="s">
        <v>25</v>
      </c>
      <c r="F1799" s="92">
        <v>1700000</v>
      </c>
      <c r="G1799" s="92">
        <v>30600000</v>
      </c>
    </row>
    <row r="1800" spans="1:7" ht="15" x14ac:dyDescent="0.2">
      <c r="A1800" s="7" t="s">
        <v>2964</v>
      </c>
      <c r="B1800" s="78" t="s">
        <v>517</v>
      </c>
      <c r="C1800" s="79" t="s">
        <v>22</v>
      </c>
      <c r="D1800" s="78"/>
      <c r="E1800" s="80"/>
      <c r="F1800" s="81"/>
      <c r="G1800" s="81">
        <v>46000000</v>
      </c>
    </row>
    <row r="1801" spans="1:7" ht="28.5" x14ac:dyDescent="0.2">
      <c r="A1801" s="7" t="s">
        <v>2965</v>
      </c>
      <c r="B1801" s="89" t="s">
        <v>195</v>
      </c>
      <c r="C1801" s="90" t="s">
        <v>2966</v>
      </c>
      <c r="D1801" s="89">
        <v>1</v>
      </c>
      <c r="E1801" s="91" t="s">
        <v>106</v>
      </c>
      <c r="F1801" s="92">
        <v>5000000</v>
      </c>
      <c r="G1801" s="92">
        <v>5000000</v>
      </c>
    </row>
    <row r="1802" spans="1:7" x14ac:dyDescent="0.2">
      <c r="A1802" s="7" t="s">
        <v>2967</v>
      </c>
      <c r="B1802" s="89" t="s">
        <v>195</v>
      </c>
      <c r="C1802" s="90" t="s">
        <v>2968</v>
      </c>
      <c r="D1802" s="89">
        <v>1</v>
      </c>
      <c r="E1802" s="91" t="s">
        <v>106</v>
      </c>
      <c r="F1802" s="92">
        <v>5000000</v>
      </c>
      <c r="G1802" s="92">
        <v>5000000</v>
      </c>
    </row>
    <row r="1803" spans="1:7" x14ac:dyDescent="0.2">
      <c r="A1803" s="7" t="s">
        <v>2969</v>
      </c>
      <c r="B1803" s="89" t="s">
        <v>195</v>
      </c>
      <c r="C1803" s="90" t="s">
        <v>2970</v>
      </c>
      <c r="D1803" s="89">
        <v>12</v>
      </c>
      <c r="E1803" s="91" t="s">
        <v>106</v>
      </c>
      <c r="F1803" s="92">
        <v>3000000</v>
      </c>
      <c r="G1803" s="92">
        <v>36000000</v>
      </c>
    </row>
    <row r="1804" spans="1:7" ht="15" x14ac:dyDescent="0.2">
      <c r="A1804" s="7" t="s">
        <v>2971</v>
      </c>
      <c r="B1804" s="78" t="s">
        <v>513</v>
      </c>
      <c r="C1804" s="79" t="s">
        <v>19</v>
      </c>
      <c r="D1804" s="78"/>
      <c r="E1804" s="80"/>
      <c r="F1804" s="81"/>
      <c r="G1804" s="81">
        <v>111060000</v>
      </c>
    </row>
    <row r="1805" spans="1:7" x14ac:dyDescent="0.2">
      <c r="A1805" s="7" t="s">
        <v>2972</v>
      </c>
      <c r="B1805" s="89" t="s">
        <v>195</v>
      </c>
      <c r="C1805" s="90" t="s">
        <v>2973</v>
      </c>
      <c r="D1805" s="89">
        <v>60</v>
      </c>
      <c r="E1805" s="91" t="s">
        <v>25</v>
      </c>
      <c r="F1805" s="92">
        <v>1851000</v>
      </c>
      <c r="G1805" s="92">
        <v>111060000</v>
      </c>
    </row>
    <row r="1806" spans="1:7" ht="30" x14ac:dyDescent="0.2">
      <c r="A1806" s="7" t="s">
        <v>2974</v>
      </c>
      <c r="B1806" s="78" t="s">
        <v>509</v>
      </c>
      <c r="C1806" s="79" t="s">
        <v>14</v>
      </c>
      <c r="D1806" s="78"/>
      <c r="E1806" s="80"/>
      <c r="F1806" s="81"/>
      <c r="G1806" s="81">
        <v>17280000</v>
      </c>
    </row>
    <row r="1807" spans="1:7" x14ac:dyDescent="0.2">
      <c r="A1807" s="7" t="s">
        <v>2975</v>
      </c>
      <c r="B1807" s="89" t="s">
        <v>195</v>
      </c>
      <c r="C1807" s="90" t="s">
        <v>1313</v>
      </c>
      <c r="D1807" s="89">
        <v>48</v>
      </c>
      <c r="E1807" s="91" t="s">
        <v>25</v>
      </c>
      <c r="F1807" s="92">
        <v>210000</v>
      </c>
      <c r="G1807" s="92">
        <v>10080000</v>
      </c>
    </row>
    <row r="1808" spans="1:7" x14ac:dyDescent="0.2">
      <c r="A1808" s="7" t="s">
        <v>2976</v>
      </c>
      <c r="B1808" s="89" t="s">
        <v>195</v>
      </c>
      <c r="C1808" s="90" t="s">
        <v>630</v>
      </c>
      <c r="D1808" s="89">
        <v>48</v>
      </c>
      <c r="E1808" s="91" t="s">
        <v>25</v>
      </c>
      <c r="F1808" s="92">
        <v>150000</v>
      </c>
      <c r="G1808" s="92">
        <v>7200000</v>
      </c>
    </row>
    <row r="1809" spans="1:7" ht="30" x14ac:dyDescent="0.2">
      <c r="A1809" s="7" t="s">
        <v>2977</v>
      </c>
      <c r="B1809" s="93" t="s">
        <v>1316</v>
      </c>
      <c r="C1809" s="94" t="s">
        <v>2978</v>
      </c>
      <c r="D1809" s="93"/>
      <c r="E1809" s="95"/>
      <c r="F1809" s="96"/>
      <c r="G1809" s="96">
        <v>528220000</v>
      </c>
    </row>
    <row r="1810" spans="1:7" ht="30" x14ac:dyDescent="0.2">
      <c r="A1810" s="7" t="s">
        <v>2979</v>
      </c>
      <c r="B1810" s="97" t="s">
        <v>8</v>
      </c>
      <c r="C1810" s="98" t="s">
        <v>168</v>
      </c>
      <c r="D1810" s="97"/>
      <c r="E1810" s="99"/>
      <c r="F1810" s="100"/>
      <c r="G1810" s="100">
        <v>373240000</v>
      </c>
    </row>
    <row r="1811" spans="1:7" ht="15" x14ac:dyDescent="0.2">
      <c r="A1811" s="7" t="s">
        <v>2980</v>
      </c>
      <c r="B1811" s="78" t="s">
        <v>503</v>
      </c>
      <c r="C1811" s="79" t="s">
        <v>7</v>
      </c>
      <c r="D1811" s="78"/>
      <c r="E1811" s="80"/>
      <c r="F1811" s="81"/>
      <c r="G1811" s="81">
        <v>28240000</v>
      </c>
    </row>
    <row r="1812" spans="1:7" x14ac:dyDescent="0.2">
      <c r="A1812" s="7" t="s">
        <v>2981</v>
      </c>
      <c r="B1812" s="89" t="s">
        <v>195</v>
      </c>
      <c r="C1812" s="90" t="s">
        <v>2982</v>
      </c>
      <c r="D1812" s="89">
        <v>160</v>
      </c>
      <c r="E1812" s="91" t="s">
        <v>10</v>
      </c>
      <c r="F1812" s="92">
        <v>64000</v>
      </c>
      <c r="G1812" s="92">
        <v>10240000</v>
      </c>
    </row>
    <row r="1813" spans="1:7" x14ac:dyDescent="0.2">
      <c r="A1813" s="7" t="s">
        <v>2983</v>
      </c>
      <c r="B1813" s="89" t="s">
        <v>195</v>
      </c>
      <c r="C1813" s="90" t="s">
        <v>619</v>
      </c>
      <c r="D1813" s="89">
        <v>4</v>
      </c>
      <c r="E1813" s="91" t="s">
        <v>9</v>
      </c>
      <c r="F1813" s="92">
        <v>1500000</v>
      </c>
      <c r="G1813" s="92">
        <v>6000000</v>
      </c>
    </row>
    <row r="1814" spans="1:7" x14ac:dyDescent="0.2">
      <c r="A1814" s="7" t="s">
        <v>2984</v>
      </c>
      <c r="B1814" s="89" t="s">
        <v>195</v>
      </c>
      <c r="C1814" s="90" t="s">
        <v>620</v>
      </c>
      <c r="D1814" s="89">
        <v>4</v>
      </c>
      <c r="E1814" s="91" t="s">
        <v>9</v>
      </c>
      <c r="F1814" s="92">
        <v>1500000</v>
      </c>
      <c r="G1814" s="92">
        <v>6000000</v>
      </c>
    </row>
    <row r="1815" spans="1:7" ht="28.5" x14ac:dyDescent="0.2">
      <c r="A1815" s="7" t="s">
        <v>2985</v>
      </c>
      <c r="B1815" s="89" t="s">
        <v>195</v>
      </c>
      <c r="C1815" s="90" t="s">
        <v>2986</v>
      </c>
      <c r="D1815" s="89">
        <v>4</v>
      </c>
      <c r="E1815" s="91" t="s">
        <v>9</v>
      </c>
      <c r="F1815" s="92">
        <v>1500000</v>
      </c>
      <c r="G1815" s="92">
        <v>6000000</v>
      </c>
    </row>
    <row r="1816" spans="1:7" ht="15" x14ac:dyDescent="0.2">
      <c r="A1816" s="7" t="s">
        <v>2987</v>
      </c>
      <c r="B1816" s="78" t="s">
        <v>518</v>
      </c>
      <c r="C1816" s="79" t="s">
        <v>24</v>
      </c>
      <c r="D1816" s="78"/>
      <c r="E1816" s="80"/>
      <c r="F1816" s="81"/>
      <c r="G1816" s="81">
        <v>15000000</v>
      </c>
    </row>
    <row r="1817" spans="1:7" x14ac:dyDescent="0.2">
      <c r="A1817" s="7" t="s">
        <v>2988</v>
      </c>
      <c r="B1817" s="89" t="s">
        <v>195</v>
      </c>
      <c r="C1817" s="90" t="s">
        <v>2989</v>
      </c>
      <c r="D1817" s="89">
        <v>60</v>
      </c>
      <c r="E1817" s="91" t="s">
        <v>10</v>
      </c>
      <c r="F1817" s="92">
        <v>250000</v>
      </c>
      <c r="G1817" s="92">
        <v>15000000</v>
      </c>
    </row>
    <row r="1818" spans="1:7" ht="15" x14ac:dyDescent="0.2">
      <c r="A1818" s="7" t="s">
        <v>2990</v>
      </c>
      <c r="B1818" s="78" t="s">
        <v>513</v>
      </c>
      <c r="C1818" s="79" t="s">
        <v>19</v>
      </c>
      <c r="D1818" s="78"/>
      <c r="E1818" s="80"/>
      <c r="F1818" s="81"/>
      <c r="G1818" s="81">
        <v>330000000</v>
      </c>
    </row>
    <row r="1819" spans="1:7" ht="28.5" x14ac:dyDescent="0.2">
      <c r="A1819" s="7" t="s">
        <v>2991</v>
      </c>
      <c r="B1819" s="89" t="s">
        <v>195</v>
      </c>
      <c r="C1819" s="90" t="s">
        <v>2992</v>
      </c>
      <c r="D1819" s="89">
        <v>60</v>
      </c>
      <c r="E1819" s="91" t="s">
        <v>10</v>
      </c>
      <c r="F1819" s="92">
        <v>5500000</v>
      </c>
      <c r="G1819" s="92">
        <v>330000000</v>
      </c>
    </row>
    <row r="1820" spans="1:7" ht="30" x14ac:dyDescent="0.2">
      <c r="A1820" s="7" t="s">
        <v>2993</v>
      </c>
      <c r="B1820" s="97" t="s">
        <v>511</v>
      </c>
      <c r="C1820" s="98" t="s">
        <v>169</v>
      </c>
      <c r="D1820" s="97"/>
      <c r="E1820" s="99"/>
      <c r="F1820" s="100"/>
      <c r="G1820" s="100">
        <v>154980000</v>
      </c>
    </row>
    <row r="1821" spans="1:7" ht="15" x14ac:dyDescent="0.2">
      <c r="A1821" s="7" t="s">
        <v>2994</v>
      </c>
      <c r="B1821" s="78" t="s">
        <v>503</v>
      </c>
      <c r="C1821" s="79" t="s">
        <v>7</v>
      </c>
      <c r="D1821" s="78"/>
      <c r="E1821" s="80"/>
      <c r="F1821" s="81"/>
      <c r="G1821" s="81">
        <v>17240000</v>
      </c>
    </row>
    <row r="1822" spans="1:7" x14ac:dyDescent="0.2">
      <c r="A1822" s="7" t="s">
        <v>2995</v>
      </c>
      <c r="B1822" s="89" t="s">
        <v>195</v>
      </c>
      <c r="C1822" s="90" t="s">
        <v>2996</v>
      </c>
      <c r="D1822" s="89">
        <v>2</v>
      </c>
      <c r="E1822" s="91" t="s">
        <v>9</v>
      </c>
      <c r="F1822" s="92">
        <v>1000000</v>
      </c>
      <c r="G1822" s="92">
        <v>2000000</v>
      </c>
    </row>
    <row r="1823" spans="1:7" x14ac:dyDescent="0.2">
      <c r="A1823" s="7" t="s">
        <v>2997</v>
      </c>
      <c r="B1823" s="89" t="s">
        <v>195</v>
      </c>
      <c r="C1823" s="90" t="s">
        <v>2998</v>
      </c>
      <c r="D1823" s="89">
        <v>160</v>
      </c>
      <c r="E1823" s="91" t="s">
        <v>10</v>
      </c>
      <c r="F1823" s="92">
        <v>64000</v>
      </c>
      <c r="G1823" s="92">
        <v>10240000</v>
      </c>
    </row>
    <row r="1824" spans="1:7" x14ac:dyDescent="0.2">
      <c r="A1824" s="7" t="s">
        <v>2999</v>
      </c>
      <c r="B1824" s="89" t="s">
        <v>195</v>
      </c>
      <c r="C1824" s="90" t="s">
        <v>3000</v>
      </c>
      <c r="D1824" s="89">
        <v>2</v>
      </c>
      <c r="E1824" s="91" t="s">
        <v>9</v>
      </c>
      <c r="F1824" s="92">
        <v>1000000</v>
      </c>
      <c r="G1824" s="92">
        <v>2000000</v>
      </c>
    </row>
    <row r="1825" spans="1:7" x14ac:dyDescent="0.2">
      <c r="A1825" s="7" t="s">
        <v>3001</v>
      </c>
      <c r="B1825" s="89" t="s">
        <v>195</v>
      </c>
      <c r="C1825" s="90" t="s">
        <v>693</v>
      </c>
      <c r="D1825" s="89">
        <v>2</v>
      </c>
      <c r="E1825" s="91" t="s">
        <v>9</v>
      </c>
      <c r="F1825" s="92">
        <v>1500000</v>
      </c>
      <c r="G1825" s="92">
        <v>3000000</v>
      </c>
    </row>
    <row r="1826" spans="1:7" ht="15" x14ac:dyDescent="0.2">
      <c r="A1826" s="7" t="s">
        <v>3002</v>
      </c>
      <c r="B1826" s="78" t="s">
        <v>513</v>
      </c>
      <c r="C1826" s="79" t="s">
        <v>19</v>
      </c>
      <c r="D1826" s="78"/>
      <c r="E1826" s="80"/>
      <c r="F1826" s="81"/>
      <c r="G1826" s="81">
        <v>137740000</v>
      </c>
    </row>
    <row r="1827" spans="1:7" ht="28.5" x14ac:dyDescent="0.2">
      <c r="A1827" s="7" t="s">
        <v>3003</v>
      </c>
      <c r="B1827" s="89" t="s">
        <v>195</v>
      </c>
      <c r="C1827" s="90" t="s">
        <v>3004</v>
      </c>
      <c r="D1827" s="89">
        <v>30</v>
      </c>
      <c r="E1827" s="91" t="s">
        <v>10</v>
      </c>
      <c r="F1827" s="92">
        <v>4591000</v>
      </c>
      <c r="G1827" s="92">
        <v>137740000</v>
      </c>
    </row>
    <row r="1828" spans="1:7" ht="30" x14ac:dyDescent="0.2">
      <c r="A1828" s="7" t="s">
        <v>3005</v>
      </c>
      <c r="B1828" s="93" t="s">
        <v>3006</v>
      </c>
      <c r="C1828" s="94" t="s">
        <v>3007</v>
      </c>
      <c r="D1828" s="93"/>
      <c r="E1828" s="95"/>
      <c r="F1828" s="96"/>
      <c r="G1828" s="96">
        <v>226380000</v>
      </c>
    </row>
    <row r="1829" spans="1:7" ht="30" x14ac:dyDescent="0.2">
      <c r="A1829" s="7" t="s">
        <v>3008</v>
      </c>
      <c r="B1829" s="97" t="s">
        <v>8</v>
      </c>
      <c r="C1829" s="98" t="s">
        <v>170</v>
      </c>
      <c r="D1829" s="97"/>
      <c r="E1829" s="99"/>
      <c r="F1829" s="100"/>
      <c r="G1829" s="100">
        <v>66720000</v>
      </c>
    </row>
    <row r="1830" spans="1:7" ht="15" x14ac:dyDescent="0.2">
      <c r="A1830" s="7" t="s">
        <v>3009</v>
      </c>
      <c r="B1830" s="78" t="s">
        <v>503</v>
      </c>
      <c r="C1830" s="79" t="s">
        <v>7</v>
      </c>
      <c r="D1830" s="78"/>
      <c r="E1830" s="80"/>
      <c r="F1830" s="81"/>
      <c r="G1830" s="81">
        <v>9760000</v>
      </c>
    </row>
    <row r="1831" spans="1:7" x14ac:dyDescent="0.2">
      <c r="A1831" s="7" t="s">
        <v>3010</v>
      </c>
      <c r="B1831" s="89" t="s">
        <v>195</v>
      </c>
      <c r="C1831" s="90" t="s">
        <v>3011</v>
      </c>
      <c r="D1831" s="89">
        <v>4</v>
      </c>
      <c r="E1831" s="91" t="s">
        <v>9</v>
      </c>
      <c r="F1831" s="92">
        <v>1000000</v>
      </c>
      <c r="G1831" s="92">
        <v>4000000</v>
      </c>
    </row>
    <row r="1832" spans="1:7" x14ac:dyDescent="0.2">
      <c r="A1832" s="7" t="s">
        <v>3012</v>
      </c>
      <c r="B1832" s="89" t="s">
        <v>195</v>
      </c>
      <c r="C1832" s="90" t="s">
        <v>3013</v>
      </c>
      <c r="D1832" s="89">
        <v>80</v>
      </c>
      <c r="E1832" s="91" t="s">
        <v>10</v>
      </c>
      <c r="F1832" s="92">
        <v>22000</v>
      </c>
      <c r="G1832" s="92">
        <v>1760000</v>
      </c>
    </row>
    <row r="1833" spans="1:7" x14ac:dyDescent="0.2">
      <c r="A1833" s="7" t="s">
        <v>3014</v>
      </c>
      <c r="B1833" s="89" t="s">
        <v>195</v>
      </c>
      <c r="C1833" s="90" t="s">
        <v>3000</v>
      </c>
      <c r="D1833" s="89">
        <v>4</v>
      </c>
      <c r="E1833" s="91" t="s">
        <v>9</v>
      </c>
      <c r="F1833" s="92">
        <v>1000000</v>
      </c>
      <c r="G1833" s="92">
        <v>4000000</v>
      </c>
    </row>
    <row r="1834" spans="1:7" ht="15" x14ac:dyDescent="0.2">
      <c r="A1834" s="7" t="s">
        <v>3015</v>
      </c>
      <c r="B1834" s="78" t="s">
        <v>513</v>
      </c>
      <c r="C1834" s="79" t="s">
        <v>19</v>
      </c>
      <c r="D1834" s="78"/>
      <c r="E1834" s="80"/>
      <c r="F1834" s="81"/>
      <c r="G1834" s="81">
        <v>56960000</v>
      </c>
    </row>
    <row r="1835" spans="1:7" ht="28.5" x14ac:dyDescent="0.2">
      <c r="A1835" s="7" t="s">
        <v>3016</v>
      </c>
      <c r="B1835" s="89" t="s">
        <v>195</v>
      </c>
      <c r="C1835" s="90" t="s">
        <v>3017</v>
      </c>
      <c r="D1835" s="89">
        <v>15</v>
      </c>
      <c r="E1835" s="91" t="s">
        <v>10</v>
      </c>
      <c r="F1835" s="92">
        <v>3797000</v>
      </c>
      <c r="G1835" s="92">
        <v>56960000</v>
      </c>
    </row>
    <row r="1836" spans="1:7" ht="45" x14ac:dyDescent="0.2">
      <c r="A1836" s="7" t="s">
        <v>3018</v>
      </c>
      <c r="B1836" s="97" t="s">
        <v>511</v>
      </c>
      <c r="C1836" s="98" t="s">
        <v>171</v>
      </c>
      <c r="D1836" s="97"/>
      <c r="E1836" s="99"/>
      <c r="F1836" s="100"/>
      <c r="G1836" s="100">
        <v>49760000</v>
      </c>
    </row>
    <row r="1837" spans="1:7" ht="15" x14ac:dyDescent="0.2">
      <c r="A1837" s="7" t="s">
        <v>3019</v>
      </c>
      <c r="B1837" s="78" t="s">
        <v>503</v>
      </c>
      <c r="C1837" s="79" t="s">
        <v>7</v>
      </c>
      <c r="D1837" s="78"/>
      <c r="E1837" s="80"/>
      <c r="F1837" s="81"/>
      <c r="G1837" s="81">
        <v>19760000</v>
      </c>
    </row>
    <row r="1838" spans="1:7" x14ac:dyDescent="0.2">
      <c r="A1838" s="7" t="s">
        <v>3020</v>
      </c>
      <c r="B1838" s="89" t="s">
        <v>195</v>
      </c>
      <c r="C1838" s="90" t="s">
        <v>3021</v>
      </c>
      <c r="D1838" s="89">
        <v>12</v>
      </c>
      <c r="E1838" s="91" t="s">
        <v>9</v>
      </c>
      <c r="F1838" s="92">
        <v>500000</v>
      </c>
      <c r="G1838" s="92">
        <v>6000000</v>
      </c>
    </row>
    <row r="1839" spans="1:7" x14ac:dyDescent="0.2">
      <c r="A1839" s="7" t="s">
        <v>3022</v>
      </c>
      <c r="B1839" s="89" t="s">
        <v>195</v>
      </c>
      <c r="C1839" s="90" t="s">
        <v>3023</v>
      </c>
      <c r="D1839" s="89">
        <v>80</v>
      </c>
      <c r="E1839" s="91" t="s">
        <v>10</v>
      </c>
      <c r="F1839" s="92">
        <v>22000</v>
      </c>
      <c r="G1839" s="92">
        <v>1760000</v>
      </c>
    </row>
    <row r="1840" spans="1:7" x14ac:dyDescent="0.2">
      <c r="A1840" s="7" t="s">
        <v>3024</v>
      </c>
      <c r="B1840" s="89" t="s">
        <v>195</v>
      </c>
      <c r="C1840" s="90" t="s">
        <v>3000</v>
      </c>
      <c r="D1840" s="89">
        <v>12</v>
      </c>
      <c r="E1840" s="91" t="s">
        <v>9</v>
      </c>
      <c r="F1840" s="92">
        <v>1000000</v>
      </c>
      <c r="G1840" s="92">
        <v>12000000</v>
      </c>
    </row>
    <row r="1841" spans="1:7" ht="15" x14ac:dyDescent="0.2">
      <c r="A1841" s="7" t="s">
        <v>3025</v>
      </c>
      <c r="B1841" s="78" t="s">
        <v>513</v>
      </c>
      <c r="C1841" s="79" t="s">
        <v>19</v>
      </c>
      <c r="D1841" s="78"/>
      <c r="E1841" s="80"/>
      <c r="F1841" s="81"/>
      <c r="G1841" s="81">
        <v>30000000</v>
      </c>
    </row>
    <row r="1842" spans="1:7" ht="28.5" x14ac:dyDescent="0.2">
      <c r="A1842" s="7" t="s">
        <v>3026</v>
      </c>
      <c r="B1842" s="89" t="s">
        <v>195</v>
      </c>
      <c r="C1842" s="90" t="s">
        <v>3027</v>
      </c>
      <c r="D1842" s="89">
        <v>15</v>
      </c>
      <c r="E1842" s="91" t="s">
        <v>10</v>
      </c>
      <c r="F1842" s="92">
        <v>2000000</v>
      </c>
      <c r="G1842" s="92">
        <v>30000000</v>
      </c>
    </row>
    <row r="1843" spans="1:7" ht="30" x14ac:dyDescent="0.2">
      <c r="A1843" s="7" t="s">
        <v>3028</v>
      </c>
      <c r="B1843" s="97" t="s">
        <v>512</v>
      </c>
      <c r="C1843" s="98" t="s">
        <v>172</v>
      </c>
      <c r="D1843" s="97"/>
      <c r="E1843" s="99"/>
      <c r="F1843" s="100"/>
      <c r="G1843" s="100">
        <v>59760000</v>
      </c>
    </row>
    <row r="1844" spans="1:7" ht="15" x14ac:dyDescent="0.2">
      <c r="A1844" s="7" t="s">
        <v>3029</v>
      </c>
      <c r="B1844" s="78" t="s">
        <v>503</v>
      </c>
      <c r="C1844" s="79" t="s">
        <v>7</v>
      </c>
      <c r="D1844" s="78"/>
      <c r="E1844" s="80"/>
      <c r="F1844" s="81"/>
      <c r="G1844" s="81">
        <v>9760000</v>
      </c>
    </row>
    <row r="1845" spans="1:7" x14ac:dyDescent="0.2">
      <c r="A1845" s="7" t="s">
        <v>3030</v>
      </c>
      <c r="B1845" s="89" t="s">
        <v>195</v>
      </c>
      <c r="C1845" s="90" t="s">
        <v>3000</v>
      </c>
      <c r="D1845" s="89">
        <v>4</v>
      </c>
      <c r="E1845" s="91" t="s">
        <v>9</v>
      </c>
      <c r="F1845" s="92">
        <v>1000000</v>
      </c>
      <c r="G1845" s="92">
        <v>4000000</v>
      </c>
    </row>
    <row r="1846" spans="1:7" x14ac:dyDescent="0.2">
      <c r="A1846" s="7" t="s">
        <v>3031</v>
      </c>
      <c r="B1846" s="89" t="s">
        <v>195</v>
      </c>
      <c r="C1846" s="90" t="s">
        <v>3032</v>
      </c>
      <c r="D1846" s="89">
        <v>80</v>
      </c>
      <c r="E1846" s="91" t="s">
        <v>10</v>
      </c>
      <c r="F1846" s="92">
        <v>22000</v>
      </c>
      <c r="G1846" s="92">
        <v>1760000</v>
      </c>
    </row>
    <row r="1847" spans="1:7" ht="28.5" x14ac:dyDescent="0.2">
      <c r="A1847" s="7" t="s">
        <v>3033</v>
      </c>
      <c r="B1847" s="89" t="s">
        <v>195</v>
      </c>
      <c r="C1847" s="90" t="s">
        <v>3034</v>
      </c>
      <c r="D1847" s="89">
        <v>4</v>
      </c>
      <c r="E1847" s="91" t="s">
        <v>9</v>
      </c>
      <c r="F1847" s="92">
        <v>1000000</v>
      </c>
      <c r="G1847" s="92">
        <v>4000000</v>
      </c>
    </row>
    <row r="1848" spans="1:7" ht="15" x14ac:dyDescent="0.2">
      <c r="A1848" s="7" t="s">
        <v>3035</v>
      </c>
      <c r="B1848" s="78" t="s">
        <v>513</v>
      </c>
      <c r="C1848" s="79" t="s">
        <v>19</v>
      </c>
      <c r="D1848" s="78"/>
      <c r="E1848" s="80"/>
      <c r="F1848" s="81"/>
      <c r="G1848" s="81">
        <v>50000000</v>
      </c>
    </row>
    <row r="1849" spans="1:7" ht="28.5" x14ac:dyDescent="0.2">
      <c r="A1849" s="7" t="s">
        <v>3036</v>
      </c>
      <c r="B1849" s="89" t="s">
        <v>195</v>
      </c>
      <c r="C1849" s="90" t="s">
        <v>3037</v>
      </c>
      <c r="D1849" s="89">
        <v>20</v>
      </c>
      <c r="E1849" s="91" t="s">
        <v>10</v>
      </c>
      <c r="F1849" s="92">
        <v>2500000</v>
      </c>
      <c r="G1849" s="92">
        <v>50000000</v>
      </c>
    </row>
    <row r="1850" spans="1:7" ht="15" x14ac:dyDescent="0.2">
      <c r="A1850" s="7" t="s">
        <v>3038</v>
      </c>
      <c r="B1850" s="97" t="s">
        <v>514</v>
      </c>
      <c r="C1850" s="98" t="s">
        <v>173</v>
      </c>
      <c r="D1850" s="97"/>
      <c r="E1850" s="99"/>
      <c r="F1850" s="100"/>
      <c r="G1850" s="100">
        <v>50140000</v>
      </c>
    </row>
    <row r="1851" spans="1:7" ht="15" x14ac:dyDescent="0.2">
      <c r="A1851" s="7" t="s">
        <v>3039</v>
      </c>
      <c r="B1851" s="78" t="s">
        <v>503</v>
      </c>
      <c r="C1851" s="79" t="s">
        <v>7</v>
      </c>
      <c r="D1851" s="78"/>
      <c r="E1851" s="80"/>
      <c r="F1851" s="81"/>
      <c r="G1851" s="81">
        <v>6140000</v>
      </c>
    </row>
    <row r="1852" spans="1:7" x14ac:dyDescent="0.2">
      <c r="A1852" s="7" t="s">
        <v>3040</v>
      </c>
      <c r="B1852" s="89" t="s">
        <v>195</v>
      </c>
      <c r="C1852" s="90" t="s">
        <v>3041</v>
      </c>
      <c r="D1852" s="89">
        <v>1</v>
      </c>
      <c r="E1852" s="91" t="s">
        <v>9</v>
      </c>
      <c r="F1852" s="92">
        <v>1500000</v>
      </c>
      <c r="G1852" s="92">
        <v>1500000</v>
      </c>
    </row>
    <row r="1853" spans="1:7" x14ac:dyDescent="0.2">
      <c r="A1853" s="7" t="s">
        <v>3042</v>
      </c>
      <c r="B1853" s="89" t="s">
        <v>195</v>
      </c>
      <c r="C1853" s="90" t="s">
        <v>3043</v>
      </c>
      <c r="D1853" s="89">
        <v>120</v>
      </c>
      <c r="E1853" s="91" t="s">
        <v>10</v>
      </c>
      <c r="F1853" s="92">
        <v>22000</v>
      </c>
      <c r="G1853" s="92">
        <v>2640000</v>
      </c>
    </row>
    <row r="1854" spans="1:7" x14ac:dyDescent="0.2">
      <c r="A1854" s="7" t="s">
        <v>3044</v>
      </c>
      <c r="B1854" s="89" t="s">
        <v>195</v>
      </c>
      <c r="C1854" s="90" t="s">
        <v>3000</v>
      </c>
      <c r="D1854" s="89">
        <v>1</v>
      </c>
      <c r="E1854" s="91" t="s">
        <v>9</v>
      </c>
      <c r="F1854" s="92">
        <v>1000000</v>
      </c>
      <c r="G1854" s="92">
        <v>1000000</v>
      </c>
    </row>
    <row r="1855" spans="1:7" x14ac:dyDescent="0.2">
      <c r="A1855" s="7" t="s">
        <v>3045</v>
      </c>
      <c r="B1855" s="89" t="s">
        <v>195</v>
      </c>
      <c r="C1855" s="90" t="s">
        <v>620</v>
      </c>
      <c r="D1855" s="89">
        <v>1</v>
      </c>
      <c r="E1855" s="91" t="s">
        <v>9</v>
      </c>
      <c r="F1855" s="92">
        <v>1000000</v>
      </c>
      <c r="G1855" s="92">
        <v>1000000</v>
      </c>
    </row>
    <row r="1856" spans="1:7" ht="30" x14ac:dyDescent="0.2">
      <c r="A1856" s="7" t="s">
        <v>3046</v>
      </c>
      <c r="B1856" s="78" t="s">
        <v>515</v>
      </c>
      <c r="C1856" s="79" t="s">
        <v>642</v>
      </c>
      <c r="D1856" s="78"/>
      <c r="E1856" s="80"/>
      <c r="F1856" s="81"/>
      <c r="G1856" s="81">
        <v>12000000</v>
      </c>
    </row>
    <row r="1857" spans="1:7" ht="28.5" x14ac:dyDescent="0.2">
      <c r="A1857" s="7" t="s">
        <v>3047</v>
      </c>
      <c r="B1857" s="89" t="s">
        <v>195</v>
      </c>
      <c r="C1857" s="90" t="s">
        <v>3048</v>
      </c>
      <c r="D1857" s="89">
        <v>60</v>
      </c>
      <c r="E1857" s="91" t="s">
        <v>21</v>
      </c>
      <c r="F1857" s="92">
        <v>200000</v>
      </c>
      <c r="G1857" s="92">
        <v>12000000</v>
      </c>
    </row>
    <row r="1858" spans="1:7" ht="15" x14ac:dyDescent="0.2">
      <c r="A1858" s="7" t="s">
        <v>3049</v>
      </c>
      <c r="B1858" s="78" t="s">
        <v>513</v>
      </c>
      <c r="C1858" s="79" t="s">
        <v>19</v>
      </c>
      <c r="D1858" s="78"/>
      <c r="E1858" s="80"/>
      <c r="F1858" s="81"/>
      <c r="G1858" s="81">
        <v>32000000</v>
      </c>
    </row>
    <row r="1859" spans="1:7" x14ac:dyDescent="0.2">
      <c r="A1859" s="7" t="s">
        <v>3050</v>
      </c>
      <c r="B1859" s="89" t="s">
        <v>195</v>
      </c>
      <c r="C1859" s="90" t="s">
        <v>3051</v>
      </c>
      <c r="D1859" s="89">
        <v>16</v>
      </c>
      <c r="E1859" s="91" t="s">
        <v>10</v>
      </c>
      <c r="F1859" s="92">
        <v>2000000</v>
      </c>
      <c r="G1859" s="92">
        <v>32000000</v>
      </c>
    </row>
    <row r="1860" spans="1:7" ht="30" x14ac:dyDescent="0.2">
      <c r="A1860" s="7" t="s">
        <v>3052</v>
      </c>
      <c r="B1860" s="93" t="s">
        <v>833</v>
      </c>
      <c r="C1860" s="94" t="s">
        <v>3053</v>
      </c>
      <c r="D1860" s="93"/>
      <c r="E1860" s="95"/>
      <c r="F1860" s="96"/>
      <c r="G1860" s="96">
        <v>507200000</v>
      </c>
    </row>
    <row r="1861" spans="1:7" ht="30" x14ac:dyDescent="0.2">
      <c r="A1861" s="7" t="s">
        <v>3054</v>
      </c>
      <c r="B1861" s="97" t="s">
        <v>8</v>
      </c>
      <c r="C1861" s="98" t="s">
        <v>174</v>
      </c>
      <c r="D1861" s="97"/>
      <c r="E1861" s="99"/>
      <c r="F1861" s="100"/>
      <c r="G1861" s="100">
        <v>295200000</v>
      </c>
    </row>
    <row r="1862" spans="1:7" ht="15" x14ac:dyDescent="0.2">
      <c r="A1862" s="7" t="s">
        <v>3055</v>
      </c>
      <c r="B1862" s="78" t="s">
        <v>503</v>
      </c>
      <c r="C1862" s="79" t="s">
        <v>7</v>
      </c>
      <c r="D1862" s="78"/>
      <c r="E1862" s="80"/>
      <c r="F1862" s="81"/>
      <c r="G1862" s="81">
        <v>46000000</v>
      </c>
    </row>
    <row r="1863" spans="1:7" x14ac:dyDescent="0.2">
      <c r="A1863" s="7" t="s">
        <v>3056</v>
      </c>
      <c r="B1863" s="89" t="s">
        <v>195</v>
      </c>
      <c r="C1863" s="90" t="s">
        <v>617</v>
      </c>
      <c r="D1863" s="89">
        <v>5</v>
      </c>
      <c r="E1863" s="91" t="s">
        <v>9</v>
      </c>
      <c r="F1863" s="92">
        <v>1500000</v>
      </c>
      <c r="G1863" s="92">
        <v>7500000</v>
      </c>
    </row>
    <row r="1864" spans="1:7" x14ac:dyDescent="0.2">
      <c r="A1864" s="7" t="s">
        <v>3057</v>
      </c>
      <c r="B1864" s="89" t="s">
        <v>195</v>
      </c>
      <c r="C1864" s="90" t="s">
        <v>2745</v>
      </c>
      <c r="D1864" s="89">
        <v>280</v>
      </c>
      <c r="E1864" s="91" t="s">
        <v>10</v>
      </c>
      <c r="F1864" s="92">
        <v>75000</v>
      </c>
      <c r="G1864" s="92">
        <v>21000000</v>
      </c>
    </row>
    <row r="1865" spans="1:7" x14ac:dyDescent="0.2">
      <c r="A1865" s="7" t="s">
        <v>3058</v>
      </c>
      <c r="B1865" s="89" t="s">
        <v>195</v>
      </c>
      <c r="C1865" s="90" t="s">
        <v>2114</v>
      </c>
      <c r="D1865" s="89">
        <v>30</v>
      </c>
      <c r="E1865" s="91" t="s">
        <v>176</v>
      </c>
      <c r="F1865" s="92">
        <v>250000</v>
      </c>
      <c r="G1865" s="92">
        <v>7500000</v>
      </c>
    </row>
    <row r="1866" spans="1:7" x14ac:dyDescent="0.2">
      <c r="A1866" s="7" t="s">
        <v>3059</v>
      </c>
      <c r="B1866" s="89" t="s">
        <v>195</v>
      </c>
      <c r="C1866" s="90" t="s">
        <v>619</v>
      </c>
      <c r="D1866" s="89">
        <v>4</v>
      </c>
      <c r="E1866" s="91" t="s">
        <v>106</v>
      </c>
      <c r="F1866" s="92">
        <v>1000000</v>
      </c>
      <c r="G1866" s="92">
        <v>4000000</v>
      </c>
    </row>
    <row r="1867" spans="1:7" x14ac:dyDescent="0.2">
      <c r="A1867" s="7" t="s">
        <v>3060</v>
      </c>
      <c r="B1867" s="89" t="s">
        <v>195</v>
      </c>
      <c r="C1867" s="90" t="s">
        <v>620</v>
      </c>
      <c r="D1867" s="89">
        <v>4</v>
      </c>
      <c r="E1867" s="91" t="s">
        <v>106</v>
      </c>
      <c r="F1867" s="92">
        <v>1500000</v>
      </c>
      <c r="G1867" s="92">
        <v>6000000</v>
      </c>
    </row>
    <row r="1868" spans="1:7" ht="15" x14ac:dyDescent="0.2">
      <c r="A1868" s="7" t="s">
        <v>3061</v>
      </c>
      <c r="B1868" s="78" t="s">
        <v>533</v>
      </c>
      <c r="C1868" s="79" t="s">
        <v>53</v>
      </c>
      <c r="D1868" s="78"/>
      <c r="E1868" s="80"/>
      <c r="F1868" s="81"/>
      <c r="G1868" s="81">
        <v>2000000</v>
      </c>
    </row>
    <row r="1869" spans="1:7" ht="28.5" x14ac:dyDescent="0.2">
      <c r="A1869" s="7" t="s">
        <v>3062</v>
      </c>
      <c r="B1869" s="89" t="s">
        <v>195</v>
      </c>
      <c r="C1869" s="90" t="s">
        <v>3063</v>
      </c>
      <c r="D1869" s="89">
        <v>1</v>
      </c>
      <c r="E1869" s="91" t="s">
        <v>153</v>
      </c>
      <c r="F1869" s="92">
        <v>2000000</v>
      </c>
      <c r="G1869" s="92">
        <v>2000000</v>
      </c>
    </row>
    <row r="1870" spans="1:7" ht="15" x14ac:dyDescent="0.2">
      <c r="A1870" s="7" t="s">
        <v>3064</v>
      </c>
      <c r="B1870" s="78" t="s">
        <v>513</v>
      </c>
      <c r="C1870" s="79" t="s">
        <v>19</v>
      </c>
      <c r="D1870" s="78"/>
      <c r="E1870" s="80"/>
      <c r="F1870" s="81"/>
      <c r="G1870" s="81">
        <v>247200000</v>
      </c>
    </row>
    <row r="1871" spans="1:7" x14ac:dyDescent="0.2">
      <c r="A1871" s="7" t="s">
        <v>3065</v>
      </c>
      <c r="B1871" s="89" t="s">
        <v>195</v>
      </c>
      <c r="C1871" s="90" t="s">
        <v>3066</v>
      </c>
      <c r="D1871" s="89">
        <v>40</v>
      </c>
      <c r="E1871" s="91" t="s">
        <v>10</v>
      </c>
      <c r="F1871" s="92">
        <v>6180000</v>
      </c>
      <c r="G1871" s="92">
        <v>247200000</v>
      </c>
    </row>
    <row r="1872" spans="1:7" ht="15" x14ac:dyDescent="0.2">
      <c r="A1872" s="7" t="s">
        <v>3067</v>
      </c>
      <c r="B1872" s="97" t="s">
        <v>511</v>
      </c>
      <c r="C1872" s="98" t="s">
        <v>175</v>
      </c>
      <c r="D1872" s="97"/>
      <c r="E1872" s="99"/>
      <c r="F1872" s="100"/>
      <c r="G1872" s="100">
        <v>212000000</v>
      </c>
    </row>
    <row r="1873" spans="1:7" ht="15" x14ac:dyDescent="0.2">
      <c r="A1873" s="7" t="s">
        <v>3068</v>
      </c>
      <c r="B1873" s="78" t="s">
        <v>503</v>
      </c>
      <c r="C1873" s="79" t="s">
        <v>7</v>
      </c>
      <c r="D1873" s="78"/>
      <c r="E1873" s="80"/>
      <c r="F1873" s="81"/>
      <c r="G1873" s="81">
        <v>41000000</v>
      </c>
    </row>
    <row r="1874" spans="1:7" x14ac:dyDescent="0.2">
      <c r="A1874" s="7" t="s">
        <v>3069</v>
      </c>
      <c r="B1874" s="89" t="s">
        <v>195</v>
      </c>
      <c r="C1874" s="90" t="s">
        <v>617</v>
      </c>
      <c r="D1874" s="89">
        <v>4</v>
      </c>
      <c r="E1874" s="91" t="s">
        <v>9</v>
      </c>
      <c r="F1874" s="92">
        <v>1500000</v>
      </c>
      <c r="G1874" s="92">
        <v>6000000</v>
      </c>
    </row>
    <row r="1875" spans="1:7" x14ac:dyDescent="0.2">
      <c r="A1875" s="7" t="s">
        <v>3070</v>
      </c>
      <c r="B1875" s="89" t="s">
        <v>195</v>
      </c>
      <c r="C1875" s="90" t="s">
        <v>2745</v>
      </c>
      <c r="D1875" s="89">
        <v>180</v>
      </c>
      <c r="E1875" s="91" t="s">
        <v>10</v>
      </c>
      <c r="F1875" s="92">
        <v>75000</v>
      </c>
      <c r="G1875" s="92">
        <v>13500000</v>
      </c>
    </row>
    <row r="1876" spans="1:7" x14ac:dyDescent="0.2">
      <c r="A1876" s="7" t="s">
        <v>3071</v>
      </c>
      <c r="B1876" s="89" t="s">
        <v>195</v>
      </c>
      <c r="C1876" s="90" t="s">
        <v>3072</v>
      </c>
      <c r="D1876" s="89">
        <v>15</v>
      </c>
      <c r="E1876" s="91" t="s">
        <v>176</v>
      </c>
      <c r="F1876" s="92">
        <v>500000</v>
      </c>
      <c r="G1876" s="92">
        <v>7500000</v>
      </c>
    </row>
    <row r="1877" spans="1:7" x14ac:dyDescent="0.2">
      <c r="A1877" s="7" t="s">
        <v>3073</v>
      </c>
      <c r="B1877" s="89" t="s">
        <v>195</v>
      </c>
      <c r="C1877" s="90" t="s">
        <v>619</v>
      </c>
      <c r="D1877" s="89">
        <v>4</v>
      </c>
      <c r="E1877" s="91" t="s">
        <v>106</v>
      </c>
      <c r="F1877" s="92">
        <v>1000000</v>
      </c>
      <c r="G1877" s="92">
        <v>4000000</v>
      </c>
    </row>
    <row r="1878" spans="1:7" x14ac:dyDescent="0.2">
      <c r="A1878" s="7" t="s">
        <v>3074</v>
      </c>
      <c r="B1878" s="89" t="s">
        <v>195</v>
      </c>
      <c r="C1878" s="90" t="s">
        <v>620</v>
      </c>
      <c r="D1878" s="89">
        <v>4</v>
      </c>
      <c r="E1878" s="91" t="s">
        <v>106</v>
      </c>
      <c r="F1878" s="92">
        <v>1500000</v>
      </c>
      <c r="G1878" s="92">
        <v>6000000</v>
      </c>
    </row>
    <row r="1879" spans="1:7" x14ac:dyDescent="0.2">
      <c r="A1879" s="7" t="s">
        <v>3075</v>
      </c>
      <c r="B1879" s="89" t="s">
        <v>195</v>
      </c>
      <c r="C1879" s="90" t="s">
        <v>3076</v>
      </c>
      <c r="D1879" s="89">
        <v>8</v>
      </c>
      <c r="E1879" s="91" t="s">
        <v>58</v>
      </c>
      <c r="F1879" s="92">
        <v>500000</v>
      </c>
      <c r="G1879" s="92">
        <v>4000000</v>
      </c>
    </row>
    <row r="1880" spans="1:7" ht="15" x14ac:dyDescent="0.2">
      <c r="A1880" s="7" t="s">
        <v>3077</v>
      </c>
      <c r="B1880" s="78" t="s">
        <v>533</v>
      </c>
      <c r="C1880" s="79" t="s">
        <v>53</v>
      </c>
      <c r="D1880" s="78"/>
      <c r="E1880" s="80"/>
      <c r="F1880" s="81"/>
      <c r="G1880" s="81">
        <v>32000000</v>
      </c>
    </row>
    <row r="1881" spans="1:7" ht="28.5" x14ac:dyDescent="0.2">
      <c r="A1881" s="7" t="s">
        <v>3078</v>
      </c>
      <c r="B1881" s="89" t="s">
        <v>195</v>
      </c>
      <c r="C1881" s="90" t="s">
        <v>3079</v>
      </c>
      <c r="D1881" s="89">
        <v>2</v>
      </c>
      <c r="E1881" s="91" t="s">
        <v>177</v>
      </c>
      <c r="F1881" s="92">
        <v>15000000</v>
      </c>
      <c r="G1881" s="92">
        <v>30000000</v>
      </c>
    </row>
    <row r="1882" spans="1:7" ht="28.5" x14ac:dyDescent="0.2">
      <c r="A1882" s="7" t="s">
        <v>3080</v>
      </c>
      <c r="B1882" s="89" t="s">
        <v>195</v>
      </c>
      <c r="C1882" s="90" t="s">
        <v>3081</v>
      </c>
      <c r="D1882" s="89">
        <v>1</v>
      </c>
      <c r="E1882" s="91" t="s">
        <v>60</v>
      </c>
      <c r="F1882" s="92">
        <v>2000000</v>
      </c>
      <c r="G1882" s="92">
        <v>2000000</v>
      </c>
    </row>
    <row r="1883" spans="1:7" ht="15" x14ac:dyDescent="0.2">
      <c r="A1883" s="7" t="s">
        <v>3082</v>
      </c>
      <c r="B1883" s="78" t="s">
        <v>516</v>
      </c>
      <c r="C1883" s="79" t="s">
        <v>11</v>
      </c>
      <c r="D1883" s="78"/>
      <c r="E1883" s="80"/>
      <c r="F1883" s="81"/>
      <c r="G1883" s="81">
        <v>10000000</v>
      </c>
    </row>
    <row r="1884" spans="1:7" x14ac:dyDescent="0.2">
      <c r="A1884" s="7" t="s">
        <v>3083</v>
      </c>
      <c r="B1884" s="89" t="s">
        <v>195</v>
      </c>
      <c r="C1884" s="90" t="s">
        <v>774</v>
      </c>
      <c r="D1884" s="89">
        <v>10</v>
      </c>
      <c r="E1884" s="91" t="s">
        <v>54</v>
      </c>
      <c r="F1884" s="92">
        <v>1000000</v>
      </c>
      <c r="G1884" s="92">
        <v>10000000</v>
      </c>
    </row>
    <row r="1885" spans="1:7" ht="15" x14ac:dyDescent="0.2">
      <c r="A1885" s="7" t="s">
        <v>3084</v>
      </c>
      <c r="B1885" s="78" t="s">
        <v>513</v>
      </c>
      <c r="C1885" s="79" t="s">
        <v>19</v>
      </c>
      <c r="D1885" s="78"/>
      <c r="E1885" s="80"/>
      <c r="F1885" s="81"/>
      <c r="G1885" s="81">
        <v>120000000</v>
      </c>
    </row>
    <row r="1886" spans="1:7" x14ac:dyDescent="0.2">
      <c r="A1886" s="7" t="s">
        <v>3085</v>
      </c>
      <c r="B1886" s="89" t="s">
        <v>195</v>
      </c>
      <c r="C1886" s="90" t="s">
        <v>3086</v>
      </c>
      <c r="D1886" s="89">
        <v>30</v>
      </c>
      <c r="E1886" s="91" t="s">
        <v>10</v>
      </c>
      <c r="F1886" s="92">
        <v>4000000</v>
      </c>
      <c r="G1886" s="92">
        <v>120000000</v>
      </c>
    </row>
    <row r="1887" spans="1:7" ht="15" x14ac:dyDescent="0.2">
      <c r="A1887" s="7" t="s">
        <v>3087</v>
      </c>
      <c r="B1887" s="78" t="s">
        <v>507</v>
      </c>
      <c r="C1887" s="79" t="s">
        <v>13</v>
      </c>
      <c r="D1887" s="78"/>
      <c r="E1887" s="80"/>
      <c r="F1887" s="81"/>
      <c r="G1887" s="81">
        <v>9000000</v>
      </c>
    </row>
    <row r="1888" spans="1:7" x14ac:dyDescent="0.2">
      <c r="A1888" s="7" t="s">
        <v>3088</v>
      </c>
      <c r="B1888" s="89" t="s">
        <v>195</v>
      </c>
      <c r="C1888" s="90" t="s">
        <v>630</v>
      </c>
      <c r="D1888" s="89">
        <v>60</v>
      </c>
      <c r="E1888" s="91" t="s">
        <v>25</v>
      </c>
      <c r="F1888" s="92">
        <v>150000</v>
      </c>
      <c r="G1888" s="92">
        <v>9000000</v>
      </c>
    </row>
    <row r="1889" spans="1:7" ht="30" x14ac:dyDescent="0.2">
      <c r="A1889" s="7" t="s">
        <v>3089</v>
      </c>
      <c r="B1889" s="93" t="s">
        <v>3090</v>
      </c>
      <c r="C1889" s="94" t="s">
        <v>3091</v>
      </c>
      <c r="D1889" s="93"/>
      <c r="E1889" s="95"/>
      <c r="F1889" s="96"/>
      <c r="G1889" s="96">
        <v>126532000</v>
      </c>
    </row>
    <row r="1890" spans="1:7" ht="15" x14ac:dyDescent="0.2">
      <c r="A1890" s="7" t="s">
        <v>3092</v>
      </c>
      <c r="B1890" s="97" t="s">
        <v>8</v>
      </c>
      <c r="C1890" s="98" t="s">
        <v>178</v>
      </c>
      <c r="D1890" s="97"/>
      <c r="E1890" s="99"/>
      <c r="F1890" s="100"/>
      <c r="G1890" s="100">
        <v>126532000</v>
      </c>
    </row>
    <row r="1891" spans="1:7" ht="15" x14ac:dyDescent="0.2">
      <c r="A1891" s="7" t="s">
        <v>3093</v>
      </c>
      <c r="B1891" s="78" t="s">
        <v>503</v>
      </c>
      <c r="C1891" s="79" t="s">
        <v>7</v>
      </c>
      <c r="D1891" s="78"/>
      <c r="E1891" s="80"/>
      <c r="F1891" s="81"/>
      <c r="G1891" s="81">
        <v>35500000</v>
      </c>
    </row>
    <row r="1892" spans="1:7" x14ac:dyDescent="0.2">
      <c r="A1892" s="7" t="s">
        <v>3094</v>
      </c>
      <c r="B1892" s="89" t="s">
        <v>195</v>
      </c>
      <c r="C1892" s="90" t="s">
        <v>617</v>
      </c>
      <c r="D1892" s="89">
        <v>4</v>
      </c>
      <c r="E1892" s="91" t="s">
        <v>9</v>
      </c>
      <c r="F1892" s="92">
        <v>1500000</v>
      </c>
      <c r="G1892" s="92">
        <v>6000000</v>
      </c>
    </row>
    <row r="1893" spans="1:7" x14ac:dyDescent="0.2">
      <c r="A1893" s="7" t="s">
        <v>3095</v>
      </c>
      <c r="B1893" s="89" t="s">
        <v>195</v>
      </c>
      <c r="C1893" s="90" t="s">
        <v>2745</v>
      </c>
      <c r="D1893" s="89">
        <v>180</v>
      </c>
      <c r="E1893" s="91" t="s">
        <v>10</v>
      </c>
      <c r="F1893" s="92">
        <v>75000</v>
      </c>
      <c r="G1893" s="92">
        <v>13500000</v>
      </c>
    </row>
    <row r="1894" spans="1:7" x14ac:dyDescent="0.2">
      <c r="A1894" s="7" t="s">
        <v>3096</v>
      </c>
      <c r="B1894" s="89" t="s">
        <v>195</v>
      </c>
      <c r="C1894" s="90" t="s">
        <v>619</v>
      </c>
      <c r="D1894" s="89">
        <v>4</v>
      </c>
      <c r="E1894" s="91" t="s">
        <v>106</v>
      </c>
      <c r="F1894" s="92">
        <v>1000000</v>
      </c>
      <c r="G1894" s="92">
        <v>4000000</v>
      </c>
    </row>
    <row r="1895" spans="1:7" x14ac:dyDescent="0.2">
      <c r="A1895" s="7" t="s">
        <v>3097</v>
      </c>
      <c r="B1895" s="89" t="s">
        <v>195</v>
      </c>
      <c r="C1895" s="90" t="s">
        <v>620</v>
      </c>
      <c r="D1895" s="89">
        <v>4</v>
      </c>
      <c r="E1895" s="91" t="s">
        <v>106</v>
      </c>
      <c r="F1895" s="92">
        <v>1500000</v>
      </c>
      <c r="G1895" s="92">
        <v>6000000</v>
      </c>
    </row>
    <row r="1896" spans="1:7" x14ac:dyDescent="0.2">
      <c r="A1896" s="7" t="s">
        <v>3098</v>
      </c>
      <c r="B1896" s="89" t="s">
        <v>195</v>
      </c>
      <c r="C1896" s="90" t="s">
        <v>3099</v>
      </c>
      <c r="D1896" s="89">
        <v>12</v>
      </c>
      <c r="E1896" s="91" t="s">
        <v>176</v>
      </c>
      <c r="F1896" s="92">
        <v>500000</v>
      </c>
      <c r="G1896" s="92">
        <v>6000000</v>
      </c>
    </row>
    <row r="1897" spans="1:7" ht="15" x14ac:dyDescent="0.2">
      <c r="A1897" s="7" t="s">
        <v>3100</v>
      </c>
      <c r="B1897" s="78" t="s">
        <v>533</v>
      </c>
      <c r="C1897" s="79" t="s">
        <v>53</v>
      </c>
      <c r="D1897" s="78"/>
      <c r="E1897" s="80"/>
      <c r="F1897" s="81"/>
      <c r="G1897" s="81">
        <v>2000000</v>
      </c>
    </row>
    <row r="1898" spans="1:7" ht="28.5" x14ac:dyDescent="0.2">
      <c r="A1898" s="7" t="s">
        <v>3101</v>
      </c>
      <c r="B1898" s="89" t="s">
        <v>195</v>
      </c>
      <c r="C1898" s="90" t="s">
        <v>3063</v>
      </c>
      <c r="D1898" s="89">
        <v>1</v>
      </c>
      <c r="E1898" s="91" t="s">
        <v>153</v>
      </c>
      <c r="F1898" s="92">
        <v>2000000</v>
      </c>
      <c r="G1898" s="92">
        <v>2000000</v>
      </c>
    </row>
    <row r="1899" spans="1:7" ht="15" x14ac:dyDescent="0.2">
      <c r="A1899" s="7" t="s">
        <v>3102</v>
      </c>
      <c r="B1899" s="78" t="s">
        <v>513</v>
      </c>
      <c r="C1899" s="79" t="s">
        <v>19</v>
      </c>
      <c r="D1899" s="78"/>
      <c r="E1899" s="80"/>
      <c r="F1899" s="81"/>
      <c r="G1899" s="81">
        <v>89032000</v>
      </c>
    </row>
    <row r="1900" spans="1:7" x14ac:dyDescent="0.2">
      <c r="A1900" s="7" t="s">
        <v>3103</v>
      </c>
      <c r="B1900" s="89" t="s">
        <v>195</v>
      </c>
      <c r="C1900" s="90" t="s">
        <v>3086</v>
      </c>
      <c r="D1900" s="89">
        <v>22</v>
      </c>
      <c r="E1900" s="91" t="s">
        <v>10</v>
      </c>
      <c r="F1900" s="92">
        <v>4047000</v>
      </c>
      <c r="G1900" s="92">
        <v>89032000</v>
      </c>
    </row>
    <row r="1901" spans="1:7" x14ac:dyDescent="0.2">
      <c r="A1901" s="7" t="s">
        <v>3104</v>
      </c>
      <c r="B1901" s="89" t="s">
        <v>3105</v>
      </c>
      <c r="C1901" s="90" t="s">
        <v>3106</v>
      </c>
      <c r="D1901" s="89"/>
      <c r="E1901" s="91"/>
      <c r="F1901" s="92"/>
      <c r="G1901" s="92">
        <v>3290739000</v>
      </c>
    </row>
    <row r="1902" spans="1:7" ht="30" x14ac:dyDescent="0.2">
      <c r="A1902" s="7" t="s">
        <v>3107</v>
      </c>
      <c r="B1902" s="93" t="s">
        <v>826</v>
      </c>
      <c r="C1902" s="94" t="s">
        <v>3108</v>
      </c>
      <c r="D1902" s="93"/>
      <c r="E1902" s="95"/>
      <c r="F1902" s="96"/>
      <c r="G1902" s="96">
        <v>2500000000</v>
      </c>
    </row>
    <row r="1903" spans="1:7" ht="15" x14ac:dyDescent="0.2">
      <c r="A1903" s="7" t="s">
        <v>3109</v>
      </c>
      <c r="B1903" s="97" t="s">
        <v>8</v>
      </c>
      <c r="C1903" s="98" t="s">
        <v>179</v>
      </c>
      <c r="D1903" s="97"/>
      <c r="E1903" s="99"/>
      <c r="F1903" s="100"/>
      <c r="G1903" s="100">
        <v>899600000</v>
      </c>
    </row>
    <row r="1904" spans="1:7" ht="15" x14ac:dyDescent="0.2">
      <c r="A1904" s="7" t="s">
        <v>3110</v>
      </c>
      <c r="B1904" s="78" t="s">
        <v>503</v>
      </c>
      <c r="C1904" s="79" t="s">
        <v>7</v>
      </c>
      <c r="D1904" s="78"/>
      <c r="E1904" s="80"/>
      <c r="F1904" s="81"/>
      <c r="G1904" s="81">
        <v>104000000</v>
      </c>
    </row>
    <row r="1905" spans="1:7" x14ac:dyDescent="0.2">
      <c r="A1905" s="7" t="s">
        <v>3111</v>
      </c>
      <c r="B1905" s="89" t="s">
        <v>195</v>
      </c>
      <c r="C1905" s="90" t="s">
        <v>3112</v>
      </c>
      <c r="D1905" s="89">
        <v>3</v>
      </c>
      <c r="E1905" s="91" t="s">
        <v>180</v>
      </c>
      <c r="F1905" s="92">
        <v>1000000</v>
      </c>
      <c r="G1905" s="92">
        <v>3000000</v>
      </c>
    </row>
    <row r="1906" spans="1:7" x14ac:dyDescent="0.2">
      <c r="A1906" s="7" t="s">
        <v>3113</v>
      </c>
      <c r="B1906" s="89" t="s">
        <v>195</v>
      </c>
      <c r="C1906" s="90" t="s">
        <v>3114</v>
      </c>
      <c r="D1906" s="89">
        <v>8</v>
      </c>
      <c r="E1906" s="91" t="s">
        <v>180</v>
      </c>
      <c r="F1906" s="92">
        <v>1000000</v>
      </c>
      <c r="G1906" s="92">
        <v>8000000</v>
      </c>
    </row>
    <row r="1907" spans="1:7" x14ac:dyDescent="0.2">
      <c r="A1907" s="7" t="s">
        <v>3115</v>
      </c>
      <c r="B1907" s="89" t="s">
        <v>195</v>
      </c>
      <c r="C1907" s="90" t="s">
        <v>3116</v>
      </c>
      <c r="D1907" s="89">
        <v>300</v>
      </c>
      <c r="E1907" s="91" t="s">
        <v>106</v>
      </c>
      <c r="F1907" s="92">
        <v>250000</v>
      </c>
      <c r="G1907" s="92">
        <v>75000000</v>
      </c>
    </row>
    <row r="1908" spans="1:7" ht="28.5" x14ac:dyDescent="0.2">
      <c r="A1908" s="7" t="s">
        <v>3117</v>
      </c>
      <c r="B1908" s="89" t="s">
        <v>195</v>
      </c>
      <c r="C1908" s="90" t="s">
        <v>3118</v>
      </c>
      <c r="D1908" s="89">
        <v>12</v>
      </c>
      <c r="E1908" s="91" t="s">
        <v>180</v>
      </c>
      <c r="F1908" s="92">
        <v>1000000</v>
      </c>
      <c r="G1908" s="92">
        <v>12000000</v>
      </c>
    </row>
    <row r="1909" spans="1:7" x14ac:dyDescent="0.2">
      <c r="A1909" s="7" t="s">
        <v>3119</v>
      </c>
      <c r="B1909" s="89" t="s">
        <v>195</v>
      </c>
      <c r="C1909" s="90" t="s">
        <v>619</v>
      </c>
      <c r="D1909" s="89">
        <v>3</v>
      </c>
      <c r="E1909" s="91" t="s">
        <v>106</v>
      </c>
      <c r="F1909" s="92">
        <v>1000000</v>
      </c>
      <c r="G1909" s="92">
        <v>3000000</v>
      </c>
    </row>
    <row r="1910" spans="1:7" x14ac:dyDescent="0.2">
      <c r="A1910" s="7" t="s">
        <v>3120</v>
      </c>
      <c r="B1910" s="89" t="s">
        <v>195</v>
      </c>
      <c r="C1910" s="90" t="s">
        <v>620</v>
      </c>
      <c r="D1910" s="89">
        <v>3</v>
      </c>
      <c r="E1910" s="91" t="s">
        <v>106</v>
      </c>
      <c r="F1910" s="92">
        <v>1000000</v>
      </c>
      <c r="G1910" s="92">
        <v>3000000</v>
      </c>
    </row>
    <row r="1911" spans="1:7" ht="15" x14ac:dyDescent="0.2">
      <c r="A1911" s="7" t="s">
        <v>3121</v>
      </c>
      <c r="B1911" s="78" t="s">
        <v>537</v>
      </c>
      <c r="C1911" s="79" t="s">
        <v>64</v>
      </c>
      <c r="D1911" s="78"/>
      <c r="E1911" s="80"/>
      <c r="F1911" s="81"/>
      <c r="G1911" s="81">
        <v>24000000</v>
      </c>
    </row>
    <row r="1912" spans="1:7" x14ac:dyDescent="0.2">
      <c r="A1912" s="7" t="s">
        <v>3122</v>
      </c>
      <c r="B1912" s="89" t="s">
        <v>195</v>
      </c>
      <c r="C1912" s="90" t="s">
        <v>619</v>
      </c>
      <c r="D1912" s="89">
        <v>12</v>
      </c>
      <c r="E1912" s="91" t="s">
        <v>106</v>
      </c>
      <c r="F1912" s="92">
        <v>1000000</v>
      </c>
      <c r="G1912" s="92">
        <v>12000000</v>
      </c>
    </row>
    <row r="1913" spans="1:7" x14ac:dyDescent="0.2">
      <c r="A1913" s="7" t="s">
        <v>3123</v>
      </c>
      <c r="B1913" s="89" t="s">
        <v>195</v>
      </c>
      <c r="C1913" s="90" t="s">
        <v>620</v>
      </c>
      <c r="D1913" s="89">
        <v>12</v>
      </c>
      <c r="E1913" s="91" t="s">
        <v>106</v>
      </c>
      <c r="F1913" s="92">
        <v>1000000</v>
      </c>
      <c r="G1913" s="92">
        <v>12000000</v>
      </c>
    </row>
    <row r="1914" spans="1:7" ht="15" x14ac:dyDescent="0.2">
      <c r="A1914" s="7" t="s">
        <v>3124</v>
      </c>
      <c r="B1914" s="78" t="s">
        <v>516</v>
      </c>
      <c r="C1914" s="79" t="s">
        <v>11</v>
      </c>
      <c r="D1914" s="78"/>
      <c r="E1914" s="80"/>
      <c r="F1914" s="81"/>
      <c r="G1914" s="81">
        <v>21600000</v>
      </c>
    </row>
    <row r="1915" spans="1:7" ht="28.5" x14ac:dyDescent="0.2">
      <c r="A1915" s="7" t="s">
        <v>3125</v>
      </c>
      <c r="B1915" s="89" t="s">
        <v>195</v>
      </c>
      <c r="C1915" s="90" t="s">
        <v>3126</v>
      </c>
      <c r="D1915" s="89">
        <v>24</v>
      </c>
      <c r="E1915" s="91" t="s">
        <v>54</v>
      </c>
      <c r="F1915" s="92">
        <v>900000</v>
      </c>
      <c r="G1915" s="92">
        <v>21600000</v>
      </c>
    </row>
    <row r="1916" spans="1:7" ht="15" x14ac:dyDescent="0.2">
      <c r="A1916" s="7" t="s">
        <v>3127</v>
      </c>
      <c r="B1916" s="78" t="s">
        <v>513</v>
      </c>
      <c r="C1916" s="79" t="s">
        <v>19</v>
      </c>
      <c r="D1916" s="78"/>
      <c r="E1916" s="80"/>
      <c r="F1916" s="81"/>
      <c r="G1916" s="81">
        <v>720000000</v>
      </c>
    </row>
    <row r="1917" spans="1:7" ht="28.5" x14ac:dyDescent="0.2">
      <c r="A1917" s="7" t="s">
        <v>3128</v>
      </c>
      <c r="B1917" s="89" t="s">
        <v>195</v>
      </c>
      <c r="C1917" s="90" t="s">
        <v>3129</v>
      </c>
      <c r="D1917" s="89">
        <v>24</v>
      </c>
      <c r="E1917" s="91" t="s">
        <v>25</v>
      </c>
      <c r="F1917" s="92">
        <v>5000000</v>
      </c>
      <c r="G1917" s="92">
        <v>120000000</v>
      </c>
    </row>
    <row r="1918" spans="1:7" ht="28.5" x14ac:dyDescent="0.2">
      <c r="A1918" s="7" t="s">
        <v>3130</v>
      </c>
      <c r="B1918" s="89" t="s">
        <v>195</v>
      </c>
      <c r="C1918" s="90" t="s">
        <v>3131</v>
      </c>
      <c r="D1918" s="89">
        <v>50</v>
      </c>
      <c r="E1918" s="91" t="s">
        <v>25</v>
      </c>
      <c r="F1918" s="92">
        <v>5000000</v>
      </c>
      <c r="G1918" s="92">
        <v>250000000</v>
      </c>
    </row>
    <row r="1919" spans="1:7" ht="28.5" x14ac:dyDescent="0.2">
      <c r="A1919" s="7" t="s">
        <v>3132</v>
      </c>
      <c r="B1919" s="89" t="s">
        <v>195</v>
      </c>
      <c r="C1919" s="90" t="s">
        <v>3133</v>
      </c>
      <c r="D1919" s="89">
        <v>20</v>
      </c>
      <c r="E1919" s="91" t="s">
        <v>25</v>
      </c>
      <c r="F1919" s="92">
        <v>5000000</v>
      </c>
      <c r="G1919" s="92">
        <v>100000000</v>
      </c>
    </row>
    <row r="1920" spans="1:7" ht="28.5" x14ac:dyDescent="0.2">
      <c r="A1920" s="7" t="s">
        <v>3134</v>
      </c>
      <c r="B1920" s="89" t="s">
        <v>195</v>
      </c>
      <c r="C1920" s="90" t="s">
        <v>3135</v>
      </c>
      <c r="D1920" s="89">
        <v>50</v>
      </c>
      <c r="E1920" s="91" t="s">
        <v>25</v>
      </c>
      <c r="F1920" s="92">
        <v>5000000</v>
      </c>
      <c r="G1920" s="92">
        <v>250000000</v>
      </c>
    </row>
    <row r="1921" spans="1:7" ht="15" x14ac:dyDescent="0.2">
      <c r="A1921" s="7" t="s">
        <v>3136</v>
      </c>
      <c r="B1921" s="78" t="s">
        <v>507</v>
      </c>
      <c r="C1921" s="79" t="s">
        <v>13</v>
      </c>
      <c r="D1921" s="78"/>
      <c r="E1921" s="80"/>
      <c r="F1921" s="81"/>
      <c r="G1921" s="81">
        <v>1800000</v>
      </c>
    </row>
    <row r="1922" spans="1:7" ht="28.5" x14ac:dyDescent="0.2">
      <c r="A1922" s="7" t="s">
        <v>3137</v>
      </c>
      <c r="B1922" s="89" t="s">
        <v>195</v>
      </c>
      <c r="C1922" s="90" t="s">
        <v>3138</v>
      </c>
      <c r="D1922" s="89">
        <v>5</v>
      </c>
      <c r="E1922" s="91" t="s">
        <v>25</v>
      </c>
      <c r="F1922" s="92">
        <v>150000</v>
      </c>
      <c r="G1922" s="92">
        <v>750000</v>
      </c>
    </row>
    <row r="1923" spans="1:7" x14ac:dyDescent="0.2">
      <c r="A1923" s="7" t="s">
        <v>3139</v>
      </c>
      <c r="B1923" s="89" t="s">
        <v>195</v>
      </c>
      <c r="C1923" s="90" t="s">
        <v>3140</v>
      </c>
      <c r="D1923" s="89">
        <v>5</v>
      </c>
      <c r="E1923" s="91" t="s">
        <v>25</v>
      </c>
      <c r="F1923" s="92">
        <v>210000</v>
      </c>
      <c r="G1923" s="92">
        <v>1050000</v>
      </c>
    </row>
    <row r="1924" spans="1:7" ht="15" x14ac:dyDescent="0.2">
      <c r="A1924" s="7" t="s">
        <v>3141</v>
      </c>
      <c r="B1924" s="78" t="s">
        <v>510</v>
      </c>
      <c r="C1924" s="79" t="s">
        <v>15</v>
      </c>
      <c r="D1924" s="78"/>
      <c r="E1924" s="80"/>
      <c r="F1924" s="81"/>
      <c r="G1924" s="81">
        <v>28200000</v>
      </c>
    </row>
    <row r="1925" spans="1:7" x14ac:dyDescent="0.2">
      <c r="A1925" s="7" t="s">
        <v>3142</v>
      </c>
      <c r="B1925" s="89" t="s">
        <v>195</v>
      </c>
      <c r="C1925" s="90" t="s">
        <v>3143</v>
      </c>
      <c r="D1925" s="89">
        <v>12</v>
      </c>
      <c r="E1925" s="91" t="s">
        <v>25</v>
      </c>
      <c r="F1925" s="92">
        <v>2350000</v>
      </c>
      <c r="G1925" s="92">
        <v>28200000</v>
      </c>
    </row>
    <row r="1926" spans="1:7" ht="15" x14ac:dyDescent="0.2">
      <c r="A1926" s="7" t="s">
        <v>3144</v>
      </c>
      <c r="B1926" s="97" t="s">
        <v>511</v>
      </c>
      <c r="C1926" s="98" t="s">
        <v>3145</v>
      </c>
      <c r="D1926" s="97"/>
      <c r="E1926" s="99"/>
      <c r="F1926" s="100"/>
      <c r="G1926" s="100">
        <v>307320000</v>
      </c>
    </row>
    <row r="1927" spans="1:7" ht="15" x14ac:dyDescent="0.2">
      <c r="A1927" s="7" t="s">
        <v>3146</v>
      </c>
      <c r="B1927" s="78" t="s">
        <v>503</v>
      </c>
      <c r="C1927" s="79" t="s">
        <v>7</v>
      </c>
      <c r="D1927" s="78"/>
      <c r="E1927" s="80"/>
      <c r="F1927" s="81"/>
      <c r="G1927" s="81">
        <v>31400000</v>
      </c>
    </row>
    <row r="1928" spans="1:7" ht="28.5" x14ac:dyDescent="0.2">
      <c r="A1928" s="7" t="s">
        <v>3147</v>
      </c>
      <c r="B1928" s="89" t="s">
        <v>195</v>
      </c>
      <c r="C1928" s="90" t="s">
        <v>3148</v>
      </c>
      <c r="D1928" s="89">
        <v>60</v>
      </c>
      <c r="E1928" s="91" t="s">
        <v>180</v>
      </c>
      <c r="F1928" s="92">
        <v>350000</v>
      </c>
      <c r="G1928" s="92">
        <v>21000000</v>
      </c>
    </row>
    <row r="1929" spans="1:7" x14ac:dyDescent="0.2">
      <c r="A1929" s="7" t="s">
        <v>3149</v>
      </c>
      <c r="B1929" s="89" t="s">
        <v>195</v>
      </c>
      <c r="C1929" s="90" t="s">
        <v>3150</v>
      </c>
      <c r="D1929" s="89">
        <v>1</v>
      </c>
      <c r="E1929" s="91" t="s">
        <v>180</v>
      </c>
      <c r="F1929" s="92">
        <v>1000000</v>
      </c>
      <c r="G1929" s="92">
        <v>1000000</v>
      </c>
    </row>
    <row r="1930" spans="1:7" x14ac:dyDescent="0.2">
      <c r="A1930" s="7" t="s">
        <v>3151</v>
      </c>
      <c r="B1930" s="89" t="s">
        <v>195</v>
      </c>
      <c r="C1930" s="90" t="s">
        <v>3152</v>
      </c>
      <c r="D1930" s="89">
        <v>12</v>
      </c>
      <c r="E1930" s="91" t="s">
        <v>180</v>
      </c>
      <c r="F1930" s="92">
        <v>200000</v>
      </c>
      <c r="G1930" s="92">
        <v>2400000</v>
      </c>
    </row>
    <row r="1931" spans="1:7" x14ac:dyDescent="0.2">
      <c r="A1931" s="7" t="s">
        <v>3153</v>
      </c>
      <c r="B1931" s="89" t="s">
        <v>195</v>
      </c>
      <c r="C1931" s="90" t="s">
        <v>3154</v>
      </c>
      <c r="D1931" s="89">
        <v>5</v>
      </c>
      <c r="E1931" s="91" t="s">
        <v>180</v>
      </c>
      <c r="F1931" s="92">
        <v>1000000</v>
      </c>
      <c r="G1931" s="92">
        <v>5000000</v>
      </c>
    </row>
    <row r="1932" spans="1:7" x14ac:dyDescent="0.2">
      <c r="A1932" s="7" t="s">
        <v>3155</v>
      </c>
      <c r="B1932" s="89" t="s">
        <v>195</v>
      </c>
      <c r="C1932" s="90" t="s">
        <v>619</v>
      </c>
      <c r="D1932" s="89">
        <v>1</v>
      </c>
      <c r="E1932" s="91" t="s">
        <v>106</v>
      </c>
      <c r="F1932" s="92">
        <v>1000000</v>
      </c>
      <c r="G1932" s="92">
        <v>1000000</v>
      </c>
    </row>
    <row r="1933" spans="1:7" x14ac:dyDescent="0.2">
      <c r="A1933" s="7" t="s">
        <v>3156</v>
      </c>
      <c r="B1933" s="89" t="s">
        <v>195</v>
      </c>
      <c r="C1933" s="90" t="s">
        <v>620</v>
      </c>
      <c r="D1933" s="89">
        <v>1</v>
      </c>
      <c r="E1933" s="91" t="s">
        <v>106</v>
      </c>
      <c r="F1933" s="92">
        <v>1000000</v>
      </c>
      <c r="G1933" s="92">
        <v>1000000</v>
      </c>
    </row>
    <row r="1934" spans="1:7" ht="15" x14ac:dyDescent="0.2">
      <c r="A1934" s="7" t="s">
        <v>3157</v>
      </c>
      <c r="B1934" s="78" t="s">
        <v>537</v>
      </c>
      <c r="C1934" s="79" t="s">
        <v>64</v>
      </c>
      <c r="D1934" s="78"/>
      <c r="E1934" s="80"/>
      <c r="F1934" s="81"/>
      <c r="G1934" s="81">
        <v>24000000</v>
      </c>
    </row>
    <row r="1935" spans="1:7" x14ac:dyDescent="0.2">
      <c r="A1935" s="7" t="s">
        <v>3158</v>
      </c>
      <c r="B1935" s="89" t="s">
        <v>195</v>
      </c>
      <c r="C1935" s="90" t="s">
        <v>619</v>
      </c>
      <c r="D1935" s="89">
        <v>12</v>
      </c>
      <c r="E1935" s="91" t="s">
        <v>106</v>
      </c>
      <c r="F1935" s="92">
        <v>1000000</v>
      </c>
      <c r="G1935" s="92">
        <v>12000000</v>
      </c>
    </row>
    <row r="1936" spans="1:7" x14ac:dyDescent="0.2">
      <c r="A1936" s="7" t="s">
        <v>3159</v>
      </c>
      <c r="B1936" s="89" t="s">
        <v>195</v>
      </c>
      <c r="C1936" s="90" t="s">
        <v>620</v>
      </c>
      <c r="D1936" s="89">
        <v>12</v>
      </c>
      <c r="E1936" s="91" t="s">
        <v>106</v>
      </c>
      <c r="F1936" s="92">
        <v>1000000</v>
      </c>
      <c r="G1936" s="92">
        <v>12000000</v>
      </c>
    </row>
    <row r="1937" spans="1:7" ht="15" x14ac:dyDescent="0.2">
      <c r="A1937" s="7" t="s">
        <v>3160</v>
      </c>
      <c r="B1937" s="78" t="s">
        <v>516</v>
      </c>
      <c r="C1937" s="79" t="s">
        <v>11</v>
      </c>
      <c r="D1937" s="78"/>
      <c r="E1937" s="80"/>
      <c r="F1937" s="81"/>
      <c r="G1937" s="81">
        <v>3600000</v>
      </c>
    </row>
    <row r="1938" spans="1:7" ht="28.5" x14ac:dyDescent="0.2">
      <c r="A1938" s="7" t="s">
        <v>3161</v>
      </c>
      <c r="B1938" s="89" t="s">
        <v>195</v>
      </c>
      <c r="C1938" s="90" t="s">
        <v>3162</v>
      </c>
      <c r="D1938" s="89">
        <v>4</v>
      </c>
      <c r="E1938" s="91" t="s">
        <v>54</v>
      </c>
      <c r="F1938" s="92">
        <v>900000</v>
      </c>
      <c r="G1938" s="92">
        <v>3600000</v>
      </c>
    </row>
    <row r="1939" spans="1:7" ht="15" x14ac:dyDescent="0.2">
      <c r="A1939" s="7" t="s">
        <v>3163</v>
      </c>
      <c r="B1939" s="78" t="s">
        <v>513</v>
      </c>
      <c r="C1939" s="79" t="s">
        <v>19</v>
      </c>
      <c r="D1939" s="78"/>
      <c r="E1939" s="80"/>
      <c r="F1939" s="81"/>
      <c r="G1939" s="81">
        <v>241800000</v>
      </c>
    </row>
    <row r="1940" spans="1:7" ht="42.75" x14ac:dyDescent="0.2">
      <c r="A1940" s="7" t="s">
        <v>3164</v>
      </c>
      <c r="B1940" s="89" t="s">
        <v>195</v>
      </c>
      <c r="C1940" s="90" t="s">
        <v>3165</v>
      </c>
      <c r="D1940" s="89">
        <v>60</v>
      </c>
      <c r="E1940" s="91" t="s">
        <v>25</v>
      </c>
      <c r="F1940" s="92">
        <v>1830000</v>
      </c>
      <c r="G1940" s="92">
        <v>109800000</v>
      </c>
    </row>
    <row r="1941" spans="1:7" ht="28.5" x14ac:dyDescent="0.2">
      <c r="A1941" s="7" t="s">
        <v>3166</v>
      </c>
      <c r="B1941" s="89" t="s">
        <v>195</v>
      </c>
      <c r="C1941" s="90" t="s">
        <v>3167</v>
      </c>
      <c r="D1941" s="89">
        <v>24</v>
      </c>
      <c r="E1941" s="91" t="s">
        <v>25</v>
      </c>
      <c r="F1941" s="92">
        <v>5500000</v>
      </c>
      <c r="G1941" s="92">
        <v>132000000</v>
      </c>
    </row>
    <row r="1942" spans="1:7" ht="15" x14ac:dyDescent="0.2">
      <c r="A1942" s="7" t="s">
        <v>3168</v>
      </c>
      <c r="B1942" s="78" t="s">
        <v>507</v>
      </c>
      <c r="C1942" s="79" t="s">
        <v>13</v>
      </c>
      <c r="D1942" s="78"/>
      <c r="E1942" s="80"/>
      <c r="F1942" s="81"/>
      <c r="G1942" s="81">
        <v>720000</v>
      </c>
    </row>
    <row r="1943" spans="1:7" ht="28.5" x14ac:dyDescent="0.2">
      <c r="A1943" s="7" t="s">
        <v>3169</v>
      </c>
      <c r="B1943" s="89" t="s">
        <v>195</v>
      </c>
      <c r="C1943" s="90" t="s">
        <v>3170</v>
      </c>
      <c r="D1943" s="89">
        <v>2</v>
      </c>
      <c r="E1943" s="91" t="s">
        <v>25</v>
      </c>
      <c r="F1943" s="92">
        <v>150000</v>
      </c>
      <c r="G1943" s="92">
        <v>300000</v>
      </c>
    </row>
    <row r="1944" spans="1:7" x14ac:dyDescent="0.2">
      <c r="A1944" s="7" t="s">
        <v>3171</v>
      </c>
      <c r="B1944" s="89" t="s">
        <v>195</v>
      </c>
      <c r="C1944" s="90" t="s">
        <v>3172</v>
      </c>
      <c r="D1944" s="89">
        <v>2</v>
      </c>
      <c r="E1944" s="91" t="s">
        <v>25</v>
      </c>
      <c r="F1944" s="92">
        <v>210000</v>
      </c>
      <c r="G1944" s="92">
        <v>420000</v>
      </c>
    </row>
    <row r="1945" spans="1:7" ht="30" x14ac:dyDescent="0.2">
      <c r="A1945" s="7" t="s">
        <v>3173</v>
      </c>
      <c r="B1945" s="78" t="s">
        <v>509</v>
      </c>
      <c r="C1945" s="79" t="s">
        <v>14</v>
      </c>
      <c r="D1945" s="78"/>
      <c r="E1945" s="80"/>
      <c r="F1945" s="81"/>
      <c r="G1945" s="81">
        <v>5800000</v>
      </c>
    </row>
    <row r="1946" spans="1:7" x14ac:dyDescent="0.2">
      <c r="A1946" s="7" t="s">
        <v>3174</v>
      </c>
      <c r="B1946" s="89" t="s">
        <v>195</v>
      </c>
      <c r="C1946" s="90" t="s">
        <v>3175</v>
      </c>
      <c r="D1946" s="89">
        <v>4</v>
      </c>
      <c r="E1946" s="91" t="s">
        <v>73</v>
      </c>
      <c r="F1946" s="92">
        <v>1450000</v>
      </c>
      <c r="G1946" s="92">
        <v>5800000</v>
      </c>
    </row>
    <row r="1947" spans="1:7" ht="30" x14ac:dyDescent="0.2">
      <c r="A1947" s="7" t="s">
        <v>3176</v>
      </c>
      <c r="B1947" s="97" t="s">
        <v>512</v>
      </c>
      <c r="C1947" s="98" t="s">
        <v>3177</v>
      </c>
      <c r="D1947" s="97"/>
      <c r="E1947" s="99"/>
      <c r="F1947" s="100"/>
      <c r="G1947" s="100">
        <v>80600000</v>
      </c>
    </row>
    <row r="1948" spans="1:7" ht="15" x14ac:dyDescent="0.2">
      <c r="A1948" s="7" t="s">
        <v>3178</v>
      </c>
      <c r="B1948" s="78" t="s">
        <v>503</v>
      </c>
      <c r="C1948" s="79" t="s">
        <v>7</v>
      </c>
      <c r="D1948" s="78"/>
      <c r="E1948" s="80"/>
      <c r="F1948" s="81"/>
      <c r="G1948" s="81">
        <v>24000000</v>
      </c>
    </row>
    <row r="1949" spans="1:7" x14ac:dyDescent="0.2">
      <c r="A1949" s="7" t="s">
        <v>3179</v>
      </c>
      <c r="B1949" s="89" t="s">
        <v>195</v>
      </c>
      <c r="C1949" s="90" t="s">
        <v>619</v>
      </c>
      <c r="D1949" s="89">
        <v>1</v>
      </c>
      <c r="E1949" s="91" t="s">
        <v>106</v>
      </c>
      <c r="F1949" s="92">
        <v>1000000</v>
      </c>
      <c r="G1949" s="92">
        <v>1000000</v>
      </c>
    </row>
    <row r="1950" spans="1:7" x14ac:dyDescent="0.2">
      <c r="A1950" s="7" t="s">
        <v>3180</v>
      </c>
      <c r="B1950" s="89" t="s">
        <v>195</v>
      </c>
      <c r="C1950" s="90" t="s">
        <v>620</v>
      </c>
      <c r="D1950" s="89">
        <v>1</v>
      </c>
      <c r="E1950" s="91" t="s">
        <v>106</v>
      </c>
      <c r="F1950" s="92">
        <v>1000000</v>
      </c>
      <c r="G1950" s="92">
        <v>1000000</v>
      </c>
    </row>
    <row r="1951" spans="1:7" x14ac:dyDescent="0.2">
      <c r="A1951" s="7" t="s">
        <v>3181</v>
      </c>
      <c r="B1951" s="89" t="s">
        <v>195</v>
      </c>
      <c r="C1951" s="90" t="s">
        <v>3182</v>
      </c>
      <c r="D1951" s="89">
        <v>1</v>
      </c>
      <c r="E1951" s="91" t="s">
        <v>180</v>
      </c>
      <c r="F1951" s="92">
        <v>1000000</v>
      </c>
      <c r="G1951" s="92">
        <v>1000000</v>
      </c>
    </row>
    <row r="1952" spans="1:7" ht="28.5" x14ac:dyDescent="0.2">
      <c r="A1952" s="7" t="s">
        <v>3183</v>
      </c>
      <c r="B1952" s="89" t="s">
        <v>195</v>
      </c>
      <c r="C1952" s="90" t="s">
        <v>3184</v>
      </c>
      <c r="D1952" s="89">
        <v>60</v>
      </c>
      <c r="E1952" s="91" t="s">
        <v>180</v>
      </c>
      <c r="F1952" s="92">
        <v>350000</v>
      </c>
      <c r="G1952" s="92">
        <v>21000000</v>
      </c>
    </row>
    <row r="1953" spans="1:7" ht="15" x14ac:dyDescent="0.2">
      <c r="A1953" s="7" t="s">
        <v>3185</v>
      </c>
      <c r="B1953" s="78" t="s">
        <v>513</v>
      </c>
      <c r="C1953" s="79" t="s">
        <v>19</v>
      </c>
      <c r="D1953" s="78"/>
      <c r="E1953" s="80"/>
      <c r="F1953" s="81"/>
      <c r="G1953" s="81">
        <v>56600000</v>
      </c>
    </row>
    <row r="1954" spans="1:7" x14ac:dyDescent="0.2">
      <c r="A1954" s="7" t="s">
        <v>3186</v>
      </c>
      <c r="B1954" s="89" t="s">
        <v>195</v>
      </c>
      <c r="C1954" s="90" t="s">
        <v>3187</v>
      </c>
      <c r="D1954" s="89">
        <v>20</v>
      </c>
      <c r="E1954" s="91" t="s">
        <v>25</v>
      </c>
      <c r="F1954" s="92">
        <v>2830000</v>
      </c>
      <c r="G1954" s="92">
        <v>56600000</v>
      </c>
    </row>
    <row r="1955" spans="1:7" ht="15" x14ac:dyDescent="0.2">
      <c r="A1955" s="7" t="s">
        <v>3188</v>
      </c>
      <c r="B1955" s="97" t="s">
        <v>514</v>
      </c>
      <c r="C1955" s="98" t="s">
        <v>181</v>
      </c>
      <c r="D1955" s="97"/>
      <c r="E1955" s="99"/>
      <c r="F1955" s="100"/>
      <c r="G1955" s="100">
        <v>304320000</v>
      </c>
    </row>
    <row r="1956" spans="1:7" ht="15" x14ac:dyDescent="0.2">
      <c r="A1956" s="7" t="s">
        <v>3189</v>
      </c>
      <c r="B1956" s="78" t="s">
        <v>503</v>
      </c>
      <c r="C1956" s="79" t="s">
        <v>7</v>
      </c>
      <c r="D1956" s="78"/>
      <c r="E1956" s="80"/>
      <c r="F1956" s="81"/>
      <c r="G1956" s="81">
        <v>2600000</v>
      </c>
    </row>
    <row r="1957" spans="1:7" x14ac:dyDescent="0.2">
      <c r="A1957" s="7" t="s">
        <v>3190</v>
      </c>
      <c r="B1957" s="89" t="s">
        <v>195</v>
      </c>
      <c r="C1957" s="90" t="s">
        <v>3191</v>
      </c>
      <c r="D1957" s="89">
        <v>12</v>
      </c>
      <c r="E1957" s="91" t="s">
        <v>180</v>
      </c>
      <c r="F1957" s="92">
        <v>150000</v>
      </c>
      <c r="G1957" s="92">
        <v>1800000</v>
      </c>
    </row>
    <row r="1958" spans="1:7" x14ac:dyDescent="0.2">
      <c r="A1958" s="7" t="s">
        <v>3192</v>
      </c>
      <c r="B1958" s="89" t="s">
        <v>195</v>
      </c>
      <c r="C1958" s="90" t="s">
        <v>3193</v>
      </c>
      <c r="D1958" s="89">
        <v>8</v>
      </c>
      <c r="E1958" s="91" t="s">
        <v>180</v>
      </c>
      <c r="F1958" s="92">
        <v>100000</v>
      </c>
      <c r="G1958" s="92">
        <v>800000</v>
      </c>
    </row>
    <row r="1959" spans="1:7" ht="30" x14ac:dyDescent="0.2">
      <c r="A1959" s="7" t="s">
        <v>3194</v>
      </c>
      <c r="B1959" s="78" t="s">
        <v>515</v>
      </c>
      <c r="C1959" s="79" t="s">
        <v>642</v>
      </c>
      <c r="D1959" s="78"/>
      <c r="E1959" s="80"/>
      <c r="F1959" s="81"/>
      <c r="G1959" s="81">
        <v>33600000</v>
      </c>
    </row>
    <row r="1960" spans="1:7" x14ac:dyDescent="0.2">
      <c r="A1960" s="7" t="s">
        <v>3195</v>
      </c>
      <c r="B1960" s="89" t="s">
        <v>195</v>
      </c>
      <c r="C1960" s="90" t="s">
        <v>3196</v>
      </c>
      <c r="D1960" s="89">
        <v>168</v>
      </c>
      <c r="E1960" s="91" t="s">
        <v>32</v>
      </c>
      <c r="F1960" s="92">
        <v>200000</v>
      </c>
      <c r="G1960" s="92">
        <v>33600000</v>
      </c>
    </row>
    <row r="1961" spans="1:7" ht="15" x14ac:dyDescent="0.2">
      <c r="A1961" s="7" t="s">
        <v>3197</v>
      </c>
      <c r="B1961" s="78" t="s">
        <v>537</v>
      </c>
      <c r="C1961" s="79" t="s">
        <v>64</v>
      </c>
      <c r="D1961" s="78"/>
      <c r="E1961" s="80"/>
      <c r="F1961" s="81"/>
      <c r="G1961" s="81">
        <v>24000000</v>
      </c>
    </row>
    <row r="1962" spans="1:7" x14ac:dyDescent="0.2">
      <c r="A1962" s="7" t="s">
        <v>3198</v>
      </c>
      <c r="B1962" s="89" t="s">
        <v>195</v>
      </c>
      <c r="C1962" s="90" t="s">
        <v>619</v>
      </c>
      <c r="D1962" s="89">
        <v>12</v>
      </c>
      <c r="E1962" s="91" t="s">
        <v>106</v>
      </c>
      <c r="F1962" s="92">
        <v>1000000</v>
      </c>
      <c r="G1962" s="92">
        <v>12000000</v>
      </c>
    </row>
    <row r="1963" spans="1:7" x14ac:dyDescent="0.2">
      <c r="A1963" s="7" t="s">
        <v>3199</v>
      </c>
      <c r="B1963" s="89" t="s">
        <v>195</v>
      </c>
      <c r="C1963" s="90" t="s">
        <v>620</v>
      </c>
      <c r="D1963" s="89">
        <v>12</v>
      </c>
      <c r="E1963" s="91" t="s">
        <v>106</v>
      </c>
      <c r="F1963" s="92">
        <v>1000000</v>
      </c>
      <c r="G1963" s="92">
        <v>12000000</v>
      </c>
    </row>
    <row r="1964" spans="1:7" ht="15" x14ac:dyDescent="0.2">
      <c r="A1964" s="7" t="s">
        <v>3200</v>
      </c>
      <c r="B1964" s="78" t="s">
        <v>516</v>
      </c>
      <c r="C1964" s="79" t="s">
        <v>11</v>
      </c>
      <c r="D1964" s="78"/>
      <c r="E1964" s="80"/>
      <c r="F1964" s="81"/>
      <c r="G1964" s="81">
        <v>18000000</v>
      </c>
    </row>
    <row r="1965" spans="1:7" x14ac:dyDescent="0.2">
      <c r="A1965" s="7" t="s">
        <v>3201</v>
      </c>
      <c r="B1965" s="89" t="s">
        <v>195</v>
      </c>
      <c r="C1965" s="90" t="s">
        <v>3202</v>
      </c>
      <c r="D1965" s="89">
        <v>20</v>
      </c>
      <c r="E1965" s="91" t="s">
        <v>54</v>
      </c>
      <c r="F1965" s="92">
        <v>900000</v>
      </c>
      <c r="G1965" s="92">
        <v>18000000</v>
      </c>
    </row>
    <row r="1966" spans="1:7" ht="15" x14ac:dyDescent="0.2">
      <c r="A1966" s="7" t="s">
        <v>3203</v>
      </c>
      <c r="B1966" s="78" t="s">
        <v>518</v>
      </c>
      <c r="C1966" s="79" t="s">
        <v>24</v>
      </c>
      <c r="D1966" s="78"/>
      <c r="E1966" s="80"/>
      <c r="F1966" s="81"/>
      <c r="G1966" s="81">
        <v>9000000</v>
      </c>
    </row>
    <row r="1967" spans="1:7" ht="28.5" x14ac:dyDescent="0.2">
      <c r="A1967" s="7" t="s">
        <v>3204</v>
      </c>
      <c r="B1967" s="89" t="s">
        <v>195</v>
      </c>
      <c r="C1967" s="90" t="s">
        <v>3205</v>
      </c>
      <c r="D1967" s="89">
        <v>30</v>
      </c>
      <c r="E1967" s="91" t="s">
        <v>25</v>
      </c>
      <c r="F1967" s="92">
        <v>300000</v>
      </c>
      <c r="G1967" s="92">
        <v>9000000</v>
      </c>
    </row>
    <row r="1968" spans="1:7" ht="15" x14ac:dyDescent="0.2">
      <c r="A1968" s="7" t="s">
        <v>3206</v>
      </c>
      <c r="B1968" s="78" t="s">
        <v>513</v>
      </c>
      <c r="C1968" s="79" t="s">
        <v>19</v>
      </c>
      <c r="D1968" s="78"/>
      <c r="E1968" s="80"/>
      <c r="F1968" s="81"/>
      <c r="G1968" s="81">
        <v>216400000</v>
      </c>
    </row>
    <row r="1969" spans="1:7" ht="28.5" x14ac:dyDescent="0.2">
      <c r="A1969" s="7" t="s">
        <v>3207</v>
      </c>
      <c r="B1969" s="89" t="s">
        <v>195</v>
      </c>
      <c r="C1969" s="90" t="s">
        <v>3208</v>
      </c>
      <c r="D1969" s="89">
        <v>80</v>
      </c>
      <c r="E1969" s="91" t="s">
        <v>25</v>
      </c>
      <c r="F1969" s="92">
        <v>830000</v>
      </c>
      <c r="G1969" s="92">
        <v>66400000</v>
      </c>
    </row>
    <row r="1970" spans="1:7" ht="28.5" x14ac:dyDescent="0.2">
      <c r="A1970" s="7" t="s">
        <v>3209</v>
      </c>
      <c r="B1970" s="89" t="s">
        <v>195</v>
      </c>
      <c r="C1970" s="90" t="s">
        <v>3210</v>
      </c>
      <c r="D1970" s="89">
        <v>30</v>
      </c>
      <c r="E1970" s="91" t="s">
        <v>25</v>
      </c>
      <c r="F1970" s="92">
        <v>5000000</v>
      </c>
      <c r="G1970" s="92">
        <v>150000000</v>
      </c>
    </row>
    <row r="1971" spans="1:7" ht="15" x14ac:dyDescent="0.2">
      <c r="A1971" s="7" t="s">
        <v>3211</v>
      </c>
      <c r="B1971" s="78" t="s">
        <v>507</v>
      </c>
      <c r="C1971" s="79" t="s">
        <v>13</v>
      </c>
      <c r="D1971" s="78"/>
      <c r="E1971" s="80"/>
      <c r="F1971" s="81"/>
      <c r="G1971" s="81">
        <v>720000</v>
      </c>
    </row>
    <row r="1972" spans="1:7" ht="28.5" x14ac:dyDescent="0.2">
      <c r="A1972" s="7" t="s">
        <v>3212</v>
      </c>
      <c r="B1972" s="89" t="s">
        <v>195</v>
      </c>
      <c r="C1972" s="90" t="s">
        <v>3213</v>
      </c>
      <c r="D1972" s="89">
        <v>2</v>
      </c>
      <c r="E1972" s="91" t="s">
        <v>25</v>
      </c>
      <c r="F1972" s="92">
        <v>150000</v>
      </c>
      <c r="G1972" s="92">
        <v>300000</v>
      </c>
    </row>
    <row r="1973" spans="1:7" x14ac:dyDescent="0.2">
      <c r="A1973" s="7" t="s">
        <v>3214</v>
      </c>
      <c r="B1973" s="89" t="s">
        <v>195</v>
      </c>
      <c r="C1973" s="90" t="s">
        <v>3172</v>
      </c>
      <c r="D1973" s="89">
        <v>2</v>
      </c>
      <c r="E1973" s="91" t="s">
        <v>25</v>
      </c>
      <c r="F1973" s="92">
        <v>210000</v>
      </c>
      <c r="G1973" s="92">
        <v>420000</v>
      </c>
    </row>
    <row r="1974" spans="1:7" ht="30" x14ac:dyDescent="0.2">
      <c r="A1974" s="7" t="s">
        <v>3215</v>
      </c>
      <c r="B1974" s="97" t="s">
        <v>519</v>
      </c>
      <c r="C1974" s="98" t="s">
        <v>182</v>
      </c>
      <c r="D1974" s="97"/>
      <c r="E1974" s="99"/>
      <c r="F1974" s="100"/>
      <c r="G1974" s="100">
        <v>422620000</v>
      </c>
    </row>
    <row r="1975" spans="1:7" ht="15" x14ac:dyDescent="0.2">
      <c r="A1975" s="7" t="s">
        <v>3216</v>
      </c>
      <c r="B1975" s="78" t="s">
        <v>503</v>
      </c>
      <c r="C1975" s="79" t="s">
        <v>7</v>
      </c>
      <c r="D1975" s="78"/>
      <c r="E1975" s="80"/>
      <c r="F1975" s="81"/>
      <c r="G1975" s="81">
        <v>20000000</v>
      </c>
    </row>
    <row r="1976" spans="1:7" ht="28.5" x14ac:dyDescent="0.2">
      <c r="A1976" s="7" t="s">
        <v>3217</v>
      </c>
      <c r="B1976" s="89" t="s">
        <v>195</v>
      </c>
      <c r="C1976" s="90" t="s">
        <v>3218</v>
      </c>
      <c r="D1976" s="89">
        <v>28</v>
      </c>
      <c r="E1976" s="91" t="s">
        <v>180</v>
      </c>
      <c r="F1976" s="92">
        <v>500000</v>
      </c>
      <c r="G1976" s="92">
        <v>14000000</v>
      </c>
    </row>
    <row r="1977" spans="1:7" x14ac:dyDescent="0.2">
      <c r="A1977" s="7" t="s">
        <v>3219</v>
      </c>
      <c r="B1977" s="89" t="s">
        <v>195</v>
      </c>
      <c r="C1977" s="90" t="s">
        <v>3220</v>
      </c>
      <c r="D1977" s="89">
        <v>3</v>
      </c>
      <c r="E1977" s="91" t="s">
        <v>180</v>
      </c>
      <c r="F1977" s="92">
        <v>1000000</v>
      </c>
      <c r="G1977" s="92">
        <v>3000000</v>
      </c>
    </row>
    <row r="1978" spans="1:7" x14ac:dyDescent="0.2">
      <c r="A1978" s="7" t="s">
        <v>3221</v>
      </c>
      <c r="B1978" s="89" t="s">
        <v>195</v>
      </c>
      <c r="C1978" s="90" t="s">
        <v>3222</v>
      </c>
      <c r="D1978" s="89">
        <v>2</v>
      </c>
      <c r="E1978" s="91" t="s">
        <v>106</v>
      </c>
      <c r="F1978" s="92">
        <v>500000</v>
      </c>
      <c r="G1978" s="92">
        <v>1000000</v>
      </c>
    </row>
    <row r="1979" spans="1:7" x14ac:dyDescent="0.2">
      <c r="A1979" s="7" t="s">
        <v>3223</v>
      </c>
      <c r="B1979" s="89" t="s">
        <v>195</v>
      </c>
      <c r="C1979" s="90" t="s">
        <v>3224</v>
      </c>
      <c r="D1979" s="89">
        <v>2</v>
      </c>
      <c r="E1979" s="91" t="s">
        <v>180</v>
      </c>
      <c r="F1979" s="92">
        <v>1000000</v>
      </c>
      <c r="G1979" s="92">
        <v>2000000</v>
      </c>
    </row>
    <row r="1980" spans="1:7" ht="15" x14ac:dyDescent="0.2">
      <c r="A1980" s="7" t="s">
        <v>3225</v>
      </c>
      <c r="B1980" s="78" t="s">
        <v>537</v>
      </c>
      <c r="C1980" s="79" t="s">
        <v>64</v>
      </c>
      <c r="D1980" s="78"/>
      <c r="E1980" s="80"/>
      <c r="F1980" s="81"/>
      <c r="G1980" s="81">
        <v>24000000</v>
      </c>
    </row>
    <row r="1981" spans="1:7" x14ac:dyDescent="0.2">
      <c r="A1981" s="7" t="s">
        <v>3226</v>
      </c>
      <c r="B1981" s="89" t="s">
        <v>195</v>
      </c>
      <c r="C1981" s="90" t="s">
        <v>619</v>
      </c>
      <c r="D1981" s="89">
        <v>12</v>
      </c>
      <c r="E1981" s="91" t="s">
        <v>106</v>
      </c>
      <c r="F1981" s="92">
        <v>1000000</v>
      </c>
      <c r="G1981" s="92">
        <v>12000000</v>
      </c>
    </row>
    <row r="1982" spans="1:7" x14ac:dyDescent="0.2">
      <c r="A1982" s="7" t="s">
        <v>3227</v>
      </c>
      <c r="B1982" s="89" t="s">
        <v>195</v>
      </c>
      <c r="C1982" s="90" t="s">
        <v>620</v>
      </c>
      <c r="D1982" s="89">
        <v>12</v>
      </c>
      <c r="E1982" s="91" t="s">
        <v>106</v>
      </c>
      <c r="F1982" s="92">
        <v>1000000</v>
      </c>
      <c r="G1982" s="92">
        <v>12000000</v>
      </c>
    </row>
    <row r="1983" spans="1:7" ht="15" x14ac:dyDescent="0.2">
      <c r="A1983" s="7" t="s">
        <v>3228</v>
      </c>
      <c r="B1983" s="78" t="s">
        <v>513</v>
      </c>
      <c r="C1983" s="79" t="s">
        <v>19</v>
      </c>
      <c r="D1983" s="78"/>
      <c r="E1983" s="80"/>
      <c r="F1983" s="81"/>
      <c r="G1983" s="81">
        <v>359100000</v>
      </c>
    </row>
    <row r="1984" spans="1:7" ht="28.5" x14ac:dyDescent="0.2">
      <c r="A1984" s="7" t="s">
        <v>3229</v>
      </c>
      <c r="B1984" s="89" t="s">
        <v>195</v>
      </c>
      <c r="C1984" s="90" t="s">
        <v>3230</v>
      </c>
      <c r="D1984" s="89">
        <v>100</v>
      </c>
      <c r="E1984" s="91" t="s">
        <v>25</v>
      </c>
      <c r="F1984" s="92">
        <v>1830000</v>
      </c>
      <c r="G1984" s="92">
        <v>183000000</v>
      </c>
    </row>
    <row r="1985" spans="1:7" ht="28.5" x14ac:dyDescent="0.2">
      <c r="A1985" s="7" t="s">
        <v>3231</v>
      </c>
      <c r="B1985" s="89" t="s">
        <v>195</v>
      </c>
      <c r="C1985" s="90" t="s">
        <v>3232</v>
      </c>
      <c r="D1985" s="89">
        <v>25</v>
      </c>
      <c r="E1985" s="91" t="s">
        <v>25</v>
      </c>
      <c r="F1985" s="92">
        <v>1260000</v>
      </c>
      <c r="G1985" s="92">
        <v>31500000</v>
      </c>
    </row>
    <row r="1986" spans="1:7" ht="28.5" x14ac:dyDescent="0.2">
      <c r="A1986" s="7" t="s">
        <v>3233</v>
      </c>
      <c r="B1986" s="89" t="s">
        <v>195</v>
      </c>
      <c r="C1986" s="90" t="s">
        <v>3234</v>
      </c>
      <c r="D1986" s="89">
        <v>120</v>
      </c>
      <c r="E1986" s="91" t="s">
        <v>25</v>
      </c>
      <c r="F1986" s="92">
        <v>830000</v>
      </c>
      <c r="G1986" s="92">
        <v>99600000</v>
      </c>
    </row>
    <row r="1987" spans="1:7" ht="28.5" x14ac:dyDescent="0.2">
      <c r="A1987" s="7" t="s">
        <v>3235</v>
      </c>
      <c r="B1987" s="89" t="s">
        <v>195</v>
      </c>
      <c r="C1987" s="90" t="s">
        <v>3236</v>
      </c>
      <c r="D1987" s="89">
        <v>15</v>
      </c>
      <c r="E1987" s="91" t="s">
        <v>25</v>
      </c>
      <c r="F1987" s="92">
        <v>3000000</v>
      </c>
      <c r="G1987" s="92">
        <v>45000000</v>
      </c>
    </row>
    <row r="1988" spans="1:7" ht="15" x14ac:dyDescent="0.2">
      <c r="A1988" s="7" t="s">
        <v>3237</v>
      </c>
      <c r="B1988" s="78" t="s">
        <v>507</v>
      </c>
      <c r="C1988" s="79" t="s">
        <v>13</v>
      </c>
      <c r="D1988" s="78"/>
      <c r="E1988" s="80"/>
      <c r="F1988" s="81"/>
      <c r="G1988" s="81">
        <v>720000</v>
      </c>
    </row>
    <row r="1989" spans="1:7" x14ac:dyDescent="0.2">
      <c r="A1989" s="7" t="s">
        <v>3238</v>
      </c>
      <c r="B1989" s="89" t="s">
        <v>195</v>
      </c>
      <c r="C1989" s="90" t="s">
        <v>3172</v>
      </c>
      <c r="D1989" s="89">
        <v>2</v>
      </c>
      <c r="E1989" s="91" t="s">
        <v>25</v>
      </c>
      <c r="F1989" s="92">
        <v>210000</v>
      </c>
      <c r="G1989" s="92">
        <v>420000</v>
      </c>
    </row>
    <row r="1990" spans="1:7" ht="28.5" x14ac:dyDescent="0.2">
      <c r="A1990" s="7" t="s">
        <v>3239</v>
      </c>
      <c r="B1990" s="89" t="s">
        <v>195</v>
      </c>
      <c r="C1990" s="90" t="s">
        <v>3170</v>
      </c>
      <c r="D1990" s="89">
        <v>2</v>
      </c>
      <c r="E1990" s="91" t="s">
        <v>25</v>
      </c>
      <c r="F1990" s="92">
        <v>150000</v>
      </c>
      <c r="G1990" s="92">
        <v>300000</v>
      </c>
    </row>
    <row r="1991" spans="1:7" ht="15" x14ac:dyDescent="0.2">
      <c r="A1991" s="7" t="s">
        <v>3240</v>
      </c>
      <c r="B1991" s="78" t="s">
        <v>510</v>
      </c>
      <c r="C1991" s="79" t="s">
        <v>15</v>
      </c>
      <c r="D1991" s="78"/>
      <c r="E1991" s="80"/>
      <c r="F1991" s="81"/>
      <c r="G1991" s="81">
        <v>18800000</v>
      </c>
    </row>
    <row r="1992" spans="1:7" x14ac:dyDescent="0.2">
      <c r="A1992" s="7" t="s">
        <v>3241</v>
      </c>
      <c r="B1992" s="89" t="s">
        <v>195</v>
      </c>
      <c r="C1992" s="90" t="s">
        <v>3242</v>
      </c>
      <c r="D1992" s="89">
        <v>8</v>
      </c>
      <c r="E1992" s="91" t="s">
        <v>25</v>
      </c>
      <c r="F1992" s="92">
        <v>2350000</v>
      </c>
      <c r="G1992" s="92">
        <v>18800000</v>
      </c>
    </row>
    <row r="1993" spans="1:7" ht="15" x14ac:dyDescent="0.2">
      <c r="A1993" s="7" t="s">
        <v>3243</v>
      </c>
      <c r="B1993" s="97" t="s">
        <v>578</v>
      </c>
      <c r="C1993" s="98" t="s">
        <v>183</v>
      </c>
      <c r="D1993" s="97"/>
      <c r="E1993" s="99"/>
      <c r="F1993" s="100"/>
      <c r="G1993" s="100">
        <v>485540000</v>
      </c>
    </row>
    <row r="1994" spans="1:7" ht="15" x14ac:dyDescent="0.2">
      <c r="A1994" s="7" t="s">
        <v>3244</v>
      </c>
      <c r="B1994" s="78" t="s">
        <v>503</v>
      </c>
      <c r="C1994" s="79" t="s">
        <v>7</v>
      </c>
      <c r="D1994" s="78"/>
      <c r="E1994" s="80"/>
      <c r="F1994" s="81"/>
      <c r="G1994" s="81">
        <v>8000000</v>
      </c>
    </row>
    <row r="1995" spans="1:7" x14ac:dyDescent="0.2">
      <c r="A1995" s="7" t="s">
        <v>3245</v>
      </c>
      <c r="B1995" s="89" t="s">
        <v>195</v>
      </c>
      <c r="C1995" s="90" t="s">
        <v>619</v>
      </c>
      <c r="D1995" s="89">
        <v>2</v>
      </c>
      <c r="E1995" s="91" t="s">
        <v>106</v>
      </c>
      <c r="F1995" s="92">
        <v>1000000</v>
      </c>
      <c r="G1995" s="92">
        <v>2000000</v>
      </c>
    </row>
    <row r="1996" spans="1:7" x14ac:dyDescent="0.2">
      <c r="A1996" s="7" t="s">
        <v>3246</v>
      </c>
      <c r="B1996" s="89" t="s">
        <v>195</v>
      </c>
      <c r="C1996" s="90" t="s">
        <v>620</v>
      </c>
      <c r="D1996" s="89">
        <v>2</v>
      </c>
      <c r="E1996" s="91" t="s">
        <v>106</v>
      </c>
      <c r="F1996" s="92">
        <v>1000000</v>
      </c>
      <c r="G1996" s="92">
        <v>2000000</v>
      </c>
    </row>
    <row r="1997" spans="1:7" x14ac:dyDescent="0.2">
      <c r="A1997" s="7" t="s">
        <v>3247</v>
      </c>
      <c r="B1997" s="89" t="s">
        <v>195</v>
      </c>
      <c r="C1997" s="90" t="s">
        <v>3248</v>
      </c>
      <c r="D1997" s="89">
        <v>4</v>
      </c>
      <c r="E1997" s="91" t="s">
        <v>180</v>
      </c>
      <c r="F1997" s="92">
        <v>1000000</v>
      </c>
      <c r="G1997" s="92">
        <v>4000000</v>
      </c>
    </row>
    <row r="1998" spans="1:7" ht="15" x14ac:dyDescent="0.2">
      <c r="A1998" s="7" t="s">
        <v>3249</v>
      </c>
      <c r="B1998" s="78" t="s">
        <v>537</v>
      </c>
      <c r="C1998" s="79" t="s">
        <v>64</v>
      </c>
      <c r="D1998" s="78"/>
      <c r="E1998" s="80"/>
      <c r="F1998" s="81"/>
      <c r="G1998" s="81">
        <v>24000000</v>
      </c>
    </row>
    <row r="1999" spans="1:7" x14ac:dyDescent="0.2">
      <c r="A1999" s="7" t="s">
        <v>3250</v>
      </c>
      <c r="B1999" s="89" t="s">
        <v>195</v>
      </c>
      <c r="C1999" s="90" t="s">
        <v>619</v>
      </c>
      <c r="D1999" s="89">
        <v>12</v>
      </c>
      <c r="E1999" s="91" t="s">
        <v>106</v>
      </c>
      <c r="F1999" s="92">
        <v>1000000</v>
      </c>
      <c r="G1999" s="92">
        <v>12000000</v>
      </c>
    </row>
    <row r="2000" spans="1:7" x14ac:dyDescent="0.2">
      <c r="A2000" s="7" t="s">
        <v>3251</v>
      </c>
      <c r="B2000" s="89" t="s">
        <v>195</v>
      </c>
      <c r="C2000" s="90" t="s">
        <v>620</v>
      </c>
      <c r="D2000" s="89">
        <v>12</v>
      </c>
      <c r="E2000" s="91" t="s">
        <v>106</v>
      </c>
      <c r="F2000" s="92">
        <v>1000000</v>
      </c>
      <c r="G2000" s="92">
        <v>12000000</v>
      </c>
    </row>
    <row r="2001" spans="1:7" ht="15" x14ac:dyDescent="0.2">
      <c r="A2001" s="7" t="s">
        <v>3252</v>
      </c>
      <c r="B2001" s="78" t="s">
        <v>513</v>
      </c>
      <c r="C2001" s="79" t="s">
        <v>19</v>
      </c>
      <c r="D2001" s="78"/>
      <c r="E2001" s="80"/>
      <c r="F2001" s="81"/>
      <c r="G2001" s="81">
        <v>436500000</v>
      </c>
    </row>
    <row r="2002" spans="1:7" ht="28.5" x14ac:dyDescent="0.2">
      <c r="A2002" s="7" t="s">
        <v>3253</v>
      </c>
      <c r="B2002" s="89" t="s">
        <v>195</v>
      </c>
      <c r="C2002" s="90" t="s">
        <v>3254</v>
      </c>
      <c r="D2002" s="89">
        <v>60</v>
      </c>
      <c r="E2002" s="91" t="s">
        <v>25</v>
      </c>
      <c r="F2002" s="92">
        <v>5445000</v>
      </c>
      <c r="G2002" s="92">
        <v>326700000</v>
      </c>
    </row>
    <row r="2003" spans="1:7" ht="28.5" x14ac:dyDescent="0.2">
      <c r="A2003" s="7" t="s">
        <v>3255</v>
      </c>
      <c r="B2003" s="89" t="s">
        <v>195</v>
      </c>
      <c r="C2003" s="90" t="s">
        <v>3256</v>
      </c>
      <c r="D2003" s="89">
        <v>60</v>
      </c>
      <c r="E2003" s="91" t="s">
        <v>25</v>
      </c>
      <c r="F2003" s="92">
        <v>1830000</v>
      </c>
      <c r="G2003" s="92">
        <v>109800000</v>
      </c>
    </row>
    <row r="2004" spans="1:7" ht="15" x14ac:dyDescent="0.2">
      <c r="A2004" s="7" t="s">
        <v>3257</v>
      </c>
      <c r="B2004" s="78" t="s">
        <v>507</v>
      </c>
      <c r="C2004" s="79" t="s">
        <v>13</v>
      </c>
      <c r="D2004" s="78"/>
      <c r="E2004" s="80"/>
      <c r="F2004" s="81"/>
      <c r="G2004" s="81">
        <v>1800000</v>
      </c>
    </row>
    <row r="2005" spans="1:7" ht="28.5" x14ac:dyDescent="0.2">
      <c r="A2005" s="7" t="s">
        <v>3258</v>
      </c>
      <c r="B2005" s="89" t="s">
        <v>195</v>
      </c>
      <c r="C2005" s="90" t="s">
        <v>3259</v>
      </c>
      <c r="D2005" s="89">
        <v>5</v>
      </c>
      <c r="E2005" s="91" t="s">
        <v>25</v>
      </c>
      <c r="F2005" s="92">
        <v>150000</v>
      </c>
      <c r="G2005" s="92">
        <v>750000</v>
      </c>
    </row>
    <row r="2006" spans="1:7" x14ac:dyDescent="0.2">
      <c r="A2006" s="7" t="s">
        <v>3260</v>
      </c>
      <c r="B2006" s="89" t="s">
        <v>195</v>
      </c>
      <c r="C2006" s="90" t="s">
        <v>3261</v>
      </c>
      <c r="D2006" s="89">
        <v>5</v>
      </c>
      <c r="E2006" s="91" t="s">
        <v>25</v>
      </c>
      <c r="F2006" s="92">
        <v>210000</v>
      </c>
      <c r="G2006" s="92">
        <v>1050000</v>
      </c>
    </row>
    <row r="2007" spans="1:7" ht="15" x14ac:dyDescent="0.2">
      <c r="A2007" s="7" t="s">
        <v>3262</v>
      </c>
      <c r="B2007" s="78" t="s">
        <v>510</v>
      </c>
      <c r="C2007" s="79" t="s">
        <v>15</v>
      </c>
      <c r="D2007" s="78"/>
      <c r="E2007" s="80"/>
      <c r="F2007" s="81"/>
      <c r="G2007" s="81">
        <v>15240000</v>
      </c>
    </row>
    <row r="2008" spans="1:7" ht="28.5" x14ac:dyDescent="0.2">
      <c r="A2008" s="7" t="s">
        <v>3263</v>
      </c>
      <c r="B2008" s="89" t="s">
        <v>195</v>
      </c>
      <c r="C2008" s="90" t="s">
        <v>3264</v>
      </c>
      <c r="D2008" s="89">
        <v>12</v>
      </c>
      <c r="E2008" s="91" t="s">
        <v>25</v>
      </c>
      <c r="F2008" s="92">
        <v>1270000</v>
      </c>
      <c r="G2008" s="92">
        <v>15240000</v>
      </c>
    </row>
    <row r="2009" spans="1:7" x14ac:dyDescent="0.2">
      <c r="A2009" s="7" t="s">
        <v>3265</v>
      </c>
      <c r="B2009" s="89" t="s">
        <v>195</v>
      </c>
      <c r="C2009" s="90" t="s">
        <v>3266</v>
      </c>
      <c r="D2009" s="89">
        <v>12</v>
      </c>
      <c r="E2009" s="91" t="s">
        <v>25</v>
      </c>
      <c r="F2009" s="92">
        <v>1270000</v>
      </c>
      <c r="G2009" s="92">
        <v>15240000</v>
      </c>
    </row>
    <row r="2010" spans="1:7" ht="30" x14ac:dyDescent="0.2">
      <c r="A2010" s="7" t="s">
        <v>3267</v>
      </c>
      <c r="B2010" s="93" t="s">
        <v>1316</v>
      </c>
      <c r="C2010" s="94" t="s">
        <v>3268</v>
      </c>
      <c r="D2010" s="93"/>
      <c r="E2010" s="95"/>
      <c r="F2010" s="96"/>
      <c r="G2010" s="96">
        <v>500819000</v>
      </c>
    </row>
    <row r="2011" spans="1:7" ht="30" x14ac:dyDescent="0.2">
      <c r="A2011" s="7" t="s">
        <v>3269</v>
      </c>
      <c r="B2011" s="97" t="s">
        <v>8</v>
      </c>
      <c r="C2011" s="98" t="s">
        <v>3270</v>
      </c>
      <c r="D2011" s="97"/>
      <c r="E2011" s="99"/>
      <c r="F2011" s="100"/>
      <c r="G2011" s="100">
        <v>188850000</v>
      </c>
    </row>
    <row r="2012" spans="1:7" ht="15" x14ac:dyDescent="0.2">
      <c r="A2012" s="7" t="s">
        <v>3271</v>
      </c>
      <c r="B2012" s="78" t="s">
        <v>503</v>
      </c>
      <c r="C2012" s="79" t="s">
        <v>7</v>
      </c>
      <c r="D2012" s="78"/>
      <c r="E2012" s="80"/>
      <c r="F2012" s="81"/>
      <c r="G2012" s="81">
        <v>18050000</v>
      </c>
    </row>
    <row r="2013" spans="1:7" x14ac:dyDescent="0.2">
      <c r="A2013" s="7" t="s">
        <v>3272</v>
      </c>
      <c r="B2013" s="89" t="s">
        <v>195</v>
      </c>
      <c r="C2013" s="90" t="s">
        <v>619</v>
      </c>
      <c r="D2013" s="89">
        <v>1</v>
      </c>
      <c r="E2013" s="91" t="s">
        <v>9</v>
      </c>
      <c r="F2013" s="92">
        <v>1000000</v>
      </c>
      <c r="G2013" s="92">
        <v>1000000</v>
      </c>
    </row>
    <row r="2014" spans="1:7" x14ac:dyDescent="0.2">
      <c r="A2014" s="7" t="s">
        <v>3273</v>
      </c>
      <c r="B2014" s="89" t="s">
        <v>195</v>
      </c>
      <c r="C2014" s="90" t="s">
        <v>620</v>
      </c>
      <c r="D2014" s="89">
        <v>2</v>
      </c>
      <c r="E2014" s="91" t="s">
        <v>9</v>
      </c>
      <c r="F2014" s="92">
        <v>1000000</v>
      </c>
      <c r="G2014" s="92">
        <v>2000000</v>
      </c>
    </row>
    <row r="2015" spans="1:7" x14ac:dyDescent="0.2">
      <c r="A2015" s="7" t="s">
        <v>3274</v>
      </c>
      <c r="B2015" s="89" t="s">
        <v>195</v>
      </c>
      <c r="C2015" s="90" t="s">
        <v>3275</v>
      </c>
      <c r="D2015" s="89">
        <v>14</v>
      </c>
      <c r="E2015" s="91" t="s">
        <v>10</v>
      </c>
      <c r="F2015" s="92">
        <v>75000</v>
      </c>
      <c r="G2015" s="92">
        <v>1050000</v>
      </c>
    </row>
    <row r="2016" spans="1:7" x14ac:dyDescent="0.2">
      <c r="A2016" s="7" t="s">
        <v>3276</v>
      </c>
      <c r="B2016" s="89" t="s">
        <v>195</v>
      </c>
      <c r="C2016" s="90" t="s">
        <v>3277</v>
      </c>
      <c r="D2016" s="89">
        <v>40</v>
      </c>
      <c r="E2016" s="91" t="s">
        <v>10</v>
      </c>
      <c r="F2016" s="92">
        <v>350000</v>
      </c>
      <c r="G2016" s="92">
        <v>14000000</v>
      </c>
    </row>
    <row r="2017" spans="1:7" ht="15" x14ac:dyDescent="0.2">
      <c r="A2017" s="7" t="s">
        <v>3278</v>
      </c>
      <c r="B2017" s="78" t="s">
        <v>516</v>
      </c>
      <c r="C2017" s="79" t="s">
        <v>11</v>
      </c>
      <c r="D2017" s="78"/>
      <c r="E2017" s="80"/>
      <c r="F2017" s="81"/>
      <c r="G2017" s="81">
        <v>6000000</v>
      </c>
    </row>
    <row r="2018" spans="1:7" x14ac:dyDescent="0.2">
      <c r="A2018" s="7" t="s">
        <v>3279</v>
      </c>
      <c r="B2018" s="89" t="s">
        <v>195</v>
      </c>
      <c r="C2018" s="90" t="s">
        <v>3280</v>
      </c>
      <c r="D2018" s="89">
        <v>6</v>
      </c>
      <c r="E2018" s="91" t="s">
        <v>12</v>
      </c>
      <c r="F2018" s="92">
        <v>1000000</v>
      </c>
      <c r="G2018" s="92">
        <v>6000000</v>
      </c>
    </row>
    <row r="2019" spans="1:7" ht="15" x14ac:dyDescent="0.2">
      <c r="A2019" s="7" t="s">
        <v>3281</v>
      </c>
      <c r="B2019" s="78" t="s">
        <v>510</v>
      </c>
      <c r="C2019" s="79" t="s">
        <v>15</v>
      </c>
      <c r="D2019" s="78"/>
      <c r="E2019" s="80"/>
      <c r="F2019" s="81"/>
      <c r="G2019" s="81">
        <v>164800000</v>
      </c>
    </row>
    <row r="2020" spans="1:7" x14ac:dyDescent="0.2">
      <c r="A2020" s="7" t="s">
        <v>3282</v>
      </c>
      <c r="B2020" s="89" t="s">
        <v>195</v>
      </c>
      <c r="C2020" s="90" t="s">
        <v>3283</v>
      </c>
      <c r="D2020" s="89">
        <v>80</v>
      </c>
      <c r="E2020" s="91" t="s">
        <v>3284</v>
      </c>
      <c r="F2020" s="92">
        <v>750000</v>
      </c>
      <c r="G2020" s="92">
        <v>60000000</v>
      </c>
    </row>
    <row r="2021" spans="1:7" x14ac:dyDescent="0.2">
      <c r="A2021" s="7" t="s">
        <v>3285</v>
      </c>
      <c r="B2021" s="89" t="s">
        <v>195</v>
      </c>
      <c r="C2021" s="90" t="s">
        <v>3286</v>
      </c>
      <c r="D2021" s="89">
        <v>21</v>
      </c>
      <c r="E2021" s="91" t="s">
        <v>10</v>
      </c>
      <c r="F2021" s="92">
        <v>400000</v>
      </c>
      <c r="G2021" s="92">
        <v>8400000</v>
      </c>
    </row>
    <row r="2022" spans="1:7" x14ac:dyDescent="0.2">
      <c r="A2022" s="7" t="s">
        <v>3287</v>
      </c>
      <c r="B2022" s="89" t="s">
        <v>195</v>
      </c>
      <c r="C2022" s="90" t="s">
        <v>3288</v>
      </c>
      <c r="D2022" s="89">
        <v>19</v>
      </c>
      <c r="E2022" s="91" t="s">
        <v>10</v>
      </c>
      <c r="F2022" s="92">
        <v>4000000</v>
      </c>
      <c r="G2022" s="92">
        <v>76000000</v>
      </c>
    </row>
    <row r="2023" spans="1:7" x14ac:dyDescent="0.2">
      <c r="A2023" s="7" t="s">
        <v>3289</v>
      </c>
      <c r="B2023" s="89" t="s">
        <v>195</v>
      </c>
      <c r="C2023" s="90" t="s">
        <v>3290</v>
      </c>
      <c r="D2023" s="89">
        <v>120</v>
      </c>
      <c r="E2023" s="91" t="s">
        <v>16</v>
      </c>
      <c r="F2023" s="92">
        <v>170000</v>
      </c>
      <c r="G2023" s="92">
        <v>20400000</v>
      </c>
    </row>
    <row r="2024" spans="1:7" ht="15" x14ac:dyDescent="0.2">
      <c r="A2024" s="7" t="s">
        <v>3291</v>
      </c>
      <c r="B2024" s="97" t="s">
        <v>511</v>
      </c>
      <c r="C2024" s="98" t="s">
        <v>138</v>
      </c>
      <c r="D2024" s="97"/>
      <c r="E2024" s="99"/>
      <c r="F2024" s="100"/>
      <c r="G2024" s="100">
        <v>241969000</v>
      </c>
    </row>
    <row r="2025" spans="1:7" ht="15" x14ac:dyDescent="0.2">
      <c r="A2025" s="7" t="s">
        <v>3292</v>
      </c>
      <c r="B2025" s="78" t="s">
        <v>503</v>
      </c>
      <c r="C2025" s="79" t="s">
        <v>7</v>
      </c>
      <c r="D2025" s="78"/>
      <c r="E2025" s="80"/>
      <c r="F2025" s="81"/>
      <c r="G2025" s="81">
        <v>2940000</v>
      </c>
    </row>
    <row r="2026" spans="1:7" x14ac:dyDescent="0.2">
      <c r="A2026" s="7" t="s">
        <v>3293</v>
      </c>
      <c r="B2026" s="89" t="s">
        <v>195</v>
      </c>
      <c r="C2026" s="90" t="s">
        <v>619</v>
      </c>
      <c r="D2026" s="89">
        <v>1</v>
      </c>
      <c r="E2026" s="91" t="s">
        <v>9</v>
      </c>
      <c r="F2026" s="92">
        <v>1000000</v>
      </c>
      <c r="G2026" s="92">
        <v>1000000</v>
      </c>
    </row>
    <row r="2027" spans="1:7" x14ac:dyDescent="0.2">
      <c r="A2027" s="7" t="s">
        <v>3294</v>
      </c>
      <c r="B2027" s="89" t="s">
        <v>195</v>
      </c>
      <c r="C2027" s="90" t="s">
        <v>620</v>
      </c>
      <c r="D2027" s="89">
        <v>1</v>
      </c>
      <c r="E2027" s="91" t="s">
        <v>9</v>
      </c>
      <c r="F2027" s="92">
        <v>1000000</v>
      </c>
      <c r="G2027" s="92">
        <v>1000000</v>
      </c>
    </row>
    <row r="2028" spans="1:7" x14ac:dyDescent="0.2">
      <c r="A2028" s="7" t="s">
        <v>3295</v>
      </c>
      <c r="B2028" s="89" t="s">
        <v>195</v>
      </c>
      <c r="C2028" s="90" t="s">
        <v>3296</v>
      </c>
      <c r="D2028" s="89">
        <v>1</v>
      </c>
      <c r="E2028" s="91" t="s">
        <v>9</v>
      </c>
      <c r="F2028" s="92">
        <v>500000</v>
      </c>
      <c r="G2028" s="92">
        <v>500000</v>
      </c>
    </row>
    <row r="2029" spans="1:7" x14ac:dyDescent="0.2">
      <c r="A2029" s="7" t="s">
        <v>3297</v>
      </c>
      <c r="B2029" s="89" t="s">
        <v>195</v>
      </c>
      <c r="C2029" s="90" t="s">
        <v>3298</v>
      </c>
      <c r="D2029" s="89">
        <v>20</v>
      </c>
      <c r="E2029" s="91" t="s">
        <v>10</v>
      </c>
      <c r="F2029" s="92">
        <v>22000</v>
      </c>
      <c r="G2029" s="92">
        <v>440000</v>
      </c>
    </row>
    <row r="2030" spans="1:7" ht="15" x14ac:dyDescent="0.2">
      <c r="A2030" s="7" t="s">
        <v>3299</v>
      </c>
      <c r="B2030" s="78" t="s">
        <v>513</v>
      </c>
      <c r="C2030" s="79" t="s">
        <v>19</v>
      </c>
      <c r="D2030" s="78"/>
      <c r="E2030" s="80"/>
      <c r="F2030" s="81"/>
      <c r="G2030" s="81">
        <v>239029000</v>
      </c>
    </row>
    <row r="2031" spans="1:7" ht="28.5" x14ac:dyDescent="0.2">
      <c r="A2031" s="7" t="s">
        <v>3300</v>
      </c>
      <c r="B2031" s="89" t="s">
        <v>195</v>
      </c>
      <c r="C2031" s="90" t="s">
        <v>3301</v>
      </c>
      <c r="D2031" s="89">
        <v>9</v>
      </c>
      <c r="E2031" s="91" t="s">
        <v>10</v>
      </c>
      <c r="F2031" s="92">
        <v>1500000</v>
      </c>
      <c r="G2031" s="92">
        <v>13500000</v>
      </c>
    </row>
    <row r="2032" spans="1:7" ht="28.5" x14ac:dyDescent="0.2">
      <c r="A2032" s="7" t="s">
        <v>3302</v>
      </c>
      <c r="B2032" s="89" t="s">
        <v>195</v>
      </c>
      <c r="C2032" s="90" t="s">
        <v>3303</v>
      </c>
      <c r="D2032" s="89">
        <v>36</v>
      </c>
      <c r="E2032" s="91" t="s">
        <v>10</v>
      </c>
      <c r="F2032" s="92">
        <v>6265000</v>
      </c>
      <c r="G2032" s="92">
        <v>225529000</v>
      </c>
    </row>
    <row r="2033" spans="1:7" ht="15" x14ac:dyDescent="0.2">
      <c r="A2033" s="7" t="s">
        <v>3304</v>
      </c>
      <c r="B2033" s="97" t="s">
        <v>512</v>
      </c>
      <c r="C2033" s="98" t="s">
        <v>137</v>
      </c>
      <c r="D2033" s="97"/>
      <c r="E2033" s="99"/>
      <c r="F2033" s="100"/>
      <c r="G2033" s="100">
        <v>8880000</v>
      </c>
    </row>
    <row r="2034" spans="1:7" ht="15" x14ac:dyDescent="0.2">
      <c r="A2034" s="7" t="s">
        <v>3305</v>
      </c>
      <c r="B2034" s="78" t="s">
        <v>503</v>
      </c>
      <c r="C2034" s="79" t="s">
        <v>7</v>
      </c>
      <c r="D2034" s="78"/>
      <c r="E2034" s="80"/>
      <c r="F2034" s="81"/>
      <c r="G2034" s="81">
        <v>8880000</v>
      </c>
    </row>
    <row r="2035" spans="1:7" x14ac:dyDescent="0.2">
      <c r="A2035" s="7" t="s">
        <v>3306</v>
      </c>
      <c r="B2035" s="89" t="s">
        <v>195</v>
      </c>
      <c r="C2035" s="90" t="s">
        <v>619</v>
      </c>
      <c r="D2035" s="89">
        <v>4</v>
      </c>
      <c r="E2035" s="91" t="s">
        <v>9</v>
      </c>
      <c r="F2035" s="92">
        <v>1000000</v>
      </c>
      <c r="G2035" s="92">
        <v>4000000</v>
      </c>
    </row>
    <row r="2036" spans="1:7" x14ac:dyDescent="0.2">
      <c r="A2036" s="7" t="s">
        <v>3307</v>
      </c>
      <c r="B2036" s="89" t="s">
        <v>195</v>
      </c>
      <c r="C2036" s="90" t="s">
        <v>620</v>
      </c>
      <c r="D2036" s="89">
        <v>4</v>
      </c>
      <c r="E2036" s="91" t="s">
        <v>9</v>
      </c>
      <c r="F2036" s="92">
        <v>1000000</v>
      </c>
      <c r="G2036" s="92">
        <v>4000000</v>
      </c>
    </row>
    <row r="2037" spans="1:7" x14ac:dyDescent="0.2">
      <c r="A2037" s="7" t="s">
        <v>3308</v>
      </c>
      <c r="B2037" s="89" t="s">
        <v>195</v>
      </c>
      <c r="C2037" s="90" t="s">
        <v>3309</v>
      </c>
      <c r="D2037" s="89">
        <v>40</v>
      </c>
      <c r="E2037" s="91" t="s">
        <v>10</v>
      </c>
      <c r="F2037" s="92">
        <v>22000</v>
      </c>
      <c r="G2037" s="92">
        <v>880000</v>
      </c>
    </row>
    <row r="2038" spans="1:7" ht="15" x14ac:dyDescent="0.2">
      <c r="A2038" s="7" t="s">
        <v>3310</v>
      </c>
      <c r="B2038" s="97" t="s">
        <v>514</v>
      </c>
      <c r="C2038" s="98" t="s">
        <v>3311</v>
      </c>
      <c r="D2038" s="97"/>
      <c r="E2038" s="99"/>
      <c r="F2038" s="100"/>
      <c r="G2038" s="100">
        <v>61120000</v>
      </c>
    </row>
    <row r="2039" spans="1:7" ht="15" x14ac:dyDescent="0.2">
      <c r="A2039" s="7" t="s">
        <v>3312</v>
      </c>
      <c r="B2039" s="78" t="s">
        <v>503</v>
      </c>
      <c r="C2039" s="79" t="s">
        <v>7</v>
      </c>
      <c r="D2039" s="78"/>
      <c r="E2039" s="80"/>
      <c r="F2039" s="81"/>
      <c r="G2039" s="81">
        <v>2000000</v>
      </c>
    </row>
    <row r="2040" spans="1:7" x14ac:dyDescent="0.2">
      <c r="A2040" s="7" t="s">
        <v>3313</v>
      </c>
      <c r="B2040" s="89" t="s">
        <v>195</v>
      </c>
      <c r="C2040" s="90" t="s">
        <v>619</v>
      </c>
      <c r="D2040" s="89">
        <v>1</v>
      </c>
      <c r="E2040" s="91" t="s">
        <v>9</v>
      </c>
      <c r="F2040" s="92">
        <v>1000000</v>
      </c>
      <c r="G2040" s="92">
        <v>1000000</v>
      </c>
    </row>
    <row r="2041" spans="1:7" x14ac:dyDescent="0.2">
      <c r="A2041" s="7" t="s">
        <v>3314</v>
      </c>
      <c r="B2041" s="89" t="s">
        <v>195</v>
      </c>
      <c r="C2041" s="90" t="s">
        <v>620</v>
      </c>
      <c r="D2041" s="89">
        <v>1</v>
      </c>
      <c r="E2041" s="91" t="s">
        <v>9</v>
      </c>
      <c r="F2041" s="92">
        <v>1000000</v>
      </c>
      <c r="G2041" s="92">
        <v>1000000</v>
      </c>
    </row>
    <row r="2042" spans="1:7" ht="15" x14ac:dyDescent="0.2">
      <c r="A2042" s="7" t="s">
        <v>3315</v>
      </c>
      <c r="B2042" s="78" t="s">
        <v>513</v>
      </c>
      <c r="C2042" s="79" t="s">
        <v>19</v>
      </c>
      <c r="D2042" s="78"/>
      <c r="E2042" s="80"/>
      <c r="F2042" s="81"/>
      <c r="G2042" s="81">
        <v>59120000</v>
      </c>
    </row>
    <row r="2043" spans="1:7" x14ac:dyDescent="0.2">
      <c r="A2043" s="7" t="s">
        <v>3316</v>
      </c>
      <c r="B2043" s="89" t="s">
        <v>195</v>
      </c>
      <c r="C2043" s="90" t="s">
        <v>3317</v>
      </c>
      <c r="D2043" s="89">
        <v>10</v>
      </c>
      <c r="E2043" s="91" t="s">
        <v>10</v>
      </c>
      <c r="F2043" s="92">
        <v>5912000</v>
      </c>
      <c r="G2043" s="92">
        <v>59120000</v>
      </c>
    </row>
    <row r="2044" spans="1:7" ht="30" x14ac:dyDescent="0.2">
      <c r="A2044" s="7" t="s">
        <v>3318</v>
      </c>
      <c r="B2044" s="93" t="s">
        <v>833</v>
      </c>
      <c r="C2044" s="94" t="s">
        <v>3319</v>
      </c>
      <c r="D2044" s="93"/>
      <c r="E2044" s="95"/>
      <c r="F2044" s="96"/>
      <c r="G2044" s="96">
        <v>289920000</v>
      </c>
    </row>
    <row r="2045" spans="1:7" ht="15" x14ac:dyDescent="0.2">
      <c r="A2045" s="7" t="s">
        <v>3320</v>
      </c>
      <c r="B2045" s="97" t="s">
        <v>8</v>
      </c>
      <c r="C2045" s="98" t="s">
        <v>143</v>
      </c>
      <c r="D2045" s="97"/>
      <c r="E2045" s="99"/>
      <c r="F2045" s="100"/>
      <c r="G2045" s="100">
        <v>40700000</v>
      </c>
    </row>
    <row r="2046" spans="1:7" ht="15" x14ac:dyDescent="0.2">
      <c r="A2046" s="7" t="s">
        <v>3321</v>
      </c>
      <c r="B2046" s="78" t="s">
        <v>503</v>
      </c>
      <c r="C2046" s="79" t="s">
        <v>7</v>
      </c>
      <c r="D2046" s="78"/>
      <c r="E2046" s="80"/>
      <c r="F2046" s="81"/>
      <c r="G2046" s="81">
        <v>23900000</v>
      </c>
    </row>
    <row r="2047" spans="1:7" x14ac:dyDescent="0.2">
      <c r="A2047" s="7" t="s">
        <v>3322</v>
      </c>
      <c r="B2047" s="89" t="s">
        <v>195</v>
      </c>
      <c r="C2047" s="90" t="s">
        <v>617</v>
      </c>
      <c r="D2047" s="89">
        <v>5</v>
      </c>
      <c r="E2047" s="91" t="s">
        <v>9</v>
      </c>
      <c r="F2047" s="92">
        <v>1500000</v>
      </c>
      <c r="G2047" s="92">
        <v>7500000</v>
      </c>
    </row>
    <row r="2048" spans="1:7" x14ac:dyDescent="0.2">
      <c r="A2048" s="7" t="s">
        <v>3323</v>
      </c>
      <c r="B2048" s="89" t="s">
        <v>195</v>
      </c>
      <c r="C2048" s="90" t="s">
        <v>2745</v>
      </c>
      <c r="D2048" s="89">
        <v>20</v>
      </c>
      <c r="E2048" s="91" t="s">
        <v>10</v>
      </c>
      <c r="F2048" s="92">
        <v>70000</v>
      </c>
      <c r="G2048" s="92">
        <v>1400000</v>
      </c>
    </row>
    <row r="2049" spans="1:7" x14ac:dyDescent="0.2">
      <c r="A2049" s="7" t="s">
        <v>3324</v>
      </c>
      <c r="B2049" s="89" t="s">
        <v>195</v>
      </c>
      <c r="C2049" s="90" t="s">
        <v>619</v>
      </c>
      <c r="D2049" s="89">
        <v>6</v>
      </c>
      <c r="E2049" s="91" t="s">
        <v>106</v>
      </c>
      <c r="F2049" s="92">
        <v>1000000</v>
      </c>
      <c r="G2049" s="92">
        <v>6000000</v>
      </c>
    </row>
    <row r="2050" spans="1:7" x14ac:dyDescent="0.2">
      <c r="A2050" s="7" t="s">
        <v>3325</v>
      </c>
      <c r="B2050" s="89" t="s">
        <v>195</v>
      </c>
      <c r="C2050" s="90" t="s">
        <v>620</v>
      </c>
      <c r="D2050" s="89">
        <v>6</v>
      </c>
      <c r="E2050" s="91" t="s">
        <v>106</v>
      </c>
      <c r="F2050" s="92">
        <v>1500000</v>
      </c>
      <c r="G2050" s="92">
        <v>9000000</v>
      </c>
    </row>
    <row r="2051" spans="1:7" ht="15" x14ac:dyDescent="0.2">
      <c r="A2051" s="7" t="s">
        <v>3326</v>
      </c>
      <c r="B2051" s="78" t="s">
        <v>513</v>
      </c>
      <c r="C2051" s="79" t="s">
        <v>19</v>
      </c>
      <c r="D2051" s="78"/>
      <c r="E2051" s="80"/>
      <c r="F2051" s="81"/>
      <c r="G2051" s="81">
        <v>15000000</v>
      </c>
    </row>
    <row r="2052" spans="1:7" x14ac:dyDescent="0.2">
      <c r="A2052" s="7" t="s">
        <v>3327</v>
      </c>
      <c r="B2052" s="89" t="s">
        <v>195</v>
      </c>
      <c r="C2052" s="90" t="s">
        <v>3328</v>
      </c>
      <c r="D2052" s="89">
        <v>5</v>
      </c>
      <c r="E2052" s="91" t="s">
        <v>10</v>
      </c>
      <c r="F2052" s="92">
        <v>3000000</v>
      </c>
      <c r="G2052" s="92">
        <v>15000000</v>
      </c>
    </row>
    <row r="2053" spans="1:7" ht="15" x14ac:dyDescent="0.2">
      <c r="A2053" s="7" t="s">
        <v>3329</v>
      </c>
      <c r="B2053" s="78" t="s">
        <v>507</v>
      </c>
      <c r="C2053" s="79" t="s">
        <v>13</v>
      </c>
      <c r="D2053" s="78"/>
      <c r="E2053" s="80"/>
      <c r="F2053" s="81"/>
      <c r="G2053" s="81">
        <v>1800000</v>
      </c>
    </row>
    <row r="2054" spans="1:7" x14ac:dyDescent="0.2">
      <c r="A2054" s="7" t="s">
        <v>3330</v>
      </c>
      <c r="B2054" s="89" t="s">
        <v>195</v>
      </c>
      <c r="C2054" s="90" t="s">
        <v>622</v>
      </c>
      <c r="D2054" s="89">
        <v>12</v>
      </c>
      <c r="E2054" s="91" t="s">
        <v>10</v>
      </c>
      <c r="F2054" s="92">
        <v>150000</v>
      </c>
      <c r="G2054" s="92">
        <v>1800000</v>
      </c>
    </row>
    <row r="2055" spans="1:7" ht="30" x14ac:dyDescent="0.2">
      <c r="A2055" s="7" t="s">
        <v>3331</v>
      </c>
      <c r="B2055" s="97" t="s">
        <v>511</v>
      </c>
      <c r="C2055" s="98" t="s">
        <v>144</v>
      </c>
      <c r="D2055" s="97"/>
      <c r="E2055" s="99"/>
      <c r="F2055" s="100"/>
      <c r="G2055" s="100">
        <v>30900000</v>
      </c>
    </row>
    <row r="2056" spans="1:7" ht="15" x14ac:dyDescent="0.2">
      <c r="A2056" s="7" t="s">
        <v>3332</v>
      </c>
      <c r="B2056" s="78" t="s">
        <v>503</v>
      </c>
      <c r="C2056" s="79" t="s">
        <v>7</v>
      </c>
      <c r="D2056" s="78"/>
      <c r="E2056" s="80"/>
      <c r="F2056" s="81"/>
      <c r="G2056" s="81">
        <v>11400000</v>
      </c>
    </row>
    <row r="2057" spans="1:7" x14ac:dyDescent="0.2">
      <c r="A2057" s="7" t="s">
        <v>3333</v>
      </c>
      <c r="B2057" s="89" t="s">
        <v>195</v>
      </c>
      <c r="C2057" s="90" t="s">
        <v>620</v>
      </c>
      <c r="D2057" s="89">
        <v>4</v>
      </c>
      <c r="E2057" s="91" t="s">
        <v>9</v>
      </c>
      <c r="F2057" s="92">
        <v>1500000</v>
      </c>
      <c r="G2057" s="92">
        <v>6000000</v>
      </c>
    </row>
    <row r="2058" spans="1:7" x14ac:dyDescent="0.2">
      <c r="A2058" s="7" t="s">
        <v>3334</v>
      </c>
      <c r="B2058" s="89" t="s">
        <v>195</v>
      </c>
      <c r="C2058" s="90" t="s">
        <v>2745</v>
      </c>
      <c r="D2058" s="89">
        <v>20</v>
      </c>
      <c r="E2058" s="91" t="s">
        <v>10</v>
      </c>
      <c r="F2058" s="92">
        <v>70000</v>
      </c>
      <c r="G2058" s="92">
        <v>1400000</v>
      </c>
    </row>
    <row r="2059" spans="1:7" x14ac:dyDescent="0.2">
      <c r="A2059" s="7" t="s">
        <v>3335</v>
      </c>
      <c r="B2059" s="89" t="s">
        <v>195</v>
      </c>
      <c r="C2059" s="90" t="s">
        <v>619</v>
      </c>
      <c r="D2059" s="89">
        <v>4</v>
      </c>
      <c r="E2059" s="91" t="s">
        <v>106</v>
      </c>
      <c r="F2059" s="92">
        <v>1000000</v>
      </c>
      <c r="G2059" s="92">
        <v>4000000</v>
      </c>
    </row>
    <row r="2060" spans="1:7" ht="15" x14ac:dyDescent="0.2">
      <c r="A2060" s="7" t="s">
        <v>3336</v>
      </c>
      <c r="B2060" s="78" t="s">
        <v>513</v>
      </c>
      <c r="C2060" s="79" t="s">
        <v>19</v>
      </c>
      <c r="D2060" s="78"/>
      <c r="E2060" s="80"/>
      <c r="F2060" s="81"/>
      <c r="G2060" s="81">
        <v>18000000</v>
      </c>
    </row>
    <row r="2061" spans="1:7" x14ac:dyDescent="0.2">
      <c r="A2061" s="7" t="s">
        <v>3337</v>
      </c>
      <c r="B2061" s="89" t="s">
        <v>195</v>
      </c>
      <c r="C2061" s="90" t="s">
        <v>3328</v>
      </c>
      <c r="D2061" s="89">
        <v>6</v>
      </c>
      <c r="E2061" s="91" t="s">
        <v>10</v>
      </c>
      <c r="F2061" s="92">
        <v>3000000</v>
      </c>
      <c r="G2061" s="92">
        <v>18000000</v>
      </c>
    </row>
    <row r="2062" spans="1:7" ht="15" x14ac:dyDescent="0.2">
      <c r="A2062" s="7" t="s">
        <v>3338</v>
      </c>
      <c r="B2062" s="78" t="s">
        <v>507</v>
      </c>
      <c r="C2062" s="79" t="s">
        <v>13</v>
      </c>
      <c r="D2062" s="78"/>
      <c r="E2062" s="80"/>
      <c r="F2062" s="81"/>
      <c r="G2062" s="81">
        <v>1500000</v>
      </c>
    </row>
    <row r="2063" spans="1:7" x14ac:dyDescent="0.2">
      <c r="A2063" s="7" t="s">
        <v>3339</v>
      </c>
      <c r="B2063" s="89" t="s">
        <v>195</v>
      </c>
      <c r="C2063" s="90" t="s">
        <v>630</v>
      </c>
      <c r="D2063" s="89">
        <v>10</v>
      </c>
      <c r="E2063" s="91" t="s">
        <v>10</v>
      </c>
      <c r="F2063" s="92">
        <v>150000</v>
      </c>
      <c r="G2063" s="92">
        <v>1500000</v>
      </c>
    </row>
    <row r="2064" spans="1:7" ht="15" x14ac:dyDescent="0.2">
      <c r="A2064" s="7" t="s">
        <v>3340</v>
      </c>
      <c r="B2064" s="97" t="s">
        <v>512</v>
      </c>
      <c r="C2064" s="98" t="s">
        <v>145</v>
      </c>
      <c r="D2064" s="97"/>
      <c r="E2064" s="99"/>
      <c r="F2064" s="100"/>
      <c r="G2064" s="100">
        <v>26500000</v>
      </c>
    </row>
    <row r="2065" spans="1:7" ht="15" x14ac:dyDescent="0.2">
      <c r="A2065" s="7" t="s">
        <v>3341</v>
      </c>
      <c r="B2065" s="78" t="s">
        <v>503</v>
      </c>
      <c r="C2065" s="79" t="s">
        <v>7</v>
      </c>
      <c r="D2065" s="78"/>
      <c r="E2065" s="80"/>
      <c r="F2065" s="81"/>
      <c r="G2065" s="81">
        <v>10000000</v>
      </c>
    </row>
    <row r="2066" spans="1:7" x14ac:dyDescent="0.2">
      <c r="A2066" s="7" t="s">
        <v>3342</v>
      </c>
      <c r="B2066" s="89" t="s">
        <v>195</v>
      </c>
      <c r="C2066" s="90" t="s">
        <v>620</v>
      </c>
      <c r="D2066" s="89">
        <v>4</v>
      </c>
      <c r="E2066" s="91" t="s">
        <v>9</v>
      </c>
      <c r="F2066" s="92">
        <v>1500000</v>
      </c>
      <c r="G2066" s="92">
        <v>6000000</v>
      </c>
    </row>
    <row r="2067" spans="1:7" x14ac:dyDescent="0.2">
      <c r="A2067" s="7" t="s">
        <v>3343</v>
      </c>
      <c r="B2067" s="89" t="s">
        <v>195</v>
      </c>
      <c r="C2067" s="90" t="s">
        <v>619</v>
      </c>
      <c r="D2067" s="89">
        <v>4</v>
      </c>
      <c r="E2067" s="91" t="s">
        <v>106</v>
      </c>
      <c r="F2067" s="92">
        <v>1000000</v>
      </c>
      <c r="G2067" s="92">
        <v>4000000</v>
      </c>
    </row>
    <row r="2068" spans="1:7" ht="15" x14ac:dyDescent="0.2">
      <c r="A2068" s="7" t="s">
        <v>3344</v>
      </c>
      <c r="B2068" s="78" t="s">
        <v>513</v>
      </c>
      <c r="C2068" s="79" t="s">
        <v>19</v>
      </c>
      <c r="D2068" s="78"/>
      <c r="E2068" s="80"/>
      <c r="F2068" s="81"/>
      <c r="G2068" s="81">
        <v>15000000</v>
      </c>
    </row>
    <row r="2069" spans="1:7" x14ac:dyDescent="0.2">
      <c r="A2069" s="7" t="s">
        <v>3345</v>
      </c>
      <c r="B2069" s="89" t="s">
        <v>195</v>
      </c>
      <c r="C2069" s="90" t="s">
        <v>3346</v>
      </c>
      <c r="D2069" s="89">
        <v>5</v>
      </c>
      <c r="E2069" s="91" t="s">
        <v>10</v>
      </c>
      <c r="F2069" s="92">
        <v>3000000</v>
      </c>
      <c r="G2069" s="92">
        <v>15000000</v>
      </c>
    </row>
    <row r="2070" spans="1:7" ht="15" x14ac:dyDescent="0.2">
      <c r="A2070" s="7" t="s">
        <v>3347</v>
      </c>
      <c r="B2070" s="78" t="s">
        <v>507</v>
      </c>
      <c r="C2070" s="79" t="s">
        <v>13</v>
      </c>
      <c r="D2070" s="78"/>
      <c r="E2070" s="80"/>
      <c r="F2070" s="81"/>
      <c r="G2070" s="81">
        <v>1500000</v>
      </c>
    </row>
    <row r="2071" spans="1:7" x14ac:dyDescent="0.2">
      <c r="A2071" s="7" t="s">
        <v>3348</v>
      </c>
      <c r="B2071" s="89" t="s">
        <v>195</v>
      </c>
      <c r="C2071" s="90" t="s">
        <v>630</v>
      </c>
      <c r="D2071" s="89">
        <v>10</v>
      </c>
      <c r="E2071" s="91" t="s">
        <v>10</v>
      </c>
      <c r="F2071" s="92">
        <v>150000</v>
      </c>
      <c r="G2071" s="92">
        <v>1500000</v>
      </c>
    </row>
    <row r="2072" spans="1:7" ht="15" x14ac:dyDescent="0.2">
      <c r="A2072" s="7" t="s">
        <v>3349</v>
      </c>
      <c r="B2072" s="97" t="s">
        <v>514</v>
      </c>
      <c r="C2072" s="98" t="s">
        <v>3350</v>
      </c>
      <c r="D2072" s="97"/>
      <c r="E2072" s="99"/>
      <c r="F2072" s="100"/>
      <c r="G2072" s="100">
        <v>86700000</v>
      </c>
    </row>
    <row r="2073" spans="1:7" ht="15" x14ac:dyDescent="0.2">
      <c r="A2073" s="7" t="s">
        <v>3351</v>
      </c>
      <c r="B2073" s="78" t="s">
        <v>503</v>
      </c>
      <c r="C2073" s="79" t="s">
        <v>7</v>
      </c>
      <c r="D2073" s="78"/>
      <c r="E2073" s="80"/>
      <c r="F2073" s="81"/>
      <c r="G2073" s="81">
        <v>32400000</v>
      </c>
    </row>
    <row r="2074" spans="1:7" x14ac:dyDescent="0.2">
      <c r="A2074" s="7" t="s">
        <v>3352</v>
      </c>
      <c r="B2074" s="89" t="s">
        <v>195</v>
      </c>
      <c r="C2074" s="90" t="s">
        <v>620</v>
      </c>
      <c r="D2074" s="89">
        <v>6</v>
      </c>
      <c r="E2074" s="91" t="s">
        <v>9</v>
      </c>
      <c r="F2074" s="92">
        <v>1500000</v>
      </c>
      <c r="G2074" s="92">
        <v>9000000</v>
      </c>
    </row>
    <row r="2075" spans="1:7" x14ac:dyDescent="0.2">
      <c r="A2075" s="7" t="s">
        <v>3353</v>
      </c>
      <c r="B2075" s="89" t="s">
        <v>195</v>
      </c>
      <c r="C2075" s="90" t="s">
        <v>2745</v>
      </c>
      <c r="D2075" s="89">
        <v>20</v>
      </c>
      <c r="E2075" s="91" t="s">
        <v>10</v>
      </c>
      <c r="F2075" s="92">
        <v>70000</v>
      </c>
      <c r="G2075" s="92">
        <v>1400000</v>
      </c>
    </row>
    <row r="2076" spans="1:7" x14ac:dyDescent="0.2">
      <c r="A2076" s="7" t="s">
        <v>3354</v>
      </c>
      <c r="B2076" s="89" t="s">
        <v>195</v>
      </c>
      <c r="C2076" s="90" t="s">
        <v>3355</v>
      </c>
      <c r="D2076" s="89">
        <v>28</v>
      </c>
      <c r="E2076" s="91" t="s">
        <v>176</v>
      </c>
      <c r="F2076" s="92">
        <v>500000</v>
      </c>
      <c r="G2076" s="92">
        <v>14000000</v>
      </c>
    </row>
    <row r="2077" spans="1:7" x14ac:dyDescent="0.2">
      <c r="A2077" s="7" t="s">
        <v>3356</v>
      </c>
      <c r="B2077" s="89" t="s">
        <v>195</v>
      </c>
      <c r="C2077" s="90" t="s">
        <v>3357</v>
      </c>
      <c r="D2077" s="89">
        <v>4</v>
      </c>
      <c r="E2077" s="91" t="s">
        <v>58</v>
      </c>
      <c r="F2077" s="92">
        <v>500000</v>
      </c>
      <c r="G2077" s="92">
        <v>2000000</v>
      </c>
    </row>
    <row r="2078" spans="1:7" x14ac:dyDescent="0.2">
      <c r="A2078" s="7" t="s">
        <v>3358</v>
      </c>
      <c r="B2078" s="89" t="s">
        <v>195</v>
      </c>
      <c r="C2078" s="90" t="s">
        <v>619</v>
      </c>
      <c r="D2078" s="89">
        <v>6</v>
      </c>
      <c r="E2078" s="91" t="s">
        <v>106</v>
      </c>
      <c r="F2078" s="92">
        <v>1000000</v>
      </c>
      <c r="G2078" s="92">
        <v>6000000</v>
      </c>
    </row>
    <row r="2079" spans="1:7" ht="15" x14ac:dyDescent="0.2">
      <c r="A2079" s="7" t="s">
        <v>3359</v>
      </c>
      <c r="B2079" s="78" t="s">
        <v>516</v>
      </c>
      <c r="C2079" s="79" t="s">
        <v>11</v>
      </c>
      <c r="D2079" s="78"/>
      <c r="E2079" s="80"/>
      <c r="F2079" s="81"/>
      <c r="G2079" s="81">
        <v>9000000</v>
      </c>
    </row>
    <row r="2080" spans="1:7" x14ac:dyDescent="0.2">
      <c r="A2080" s="7" t="s">
        <v>3360</v>
      </c>
      <c r="B2080" s="89" t="s">
        <v>195</v>
      </c>
      <c r="C2080" s="90" t="s">
        <v>774</v>
      </c>
      <c r="D2080" s="89">
        <v>10</v>
      </c>
      <c r="E2080" s="91" t="s">
        <v>12</v>
      </c>
      <c r="F2080" s="92">
        <v>900000</v>
      </c>
      <c r="G2080" s="92">
        <v>9000000</v>
      </c>
    </row>
    <row r="2081" spans="1:7" ht="15" x14ac:dyDescent="0.2">
      <c r="A2081" s="7" t="s">
        <v>3361</v>
      </c>
      <c r="B2081" s="78" t="s">
        <v>513</v>
      </c>
      <c r="C2081" s="79" t="s">
        <v>19</v>
      </c>
      <c r="D2081" s="78"/>
      <c r="E2081" s="80"/>
      <c r="F2081" s="81"/>
      <c r="G2081" s="81">
        <v>42000000</v>
      </c>
    </row>
    <row r="2082" spans="1:7" ht="28.5" x14ac:dyDescent="0.2">
      <c r="A2082" s="7" t="s">
        <v>3362</v>
      </c>
      <c r="B2082" s="89" t="s">
        <v>195</v>
      </c>
      <c r="C2082" s="90" t="s">
        <v>3363</v>
      </c>
      <c r="D2082" s="89">
        <v>14</v>
      </c>
      <c r="E2082" s="91" t="s">
        <v>10</v>
      </c>
      <c r="F2082" s="92">
        <v>3000000</v>
      </c>
      <c r="G2082" s="92">
        <v>42000000</v>
      </c>
    </row>
    <row r="2083" spans="1:7" ht="15" x14ac:dyDescent="0.2">
      <c r="A2083" s="7" t="s">
        <v>3364</v>
      </c>
      <c r="B2083" s="78" t="s">
        <v>507</v>
      </c>
      <c r="C2083" s="79" t="s">
        <v>13</v>
      </c>
      <c r="D2083" s="78"/>
      <c r="E2083" s="80"/>
      <c r="F2083" s="81"/>
      <c r="G2083" s="81">
        <v>3300000</v>
      </c>
    </row>
    <row r="2084" spans="1:7" ht="28.5" x14ac:dyDescent="0.2">
      <c r="A2084" s="7" t="s">
        <v>3365</v>
      </c>
      <c r="B2084" s="89" t="s">
        <v>195</v>
      </c>
      <c r="C2084" s="90" t="s">
        <v>3366</v>
      </c>
      <c r="D2084" s="89">
        <v>22</v>
      </c>
      <c r="E2084" s="91" t="s">
        <v>10</v>
      </c>
      <c r="F2084" s="92">
        <v>150000</v>
      </c>
      <c r="G2084" s="92">
        <v>3300000</v>
      </c>
    </row>
    <row r="2085" spans="1:7" ht="15" x14ac:dyDescent="0.2">
      <c r="A2085" s="7" t="s">
        <v>3367</v>
      </c>
      <c r="B2085" s="97" t="s">
        <v>519</v>
      </c>
      <c r="C2085" s="98" t="s">
        <v>146</v>
      </c>
      <c r="D2085" s="97"/>
      <c r="E2085" s="99"/>
      <c r="F2085" s="100"/>
      <c r="G2085" s="100">
        <v>28800000</v>
      </c>
    </row>
    <row r="2086" spans="1:7" ht="15" x14ac:dyDescent="0.2">
      <c r="A2086" s="7" t="s">
        <v>3368</v>
      </c>
      <c r="B2086" s="78" t="s">
        <v>503</v>
      </c>
      <c r="C2086" s="79" t="s">
        <v>7</v>
      </c>
      <c r="D2086" s="78"/>
      <c r="E2086" s="80"/>
      <c r="F2086" s="81"/>
      <c r="G2086" s="81">
        <v>15000000</v>
      </c>
    </row>
    <row r="2087" spans="1:7" x14ac:dyDescent="0.2">
      <c r="A2087" s="7" t="s">
        <v>3369</v>
      </c>
      <c r="B2087" s="89" t="s">
        <v>195</v>
      </c>
      <c r="C2087" s="90" t="s">
        <v>620</v>
      </c>
      <c r="D2087" s="89">
        <v>6</v>
      </c>
      <c r="E2087" s="91" t="s">
        <v>9</v>
      </c>
      <c r="F2087" s="92">
        <v>1500000</v>
      </c>
      <c r="G2087" s="92">
        <v>9000000</v>
      </c>
    </row>
    <row r="2088" spans="1:7" x14ac:dyDescent="0.2">
      <c r="A2088" s="7" t="s">
        <v>3370</v>
      </c>
      <c r="B2088" s="89" t="s">
        <v>195</v>
      </c>
      <c r="C2088" s="90" t="s">
        <v>619</v>
      </c>
      <c r="D2088" s="89">
        <v>6</v>
      </c>
      <c r="E2088" s="91" t="s">
        <v>106</v>
      </c>
      <c r="F2088" s="92">
        <v>1000000</v>
      </c>
      <c r="G2088" s="92">
        <v>6000000</v>
      </c>
    </row>
    <row r="2089" spans="1:7" ht="15" x14ac:dyDescent="0.2">
      <c r="A2089" s="7" t="s">
        <v>3371</v>
      </c>
      <c r="B2089" s="78" t="s">
        <v>513</v>
      </c>
      <c r="C2089" s="79" t="s">
        <v>19</v>
      </c>
      <c r="D2089" s="78"/>
      <c r="E2089" s="80"/>
      <c r="F2089" s="81"/>
      <c r="G2089" s="81">
        <v>12000000</v>
      </c>
    </row>
    <row r="2090" spans="1:7" x14ac:dyDescent="0.2">
      <c r="A2090" s="7" t="s">
        <v>3372</v>
      </c>
      <c r="B2090" s="89" t="s">
        <v>195</v>
      </c>
      <c r="C2090" s="90" t="s">
        <v>3373</v>
      </c>
      <c r="D2090" s="89">
        <v>4</v>
      </c>
      <c r="E2090" s="91" t="s">
        <v>10</v>
      </c>
      <c r="F2090" s="92">
        <v>3000000</v>
      </c>
      <c r="G2090" s="92">
        <v>12000000</v>
      </c>
    </row>
    <row r="2091" spans="1:7" ht="15" x14ac:dyDescent="0.2">
      <c r="A2091" s="7" t="s">
        <v>3374</v>
      </c>
      <c r="B2091" s="78" t="s">
        <v>507</v>
      </c>
      <c r="C2091" s="79" t="s">
        <v>13</v>
      </c>
      <c r="D2091" s="78"/>
      <c r="E2091" s="80"/>
      <c r="F2091" s="81"/>
      <c r="G2091" s="81">
        <v>1800000</v>
      </c>
    </row>
    <row r="2092" spans="1:7" x14ac:dyDescent="0.2">
      <c r="A2092" s="7" t="s">
        <v>3375</v>
      </c>
      <c r="B2092" s="89" t="s">
        <v>195</v>
      </c>
      <c r="C2092" s="90" t="s">
        <v>3376</v>
      </c>
      <c r="D2092" s="89">
        <v>12</v>
      </c>
      <c r="E2092" s="91" t="s">
        <v>10</v>
      </c>
      <c r="F2092" s="92">
        <v>150000</v>
      </c>
      <c r="G2092" s="92">
        <v>1800000</v>
      </c>
    </row>
    <row r="2093" spans="1:7" ht="30" x14ac:dyDescent="0.2">
      <c r="A2093" s="7" t="s">
        <v>3377</v>
      </c>
      <c r="B2093" s="97" t="s">
        <v>578</v>
      </c>
      <c r="C2093" s="98" t="s">
        <v>147</v>
      </c>
      <c r="D2093" s="97"/>
      <c r="E2093" s="99"/>
      <c r="F2093" s="100"/>
      <c r="G2093" s="100">
        <v>76320000</v>
      </c>
    </row>
    <row r="2094" spans="1:7" ht="15" x14ac:dyDescent="0.2">
      <c r="A2094" s="7" t="s">
        <v>3378</v>
      </c>
      <c r="B2094" s="78" t="s">
        <v>503</v>
      </c>
      <c r="C2094" s="79" t="s">
        <v>7</v>
      </c>
      <c r="D2094" s="78"/>
      <c r="E2094" s="80"/>
      <c r="F2094" s="81"/>
      <c r="G2094" s="81">
        <v>4800000</v>
      </c>
    </row>
    <row r="2095" spans="1:7" x14ac:dyDescent="0.2">
      <c r="A2095" s="7" t="s">
        <v>3379</v>
      </c>
      <c r="B2095" s="89" t="s">
        <v>195</v>
      </c>
      <c r="C2095" s="90" t="s">
        <v>3380</v>
      </c>
      <c r="D2095" s="89">
        <v>24</v>
      </c>
      <c r="E2095" s="91" t="s">
        <v>176</v>
      </c>
      <c r="F2095" s="92">
        <v>200000</v>
      </c>
      <c r="G2095" s="92">
        <v>4800000</v>
      </c>
    </row>
    <row r="2096" spans="1:7" ht="15" x14ac:dyDescent="0.2">
      <c r="A2096" s="7" t="s">
        <v>3381</v>
      </c>
      <c r="B2096" s="78" t="s">
        <v>537</v>
      </c>
      <c r="C2096" s="79" t="s">
        <v>64</v>
      </c>
      <c r="D2096" s="78"/>
      <c r="E2096" s="80"/>
      <c r="F2096" s="81"/>
      <c r="G2096" s="81">
        <v>25000000</v>
      </c>
    </row>
    <row r="2097" spans="1:7" x14ac:dyDescent="0.2">
      <c r="A2097" s="7" t="s">
        <v>3382</v>
      </c>
      <c r="B2097" s="89" t="s">
        <v>195</v>
      </c>
      <c r="C2097" s="90" t="s">
        <v>620</v>
      </c>
      <c r="D2097" s="89">
        <v>10</v>
      </c>
      <c r="E2097" s="91" t="s">
        <v>9</v>
      </c>
      <c r="F2097" s="92">
        <v>1500000</v>
      </c>
      <c r="G2097" s="92">
        <v>15000000</v>
      </c>
    </row>
    <row r="2098" spans="1:7" x14ac:dyDescent="0.2">
      <c r="A2098" s="7" t="s">
        <v>3383</v>
      </c>
      <c r="B2098" s="89" t="s">
        <v>195</v>
      </c>
      <c r="C2098" s="90" t="s">
        <v>619</v>
      </c>
      <c r="D2098" s="89">
        <v>10</v>
      </c>
      <c r="E2098" s="91" t="s">
        <v>2749</v>
      </c>
      <c r="F2098" s="92">
        <v>1000000</v>
      </c>
      <c r="G2098" s="92">
        <v>10000000</v>
      </c>
    </row>
    <row r="2099" spans="1:7" ht="15" x14ac:dyDescent="0.2">
      <c r="A2099" s="7" t="s">
        <v>3384</v>
      </c>
      <c r="B2099" s="78" t="s">
        <v>513</v>
      </c>
      <c r="C2099" s="79" t="s">
        <v>19</v>
      </c>
      <c r="D2099" s="78"/>
      <c r="E2099" s="80"/>
      <c r="F2099" s="81"/>
      <c r="G2099" s="81">
        <v>42770000</v>
      </c>
    </row>
    <row r="2100" spans="1:7" x14ac:dyDescent="0.2">
      <c r="A2100" s="7" t="s">
        <v>3385</v>
      </c>
      <c r="B2100" s="89" t="s">
        <v>195</v>
      </c>
      <c r="C2100" s="90" t="s">
        <v>3386</v>
      </c>
      <c r="D2100" s="89">
        <v>14</v>
      </c>
      <c r="E2100" s="91" t="s">
        <v>10</v>
      </c>
      <c r="F2100" s="92">
        <v>3055000</v>
      </c>
      <c r="G2100" s="92">
        <v>42770000</v>
      </c>
    </row>
    <row r="2101" spans="1:7" ht="15" x14ac:dyDescent="0.2">
      <c r="A2101" s="7" t="s">
        <v>3387</v>
      </c>
      <c r="B2101" s="78" t="s">
        <v>507</v>
      </c>
      <c r="C2101" s="79" t="s">
        <v>13</v>
      </c>
      <c r="D2101" s="78"/>
      <c r="E2101" s="80"/>
      <c r="F2101" s="81"/>
      <c r="G2101" s="81">
        <v>3750000</v>
      </c>
    </row>
    <row r="2102" spans="1:7" x14ac:dyDescent="0.2">
      <c r="A2102" s="7" t="s">
        <v>3388</v>
      </c>
      <c r="B2102" s="89" t="s">
        <v>195</v>
      </c>
      <c r="C2102" s="90" t="s">
        <v>638</v>
      </c>
      <c r="D2102" s="89">
        <v>25</v>
      </c>
      <c r="E2102" s="91" t="s">
        <v>10</v>
      </c>
      <c r="F2102" s="92">
        <v>150000</v>
      </c>
      <c r="G2102" s="92">
        <v>3750000</v>
      </c>
    </row>
    <row r="2103" spans="1:7" x14ac:dyDescent="0.2">
      <c r="A2103" s="7" t="s">
        <v>3389</v>
      </c>
      <c r="B2103" s="89" t="s">
        <v>3390</v>
      </c>
      <c r="C2103" s="90" t="s">
        <v>3391</v>
      </c>
      <c r="D2103" s="89"/>
      <c r="E2103" s="91"/>
      <c r="F2103" s="92"/>
      <c r="G2103" s="92">
        <v>1000000000</v>
      </c>
    </row>
    <row r="2104" spans="1:7" ht="30" x14ac:dyDescent="0.2">
      <c r="A2104" s="7" t="s">
        <v>3392</v>
      </c>
      <c r="B2104" s="93" t="s">
        <v>826</v>
      </c>
      <c r="C2104" s="94" t="s">
        <v>3393</v>
      </c>
      <c r="D2104" s="93"/>
      <c r="E2104" s="95"/>
      <c r="F2104" s="96"/>
      <c r="G2104" s="96">
        <v>1000000000</v>
      </c>
    </row>
    <row r="2105" spans="1:7" ht="30" x14ac:dyDescent="0.2">
      <c r="A2105" s="7" t="s">
        <v>3394</v>
      </c>
      <c r="B2105" s="97" t="s">
        <v>8</v>
      </c>
      <c r="C2105" s="98" t="s">
        <v>133</v>
      </c>
      <c r="D2105" s="97"/>
      <c r="E2105" s="99"/>
      <c r="F2105" s="100"/>
      <c r="G2105" s="100">
        <v>176950000</v>
      </c>
    </row>
    <row r="2106" spans="1:7" ht="15" x14ac:dyDescent="0.2">
      <c r="A2106" s="7" t="s">
        <v>3395</v>
      </c>
      <c r="B2106" s="78" t="s">
        <v>503</v>
      </c>
      <c r="C2106" s="79" t="s">
        <v>7</v>
      </c>
      <c r="D2106" s="78"/>
      <c r="E2106" s="80"/>
      <c r="F2106" s="81"/>
      <c r="G2106" s="81">
        <v>2950000</v>
      </c>
    </row>
    <row r="2107" spans="1:7" x14ac:dyDescent="0.2">
      <c r="A2107" s="7" t="s">
        <v>3396</v>
      </c>
      <c r="B2107" s="89" t="s">
        <v>195</v>
      </c>
      <c r="C2107" s="90" t="s">
        <v>1276</v>
      </c>
      <c r="D2107" s="89">
        <v>2</v>
      </c>
      <c r="E2107" s="91" t="s">
        <v>106</v>
      </c>
      <c r="F2107" s="92">
        <v>1475000</v>
      </c>
      <c r="G2107" s="92">
        <v>2950000</v>
      </c>
    </row>
    <row r="2108" spans="1:7" ht="15" x14ac:dyDescent="0.2">
      <c r="A2108" s="7" t="s">
        <v>3397</v>
      </c>
      <c r="B2108" s="78" t="s">
        <v>537</v>
      </c>
      <c r="C2108" s="79" t="s">
        <v>64</v>
      </c>
      <c r="D2108" s="78"/>
      <c r="E2108" s="80"/>
      <c r="F2108" s="81"/>
      <c r="G2108" s="81">
        <v>24000000</v>
      </c>
    </row>
    <row r="2109" spans="1:7" x14ac:dyDescent="0.2">
      <c r="A2109" s="7" t="s">
        <v>3398</v>
      </c>
      <c r="B2109" s="89" t="s">
        <v>195</v>
      </c>
      <c r="C2109" s="90" t="s">
        <v>619</v>
      </c>
      <c r="D2109" s="89">
        <v>12</v>
      </c>
      <c r="E2109" s="91" t="s">
        <v>106</v>
      </c>
      <c r="F2109" s="92">
        <v>1000000</v>
      </c>
      <c r="G2109" s="92">
        <v>12000000</v>
      </c>
    </row>
    <row r="2110" spans="1:7" x14ac:dyDescent="0.2">
      <c r="A2110" s="7" t="s">
        <v>3399</v>
      </c>
      <c r="B2110" s="89" t="s">
        <v>195</v>
      </c>
      <c r="C2110" s="90" t="s">
        <v>620</v>
      </c>
      <c r="D2110" s="89">
        <v>12</v>
      </c>
      <c r="E2110" s="91" t="s">
        <v>106</v>
      </c>
      <c r="F2110" s="92">
        <v>1000000</v>
      </c>
      <c r="G2110" s="92">
        <v>12000000</v>
      </c>
    </row>
    <row r="2111" spans="1:7" ht="15" x14ac:dyDescent="0.2">
      <c r="A2111" s="7" t="s">
        <v>3400</v>
      </c>
      <c r="B2111" s="78" t="s">
        <v>513</v>
      </c>
      <c r="C2111" s="79" t="s">
        <v>19</v>
      </c>
      <c r="D2111" s="78"/>
      <c r="E2111" s="80"/>
      <c r="F2111" s="81"/>
      <c r="G2111" s="81">
        <v>150000000</v>
      </c>
    </row>
    <row r="2112" spans="1:7" ht="28.5" x14ac:dyDescent="0.2">
      <c r="A2112" s="7" t="s">
        <v>3401</v>
      </c>
      <c r="B2112" s="89" t="s">
        <v>195</v>
      </c>
      <c r="C2112" s="90" t="s">
        <v>3402</v>
      </c>
      <c r="D2112" s="89">
        <v>30</v>
      </c>
      <c r="E2112" s="91" t="s">
        <v>73</v>
      </c>
      <c r="F2112" s="92">
        <v>5000000</v>
      </c>
      <c r="G2112" s="92">
        <v>150000000</v>
      </c>
    </row>
    <row r="2113" spans="1:7" ht="15" x14ac:dyDescent="0.2">
      <c r="A2113" s="7" t="s">
        <v>3403</v>
      </c>
      <c r="B2113" s="97" t="s">
        <v>511</v>
      </c>
      <c r="C2113" s="98" t="s">
        <v>3404</v>
      </c>
      <c r="D2113" s="97"/>
      <c r="E2113" s="99"/>
      <c r="F2113" s="100"/>
      <c r="G2113" s="100">
        <v>197800000</v>
      </c>
    </row>
    <row r="2114" spans="1:7" ht="15" x14ac:dyDescent="0.2">
      <c r="A2114" s="7" t="s">
        <v>3405</v>
      </c>
      <c r="B2114" s="78" t="s">
        <v>503</v>
      </c>
      <c r="C2114" s="79" t="s">
        <v>7</v>
      </c>
      <c r="D2114" s="78"/>
      <c r="E2114" s="80"/>
      <c r="F2114" s="81"/>
      <c r="G2114" s="81">
        <v>12000000</v>
      </c>
    </row>
    <row r="2115" spans="1:7" x14ac:dyDescent="0.2">
      <c r="A2115" s="7" t="s">
        <v>3406</v>
      </c>
      <c r="B2115" s="89" t="s">
        <v>195</v>
      </c>
      <c r="C2115" s="90" t="s">
        <v>3407</v>
      </c>
      <c r="D2115" s="89">
        <v>12</v>
      </c>
      <c r="E2115" s="91" t="s">
        <v>180</v>
      </c>
      <c r="F2115" s="92">
        <v>1000000</v>
      </c>
      <c r="G2115" s="92">
        <v>12000000</v>
      </c>
    </row>
    <row r="2116" spans="1:7" ht="15" x14ac:dyDescent="0.2">
      <c r="A2116" s="7" t="s">
        <v>3408</v>
      </c>
      <c r="B2116" s="78" t="s">
        <v>537</v>
      </c>
      <c r="C2116" s="79" t="s">
        <v>64</v>
      </c>
      <c r="D2116" s="78"/>
      <c r="E2116" s="80"/>
      <c r="F2116" s="81"/>
      <c r="G2116" s="81">
        <v>24000000</v>
      </c>
    </row>
    <row r="2117" spans="1:7" x14ac:dyDescent="0.2">
      <c r="A2117" s="7" t="s">
        <v>3409</v>
      </c>
      <c r="B2117" s="89" t="s">
        <v>195</v>
      </c>
      <c r="C2117" s="90" t="s">
        <v>619</v>
      </c>
      <c r="D2117" s="89">
        <v>12</v>
      </c>
      <c r="E2117" s="91" t="s">
        <v>106</v>
      </c>
      <c r="F2117" s="92">
        <v>1000000</v>
      </c>
      <c r="G2117" s="92">
        <v>12000000</v>
      </c>
    </row>
    <row r="2118" spans="1:7" x14ac:dyDescent="0.2">
      <c r="A2118" s="7" t="s">
        <v>3410</v>
      </c>
      <c r="B2118" s="89" t="s">
        <v>195</v>
      </c>
      <c r="C2118" s="90" t="s">
        <v>620</v>
      </c>
      <c r="D2118" s="89">
        <v>12</v>
      </c>
      <c r="E2118" s="91" t="s">
        <v>106</v>
      </c>
      <c r="F2118" s="92">
        <v>1000000</v>
      </c>
      <c r="G2118" s="92">
        <v>12000000</v>
      </c>
    </row>
    <row r="2119" spans="1:7" ht="15" x14ac:dyDescent="0.2">
      <c r="A2119" s="7" t="s">
        <v>3411</v>
      </c>
      <c r="B2119" s="78" t="s">
        <v>516</v>
      </c>
      <c r="C2119" s="79" t="s">
        <v>11</v>
      </c>
      <c r="D2119" s="78"/>
      <c r="E2119" s="80"/>
      <c r="F2119" s="81"/>
      <c r="G2119" s="81">
        <v>21600000</v>
      </c>
    </row>
    <row r="2120" spans="1:7" ht="28.5" x14ac:dyDescent="0.2">
      <c r="A2120" s="7" t="s">
        <v>3412</v>
      </c>
      <c r="B2120" s="89" t="s">
        <v>195</v>
      </c>
      <c r="C2120" s="90" t="s">
        <v>3413</v>
      </c>
      <c r="D2120" s="89">
        <v>24</v>
      </c>
      <c r="E2120" s="91" t="s">
        <v>54</v>
      </c>
      <c r="F2120" s="92">
        <v>900000</v>
      </c>
      <c r="G2120" s="92">
        <v>21600000</v>
      </c>
    </row>
    <row r="2121" spans="1:7" ht="15" x14ac:dyDescent="0.2">
      <c r="A2121" s="7" t="s">
        <v>3414</v>
      </c>
      <c r="B2121" s="78" t="s">
        <v>513</v>
      </c>
      <c r="C2121" s="79" t="s">
        <v>19</v>
      </c>
      <c r="D2121" s="78"/>
      <c r="E2121" s="80"/>
      <c r="F2121" s="81"/>
      <c r="G2121" s="81">
        <v>115000000</v>
      </c>
    </row>
    <row r="2122" spans="1:7" ht="28.5" x14ac:dyDescent="0.2">
      <c r="A2122" s="7" t="s">
        <v>3415</v>
      </c>
      <c r="B2122" s="89" t="s">
        <v>195</v>
      </c>
      <c r="C2122" s="90" t="s">
        <v>3416</v>
      </c>
      <c r="D2122" s="89">
        <v>7</v>
      </c>
      <c r="E2122" s="91" t="s">
        <v>25</v>
      </c>
      <c r="F2122" s="92">
        <v>5000000</v>
      </c>
      <c r="G2122" s="92">
        <v>35000000</v>
      </c>
    </row>
    <row r="2123" spans="1:7" x14ac:dyDescent="0.2">
      <c r="A2123" s="7" t="s">
        <v>3417</v>
      </c>
      <c r="B2123" s="89" t="s">
        <v>195</v>
      </c>
      <c r="C2123" s="90" t="s">
        <v>3418</v>
      </c>
      <c r="D2123" s="89">
        <v>8</v>
      </c>
      <c r="E2123" s="91" t="s">
        <v>25</v>
      </c>
      <c r="F2123" s="92">
        <v>5000000</v>
      </c>
      <c r="G2123" s="92">
        <v>40000000</v>
      </c>
    </row>
    <row r="2124" spans="1:7" ht="28.5" x14ac:dyDescent="0.2">
      <c r="A2124" s="7" t="s">
        <v>3419</v>
      </c>
      <c r="B2124" s="89" t="s">
        <v>195</v>
      </c>
      <c r="C2124" s="90" t="s">
        <v>3420</v>
      </c>
      <c r="D2124" s="89">
        <v>8</v>
      </c>
      <c r="E2124" s="91" t="s">
        <v>25</v>
      </c>
      <c r="F2124" s="92">
        <v>5000000</v>
      </c>
      <c r="G2124" s="92">
        <v>40000000</v>
      </c>
    </row>
    <row r="2125" spans="1:7" ht="30" x14ac:dyDescent="0.2">
      <c r="A2125" s="7" t="s">
        <v>3421</v>
      </c>
      <c r="B2125" s="78" t="s">
        <v>509</v>
      </c>
      <c r="C2125" s="79" t="s">
        <v>14</v>
      </c>
      <c r="D2125" s="78"/>
      <c r="E2125" s="80"/>
      <c r="F2125" s="81"/>
      <c r="G2125" s="81">
        <v>25200000</v>
      </c>
    </row>
    <row r="2126" spans="1:7" x14ac:dyDescent="0.2">
      <c r="A2126" s="7" t="s">
        <v>3422</v>
      </c>
      <c r="B2126" s="89" t="s">
        <v>195</v>
      </c>
      <c r="C2126" s="90" t="s">
        <v>3423</v>
      </c>
      <c r="D2126" s="89">
        <v>70</v>
      </c>
      <c r="E2126" s="91" t="s">
        <v>73</v>
      </c>
      <c r="F2126" s="92">
        <v>210000</v>
      </c>
      <c r="G2126" s="92">
        <v>14700000</v>
      </c>
    </row>
    <row r="2127" spans="1:7" x14ac:dyDescent="0.2">
      <c r="A2127" s="7" t="s">
        <v>3424</v>
      </c>
      <c r="B2127" s="89" t="s">
        <v>195</v>
      </c>
      <c r="C2127" s="90" t="s">
        <v>3425</v>
      </c>
      <c r="D2127" s="89">
        <v>70</v>
      </c>
      <c r="E2127" s="91" t="s">
        <v>73</v>
      </c>
      <c r="F2127" s="92">
        <v>150000</v>
      </c>
      <c r="G2127" s="92">
        <v>10500000</v>
      </c>
    </row>
    <row r="2128" spans="1:7" ht="30" x14ac:dyDescent="0.2">
      <c r="A2128" s="7" t="s">
        <v>3426</v>
      </c>
      <c r="B2128" s="97" t="s">
        <v>512</v>
      </c>
      <c r="C2128" s="98" t="s">
        <v>3427</v>
      </c>
      <c r="D2128" s="97"/>
      <c r="E2128" s="99"/>
      <c r="F2128" s="100"/>
      <c r="G2128" s="100">
        <v>126000000</v>
      </c>
    </row>
    <row r="2129" spans="1:7" ht="15" x14ac:dyDescent="0.2">
      <c r="A2129" s="7" t="s">
        <v>3428</v>
      </c>
      <c r="B2129" s="78" t="s">
        <v>503</v>
      </c>
      <c r="C2129" s="79" t="s">
        <v>7</v>
      </c>
      <c r="D2129" s="78"/>
      <c r="E2129" s="80"/>
      <c r="F2129" s="81"/>
      <c r="G2129" s="81">
        <v>2000000</v>
      </c>
    </row>
    <row r="2130" spans="1:7" x14ac:dyDescent="0.2">
      <c r="A2130" s="7" t="s">
        <v>3429</v>
      </c>
      <c r="B2130" s="89" t="s">
        <v>195</v>
      </c>
      <c r="C2130" s="90" t="s">
        <v>1276</v>
      </c>
      <c r="D2130" s="89">
        <v>2</v>
      </c>
      <c r="E2130" s="91" t="s">
        <v>106</v>
      </c>
      <c r="F2130" s="92">
        <v>1000000</v>
      </c>
      <c r="G2130" s="92">
        <v>2000000</v>
      </c>
    </row>
    <row r="2131" spans="1:7" ht="15" x14ac:dyDescent="0.2">
      <c r="A2131" s="7" t="s">
        <v>3430</v>
      </c>
      <c r="B2131" s="78" t="s">
        <v>537</v>
      </c>
      <c r="C2131" s="79" t="s">
        <v>64</v>
      </c>
      <c r="D2131" s="78"/>
      <c r="E2131" s="80"/>
      <c r="F2131" s="81"/>
      <c r="G2131" s="81">
        <v>24000000</v>
      </c>
    </row>
    <row r="2132" spans="1:7" x14ac:dyDescent="0.2">
      <c r="A2132" s="7" t="s">
        <v>3431</v>
      </c>
      <c r="B2132" s="89" t="s">
        <v>195</v>
      </c>
      <c r="C2132" s="90" t="s">
        <v>619</v>
      </c>
      <c r="D2132" s="89">
        <v>12</v>
      </c>
      <c r="E2132" s="91" t="s">
        <v>106</v>
      </c>
      <c r="F2132" s="92">
        <v>1000000</v>
      </c>
      <c r="G2132" s="92">
        <v>12000000</v>
      </c>
    </row>
    <row r="2133" spans="1:7" x14ac:dyDescent="0.2">
      <c r="A2133" s="7" t="s">
        <v>3432</v>
      </c>
      <c r="B2133" s="89" t="s">
        <v>195</v>
      </c>
      <c r="C2133" s="90" t="s">
        <v>620</v>
      </c>
      <c r="D2133" s="89">
        <v>12</v>
      </c>
      <c r="E2133" s="91" t="s">
        <v>106</v>
      </c>
      <c r="F2133" s="92">
        <v>1000000</v>
      </c>
      <c r="G2133" s="92">
        <v>12000000</v>
      </c>
    </row>
    <row r="2134" spans="1:7" ht="15" x14ac:dyDescent="0.2">
      <c r="A2134" s="7" t="s">
        <v>3433</v>
      </c>
      <c r="B2134" s="78" t="s">
        <v>513</v>
      </c>
      <c r="C2134" s="79" t="s">
        <v>19</v>
      </c>
      <c r="D2134" s="78"/>
      <c r="E2134" s="80"/>
      <c r="F2134" s="81"/>
      <c r="G2134" s="81">
        <v>100000000</v>
      </c>
    </row>
    <row r="2135" spans="1:7" x14ac:dyDescent="0.2">
      <c r="A2135" s="7" t="s">
        <v>3434</v>
      </c>
      <c r="B2135" s="89" t="s">
        <v>195</v>
      </c>
      <c r="C2135" s="90" t="s">
        <v>3435</v>
      </c>
      <c r="D2135" s="89">
        <v>20</v>
      </c>
      <c r="E2135" s="91" t="s">
        <v>25</v>
      </c>
      <c r="F2135" s="92">
        <v>5000000</v>
      </c>
      <c r="G2135" s="92">
        <v>100000000</v>
      </c>
    </row>
    <row r="2136" spans="1:7" ht="15" x14ac:dyDescent="0.2">
      <c r="A2136" s="7" t="s">
        <v>3436</v>
      </c>
      <c r="B2136" s="97" t="s">
        <v>514</v>
      </c>
      <c r="C2136" s="98" t="s">
        <v>3437</v>
      </c>
      <c r="D2136" s="97"/>
      <c r="E2136" s="99"/>
      <c r="F2136" s="100"/>
      <c r="G2136" s="100">
        <v>127000000</v>
      </c>
    </row>
    <row r="2137" spans="1:7" ht="15" x14ac:dyDescent="0.2">
      <c r="A2137" s="7" t="s">
        <v>3438</v>
      </c>
      <c r="B2137" s="78" t="s">
        <v>503</v>
      </c>
      <c r="C2137" s="79" t="s">
        <v>7</v>
      </c>
      <c r="D2137" s="78"/>
      <c r="E2137" s="80"/>
      <c r="F2137" s="81"/>
      <c r="G2137" s="81">
        <v>3000000</v>
      </c>
    </row>
    <row r="2138" spans="1:7" x14ac:dyDescent="0.2">
      <c r="A2138" s="7" t="s">
        <v>3439</v>
      </c>
      <c r="B2138" s="89" t="s">
        <v>195</v>
      </c>
      <c r="C2138" s="90" t="s">
        <v>1276</v>
      </c>
      <c r="D2138" s="89">
        <v>2</v>
      </c>
      <c r="E2138" s="91" t="s">
        <v>106</v>
      </c>
      <c r="F2138" s="92">
        <v>1500000</v>
      </c>
      <c r="G2138" s="92">
        <v>3000000</v>
      </c>
    </row>
    <row r="2139" spans="1:7" ht="15" x14ac:dyDescent="0.2">
      <c r="A2139" s="7" t="s">
        <v>3440</v>
      </c>
      <c r="B2139" s="78" t="s">
        <v>537</v>
      </c>
      <c r="C2139" s="79" t="s">
        <v>64</v>
      </c>
      <c r="D2139" s="78"/>
      <c r="E2139" s="80"/>
      <c r="F2139" s="81"/>
      <c r="G2139" s="81">
        <v>24000000</v>
      </c>
    </row>
    <row r="2140" spans="1:7" x14ac:dyDescent="0.2">
      <c r="A2140" s="7" t="s">
        <v>3441</v>
      </c>
      <c r="B2140" s="89" t="s">
        <v>195</v>
      </c>
      <c r="C2140" s="90" t="s">
        <v>619</v>
      </c>
      <c r="D2140" s="89">
        <v>12</v>
      </c>
      <c r="E2140" s="91" t="s">
        <v>106</v>
      </c>
      <c r="F2140" s="92">
        <v>1000000</v>
      </c>
      <c r="G2140" s="92">
        <v>12000000</v>
      </c>
    </row>
    <row r="2141" spans="1:7" x14ac:dyDescent="0.2">
      <c r="A2141" s="7" t="s">
        <v>3442</v>
      </c>
      <c r="B2141" s="89" t="s">
        <v>195</v>
      </c>
      <c r="C2141" s="90" t="s">
        <v>620</v>
      </c>
      <c r="D2141" s="89">
        <v>12</v>
      </c>
      <c r="E2141" s="91" t="s">
        <v>106</v>
      </c>
      <c r="F2141" s="92">
        <v>1000000</v>
      </c>
      <c r="G2141" s="92">
        <v>12000000</v>
      </c>
    </row>
    <row r="2142" spans="1:7" ht="15" x14ac:dyDescent="0.2">
      <c r="A2142" s="7" t="s">
        <v>3443</v>
      </c>
      <c r="B2142" s="78" t="s">
        <v>513</v>
      </c>
      <c r="C2142" s="79" t="s">
        <v>19</v>
      </c>
      <c r="D2142" s="78"/>
      <c r="E2142" s="80"/>
      <c r="F2142" s="81"/>
      <c r="G2142" s="81">
        <v>100000000</v>
      </c>
    </row>
    <row r="2143" spans="1:7" ht="28.5" x14ac:dyDescent="0.2">
      <c r="A2143" s="7" t="s">
        <v>3444</v>
      </c>
      <c r="B2143" s="89" t="s">
        <v>195</v>
      </c>
      <c r="C2143" s="90" t="s">
        <v>3445</v>
      </c>
      <c r="D2143" s="89">
        <v>20</v>
      </c>
      <c r="E2143" s="91" t="s">
        <v>25</v>
      </c>
      <c r="F2143" s="92">
        <v>5000000</v>
      </c>
      <c r="G2143" s="92">
        <v>100000000</v>
      </c>
    </row>
    <row r="2144" spans="1:7" ht="30" x14ac:dyDescent="0.2">
      <c r="A2144" s="7" t="s">
        <v>3446</v>
      </c>
      <c r="B2144" s="97" t="s">
        <v>519</v>
      </c>
      <c r="C2144" s="98" t="s">
        <v>135</v>
      </c>
      <c r="D2144" s="97"/>
      <c r="E2144" s="99"/>
      <c r="F2144" s="100"/>
      <c r="G2144" s="100">
        <v>372250000</v>
      </c>
    </row>
    <row r="2145" spans="1:7" ht="15" x14ac:dyDescent="0.2">
      <c r="A2145" s="7" t="s">
        <v>3447</v>
      </c>
      <c r="B2145" s="78" t="s">
        <v>503</v>
      </c>
      <c r="C2145" s="79" t="s">
        <v>7</v>
      </c>
      <c r="D2145" s="78"/>
      <c r="E2145" s="80"/>
      <c r="F2145" s="81"/>
      <c r="G2145" s="81">
        <v>6000000</v>
      </c>
    </row>
    <row r="2146" spans="1:7" x14ac:dyDescent="0.2">
      <c r="A2146" s="7" t="s">
        <v>3448</v>
      </c>
      <c r="B2146" s="89" t="s">
        <v>195</v>
      </c>
      <c r="C2146" s="90" t="s">
        <v>619</v>
      </c>
      <c r="D2146" s="89">
        <v>1</v>
      </c>
      <c r="E2146" s="91" t="s">
        <v>106</v>
      </c>
      <c r="F2146" s="92">
        <v>1000000</v>
      </c>
      <c r="G2146" s="92">
        <v>1000000</v>
      </c>
    </row>
    <row r="2147" spans="1:7" x14ac:dyDescent="0.2">
      <c r="A2147" s="7" t="s">
        <v>3449</v>
      </c>
      <c r="B2147" s="89" t="s">
        <v>195</v>
      </c>
      <c r="C2147" s="90" t="s">
        <v>620</v>
      </c>
      <c r="D2147" s="89">
        <v>1</v>
      </c>
      <c r="E2147" s="91" t="s">
        <v>106</v>
      </c>
      <c r="F2147" s="92">
        <v>1000000</v>
      </c>
      <c r="G2147" s="92">
        <v>1000000</v>
      </c>
    </row>
    <row r="2148" spans="1:7" x14ac:dyDescent="0.2">
      <c r="A2148" s="7" t="s">
        <v>3450</v>
      </c>
      <c r="B2148" s="89" t="s">
        <v>195</v>
      </c>
      <c r="C2148" s="90" t="s">
        <v>2591</v>
      </c>
      <c r="D2148" s="89">
        <v>1</v>
      </c>
      <c r="E2148" s="91" t="s">
        <v>180</v>
      </c>
      <c r="F2148" s="92">
        <v>1000000</v>
      </c>
      <c r="G2148" s="92">
        <v>1000000</v>
      </c>
    </row>
    <row r="2149" spans="1:7" x14ac:dyDescent="0.2">
      <c r="A2149" s="7" t="s">
        <v>3451</v>
      </c>
      <c r="B2149" s="89" t="s">
        <v>195</v>
      </c>
      <c r="C2149" s="90" t="s">
        <v>1276</v>
      </c>
      <c r="D2149" s="89">
        <v>3</v>
      </c>
      <c r="E2149" s="91" t="s">
        <v>180</v>
      </c>
      <c r="F2149" s="92">
        <v>1000000</v>
      </c>
      <c r="G2149" s="92">
        <v>3000000</v>
      </c>
    </row>
    <row r="2150" spans="1:7" ht="15" x14ac:dyDescent="0.2">
      <c r="A2150" s="7" t="s">
        <v>3452</v>
      </c>
      <c r="B2150" s="78" t="s">
        <v>517</v>
      </c>
      <c r="C2150" s="79" t="s">
        <v>22</v>
      </c>
      <c r="D2150" s="78"/>
      <c r="E2150" s="80"/>
      <c r="F2150" s="81"/>
      <c r="G2150" s="81">
        <v>175000000</v>
      </c>
    </row>
    <row r="2151" spans="1:7" x14ac:dyDescent="0.2">
      <c r="A2151" s="7" t="s">
        <v>3453</v>
      </c>
      <c r="B2151" s="89" t="s">
        <v>195</v>
      </c>
      <c r="C2151" s="90" t="s">
        <v>3454</v>
      </c>
      <c r="D2151" s="89">
        <v>500</v>
      </c>
      <c r="E2151" s="91" t="s">
        <v>136</v>
      </c>
      <c r="F2151" s="92">
        <v>350000</v>
      </c>
      <c r="G2151" s="92">
        <v>175000000</v>
      </c>
    </row>
    <row r="2152" spans="1:7" ht="15" x14ac:dyDescent="0.2">
      <c r="A2152" s="7" t="s">
        <v>3455</v>
      </c>
      <c r="B2152" s="78" t="s">
        <v>510</v>
      </c>
      <c r="C2152" s="79" t="s">
        <v>15</v>
      </c>
      <c r="D2152" s="78"/>
      <c r="E2152" s="80"/>
      <c r="F2152" s="81"/>
      <c r="G2152" s="81">
        <v>191250000</v>
      </c>
    </row>
    <row r="2153" spans="1:7" x14ac:dyDescent="0.2">
      <c r="A2153" s="7" t="s">
        <v>3456</v>
      </c>
      <c r="B2153" s="89" t="s">
        <v>195</v>
      </c>
      <c r="C2153" s="90" t="s">
        <v>3457</v>
      </c>
      <c r="D2153" s="89">
        <v>1125</v>
      </c>
      <c r="E2153" s="91" t="s">
        <v>73</v>
      </c>
      <c r="F2153" s="92">
        <v>150000</v>
      </c>
      <c r="G2153" s="92">
        <v>168750000</v>
      </c>
    </row>
    <row r="2154" spans="1:7" x14ac:dyDescent="0.2">
      <c r="A2154" s="7" t="s">
        <v>3458</v>
      </c>
      <c r="B2154" s="89" t="s">
        <v>195</v>
      </c>
      <c r="C2154" s="90" t="s">
        <v>3459</v>
      </c>
      <c r="D2154" s="89">
        <v>150</v>
      </c>
      <c r="E2154" s="91" t="s">
        <v>73</v>
      </c>
      <c r="F2154" s="92">
        <v>150000</v>
      </c>
      <c r="G2154" s="92">
        <v>22500000</v>
      </c>
    </row>
    <row r="2155" spans="1:7" ht="15" x14ac:dyDescent="0.2">
      <c r="A2155" s="7" t="s">
        <v>3460</v>
      </c>
      <c r="B2155" s="101" t="s">
        <v>3461</v>
      </c>
      <c r="C2155" s="102" t="s">
        <v>3462</v>
      </c>
      <c r="D2155" s="101"/>
      <c r="E2155" s="103"/>
      <c r="F2155" s="104"/>
      <c r="G2155" s="104">
        <v>80000000</v>
      </c>
    </row>
    <row r="2156" spans="1:7" ht="28.5" x14ac:dyDescent="0.2">
      <c r="A2156" s="7" t="s">
        <v>3463</v>
      </c>
      <c r="B2156" s="89" t="s">
        <v>3464</v>
      </c>
      <c r="C2156" s="90" t="s">
        <v>3465</v>
      </c>
      <c r="D2156" s="89"/>
      <c r="E2156" s="91"/>
      <c r="F2156" s="92"/>
      <c r="G2156" s="92">
        <v>80000000</v>
      </c>
    </row>
    <row r="2157" spans="1:7" ht="45" x14ac:dyDescent="0.2">
      <c r="A2157" s="7" t="s">
        <v>3466</v>
      </c>
      <c r="B2157" s="93" t="s">
        <v>1119</v>
      </c>
      <c r="C2157" s="94" t="s">
        <v>3467</v>
      </c>
      <c r="D2157" s="93"/>
      <c r="E2157" s="95"/>
      <c r="F2157" s="96"/>
      <c r="G2157" s="96">
        <v>80000000</v>
      </c>
    </row>
    <row r="2158" spans="1:7" ht="15" x14ac:dyDescent="0.2">
      <c r="A2158" s="7" t="s">
        <v>3468</v>
      </c>
      <c r="B2158" s="97" t="s">
        <v>8</v>
      </c>
      <c r="C2158" s="98" t="s">
        <v>3469</v>
      </c>
      <c r="D2158" s="97"/>
      <c r="E2158" s="99"/>
      <c r="F2158" s="100"/>
      <c r="G2158" s="100">
        <v>80000000</v>
      </c>
    </row>
    <row r="2159" spans="1:7" ht="15" x14ac:dyDescent="0.2">
      <c r="A2159" s="7" t="s">
        <v>3470</v>
      </c>
      <c r="B2159" s="78" t="s">
        <v>517</v>
      </c>
      <c r="C2159" s="79" t="s">
        <v>22</v>
      </c>
      <c r="D2159" s="78"/>
      <c r="E2159" s="80"/>
      <c r="F2159" s="81"/>
      <c r="G2159" s="81">
        <v>80000000</v>
      </c>
    </row>
    <row r="2160" spans="1:7" x14ac:dyDescent="0.2">
      <c r="A2160" s="7" t="s">
        <v>3471</v>
      </c>
      <c r="B2160" s="89" t="s">
        <v>195</v>
      </c>
      <c r="C2160" s="90" t="s">
        <v>3472</v>
      </c>
      <c r="D2160" s="89">
        <v>2</v>
      </c>
      <c r="E2160" s="91" t="s">
        <v>106</v>
      </c>
      <c r="F2160" s="92">
        <v>40000000</v>
      </c>
      <c r="G2160" s="92">
        <v>80000000</v>
      </c>
    </row>
    <row r="2161" spans="1:7" ht="15" x14ac:dyDescent="0.2">
      <c r="A2161" s="7" t="s">
        <v>495</v>
      </c>
      <c r="B2161" s="105" t="s">
        <v>198</v>
      </c>
      <c r="C2161" s="106" t="s">
        <v>188</v>
      </c>
      <c r="D2161" s="105"/>
      <c r="E2161" s="107"/>
      <c r="F2161" s="108"/>
      <c r="G2161" s="108">
        <v>8582500000</v>
      </c>
    </row>
    <row r="2162" spans="1:7" ht="15" x14ac:dyDescent="0.2">
      <c r="A2162" s="7" t="s">
        <v>3473</v>
      </c>
      <c r="B2162" s="101" t="s">
        <v>3474</v>
      </c>
      <c r="C2162" s="102" t="s">
        <v>2312</v>
      </c>
      <c r="D2162" s="101"/>
      <c r="E2162" s="103"/>
      <c r="F2162" s="104"/>
      <c r="G2162" s="104">
        <v>8582500000</v>
      </c>
    </row>
    <row r="2163" spans="1:7" x14ac:dyDescent="0.2">
      <c r="A2163" s="7" t="s">
        <v>3475</v>
      </c>
      <c r="B2163" s="89" t="s">
        <v>3476</v>
      </c>
      <c r="C2163" s="90" t="s">
        <v>3477</v>
      </c>
      <c r="D2163" s="89"/>
      <c r="E2163" s="91"/>
      <c r="F2163" s="92"/>
      <c r="G2163" s="92">
        <v>8582500000</v>
      </c>
    </row>
    <row r="2164" spans="1:7" ht="15" x14ac:dyDescent="0.2">
      <c r="A2164" s="7" t="s">
        <v>3478</v>
      </c>
      <c r="B2164" s="93" t="s">
        <v>833</v>
      </c>
      <c r="C2164" s="94" t="s">
        <v>189</v>
      </c>
      <c r="D2164" s="93"/>
      <c r="E2164" s="95"/>
      <c r="F2164" s="96"/>
      <c r="G2164" s="96">
        <v>8473300000</v>
      </c>
    </row>
    <row r="2165" spans="1:7" ht="15" x14ac:dyDescent="0.2">
      <c r="A2165" s="7" t="s">
        <v>3479</v>
      </c>
      <c r="B2165" s="97" t="s">
        <v>8</v>
      </c>
      <c r="C2165" s="98" t="s">
        <v>190</v>
      </c>
      <c r="D2165" s="97"/>
      <c r="E2165" s="99"/>
      <c r="F2165" s="100"/>
      <c r="G2165" s="100">
        <v>1713564000</v>
      </c>
    </row>
    <row r="2166" spans="1:7" ht="15" x14ac:dyDescent="0.2">
      <c r="A2166" s="7" t="s">
        <v>3480</v>
      </c>
      <c r="B2166" s="78" t="s">
        <v>503</v>
      </c>
      <c r="C2166" s="79" t="s">
        <v>7</v>
      </c>
      <c r="D2166" s="78"/>
      <c r="E2166" s="80"/>
      <c r="F2166" s="81"/>
      <c r="G2166" s="81">
        <v>99100000</v>
      </c>
    </row>
    <row r="2167" spans="1:7" x14ac:dyDescent="0.2">
      <c r="A2167" s="7" t="s">
        <v>3481</v>
      </c>
      <c r="B2167" s="89" t="s">
        <v>195</v>
      </c>
      <c r="C2167" s="90" t="s">
        <v>2745</v>
      </c>
      <c r="D2167" s="89">
        <v>400</v>
      </c>
      <c r="E2167" s="91" t="s">
        <v>10</v>
      </c>
      <c r="F2167" s="92">
        <v>70000</v>
      </c>
      <c r="G2167" s="92">
        <v>28000000</v>
      </c>
    </row>
    <row r="2168" spans="1:7" x14ac:dyDescent="0.2">
      <c r="A2168" s="7" t="s">
        <v>3482</v>
      </c>
      <c r="B2168" s="89" t="s">
        <v>195</v>
      </c>
      <c r="C2168" s="90" t="s">
        <v>3483</v>
      </c>
      <c r="D2168" s="89">
        <v>10</v>
      </c>
      <c r="E2168" s="91" t="s">
        <v>9</v>
      </c>
      <c r="F2168" s="92">
        <v>1500000</v>
      </c>
      <c r="G2168" s="92">
        <v>15000000</v>
      </c>
    </row>
    <row r="2169" spans="1:7" x14ac:dyDescent="0.2">
      <c r="A2169" s="7" t="s">
        <v>3484</v>
      </c>
      <c r="B2169" s="89" t="s">
        <v>195</v>
      </c>
      <c r="C2169" s="90" t="s">
        <v>3485</v>
      </c>
      <c r="D2169" s="89">
        <v>120</v>
      </c>
      <c r="E2169" s="91" t="s">
        <v>25</v>
      </c>
      <c r="F2169" s="92">
        <v>280000</v>
      </c>
      <c r="G2169" s="92">
        <v>33600000</v>
      </c>
    </row>
    <row r="2170" spans="1:7" x14ac:dyDescent="0.2">
      <c r="A2170" s="7" t="s">
        <v>3486</v>
      </c>
      <c r="B2170" s="89" t="s">
        <v>195</v>
      </c>
      <c r="C2170" s="90" t="s">
        <v>3487</v>
      </c>
      <c r="D2170" s="89">
        <v>150</v>
      </c>
      <c r="E2170" s="91" t="s">
        <v>25</v>
      </c>
      <c r="F2170" s="92">
        <v>150000</v>
      </c>
      <c r="G2170" s="92">
        <v>22500000</v>
      </c>
    </row>
    <row r="2171" spans="1:7" ht="15" x14ac:dyDescent="0.2">
      <c r="A2171" s="7" t="s">
        <v>3488</v>
      </c>
      <c r="B2171" s="78" t="s">
        <v>533</v>
      </c>
      <c r="C2171" s="79" t="s">
        <v>53</v>
      </c>
      <c r="D2171" s="78"/>
      <c r="E2171" s="80"/>
      <c r="F2171" s="81"/>
      <c r="G2171" s="81">
        <v>1333864000</v>
      </c>
    </row>
    <row r="2172" spans="1:7" x14ac:dyDescent="0.2">
      <c r="A2172" s="7" t="s">
        <v>3489</v>
      </c>
      <c r="B2172" s="89" t="s">
        <v>195</v>
      </c>
      <c r="C2172" s="90" t="s">
        <v>3490</v>
      </c>
      <c r="D2172" s="89">
        <v>33</v>
      </c>
      <c r="E2172" s="91" t="s">
        <v>155</v>
      </c>
      <c r="F2172" s="92">
        <v>40413000</v>
      </c>
      <c r="G2172" s="92">
        <v>1333614000</v>
      </c>
    </row>
    <row r="2173" spans="1:7" x14ac:dyDescent="0.2">
      <c r="A2173" s="7" t="s">
        <v>3491</v>
      </c>
      <c r="B2173" s="89" t="s">
        <v>195</v>
      </c>
      <c r="C2173" s="90" t="s">
        <v>785</v>
      </c>
      <c r="D2173" s="89">
        <v>1</v>
      </c>
      <c r="E2173" s="91" t="s">
        <v>9</v>
      </c>
      <c r="F2173" s="92">
        <v>250000</v>
      </c>
      <c r="G2173" s="92">
        <v>250000</v>
      </c>
    </row>
    <row r="2174" spans="1:7" ht="15" x14ac:dyDescent="0.2">
      <c r="A2174" s="7" t="s">
        <v>3492</v>
      </c>
      <c r="B2174" s="78" t="s">
        <v>537</v>
      </c>
      <c r="C2174" s="79" t="s">
        <v>64</v>
      </c>
      <c r="D2174" s="78"/>
      <c r="E2174" s="80"/>
      <c r="F2174" s="81"/>
      <c r="G2174" s="81">
        <v>25000000</v>
      </c>
    </row>
    <row r="2175" spans="1:7" x14ac:dyDescent="0.2">
      <c r="A2175" s="7" t="s">
        <v>3493</v>
      </c>
      <c r="B2175" s="89" t="s">
        <v>195</v>
      </c>
      <c r="C2175" s="90" t="s">
        <v>620</v>
      </c>
      <c r="D2175" s="89">
        <v>10</v>
      </c>
      <c r="E2175" s="91" t="s">
        <v>9</v>
      </c>
      <c r="F2175" s="92">
        <v>1000000</v>
      </c>
      <c r="G2175" s="92">
        <v>10000000</v>
      </c>
    </row>
    <row r="2176" spans="1:7" x14ac:dyDescent="0.2">
      <c r="A2176" s="7" t="s">
        <v>3494</v>
      </c>
      <c r="B2176" s="89" t="s">
        <v>195</v>
      </c>
      <c r="C2176" s="90" t="s">
        <v>619</v>
      </c>
      <c r="D2176" s="89">
        <v>10</v>
      </c>
      <c r="E2176" s="91" t="s">
        <v>9</v>
      </c>
      <c r="F2176" s="92">
        <v>1500000</v>
      </c>
      <c r="G2176" s="92">
        <v>15000000</v>
      </c>
    </row>
    <row r="2177" spans="1:7" ht="15" x14ac:dyDescent="0.2">
      <c r="A2177" s="7" t="s">
        <v>3495</v>
      </c>
      <c r="B2177" s="78" t="s">
        <v>516</v>
      </c>
      <c r="C2177" s="79" t="s">
        <v>11</v>
      </c>
      <c r="D2177" s="78"/>
      <c r="E2177" s="80"/>
      <c r="F2177" s="81"/>
      <c r="G2177" s="81">
        <v>15000000</v>
      </c>
    </row>
    <row r="2178" spans="1:7" x14ac:dyDescent="0.2">
      <c r="A2178" s="7" t="s">
        <v>3496</v>
      </c>
      <c r="B2178" s="89" t="s">
        <v>195</v>
      </c>
      <c r="C2178" s="90" t="s">
        <v>774</v>
      </c>
      <c r="D2178" s="89">
        <v>15</v>
      </c>
      <c r="E2178" s="91" t="s">
        <v>12</v>
      </c>
      <c r="F2178" s="92">
        <v>1000000</v>
      </c>
      <c r="G2178" s="92">
        <v>15000000</v>
      </c>
    </row>
    <row r="2179" spans="1:7" ht="15" x14ac:dyDescent="0.2">
      <c r="A2179" s="7" t="s">
        <v>3497</v>
      </c>
      <c r="B2179" s="78" t="s">
        <v>517</v>
      </c>
      <c r="C2179" s="79" t="s">
        <v>22</v>
      </c>
      <c r="D2179" s="78"/>
      <c r="E2179" s="80"/>
      <c r="F2179" s="81"/>
      <c r="G2179" s="81">
        <v>102600000</v>
      </c>
    </row>
    <row r="2180" spans="1:7" x14ac:dyDescent="0.2">
      <c r="A2180" s="7" t="s">
        <v>3498</v>
      </c>
      <c r="B2180" s="89" t="s">
        <v>195</v>
      </c>
      <c r="C2180" s="90" t="s">
        <v>3499</v>
      </c>
      <c r="D2180" s="89">
        <v>120</v>
      </c>
      <c r="E2180" s="91" t="s">
        <v>155</v>
      </c>
      <c r="F2180" s="92">
        <v>855000</v>
      </c>
      <c r="G2180" s="92">
        <v>102600000</v>
      </c>
    </row>
    <row r="2181" spans="1:7" ht="15" x14ac:dyDescent="0.2">
      <c r="A2181" s="7" t="s">
        <v>3500</v>
      </c>
      <c r="B2181" s="78" t="s">
        <v>513</v>
      </c>
      <c r="C2181" s="79" t="s">
        <v>19</v>
      </c>
      <c r="D2181" s="78"/>
      <c r="E2181" s="80"/>
      <c r="F2181" s="81"/>
      <c r="G2181" s="81">
        <v>138000000</v>
      </c>
    </row>
    <row r="2182" spans="1:7" x14ac:dyDescent="0.2">
      <c r="A2182" s="7" t="s">
        <v>3501</v>
      </c>
      <c r="B2182" s="89" t="s">
        <v>195</v>
      </c>
      <c r="C2182" s="90" t="s">
        <v>3502</v>
      </c>
      <c r="D2182" s="89">
        <v>50</v>
      </c>
      <c r="E2182" s="91" t="s">
        <v>10</v>
      </c>
      <c r="F2182" s="92">
        <v>1200000</v>
      </c>
      <c r="G2182" s="92">
        <v>60000000</v>
      </c>
    </row>
    <row r="2183" spans="1:7" ht="28.5" x14ac:dyDescent="0.2">
      <c r="A2183" s="7" t="s">
        <v>3503</v>
      </c>
      <c r="B2183" s="89" t="s">
        <v>195</v>
      </c>
      <c r="C2183" s="90" t="s">
        <v>3504</v>
      </c>
      <c r="D2183" s="89">
        <v>12</v>
      </c>
      <c r="E2183" s="91" t="s">
        <v>10</v>
      </c>
      <c r="F2183" s="92">
        <v>6500000</v>
      </c>
      <c r="G2183" s="92">
        <v>78000000</v>
      </c>
    </row>
    <row r="2184" spans="1:7" ht="15" x14ac:dyDescent="0.2">
      <c r="A2184" s="7" t="s">
        <v>3505</v>
      </c>
      <c r="B2184" s="97" t="s">
        <v>511</v>
      </c>
      <c r="C2184" s="98" t="s">
        <v>191</v>
      </c>
      <c r="D2184" s="97"/>
      <c r="E2184" s="99"/>
      <c r="F2184" s="100"/>
      <c r="G2184" s="100">
        <v>6555695000</v>
      </c>
    </row>
    <row r="2185" spans="1:7" ht="15" x14ac:dyDescent="0.2">
      <c r="A2185" s="7" t="s">
        <v>3506</v>
      </c>
      <c r="B2185" s="78" t="s">
        <v>503</v>
      </c>
      <c r="C2185" s="79" t="s">
        <v>7</v>
      </c>
      <c r="D2185" s="78"/>
      <c r="E2185" s="80"/>
      <c r="F2185" s="81"/>
      <c r="G2185" s="81">
        <v>25000000</v>
      </c>
    </row>
    <row r="2186" spans="1:7" x14ac:dyDescent="0.2">
      <c r="A2186" s="7" t="s">
        <v>3507</v>
      </c>
      <c r="B2186" s="89" t="s">
        <v>195</v>
      </c>
      <c r="C2186" s="90" t="s">
        <v>2745</v>
      </c>
      <c r="D2186" s="89">
        <v>100</v>
      </c>
      <c r="E2186" s="91" t="s">
        <v>10</v>
      </c>
      <c r="F2186" s="92">
        <v>70000</v>
      </c>
      <c r="G2186" s="92">
        <v>7000000</v>
      </c>
    </row>
    <row r="2187" spans="1:7" x14ac:dyDescent="0.2">
      <c r="A2187" s="7" t="s">
        <v>3508</v>
      </c>
      <c r="B2187" s="89" t="s">
        <v>195</v>
      </c>
      <c r="C2187" s="90" t="s">
        <v>3483</v>
      </c>
      <c r="D2187" s="89">
        <v>12</v>
      </c>
      <c r="E2187" s="91" t="s">
        <v>9</v>
      </c>
      <c r="F2187" s="92">
        <v>1500000</v>
      </c>
      <c r="G2187" s="92">
        <v>18000000</v>
      </c>
    </row>
    <row r="2188" spans="1:7" ht="15" x14ac:dyDescent="0.2">
      <c r="A2188" s="7" t="s">
        <v>3509</v>
      </c>
      <c r="B2188" s="78" t="s">
        <v>533</v>
      </c>
      <c r="C2188" s="79" t="s">
        <v>53</v>
      </c>
      <c r="D2188" s="78"/>
      <c r="E2188" s="80"/>
      <c r="F2188" s="81"/>
      <c r="G2188" s="81">
        <v>6308695000</v>
      </c>
    </row>
    <row r="2189" spans="1:7" x14ac:dyDescent="0.2">
      <c r="A2189" s="7" t="s">
        <v>3510</v>
      </c>
      <c r="B2189" s="89" t="s">
        <v>195</v>
      </c>
      <c r="C2189" s="90" t="s">
        <v>3490</v>
      </c>
      <c r="D2189" s="89">
        <v>157</v>
      </c>
      <c r="E2189" s="91" t="s">
        <v>155</v>
      </c>
      <c r="F2189" s="92">
        <v>40130000</v>
      </c>
      <c r="G2189" s="92">
        <v>6300445000</v>
      </c>
    </row>
    <row r="2190" spans="1:7" x14ac:dyDescent="0.2">
      <c r="A2190" s="7" t="s">
        <v>3511</v>
      </c>
      <c r="B2190" s="89" t="s">
        <v>195</v>
      </c>
      <c r="C2190" s="90" t="s">
        <v>785</v>
      </c>
      <c r="D2190" s="89">
        <v>3</v>
      </c>
      <c r="E2190" s="91" t="s">
        <v>9</v>
      </c>
      <c r="F2190" s="92">
        <v>250000</v>
      </c>
      <c r="G2190" s="92">
        <v>750000</v>
      </c>
    </row>
    <row r="2191" spans="1:7" x14ac:dyDescent="0.2">
      <c r="A2191" s="7" t="s">
        <v>3512</v>
      </c>
      <c r="B2191" s="89" t="s">
        <v>195</v>
      </c>
      <c r="C2191" s="90" t="s">
        <v>3513</v>
      </c>
      <c r="D2191" s="89">
        <v>15</v>
      </c>
      <c r="E2191" s="91" t="s">
        <v>106</v>
      </c>
      <c r="F2191" s="92">
        <v>500000</v>
      </c>
      <c r="G2191" s="92">
        <v>7500000</v>
      </c>
    </row>
    <row r="2192" spans="1:7" ht="15" x14ac:dyDescent="0.2">
      <c r="A2192" s="7" t="s">
        <v>3514</v>
      </c>
      <c r="B2192" s="78" t="s">
        <v>537</v>
      </c>
      <c r="C2192" s="79" t="s">
        <v>64</v>
      </c>
      <c r="D2192" s="78"/>
      <c r="E2192" s="80"/>
      <c r="F2192" s="81"/>
      <c r="G2192" s="81">
        <v>30000000</v>
      </c>
    </row>
    <row r="2193" spans="1:7" x14ac:dyDescent="0.2">
      <c r="A2193" s="7" t="s">
        <v>3515</v>
      </c>
      <c r="B2193" s="89" t="s">
        <v>195</v>
      </c>
      <c r="C2193" s="90" t="s">
        <v>620</v>
      </c>
      <c r="D2193" s="89">
        <v>12</v>
      </c>
      <c r="E2193" s="91" t="s">
        <v>9</v>
      </c>
      <c r="F2193" s="92">
        <v>1000000</v>
      </c>
      <c r="G2193" s="92">
        <v>12000000</v>
      </c>
    </row>
    <row r="2194" spans="1:7" x14ac:dyDescent="0.2">
      <c r="A2194" s="7" t="s">
        <v>3516</v>
      </c>
      <c r="B2194" s="89" t="s">
        <v>195</v>
      </c>
      <c r="C2194" s="90" t="s">
        <v>619</v>
      </c>
      <c r="D2194" s="89">
        <v>12</v>
      </c>
      <c r="E2194" s="91" t="s">
        <v>9</v>
      </c>
      <c r="F2194" s="92">
        <v>1500000</v>
      </c>
      <c r="G2194" s="92">
        <v>18000000</v>
      </c>
    </row>
    <row r="2195" spans="1:7" ht="15" x14ac:dyDescent="0.2">
      <c r="A2195" s="7" t="s">
        <v>3517</v>
      </c>
      <c r="B2195" s="78" t="s">
        <v>516</v>
      </c>
      <c r="C2195" s="79" t="s">
        <v>11</v>
      </c>
      <c r="D2195" s="78"/>
      <c r="E2195" s="80"/>
      <c r="F2195" s="81"/>
      <c r="G2195" s="81">
        <v>6000000</v>
      </c>
    </row>
    <row r="2196" spans="1:7" x14ac:dyDescent="0.2">
      <c r="A2196" s="7" t="s">
        <v>3518</v>
      </c>
      <c r="B2196" s="89" t="s">
        <v>195</v>
      </c>
      <c r="C2196" s="90" t="s">
        <v>774</v>
      </c>
      <c r="D2196" s="89">
        <v>6</v>
      </c>
      <c r="E2196" s="91" t="s">
        <v>12</v>
      </c>
      <c r="F2196" s="92">
        <v>1000000</v>
      </c>
      <c r="G2196" s="92">
        <v>6000000</v>
      </c>
    </row>
    <row r="2197" spans="1:7" ht="15" x14ac:dyDescent="0.2">
      <c r="A2197" s="7" t="s">
        <v>3519</v>
      </c>
      <c r="B2197" s="78" t="s">
        <v>513</v>
      </c>
      <c r="C2197" s="79" t="s">
        <v>19</v>
      </c>
      <c r="D2197" s="78"/>
      <c r="E2197" s="80"/>
      <c r="F2197" s="81"/>
      <c r="G2197" s="81">
        <v>186000000</v>
      </c>
    </row>
    <row r="2198" spans="1:7" x14ac:dyDescent="0.2">
      <c r="A2198" s="7" t="s">
        <v>3520</v>
      </c>
      <c r="B2198" s="89" t="s">
        <v>195</v>
      </c>
      <c r="C2198" s="90" t="s">
        <v>3502</v>
      </c>
      <c r="D2198" s="89">
        <v>20</v>
      </c>
      <c r="E2198" s="91" t="s">
        <v>10</v>
      </c>
      <c r="F2198" s="92">
        <v>1500000</v>
      </c>
      <c r="G2198" s="92">
        <v>30000000</v>
      </c>
    </row>
    <row r="2199" spans="1:7" ht="28.5" x14ac:dyDescent="0.2">
      <c r="A2199" s="7" t="s">
        <v>3521</v>
      </c>
      <c r="B2199" s="89" t="s">
        <v>195</v>
      </c>
      <c r="C2199" s="90" t="s">
        <v>3504</v>
      </c>
      <c r="D2199" s="89">
        <v>24</v>
      </c>
      <c r="E2199" s="91" t="s">
        <v>10</v>
      </c>
      <c r="F2199" s="92">
        <v>6500000</v>
      </c>
      <c r="G2199" s="92">
        <v>156000000</v>
      </c>
    </row>
    <row r="2200" spans="1:7" ht="15" x14ac:dyDescent="0.2">
      <c r="A2200" s="7" t="s">
        <v>3522</v>
      </c>
      <c r="B2200" s="97" t="s">
        <v>512</v>
      </c>
      <c r="C2200" s="98" t="s">
        <v>192</v>
      </c>
      <c r="D2200" s="97"/>
      <c r="E2200" s="99"/>
      <c r="F2200" s="100"/>
      <c r="G2200" s="100">
        <v>174041000</v>
      </c>
    </row>
    <row r="2201" spans="1:7" ht="15" x14ac:dyDescent="0.2">
      <c r="A2201" s="7" t="s">
        <v>3523</v>
      </c>
      <c r="B2201" s="78" t="s">
        <v>503</v>
      </c>
      <c r="C2201" s="79" t="s">
        <v>7</v>
      </c>
      <c r="D2201" s="78"/>
      <c r="E2201" s="80"/>
      <c r="F2201" s="81"/>
      <c r="G2201" s="81">
        <v>12000000</v>
      </c>
    </row>
    <row r="2202" spans="1:7" x14ac:dyDescent="0.2">
      <c r="A2202" s="7" t="s">
        <v>3524</v>
      </c>
      <c r="B2202" s="89" t="s">
        <v>195</v>
      </c>
      <c r="C2202" s="90" t="s">
        <v>3483</v>
      </c>
      <c r="D2202" s="89">
        <v>3</v>
      </c>
      <c r="E2202" s="91" t="s">
        <v>9</v>
      </c>
      <c r="F2202" s="92">
        <v>1500000</v>
      </c>
      <c r="G2202" s="92">
        <v>4500000</v>
      </c>
    </row>
    <row r="2203" spans="1:7" x14ac:dyDescent="0.2">
      <c r="A2203" s="7" t="s">
        <v>3525</v>
      </c>
      <c r="B2203" s="89" t="s">
        <v>195</v>
      </c>
      <c r="C2203" s="90" t="s">
        <v>620</v>
      </c>
      <c r="D2203" s="89">
        <v>3</v>
      </c>
      <c r="E2203" s="91" t="s">
        <v>9</v>
      </c>
      <c r="F2203" s="92">
        <v>1000000</v>
      </c>
      <c r="G2203" s="92">
        <v>3000000</v>
      </c>
    </row>
    <row r="2204" spans="1:7" x14ac:dyDescent="0.2">
      <c r="A2204" s="7" t="s">
        <v>3526</v>
      </c>
      <c r="B2204" s="89" t="s">
        <v>195</v>
      </c>
      <c r="C2204" s="90" t="s">
        <v>619</v>
      </c>
      <c r="D2204" s="89">
        <v>3</v>
      </c>
      <c r="E2204" s="91" t="s">
        <v>9</v>
      </c>
      <c r="F2204" s="92">
        <v>1500000</v>
      </c>
      <c r="G2204" s="92">
        <v>4500000</v>
      </c>
    </row>
    <row r="2205" spans="1:7" ht="15" x14ac:dyDescent="0.2">
      <c r="A2205" s="7" t="s">
        <v>3527</v>
      </c>
      <c r="B2205" s="78" t="s">
        <v>533</v>
      </c>
      <c r="C2205" s="79" t="s">
        <v>53</v>
      </c>
      <c r="D2205" s="78"/>
      <c r="E2205" s="80"/>
      <c r="F2205" s="81"/>
      <c r="G2205" s="81">
        <v>20000000</v>
      </c>
    </row>
    <row r="2206" spans="1:7" ht="28.5" x14ac:dyDescent="0.2">
      <c r="A2206" s="7" t="s">
        <v>3528</v>
      </c>
      <c r="B2206" s="89" t="s">
        <v>195</v>
      </c>
      <c r="C2206" s="90" t="s">
        <v>3529</v>
      </c>
      <c r="D2206" s="89">
        <v>2</v>
      </c>
      <c r="E2206" s="91" t="s">
        <v>155</v>
      </c>
      <c r="F2206" s="92">
        <v>10000000</v>
      </c>
      <c r="G2206" s="92">
        <v>20000000</v>
      </c>
    </row>
    <row r="2207" spans="1:7" ht="15" x14ac:dyDescent="0.2">
      <c r="A2207" s="7" t="s">
        <v>3530</v>
      </c>
      <c r="B2207" s="78" t="s">
        <v>1150</v>
      </c>
      <c r="C2207" s="79" t="s">
        <v>1151</v>
      </c>
      <c r="D2207" s="78"/>
      <c r="E2207" s="80"/>
      <c r="F2207" s="81"/>
      <c r="G2207" s="81">
        <v>142041000</v>
      </c>
    </row>
    <row r="2208" spans="1:7" ht="28.5" x14ac:dyDescent="0.2">
      <c r="A2208" s="7" t="s">
        <v>3531</v>
      </c>
      <c r="B2208" s="89" t="s">
        <v>195</v>
      </c>
      <c r="C2208" s="90" t="s">
        <v>3532</v>
      </c>
      <c r="D2208" s="89">
        <v>3</v>
      </c>
      <c r="E2208" s="91" t="s">
        <v>10</v>
      </c>
      <c r="F2208" s="92">
        <v>47347000</v>
      </c>
      <c r="G2208" s="92">
        <v>142041000</v>
      </c>
    </row>
    <row r="2209" spans="1:7" ht="15" x14ac:dyDescent="0.2">
      <c r="A2209" s="7" t="s">
        <v>3533</v>
      </c>
      <c r="B2209" s="97" t="s">
        <v>514</v>
      </c>
      <c r="C2209" s="98" t="s">
        <v>3534</v>
      </c>
      <c r="D2209" s="97"/>
      <c r="E2209" s="99"/>
      <c r="F2209" s="100"/>
      <c r="G2209" s="100">
        <v>30000000</v>
      </c>
    </row>
    <row r="2210" spans="1:7" ht="15" x14ac:dyDescent="0.2">
      <c r="A2210" s="7" t="s">
        <v>3535</v>
      </c>
      <c r="B2210" s="78" t="s">
        <v>518</v>
      </c>
      <c r="C2210" s="79" t="s">
        <v>24</v>
      </c>
      <c r="D2210" s="78"/>
      <c r="E2210" s="80"/>
      <c r="F2210" s="81"/>
      <c r="G2210" s="81">
        <v>30000000</v>
      </c>
    </row>
    <row r="2211" spans="1:7" x14ac:dyDescent="0.2">
      <c r="A2211" s="7" t="s">
        <v>3536</v>
      </c>
      <c r="B2211" s="89" t="s">
        <v>195</v>
      </c>
      <c r="C2211" s="90" t="s">
        <v>3537</v>
      </c>
      <c r="D2211" s="89">
        <v>120</v>
      </c>
      <c r="E2211" s="91" t="s">
        <v>776</v>
      </c>
      <c r="F2211" s="92">
        <v>250000</v>
      </c>
      <c r="G2211" s="92">
        <v>30000000</v>
      </c>
    </row>
    <row r="2212" spans="1:7" ht="15" x14ac:dyDescent="0.2">
      <c r="A2212" s="7" t="s">
        <v>3538</v>
      </c>
      <c r="B2212" s="93" t="s">
        <v>3090</v>
      </c>
      <c r="C2212" s="94" t="s">
        <v>193</v>
      </c>
      <c r="D2212" s="93"/>
      <c r="E2212" s="95"/>
      <c r="F2212" s="96"/>
      <c r="G2212" s="96">
        <v>109200000</v>
      </c>
    </row>
    <row r="2213" spans="1:7" ht="15" x14ac:dyDescent="0.2">
      <c r="A2213" s="7" t="s">
        <v>3539</v>
      </c>
      <c r="B2213" s="97" t="s">
        <v>8</v>
      </c>
      <c r="C2213" s="98" t="s">
        <v>193</v>
      </c>
      <c r="D2213" s="97"/>
      <c r="E2213" s="99"/>
      <c r="F2213" s="100"/>
      <c r="G2213" s="100">
        <v>109200000</v>
      </c>
    </row>
    <row r="2214" spans="1:7" ht="15" x14ac:dyDescent="0.2">
      <c r="A2214" s="7" t="s">
        <v>3540</v>
      </c>
      <c r="B2214" s="78" t="s">
        <v>503</v>
      </c>
      <c r="C2214" s="79" t="s">
        <v>7</v>
      </c>
      <c r="D2214" s="78"/>
      <c r="E2214" s="80"/>
      <c r="F2214" s="81"/>
      <c r="G2214" s="81">
        <v>25000000</v>
      </c>
    </row>
    <row r="2215" spans="1:7" x14ac:dyDescent="0.2">
      <c r="A2215" s="7" t="s">
        <v>3541</v>
      </c>
      <c r="B2215" s="89" t="s">
        <v>195</v>
      </c>
      <c r="C2215" s="90" t="s">
        <v>2745</v>
      </c>
      <c r="D2215" s="89">
        <v>100</v>
      </c>
      <c r="E2215" s="91" t="s">
        <v>10</v>
      </c>
      <c r="F2215" s="92">
        <v>70000</v>
      </c>
      <c r="G2215" s="92">
        <v>7000000</v>
      </c>
    </row>
    <row r="2216" spans="1:7" x14ac:dyDescent="0.2">
      <c r="A2216" s="7" t="s">
        <v>3542</v>
      </c>
      <c r="B2216" s="89" t="s">
        <v>195</v>
      </c>
      <c r="C2216" s="90" t="s">
        <v>3483</v>
      </c>
      <c r="D2216" s="89">
        <v>12</v>
      </c>
      <c r="E2216" s="91" t="s">
        <v>9</v>
      </c>
      <c r="F2216" s="92">
        <v>1500000</v>
      </c>
      <c r="G2216" s="92">
        <v>18000000</v>
      </c>
    </row>
    <row r="2217" spans="1:7" ht="15" x14ac:dyDescent="0.2">
      <c r="A2217" s="7" t="s">
        <v>3543</v>
      </c>
      <c r="B2217" s="78" t="s">
        <v>537</v>
      </c>
      <c r="C2217" s="79" t="s">
        <v>64</v>
      </c>
      <c r="D2217" s="78"/>
      <c r="E2217" s="80"/>
      <c r="F2217" s="81"/>
      <c r="G2217" s="81">
        <v>30000000</v>
      </c>
    </row>
    <row r="2218" spans="1:7" x14ac:dyDescent="0.2">
      <c r="A2218" s="7" t="s">
        <v>3544</v>
      </c>
      <c r="B2218" s="89" t="s">
        <v>195</v>
      </c>
      <c r="C2218" s="90" t="s">
        <v>620</v>
      </c>
      <c r="D2218" s="89">
        <v>12</v>
      </c>
      <c r="E2218" s="91" t="s">
        <v>9</v>
      </c>
      <c r="F2218" s="92">
        <v>1000000</v>
      </c>
      <c r="G2218" s="92">
        <v>12000000</v>
      </c>
    </row>
    <row r="2219" spans="1:7" x14ac:dyDescent="0.2">
      <c r="A2219" s="7" t="s">
        <v>3545</v>
      </c>
      <c r="B2219" s="89" t="s">
        <v>195</v>
      </c>
      <c r="C2219" s="90" t="s">
        <v>619</v>
      </c>
      <c r="D2219" s="89">
        <v>12</v>
      </c>
      <c r="E2219" s="91" t="s">
        <v>9</v>
      </c>
      <c r="F2219" s="92">
        <v>1500000</v>
      </c>
      <c r="G2219" s="92">
        <v>18000000</v>
      </c>
    </row>
    <row r="2220" spans="1:7" ht="15" x14ac:dyDescent="0.2">
      <c r="A2220" s="7" t="s">
        <v>3546</v>
      </c>
      <c r="B2220" s="78" t="s">
        <v>513</v>
      </c>
      <c r="C2220" s="79" t="s">
        <v>19</v>
      </c>
      <c r="D2220" s="78"/>
      <c r="E2220" s="80"/>
      <c r="F2220" s="81"/>
      <c r="G2220" s="81">
        <v>54200000</v>
      </c>
    </row>
    <row r="2221" spans="1:7" ht="28.5" x14ac:dyDescent="0.2">
      <c r="A2221" s="7" t="s">
        <v>3547</v>
      </c>
      <c r="B2221" s="89" t="s">
        <v>195</v>
      </c>
      <c r="C2221" s="90" t="s">
        <v>3548</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79" r:id="rId4" name="cmdWarna">
          <controlPr defaultSize="0" autoLine="0" r:id="rId5">
            <anchor moveWithCells="1">
              <from>
                <xdr:col>8</xdr:col>
                <xdr:colOff>533400</xdr:colOff>
                <xdr:row>21</xdr:row>
                <xdr:rowOff>142875</xdr:rowOff>
              </from>
              <to>
                <xdr:col>9</xdr:col>
                <xdr:colOff>57150</xdr:colOff>
                <xdr:row>23</xdr:row>
                <xdr:rowOff>66675</xdr:rowOff>
              </to>
            </anchor>
          </controlPr>
        </control>
      </mc:Choice>
      <mc:Fallback>
        <control shapeId="7179" r:id="rId4" name="cmdWarna"/>
      </mc:Fallback>
    </mc:AlternateContent>
    <mc:AlternateContent xmlns:mc="http://schemas.openxmlformats.org/markup-compatibility/2006">
      <mc:Choice Requires="x14">
        <control shapeId="7171" r:id="rId6" name="cmdSetColor">
          <controlPr defaultSize="0" autoLine="0" autoPict="0" r:id="rId7">
            <anchor moveWithCells="1">
              <from>
                <xdr:col>8</xdr:col>
                <xdr:colOff>733425</xdr:colOff>
                <xdr:row>587</xdr:row>
                <xdr:rowOff>0</xdr:rowOff>
              </from>
              <to>
                <xdr:col>9</xdr:col>
                <xdr:colOff>9525</xdr:colOff>
                <xdr:row>589</xdr:row>
                <xdr:rowOff>19050</xdr:rowOff>
              </to>
            </anchor>
          </controlPr>
        </control>
      </mc:Choice>
      <mc:Fallback>
        <control shapeId="7171" r:id="rId6" name="cmdSetColor"/>
      </mc:Fallback>
    </mc:AlternateContent>
    <mc:AlternateContent xmlns:mc="http://schemas.openxmlformats.org/markup-compatibility/2006">
      <mc:Choice Requires="x14">
        <control shapeId="7170" r:id="rId8" name="getColorRKA">
          <controlPr defaultSize="0" autoLine="0" r:id="rId9">
            <anchor moveWithCells="1">
              <from>
                <xdr:col>8</xdr:col>
                <xdr:colOff>0</xdr:colOff>
                <xdr:row>587</xdr:row>
                <xdr:rowOff>0</xdr:rowOff>
              </from>
              <to>
                <xdr:col>8</xdr:col>
                <xdr:colOff>1171575</xdr:colOff>
                <xdr:row>588</xdr:row>
                <xdr:rowOff>161925</xdr:rowOff>
              </to>
            </anchor>
          </controlPr>
        </control>
      </mc:Choice>
      <mc:Fallback>
        <control shapeId="7170" r:id="rId8" name="getColorRKA"/>
      </mc:Fallback>
    </mc:AlternateContent>
    <mc:AlternateContent xmlns:mc="http://schemas.openxmlformats.org/markup-compatibility/2006">
      <mc:Choice Requires="x14">
        <control shapeId="7169" r:id="rId10" name="cmdGetAkun">
          <controlPr defaultSize="0" autoLine="0" autoPict="0" r:id="rId11">
            <anchor moveWithCells="1">
              <from>
                <xdr:col>8</xdr:col>
                <xdr:colOff>323850</xdr:colOff>
                <xdr:row>1</xdr:row>
                <xdr:rowOff>19050</xdr:rowOff>
              </from>
              <to>
                <xdr:col>8</xdr:col>
                <xdr:colOff>1400175</xdr:colOff>
                <xdr:row>3</xdr:row>
                <xdr:rowOff>0</xdr:rowOff>
              </to>
            </anchor>
          </controlPr>
        </control>
      </mc:Choice>
      <mc:Fallback>
        <control shapeId="7169" r:id="rId10" name="cmdGetAkun"/>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133350</xdr:rowOff>
              </from>
              <to>
                <xdr:col>9</xdr:col>
                <xdr:colOff>495300</xdr:colOff>
                <xdr:row>15</xdr:row>
                <xdr:rowOff>9525</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47625</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142875</xdr:colOff>
                <xdr:row>17</xdr:row>
                <xdr:rowOff>95250</xdr:rowOff>
              </from>
              <to>
                <xdr:col>9</xdr:col>
                <xdr:colOff>447675</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142875</xdr:colOff>
                <xdr:row>17</xdr:row>
                <xdr:rowOff>323850</xdr:rowOff>
              </from>
              <to>
                <xdr:col>9</xdr:col>
                <xdr:colOff>447675</xdr:colOff>
                <xdr:row>19</xdr:row>
                <xdr:rowOff>28575</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142875</xdr:colOff>
                <xdr:row>18</xdr:row>
                <xdr:rowOff>161925</xdr:rowOff>
              </from>
              <to>
                <xdr:col>9</xdr:col>
                <xdr:colOff>447675</xdr:colOff>
                <xdr:row>20</xdr:row>
                <xdr:rowOff>28575</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142875</xdr:colOff>
                <xdr:row>19</xdr:row>
                <xdr:rowOff>171450</xdr:rowOff>
              </from>
              <to>
                <xdr:col>9</xdr:col>
                <xdr:colOff>447675</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171450</xdr:colOff>
                <xdr:row>15</xdr:row>
                <xdr:rowOff>57150</xdr:rowOff>
              </from>
              <to>
                <xdr:col>9</xdr:col>
                <xdr:colOff>476250</xdr:colOff>
                <xdr:row>15</xdr:row>
                <xdr:rowOff>285750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A8653-91BA-4C0C-9F0F-8D30BA2011BC}">
  <sheetPr codeName="Sheet13">
    <pageSetUpPr fitToPage="1"/>
  </sheetPr>
  <dimension ref="A1:M57"/>
  <sheetViews>
    <sheetView showGridLines="0" topLeftCell="B1" zoomScaleNormal="100" zoomScaleSheetLayoutView="100" workbookViewId="0">
      <pane xSplit="2" ySplit="11" topLeftCell="I12" activePane="bottomRight" state="frozen"/>
      <selection activeCell="B1" sqref="B1"/>
      <selection pane="topRight" activeCell="D1" sqref="D1"/>
      <selection pane="bottomLeft" activeCell="B12" sqref="B12"/>
      <selection pane="bottomRight" activeCell="G15" activeCellId="1" sqref="B15:C15 G15:H15"/>
    </sheetView>
  </sheetViews>
  <sheetFormatPr defaultColWidth="9.140625" defaultRowHeight="12.75" x14ac:dyDescent="0.2"/>
  <cols>
    <col min="1" max="1" width="37.7109375" style="131" hidden="1" customWidth="1"/>
    <col min="2" max="2" width="20.28515625" style="126"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11" width="16.85546875" style="135" customWidth="1"/>
    <col min="12" max="12" width="19.28515625" style="109" customWidth="1"/>
    <col min="13" max="13" width="14" style="109" bestFit="1" customWidth="1"/>
    <col min="14" max="14" width="14.5703125" style="109" customWidth="1"/>
    <col min="15" max="16384" width="9.140625" style="109"/>
  </cols>
  <sheetData>
    <row r="1" spans="1:13" ht="15.75" x14ac:dyDescent="0.2">
      <c r="B1" s="442" t="s">
        <v>598</v>
      </c>
      <c r="C1" s="442"/>
      <c r="D1" s="442"/>
      <c r="E1" s="442"/>
      <c r="F1" s="442"/>
      <c r="G1" s="450"/>
      <c r="H1" s="269"/>
      <c r="I1" s="269"/>
      <c r="J1" s="269"/>
      <c r="K1" s="269"/>
    </row>
    <row r="2" spans="1:13" ht="15.75" x14ac:dyDescent="0.25">
      <c r="B2" s="451" t="s">
        <v>4186</v>
      </c>
      <c r="C2" s="451"/>
      <c r="D2" s="451"/>
      <c r="E2" s="451"/>
      <c r="F2" s="451"/>
      <c r="G2" s="452"/>
      <c r="H2" s="271"/>
      <c r="I2" s="271"/>
      <c r="J2" s="271"/>
      <c r="K2" s="271"/>
    </row>
    <row r="3" spans="1:13" ht="15.75" x14ac:dyDescent="0.25">
      <c r="B3" s="270"/>
      <c r="C3" s="270"/>
      <c r="D3" s="270"/>
      <c r="E3" s="270"/>
      <c r="F3" s="270"/>
      <c r="G3" s="271"/>
      <c r="H3" s="271"/>
      <c r="I3" s="271"/>
      <c r="J3" s="271"/>
      <c r="K3" s="271"/>
    </row>
    <row r="4" spans="1:13" ht="15" x14ac:dyDescent="0.2">
      <c r="B4" s="138" t="s">
        <v>599</v>
      </c>
      <c r="C4" s="138" t="s">
        <v>600</v>
      </c>
      <c r="D4" s="139"/>
      <c r="E4" s="139"/>
      <c r="F4" s="138"/>
      <c r="G4" s="140"/>
      <c r="H4" s="140"/>
      <c r="I4" s="140"/>
      <c r="J4" s="140"/>
      <c r="K4" s="140"/>
    </row>
    <row r="5" spans="1:13" ht="15" x14ac:dyDescent="0.2">
      <c r="B5" s="138" t="s">
        <v>601</v>
      </c>
      <c r="C5" s="138" t="s">
        <v>602</v>
      </c>
      <c r="D5" s="53"/>
      <c r="E5" s="53"/>
      <c r="F5" s="50"/>
      <c r="G5" s="122"/>
      <c r="H5" s="122"/>
      <c r="I5" s="122"/>
      <c r="J5" s="122"/>
      <c r="K5" s="122"/>
    </row>
    <row r="6" spans="1:13" ht="15" x14ac:dyDescent="0.2">
      <c r="B6" s="138" t="s">
        <v>603</v>
      </c>
      <c r="C6" s="138" t="s">
        <v>604</v>
      </c>
      <c r="D6" s="53"/>
      <c r="E6" s="53"/>
      <c r="F6" s="50"/>
      <c r="G6" s="122"/>
      <c r="H6" s="122"/>
      <c r="I6" s="122"/>
      <c r="J6" s="122"/>
      <c r="K6" s="122"/>
    </row>
    <row r="7" spans="1:13" ht="15.75" x14ac:dyDescent="0.25">
      <c r="B7" s="138" t="s">
        <v>605</v>
      </c>
      <c r="C7" s="141" t="str">
        <f>":  Rp. " &amp; TEXT(G12,"#.##")</f>
        <v>:  Rp. 6.478.996.000</v>
      </c>
      <c r="D7" s="53"/>
      <c r="E7" s="53"/>
      <c r="F7" s="50"/>
      <c r="G7" s="122"/>
      <c r="H7" s="122"/>
      <c r="I7" s="122"/>
      <c r="J7" s="122"/>
      <c r="K7" s="122"/>
    </row>
    <row r="8" spans="1:13" ht="15" x14ac:dyDescent="0.2">
      <c r="B8" s="142"/>
      <c r="C8" s="142"/>
      <c r="D8" s="142"/>
      <c r="E8" s="142"/>
      <c r="F8" s="142"/>
      <c r="G8" s="143"/>
      <c r="H8" s="143"/>
      <c r="I8" s="143"/>
      <c r="J8" s="143"/>
      <c r="K8" s="143"/>
    </row>
    <row r="9" spans="1:13" ht="15" customHeight="1" x14ac:dyDescent="0.2">
      <c r="B9" s="453" t="s">
        <v>606</v>
      </c>
      <c r="C9" s="454" t="s">
        <v>607</v>
      </c>
      <c r="D9" s="455" t="s">
        <v>608</v>
      </c>
      <c r="E9" s="453" t="s">
        <v>609</v>
      </c>
      <c r="F9" s="455" t="s">
        <v>610</v>
      </c>
      <c r="G9" s="449" t="s">
        <v>3848</v>
      </c>
      <c r="H9" s="449" t="s">
        <v>3849</v>
      </c>
      <c r="I9" s="449" t="s">
        <v>3846</v>
      </c>
      <c r="J9" s="449" t="s">
        <v>3850</v>
      </c>
      <c r="K9" s="449" t="s">
        <v>3846</v>
      </c>
    </row>
    <row r="10" spans="1:13" s="133" customFormat="1" ht="14.25" customHeight="1" x14ac:dyDescent="0.2">
      <c r="A10" s="132" t="s">
        <v>499</v>
      </c>
      <c r="B10" s="445"/>
      <c r="C10" s="445"/>
      <c r="D10" s="448"/>
      <c r="E10" s="448"/>
      <c r="F10" s="445"/>
      <c r="G10" s="445"/>
      <c r="H10" s="449"/>
      <c r="I10" s="449"/>
      <c r="J10" s="449"/>
      <c r="K10" s="449"/>
    </row>
    <row r="11" spans="1:13" s="133" customFormat="1" x14ac:dyDescent="0.2">
      <c r="A11" s="132"/>
      <c r="B11" s="129">
        <v>1</v>
      </c>
      <c r="C11" s="129">
        <v>2</v>
      </c>
      <c r="D11" s="129">
        <v>3</v>
      </c>
      <c r="E11" s="129">
        <v>4</v>
      </c>
      <c r="F11" s="129">
        <v>5</v>
      </c>
      <c r="G11" s="130">
        <v>6</v>
      </c>
      <c r="H11" s="129">
        <v>7</v>
      </c>
      <c r="I11" s="130">
        <v>8</v>
      </c>
      <c r="J11" s="129">
        <v>9</v>
      </c>
      <c r="K11" s="130">
        <v>10</v>
      </c>
    </row>
    <row r="12" spans="1:13" s="133" customFormat="1" x14ac:dyDescent="0.2">
      <c r="A12" s="132"/>
      <c r="B12" s="110"/>
      <c r="C12" s="111" t="s">
        <v>613</v>
      </c>
      <c r="D12" s="112"/>
      <c r="E12" s="113"/>
      <c r="F12" s="112"/>
      <c r="G12" s="128">
        <f t="shared" ref="G12:H14" si="0">G13</f>
        <v>6478996000</v>
      </c>
      <c r="H12" s="154">
        <f t="shared" si="0"/>
        <v>2186906895</v>
      </c>
      <c r="I12" s="274">
        <f t="shared" ref="I12:I17" si="1">H12/G12*100</f>
        <v>33.753792948784039</v>
      </c>
      <c r="J12" s="128">
        <f t="shared" ref="J12:J17" si="2">G12-H12</f>
        <v>4292089105</v>
      </c>
      <c r="K12" s="274">
        <f t="shared" ref="K12:K17" si="3">J12/G12*100</f>
        <v>66.246207051215961</v>
      </c>
    </row>
    <row r="13" spans="1:13" ht="14.25" x14ac:dyDescent="0.2">
      <c r="A13" s="7" t="s">
        <v>0</v>
      </c>
      <c r="B13" s="145" t="s">
        <v>0</v>
      </c>
      <c r="C13" s="144" t="s">
        <v>1</v>
      </c>
      <c r="D13" s="145"/>
      <c r="E13" s="145"/>
      <c r="F13" s="146"/>
      <c r="G13" s="146">
        <f t="shared" si="0"/>
        <v>6478996000</v>
      </c>
      <c r="H13" s="275">
        <f t="shared" si="0"/>
        <v>2186906895</v>
      </c>
      <c r="I13" s="274">
        <f t="shared" si="1"/>
        <v>33.753792948784039</v>
      </c>
      <c r="J13" s="128">
        <f t="shared" si="2"/>
        <v>4292089105</v>
      </c>
      <c r="K13" s="274">
        <f t="shared" si="3"/>
        <v>66.246207051215961</v>
      </c>
    </row>
    <row r="14" spans="1:13" ht="14.25" x14ac:dyDescent="0.2">
      <c r="A14" s="7" t="s">
        <v>1699</v>
      </c>
      <c r="B14" s="145" t="s">
        <v>3673</v>
      </c>
      <c r="C14" s="144" t="s">
        <v>1701</v>
      </c>
      <c r="D14" s="145">
        <v>1</v>
      </c>
      <c r="E14" s="145" t="s">
        <v>3627</v>
      </c>
      <c r="F14" s="146"/>
      <c r="G14" s="146">
        <f t="shared" si="0"/>
        <v>6478996000</v>
      </c>
      <c r="H14" s="276">
        <f t="shared" si="0"/>
        <v>2186906895</v>
      </c>
      <c r="I14" s="274">
        <f t="shared" si="1"/>
        <v>33.753792948784039</v>
      </c>
      <c r="J14" s="128">
        <f t="shared" si="2"/>
        <v>4292089105</v>
      </c>
      <c r="K14" s="274">
        <f t="shared" si="3"/>
        <v>66.246207051215961</v>
      </c>
    </row>
    <row r="15" spans="1:13" ht="14.25" x14ac:dyDescent="0.2">
      <c r="A15" s="7" t="s">
        <v>1702</v>
      </c>
      <c r="B15" s="148" t="s">
        <v>501</v>
      </c>
      <c r="C15" s="147" t="s">
        <v>76</v>
      </c>
      <c r="D15" s="148"/>
      <c r="E15" s="148"/>
      <c r="F15" s="149"/>
      <c r="G15" s="149">
        <f>SUM(G16,G55)</f>
        <v>6478996000</v>
      </c>
      <c r="H15" s="277">
        <f>SUM(H16,H55)</f>
        <v>2186906895</v>
      </c>
      <c r="I15" s="274">
        <f t="shared" si="1"/>
        <v>33.753792948784039</v>
      </c>
      <c r="J15" s="128">
        <f t="shared" si="2"/>
        <v>4292089105</v>
      </c>
      <c r="K15" s="274">
        <f t="shared" si="3"/>
        <v>66.246207051215961</v>
      </c>
    </row>
    <row r="16" spans="1:13" ht="14.25" x14ac:dyDescent="0.2">
      <c r="A16" s="7" t="s">
        <v>1806</v>
      </c>
      <c r="B16" s="145" t="s">
        <v>1807</v>
      </c>
      <c r="C16" s="144" t="s">
        <v>1808</v>
      </c>
      <c r="D16" s="145"/>
      <c r="E16" s="145"/>
      <c r="F16" s="146"/>
      <c r="G16" s="146">
        <f>SUM(G17,G21,G25,G29,G33,G37,G41,G45,G47,G49,G53)</f>
        <v>6155047000</v>
      </c>
      <c r="H16" s="276">
        <f>H17+H21+H25+H29+H33+H37+H41+H45+H47+H49+H53</f>
        <v>2186906895</v>
      </c>
      <c r="I16" s="274">
        <f t="shared" si="1"/>
        <v>35.53030374910216</v>
      </c>
      <c r="J16" s="128">
        <f t="shared" si="2"/>
        <v>3968140105</v>
      </c>
      <c r="K16" s="274">
        <f t="shared" si="3"/>
        <v>64.46969625089784</v>
      </c>
      <c r="L16" s="279">
        <v>210863345</v>
      </c>
      <c r="M16" s="280">
        <f>H16-L16</f>
        <v>1976043550</v>
      </c>
    </row>
    <row r="17" spans="1:13" ht="14.25" x14ac:dyDescent="0.2">
      <c r="A17" s="7" t="s">
        <v>1809</v>
      </c>
      <c r="B17" s="145">
        <v>511111</v>
      </c>
      <c r="C17" s="144" t="s">
        <v>77</v>
      </c>
      <c r="D17" s="145"/>
      <c r="E17" s="145"/>
      <c r="F17" s="146"/>
      <c r="G17" s="146">
        <f>SUM(G18:G20)</f>
        <v>2483477000</v>
      </c>
      <c r="H17" s="276">
        <v>1010194000</v>
      </c>
      <c r="I17" s="274">
        <f t="shared" si="1"/>
        <v>40.676599783287706</v>
      </c>
      <c r="J17" s="128">
        <f t="shared" si="2"/>
        <v>1473283000</v>
      </c>
      <c r="K17" s="274">
        <f t="shared" si="3"/>
        <v>59.323400216712294</v>
      </c>
      <c r="L17" s="280">
        <v>165522900</v>
      </c>
      <c r="M17" s="280"/>
    </row>
    <row r="18" spans="1:13" ht="14.25" hidden="1" x14ac:dyDescent="0.2">
      <c r="A18" s="7" t="s">
        <v>1810</v>
      </c>
      <c r="B18" s="124"/>
      <c r="C18" s="123" t="s">
        <v>3674</v>
      </c>
      <c r="D18" s="124">
        <v>1</v>
      </c>
      <c r="E18" s="124" t="s">
        <v>97</v>
      </c>
      <c r="F18" s="125">
        <v>180000000</v>
      </c>
      <c r="G18" s="125">
        <f>ROUNDDOWN(D18*F18,-3)</f>
        <v>180000000</v>
      </c>
      <c r="H18" s="273"/>
      <c r="I18" s="125"/>
      <c r="J18" s="125"/>
      <c r="K18" s="125"/>
    </row>
    <row r="19" spans="1:13" ht="14.25" hidden="1" x14ac:dyDescent="0.2">
      <c r="A19" s="7" t="s">
        <v>1811</v>
      </c>
      <c r="B19" s="124"/>
      <c r="C19" s="123" t="s">
        <v>3675</v>
      </c>
      <c r="D19" s="124">
        <v>1</v>
      </c>
      <c r="E19" s="124" t="s">
        <v>60</v>
      </c>
      <c r="F19" s="125">
        <v>2123477000</v>
      </c>
      <c r="G19" s="125">
        <f>ROUNDDOWN(D19*F19,-3)</f>
        <v>2123477000</v>
      </c>
      <c r="H19" s="273"/>
      <c r="I19" s="125"/>
      <c r="J19" s="125"/>
      <c r="K19" s="125"/>
    </row>
    <row r="20" spans="1:13" ht="14.25" hidden="1" x14ac:dyDescent="0.2">
      <c r="A20" s="7" t="s">
        <v>1812</v>
      </c>
      <c r="B20" s="124"/>
      <c r="C20" s="123" t="s">
        <v>3676</v>
      </c>
      <c r="D20" s="124">
        <v>1</v>
      </c>
      <c r="E20" s="124" t="s">
        <v>97</v>
      </c>
      <c r="F20" s="125">
        <v>180000000</v>
      </c>
      <c r="G20" s="125">
        <f>ROUNDDOWN(D20*F20,-3)</f>
        <v>180000000</v>
      </c>
      <c r="H20" s="273"/>
      <c r="I20" s="125"/>
      <c r="J20" s="125"/>
      <c r="K20" s="125"/>
    </row>
    <row r="21" spans="1:13" ht="14.25" x14ac:dyDescent="0.2">
      <c r="A21" s="7" t="s">
        <v>1813</v>
      </c>
      <c r="B21" s="145">
        <v>511119</v>
      </c>
      <c r="C21" s="144" t="s">
        <v>79</v>
      </c>
      <c r="D21" s="145"/>
      <c r="E21" s="145"/>
      <c r="F21" s="146"/>
      <c r="G21" s="146">
        <f>SUM(G22:G24)</f>
        <v>38000</v>
      </c>
      <c r="H21" s="276">
        <v>15786</v>
      </c>
      <c r="I21" s="274">
        <f>H21/G21*100</f>
        <v>41.5421052631579</v>
      </c>
      <c r="J21" s="128">
        <f>G21-H21</f>
        <v>22214</v>
      </c>
      <c r="K21" s="274">
        <f>J21/G21*100</f>
        <v>58.457894736842107</v>
      </c>
      <c r="L21" s="280">
        <v>2454</v>
      </c>
    </row>
    <row r="22" spans="1:13" ht="14.25" hidden="1" x14ac:dyDescent="0.2">
      <c r="A22" s="7" t="s">
        <v>1814</v>
      </c>
      <c r="B22" s="124"/>
      <c r="C22" s="123" t="s">
        <v>3677</v>
      </c>
      <c r="D22" s="124">
        <v>1</v>
      </c>
      <c r="E22" s="124" t="s">
        <v>97</v>
      </c>
      <c r="F22" s="125">
        <v>3000</v>
      </c>
      <c r="G22" s="125">
        <f>ROUNDDOWN(D22*F22,-3)</f>
        <v>3000</v>
      </c>
      <c r="H22" s="273"/>
      <c r="I22" s="125"/>
      <c r="J22" s="125"/>
      <c r="K22" s="125"/>
    </row>
    <row r="23" spans="1:13" ht="14.25" hidden="1" x14ac:dyDescent="0.2">
      <c r="A23" s="7" t="s">
        <v>1815</v>
      </c>
      <c r="B23" s="124"/>
      <c r="C23" s="123" t="s">
        <v>3678</v>
      </c>
      <c r="D23" s="124">
        <v>1</v>
      </c>
      <c r="E23" s="124" t="s">
        <v>153</v>
      </c>
      <c r="F23" s="125">
        <v>32000</v>
      </c>
      <c r="G23" s="125">
        <f>ROUNDDOWN(D23*F23,-3)</f>
        <v>32000</v>
      </c>
      <c r="H23" s="273"/>
      <c r="I23" s="125"/>
      <c r="J23" s="125"/>
      <c r="K23" s="125"/>
    </row>
    <row r="24" spans="1:13" ht="14.25" hidden="1" x14ac:dyDescent="0.2">
      <c r="A24" s="7" t="s">
        <v>1816</v>
      </c>
      <c r="B24" s="124"/>
      <c r="C24" s="123" t="s">
        <v>3679</v>
      </c>
      <c r="D24" s="124">
        <v>1</v>
      </c>
      <c r="E24" s="124" t="s">
        <v>97</v>
      </c>
      <c r="F24" s="125">
        <v>3000</v>
      </c>
      <c r="G24" s="125">
        <f>ROUNDDOWN(D24*F24,-3)</f>
        <v>3000</v>
      </c>
      <c r="H24" s="273"/>
      <c r="I24" s="125"/>
      <c r="J24" s="125"/>
      <c r="K24" s="125"/>
    </row>
    <row r="25" spans="1:13" ht="14.25" x14ac:dyDescent="0.2">
      <c r="A25" s="7" t="s">
        <v>1817</v>
      </c>
      <c r="B25" s="145">
        <v>511121</v>
      </c>
      <c r="C25" s="144" t="s">
        <v>80</v>
      </c>
      <c r="D25" s="145"/>
      <c r="E25" s="145"/>
      <c r="F25" s="146"/>
      <c r="G25" s="146">
        <f>SUM(G26:G28)</f>
        <v>171959000</v>
      </c>
      <c r="H25" s="276">
        <v>65751610</v>
      </c>
      <c r="I25" s="274">
        <f>H25/G25*100</f>
        <v>38.236794817369258</v>
      </c>
      <c r="J25" s="128">
        <f>G25-H25</f>
        <v>106207390</v>
      </c>
      <c r="K25" s="274">
        <f>J25/G25*100</f>
        <v>61.763205182630742</v>
      </c>
      <c r="L25" s="280">
        <v>10849200</v>
      </c>
    </row>
    <row r="26" spans="1:13" ht="14.25" hidden="1" x14ac:dyDescent="0.2">
      <c r="A26" s="7" t="s">
        <v>1818</v>
      </c>
      <c r="B26" s="124"/>
      <c r="C26" s="123" t="s">
        <v>3680</v>
      </c>
      <c r="D26" s="124">
        <v>1</v>
      </c>
      <c r="E26" s="124" t="s">
        <v>153</v>
      </c>
      <c r="F26" s="125">
        <v>147267000</v>
      </c>
      <c r="G26" s="125">
        <f>ROUNDDOWN(D26*F26,-3)</f>
        <v>147267000</v>
      </c>
      <c r="H26" s="273"/>
      <c r="I26" s="125"/>
      <c r="J26" s="125"/>
      <c r="K26" s="125"/>
    </row>
    <row r="27" spans="1:13" ht="14.25" hidden="1" x14ac:dyDescent="0.2">
      <c r="A27" s="7" t="s">
        <v>1819</v>
      </c>
      <c r="B27" s="124"/>
      <c r="C27" s="123" t="s">
        <v>3681</v>
      </c>
      <c r="D27" s="124">
        <v>1</v>
      </c>
      <c r="E27" s="124" t="s">
        <v>97</v>
      </c>
      <c r="F27" s="125">
        <v>12494000</v>
      </c>
      <c r="G27" s="125">
        <f>ROUNDDOWN(D27*F27,-3)</f>
        <v>12494000</v>
      </c>
      <c r="H27" s="273"/>
      <c r="I27" s="125"/>
      <c r="J27" s="125"/>
      <c r="K27" s="125"/>
    </row>
    <row r="28" spans="1:13" ht="14.25" hidden="1" x14ac:dyDescent="0.2">
      <c r="A28" s="7" t="s">
        <v>1820</v>
      </c>
      <c r="B28" s="124"/>
      <c r="C28" s="123" t="s">
        <v>3682</v>
      </c>
      <c r="D28" s="124">
        <v>1</v>
      </c>
      <c r="E28" s="124" t="s">
        <v>97</v>
      </c>
      <c r="F28" s="125">
        <v>12198000</v>
      </c>
      <c r="G28" s="125">
        <f>ROUNDDOWN(D28*F28,-3)</f>
        <v>12198000</v>
      </c>
      <c r="H28" s="273"/>
      <c r="I28" s="125"/>
      <c r="J28" s="125"/>
      <c r="K28" s="125"/>
    </row>
    <row r="29" spans="1:13" ht="14.25" x14ac:dyDescent="0.2">
      <c r="A29" s="7" t="s">
        <v>1821</v>
      </c>
      <c r="B29" s="145">
        <v>511122</v>
      </c>
      <c r="C29" s="144" t="s">
        <v>81</v>
      </c>
      <c r="D29" s="145"/>
      <c r="E29" s="145"/>
      <c r="F29" s="146"/>
      <c r="G29" s="146">
        <f>SUM(G30:G32)</f>
        <v>46700000</v>
      </c>
      <c r="H29" s="276">
        <v>19499258</v>
      </c>
      <c r="I29" s="274">
        <f>H29/G29*100</f>
        <v>41.754299785867239</v>
      </c>
      <c r="J29" s="128">
        <f>G29-H29</f>
        <v>27200742</v>
      </c>
      <c r="K29" s="274">
        <f>J29/G29*100</f>
        <v>58.245700214132768</v>
      </c>
      <c r="L29" s="280">
        <v>3260746</v>
      </c>
    </row>
    <row r="30" spans="1:13" ht="14.25" hidden="1" x14ac:dyDescent="0.2">
      <c r="A30" s="7" t="s">
        <v>1822</v>
      </c>
      <c r="B30" s="124"/>
      <c r="C30" s="123" t="s">
        <v>3683</v>
      </c>
      <c r="D30" s="124">
        <v>1</v>
      </c>
      <c r="E30" s="124" t="s">
        <v>97</v>
      </c>
      <c r="F30" s="125">
        <v>3282000</v>
      </c>
      <c r="G30" s="125">
        <f>ROUNDDOWN(D30*F30,-3)</f>
        <v>3282000</v>
      </c>
      <c r="H30" s="273"/>
      <c r="I30" s="125"/>
      <c r="J30" s="125"/>
      <c r="K30" s="125"/>
    </row>
    <row r="31" spans="1:13" ht="14.25" hidden="1" x14ac:dyDescent="0.2">
      <c r="A31" s="7" t="s">
        <v>1823</v>
      </c>
      <c r="B31" s="124"/>
      <c r="C31" s="123" t="s">
        <v>3684</v>
      </c>
      <c r="D31" s="124">
        <v>1</v>
      </c>
      <c r="E31" s="124" t="s">
        <v>153</v>
      </c>
      <c r="F31" s="125">
        <v>40080000</v>
      </c>
      <c r="G31" s="125">
        <f>ROUNDDOWN(D31*F31,-3)</f>
        <v>40080000</v>
      </c>
      <c r="H31" s="273"/>
      <c r="I31" s="125"/>
      <c r="J31" s="125"/>
      <c r="K31" s="125"/>
    </row>
    <row r="32" spans="1:13" ht="14.25" hidden="1" x14ac:dyDescent="0.2">
      <c r="A32" s="7" t="s">
        <v>1824</v>
      </c>
      <c r="B32" s="124"/>
      <c r="C32" s="123" t="s">
        <v>3685</v>
      </c>
      <c r="D32" s="124">
        <v>1</v>
      </c>
      <c r="E32" s="124" t="s">
        <v>97</v>
      </c>
      <c r="F32" s="125">
        <v>3338000</v>
      </c>
      <c r="G32" s="125">
        <f>ROUNDDOWN(D32*F32,-3)</f>
        <v>3338000</v>
      </c>
      <c r="H32" s="273"/>
      <c r="I32" s="125"/>
      <c r="J32" s="125"/>
      <c r="K32" s="125"/>
    </row>
    <row r="33" spans="1:12" ht="14.25" x14ac:dyDescent="0.2">
      <c r="A33" s="7" t="s">
        <v>1825</v>
      </c>
      <c r="B33" s="145">
        <v>511123</v>
      </c>
      <c r="C33" s="144" t="s">
        <v>82</v>
      </c>
      <c r="D33" s="145"/>
      <c r="E33" s="145"/>
      <c r="F33" s="146"/>
      <c r="G33" s="146">
        <f>SUM(G34:G36)</f>
        <v>158000000</v>
      </c>
      <c r="H33" s="276">
        <v>58380000</v>
      </c>
      <c r="I33" s="274">
        <f>H33/G33*100</f>
        <v>36.949367088607595</v>
      </c>
      <c r="J33" s="128">
        <f>G33-H33</f>
        <v>99620000</v>
      </c>
      <c r="K33" s="274">
        <f>J33/G33*100</f>
        <v>63.050632911392398</v>
      </c>
      <c r="L33" s="280">
        <v>9718696</v>
      </c>
    </row>
    <row r="34" spans="1:12" ht="14.25" hidden="1" x14ac:dyDescent="0.2">
      <c r="A34" s="7" t="s">
        <v>1826</v>
      </c>
      <c r="B34" s="124"/>
      <c r="C34" s="123" t="s">
        <v>3686</v>
      </c>
      <c r="D34" s="124">
        <v>1</v>
      </c>
      <c r="E34" s="124" t="s">
        <v>97</v>
      </c>
      <c r="F34" s="125">
        <v>12070000</v>
      </c>
      <c r="G34" s="125">
        <f>ROUNDDOWN(D34*F34,-3)</f>
        <v>12070000</v>
      </c>
      <c r="H34" s="273"/>
      <c r="I34" s="125"/>
      <c r="J34" s="125"/>
      <c r="K34" s="125"/>
    </row>
    <row r="35" spans="1:12" ht="14.25" hidden="1" x14ac:dyDescent="0.2">
      <c r="A35" s="7" t="s">
        <v>1827</v>
      </c>
      <c r="B35" s="124"/>
      <c r="C35" s="123" t="s">
        <v>3687</v>
      </c>
      <c r="D35" s="124">
        <v>1</v>
      </c>
      <c r="E35" s="124" t="s">
        <v>60</v>
      </c>
      <c r="F35" s="125">
        <v>133860000</v>
      </c>
      <c r="G35" s="125">
        <f>ROUNDDOWN(D35*F35,-3)</f>
        <v>133860000</v>
      </c>
      <c r="H35" s="273"/>
      <c r="I35" s="125"/>
      <c r="J35" s="125"/>
      <c r="K35" s="125"/>
    </row>
    <row r="36" spans="1:12" ht="14.25" hidden="1" x14ac:dyDescent="0.2">
      <c r="A36" s="7" t="s">
        <v>1828</v>
      </c>
      <c r="B36" s="124"/>
      <c r="C36" s="123" t="s">
        <v>3688</v>
      </c>
      <c r="D36" s="124">
        <v>1</v>
      </c>
      <c r="E36" s="124" t="s">
        <v>97</v>
      </c>
      <c r="F36" s="125">
        <v>12070000</v>
      </c>
      <c r="G36" s="125">
        <f>ROUNDDOWN(D36*F36,-3)</f>
        <v>12070000</v>
      </c>
      <c r="H36" s="273"/>
      <c r="I36" s="125"/>
      <c r="J36" s="125"/>
      <c r="K36" s="125"/>
    </row>
    <row r="37" spans="1:12" ht="14.25" x14ac:dyDescent="0.2">
      <c r="A37" s="7" t="s">
        <v>1829</v>
      </c>
      <c r="B37" s="145">
        <v>511124</v>
      </c>
      <c r="C37" s="144" t="s">
        <v>83</v>
      </c>
      <c r="D37" s="145"/>
      <c r="E37" s="145"/>
      <c r="F37" s="146"/>
      <c r="G37" s="146">
        <f>SUM(G38:G40)</f>
        <v>48180000</v>
      </c>
      <c r="H37" s="276">
        <v>28515000</v>
      </c>
      <c r="I37" s="274">
        <f>H37/G37*100</f>
        <v>59.184308841843091</v>
      </c>
      <c r="J37" s="128">
        <f>G37-H37</f>
        <v>19665000</v>
      </c>
      <c r="K37" s="274">
        <f>J37/G37*100</f>
        <v>40.815691158156916</v>
      </c>
      <c r="L37" s="280">
        <v>4807000</v>
      </c>
    </row>
    <row r="38" spans="1:12" ht="14.25" hidden="1" x14ac:dyDescent="0.2">
      <c r="A38" s="7" t="s">
        <v>1830</v>
      </c>
      <c r="B38" s="124"/>
      <c r="C38" s="123" t="s">
        <v>3689</v>
      </c>
      <c r="D38" s="124">
        <v>1</v>
      </c>
      <c r="E38" s="124" t="s">
        <v>97</v>
      </c>
      <c r="F38" s="125">
        <v>2000000</v>
      </c>
      <c r="G38" s="125">
        <f>ROUNDDOWN(D38*F38,-3)</f>
        <v>2000000</v>
      </c>
      <c r="H38" s="273"/>
      <c r="I38" s="125"/>
      <c r="J38" s="125"/>
      <c r="K38" s="125"/>
    </row>
    <row r="39" spans="1:12" ht="14.25" hidden="1" x14ac:dyDescent="0.2">
      <c r="A39" s="7" t="s">
        <v>1831</v>
      </c>
      <c r="B39" s="124"/>
      <c r="C39" s="123" t="s">
        <v>3690</v>
      </c>
      <c r="D39" s="124">
        <v>1</v>
      </c>
      <c r="E39" s="124" t="s">
        <v>60</v>
      </c>
      <c r="F39" s="125">
        <v>44180000</v>
      </c>
      <c r="G39" s="125">
        <f>ROUNDDOWN(D39*F39,-3)</f>
        <v>44180000</v>
      </c>
      <c r="H39" s="273"/>
      <c r="I39" s="125"/>
      <c r="J39" s="125"/>
      <c r="K39" s="125"/>
    </row>
    <row r="40" spans="1:12" ht="14.25" hidden="1" x14ac:dyDescent="0.2">
      <c r="A40" s="7" t="s">
        <v>1832</v>
      </c>
      <c r="B40" s="124"/>
      <c r="C40" s="123" t="s">
        <v>3691</v>
      </c>
      <c r="D40" s="124">
        <v>1</v>
      </c>
      <c r="E40" s="124" t="s">
        <v>97</v>
      </c>
      <c r="F40" s="125">
        <v>2000000</v>
      </c>
      <c r="G40" s="125">
        <f>ROUNDDOWN(D40*F40,-3)</f>
        <v>2000000</v>
      </c>
      <c r="H40" s="273"/>
      <c r="I40" s="125"/>
      <c r="J40" s="125"/>
      <c r="K40" s="125"/>
    </row>
    <row r="41" spans="1:12" ht="14.25" x14ac:dyDescent="0.2">
      <c r="A41" s="7" t="s">
        <v>1833</v>
      </c>
      <c r="B41" s="145">
        <v>511125</v>
      </c>
      <c r="C41" s="144" t="s">
        <v>84</v>
      </c>
      <c r="D41" s="145"/>
      <c r="E41" s="145"/>
      <c r="F41" s="146"/>
      <c r="G41" s="146">
        <f>SUM(G42:G44)</f>
        <v>13133000</v>
      </c>
      <c r="H41" s="276">
        <v>4084719</v>
      </c>
      <c r="I41" s="274">
        <f>H41/G41*100</f>
        <v>31.102710728698696</v>
      </c>
      <c r="J41" s="128">
        <f>G41-H41</f>
        <v>9048281</v>
      </c>
      <c r="K41" s="274">
        <f>J41/G41*100</f>
        <v>68.897289271301304</v>
      </c>
      <c r="L41" s="280">
        <v>273209</v>
      </c>
    </row>
    <row r="42" spans="1:12" ht="14.25" hidden="1" x14ac:dyDescent="0.2">
      <c r="A42" s="7" t="s">
        <v>1834</v>
      </c>
      <c r="B42" s="124"/>
      <c r="C42" s="123" t="s">
        <v>3692</v>
      </c>
      <c r="D42" s="124">
        <v>1</v>
      </c>
      <c r="E42" s="124" t="s">
        <v>97</v>
      </c>
      <c r="F42" s="125">
        <v>3360000</v>
      </c>
      <c r="G42" s="125">
        <f>ROUNDDOWN(D42*F42,-3)</f>
        <v>3360000</v>
      </c>
      <c r="H42" s="273"/>
      <c r="I42" s="125"/>
      <c r="J42" s="125"/>
      <c r="K42" s="125"/>
    </row>
    <row r="43" spans="1:12" ht="14.25" hidden="1" x14ac:dyDescent="0.2">
      <c r="A43" s="7" t="s">
        <v>1835</v>
      </c>
      <c r="B43" s="124"/>
      <c r="C43" s="123" t="s">
        <v>3693</v>
      </c>
      <c r="D43" s="124">
        <v>1</v>
      </c>
      <c r="E43" s="124" t="s">
        <v>153</v>
      </c>
      <c r="F43" s="125">
        <v>6407000</v>
      </c>
      <c r="G43" s="125">
        <f>ROUNDDOWN(D43*F43,-3)</f>
        <v>6407000</v>
      </c>
      <c r="H43" s="273"/>
      <c r="I43" s="125"/>
      <c r="J43" s="125"/>
      <c r="K43" s="125"/>
    </row>
    <row r="44" spans="1:12" ht="14.25" hidden="1" x14ac:dyDescent="0.2">
      <c r="A44" s="7" t="s">
        <v>1836</v>
      </c>
      <c r="B44" s="124"/>
      <c r="C44" s="123" t="s">
        <v>3694</v>
      </c>
      <c r="D44" s="124">
        <v>1</v>
      </c>
      <c r="E44" s="124" t="s">
        <v>97</v>
      </c>
      <c r="F44" s="125">
        <v>3366000</v>
      </c>
      <c r="G44" s="125">
        <f>ROUNDDOWN(D44*F44,-3)</f>
        <v>3366000</v>
      </c>
      <c r="H44" s="273"/>
      <c r="I44" s="125"/>
      <c r="J44" s="125"/>
      <c r="K44" s="125"/>
    </row>
    <row r="45" spans="1:12" ht="14.25" x14ac:dyDescent="0.2">
      <c r="A45" s="7" t="s">
        <v>1837</v>
      </c>
      <c r="B45" s="145">
        <v>511126</v>
      </c>
      <c r="C45" s="144" t="s">
        <v>85</v>
      </c>
      <c r="D45" s="145"/>
      <c r="E45" s="145"/>
      <c r="F45" s="146"/>
      <c r="G45" s="146">
        <f>G46</f>
        <v>130333000</v>
      </c>
      <c r="H45" s="276">
        <v>44248620</v>
      </c>
      <c r="I45" s="274">
        <f>H45/G45*100</f>
        <v>33.950434655843111</v>
      </c>
      <c r="J45" s="128">
        <f>G45-H45</f>
        <v>86084380</v>
      </c>
      <c r="K45" s="274">
        <f>J45/G45*100</f>
        <v>66.049565344156889</v>
      </c>
      <c r="L45" s="280">
        <v>8835240</v>
      </c>
    </row>
    <row r="46" spans="1:12" ht="14.25" hidden="1" x14ac:dyDescent="0.2">
      <c r="A46" s="7" t="s">
        <v>1838</v>
      </c>
      <c r="B46" s="124"/>
      <c r="C46" s="123" t="s">
        <v>3695</v>
      </c>
      <c r="D46" s="124">
        <v>1</v>
      </c>
      <c r="E46" s="124" t="s">
        <v>60</v>
      </c>
      <c r="F46" s="125">
        <v>130333000</v>
      </c>
      <c r="G46" s="125">
        <f>ROUNDDOWN(D46*F46,-3)</f>
        <v>130333000</v>
      </c>
      <c r="H46" s="273"/>
      <c r="I46" s="125"/>
      <c r="J46" s="125"/>
      <c r="K46" s="125"/>
    </row>
    <row r="47" spans="1:12" ht="14.25" x14ac:dyDescent="0.2">
      <c r="A47" s="7" t="s">
        <v>1839</v>
      </c>
      <c r="B47" s="145">
        <v>511129</v>
      </c>
      <c r="C47" s="144" t="s">
        <v>86</v>
      </c>
      <c r="D47" s="145"/>
      <c r="E47" s="145"/>
      <c r="F47" s="146"/>
      <c r="G47" s="146">
        <f>G48</f>
        <v>379379000</v>
      </c>
      <c r="H47" s="276">
        <v>83417000</v>
      </c>
      <c r="I47" s="274">
        <f>H47/G47*100</f>
        <v>21.987774758223306</v>
      </c>
      <c r="J47" s="128">
        <f>G47-H47</f>
        <v>295962000</v>
      </c>
      <c r="K47" s="274">
        <f>J47/G47*100</f>
        <v>78.01222524177669</v>
      </c>
      <c r="L47" s="280">
        <v>-185000</v>
      </c>
    </row>
    <row r="48" spans="1:12" ht="14.25" hidden="1" x14ac:dyDescent="0.2">
      <c r="A48" s="7" t="s">
        <v>1840</v>
      </c>
      <c r="B48" s="124"/>
      <c r="C48" s="123" t="s">
        <v>3696</v>
      </c>
      <c r="D48" s="124">
        <v>1</v>
      </c>
      <c r="E48" s="124" t="s">
        <v>153</v>
      </c>
      <c r="F48" s="125">
        <v>379379000</v>
      </c>
      <c r="G48" s="125">
        <f>ROUNDDOWN(D48*F48,-3)</f>
        <v>379379000</v>
      </c>
      <c r="H48" s="273"/>
      <c r="I48" s="125"/>
      <c r="J48" s="125"/>
      <c r="K48" s="125"/>
    </row>
    <row r="49" spans="1:12" ht="14.25" x14ac:dyDescent="0.2">
      <c r="A49" s="7" t="s">
        <v>1841</v>
      </c>
      <c r="B49" s="145">
        <v>511151</v>
      </c>
      <c r="C49" s="144" t="s">
        <v>87</v>
      </c>
      <c r="D49" s="145"/>
      <c r="E49" s="145"/>
      <c r="F49" s="146"/>
      <c r="G49" s="146">
        <f>SUM(G50:G52)</f>
        <v>88360000</v>
      </c>
      <c r="H49" s="276">
        <v>33430000</v>
      </c>
      <c r="I49" s="274">
        <f>H49/G49*100</f>
        <v>37.833861475780893</v>
      </c>
      <c r="J49" s="128">
        <f>G49-H49</f>
        <v>54930000</v>
      </c>
      <c r="K49" s="274">
        <f>J49/G49*100</f>
        <v>62.166138524219107</v>
      </c>
      <c r="L49" s="280">
        <v>5720000</v>
      </c>
    </row>
    <row r="50" spans="1:12" ht="14.25" hidden="1" x14ac:dyDescent="0.2">
      <c r="A50" s="7" t="s">
        <v>1842</v>
      </c>
      <c r="B50" s="124"/>
      <c r="C50" s="123" t="s">
        <v>3697</v>
      </c>
      <c r="D50" s="124">
        <v>1</v>
      </c>
      <c r="E50" s="124" t="s">
        <v>97</v>
      </c>
      <c r="F50" s="125">
        <v>6655000</v>
      </c>
      <c r="G50" s="125">
        <f>ROUNDDOWN(D50*F50,-3)</f>
        <v>6655000</v>
      </c>
      <c r="H50" s="273"/>
      <c r="I50" s="125"/>
      <c r="J50" s="125"/>
      <c r="K50" s="125"/>
    </row>
    <row r="51" spans="1:12" ht="14.25" hidden="1" x14ac:dyDescent="0.2">
      <c r="A51" s="7" t="s">
        <v>1843</v>
      </c>
      <c r="B51" s="124"/>
      <c r="C51" s="123" t="s">
        <v>3698</v>
      </c>
      <c r="D51" s="124">
        <v>1</v>
      </c>
      <c r="E51" s="124" t="s">
        <v>60</v>
      </c>
      <c r="F51" s="125">
        <v>75605000</v>
      </c>
      <c r="G51" s="125">
        <f>ROUNDDOWN(D51*F51,-3)</f>
        <v>75605000</v>
      </c>
      <c r="H51" s="273"/>
      <c r="I51" s="125"/>
      <c r="J51" s="125"/>
      <c r="K51" s="125"/>
    </row>
    <row r="52" spans="1:12" ht="14.25" hidden="1" x14ac:dyDescent="0.2">
      <c r="A52" s="7" t="s">
        <v>1844</v>
      </c>
      <c r="B52" s="124"/>
      <c r="C52" s="123" t="s">
        <v>3699</v>
      </c>
      <c r="D52" s="124">
        <v>1</v>
      </c>
      <c r="E52" s="124" t="s">
        <v>97</v>
      </c>
      <c r="F52" s="125">
        <v>6100000</v>
      </c>
      <c r="G52" s="125">
        <f>ROUNDDOWN(D52*F52,-3)</f>
        <v>6100000</v>
      </c>
      <c r="H52" s="273"/>
      <c r="I52" s="125"/>
      <c r="J52" s="125"/>
      <c r="K52" s="125"/>
    </row>
    <row r="53" spans="1:12" ht="14.25" x14ac:dyDescent="0.2">
      <c r="A53" s="7" t="s">
        <v>1845</v>
      </c>
      <c r="B53" s="145">
        <v>512411</v>
      </c>
      <c r="C53" s="144" t="s">
        <v>88</v>
      </c>
      <c r="D53" s="145"/>
      <c r="E53" s="145"/>
      <c r="F53" s="146"/>
      <c r="G53" s="146">
        <f>G54</f>
        <v>2635488000</v>
      </c>
      <c r="H53" s="276">
        <v>839370902</v>
      </c>
      <c r="I53" s="274">
        <f>H53/G53*100</f>
        <v>31.848784817081317</v>
      </c>
      <c r="J53" s="128">
        <f>G53-H53</f>
        <v>1796117098</v>
      </c>
      <c r="K53" s="274">
        <f>J53/G53*100</f>
        <v>68.151215182918691</v>
      </c>
      <c r="L53" s="280">
        <v>3000</v>
      </c>
    </row>
    <row r="54" spans="1:12" ht="14.25" hidden="1" x14ac:dyDescent="0.2">
      <c r="A54" s="7" t="s">
        <v>1846</v>
      </c>
      <c r="B54" s="124"/>
      <c r="C54" s="123" t="s">
        <v>3700</v>
      </c>
      <c r="D54" s="124">
        <v>1</v>
      </c>
      <c r="E54" s="124" t="s">
        <v>153</v>
      </c>
      <c r="F54" s="125">
        <v>2635488000</v>
      </c>
      <c r="G54" s="125">
        <f>ROUNDDOWN(D54*F54,-3)</f>
        <v>2635488000</v>
      </c>
      <c r="H54" s="273"/>
      <c r="I54" s="125"/>
      <c r="J54" s="125"/>
      <c r="K54" s="125"/>
    </row>
    <row r="55" spans="1:12" ht="14.25" x14ac:dyDescent="0.2">
      <c r="A55" s="7" t="s">
        <v>3701</v>
      </c>
      <c r="B55" s="145" t="s">
        <v>2208</v>
      </c>
      <c r="C55" s="144" t="s">
        <v>3702</v>
      </c>
      <c r="D55" s="145"/>
      <c r="E55" s="145"/>
      <c r="F55" s="146"/>
      <c r="G55" s="146">
        <f>G56</f>
        <v>323949000</v>
      </c>
      <c r="H55" s="276">
        <f>H56</f>
        <v>0</v>
      </c>
      <c r="I55" s="274">
        <f>H55/G55*100</f>
        <v>0</v>
      </c>
      <c r="J55" s="128">
        <f>G55-H55</f>
        <v>323949000</v>
      </c>
      <c r="K55" s="274">
        <f>J55/G55*100</f>
        <v>100</v>
      </c>
    </row>
    <row r="56" spans="1:12" ht="14.25" x14ac:dyDescent="0.2">
      <c r="A56" s="7" t="s">
        <v>3703</v>
      </c>
      <c r="B56" s="145">
        <v>512411</v>
      </c>
      <c r="C56" s="144" t="s">
        <v>88</v>
      </c>
      <c r="D56" s="145"/>
      <c r="E56" s="145"/>
      <c r="F56" s="146"/>
      <c r="G56" s="146">
        <f>G57</f>
        <v>323949000</v>
      </c>
      <c r="H56" s="276">
        <v>0</v>
      </c>
      <c r="I56" s="274">
        <f>H56/G56*100</f>
        <v>0</v>
      </c>
      <c r="J56" s="128">
        <f>G56-H56</f>
        <v>323949000</v>
      </c>
      <c r="K56" s="274">
        <f>J56/G56*100</f>
        <v>100</v>
      </c>
    </row>
    <row r="57" spans="1:12" ht="14.25" hidden="1" x14ac:dyDescent="0.2">
      <c r="A57" s="7" t="s">
        <v>3704</v>
      </c>
      <c r="B57" s="124"/>
      <c r="C57" s="123" t="s">
        <v>3705</v>
      </c>
      <c r="D57" s="124">
        <v>1</v>
      </c>
      <c r="E57" s="124" t="s">
        <v>3706</v>
      </c>
      <c r="F57" s="125">
        <v>323949000</v>
      </c>
      <c r="G57" s="125">
        <f>ROUNDDOWN(D57*F57,-3)</f>
        <v>323949000</v>
      </c>
      <c r="H57" s="125"/>
      <c r="I57" s="272"/>
      <c r="J57" s="272"/>
      <c r="K57" s="154" t="b">
        <f t="shared" ref="K57" si="4">_xlfn.ISFORMULA(G57)</f>
        <v>1</v>
      </c>
    </row>
  </sheetData>
  <autoFilter ref="A11:K57" xr:uid="{5F23D4AB-6461-4F6C-ABE4-63EB0BAA35CF}"/>
  <mergeCells count="12">
    <mergeCell ref="H9:H10"/>
    <mergeCell ref="I9:I10"/>
    <mergeCell ref="J9:J10"/>
    <mergeCell ref="K9:K10"/>
    <mergeCell ref="B1:G1"/>
    <mergeCell ref="B2:G2"/>
    <mergeCell ref="B9:B10"/>
    <mergeCell ref="C9:C10"/>
    <mergeCell ref="D9:D10"/>
    <mergeCell ref="E9:E10"/>
    <mergeCell ref="F9:F10"/>
    <mergeCell ref="G9:G10"/>
  </mergeCells>
  <conditionalFormatting sqref="G12:K57">
    <cfRule type="expression" dxfId="552" priority="18">
      <formula>NOT(_xlfn.ISFORMULA(G12))</formula>
    </cfRule>
  </conditionalFormatting>
  <conditionalFormatting sqref="B11:K12 K56:K57">
    <cfRule type="expression" dxfId="551" priority="19">
      <formula>AND(#REF!="Ya",#REF!=ROW())</formula>
    </cfRule>
  </conditionalFormatting>
  <conditionalFormatting sqref="B13:J57">
    <cfRule type="expression" dxfId="550" priority="22">
      <formula>AND(#REF!="Ya",#REF!=ROW())</formula>
    </cfRule>
  </conditionalFormatting>
  <conditionalFormatting sqref="K13:K56">
    <cfRule type="expression" dxfId="549" priority="4">
      <formula>AND(#REF!="Ya",#REF!=ROW())</formula>
    </cfRule>
  </conditionalFormatting>
  <conditionalFormatting sqref="I55:I56 I53 I49 I47 I45 I41 I37 I33 I29 I25 I21 I13:I17">
    <cfRule type="expression" dxfId="548" priority="3">
      <formula>AND(#REF!="Ya",#REF!=ROW())</formula>
    </cfRule>
  </conditionalFormatting>
  <conditionalFormatting sqref="J55:J56 J53 J49 J47 J45 J41 J37 J33 J29 J25 J21 J13:J17">
    <cfRule type="expression" dxfId="547" priority="2">
      <formula>AND(#REF!="Ya",#REF!=ROW())</formula>
    </cfRule>
  </conditionalFormatting>
  <conditionalFormatting sqref="K55 K53 K49 K47 K45 K41 K37 K33 K29 K25 K21 K13:K17">
    <cfRule type="expression" dxfId="546" priority="1">
      <formula>AND(#REF!="Ya",#REF!=ROW())</formula>
    </cfRule>
  </conditionalFormatting>
  <printOptions horizontalCentered="1"/>
  <pageMargins left="0.70866141732283472" right="0.39370078740157483" top="0.39370078740157483" bottom="0.74803149606299213" header="0.31496062992125984" footer="0.31496062992125984"/>
  <pageSetup paperSize="9" scale="47" fitToHeight="0" orientation="portrait" r:id="rId1"/>
  <headerFooter>
    <oddFooter>&amp;LDIPA Revisi 1, TA. 2022 (Automatic Adjustment)&amp;RHal &amp;P dari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6110C-947B-4F3F-8BFE-8075CAFF0A0C}">
  <sheetPr codeName="Sheet10">
    <pageSetUpPr fitToPage="1"/>
  </sheetPr>
  <dimension ref="A1:X546"/>
  <sheetViews>
    <sheetView showGridLines="0" view="pageBreakPreview" zoomScaleNormal="100" zoomScaleSheetLayoutView="100" workbookViewId="0">
      <pane xSplit="3" ySplit="11" topLeftCell="D398" activePane="bottomRight" state="frozen"/>
      <selection activeCell="B1" sqref="B1"/>
      <selection pane="topRight" activeCell="D1" sqref="D1"/>
      <selection pane="bottomLeft" activeCell="B12" sqref="B12"/>
      <selection pane="bottomRight" activeCell="J404" sqref="J404"/>
    </sheetView>
  </sheetViews>
  <sheetFormatPr defaultColWidth="9.140625" defaultRowHeight="12.75" x14ac:dyDescent="0.2"/>
  <cols>
    <col min="1" max="1" width="35.85546875" style="131" customWidth="1"/>
    <col min="2" max="2" width="16.28515625" style="126" bestFit="1"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10" width="16.85546875" style="135" customWidth="1"/>
    <col min="11" max="13" width="20" style="109" customWidth="1"/>
    <col min="14" max="14" width="9.140625" style="109"/>
    <col min="15" max="15" width="15" style="109" customWidth="1"/>
    <col min="16" max="16384" width="9.140625" style="109"/>
  </cols>
  <sheetData>
    <row r="1" spans="1:24" ht="15.75" x14ac:dyDescent="0.2">
      <c r="B1" s="442" t="s">
        <v>598</v>
      </c>
      <c r="C1" s="442"/>
      <c r="D1" s="442"/>
      <c r="E1" s="442"/>
      <c r="F1" s="442"/>
      <c r="G1" s="450"/>
      <c r="H1" s="234"/>
      <c r="I1" s="234"/>
      <c r="J1" s="234"/>
    </row>
    <row r="2" spans="1:24" ht="15.75" x14ac:dyDescent="0.25">
      <c r="B2" s="451" t="s">
        <v>4012</v>
      </c>
      <c r="C2" s="451"/>
      <c r="D2" s="451"/>
      <c r="E2" s="451"/>
      <c r="F2" s="451"/>
      <c r="G2" s="452"/>
      <c r="H2" s="236"/>
      <c r="I2" s="236"/>
      <c r="J2" s="236"/>
    </row>
    <row r="3" spans="1:24" ht="15.75" x14ac:dyDescent="0.25">
      <c r="B3" s="235"/>
      <c r="C3" s="235"/>
      <c r="D3" s="235"/>
      <c r="E3" s="235"/>
      <c r="F3" s="235"/>
      <c r="G3" s="236"/>
      <c r="H3" s="236"/>
      <c r="I3" s="236"/>
      <c r="J3" s="236"/>
    </row>
    <row r="4" spans="1:24" ht="15" x14ac:dyDescent="0.2">
      <c r="B4" s="138" t="s">
        <v>599</v>
      </c>
      <c r="C4" s="138" t="s">
        <v>600</v>
      </c>
      <c r="D4" s="139"/>
      <c r="E4" s="139"/>
      <c r="F4" s="138"/>
      <c r="G4" s="140"/>
      <c r="H4" s="140"/>
      <c r="I4" s="140"/>
      <c r="J4" s="140"/>
    </row>
    <row r="5" spans="1:24" ht="15" x14ac:dyDescent="0.2">
      <c r="B5" s="138" t="s">
        <v>601</v>
      </c>
      <c r="C5" s="138" t="s">
        <v>602</v>
      </c>
      <c r="D5" s="53"/>
      <c r="E5" s="53"/>
      <c r="F5" s="50"/>
      <c r="G5" s="122"/>
      <c r="H5" s="122"/>
      <c r="I5" s="122"/>
      <c r="J5" s="122"/>
    </row>
    <row r="6" spans="1:24" ht="15" x14ac:dyDescent="0.2">
      <c r="B6" s="138" t="s">
        <v>603</v>
      </c>
      <c r="C6" s="138" t="s">
        <v>604</v>
      </c>
      <c r="D6" s="53"/>
      <c r="E6" s="53"/>
      <c r="F6" s="50"/>
      <c r="G6" s="122"/>
      <c r="H6" s="122"/>
      <c r="I6" s="122"/>
      <c r="J6" s="122"/>
    </row>
    <row r="7" spans="1:24" ht="15.75" x14ac:dyDescent="0.25">
      <c r="B7" s="138" t="s">
        <v>605</v>
      </c>
      <c r="C7" s="141" t="str">
        <f>":  Rp. " &amp; TEXT(G12,"#.##")</f>
        <v>:  Rp. 16.863.164.000</v>
      </c>
      <c r="D7" s="53"/>
      <c r="E7" s="53"/>
      <c r="F7" s="50"/>
      <c r="G7" s="122"/>
      <c r="H7" s="122"/>
      <c r="I7" s="122"/>
      <c r="J7" s="122"/>
    </row>
    <row r="8" spans="1:24" ht="15" x14ac:dyDescent="0.2">
      <c r="B8" s="142"/>
      <c r="C8" s="142"/>
      <c r="D8" s="142"/>
      <c r="E8" s="142"/>
      <c r="F8" s="142"/>
      <c r="G8" s="143"/>
      <c r="H8" s="143"/>
      <c r="I8" s="143"/>
      <c r="J8" s="143"/>
    </row>
    <row r="9" spans="1:24" ht="15" x14ac:dyDescent="0.2">
      <c r="B9" s="453" t="s">
        <v>606</v>
      </c>
      <c r="C9" s="454" t="s">
        <v>607</v>
      </c>
      <c r="D9" s="455" t="s">
        <v>608</v>
      </c>
      <c r="E9" s="453" t="s">
        <v>609</v>
      </c>
      <c r="F9" s="455" t="s">
        <v>610</v>
      </c>
      <c r="G9" s="449" t="s">
        <v>611</v>
      </c>
      <c r="H9" s="152"/>
      <c r="I9" s="152"/>
      <c r="J9" s="152"/>
      <c r="K9" s="456" t="s">
        <v>3827</v>
      </c>
      <c r="L9" s="456"/>
      <c r="M9" s="456"/>
      <c r="N9" s="109" t="s">
        <v>3828</v>
      </c>
      <c r="O9" s="109" t="s">
        <v>3829</v>
      </c>
      <c r="P9" s="109" t="s">
        <v>3830</v>
      </c>
      <c r="Q9" s="109" t="s">
        <v>3831</v>
      </c>
      <c r="R9" s="109" t="s">
        <v>3832</v>
      </c>
      <c r="S9" s="109" t="s">
        <v>3833</v>
      </c>
      <c r="T9" s="109" t="s">
        <v>3834</v>
      </c>
      <c r="U9" s="109" t="s">
        <v>3835</v>
      </c>
      <c r="V9" s="109" t="s">
        <v>3836</v>
      </c>
      <c r="W9" s="109" t="s">
        <v>3837</v>
      </c>
      <c r="X9" s="109" t="s">
        <v>3838</v>
      </c>
    </row>
    <row r="10" spans="1:24" s="133" customFormat="1" ht="14.25" x14ac:dyDescent="0.2">
      <c r="A10" s="132" t="s">
        <v>499</v>
      </c>
      <c r="B10" s="445"/>
      <c r="C10" s="445"/>
      <c r="D10" s="448"/>
      <c r="E10" s="448"/>
      <c r="F10" s="445"/>
      <c r="G10" s="445"/>
      <c r="H10" s="161"/>
      <c r="I10" s="161"/>
      <c r="J10" s="161"/>
      <c r="K10" s="233" t="s">
        <v>3839</v>
      </c>
      <c r="L10" s="233" t="s">
        <v>3840</v>
      </c>
      <c r="M10" s="233" t="s">
        <v>3841</v>
      </c>
    </row>
    <row r="11" spans="1:24" s="133" customFormat="1" x14ac:dyDescent="0.2">
      <c r="A11" s="132"/>
      <c r="B11" s="129">
        <v>1</v>
      </c>
      <c r="C11" s="129">
        <v>2</v>
      </c>
      <c r="D11" s="129">
        <v>3</v>
      </c>
      <c r="E11" s="129">
        <v>4</v>
      </c>
      <c r="F11" s="129">
        <v>5</v>
      </c>
      <c r="G11" s="130">
        <v>6</v>
      </c>
      <c r="H11" s="153"/>
      <c r="I11" s="153"/>
      <c r="J11" s="153"/>
    </row>
    <row r="12" spans="1:24" s="133" customFormat="1" x14ac:dyDescent="0.2">
      <c r="A12" s="132"/>
      <c r="B12" s="110" t="s">
        <v>3843</v>
      </c>
      <c r="C12" s="111" t="s">
        <v>613</v>
      </c>
      <c r="D12" s="112"/>
      <c r="E12" s="113"/>
      <c r="F12" s="112"/>
      <c r="G12" s="128">
        <f>SUM(G13,G114)</f>
        <v>16863164000</v>
      </c>
      <c r="H12" s="154" t="b">
        <f>_xlfn.ISFORMULA(G12)</f>
        <v>1</v>
      </c>
      <c r="I12" s="154"/>
      <c r="J12" s="154"/>
    </row>
    <row r="13" spans="1:24" ht="14.25" x14ac:dyDescent="0.2">
      <c r="A13" s="7" t="s">
        <v>0</v>
      </c>
      <c r="B13" s="54" t="s">
        <v>0</v>
      </c>
      <c r="C13" s="23" t="s">
        <v>1</v>
      </c>
      <c r="D13" s="54"/>
      <c r="E13" s="54"/>
      <c r="F13" s="24"/>
      <c r="G13" s="24">
        <f>G14</f>
        <v>1000000000</v>
      </c>
      <c r="H13" s="154" t="b">
        <f>_xlfn.ISFORMULA(G13)</f>
        <v>1</v>
      </c>
      <c r="I13" s="154"/>
      <c r="J13" s="154"/>
    </row>
    <row r="14" spans="1:24" ht="14.25" x14ac:dyDescent="0.2">
      <c r="A14" s="21" t="s">
        <v>419</v>
      </c>
      <c r="B14" s="55">
        <v>2376</v>
      </c>
      <c r="C14" s="26" t="s">
        <v>47</v>
      </c>
      <c r="D14" s="68"/>
      <c r="E14" s="55"/>
      <c r="F14" s="27"/>
      <c r="G14" s="27">
        <f>G15</f>
        <v>1000000000</v>
      </c>
      <c r="H14" s="154" t="b">
        <f t="shared" ref="H14:H77" si="0">_xlfn.ISFORMULA(G14)</f>
        <v>1</v>
      </c>
      <c r="I14" s="154"/>
      <c r="J14" s="154"/>
    </row>
    <row r="15" spans="1:24" ht="14.25" x14ac:dyDescent="0.2">
      <c r="A15" s="21" t="s">
        <v>420</v>
      </c>
      <c r="B15" s="116" t="s">
        <v>48</v>
      </c>
      <c r="C15" s="114" t="s">
        <v>615</v>
      </c>
      <c r="D15" s="115">
        <v>4</v>
      </c>
      <c r="E15" s="116" t="s">
        <v>3586</v>
      </c>
      <c r="F15" s="117"/>
      <c r="G15" s="117">
        <f>G16</f>
        <v>1000000000</v>
      </c>
      <c r="H15" s="154" t="b">
        <f t="shared" si="0"/>
        <v>1</v>
      </c>
      <c r="I15" s="154"/>
      <c r="J15" s="154"/>
    </row>
    <row r="16" spans="1:24" ht="25.5" x14ac:dyDescent="0.2">
      <c r="A16" s="21" t="s">
        <v>421</v>
      </c>
      <c r="B16" s="119" t="s">
        <v>3600</v>
      </c>
      <c r="C16" s="118" t="s">
        <v>49</v>
      </c>
      <c r="D16" s="119">
        <v>4</v>
      </c>
      <c r="E16" s="119" t="s">
        <v>3586</v>
      </c>
      <c r="F16" s="120"/>
      <c r="G16" s="120">
        <f>SUM(G17,G38,G49,G98)</f>
        <v>1000000000</v>
      </c>
      <c r="H16" s="154" t="b">
        <f t="shared" si="0"/>
        <v>1</v>
      </c>
      <c r="I16" s="154"/>
      <c r="J16" s="154"/>
    </row>
    <row r="17" spans="1:12" ht="14.25" x14ac:dyDescent="0.2">
      <c r="A17" s="21" t="s">
        <v>422</v>
      </c>
      <c r="B17" s="58" t="s">
        <v>502</v>
      </c>
      <c r="C17" s="35" t="s">
        <v>50</v>
      </c>
      <c r="D17" s="69"/>
      <c r="E17" s="58"/>
      <c r="F17" s="36"/>
      <c r="G17" s="36">
        <f>SUM(G18,G28)</f>
        <v>124100000</v>
      </c>
      <c r="H17" s="154" t="b">
        <f t="shared" si="0"/>
        <v>1</v>
      </c>
      <c r="I17" s="154"/>
      <c r="J17" s="154"/>
    </row>
    <row r="18" spans="1:12" ht="14.25" x14ac:dyDescent="0.2">
      <c r="A18" s="21" t="s">
        <v>423</v>
      </c>
      <c r="B18" s="59" t="s">
        <v>8</v>
      </c>
      <c r="C18" s="38" t="s">
        <v>51</v>
      </c>
      <c r="D18" s="59"/>
      <c r="E18" s="59"/>
      <c r="F18" s="39"/>
      <c r="G18" s="39">
        <f>SUM(G19,G24,G26)</f>
        <v>83135000</v>
      </c>
      <c r="H18" s="154" t="b">
        <f t="shared" si="0"/>
        <v>1</v>
      </c>
      <c r="I18" s="154"/>
      <c r="J18" s="154"/>
    </row>
    <row r="19" spans="1:12" ht="14.25" x14ac:dyDescent="0.2">
      <c r="A19" s="21" t="s">
        <v>424</v>
      </c>
      <c r="B19" s="60">
        <v>521211</v>
      </c>
      <c r="C19" s="41" t="s">
        <v>7</v>
      </c>
      <c r="D19" s="71"/>
      <c r="E19" s="60"/>
      <c r="F19" s="42"/>
      <c r="G19" s="42">
        <f>SUM(G20:G23)</f>
        <v>8375000</v>
      </c>
      <c r="H19" s="154" t="b">
        <f t="shared" si="0"/>
        <v>1</v>
      </c>
      <c r="I19" s="154"/>
      <c r="J19" s="154"/>
    </row>
    <row r="20" spans="1:12" ht="14.25" x14ac:dyDescent="0.2">
      <c r="A20" s="21" t="s">
        <v>425</v>
      </c>
      <c r="B20" s="124"/>
      <c r="C20" s="123" t="s">
        <v>3601</v>
      </c>
      <c r="D20" s="157">
        <v>65</v>
      </c>
      <c r="E20" s="124" t="s">
        <v>10</v>
      </c>
      <c r="F20" s="125">
        <v>75000</v>
      </c>
      <c r="G20" s="125">
        <f>ROUNDDOWN(D20*F20,-3)</f>
        <v>4875000</v>
      </c>
      <c r="H20" s="154" t="b">
        <f t="shared" si="0"/>
        <v>1</v>
      </c>
      <c r="I20" s="154"/>
      <c r="J20" s="154"/>
      <c r="L20" s="109" t="s">
        <v>3842</v>
      </c>
    </row>
    <row r="21" spans="1:12" ht="14.25" x14ac:dyDescent="0.2">
      <c r="A21" s="21" t="s">
        <v>426</v>
      </c>
      <c r="B21" s="124"/>
      <c r="C21" s="123" t="s">
        <v>3602</v>
      </c>
      <c r="D21" s="124">
        <v>1</v>
      </c>
      <c r="E21" s="124" t="s">
        <v>106</v>
      </c>
      <c r="F21" s="125">
        <v>1000000</v>
      </c>
      <c r="G21" s="125">
        <f>ROUNDDOWN(D21*F21,-3)</f>
        <v>1000000</v>
      </c>
      <c r="H21" s="154" t="b">
        <f t="shared" si="0"/>
        <v>1</v>
      </c>
      <c r="I21" s="154"/>
      <c r="J21" s="154"/>
    </row>
    <row r="22" spans="1:12" ht="14.25" x14ac:dyDescent="0.2">
      <c r="A22" s="21" t="s">
        <v>427</v>
      </c>
      <c r="B22" s="124"/>
      <c r="C22" s="123" t="s">
        <v>3588</v>
      </c>
      <c r="D22" s="157">
        <v>1</v>
      </c>
      <c r="E22" s="124" t="s">
        <v>106</v>
      </c>
      <c r="F22" s="125">
        <v>1000000</v>
      </c>
      <c r="G22" s="125">
        <f>ROUNDDOWN(D22*F22,-3)</f>
        <v>1000000</v>
      </c>
      <c r="H22" s="154" t="b">
        <f t="shared" si="0"/>
        <v>1</v>
      </c>
      <c r="I22" s="154"/>
      <c r="J22" s="154"/>
    </row>
    <row r="23" spans="1:12" ht="14.25" x14ac:dyDescent="0.2">
      <c r="A23" s="21" t="s">
        <v>428</v>
      </c>
      <c r="B23" s="124"/>
      <c r="C23" s="123" t="s">
        <v>3589</v>
      </c>
      <c r="D23" s="124">
        <v>1</v>
      </c>
      <c r="E23" s="124" t="s">
        <v>106</v>
      </c>
      <c r="F23" s="125">
        <v>1500000</v>
      </c>
      <c r="G23" s="125">
        <f>ROUNDDOWN(D23*F23,-3)</f>
        <v>1500000</v>
      </c>
      <c r="H23" s="154" t="b">
        <f t="shared" si="0"/>
        <v>1</v>
      </c>
      <c r="I23" s="154"/>
      <c r="J23" s="154"/>
    </row>
    <row r="24" spans="1:12" ht="14.25" x14ac:dyDescent="0.2">
      <c r="A24" s="21" t="s">
        <v>772</v>
      </c>
      <c r="B24" s="60">
        <v>522151</v>
      </c>
      <c r="C24" s="41" t="s">
        <v>11</v>
      </c>
      <c r="D24" s="71"/>
      <c r="E24" s="60"/>
      <c r="F24" s="42"/>
      <c r="G24" s="42">
        <f>G25</f>
        <v>1000000</v>
      </c>
      <c r="H24" s="154" t="b">
        <f>_xlfn.ISFORMULA(G24)</f>
        <v>1</v>
      </c>
      <c r="I24" s="154"/>
      <c r="J24" s="154"/>
    </row>
    <row r="25" spans="1:12" ht="14.25" x14ac:dyDescent="0.2">
      <c r="A25" s="21" t="s">
        <v>773</v>
      </c>
      <c r="B25" s="124"/>
      <c r="C25" s="123" t="s">
        <v>3603</v>
      </c>
      <c r="D25" s="124">
        <v>1</v>
      </c>
      <c r="E25" s="124" t="s">
        <v>54</v>
      </c>
      <c r="F25" s="125">
        <v>1000000</v>
      </c>
      <c r="G25" s="125">
        <f>ROUNDDOWN(D25*F25,-3)</f>
        <v>1000000</v>
      </c>
      <c r="H25" s="154" t="b">
        <f t="shared" si="0"/>
        <v>1</v>
      </c>
      <c r="I25" s="154"/>
      <c r="J25" s="154"/>
    </row>
    <row r="26" spans="1:12" ht="14.25" x14ac:dyDescent="0.2">
      <c r="A26" s="21" t="s">
        <v>429</v>
      </c>
      <c r="B26" s="60">
        <v>524111</v>
      </c>
      <c r="C26" s="41" t="s">
        <v>19</v>
      </c>
      <c r="D26" s="60"/>
      <c r="E26" s="60"/>
      <c r="F26" s="42"/>
      <c r="G26" s="42">
        <f>G27</f>
        <v>73760000</v>
      </c>
      <c r="H26" s="154" t="b">
        <f t="shared" si="0"/>
        <v>1</v>
      </c>
      <c r="I26" s="154"/>
      <c r="J26" s="154"/>
    </row>
    <row r="27" spans="1:12" ht="25.5" x14ac:dyDescent="0.2">
      <c r="A27" s="21" t="s">
        <v>430</v>
      </c>
      <c r="B27" s="124"/>
      <c r="C27" s="123" t="s">
        <v>3604</v>
      </c>
      <c r="D27" s="157">
        <v>12</v>
      </c>
      <c r="E27" s="124" t="s">
        <v>776</v>
      </c>
      <c r="F27" s="125">
        <v>6146667</v>
      </c>
      <c r="G27" s="125">
        <f>ROUNDDOWN(D27*F27,-3)</f>
        <v>73760000</v>
      </c>
      <c r="H27" s="154" t="b">
        <f t="shared" si="0"/>
        <v>1</v>
      </c>
      <c r="I27" s="154"/>
      <c r="J27" s="154"/>
    </row>
    <row r="28" spans="1:12" ht="14.25" x14ac:dyDescent="0.2">
      <c r="A28" s="21" t="s">
        <v>431</v>
      </c>
      <c r="B28" s="59" t="s">
        <v>511</v>
      </c>
      <c r="C28" s="38" t="s">
        <v>55</v>
      </c>
      <c r="D28" s="70"/>
      <c r="E28" s="59"/>
      <c r="F28" s="39"/>
      <c r="G28" s="39">
        <f>SUM(G29,G34,G36)</f>
        <v>40965000</v>
      </c>
      <c r="H28" s="154" t="b">
        <f t="shared" si="0"/>
        <v>1</v>
      </c>
      <c r="I28" s="154"/>
      <c r="J28" s="154"/>
    </row>
    <row r="29" spans="1:12" ht="14.25" x14ac:dyDescent="0.2">
      <c r="A29" s="21" t="s">
        <v>432</v>
      </c>
      <c r="B29" s="60">
        <v>521211</v>
      </c>
      <c r="C29" s="41" t="s">
        <v>7</v>
      </c>
      <c r="D29" s="71"/>
      <c r="E29" s="60"/>
      <c r="F29" s="42"/>
      <c r="G29" s="42">
        <f>SUM(G30:G33)</f>
        <v>6725000</v>
      </c>
      <c r="H29" s="154" t="b">
        <f t="shared" si="0"/>
        <v>1</v>
      </c>
      <c r="I29" s="154"/>
      <c r="J29" s="154"/>
    </row>
    <row r="30" spans="1:12" ht="14.25" x14ac:dyDescent="0.2">
      <c r="A30" s="21" t="s">
        <v>433</v>
      </c>
      <c r="B30" s="124"/>
      <c r="C30" s="123" t="s">
        <v>3601</v>
      </c>
      <c r="D30" s="124">
        <v>43</v>
      </c>
      <c r="E30" s="124" t="s">
        <v>10</v>
      </c>
      <c r="F30" s="125">
        <v>75000</v>
      </c>
      <c r="G30" s="125">
        <f>ROUNDDOWN(D30*F30,-3)</f>
        <v>3225000</v>
      </c>
      <c r="H30" s="154" t="b">
        <f t="shared" si="0"/>
        <v>1</v>
      </c>
      <c r="I30" s="154"/>
      <c r="J30" s="154"/>
    </row>
    <row r="31" spans="1:12" ht="14.25" x14ac:dyDescent="0.2">
      <c r="A31" s="21" t="s">
        <v>434</v>
      </c>
      <c r="B31" s="124"/>
      <c r="C31" s="123" t="s">
        <v>3602</v>
      </c>
      <c r="D31" s="157">
        <v>1</v>
      </c>
      <c r="E31" s="124" t="s">
        <v>106</v>
      </c>
      <c r="F31" s="125">
        <v>1000000</v>
      </c>
      <c r="G31" s="125">
        <f>ROUNDDOWN(D31*F31,-3)</f>
        <v>1000000</v>
      </c>
      <c r="H31" s="154" t="b">
        <f t="shared" si="0"/>
        <v>1</v>
      </c>
      <c r="I31" s="154"/>
      <c r="J31" s="154"/>
    </row>
    <row r="32" spans="1:12" ht="14.25" x14ac:dyDescent="0.2">
      <c r="A32" s="21" t="s">
        <v>435</v>
      </c>
      <c r="B32" s="124"/>
      <c r="C32" s="123" t="s">
        <v>3588</v>
      </c>
      <c r="D32" s="124">
        <v>1</v>
      </c>
      <c r="E32" s="124" t="s">
        <v>106</v>
      </c>
      <c r="F32" s="125">
        <v>1000000</v>
      </c>
      <c r="G32" s="125">
        <f>ROUNDDOWN(D32*F32,-3)</f>
        <v>1000000</v>
      </c>
      <c r="H32" s="154" t="b">
        <f t="shared" si="0"/>
        <v>1</v>
      </c>
      <c r="I32" s="154"/>
      <c r="J32" s="154"/>
    </row>
    <row r="33" spans="1:10" ht="14.25" x14ac:dyDescent="0.2">
      <c r="A33" s="21" t="s">
        <v>436</v>
      </c>
      <c r="B33" s="124"/>
      <c r="C33" s="123" t="s">
        <v>3589</v>
      </c>
      <c r="D33" s="157">
        <v>1</v>
      </c>
      <c r="E33" s="124" t="s">
        <v>106</v>
      </c>
      <c r="F33" s="125">
        <v>1500000</v>
      </c>
      <c r="G33" s="125">
        <f>ROUNDDOWN(D33*F33,-3)</f>
        <v>1500000</v>
      </c>
      <c r="H33" s="154" t="b">
        <f t="shared" si="0"/>
        <v>1</v>
      </c>
      <c r="I33" s="154"/>
      <c r="J33" s="154"/>
    </row>
    <row r="34" spans="1:10" ht="14.25" x14ac:dyDescent="0.2">
      <c r="A34" s="21" t="s">
        <v>777</v>
      </c>
      <c r="B34" s="60">
        <v>522151</v>
      </c>
      <c r="C34" s="41" t="s">
        <v>11</v>
      </c>
      <c r="D34" s="71"/>
      <c r="E34" s="60"/>
      <c r="F34" s="42"/>
      <c r="G34" s="42">
        <f>G35</f>
        <v>1000000</v>
      </c>
      <c r="H34" s="154" t="b">
        <f t="shared" si="0"/>
        <v>1</v>
      </c>
      <c r="I34" s="154"/>
      <c r="J34" s="154"/>
    </row>
    <row r="35" spans="1:10" ht="14.25" x14ac:dyDescent="0.2">
      <c r="A35" s="21" t="s">
        <v>778</v>
      </c>
      <c r="B35" s="124"/>
      <c r="C35" s="123" t="s">
        <v>3603</v>
      </c>
      <c r="D35" s="124">
        <v>1</v>
      </c>
      <c r="E35" s="124" t="s">
        <v>54</v>
      </c>
      <c r="F35" s="125">
        <v>1000000</v>
      </c>
      <c r="G35" s="125">
        <f>ROUNDDOWN(D35*F35,-3)</f>
        <v>1000000</v>
      </c>
      <c r="H35" s="154" t="b">
        <f t="shared" si="0"/>
        <v>1</v>
      </c>
      <c r="I35" s="154"/>
      <c r="J35" s="154"/>
    </row>
    <row r="36" spans="1:10" ht="14.25" x14ac:dyDescent="0.2">
      <c r="A36" s="21" t="s">
        <v>437</v>
      </c>
      <c r="B36" s="60">
        <v>524111</v>
      </c>
      <c r="C36" s="41" t="s">
        <v>19</v>
      </c>
      <c r="D36" s="71"/>
      <c r="E36" s="60"/>
      <c r="F36" s="42"/>
      <c r="G36" s="42">
        <f>G37</f>
        <v>33240000</v>
      </c>
      <c r="H36" s="154" t="b">
        <f t="shared" si="0"/>
        <v>1</v>
      </c>
      <c r="I36" s="154"/>
      <c r="J36" s="154"/>
    </row>
    <row r="37" spans="1:10" ht="25.5" x14ac:dyDescent="0.2">
      <c r="A37" s="21" t="s">
        <v>438</v>
      </c>
      <c r="B37" s="124"/>
      <c r="C37" s="123" t="s">
        <v>3604</v>
      </c>
      <c r="D37" s="124">
        <v>12</v>
      </c>
      <c r="E37" s="124" t="s">
        <v>776</v>
      </c>
      <c r="F37" s="125">
        <v>2770000</v>
      </c>
      <c r="G37" s="125">
        <f>ROUNDDOWN(D37*F37,-3)</f>
        <v>33240000</v>
      </c>
      <c r="H37" s="154" t="b">
        <f t="shared" si="0"/>
        <v>1</v>
      </c>
      <c r="I37" s="154"/>
      <c r="J37" s="154"/>
    </row>
    <row r="38" spans="1:10" ht="25.5" x14ac:dyDescent="0.2">
      <c r="A38" s="21" t="s">
        <v>439</v>
      </c>
      <c r="B38" s="58" t="s">
        <v>520</v>
      </c>
      <c r="C38" s="35" t="s">
        <v>57</v>
      </c>
      <c r="D38" s="69"/>
      <c r="E38" s="58"/>
      <c r="F38" s="36"/>
      <c r="G38" s="36">
        <f>G39</f>
        <v>54500000</v>
      </c>
      <c r="H38" s="154" t="b">
        <f t="shared" si="0"/>
        <v>1</v>
      </c>
      <c r="I38" s="154"/>
      <c r="J38" s="154"/>
    </row>
    <row r="39" spans="1:10" ht="25.5" x14ac:dyDescent="0.2">
      <c r="A39" s="21" t="s">
        <v>440</v>
      </c>
      <c r="B39" s="59" t="s">
        <v>8</v>
      </c>
      <c r="C39" s="38" t="s">
        <v>59</v>
      </c>
      <c r="D39" s="59"/>
      <c r="E39" s="59"/>
      <c r="F39" s="39"/>
      <c r="G39" s="39">
        <f>SUM(G40,G47)</f>
        <v>54500000</v>
      </c>
      <c r="H39" s="154" t="b">
        <f t="shared" si="0"/>
        <v>1</v>
      </c>
      <c r="I39" s="154"/>
      <c r="J39" s="154"/>
    </row>
    <row r="40" spans="1:10" ht="14.25" x14ac:dyDescent="0.2">
      <c r="A40" s="21" t="s">
        <v>441</v>
      </c>
      <c r="B40" s="60">
        <v>521211</v>
      </c>
      <c r="C40" s="41" t="s">
        <v>7</v>
      </c>
      <c r="D40" s="60"/>
      <c r="E40" s="60"/>
      <c r="F40" s="42"/>
      <c r="G40" s="42">
        <f>SUM(G41:G46)</f>
        <v>19225000</v>
      </c>
      <c r="H40" s="154" t="b">
        <f t="shared" si="0"/>
        <v>1</v>
      </c>
      <c r="I40" s="154"/>
      <c r="J40" s="154"/>
    </row>
    <row r="41" spans="1:10" ht="14.25" x14ac:dyDescent="0.2">
      <c r="A41" s="21" t="s">
        <v>442</v>
      </c>
      <c r="B41" s="124"/>
      <c r="C41" s="123" t="s">
        <v>3601</v>
      </c>
      <c r="D41" s="157">
        <v>23</v>
      </c>
      <c r="E41" s="124" t="s">
        <v>10</v>
      </c>
      <c r="F41" s="125">
        <v>75000</v>
      </c>
      <c r="G41" s="125">
        <f t="shared" ref="G41:G46" si="1">ROUNDDOWN(D41*F41,-3)</f>
        <v>1725000</v>
      </c>
      <c r="H41" s="154" t="b">
        <f t="shared" si="0"/>
        <v>1</v>
      </c>
      <c r="I41" s="154"/>
      <c r="J41" s="154"/>
    </row>
    <row r="42" spans="1:10" ht="14.25" x14ac:dyDescent="0.2">
      <c r="A42" s="7" t="s">
        <v>443</v>
      </c>
      <c r="B42" s="124"/>
      <c r="C42" s="123" t="s">
        <v>3602</v>
      </c>
      <c r="D42" s="157">
        <v>1</v>
      </c>
      <c r="E42" s="124" t="s">
        <v>106</v>
      </c>
      <c r="F42" s="125">
        <v>1000000</v>
      </c>
      <c r="G42" s="125">
        <f t="shared" si="1"/>
        <v>1000000</v>
      </c>
      <c r="H42" s="154" t="b">
        <f t="shared" si="0"/>
        <v>1</v>
      </c>
      <c r="I42" s="154"/>
      <c r="J42" s="154"/>
    </row>
    <row r="43" spans="1:10" ht="14.25" x14ac:dyDescent="0.2">
      <c r="A43" s="7" t="s">
        <v>444</v>
      </c>
      <c r="B43" s="124"/>
      <c r="C43" s="123" t="s">
        <v>3588</v>
      </c>
      <c r="D43" s="124">
        <v>2</v>
      </c>
      <c r="E43" s="124" t="s">
        <v>106</v>
      </c>
      <c r="F43" s="125">
        <v>1000000</v>
      </c>
      <c r="G43" s="125">
        <f t="shared" si="1"/>
        <v>2000000</v>
      </c>
      <c r="H43" s="154" t="b">
        <f t="shared" si="0"/>
        <v>1</v>
      </c>
      <c r="I43" s="154"/>
      <c r="J43" s="154"/>
    </row>
    <row r="44" spans="1:10" ht="14.25" x14ac:dyDescent="0.2">
      <c r="A44" s="21" t="s">
        <v>445</v>
      </c>
      <c r="B44" s="124"/>
      <c r="C44" s="123" t="s">
        <v>3589</v>
      </c>
      <c r="D44" s="124">
        <v>2</v>
      </c>
      <c r="E44" s="124" t="s">
        <v>106</v>
      </c>
      <c r="F44" s="125">
        <v>1500000</v>
      </c>
      <c r="G44" s="125">
        <f t="shared" si="1"/>
        <v>3000000</v>
      </c>
      <c r="H44" s="154" t="b">
        <f t="shared" si="0"/>
        <v>1</v>
      </c>
      <c r="I44" s="154"/>
      <c r="J44" s="154"/>
    </row>
    <row r="45" spans="1:10" ht="14.25" x14ac:dyDescent="0.2">
      <c r="A45" s="21" t="s">
        <v>446</v>
      </c>
      <c r="B45" s="124"/>
      <c r="C45" s="123" t="s">
        <v>3605</v>
      </c>
      <c r="D45" s="124">
        <v>23</v>
      </c>
      <c r="E45" s="124" t="s">
        <v>176</v>
      </c>
      <c r="F45" s="125">
        <v>250000</v>
      </c>
      <c r="G45" s="125">
        <f t="shared" si="1"/>
        <v>5750000</v>
      </c>
      <c r="H45" s="154" t="b">
        <f t="shared" si="0"/>
        <v>1</v>
      </c>
      <c r="I45" s="154"/>
      <c r="J45" s="154"/>
    </row>
    <row r="46" spans="1:10" ht="14.25" x14ac:dyDescent="0.2">
      <c r="A46" s="21" t="s">
        <v>447</v>
      </c>
      <c r="B46" s="124"/>
      <c r="C46" s="123" t="s">
        <v>3606</v>
      </c>
      <c r="D46" s="124">
        <v>23</v>
      </c>
      <c r="E46" s="124" t="s">
        <v>58</v>
      </c>
      <c r="F46" s="125">
        <v>250000</v>
      </c>
      <c r="G46" s="125">
        <f t="shared" si="1"/>
        <v>5750000</v>
      </c>
      <c r="H46" s="154" t="b">
        <f t="shared" si="0"/>
        <v>1</v>
      </c>
      <c r="I46" s="154"/>
      <c r="J46" s="154"/>
    </row>
    <row r="47" spans="1:10" ht="14.25" x14ac:dyDescent="0.2">
      <c r="A47" s="21" t="s">
        <v>448</v>
      </c>
      <c r="B47" s="60">
        <v>524111</v>
      </c>
      <c r="C47" s="41" t="s">
        <v>19</v>
      </c>
      <c r="D47" s="71"/>
      <c r="E47" s="60"/>
      <c r="F47" s="42"/>
      <c r="G47" s="42">
        <f>G48</f>
        <v>35275000</v>
      </c>
      <c r="H47" s="154" t="b">
        <f t="shared" si="0"/>
        <v>1</v>
      </c>
      <c r="I47" s="154"/>
      <c r="J47" s="154"/>
    </row>
    <row r="48" spans="1:10" ht="25.5" x14ac:dyDescent="0.2">
      <c r="A48" s="21" t="s">
        <v>449</v>
      </c>
      <c r="B48" s="124"/>
      <c r="C48" s="123" t="s">
        <v>3607</v>
      </c>
      <c r="D48" s="157">
        <v>10</v>
      </c>
      <c r="E48" s="124" t="s">
        <v>776</v>
      </c>
      <c r="F48" s="125">
        <v>3527550</v>
      </c>
      <c r="G48" s="125">
        <f>ROUNDDOWN(D48*F48,-3)</f>
        <v>35275000</v>
      </c>
      <c r="H48" s="154" t="b">
        <f t="shared" si="0"/>
        <v>1</v>
      </c>
      <c r="I48" s="154"/>
      <c r="J48" s="154"/>
    </row>
    <row r="49" spans="1:10" ht="14.25" x14ac:dyDescent="0.2">
      <c r="A49" s="21" t="s">
        <v>450</v>
      </c>
      <c r="B49" s="58" t="s">
        <v>523</v>
      </c>
      <c r="C49" s="35" t="s">
        <v>61</v>
      </c>
      <c r="D49" s="69"/>
      <c r="E49" s="58"/>
      <c r="F49" s="36"/>
      <c r="G49" s="36">
        <f>SUM(G50,G69,G86)</f>
        <v>686300000</v>
      </c>
      <c r="H49" s="154" t="b">
        <f t="shared" si="0"/>
        <v>1</v>
      </c>
      <c r="I49" s="154"/>
      <c r="J49" s="154"/>
    </row>
    <row r="50" spans="1:10" ht="14.25" x14ac:dyDescent="0.2">
      <c r="A50" s="21" t="s">
        <v>451</v>
      </c>
      <c r="B50" s="59" t="s">
        <v>8</v>
      </c>
      <c r="C50" s="38" t="s">
        <v>62</v>
      </c>
      <c r="D50" s="59"/>
      <c r="E50" s="59"/>
      <c r="F50" s="39"/>
      <c r="G50" s="39">
        <f>SUM(G51,G55,G58,G61,G63,G65,G67)</f>
        <v>386924000</v>
      </c>
      <c r="H50" s="154" t="b">
        <f t="shared" si="0"/>
        <v>1</v>
      </c>
      <c r="I50" s="154"/>
      <c r="J50" s="154"/>
    </row>
    <row r="51" spans="1:10" ht="14.25" x14ac:dyDescent="0.2">
      <c r="A51" s="21" t="s">
        <v>452</v>
      </c>
      <c r="B51" s="60">
        <v>521211</v>
      </c>
      <c r="C51" s="41" t="s">
        <v>7</v>
      </c>
      <c r="D51" s="71"/>
      <c r="E51" s="60"/>
      <c r="F51" s="42"/>
      <c r="G51" s="42">
        <f>SUM(G52:G54)</f>
        <v>64900000</v>
      </c>
      <c r="H51" s="154" t="b">
        <f t="shared" si="0"/>
        <v>1</v>
      </c>
      <c r="I51" s="154"/>
      <c r="J51" s="154"/>
    </row>
    <row r="52" spans="1:10" ht="14.25" x14ac:dyDescent="0.2">
      <c r="A52" s="21" t="s">
        <v>453</v>
      </c>
      <c r="B52" s="124"/>
      <c r="C52" s="123" t="s">
        <v>3587</v>
      </c>
      <c r="D52" s="157">
        <v>12</v>
      </c>
      <c r="E52" s="124" t="s">
        <v>106</v>
      </c>
      <c r="F52" s="125">
        <v>1500000</v>
      </c>
      <c r="G52" s="125">
        <f>ROUNDDOWN(D52*F52,-3)</f>
        <v>18000000</v>
      </c>
      <c r="H52" s="154" t="b">
        <f t="shared" si="0"/>
        <v>1</v>
      </c>
      <c r="I52" s="154"/>
      <c r="J52" s="154"/>
    </row>
    <row r="53" spans="1:10" ht="14.25" x14ac:dyDescent="0.2">
      <c r="A53" s="21" t="s">
        <v>454</v>
      </c>
      <c r="B53" s="124"/>
      <c r="C53" s="123" t="s">
        <v>3608</v>
      </c>
      <c r="D53" s="124">
        <v>100</v>
      </c>
      <c r="E53" s="124" t="s">
        <v>25</v>
      </c>
      <c r="F53" s="125">
        <v>69000</v>
      </c>
      <c r="G53" s="125">
        <f>ROUNDDOWN(D53*F53,-3)</f>
        <v>6900000</v>
      </c>
      <c r="H53" s="154" t="b">
        <f t="shared" si="0"/>
        <v>1</v>
      </c>
      <c r="I53" s="154"/>
      <c r="J53" s="154"/>
    </row>
    <row r="54" spans="1:10" ht="14.25" x14ac:dyDescent="0.2">
      <c r="A54" s="21" t="s">
        <v>783</v>
      </c>
      <c r="B54" s="124"/>
      <c r="C54" s="123" t="s">
        <v>3609</v>
      </c>
      <c r="D54" s="157">
        <v>80</v>
      </c>
      <c r="E54" s="124" t="s">
        <v>58</v>
      </c>
      <c r="F54" s="125">
        <v>500000</v>
      </c>
      <c r="G54" s="125">
        <f>ROUNDDOWN(D54*F54,-3)</f>
        <v>40000000</v>
      </c>
      <c r="H54" s="154" t="b">
        <f t="shared" si="0"/>
        <v>1</v>
      </c>
      <c r="I54" s="154"/>
      <c r="J54" s="154"/>
    </row>
    <row r="55" spans="1:10" ht="14.25" x14ac:dyDescent="0.2">
      <c r="A55" s="21" t="s">
        <v>455</v>
      </c>
      <c r="B55" s="60">
        <v>521219</v>
      </c>
      <c r="C55" s="41" t="s">
        <v>53</v>
      </c>
      <c r="D55" s="60"/>
      <c r="E55" s="60"/>
      <c r="F55" s="42"/>
      <c r="G55" s="42">
        <f>SUM(G56:G57)</f>
        <v>6000000</v>
      </c>
      <c r="H55" s="154" t="b">
        <f t="shared" si="0"/>
        <v>1</v>
      </c>
      <c r="I55" s="154"/>
      <c r="J55" s="154"/>
    </row>
    <row r="56" spans="1:10" ht="14.25" x14ac:dyDescent="0.2">
      <c r="A56" s="21" t="s">
        <v>456</v>
      </c>
      <c r="B56" s="124"/>
      <c r="C56" s="123" t="s">
        <v>3610</v>
      </c>
      <c r="D56" s="124">
        <v>4</v>
      </c>
      <c r="E56" s="124" t="s">
        <v>106</v>
      </c>
      <c r="F56" s="125">
        <v>250000</v>
      </c>
      <c r="G56" s="125">
        <f>ROUNDDOWN(D56*F56,-3)</f>
        <v>1000000</v>
      </c>
      <c r="H56" s="154" t="b">
        <f t="shared" si="0"/>
        <v>1</v>
      </c>
      <c r="I56" s="154"/>
      <c r="J56" s="154"/>
    </row>
    <row r="57" spans="1:10" ht="14.25" x14ac:dyDescent="0.2">
      <c r="A57" s="21" t="s">
        <v>457</v>
      </c>
      <c r="B57" s="124"/>
      <c r="C57" s="123" t="s">
        <v>3611</v>
      </c>
      <c r="D57" s="157">
        <v>10</v>
      </c>
      <c r="E57" s="124" t="s">
        <v>106</v>
      </c>
      <c r="F57" s="125">
        <v>500000</v>
      </c>
      <c r="G57" s="125">
        <f>ROUNDDOWN(D57*F57,-3)</f>
        <v>5000000</v>
      </c>
      <c r="H57" s="154" t="b">
        <f t="shared" si="0"/>
        <v>1</v>
      </c>
      <c r="I57" s="154"/>
      <c r="J57" s="154"/>
    </row>
    <row r="58" spans="1:10" ht="14.25" x14ac:dyDescent="0.2">
      <c r="A58" s="21" t="s">
        <v>458</v>
      </c>
      <c r="B58" s="60">
        <v>521811</v>
      </c>
      <c r="C58" s="41" t="s">
        <v>64</v>
      </c>
      <c r="D58" s="71"/>
      <c r="E58" s="60"/>
      <c r="F58" s="42"/>
      <c r="G58" s="42">
        <f>SUM(G59:G60)</f>
        <v>30000000</v>
      </c>
      <c r="H58" s="154" t="b">
        <f t="shared" si="0"/>
        <v>1</v>
      </c>
      <c r="I58" s="154"/>
      <c r="J58" s="154"/>
    </row>
    <row r="59" spans="1:10" ht="14.25" x14ac:dyDescent="0.2">
      <c r="A59" s="21" t="s">
        <v>459</v>
      </c>
      <c r="B59" s="124"/>
      <c r="C59" s="123" t="s">
        <v>3595</v>
      </c>
      <c r="D59" s="157">
        <v>12</v>
      </c>
      <c r="E59" s="124" t="s">
        <v>106</v>
      </c>
      <c r="F59" s="125">
        <v>1000000</v>
      </c>
      <c r="G59" s="125">
        <f>ROUNDDOWN(D59*F59,-3)</f>
        <v>12000000</v>
      </c>
      <c r="H59" s="154" t="b">
        <f t="shared" si="0"/>
        <v>1</v>
      </c>
      <c r="I59" s="154"/>
      <c r="J59" s="154"/>
    </row>
    <row r="60" spans="1:10" ht="14.25" x14ac:dyDescent="0.2">
      <c r="A60" s="21" t="s">
        <v>460</v>
      </c>
      <c r="B60" s="124"/>
      <c r="C60" s="123" t="s">
        <v>3596</v>
      </c>
      <c r="D60" s="157">
        <v>12</v>
      </c>
      <c r="E60" s="124" t="s">
        <v>106</v>
      </c>
      <c r="F60" s="125">
        <v>1500000</v>
      </c>
      <c r="G60" s="125">
        <f>ROUNDDOWN(D60*F60,-3)</f>
        <v>18000000</v>
      </c>
      <c r="H60" s="154" t="b">
        <f t="shared" si="0"/>
        <v>1</v>
      </c>
      <c r="I60" s="154"/>
      <c r="J60" s="154"/>
    </row>
    <row r="61" spans="1:10" ht="14.25" x14ac:dyDescent="0.2">
      <c r="A61" s="21" t="s">
        <v>461</v>
      </c>
      <c r="B61" s="60">
        <v>522151</v>
      </c>
      <c r="C61" s="41" t="s">
        <v>11</v>
      </c>
      <c r="D61" s="60"/>
      <c r="E61" s="60"/>
      <c r="F61" s="42"/>
      <c r="G61" s="42">
        <f>G62</f>
        <v>25200000</v>
      </c>
      <c r="H61" s="154" t="b">
        <f t="shared" si="0"/>
        <v>1</v>
      </c>
      <c r="I61" s="154"/>
      <c r="J61" s="154"/>
    </row>
    <row r="62" spans="1:10" ht="14.25" x14ac:dyDescent="0.2">
      <c r="A62" s="21" t="s">
        <v>462</v>
      </c>
      <c r="B62" s="124"/>
      <c r="C62" s="123" t="s">
        <v>3603</v>
      </c>
      <c r="D62" s="157">
        <v>28</v>
      </c>
      <c r="E62" s="124" t="s">
        <v>54</v>
      </c>
      <c r="F62" s="125">
        <v>900000</v>
      </c>
      <c r="G62" s="125">
        <f>ROUNDDOWN(D62*F62,-3)</f>
        <v>25200000</v>
      </c>
      <c r="H62" s="154" t="b">
        <f t="shared" si="0"/>
        <v>1</v>
      </c>
      <c r="I62" s="154"/>
      <c r="J62" s="154"/>
    </row>
    <row r="63" spans="1:10" ht="14.25" x14ac:dyDescent="0.2">
      <c r="A63" s="21" t="s">
        <v>463</v>
      </c>
      <c r="B63" s="60">
        <v>522192</v>
      </c>
      <c r="C63" s="41" t="s">
        <v>24</v>
      </c>
      <c r="D63" s="60"/>
      <c r="E63" s="60"/>
      <c r="F63" s="42"/>
      <c r="G63" s="42">
        <f>G64</f>
        <v>6000000</v>
      </c>
      <c r="H63" s="154" t="b">
        <f t="shared" si="0"/>
        <v>1</v>
      </c>
      <c r="I63" s="154"/>
      <c r="J63" s="154"/>
    </row>
    <row r="64" spans="1:10" ht="14.25" x14ac:dyDescent="0.2">
      <c r="A64" s="21" t="s">
        <v>464</v>
      </c>
      <c r="B64" s="124"/>
      <c r="C64" s="123" t="s">
        <v>3612</v>
      </c>
      <c r="D64" s="124">
        <v>1</v>
      </c>
      <c r="E64" s="124" t="s">
        <v>60</v>
      </c>
      <c r="F64" s="125">
        <v>6000000</v>
      </c>
      <c r="G64" s="125">
        <f>ROUNDDOWN(D64*F64,-3)</f>
        <v>6000000</v>
      </c>
      <c r="H64" s="154" t="b">
        <f t="shared" si="0"/>
        <v>1</v>
      </c>
      <c r="I64" s="154"/>
      <c r="J64" s="154"/>
    </row>
    <row r="65" spans="1:10" ht="14.25" x14ac:dyDescent="0.2">
      <c r="A65" s="21" t="s">
        <v>465</v>
      </c>
      <c r="B65" s="60">
        <v>524111</v>
      </c>
      <c r="C65" s="41" t="s">
        <v>19</v>
      </c>
      <c r="D65" s="71"/>
      <c r="E65" s="60"/>
      <c r="F65" s="42"/>
      <c r="G65" s="42">
        <f>G66</f>
        <v>253324000</v>
      </c>
      <c r="H65" s="154" t="b">
        <f t="shared" si="0"/>
        <v>1</v>
      </c>
      <c r="I65" s="154"/>
      <c r="J65" s="154"/>
    </row>
    <row r="66" spans="1:10" ht="25.5" x14ac:dyDescent="0.2">
      <c r="A66" s="21" t="s">
        <v>466</v>
      </c>
      <c r="B66" s="124"/>
      <c r="C66" s="123" t="s">
        <v>3613</v>
      </c>
      <c r="D66" s="157">
        <v>44</v>
      </c>
      <c r="E66" s="124" t="s">
        <v>776</v>
      </c>
      <c r="F66" s="125">
        <v>5757364</v>
      </c>
      <c r="G66" s="125">
        <f>ROUNDDOWN(D66*F66,-3)</f>
        <v>253324000</v>
      </c>
      <c r="H66" s="154" t="b">
        <f t="shared" si="0"/>
        <v>1</v>
      </c>
      <c r="I66" s="154"/>
      <c r="J66" s="154"/>
    </row>
    <row r="67" spans="1:10" ht="14.25" x14ac:dyDescent="0.2">
      <c r="A67" s="21" t="s">
        <v>467</v>
      </c>
      <c r="B67" s="60">
        <v>524113</v>
      </c>
      <c r="C67" s="41" t="s">
        <v>13</v>
      </c>
      <c r="D67" s="60"/>
      <c r="E67" s="60"/>
      <c r="F67" s="42"/>
      <c r="G67" s="42">
        <f>G68</f>
        <v>1500000</v>
      </c>
      <c r="H67" s="154" t="b">
        <f t="shared" si="0"/>
        <v>1</v>
      </c>
      <c r="I67" s="154"/>
      <c r="J67" s="154"/>
    </row>
    <row r="68" spans="1:10" ht="14.25" x14ac:dyDescent="0.2">
      <c r="A68" s="21" t="s">
        <v>468</v>
      </c>
      <c r="B68" s="124"/>
      <c r="C68" s="123" t="s">
        <v>3594</v>
      </c>
      <c r="D68" s="157">
        <v>10</v>
      </c>
      <c r="E68" s="124" t="s">
        <v>10</v>
      </c>
      <c r="F68" s="125">
        <v>150000</v>
      </c>
      <c r="G68" s="125">
        <f>ROUNDDOWN(D68*F68,-3)</f>
        <v>1500000</v>
      </c>
      <c r="H68" s="154" t="b">
        <f t="shared" si="0"/>
        <v>1</v>
      </c>
      <c r="I68" s="154"/>
      <c r="J68" s="154"/>
    </row>
    <row r="69" spans="1:10" ht="14.25" x14ac:dyDescent="0.2">
      <c r="A69" s="21" t="s">
        <v>469</v>
      </c>
      <c r="B69" s="59" t="s">
        <v>511</v>
      </c>
      <c r="C69" s="38" t="s">
        <v>65</v>
      </c>
      <c r="D69" s="70"/>
      <c r="E69" s="59"/>
      <c r="F69" s="39"/>
      <c r="G69" s="39">
        <f>SUM(G70,G74,G77,G80,G82,G84)</f>
        <v>247816000</v>
      </c>
      <c r="H69" s="154" t="b">
        <f t="shared" si="0"/>
        <v>1</v>
      </c>
      <c r="I69" s="154"/>
      <c r="J69" s="154"/>
    </row>
    <row r="70" spans="1:10" ht="14.25" x14ac:dyDescent="0.2">
      <c r="A70" s="21" t="s">
        <v>470</v>
      </c>
      <c r="B70" s="60">
        <v>521211</v>
      </c>
      <c r="C70" s="41" t="s">
        <v>7</v>
      </c>
      <c r="D70" s="60"/>
      <c r="E70" s="60"/>
      <c r="F70" s="42"/>
      <c r="G70" s="42">
        <f>SUM(G71:G73)</f>
        <v>71456000</v>
      </c>
      <c r="H70" s="154" t="b">
        <f t="shared" si="0"/>
        <v>1</v>
      </c>
      <c r="I70" s="154"/>
      <c r="J70" s="154"/>
    </row>
    <row r="71" spans="1:10" ht="14.25" x14ac:dyDescent="0.2">
      <c r="A71" s="21" t="s">
        <v>471</v>
      </c>
      <c r="B71" s="124"/>
      <c r="C71" s="123" t="s">
        <v>3614</v>
      </c>
      <c r="D71" s="157">
        <v>224</v>
      </c>
      <c r="E71" s="124" t="s">
        <v>25</v>
      </c>
      <c r="F71" s="125">
        <v>69000</v>
      </c>
      <c r="G71" s="125">
        <f>ROUNDDOWN(D71*F71,-3)</f>
        <v>15456000</v>
      </c>
      <c r="H71" s="154" t="b">
        <f t="shared" si="0"/>
        <v>1</v>
      </c>
      <c r="I71" s="154"/>
      <c r="J71" s="154"/>
    </row>
    <row r="72" spans="1:10" ht="14.25" x14ac:dyDescent="0.2">
      <c r="A72" s="21" t="s">
        <v>472</v>
      </c>
      <c r="B72" s="124"/>
      <c r="C72" s="123" t="s">
        <v>3602</v>
      </c>
      <c r="D72" s="124">
        <v>4</v>
      </c>
      <c r="E72" s="124" t="s">
        <v>106</v>
      </c>
      <c r="F72" s="125">
        <v>1500000</v>
      </c>
      <c r="G72" s="125">
        <f>ROUNDDOWN(D72*F72,-3)</f>
        <v>6000000</v>
      </c>
      <c r="H72" s="154" t="b">
        <f t="shared" si="0"/>
        <v>1</v>
      </c>
      <c r="I72" s="154"/>
      <c r="J72" s="154"/>
    </row>
    <row r="73" spans="1:10" ht="14.25" x14ac:dyDescent="0.2">
      <c r="A73" s="21" t="s">
        <v>789</v>
      </c>
      <c r="B73" s="124"/>
      <c r="C73" s="123" t="s">
        <v>3615</v>
      </c>
      <c r="D73" s="124">
        <v>100</v>
      </c>
      <c r="E73" s="124" t="s">
        <v>791</v>
      </c>
      <c r="F73" s="125">
        <v>500000</v>
      </c>
      <c r="G73" s="125">
        <f>ROUNDDOWN(D73*F73,-3)</f>
        <v>50000000</v>
      </c>
      <c r="H73" s="154" t="b">
        <f t="shared" si="0"/>
        <v>1</v>
      </c>
      <c r="I73" s="154"/>
      <c r="J73" s="154"/>
    </row>
    <row r="74" spans="1:10" ht="14.25" x14ac:dyDescent="0.2">
      <c r="A74" s="21" t="s">
        <v>473</v>
      </c>
      <c r="B74" s="60">
        <v>521219</v>
      </c>
      <c r="C74" s="41" t="s">
        <v>53</v>
      </c>
      <c r="D74" s="71"/>
      <c r="E74" s="60"/>
      <c r="F74" s="42"/>
      <c r="G74" s="42">
        <f>SUM(G75:G76)</f>
        <v>5000000</v>
      </c>
      <c r="H74" s="154" t="b">
        <f t="shared" si="0"/>
        <v>1</v>
      </c>
      <c r="I74" s="154"/>
      <c r="J74" s="154"/>
    </row>
    <row r="75" spans="1:10" ht="14.25" x14ac:dyDescent="0.2">
      <c r="A75" s="21" t="s">
        <v>474</v>
      </c>
      <c r="B75" s="124"/>
      <c r="C75" s="123" t="s">
        <v>3610</v>
      </c>
      <c r="D75" s="157">
        <v>4</v>
      </c>
      <c r="E75" s="124" t="s">
        <v>106</v>
      </c>
      <c r="F75" s="125">
        <v>250000</v>
      </c>
      <c r="G75" s="125">
        <f>ROUNDDOWN(D75*F75,-3)</f>
        <v>1000000</v>
      </c>
      <c r="H75" s="154" t="b">
        <f t="shared" si="0"/>
        <v>1</v>
      </c>
      <c r="I75" s="154"/>
      <c r="J75" s="154"/>
    </row>
    <row r="76" spans="1:10" ht="14.25" x14ac:dyDescent="0.2">
      <c r="A76" s="21" t="s">
        <v>792</v>
      </c>
      <c r="B76" s="124"/>
      <c r="C76" s="123" t="s">
        <v>3611</v>
      </c>
      <c r="D76" s="124">
        <v>8</v>
      </c>
      <c r="E76" s="124" t="s">
        <v>106</v>
      </c>
      <c r="F76" s="125">
        <v>500000</v>
      </c>
      <c r="G76" s="125">
        <f>ROUNDDOWN(D76*F76,-3)</f>
        <v>4000000</v>
      </c>
      <c r="H76" s="154" t="b">
        <f t="shared" si="0"/>
        <v>1</v>
      </c>
      <c r="I76" s="154"/>
      <c r="J76" s="154"/>
    </row>
    <row r="77" spans="1:10" ht="14.25" x14ac:dyDescent="0.2">
      <c r="A77" s="21" t="s">
        <v>475</v>
      </c>
      <c r="B77" s="60">
        <v>521811</v>
      </c>
      <c r="C77" s="41" t="s">
        <v>64</v>
      </c>
      <c r="D77" s="71"/>
      <c r="E77" s="60"/>
      <c r="F77" s="42"/>
      <c r="G77" s="42">
        <f>SUM(G78:G79)</f>
        <v>15000000</v>
      </c>
      <c r="H77" s="154" t="b">
        <f t="shared" si="0"/>
        <v>1</v>
      </c>
      <c r="I77" s="154"/>
      <c r="J77" s="154"/>
    </row>
    <row r="78" spans="1:10" ht="14.25" x14ac:dyDescent="0.2">
      <c r="A78" s="21" t="s">
        <v>476</v>
      </c>
      <c r="B78" s="124"/>
      <c r="C78" s="123" t="s">
        <v>3595</v>
      </c>
      <c r="D78" s="157">
        <v>6</v>
      </c>
      <c r="E78" s="124" t="s">
        <v>106</v>
      </c>
      <c r="F78" s="125">
        <v>1000000</v>
      </c>
      <c r="G78" s="125">
        <f>ROUNDDOWN(D78*F78,-3)</f>
        <v>6000000</v>
      </c>
      <c r="H78" s="154" t="b">
        <f t="shared" ref="H78:H141" si="2">_xlfn.ISFORMULA(G78)</f>
        <v>1</v>
      </c>
      <c r="I78" s="154"/>
      <c r="J78" s="154"/>
    </row>
    <row r="79" spans="1:10" ht="14.25" x14ac:dyDescent="0.2">
      <c r="A79" s="21" t="s">
        <v>477</v>
      </c>
      <c r="B79" s="124"/>
      <c r="C79" s="123" t="s">
        <v>3596</v>
      </c>
      <c r="D79" s="124">
        <v>6</v>
      </c>
      <c r="E79" s="124" t="s">
        <v>106</v>
      </c>
      <c r="F79" s="125">
        <v>1500000</v>
      </c>
      <c r="G79" s="125">
        <f>ROUNDDOWN(D79*F79,-3)</f>
        <v>9000000</v>
      </c>
      <c r="H79" s="154" t="b">
        <f t="shared" si="2"/>
        <v>1</v>
      </c>
      <c r="I79" s="154"/>
      <c r="J79" s="154"/>
    </row>
    <row r="80" spans="1:10" ht="14.25" x14ac:dyDescent="0.2">
      <c r="A80" s="21" t="s">
        <v>478</v>
      </c>
      <c r="B80" s="60">
        <v>522151</v>
      </c>
      <c r="C80" s="41" t="s">
        <v>11</v>
      </c>
      <c r="D80" s="71"/>
      <c r="E80" s="60"/>
      <c r="F80" s="42"/>
      <c r="G80" s="42">
        <f>G81</f>
        <v>16200000</v>
      </c>
      <c r="H80" s="154" t="b">
        <f t="shared" si="2"/>
        <v>1</v>
      </c>
      <c r="I80" s="154"/>
      <c r="J80" s="154"/>
    </row>
    <row r="81" spans="1:10" ht="14.25" x14ac:dyDescent="0.2">
      <c r="A81" s="21" t="s">
        <v>479</v>
      </c>
      <c r="B81" s="124"/>
      <c r="C81" s="123" t="s">
        <v>3603</v>
      </c>
      <c r="D81" s="124">
        <v>18</v>
      </c>
      <c r="E81" s="124" t="s">
        <v>54</v>
      </c>
      <c r="F81" s="125">
        <v>900000</v>
      </c>
      <c r="G81" s="125">
        <f>ROUNDDOWN(D81*F81,-3)</f>
        <v>16200000</v>
      </c>
      <c r="H81" s="154" t="b">
        <f t="shared" si="2"/>
        <v>1</v>
      </c>
      <c r="I81" s="154"/>
      <c r="J81" s="154"/>
    </row>
    <row r="82" spans="1:10" ht="14.25" x14ac:dyDescent="0.2">
      <c r="A82" s="21" t="s">
        <v>480</v>
      </c>
      <c r="B82" s="60">
        <v>522192</v>
      </c>
      <c r="C82" s="41" t="s">
        <v>24</v>
      </c>
      <c r="D82" s="60"/>
      <c r="E82" s="60"/>
      <c r="F82" s="42"/>
      <c r="G82" s="42">
        <f>G83</f>
        <v>2000000</v>
      </c>
      <c r="H82" s="154" t="b">
        <f t="shared" si="2"/>
        <v>1</v>
      </c>
      <c r="I82" s="154"/>
      <c r="J82" s="154"/>
    </row>
    <row r="83" spans="1:10" ht="14.25" x14ac:dyDescent="0.2">
      <c r="A83" s="21" t="s">
        <v>481</v>
      </c>
      <c r="B83" s="124"/>
      <c r="C83" s="123" t="s">
        <v>3612</v>
      </c>
      <c r="D83" s="157">
        <v>1</v>
      </c>
      <c r="E83" s="124" t="s">
        <v>60</v>
      </c>
      <c r="F83" s="125">
        <v>2000000</v>
      </c>
      <c r="G83" s="125">
        <f>ROUNDDOWN(D83*F83,-3)</f>
        <v>2000000</v>
      </c>
      <c r="H83" s="154" t="b">
        <f t="shared" si="2"/>
        <v>1</v>
      </c>
      <c r="I83" s="154"/>
      <c r="J83" s="154"/>
    </row>
    <row r="84" spans="1:10" ht="14.25" x14ac:dyDescent="0.2">
      <c r="A84" s="21" t="s">
        <v>482</v>
      </c>
      <c r="B84" s="60">
        <v>524111</v>
      </c>
      <c r="C84" s="41" t="s">
        <v>19</v>
      </c>
      <c r="D84" s="71"/>
      <c r="E84" s="60"/>
      <c r="F84" s="42"/>
      <c r="G84" s="42">
        <f>G85</f>
        <v>138160000</v>
      </c>
      <c r="H84" s="154" t="b">
        <f t="shared" si="2"/>
        <v>1</v>
      </c>
      <c r="I84" s="154"/>
      <c r="J84" s="154"/>
    </row>
    <row r="85" spans="1:10" ht="14.25" x14ac:dyDescent="0.2">
      <c r="A85" s="21" t="s">
        <v>483</v>
      </c>
      <c r="B85" s="124"/>
      <c r="C85" s="123" t="s">
        <v>3616</v>
      </c>
      <c r="D85" s="124">
        <v>22</v>
      </c>
      <c r="E85" s="124" t="s">
        <v>776</v>
      </c>
      <c r="F85" s="125">
        <v>6280000</v>
      </c>
      <c r="G85" s="125">
        <f>ROUNDDOWN(D85*F85,-3)</f>
        <v>138160000</v>
      </c>
      <c r="H85" s="154" t="b">
        <f t="shared" si="2"/>
        <v>1</v>
      </c>
      <c r="I85" s="154"/>
      <c r="J85" s="154"/>
    </row>
    <row r="86" spans="1:10" ht="14.25" x14ac:dyDescent="0.2">
      <c r="A86" s="21" t="s">
        <v>794</v>
      </c>
      <c r="B86" s="59" t="s">
        <v>512</v>
      </c>
      <c r="C86" s="38" t="s">
        <v>795</v>
      </c>
      <c r="D86" s="70"/>
      <c r="E86" s="59"/>
      <c r="F86" s="39"/>
      <c r="G86" s="39">
        <f>SUM(G87,G92,G94,G96)</f>
        <v>51560000</v>
      </c>
      <c r="H86" s="154" t="b">
        <f t="shared" si="2"/>
        <v>1</v>
      </c>
      <c r="I86" s="154"/>
      <c r="J86" s="154"/>
    </row>
    <row r="87" spans="1:10" ht="14.25" x14ac:dyDescent="0.2">
      <c r="A87" s="21" t="s">
        <v>796</v>
      </c>
      <c r="B87" s="60">
        <v>521211</v>
      </c>
      <c r="C87" s="41" t="s">
        <v>7</v>
      </c>
      <c r="D87" s="71"/>
      <c r="E87" s="60"/>
      <c r="F87" s="42"/>
      <c r="G87" s="42">
        <f>SUM(G88:G91)</f>
        <v>20830000</v>
      </c>
      <c r="H87" s="154" t="b">
        <f t="shared" si="2"/>
        <v>1</v>
      </c>
      <c r="I87" s="154"/>
      <c r="J87" s="154"/>
    </row>
    <row r="88" spans="1:10" ht="14.25" x14ac:dyDescent="0.2">
      <c r="A88" s="21" t="s">
        <v>797</v>
      </c>
      <c r="B88" s="124"/>
      <c r="C88" s="123" t="s">
        <v>3595</v>
      </c>
      <c r="D88" s="124">
        <v>4</v>
      </c>
      <c r="E88" s="124" t="s">
        <v>106</v>
      </c>
      <c r="F88" s="125">
        <v>1000000</v>
      </c>
      <c r="G88" s="125">
        <f>ROUNDDOWN(D88*F88,-3)</f>
        <v>4000000</v>
      </c>
      <c r="H88" s="154" t="b">
        <f t="shared" si="2"/>
        <v>1</v>
      </c>
      <c r="I88" s="154"/>
      <c r="J88" s="154"/>
    </row>
    <row r="89" spans="1:10" ht="14.25" x14ac:dyDescent="0.2">
      <c r="A89" s="21" t="s">
        <v>798</v>
      </c>
      <c r="B89" s="124"/>
      <c r="C89" s="123" t="s">
        <v>3596</v>
      </c>
      <c r="D89" s="157">
        <v>4</v>
      </c>
      <c r="E89" s="124" t="s">
        <v>106</v>
      </c>
      <c r="F89" s="125">
        <v>1500000</v>
      </c>
      <c r="G89" s="125">
        <f>ROUNDDOWN(D89*F89,-3)</f>
        <v>6000000</v>
      </c>
      <c r="H89" s="154" t="b">
        <f t="shared" si="2"/>
        <v>1</v>
      </c>
      <c r="I89" s="154"/>
      <c r="J89" s="154"/>
    </row>
    <row r="90" spans="1:10" ht="14.25" x14ac:dyDescent="0.2">
      <c r="A90" s="21" t="s">
        <v>799</v>
      </c>
      <c r="B90" s="124"/>
      <c r="C90" s="123" t="s">
        <v>3617</v>
      </c>
      <c r="D90" s="124">
        <v>70</v>
      </c>
      <c r="E90" s="124" t="s">
        <v>25</v>
      </c>
      <c r="F90" s="125">
        <v>69000</v>
      </c>
      <c r="G90" s="125">
        <f>ROUNDDOWN(D90*F90,-3)</f>
        <v>4830000</v>
      </c>
      <c r="H90" s="154" t="b">
        <f t="shared" si="2"/>
        <v>1</v>
      </c>
      <c r="I90" s="154"/>
      <c r="J90" s="154"/>
    </row>
    <row r="91" spans="1:10" ht="14.25" x14ac:dyDescent="0.2">
      <c r="A91" s="21" t="s">
        <v>800</v>
      </c>
      <c r="B91" s="124"/>
      <c r="C91" s="123" t="s">
        <v>3618</v>
      </c>
      <c r="D91" s="124">
        <v>4</v>
      </c>
      <c r="E91" s="124" t="s">
        <v>106</v>
      </c>
      <c r="F91" s="125">
        <v>1500000</v>
      </c>
      <c r="G91" s="125">
        <f>ROUNDDOWN(D91*F91,-3)</f>
        <v>6000000</v>
      </c>
      <c r="H91" s="154" t="b">
        <f t="shared" si="2"/>
        <v>1</v>
      </c>
      <c r="I91" s="154"/>
      <c r="J91" s="154"/>
    </row>
    <row r="92" spans="1:10" ht="14.25" x14ac:dyDescent="0.2">
      <c r="A92" s="21" t="s">
        <v>801</v>
      </c>
      <c r="B92" s="60">
        <v>521219</v>
      </c>
      <c r="C92" s="41" t="s">
        <v>53</v>
      </c>
      <c r="D92" s="71"/>
      <c r="E92" s="60"/>
      <c r="F92" s="42"/>
      <c r="G92" s="42">
        <f>G93</f>
        <v>500000</v>
      </c>
      <c r="H92" s="154" t="b">
        <f t="shared" si="2"/>
        <v>1</v>
      </c>
      <c r="I92" s="154"/>
      <c r="J92" s="154"/>
    </row>
    <row r="93" spans="1:10" ht="14.25" x14ac:dyDescent="0.2">
      <c r="A93" s="21" t="s">
        <v>802</v>
      </c>
      <c r="B93" s="124"/>
      <c r="C93" s="123" t="s">
        <v>3610</v>
      </c>
      <c r="D93" s="157">
        <v>2</v>
      </c>
      <c r="E93" s="124" t="s">
        <v>106</v>
      </c>
      <c r="F93" s="125">
        <v>250000</v>
      </c>
      <c r="G93" s="125">
        <f>ROUNDDOWN(D93*F93,-3)</f>
        <v>500000</v>
      </c>
      <c r="H93" s="154" t="b">
        <f t="shared" si="2"/>
        <v>1</v>
      </c>
      <c r="I93" s="154"/>
      <c r="J93" s="154"/>
    </row>
    <row r="94" spans="1:10" ht="14.25" x14ac:dyDescent="0.2">
      <c r="A94" s="21" t="s">
        <v>803</v>
      </c>
      <c r="B94" s="60">
        <v>522151</v>
      </c>
      <c r="C94" s="41" t="s">
        <v>11</v>
      </c>
      <c r="D94" s="60"/>
      <c r="E94" s="60"/>
      <c r="F94" s="42"/>
      <c r="G94" s="42">
        <f>G95</f>
        <v>7200000</v>
      </c>
      <c r="H94" s="154" t="b">
        <f t="shared" si="2"/>
        <v>1</v>
      </c>
      <c r="I94" s="154"/>
      <c r="J94" s="154"/>
    </row>
    <row r="95" spans="1:10" ht="14.25" x14ac:dyDescent="0.2">
      <c r="A95" s="21" t="s">
        <v>804</v>
      </c>
      <c r="B95" s="124"/>
      <c r="C95" s="123" t="s">
        <v>3603</v>
      </c>
      <c r="D95" s="157">
        <v>8</v>
      </c>
      <c r="E95" s="124" t="s">
        <v>54</v>
      </c>
      <c r="F95" s="125">
        <v>900000</v>
      </c>
      <c r="G95" s="125">
        <f>ROUNDDOWN(D95*F95,-3)</f>
        <v>7200000</v>
      </c>
      <c r="H95" s="154" t="b">
        <f t="shared" si="2"/>
        <v>1</v>
      </c>
      <c r="I95" s="154"/>
      <c r="J95" s="154"/>
    </row>
    <row r="96" spans="1:10" ht="14.25" x14ac:dyDescent="0.2">
      <c r="A96" s="21" t="s">
        <v>805</v>
      </c>
      <c r="B96" s="60">
        <v>524111</v>
      </c>
      <c r="C96" s="41" t="s">
        <v>19</v>
      </c>
      <c r="D96" s="71"/>
      <c r="E96" s="60"/>
      <c r="F96" s="42"/>
      <c r="G96" s="42">
        <f>G97</f>
        <v>23030000</v>
      </c>
      <c r="H96" s="154" t="b">
        <f t="shared" si="2"/>
        <v>1</v>
      </c>
      <c r="I96" s="154"/>
      <c r="J96" s="154"/>
    </row>
    <row r="97" spans="1:10" ht="25.5" x14ac:dyDescent="0.2">
      <c r="A97" s="21" t="s">
        <v>806</v>
      </c>
      <c r="B97" s="124"/>
      <c r="C97" s="123" t="s">
        <v>3619</v>
      </c>
      <c r="D97" s="124">
        <v>6</v>
      </c>
      <c r="E97" s="124" t="s">
        <v>776</v>
      </c>
      <c r="F97" s="125">
        <v>3838335</v>
      </c>
      <c r="G97" s="125">
        <f>ROUNDDOWN(D97*F97,-3)</f>
        <v>23030000</v>
      </c>
      <c r="H97" s="154" t="b">
        <f t="shared" si="2"/>
        <v>1</v>
      </c>
      <c r="I97" s="154"/>
      <c r="J97" s="154"/>
    </row>
    <row r="98" spans="1:10" ht="14.25" x14ac:dyDescent="0.2">
      <c r="A98" s="21" t="s">
        <v>484</v>
      </c>
      <c r="B98" s="58" t="s">
        <v>526</v>
      </c>
      <c r="C98" s="35" t="s">
        <v>67</v>
      </c>
      <c r="D98" s="69"/>
      <c r="E98" s="58"/>
      <c r="F98" s="36"/>
      <c r="G98" s="36">
        <f>G99</f>
        <v>135100000</v>
      </c>
      <c r="H98" s="154" t="b">
        <f t="shared" si="2"/>
        <v>1</v>
      </c>
      <c r="I98" s="154"/>
      <c r="J98" s="154"/>
    </row>
    <row r="99" spans="1:10" ht="14.25" x14ac:dyDescent="0.2">
      <c r="A99" s="21" t="s">
        <v>485</v>
      </c>
      <c r="B99" s="59" t="s">
        <v>8</v>
      </c>
      <c r="C99" s="38" t="s">
        <v>68</v>
      </c>
      <c r="D99" s="59"/>
      <c r="E99" s="59"/>
      <c r="F99" s="39"/>
      <c r="G99" s="39">
        <f>SUM(G100,G106,G108,G110,G112)</f>
        <v>135100000</v>
      </c>
      <c r="H99" s="154" t="b">
        <f t="shared" si="2"/>
        <v>1</v>
      </c>
      <c r="I99" s="154"/>
      <c r="J99" s="154"/>
    </row>
    <row r="100" spans="1:10" ht="14.25" x14ac:dyDescent="0.2">
      <c r="A100" s="21" t="s">
        <v>486</v>
      </c>
      <c r="B100" s="60">
        <v>521211</v>
      </c>
      <c r="C100" s="41" t="s">
        <v>7</v>
      </c>
      <c r="D100" s="71"/>
      <c r="E100" s="60"/>
      <c r="F100" s="42"/>
      <c r="G100" s="42">
        <f>SUM(G101:G105)</f>
        <v>21100000</v>
      </c>
      <c r="H100" s="154" t="b">
        <f t="shared" si="2"/>
        <v>1</v>
      </c>
      <c r="I100" s="154"/>
      <c r="J100" s="154"/>
    </row>
    <row r="101" spans="1:10" ht="14.25" x14ac:dyDescent="0.2">
      <c r="A101" s="21" t="s">
        <v>487</v>
      </c>
      <c r="B101" s="124"/>
      <c r="C101" s="123" t="s">
        <v>3587</v>
      </c>
      <c r="D101" s="124">
        <v>2</v>
      </c>
      <c r="E101" s="124" t="s">
        <v>106</v>
      </c>
      <c r="F101" s="125">
        <v>1500000</v>
      </c>
      <c r="G101" s="125">
        <f>ROUNDDOWN(D101*F101,-3)</f>
        <v>3000000</v>
      </c>
      <c r="H101" s="154" t="b">
        <f t="shared" si="2"/>
        <v>1</v>
      </c>
      <c r="I101" s="154"/>
      <c r="J101" s="154"/>
    </row>
    <row r="102" spans="1:10" ht="14.25" x14ac:dyDescent="0.2">
      <c r="A102" s="21" t="s">
        <v>488</v>
      </c>
      <c r="B102" s="124"/>
      <c r="C102" s="123" t="s">
        <v>3620</v>
      </c>
      <c r="D102" s="124">
        <v>90</v>
      </c>
      <c r="E102" s="124" t="s">
        <v>25</v>
      </c>
      <c r="F102" s="125">
        <v>65556</v>
      </c>
      <c r="G102" s="125">
        <f>ROUNDDOWN(D102*F102,-3)</f>
        <v>5900000</v>
      </c>
      <c r="H102" s="154" t="b">
        <f t="shared" si="2"/>
        <v>1</v>
      </c>
      <c r="I102" s="154"/>
      <c r="J102" s="154"/>
    </row>
    <row r="103" spans="1:10" ht="14.25" x14ac:dyDescent="0.2">
      <c r="A103" s="21" t="s">
        <v>489</v>
      </c>
      <c r="B103" s="124"/>
      <c r="C103" s="123" t="s">
        <v>3588</v>
      </c>
      <c r="D103" s="124">
        <v>2</v>
      </c>
      <c r="E103" s="124" t="s">
        <v>106</v>
      </c>
      <c r="F103" s="125">
        <v>1000000</v>
      </c>
      <c r="G103" s="125">
        <f>ROUNDDOWN(D103*F103,-3)</f>
        <v>2000000</v>
      </c>
      <c r="H103" s="154" t="b">
        <f t="shared" si="2"/>
        <v>1</v>
      </c>
      <c r="I103" s="154"/>
      <c r="J103" s="154"/>
    </row>
    <row r="104" spans="1:10" ht="14.25" x14ac:dyDescent="0.2">
      <c r="A104" s="21" t="s">
        <v>809</v>
      </c>
      <c r="B104" s="124"/>
      <c r="C104" s="123" t="s">
        <v>3589</v>
      </c>
      <c r="D104" s="157">
        <v>2</v>
      </c>
      <c r="E104" s="124" t="s">
        <v>106</v>
      </c>
      <c r="F104" s="125">
        <v>1500000</v>
      </c>
      <c r="G104" s="125">
        <f>ROUNDDOWN(D104*F104,-3)</f>
        <v>3000000</v>
      </c>
      <c r="H104" s="154" t="b">
        <f t="shared" si="2"/>
        <v>1</v>
      </c>
      <c r="I104" s="154"/>
      <c r="J104" s="154"/>
    </row>
    <row r="105" spans="1:10" ht="25.5" x14ac:dyDescent="0.2">
      <c r="A105" s="21" t="s">
        <v>810</v>
      </c>
      <c r="B105" s="124"/>
      <c r="C105" s="123" t="s">
        <v>3621</v>
      </c>
      <c r="D105" s="157">
        <v>36</v>
      </c>
      <c r="E105" s="124" t="s">
        <v>25</v>
      </c>
      <c r="F105" s="125">
        <v>200000</v>
      </c>
      <c r="G105" s="125">
        <f>ROUNDDOWN(D105*F105,-3)</f>
        <v>7200000</v>
      </c>
      <c r="H105" s="154" t="b">
        <f t="shared" si="2"/>
        <v>1</v>
      </c>
      <c r="I105" s="154"/>
      <c r="J105" s="154"/>
    </row>
    <row r="106" spans="1:10" ht="14.25" x14ac:dyDescent="0.2">
      <c r="A106" s="21" t="s">
        <v>490</v>
      </c>
      <c r="B106" s="60">
        <v>521219</v>
      </c>
      <c r="C106" s="41" t="s">
        <v>53</v>
      </c>
      <c r="D106" s="71"/>
      <c r="E106" s="60"/>
      <c r="F106" s="42"/>
      <c r="G106" s="42">
        <f>G107</f>
        <v>1584000</v>
      </c>
      <c r="H106" s="154" t="b">
        <f t="shared" si="2"/>
        <v>1</v>
      </c>
      <c r="I106" s="154"/>
      <c r="J106" s="154"/>
    </row>
    <row r="107" spans="1:10" ht="25.5" x14ac:dyDescent="0.2">
      <c r="A107" s="21" t="s">
        <v>491</v>
      </c>
      <c r="B107" s="124"/>
      <c r="C107" s="123" t="s">
        <v>3622</v>
      </c>
      <c r="D107" s="157">
        <v>36</v>
      </c>
      <c r="E107" s="124" t="s">
        <v>25</v>
      </c>
      <c r="F107" s="125">
        <v>44000</v>
      </c>
      <c r="G107" s="125">
        <f>ROUNDDOWN(D107*F107,-3)</f>
        <v>1584000</v>
      </c>
      <c r="H107" s="154" t="b">
        <f t="shared" si="2"/>
        <v>1</v>
      </c>
      <c r="I107" s="154"/>
      <c r="J107" s="154"/>
    </row>
    <row r="108" spans="1:10" ht="14.25" x14ac:dyDescent="0.2">
      <c r="A108" s="21" t="s">
        <v>492</v>
      </c>
      <c r="B108" s="60">
        <v>522151</v>
      </c>
      <c r="C108" s="41" t="s">
        <v>11</v>
      </c>
      <c r="D108" s="60"/>
      <c r="E108" s="60"/>
      <c r="F108" s="42"/>
      <c r="G108" s="42">
        <f>G109</f>
        <v>10000000</v>
      </c>
      <c r="H108" s="154" t="b">
        <f t="shared" si="2"/>
        <v>1</v>
      </c>
      <c r="I108" s="154"/>
      <c r="J108" s="154"/>
    </row>
    <row r="109" spans="1:10" ht="14.25" x14ac:dyDescent="0.2">
      <c r="A109" s="21" t="s">
        <v>493</v>
      </c>
      <c r="B109" s="124"/>
      <c r="C109" s="123" t="s">
        <v>3603</v>
      </c>
      <c r="D109" s="157">
        <v>10</v>
      </c>
      <c r="E109" s="124" t="s">
        <v>54</v>
      </c>
      <c r="F109" s="125">
        <v>1000000</v>
      </c>
      <c r="G109" s="125">
        <f>ROUNDDOWN(D109*F109,-3)</f>
        <v>10000000</v>
      </c>
      <c r="H109" s="154" t="b">
        <f t="shared" si="2"/>
        <v>1</v>
      </c>
      <c r="I109" s="154"/>
      <c r="J109" s="154"/>
    </row>
    <row r="110" spans="1:10" ht="14.25" x14ac:dyDescent="0.2">
      <c r="A110" s="21" t="s">
        <v>813</v>
      </c>
      <c r="B110" s="60">
        <v>522192</v>
      </c>
      <c r="C110" s="41" t="s">
        <v>24</v>
      </c>
      <c r="D110" s="60"/>
      <c r="E110" s="60"/>
      <c r="F110" s="42"/>
      <c r="G110" s="42">
        <f>G111</f>
        <v>5000000</v>
      </c>
      <c r="H110" s="154" t="b">
        <f t="shared" si="2"/>
        <v>1</v>
      </c>
      <c r="I110" s="154"/>
      <c r="J110" s="154"/>
    </row>
    <row r="111" spans="1:10" ht="14.25" x14ac:dyDescent="0.2">
      <c r="A111" s="21" t="s">
        <v>814</v>
      </c>
      <c r="B111" s="124"/>
      <c r="C111" s="123" t="s">
        <v>3623</v>
      </c>
      <c r="D111" s="157">
        <v>1</v>
      </c>
      <c r="E111" s="124" t="s">
        <v>153</v>
      </c>
      <c r="F111" s="125">
        <v>5000000</v>
      </c>
      <c r="G111" s="125">
        <f>ROUNDDOWN(D111*F111,-3)</f>
        <v>5000000</v>
      </c>
      <c r="H111" s="154" t="b">
        <f t="shared" si="2"/>
        <v>1</v>
      </c>
      <c r="I111" s="154"/>
      <c r="J111" s="154"/>
    </row>
    <row r="112" spans="1:10" ht="14.25" x14ac:dyDescent="0.2">
      <c r="A112" s="21" t="s">
        <v>816</v>
      </c>
      <c r="B112" s="60">
        <v>524111</v>
      </c>
      <c r="C112" s="41" t="s">
        <v>19</v>
      </c>
      <c r="D112" s="60"/>
      <c r="E112" s="60"/>
      <c r="F112" s="42"/>
      <c r="G112" s="42">
        <f>G113</f>
        <v>97416000</v>
      </c>
      <c r="H112" s="154" t="b">
        <f t="shared" si="2"/>
        <v>1</v>
      </c>
      <c r="I112" s="154"/>
      <c r="J112" s="154"/>
    </row>
    <row r="113" spans="1:10" ht="14.25" x14ac:dyDescent="0.2">
      <c r="A113" s="21" t="s">
        <v>817</v>
      </c>
      <c r="B113" s="124"/>
      <c r="C113" s="123" t="s">
        <v>3624</v>
      </c>
      <c r="D113" s="124">
        <v>36</v>
      </c>
      <c r="E113" s="124" t="s">
        <v>776</v>
      </c>
      <c r="F113" s="125">
        <v>2706000</v>
      </c>
      <c r="G113" s="125">
        <f>ROUNDDOWN(D113*F113,-3)</f>
        <v>97416000</v>
      </c>
      <c r="H113" s="154" t="b">
        <f t="shared" si="2"/>
        <v>1</v>
      </c>
      <c r="I113" s="154"/>
      <c r="J113" s="154"/>
    </row>
    <row r="114" spans="1:10" ht="14.25" x14ac:dyDescent="0.2">
      <c r="A114" s="21" t="s">
        <v>69</v>
      </c>
      <c r="B114" s="54" t="s">
        <v>69</v>
      </c>
      <c r="C114" s="23" t="s">
        <v>70</v>
      </c>
      <c r="D114" s="54"/>
      <c r="E114" s="54"/>
      <c r="F114" s="24"/>
      <c r="G114" s="24">
        <f>SUM(G115,G486)</f>
        <v>15863164000</v>
      </c>
      <c r="H114" s="154" t="b">
        <f t="shared" si="2"/>
        <v>1</v>
      </c>
      <c r="I114" s="154"/>
      <c r="J114" s="154"/>
    </row>
    <row r="115" spans="1:10" ht="25.5" x14ac:dyDescent="0.2">
      <c r="A115" s="21" t="s">
        <v>494</v>
      </c>
      <c r="B115" s="55">
        <v>2378</v>
      </c>
      <c r="C115" s="26" t="s">
        <v>71</v>
      </c>
      <c r="D115" s="68"/>
      <c r="E115" s="55"/>
      <c r="F115" s="27"/>
      <c r="G115" s="27">
        <f>SUM(G116,G122,G337,G343)</f>
        <v>7280664000</v>
      </c>
      <c r="H115" s="154" t="b">
        <f t="shared" si="2"/>
        <v>1</v>
      </c>
      <c r="I115" s="154"/>
      <c r="J115" s="154"/>
    </row>
    <row r="116" spans="1:10" ht="14.25" x14ac:dyDescent="0.2">
      <c r="A116" s="21" t="s">
        <v>819</v>
      </c>
      <c r="B116" s="116" t="s">
        <v>820</v>
      </c>
      <c r="C116" s="114" t="s">
        <v>821</v>
      </c>
      <c r="D116" s="115">
        <v>1</v>
      </c>
      <c r="E116" s="116" t="s">
        <v>42</v>
      </c>
      <c r="F116" s="117"/>
      <c r="G116" s="117">
        <f>G117</f>
        <v>115000000</v>
      </c>
      <c r="H116" s="154" t="b">
        <f t="shared" si="2"/>
        <v>1</v>
      </c>
      <c r="I116" s="154"/>
      <c r="J116" s="154"/>
    </row>
    <row r="117" spans="1:10" ht="25.5" x14ac:dyDescent="0.2">
      <c r="A117" s="21" t="s">
        <v>822</v>
      </c>
      <c r="B117" s="119" t="s">
        <v>3625</v>
      </c>
      <c r="C117" s="118" t="s">
        <v>824</v>
      </c>
      <c r="D117" s="121">
        <v>1</v>
      </c>
      <c r="E117" s="119" t="s">
        <v>42</v>
      </c>
      <c r="F117" s="120"/>
      <c r="G117" s="120">
        <f>G118</f>
        <v>115000000</v>
      </c>
      <c r="H117" s="154" t="b">
        <f t="shared" si="2"/>
        <v>1</v>
      </c>
      <c r="I117" s="154"/>
      <c r="J117" s="154"/>
    </row>
    <row r="118" spans="1:10" ht="25.5" x14ac:dyDescent="0.2">
      <c r="A118" s="21" t="s">
        <v>832</v>
      </c>
      <c r="B118" s="58">
        <v>301</v>
      </c>
      <c r="C118" s="35" t="s">
        <v>834</v>
      </c>
      <c r="D118" s="58"/>
      <c r="E118" s="58"/>
      <c r="F118" s="36"/>
      <c r="G118" s="36">
        <f>G119</f>
        <v>115000000</v>
      </c>
      <c r="H118" s="154" t="b">
        <f t="shared" si="2"/>
        <v>1</v>
      </c>
      <c r="I118" s="154"/>
      <c r="J118" s="154"/>
    </row>
    <row r="119" spans="1:10" ht="14.25" x14ac:dyDescent="0.2">
      <c r="A119" s="21" t="s">
        <v>835</v>
      </c>
      <c r="B119" s="59" t="s">
        <v>8</v>
      </c>
      <c r="C119" s="38" t="s">
        <v>836</v>
      </c>
      <c r="D119" s="70"/>
      <c r="E119" s="59"/>
      <c r="F119" s="39"/>
      <c r="G119" s="39">
        <f>G120</f>
        <v>115000000</v>
      </c>
      <c r="H119" s="154" t="b">
        <f t="shared" si="2"/>
        <v>1</v>
      </c>
      <c r="I119" s="154"/>
      <c r="J119" s="154"/>
    </row>
    <row r="120" spans="1:10" ht="14.25" x14ac:dyDescent="0.2">
      <c r="A120" s="21" t="s">
        <v>837</v>
      </c>
      <c r="B120" s="60">
        <v>532111</v>
      </c>
      <c r="C120" s="41" t="s">
        <v>43</v>
      </c>
      <c r="D120" s="60"/>
      <c r="E120" s="60"/>
      <c r="F120" s="42"/>
      <c r="G120" s="42">
        <f>G121</f>
        <v>115000000</v>
      </c>
      <c r="H120" s="154" t="b">
        <f t="shared" si="2"/>
        <v>1</v>
      </c>
      <c r="I120" s="154"/>
      <c r="J120" s="154"/>
    </row>
    <row r="121" spans="1:10" ht="14.25" x14ac:dyDescent="0.2">
      <c r="A121" s="21" t="s">
        <v>838</v>
      </c>
      <c r="B121" s="124"/>
      <c r="C121" s="123" t="s">
        <v>3626</v>
      </c>
      <c r="D121" s="157">
        <v>1</v>
      </c>
      <c r="E121" s="124" t="s">
        <v>23</v>
      </c>
      <c r="F121" s="125">
        <v>115000000</v>
      </c>
      <c r="G121" s="125">
        <f>ROUNDDOWN(D121*F121,-3)</f>
        <v>115000000</v>
      </c>
      <c r="H121" s="154" t="b">
        <f t="shared" si="2"/>
        <v>1</v>
      </c>
      <c r="I121" s="154"/>
      <c r="J121" s="154"/>
    </row>
    <row r="122" spans="1:10" ht="14.25" x14ac:dyDescent="0.2">
      <c r="A122" s="21" t="s">
        <v>840</v>
      </c>
      <c r="B122" s="116" t="s">
        <v>841</v>
      </c>
      <c r="C122" s="114" t="s">
        <v>842</v>
      </c>
      <c r="D122" s="116">
        <v>9</v>
      </c>
      <c r="E122" s="116" t="s">
        <v>3627</v>
      </c>
      <c r="F122" s="117"/>
      <c r="G122" s="117">
        <f>SUM(G123,G138,G263)</f>
        <v>5085940000</v>
      </c>
      <c r="H122" s="154" t="b">
        <f t="shared" si="2"/>
        <v>1</v>
      </c>
      <c r="I122" s="154"/>
      <c r="J122" s="154"/>
    </row>
    <row r="123" spans="1:10" ht="14.25" x14ac:dyDescent="0.2">
      <c r="A123" s="21" t="s">
        <v>1035</v>
      </c>
      <c r="B123" s="119" t="s">
        <v>3628</v>
      </c>
      <c r="C123" s="118" t="s">
        <v>1037</v>
      </c>
      <c r="D123" s="119">
        <v>2</v>
      </c>
      <c r="E123" s="119" t="s">
        <v>3627</v>
      </c>
      <c r="F123" s="120"/>
      <c r="G123" s="120">
        <f>G124</f>
        <v>153780000</v>
      </c>
      <c r="H123" s="154" t="b">
        <f t="shared" si="2"/>
        <v>1</v>
      </c>
      <c r="I123" s="154"/>
      <c r="J123" s="154"/>
    </row>
    <row r="124" spans="1:10" ht="25.5" x14ac:dyDescent="0.2">
      <c r="A124" s="7" t="s">
        <v>1184</v>
      </c>
      <c r="B124" s="58">
        <v>311</v>
      </c>
      <c r="C124" s="35" t="s">
        <v>1186</v>
      </c>
      <c r="D124" s="58"/>
      <c r="E124" s="58"/>
      <c r="F124" s="36"/>
      <c r="G124" s="36">
        <f>G125</f>
        <v>153780000</v>
      </c>
      <c r="H124" s="154" t="b">
        <f t="shared" si="2"/>
        <v>1</v>
      </c>
      <c r="I124" s="154"/>
      <c r="J124" s="154"/>
    </row>
    <row r="125" spans="1:10" ht="14.25" x14ac:dyDescent="0.2">
      <c r="A125" s="7" t="s">
        <v>1187</v>
      </c>
      <c r="B125" s="59" t="s">
        <v>8</v>
      </c>
      <c r="C125" s="38" t="s">
        <v>75</v>
      </c>
      <c r="D125" s="59"/>
      <c r="E125" s="59"/>
      <c r="F125" s="39"/>
      <c r="G125" s="39">
        <f>SUM(G126,G129,G131,G134,G136)</f>
        <v>153780000</v>
      </c>
      <c r="H125" s="154" t="b">
        <f t="shared" si="2"/>
        <v>1</v>
      </c>
      <c r="I125" s="154"/>
      <c r="J125" s="154"/>
    </row>
    <row r="126" spans="1:10" ht="14.25" x14ac:dyDescent="0.2">
      <c r="A126" s="7" t="s">
        <v>1188</v>
      </c>
      <c r="B126" s="60">
        <v>521211</v>
      </c>
      <c r="C126" s="41" t="s">
        <v>7</v>
      </c>
      <c r="D126" s="60"/>
      <c r="E126" s="60"/>
      <c r="F126" s="42"/>
      <c r="G126" s="42">
        <f>SUM(G127:G128)</f>
        <v>14400000</v>
      </c>
      <c r="H126" s="154" t="b">
        <f t="shared" si="2"/>
        <v>1</v>
      </c>
      <c r="I126" s="154"/>
      <c r="J126" s="154"/>
    </row>
    <row r="127" spans="1:10" ht="14.25" x14ac:dyDescent="0.2">
      <c r="A127" s="7" t="s">
        <v>1189</v>
      </c>
      <c r="B127" s="124"/>
      <c r="C127" s="123" t="s">
        <v>3587</v>
      </c>
      <c r="D127" s="124">
        <v>6</v>
      </c>
      <c r="E127" s="124" t="s">
        <v>52</v>
      </c>
      <c r="F127" s="125">
        <v>1000000</v>
      </c>
      <c r="G127" s="125">
        <f>ROUNDDOWN(D127*F127,-3)</f>
        <v>6000000</v>
      </c>
      <c r="H127" s="154" t="b">
        <f t="shared" si="2"/>
        <v>1</v>
      </c>
      <c r="I127" s="154"/>
      <c r="J127" s="154"/>
    </row>
    <row r="128" spans="1:10" ht="14.25" x14ac:dyDescent="0.2">
      <c r="A128" s="7" t="s">
        <v>1190</v>
      </c>
      <c r="B128" s="124"/>
      <c r="C128" s="123" t="s">
        <v>3608</v>
      </c>
      <c r="D128" s="124">
        <v>120</v>
      </c>
      <c r="E128" s="124" t="s">
        <v>25</v>
      </c>
      <c r="F128" s="125">
        <v>70000</v>
      </c>
      <c r="G128" s="125">
        <f>ROUNDDOWN(D128*F128,-3)</f>
        <v>8400000</v>
      </c>
      <c r="H128" s="154" t="b">
        <f t="shared" si="2"/>
        <v>1</v>
      </c>
      <c r="I128" s="154"/>
      <c r="J128" s="154"/>
    </row>
    <row r="129" spans="1:10" ht="14.25" x14ac:dyDescent="0.2">
      <c r="A129" s="7" t="s">
        <v>1191</v>
      </c>
      <c r="B129" s="60">
        <v>521219</v>
      </c>
      <c r="C129" s="41" t="s">
        <v>53</v>
      </c>
      <c r="D129" s="60"/>
      <c r="E129" s="60"/>
      <c r="F129" s="42"/>
      <c r="G129" s="42">
        <f>G130</f>
        <v>8000000</v>
      </c>
      <c r="H129" s="154" t="b">
        <f t="shared" si="2"/>
        <v>1</v>
      </c>
      <c r="I129" s="154"/>
      <c r="J129" s="154"/>
    </row>
    <row r="130" spans="1:10" ht="14.25" x14ac:dyDescent="0.2">
      <c r="A130" s="7" t="s">
        <v>1192</v>
      </c>
      <c r="B130" s="124"/>
      <c r="C130" s="123" t="s">
        <v>3629</v>
      </c>
      <c r="D130" s="124">
        <v>1</v>
      </c>
      <c r="E130" s="124" t="s">
        <v>106</v>
      </c>
      <c r="F130" s="125">
        <v>8000000</v>
      </c>
      <c r="G130" s="125">
        <f>ROUNDDOWN(D130*F130,-3)</f>
        <v>8000000</v>
      </c>
      <c r="H130" s="154" t="b">
        <f t="shared" si="2"/>
        <v>1</v>
      </c>
      <c r="I130" s="154"/>
      <c r="J130" s="154"/>
    </row>
    <row r="131" spans="1:10" ht="14.25" x14ac:dyDescent="0.2">
      <c r="A131" s="7" t="s">
        <v>1194</v>
      </c>
      <c r="B131" s="60">
        <v>521811</v>
      </c>
      <c r="C131" s="41" t="s">
        <v>64</v>
      </c>
      <c r="D131" s="60"/>
      <c r="E131" s="60"/>
      <c r="F131" s="42"/>
      <c r="G131" s="42">
        <f>SUM(G132:G133)</f>
        <v>12000000</v>
      </c>
      <c r="H131" s="154" t="b">
        <f t="shared" si="2"/>
        <v>1</v>
      </c>
      <c r="I131" s="154"/>
      <c r="J131" s="154"/>
    </row>
    <row r="132" spans="1:10" ht="14.25" x14ac:dyDescent="0.2">
      <c r="A132" s="7" t="s">
        <v>1195</v>
      </c>
      <c r="B132" s="124"/>
      <c r="C132" s="123" t="s">
        <v>3595</v>
      </c>
      <c r="D132" s="124">
        <v>6</v>
      </c>
      <c r="E132" s="124" t="s">
        <v>52</v>
      </c>
      <c r="F132" s="125">
        <v>1000000</v>
      </c>
      <c r="G132" s="125">
        <f>ROUNDDOWN(D132*F132,-3)</f>
        <v>6000000</v>
      </c>
      <c r="H132" s="154" t="b">
        <f t="shared" si="2"/>
        <v>1</v>
      </c>
      <c r="I132" s="154"/>
      <c r="J132" s="154"/>
    </row>
    <row r="133" spans="1:10" ht="14.25" x14ac:dyDescent="0.2">
      <c r="A133" s="7" t="s">
        <v>1196</v>
      </c>
      <c r="B133" s="124"/>
      <c r="C133" s="123" t="s">
        <v>3630</v>
      </c>
      <c r="D133" s="124">
        <v>6</v>
      </c>
      <c r="E133" s="124" t="s">
        <v>52</v>
      </c>
      <c r="F133" s="125">
        <v>1000000</v>
      </c>
      <c r="G133" s="125">
        <f>ROUNDDOWN(D133*F133,-3)</f>
        <v>6000000</v>
      </c>
      <c r="H133" s="154" t="b">
        <f t="shared" si="2"/>
        <v>1</v>
      </c>
      <c r="I133" s="154"/>
      <c r="J133" s="154"/>
    </row>
    <row r="134" spans="1:10" ht="14.25" x14ac:dyDescent="0.2">
      <c r="A134" s="7" t="s">
        <v>1198</v>
      </c>
      <c r="B134" s="60">
        <v>522151</v>
      </c>
      <c r="C134" s="41" t="s">
        <v>11</v>
      </c>
      <c r="D134" s="60"/>
      <c r="E134" s="60"/>
      <c r="F134" s="42"/>
      <c r="G134" s="42">
        <f>G135</f>
        <v>4000000</v>
      </c>
      <c r="H134" s="154" t="b">
        <f t="shared" si="2"/>
        <v>1</v>
      </c>
      <c r="I134" s="154"/>
      <c r="J134" s="154"/>
    </row>
    <row r="135" spans="1:10" ht="14.25" x14ac:dyDescent="0.2">
      <c r="A135" s="7" t="s">
        <v>1199</v>
      </c>
      <c r="B135" s="124"/>
      <c r="C135" s="123" t="s">
        <v>3603</v>
      </c>
      <c r="D135" s="124">
        <v>4</v>
      </c>
      <c r="E135" s="124" t="s">
        <v>54</v>
      </c>
      <c r="F135" s="125">
        <v>1000000</v>
      </c>
      <c r="G135" s="125">
        <f>ROUNDDOWN(D135*F135,-3)</f>
        <v>4000000</v>
      </c>
      <c r="H135" s="154" t="b">
        <f t="shared" si="2"/>
        <v>1</v>
      </c>
      <c r="I135" s="154"/>
      <c r="J135" s="154"/>
    </row>
    <row r="136" spans="1:10" ht="14.25" x14ac:dyDescent="0.2">
      <c r="A136" s="7" t="s">
        <v>1200</v>
      </c>
      <c r="B136" s="60">
        <v>524111</v>
      </c>
      <c r="C136" s="41" t="s">
        <v>19</v>
      </c>
      <c r="D136" s="60"/>
      <c r="E136" s="60"/>
      <c r="F136" s="42"/>
      <c r="G136" s="42">
        <f>G137</f>
        <v>115380000</v>
      </c>
      <c r="H136" s="154" t="b">
        <f t="shared" si="2"/>
        <v>1</v>
      </c>
      <c r="I136" s="154"/>
      <c r="J136" s="154"/>
    </row>
    <row r="137" spans="1:10" ht="14.25" x14ac:dyDescent="0.2">
      <c r="A137" s="7" t="s">
        <v>1201</v>
      </c>
      <c r="B137" s="124"/>
      <c r="C137" s="123" t="s">
        <v>3631</v>
      </c>
      <c r="D137" s="124">
        <v>20</v>
      </c>
      <c r="E137" s="124" t="s">
        <v>25</v>
      </c>
      <c r="F137" s="125">
        <v>5769000</v>
      </c>
      <c r="G137" s="125">
        <f>ROUNDDOWN(D137*F137,-3)</f>
        <v>115380000</v>
      </c>
      <c r="H137" s="154" t="b">
        <f t="shared" si="2"/>
        <v>1</v>
      </c>
      <c r="I137" s="154"/>
      <c r="J137" s="154"/>
    </row>
    <row r="138" spans="1:10" ht="14.25" x14ac:dyDescent="0.2">
      <c r="A138" s="7" t="s">
        <v>1268</v>
      </c>
      <c r="B138" s="119" t="s">
        <v>3632</v>
      </c>
      <c r="C138" s="118" t="s">
        <v>1270</v>
      </c>
      <c r="D138" s="119">
        <v>1</v>
      </c>
      <c r="E138" s="119" t="s">
        <v>3627</v>
      </c>
      <c r="F138" s="120"/>
      <c r="G138" s="120">
        <f>G139</f>
        <v>2736502000</v>
      </c>
      <c r="H138" s="154" t="b">
        <f t="shared" si="2"/>
        <v>1</v>
      </c>
      <c r="I138" s="154"/>
      <c r="J138" s="154"/>
    </row>
    <row r="139" spans="1:10" ht="25.5" x14ac:dyDescent="0.2">
      <c r="A139" s="7" t="s">
        <v>1388</v>
      </c>
      <c r="B139" s="58">
        <v>301</v>
      </c>
      <c r="C139" s="35" t="s">
        <v>1389</v>
      </c>
      <c r="D139" s="58"/>
      <c r="E139" s="58"/>
      <c r="F139" s="36"/>
      <c r="G139" s="36">
        <f>SUM(G140,G150,G161,G174,G184,G200,G216,G228,G248)</f>
        <v>2736502000</v>
      </c>
      <c r="H139" s="154" t="b">
        <f t="shared" si="2"/>
        <v>1</v>
      </c>
      <c r="I139" s="154"/>
      <c r="J139" s="154"/>
    </row>
    <row r="140" spans="1:10" ht="14.25" x14ac:dyDescent="0.2">
      <c r="A140" s="7" t="s">
        <v>1390</v>
      </c>
      <c r="B140" s="59" t="s">
        <v>8</v>
      </c>
      <c r="C140" s="38" t="s">
        <v>148</v>
      </c>
      <c r="D140" s="59"/>
      <c r="E140" s="59"/>
      <c r="F140" s="39"/>
      <c r="G140" s="39">
        <f>SUM(G141,G146,G148)</f>
        <v>42100000</v>
      </c>
      <c r="H140" s="154" t="b">
        <f t="shared" si="2"/>
        <v>1</v>
      </c>
      <c r="I140" s="154"/>
      <c r="J140" s="154"/>
    </row>
    <row r="141" spans="1:10" ht="14.25" x14ac:dyDescent="0.2">
      <c r="A141" s="7" t="s">
        <v>1391</v>
      </c>
      <c r="B141" s="60">
        <v>521211</v>
      </c>
      <c r="C141" s="41" t="s">
        <v>7</v>
      </c>
      <c r="D141" s="60"/>
      <c r="E141" s="60"/>
      <c r="F141" s="42"/>
      <c r="G141" s="42">
        <f>SUM(G142:G145)</f>
        <v>22000000</v>
      </c>
      <c r="H141" s="154" t="b">
        <f t="shared" si="2"/>
        <v>1</v>
      </c>
      <c r="I141" s="154"/>
      <c r="J141" s="154"/>
    </row>
    <row r="142" spans="1:10" ht="14.25" x14ac:dyDescent="0.2">
      <c r="A142" s="7" t="s">
        <v>1392</v>
      </c>
      <c r="B142" s="124"/>
      <c r="C142" s="123" t="s">
        <v>3595</v>
      </c>
      <c r="D142" s="124">
        <v>4</v>
      </c>
      <c r="E142" s="124" t="s">
        <v>9</v>
      </c>
      <c r="F142" s="125">
        <v>1500000</v>
      </c>
      <c r="G142" s="125">
        <f>ROUNDDOWN(D142*F142,-3)</f>
        <v>6000000</v>
      </c>
      <c r="H142" s="154" t="b">
        <f t="shared" ref="H142:H205" si="3">_xlfn.ISFORMULA(G142)</f>
        <v>1</v>
      </c>
      <c r="I142" s="154"/>
      <c r="J142" s="154"/>
    </row>
    <row r="143" spans="1:10" ht="14.25" x14ac:dyDescent="0.2">
      <c r="A143" s="7" t="s">
        <v>1393</v>
      </c>
      <c r="B143" s="124"/>
      <c r="C143" s="123" t="s">
        <v>3596</v>
      </c>
      <c r="D143" s="124">
        <v>4</v>
      </c>
      <c r="E143" s="124" t="s">
        <v>9</v>
      </c>
      <c r="F143" s="125">
        <v>1000000</v>
      </c>
      <c r="G143" s="125">
        <f>ROUNDDOWN(D143*F143,-3)</f>
        <v>4000000</v>
      </c>
      <c r="H143" s="154" t="b">
        <f t="shared" si="3"/>
        <v>1</v>
      </c>
      <c r="I143" s="154"/>
      <c r="J143" s="154"/>
    </row>
    <row r="144" spans="1:10" ht="14.25" x14ac:dyDescent="0.2">
      <c r="A144" s="7" t="s">
        <v>1394</v>
      </c>
      <c r="B144" s="124"/>
      <c r="C144" s="123" t="s">
        <v>3597</v>
      </c>
      <c r="D144" s="124">
        <v>4</v>
      </c>
      <c r="E144" s="124" t="s">
        <v>9</v>
      </c>
      <c r="F144" s="125">
        <v>1500000</v>
      </c>
      <c r="G144" s="125">
        <f>ROUNDDOWN(D144*F144,-3)</f>
        <v>6000000</v>
      </c>
      <c r="H144" s="154" t="b">
        <f t="shared" si="3"/>
        <v>1</v>
      </c>
      <c r="I144" s="154"/>
      <c r="J144" s="154"/>
    </row>
    <row r="145" spans="1:10" ht="14.25" x14ac:dyDescent="0.2">
      <c r="A145" s="7" t="s">
        <v>1395</v>
      </c>
      <c r="B145" s="124"/>
      <c r="C145" s="123" t="s">
        <v>3633</v>
      </c>
      <c r="D145" s="124">
        <v>12</v>
      </c>
      <c r="E145" s="124" t="s">
        <v>176</v>
      </c>
      <c r="F145" s="125">
        <v>500000</v>
      </c>
      <c r="G145" s="125">
        <f>ROUNDDOWN(D145*F145,-3)</f>
        <v>6000000</v>
      </c>
      <c r="H145" s="154" t="b">
        <f t="shared" si="3"/>
        <v>1</v>
      </c>
      <c r="I145" s="154"/>
      <c r="J145" s="154"/>
    </row>
    <row r="146" spans="1:10" ht="14.25" x14ac:dyDescent="0.2">
      <c r="A146" s="7" t="s">
        <v>1397</v>
      </c>
      <c r="B146" s="60">
        <v>524111</v>
      </c>
      <c r="C146" s="41" t="s">
        <v>19</v>
      </c>
      <c r="D146" s="60"/>
      <c r="E146" s="60"/>
      <c r="F146" s="42"/>
      <c r="G146" s="42">
        <f>G147</f>
        <v>18000000</v>
      </c>
      <c r="H146" s="154" t="b">
        <f t="shared" si="3"/>
        <v>1</v>
      </c>
      <c r="I146" s="154"/>
      <c r="J146" s="154"/>
    </row>
    <row r="147" spans="1:10" ht="14.25" x14ac:dyDescent="0.2">
      <c r="A147" s="7" t="s">
        <v>1398</v>
      </c>
      <c r="B147" s="124"/>
      <c r="C147" s="123" t="s">
        <v>3634</v>
      </c>
      <c r="D147" s="124">
        <v>6</v>
      </c>
      <c r="E147" s="124" t="s">
        <v>10</v>
      </c>
      <c r="F147" s="125">
        <v>3000000</v>
      </c>
      <c r="G147" s="125">
        <f>ROUNDDOWN(D147*F147,-3)</f>
        <v>18000000</v>
      </c>
      <c r="H147" s="154" t="b">
        <f t="shared" si="3"/>
        <v>1</v>
      </c>
      <c r="I147" s="154"/>
      <c r="J147" s="154"/>
    </row>
    <row r="148" spans="1:10" ht="14.25" x14ac:dyDescent="0.2">
      <c r="A148" s="7" t="s">
        <v>1400</v>
      </c>
      <c r="B148" s="60">
        <v>524113</v>
      </c>
      <c r="C148" s="41" t="s">
        <v>13</v>
      </c>
      <c r="D148" s="60"/>
      <c r="E148" s="60"/>
      <c r="F148" s="42"/>
      <c r="G148" s="42">
        <f>G149</f>
        <v>2100000</v>
      </c>
      <c r="H148" s="154" t="b">
        <f t="shared" si="3"/>
        <v>1</v>
      </c>
      <c r="I148" s="154"/>
      <c r="J148" s="154"/>
    </row>
    <row r="149" spans="1:10" ht="14.25" x14ac:dyDescent="0.2">
      <c r="A149" s="7" t="s">
        <v>1401</v>
      </c>
      <c r="B149" s="124"/>
      <c r="C149" s="123" t="s">
        <v>3635</v>
      </c>
      <c r="D149" s="124">
        <v>14</v>
      </c>
      <c r="E149" s="124" t="s">
        <v>10</v>
      </c>
      <c r="F149" s="125">
        <v>150000</v>
      </c>
      <c r="G149" s="125">
        <f>ROUNDDOWN(D149*F149,-3)</f>
        <v>2100000</v>
      </c>
      <c r="H149" s="154" t="b">
        <f t="shared" si="3"/>
        <v>1</v>
      </c>
      <c r="I149" s="154"/>
      <c r="J149" s="154"/>
    </row>
    <row r="150" spans="1:10" ht="14.25" x14ac:dyDescent="0.2">
      <c r="A150" s="7" t="s">
        <v>1403</v>
      </c>
      <c r="B150" s="59" t="s">
        <v>511</v>
      </c>
      <c r="C150" s="38" t="s">
        <v>150</v>
      </c>
      <c r="D150" s="59"/>
      <c r="E150" s="59"/>
      <c r="F150" s="39"/>
      <c r="G150" s="39">
        <f>SUM(G151,G154,G156,G158)</f>
        <v>571380000</v>
      </c>
      <c r="H150" s="154" t="b">
        <f t="shared" si="3"/>
        <v>1</v>
      </c>
      <c r="I150" s="154"/>
      <c r="J150" s="154"/>
    </row>
    <row r="151" spans="1:10" ht="14.25" x14ac:dyDescent="0.2">
      <c r="A151" s="7" t="s">
        <v>1404</v>
      </c>
      <c r="B151" s="60">
        <v>521211</v>
      </c>
      <c r="C151" s="41" t="s">
        <v>7</v>
      </c>
      <c r="D151" s="60"/>
      <c r="E151" s="60"/>
      <c r="F151" s="42"/>
      <c r="G151" s="42">
        <f>SUM(G152:G153)</f>
        <v>10000000</v>
      </c>
      <c r="H151" s="154" t="b">
        <f t="shared" si="3"/>
        <v>1</v>
      </c>
      <c r="I151" s="154"/>
      <c r="J151" s="154"/>
    </row>
    <row r="152" spans="1:10" ht="14.25" x14ac:dyDescent="0.2">
      <c r="A152" s="7" t="s">
        <v>1405</v>
      </c>
      <c r="B152" s="124"/>
      <c r="C152" s="123" t="s">
        <v>3595</v>
      </c>
      <c r="D152" s="124">
        <v>4</v>
      </c>
      <c r="E152" s="124" t="s">
        <v>9</v>
      </c>
      <c r="F152" s="125">
        <v>1500000</v>
      </c>
      <c r="G152" s="125">
        <f>ROUNDDOWN(D152*F152,-3)</f>
        <v>6000000</v>
      </c>
      <c r="H152" s="154" t="b">
        <f t="shared" si="3"/>
        <v>1</v>
      </c>
      <c r="I152" s="154"/>
      <c r="J152" s="154"/>
    </row>
    <row r="153" spans="1:10" ht="14.25" x14ac:dyDescent="0.2">
      <c r="A153" s="7" t="s">
        <v>1406</v>
      </c>
      <c r="B153" s="124"/>
      <c r="C153" s="123" t="s">
        <v>3596</v>
      </c>
      <c r="D153" s="124">
        <v>4</v>
      </c>
      <c r="E153" s="124" t="s">
        <v>9</v>
      </c>
      <c r="F153" s="125">
        <v>1000000</v>
      </c>
      <c r="G153" s="125">
        <f>ROUNDDOWN(D153*F153,-3)</f>
        <v>4000000</v>
      </c>
      <c r="H153" s="154" t="b">
        <f t="shared" si="3"/>
        <v>1</v>
      </c>
      <c r="I153" s="154"/>
      <c r="J153" s="154"/>
    </row>
    <row r="154" spans="1:10" ht="14.25" x14ac:dyDescent="0.2">
      <c r="A154" s="7" t="s">
        <v>1407</v>
      </c>
      <c r="B154" s="60">
        <v>521219</v>
      </c>
      <c r="C154" s="41" t="s">
        <v>53</v>
      </c>
      <c r="D154" s="60"/>
      <c r="E154" s="60"/>
      <c r="F154" s="42"/>
      <c r="G154" s="42">
        <f>G155</f>
        <v>7800000</v>
      </c>
      <c r="H154" s="154" t="b">
        <f t="shared" si="3"/>
        <v>1</v>
      </c>
      <c r="I154" s="154"/>
      <c r="J154" s="154"/>
    </row>
    <row r="155" spans="1:10" ht="14.25" x14ac:dyDescent="0.2">
      <c r="A155" s="7" t="s">
        <v>1408</v>
      </c>
      <c r="B155" s="124"/>
      <c r="C155" s="123" t="s">
        <v>3610</v>
      </c>
      <c r="D155" s="124">
        <v>12</v>
      </c>
      <c r="E155" s="124" t="s">
        <v>66</v>
      </c>
      <c r="F155" s="125">
        <v>650000</v>
      </c>
      <c r="G155" s="125">
        <f>ROUNDDOWN(D155*F155,-3)</f>
        <v>7800000</v>
      </c>
      <c r="H155" s="154" t="b">
        <f t="shared" si="3"/>
        <v>1</v>
      </c>
      <c r="I155" s="154"/>
      <c r="J155" s="154"/>
    </row>
    <row r="156" spans="1:10" ht="14.25" x14ac:dyDescent="0.2">
      <c r="A156" s="7" t="s">
        <v>1409</v>
      </c>
      <c r="B156" s="60">
        <v>522192</v>
      </c>
      <c r="C156" s="41" t="s">
        <v>24</v>
      </c>
      <c r="D156" s="60"/>
      <c r="E156" s="60"/>
      <c r="F156" s="42"/>
      <c r="G156" s="42">
        <f>G157</f>
        <v>39080000</v>
      </c>
      <c r="H156" s="154" t="b">
        <f t="shared" si="3"/>
        <v>1</v>
      </c>
      <c r="I156" s="154"/>
      <c r="J156" s="154"/>
    </row>
    <row r="157" spans="1:10" ht="14.25" x14ac:dyDescent="0.2">
      <c r="A157" s="7" t="s">
        <v>1410</v>
      </c>
      <c r="B157" s="124"/>
      <c r="C157" s="123" t="s">
        <v>3636</v>
      </c>
      <c r="D157" s="124">
        <v>80</v>
      </c>
      <c r="E157" s="124" t="s">
        <v>25</v>
      </c>
      <c r="F157" s="125">
        <v>488500</v>
      </c>
      <c r="G157" s="125">
        <f>ROUNDDOWN(D157*F157,-3)</f>
        <v>39080000</v>
      </c>
      <c r="H157" s="154" t="b">
        <f t="shared" si="3"/>
        <v>1</v>
      </c>
      <c r="I157" s="154"/>
      <c r="J157" s="154"/>
    </row>
    <row r="158" spans="1:10" ht="14.25" x14ac:dyDescent="0.2">
      <c r="A158" s="7" t="s">
        <v>1412</v>
      </c>
      <c r="B158" s="60">
        <v>524111</v>
      </c>
      <c r="C158" s="41" t="s">
        <v>19</v>
      </c>
      <c r="D158" s="60"/>
      <c r="E158" s="60"/>
      <c r="F158" s="42"/>
      <c r="G158" s="42">
        <f>SUM(G159:G160)</f>
        <v>514500000</v>
      </c>
      <c r="H158" s="154" t="b">
        <f t="shared" si="3"/>
        <v>1</v>
      </c>
      <c r="I158" s="154"/>
      <c r="J158" s="154"/>
    </row>
    <row r="159" spans="1:10" ht="14.25" x14ac:dyDescent="0.2">
      <c r="A159" s="7" t="s">
        <v>1413</v>
      </c>
      <c r="B159" s="124"/>
      <c r="C159" s="123" t="s">
        <v>3637</v>
      </c>
      <c r="D159" s="124">
        <v>55</v>
      </c>
      <c r="E159" s="124" t="s">
        <v>10</v>
      </c>
      <c r="F159" s="125">
        <v>6075000</v>
      </c>
      <c r="G159" s="125">
        <f>ROUNDDOWN(D159*F159,-3)</f>
        <v>334125000</v>
      </c>
      <c r="H159" s="154" t="b">
        <f t="shared" si="3"/>
        <v>1</v>
      </c>
      <c r="I159" s="154"/>
      <c r="J159" s="154"/>
    </row>
    <row r="160" spans="1:10" ht="25.5" x14ac:dyDescent="0.2">
      <c r="A160" s="7" t="s">
        <v>1415</v>
      </c>
      <c r="B160" s="124"/>
      <c r="C160" s="123" t="s">
        <v>3638</v>
      </c>
      <c r="D160" s="124">
        <v>30</v>
      </c>
      <c r="E160" s="124" t="s">
        <v>776</v>
      </c>
      <c r="F160" s="125">
        <v>6012500</v>
      </c>
      <c r="G160" s="125">
        <f>ROUNDDOWN(D160*F160,-3)</f>
        <v>180375000</v>
      </c>
      <c r="H160" s="154" t="b">
        <f t="shared" si="3"/>
        <v>1</v>
      </c>
      <c r="I160" s="154"/>
      <c r="J160" s="154"/>
    </row>
    <row r="161" spans="1:10" ht="25.5" x14ac:dyDescent="0.2">
      <c r="A161" s="7" t="s">
        <v>1417</v>
      </c>
      <c r="B161" s="59" t="s">
        <v>512</v>
      </c>
      <c r="C161" s="38" t="s">
        <v>1418</v>
      </c>
      <c r="D161" s="59"/>
      <c r="E161" s="59"/>
      <c r="F161" s="39"/>
      <c r="G161" s="39">
        <f>SUM(G162,G168,G170,G172)</f>
        <v>83500000</v>
      </c>
      <c r="H161" s="154" t="b">
        <f t="shared" si="3"/>
        <v>1</v>
      </c>
      <c r="I161" s="154"/>
      <c r="J161" s="154"/>
    </row>
    <row r="162" spans="1:10" ht="14.25" x14ac:dyDescent="0.2">
      <c r="A162" s="7" t="s">
        <v>1419</v>
      </c>
      <c r="B162" s="60">
        <v>521211</v>
      </c>
      <c r="C162" s="41" t="s">
        <v>7</v>
      </c>
      <c r="D162" s="60"/>
      <c r="E162" s="60"/>
      <c r="F162" s="42"/>
      <c r="G162" s="42">
        <f>SUM(G163:G167)</f>
        <v>46000000</v>
      </c>
      <c r="H162" s="154" t="b">
        <f t="shared" si="3"/>
        <v>1</v>
      </c>
      <c r="I162" s="154"/>
      <c r="J162" s="154"/>
    </row>
    <row r="163" spans="1:10" ht="14.25" x14ac:dyDescent="0.2">
      <c r="A163" s="7" t="s">
        <v>1420</v>
      </c>
      <c r="B163" s="124"/>
      <c r="C163" s="123" t="s">
        <v>3639</v>
      </c>
      <c r="D163" s="124">
        <v>500</v>
      </c>
      <c r="E163" s="124" t="s">
        <v>1422</v>
      </c>
      <c r="F163" s="125">
        <v>36000</v>
      </c>
      <c r="G163" s="125">
        <f>ROUNDDOWN(D163*F163,-3)</f>
        <v>18000000</v>
      </c>
      <c r="H163" s="154" t="b">
        <f t="shared" si="3"/>
        <v>1</v>
      </c>
      <c r="I163" s="154"/>
      <c r="J163" s="154"/>
    </row>
    <row r="164" spans="1:10" ht="14.25" x14ac:dyDescent="0.2">
      <c r="A164" s="7" t="s">
        <v>1423</v>
      </c>
      <c r="B164" s="124"/>
      <c r="C164" s="123" t="s">
        <v>3602</v>
      </c>
      <c r="D164" s="124">
        <v>4</v>
      </c>
      <c r="E164" s="124" t="s">
        <v>9</v>
      </c>
      <c r="F164" s="125">
        <v>1500000</v>
      </c>
      <c r="G164" s="125">
        <f>ROUNDDOWN(D164*F164,-3)</f>
        <v>6000000</v>
      </c>
      <c r="H164" s="154" t="b">
        <f t="shared" si="3"/>
        <v>1</v>
      </c>
      <c r="I164" s="154"/>
      <c r="J164" s="154"/>
    </row>
    <row r="165" spans="1:10" ht="14.25" x14ac:dyDescent="0.2">
      <c r="A165" s="7" t="s">
        <v>1424</v>
      </c>
      <c r="B165" s="124"/>
      <c r="C165" s="123" t="s">
        <v>3588</v>
      </c>
      <c r="D165" s="124">
        <v>4</v>
      </c>
      <c r="E165" s="124" t="s">
        <v>9</v>
      </c>
      <c r="F165" s="125">
        <v>1000000</v>
      </c>
      <c r="G165" s="125">
        <f>ROUNDDOWN(D165*F165,-3)</f>
        <v>4000000</v>
      </c>
      <c r="H165" s="154" t="b">
        <f t="shared" si="3"/>
        <v>1</v>
      </c>
      <c r="I165" s="154"/>
      <c r="J165" s="154"/>
    </row>
    <row r="166" spans="1:10" ht="14.25" x14ac:dyDescent="0.2">
      <c r="A166" s="7" t="s">
        <v>1425</v>
      </c>
      <c r="B166" s="124"/>
      <c r="C166" s="123" t="s">
        <v>3589</v>
      </c>
      <c r="D166" s="124">
        <v>4</v>
      </c>
      <c r="E166" s="124" t="s">
        <v>9</v>
      </c>
      <c r="F166" s="125">
        <v>1500000</v>
      </c>
      <c r="G166" s="125">
        <f>ROUNDDOWN(D166*F166,-3)</f>
        <v>6000000</v>
      </c>
      <c r="H166" s="154" t="b">
        <f t="shared" si="3"/>
        <v>1</v>
      </c>
      <c r="I166" s="154"/>
      <c r="J166" s="154"/>
    </row>
    <row r="167" spans="1:10" ht="14.25" x14ac:dyDescent="0.2">
      <c r="A167" s="7" t="s">
        <v>1426</v>
      </c>
      <c r="B167" s="124"/>
      <c r="C167" s="123" t="s">
        <v>3640</v>
      </c>
      <c r="D167" s="124">
        <v>24</v>
      </c>
      <c r="E167" s="124" t="s">
        <v>176</v>
      </c>
      <c r="F167" s="125">
        <v>500000</v>
      </c>
      <c r="G167" s="125">
        <f>ROUNDDOWN(D167*F167,-3)</f>
        <v>12000000</v>
      </c>
      <c r="H167" s="154" t="b">
        <f t="shared" si="3"/>
        <v>1</v>
      </c>
      <c r="I167" s="154"/>
      <c r="J167" s="154"/>
    </row>
    <row r="168" spans="1:10" ht="14.25" x14ac:dyDescent="0.2">
      <c r="A168" s="7" t="s">
        <v>1428</v>
      </c>
      <c r="B168" s="60">
        <v>522141</v>
      </c>
      <c r="C168" s="41" t="s">
        <v>95</v>
      </c>
      <c r="D168" s="60"/>
      <c r="E168" s="60"/>
      <c r="F168" s="42"/>
      <c r="G168" s="42">
        <f>G169</f>
        <v>6000000</v>
      </c>
      <c r="H168" s="154" t="b">
        <f t="shared" si="3"/>
        <v>1</v>
      </c>
      <c r="I168" s="154"/>
      <c r="J168" s="154"/>
    </row>
    <row r="169" spans="1:10" ht="14.25" x14ac:dyDescent="0.2">
      <c r="A169" s="7" t="s">
        <v>1429</v>
      </c>
      <c r="B169" s="124"/>
      <c r="C169" s="123" t="s">
        <v>3641</v>
      </c>
      <c r="D169" s="124">
        <v>4</v>
      </c>
      <c r="E169" s="124" t="s">
        <v>149</v>
      </c>
      <c r="F169" s="125">
        <v>1500000</v>
      </c>
      <c r="G169" s="125">
        <f>ROUNDDOWN(D169*F169,-3)</f>
        <v>6000000</v>
      </c>
      <c r="H169" s="154" t="b">
        <f t="shared" si="3"/>
        <v>1</v>
      </c>
      <c r="I169" s="154"/>
      <c r="J169" s="154"/>
    </row>
    <row r="170" spans="1:10" ht="14.25" x14ac:dyDescent="0.2">
      <c r="A170" s="7" t="s">
        <v>1431</v>
      </c>
      <c r="B170" s="60">
        <v>524111</v>
      </c>
      <c r="C170" s="41" t="s">
        <v>19</v>
      </c>
      <c r="D170" s="60"/>
      <c r="E170" s="60"/>
      <c r="F170" s="42"/>
      <c r="G170" s="42">
        <f>G171</f>
        <v>27000000</v>
      </c>
      <c r="H170" s="154" t="b">
        <f t="shared" si="3"/>
        <v>1</v>
      </c>
      <c r="I170" s="154"/>
      <c r="J170" s="154"/>
    </row>
    <row r="171" spans="1:10" ht="25.5" x14ac:dyDescent="0.2">
      <c r="A171" s="7" t="s">
        <v>1432</v>
      </c>
      <c r="B171" s="124"/>
      <c r="C171" s="123" t="s">
        <v>3642</v>
      </c>
      <c r="D171" s="124">
        <v>9</v>
      </c>
      <c r="E171" s="124" t="s">
        <v>10</v>
      </c>
      <c r="F171" s="125">
        <v>3000000</v>
      </c>
      <c r="G171" s="125">
        <f>ROUNDDOWN(D171*F171,-3)</f>
        <v>27000000</v>
      </c>
      <c r="H171" s="154" t="b">
        <f t="shared" si="3"/>
        <v>1</v>
      </c>
      <c r="I171" s="154"/>
      <c r="J171" s="154"/>
    </row>
    <row r="172" spans="1:10" ht="14.25" x14ac:dyDescent="0.2">
      <c r="A172" s="7" t="s">
        <v>1434</v>
      </c>
      <c r="B172" s="60">
        <v>524113</v>
      </c>
      <c r="C172" s="41" t="s">
        <v>13</v>
      </c>
      <c r="D172" s="60"/>
      <c r="E172" s="60"/>
      <c r="F172" s="42"/>
      <c r="G172" s="42">
        <f>G173</f>
        <v>4500000</v>
      </c>
      <c r="H172" s="154" t="b">
        <f t="shared" si="3"/>
        <v>1</v>
      </c>
      <c r="I172" s="154"/>
      <c r="J172" s="154"/>
    </row>
    <row r="173" spans="1:10" ht="14.25" x14ac:dyDescent="0.2">
      <c r="A173" s="7" t="s">
        <v>1435</v>
      </c>
      <c r="B173" s="124"/>
      <c r="C173" s="123" t="s">
        <v>3643</v>
      </c>
      <c r="D173" s="124">
        <v>30</v>
      </c>
      <c r="E173" s="124" t="s">
        <v>10</v>
      </c>
      <c r="F173" s="125">
        <v>150000</v>
      </c>
      <c r="G173" s="125">
        <f>ROUNDDOWN(D173*F173,-3)</f>
        <v>4500000</v>
      </c>
      <c r="H173" s="154" t="b">
        <f t="shared" si="3"/>
        <v>1</v>
      </c>
      <c r="I173" s="154"/>
      <c r="J173" s="154"/>
    </row>
    <row r="174" spans="1:10" ht="25.5" x14ac:dyDescent="0.2">
      <c r="A174" s="7" t="s">
        <v>1437</v>
      </c>
      <c r="B174" s="59" t="s">
        <v>514</v>
      </c>
      <c r="C174" s="38" t="s">
        <v>151</v>
      </c>
      <c r="D174" s="59"/>
      <c r="E174" s="59"/>
      <c r="F174" s="39"/>
      <c r="G174" s="39">
        <f>SUM(G175,G180,G182)</f>
        <v>101050000</v>
      </c>
      <c r="H174" s="154" t="b">
        <f t="shared" si="3"/>
        <v>1</v>
      </c>
      <c r="I174" s="154"/>
      <c r="J174" s="154"/>
    </row>
    <row r="175" spans="1:10" ht="14.25" x14ac:dyDescent="0.2">
      <c r="A175" s="7" t="s">
        <v>1438</v>
      </c>
      <c r="B175" s="60">
        <v>521211</v>
      </c>
      <c r="C175" s="41" t="s">
        <v>7</v>
      </c>
      <c r="D175" s="60"/>
      <c r="E175" s="60"/>
      <c r="F175" s="42"/>
      <c r="G175" s="42">
        <f>SUM(G176:G179)</f>
        <v>28000000</v>
      </c>
      <c r="H175" s="154" t="b">
        <f t="shared" si="3"/>
        <v>1</v>
      </c>
      <c r="I175" s="154"/>
      <c r="J175" s="154"/>
    </row>
    <row r="176" spans="1:10" ht="14.25" x14ac:dyDescent="0.2">
      <c r="A176" s="7" t="s">
        <v>1439</v>
      </c>
      <c r="B176" s="124"/>
      <c r="C176" s="123" t="s">
        <v>3595</v>
      </c>
      <c r="D176" s="124">
        <v>4</v>
      </c>
      <c r="E176" s="124" t="s">
        <v>9</v>
      </c>
      <c r="F176" s="125">
        <v>1000000</v>
      </c>
      <c r="G176" s="125">
        <f>ROUNDDOWN(D176*F176,-3)</f>
        <v>4000000</v>
      </c>
      <c r="H176" s="154" t="b">
        <f t="shared" si="3"/>
        <v>1</v>
      </c>
      <c r="I176" s="154"/>
      <c r="J176" s="154"/>
    </row>
    <row r="177" spans="1:10" ht="14.25" x14ac:dyDescent="0.2">
      <c r="A177" s="7" t="s">
        <v>1440</v>
      </c>
      <c r="B177" s="124"/>
      <c r="C177" s="123" t="s">
        <v>3596</v>
      </c>
      <c r="D177" s="124">
        <v>4</v>
      </c>
      <c r="E177" s="124" t="s">
        <v>9</v>
      </c>
      <c r="F177" s="125">
        <v>1500000</v>
      </c>
      <c r="G177" s="125">
        <f>ROUNDDOWN(D177*F177,-3)</f>
        <v>6000000</v>
      </c>
      <c r="H177" s="154" t="b">
        <f t="shared" si="3"/>
        <v>1</v>
      </c>
      <c r="I177" s="154"/>
      <c r="J177" s="154"/>
    </row>
    <row r="178" spans="1:10" ht="14.25" x14ac:dyDescent="0.2">
      <c r="A178" s="7" t="s">
        <v>1441</v>
      </c>
      <c r="B178" s="124"/>
      <c r="C178" s="123" t="s">
        <v>3597</v>
      </c>
      <c r="D178" s="124">
        <v>4</v>
      </c>
      <c r="E178" s="124" t="s">
        <v>9</v>
      </c>
      <c r="F178" s="125">
        <v>1500000</v>
      </c>
      <c r="G178" s="125">
        <f>ROUNDDOWN(D178*F178,-3)</f>
        <v>6000000</v>
      </c>
      <c r="H178" s="154" t="b">
        <f t="shared" si="3"/>
        <v>1</v>
      </c>
      <c r="I178" s="154"/>
      <c r="J178" s="154"/>
    </row>
    <row r="179" spans="1:10" ht="14.25" x14ac:dyDescent="0.2">
      <c r="A179" s="7" t="s">
        <v>1442</v>
      </c>
      <c r="B179" s="124"/>
      <c r="C179" s="123" t="s">
        <v>3644</v>
      </c>
      <c r="D179" s="124">
        <v>24</v>
      </c>
      <c r="E179" s="124" t="s">
        <v>176</v>
      </c>
      <c r="F179" s="125">
        <v>500000</v>
      </c>
      <c r="G179" s="125">
        <f>ROUNDDOWN(D179*F179,-3)</f>
        <v>12000000</v>
      </c>
      <c r="H179" s="154" t="b">
        <f t="shared" si="3"/>
        <v>1</v>
      </c>
      <c r="I179" s="154"/>
      <c r="J179" s="154"/>
    </row>
    <row r="180" spans="1:10" ht="14.25" x14ac:dyDescent="0.2">
      <c r="A180" s="7" t="s">
        <v>1443</v>
      </c>
      <c r="B180" s="60">
        <v>524111</v>
      </c>
      <c r="C180" s="41" t="s">
        <v>19</v>
      </c>
      <c r="D180" s="60"/>
      <c r="E180" s="60"/>
      <c r="F180" s="42"/>
      <c r="G180" s="42">
        <f>G181</f>
        <v>71250000</v>
      </c>
      <c r="H180" s="154" t="b">
        <f t="shared" si="3"/>
        <v>1</v>
      </c>
      <c r="I180" s="154"/>
      <c r="J180" s="154"/>
    </row>
    <row r="181" spans="1:10" ht="25.5" x14ac:dyDescent="0.2">
      <c r="A181" s="7" t="s">
        <v>1444</v>
      </c>
      <c r="B181" s="124"/>
      <c r="C181" s="123" t="s">
        <v>3645</v>
      </c>
      <c r="D181" s="124">
        <v>15</v>
      </c>
      <c r="E181" s="124" t="s">
        <v>10</v>
      </c>
      <c r="F181" s="125">
        <v>4750000</v>
      </c>
      <c r="G181" s="125">
        <f>ROUNDDOWN(D181*F181,-3)</f>
        <v>71250000</v>
      </c>
      <c r="H181" s="154" t="b">
        <f t="shared" si="3"/>
        <v>1</v>
      </c>
      <c r="I181" s="154"/>
      <c r="J181" s="154"/>
    </row>
    <row r="182" spans="1:10" ht="14.25" x14ac:dyDescent="0.2">
      <c r="A182" s="7" t="s">
        <v>1446</v>
      </c>
      <c r="B182" s="60">
        <v>524113</v>
      </c>
      <c r="C182" s="41" t="s">
        <v>13</v>
      </c>
      <c r="D182" s="60"/>
      <c r="E182" s="60"/>
      <c r="F182" s="42"/>
      <c r="G182" s="42">
        <f>G183</f>
        <v>1800000</v>
      </c>
      <c r="H182" s="154" t="b">
        <f t="shared" si="3"/>
        <v>1</v>
      </c>
      <c r="I182" s="154"/>
      <c r="J182" s="154"/>
    </row>
    <row r="183" spans="1:10" ht="14.25" x14ac:dyDescent="0.2">
      <c r="A183" s="7" t="s">
        <v>1447</v>
      </c>
      <c r="B183" s="124"/>
      <c r="C183" s="123" t="s">
        <v>3643</v>
      </c>
      <c r="D183" s="124">
        <v>12</v>
      </c>
      <c r="E183" s="124" t="s">
        <v>10</v>
      </c>
      <c r="F183" s="125">
        <v>150000</v>
      </c>
      <c r="G183" s="125">
        <f>ROUNDDOWN(D183*F183,-3)</f>
        <v>1800000</v>
      </c>
      <c r="H183" s="154" t="b">
        <f t="shared" si="3"/>
        <v>1</v>
      </c>
      <c r="I183" s="154"/>
      <c r="J183" s="154"/>
    </row>
    <row r="184" spans="1:10" ht="14.25" x14ac:dyDescent="0.2">
      <c r="A184" s="7" t="s">
        <v>1448</v>
      </c>
      <c r="B184" s="59" t="s">
        <v>519</v>
      </c>
      <c r="C184" s="38" t="s">
        <v>152</v>
      </c>
      <c r="D184" s="59"/>
      <c r="E184" s="59"/>
      <c r="F184" s="39"/>
      <c r="G184" s="39">
        <f>SUM(G185,G190,G194,G196,G198)</f>
        <v>388472000</v>
      </c>
      <c r="H184" s="154" t="b">
        <f t="shared" si="3"/>
        <v>1</v>
      </c>
      <c r="I184" s="154"/>
      <c r="J184" s="154"/>
    </row>
    <row r="185" spans="1:10" ht="14.25" x14ac:dyDescent="0.2">
      <c r="A185" s="7" t="s">
        <v>1449</v>
      </c>
      <c r="B185" s="60">
        <v>521211</v>
      </c>
      <c r="C185" s="41" t="s">
        <v>7</v>
      </c>
      <c r="D185" s="60"/>
      <c r="E185" s="60"/>
      <c r="F185" s="42"/>
      <c r="G185" s="42">
        <f>SUM(G186:G189)</f>
        <v>46000000</v>
      </c>
      <c r="H185" s="154" t="b">
        <f t="shared" si="3"/>
        <v>1</v>
      </c>
      <c r="I185" s="154"/>
      <c r="J185" s="154"/>
    </row>
    <row r="186" spans="1:10" ht="14.25" x14ac:dyDescent="0.2">
      <c r="A186" s="7" t="s">
        <v>1450</v>
      </c>
      <c r="B186" s="124"/>
      <c r="C186" s="123" t="s">
        <v>3587</v>
      </c>
      <c r="D186" s="124">
        <v>4</v>
      </c>
      <c r="E186" s="124" t="s">
        <v>9</v>
      </c>
      <c r="F186" s="125">
        <v>1500000</v>
      </c>
      <c r="G186" s="125">
        <f>ROUNDDOWN(D186*F186,-3)</f>
        <v>6000000</v>
      </c>
      <c r="H186" s="154" t="b">
        <f t="shared" si="3"/>
        <v>1</v>
      </c>
      <c r="I186" s="154"/>
      <c r="J186" s="154"/>
    </row>
    <row r="187" spans="1:10" ht="14.25" x14ac:dyDescent="0.2">
      <c r="A187" s="7" t="s">
        <v>1451</v>
      </c>
      <c r="B187" s="124"/>
      <c r="C187" s="123" t="s">
        <v>3598</v>
      </c>
      <c r="D187" s="124">
        <v>4</v>
      </c>
      <c r="E187" s="124" t="s">
        <v>9</v>
      </c>
      <c r="F187" s="125">
        <v>1000000</v>
      </c>
      <c r="G187" s="125">
        <f>ROUNDDOWN(D187*F187,-3)</f>
        <v>4000000</v>
      </c>
      <c r="H187" s="154" t="b">
        <f t="shared" si="3"/>
        <v>1</v>
      </c>
      <c r="I187" s="154"/>
      <c r="J187" s="154"/>
    </row>
    <row r="188" spans="1:10" ht="14.25" x14ac:dyDescent="0.2">
      <c r="A188" s="7" t="s">
        <v>1452</v>
      </c>
      <c r="B188" s="124"/>
      <c r="C188" s="123" t="s">
        <v>3599</v>
      </c>
      <c r="D188" s="124">
        <v>4</v>
      </c>
      <c r="E188" s="124" t="s">
        <v>9</v>
      </c>
      <c r="F188" s="125">
        <v>1500000</v>
      </c>
      <c r="G188" s="125">
        <f>ROUNDDOWN(D188*F188,-3)</f>
        <v>6000000</v>
      </c>
      <c r="H188" s="154" t="b">
        <f t="shared" si="3"/>
        <v>1</v>
      </c>
      <c r="I188" s="154"/>
      <c r="J188" s="154"/>
    </row>
    <row r="189" spans="1:10" ht="25.5" x14ac:dyDescent="0.2">
      <c r="A189" s="7" t="s">
        <v>1453</v>
      </c>
      <c r="B189" s="124"/>
      <c r="C189" s="123" t="s">
        <v>3646</v>
      </c>
      <c r="D189" s="124">
        <v>60</v>
      </c>
      <c r="E189" s="124" t="s">
        <v>176</v>
      </c>
      <c r="F189" s="125">
        <v>500000</v>
      </c>
      <c r="G189" s="125">
        <f>ROUNDDOWN(D189*F189,-3)</f>
        <v>30000000</v>
      </c>
      <c r="H189" s="154" t="b">
        <f t="shared" si="3"/>
        <v>1</v>
      </c>
      <c r="I189" s="154"/>
      <c r="J189" s="154"/>
    </row>
    <row r="190" spans="1:10" ht="25.5" x14ac:dyDescent="0.2">
      <c r="A190" s="7" t="s">
        <v>1455</v>
      </c>
      <c r="B190" s="60">
        <v>521241</v>
      </c>
      <c r="C190" s="41" t="s">
        <v>642</v>
      </c>
      <c r="D190" s="60"/>
      <c r="E190" s="60"/>
      <c r="F190" s="42"/>
      <c r="G190" s="42">
        <f>SUM(G191:G193)</f>
        <v>249600000</v>
      </c>
      <c r="H190" s="154" t="b">
        <f t="shared" si="3"/>
        <v>1</v>
      </c>
      <c r="I190" s="154"/>
      <c r="J190" s="154"/>
    </row>
    <row r="191" spans="1:10" ht="14.25" x14ac:dyDescent="0.2">
      <c r="A191" s="7" t="s">
        <v>1456</v>
      </c>
      <c r="B191" s="124"/>
      <c r="C191" s="123" t="s">
        <v>3647</v>
      </c>
      <c r="D191" s="124">
        <v>720</v>
      </c>
      <c r="E191" s="124" t="s">
        <v>32</v>
      </c>
      <c r="F191" s="125">
        <v>200000</v>
      </c>
      <c r="G191" s="125">
        <f>ROUNDDOWN(D191*F191,-3)</f>
        <v>144000000</v>
      </c>
      <c r="H191" s="154" t="b">
        <f t="shared" si="3"/>
        <v>1</v>
      </c>
      <c r="I191" s="154"/>
      <c r="J191" s="154"/>
    </row>
    <row r="192" spans="1:10" ht="25.5" x14ac:dyDescent="0.2">
      <c r="A192" s="7" t="s">
        <v>1458</v>
      </c>
      <c r="B192" s="124"/>
      <c r="C192" s="123" t="s">
        <v>3648</v>
      </c>
      <c r="D192" s="124">
        <v>360</v>
      </c>
      <c r="E192" s="124" t="s">
        <v>776</v>
      </c>
      <c r="F192" s="125">
        <v>280000</v>
      </c>
      <c r="G192" s="125">
        <f>ROUNDDOWN(D192*F192,-3)</f>
        <v>100800000</v>
      </c>
      <c r="H192" s="154" t="b">
        <f t="shared" si="3"/>
        <v>1</v>
      </c>
      <c r="I192" s="154"/>
      <c r="J192" s="154"/>
    </row>
    <row r="193" spans="1:10" ht="14.25" x14ac:dyDescent="0.2">
      <c r="A193" s="7" t="s">
        <v>1460</v>
      </c>
      <c r="B193" s="124"/>
      <c r="C193" s="123" t="s">
        <v>3649</v>
      </c>
      <c r="D193" s="124">
        <v>12</v>
      </c>
      <c r="E193" s="124" t="s">
        <v>32</v>
      </c>
      <c r="F193" s="125">
        <v>400000</v>
      </c>
      <c r="G193" s="125">
        <f>ROUNDDOWN(D193*F193,-3)</f>
        <v>4800000</v>
      </c>
      <c r="H193" s="154" t="b">
        <f t="shared" si="3"/>
        <v>1</v>
      </c>
      <c r="I193" s="154"/>
      <c r="J193" s="154"/>
    </row>
    <row r="194" spans="1:10" ht="14.25" x14ac:dyDescent="0.2">
      <c r="A194" s="7" t="s">
        <v>1462</v>
      </c>
      <c r="B194" s="60">
        <v>522192</v>
      </c>
      <c r="C194" s="41" t="s">
        <v>24</v>
      </c>
      <c r="D194" s="60"/>
      <c r="E194" s="60"/>
      <c r="F194" s="42"/>
      <c r="G194" s="42">
        <f>G195</f>
        <v>48000000</v>
      </c>
      <c r="H194" s="154" t="b">
        <f t="shared" si="3"/>
        <v>1</v>
      </c>
      <c r="I194" s="154"/>
      <c r="J194" s="154"/>
    </row>
    <row r="195" spans="1:10" ht="14.25" x14ac:dyDescent="0.2">
      <c r="A195" s="7" t="s">
        <v>1463</v>
      </c>
      <c r="B195" s="124"/>
      <c r="C195" s="123" t="s">
        <v>3636</v>
      </c>
      <c r="D195" s="124">
        <v>480</v>
      </c>
      <c r="E195" s="124" t="s">
        <v>25</v>
      </c>
      <c r="F195" s="125">
        <v>100000</v>
      </c>
      <c r="G195" s="125">
        <f>ROUNDDOWN(D195*F195,-3)</f>
        <v>48000000</v>
      </c>
      <c r="H195" s="154" t="b">
        <f t="shared" si="3"/>
        <v>1</v>
      </c>
      <c r="I195" s="154"/>
      <c r="J195" s="154"/>
    </row>
    <row r="196" spans="1:10" ht="14.25" x14ac:dyDescent="0.2">
      <c r="A196" s="7" t="s">
        <v>1464</v>
      </c>
      <c r="B196" s="60">
        <v>524111</v>
      </c>
      <c r="C196" s="41" t="s">
        <v>19</v>
      </c>
      <c r="D196" s="60"/>
      <c r="E196" s="60"/>
      <c r="F196" s="42"/>
      <c r="G196" s="42">
        <f>G197</f>
        <v>42772000</v>
      </c>
      <c r="H196" s="154" t="b">
        <f t="shared" si="3"/>
        <v>1</v>
      </c>
      <c r="I196" s="154"/>
      <c r="J196" s="154"/>
    </row>
    <row r="197" spans="1:10" ht="14.25" x14ac:dyDescent="0.2">
      <c r="A197" s="7" t="s">
        <v>1465</v>
      </c>
      <c r="B197" s="124"/>
      <c r="C197" s="123" t="s">
        <v>3650</v>
      </c>
      <c r="D197" s="124">
        <v>10</v>
      </c>
      <c r="E197" s="124" t="s">
        <v>10</v>
      </c>
      <c r="F197" s="125">
        <v>4277200</v>
      </c>
      <c r="G197" s="125">
        <f>ROUNDDOWN(D197*F197,-3)</f>
        <v>42772000</v>
      </c>
      <c r="H197" s="154" t="b">
        <f t="shared" si="3"/>
        <v>1</v>
      </c>
      <c r="I197" s="154"/>
      <c r="J197" s="154"/>
    </row>
    <row r="198" spans="1:10" ht="14.25" x14ac:dyDescent="0.2">
      <c r="A198" s="7" t="s">
        <v>1467</v>
      </c>
      <c r="B198" s="60">
        <v>524113</v>
      </c>
      <c r="C198" s="41" t="s">
        <v>13</v>
      </c>
      <c r="D198" s="60"/>
      <c r="E198" s="60"/>
      <c r="F198" s="42"/>
      <c r="G198" s="42">
        <f>G199</f>
        <v>2100000</v>
      </c>
      <c r="H198" s="154" t="b">
        <f t="shared" si="3"/>
        <v>1</v>
      </c>
      <c r="I198" s="154"/>
      <c r="J198" s="154"/>
    </row>
    <row r="199" spans="1:10" ht="14.25" x14ac:dyDescent="0.2">
      <c r="A199" s="7" t="s">
        <v>1468</v>
      </c>
      <c r="B199" s="124"/>
      <c r="C199" s="123" t="s">
        <v>3643</v>
      </c>
      <c r="D199" s="124">
        <v>14</v>
      </c>
      <c r="E199" s="124" t="s">
        <v>10</v>
      </c>
      <c r="F199" s="125">
        <v>150000</v>
      </c>
      <c r="G199" s="125">
        <f>ROUNDDOWN(D199*F199,-3)</f>
        <v>2100000</v>
      </c>
      <c r="H199" s="154" t="b">
        <f t="shared" si="3"/>
        <v>1</v>
      </c>
      <c r="I199" s="154"/>
      <c r="J199" s="154"/>
    </row>
    <row r="200" spans="1:10" ht="25.5" x14ac:dyDescent="0.2">
      <c r="A200" s="7" t="s">
        <v>1469</v>
      </c>
      <c r="B200" s="59" t="s">
        <v>578</v>
      </c>
      <c r="C200" s="38" t="s">
        <v>154</v>
      </c>
      <c r="D200" s="59"/>
      <c r="E200" s="59"/>
      <c r="F200" s="39"/>
      <c r="G200" s="39">
        <f>SUM(G201,G205,G210,G212,G214)</f>
        <v>450000000</v>
      </c>
      <c r="H200" s="154" t="b">
        <f t="shared" si="3"/>
        <v>1</v>
      </c>
      <c r="I200" s="154"/>
      <c r="J200" s="154"/>
    </row>
    <row r="201" spans="1:10" ht="14.25" x14ac:dyDescent="0.2">
      <c r="A201" s="7" t="s">
        <v>1470</v>
      </c>
      <c r="B201" s="60">
        <v>521211</v>
      </c>
      <c r="C201" s="41" t="s">
        <v>7</v>
      </c>
      <c r="D201" s="60"/>
      <c r="E201" s="60"/>
      <c r="F201" s="42"/>
      <c r="G201" s="42">
        <f>SUM(G202:G204)</f>
        <v>32000000</v>
      </c>
      <c r="H201" s="154" t="b">
        <f t="shared" si="3"/>
        <v>1</v>
      </c>
      <c r="I201" s="154"/>
      <c r="J201" s="154"/>
    </row>
    <row r="202" spans="1:10" ht="14.25" x14ac:dyDescent="0.2">
      <c r="A202" s="7" t="s">
        <v>1471</v>
      </c>
      <c r="B202" s="124"/>
      <c r="C202" s="123" t="s">
        <v>3587</v>
      </c>
      <c r="D202" s="124">
        <v>8</v>
      </c>
      <c r="E202" s="124" t="s">
        <v>9</v>
      </c>
      <c r="F202" s="125">
        <v>1500000</v>
      </c>
      <c r="G202" s="125">
        <f>ROUNDDOWN(D202*F202,-3)</f>
        <v>12000000</v>
      </c>
      <c r="H202" s="154" t="b">
        <f t="shared" si="3"/>
        <v>1</v>
      </c>
      <c r="I202" s="154"/>
      <c r="J202" s="154"/>
    </row>
    <row r="203" spans="1:10" ht="14.25" x14ac:dyDescent="0.2">
      <c r="A203" s="7" t="s">
        <v>1472</v>
      </c>
      <c r="B203" s="124"/>
      <c r="C203" s="123" t="s">
        <v>3598</v>
      </c>
      <c r="D203" s="124">
        <v>8</v>
      </c>
      <c r="E203" s="124" t="s">
        <v>9</v>
      </c>
      <c r="F203" s="125">
        <v>1000000</v>
      </c>
      <c r="G203" s="125">
        <f>ROUNDDOWN(D203*F203,-3)</f>
        <v>8000000</v>
      </c>
      <c r="H203" s="154" t="b">
        <f t="shared" si="3"/>
        <v>1</v>
      </c>
      <c r="I203" s="154"/>
      <c r="J203" s="154"/>
    </row>
    <row r="204" spans="1:10" ht="14.25" x14ac:dyDescent="0.2">
      <c r="A204" s="7" t="s">
        <v>1473</v>
      </c>
      <c r="B204" s="124"/>
      <c r="C204" s="123" t="s">
        <v>3599</v>
      </c>
      <c r="D204" s="124">
        <v>8</v>
      </c>
      <c r="E204" s="124" t="s">
        <v>9</v>
      </c>
      <c r="F204" s="125">
        <v>1500000</v>
      </c>
      <c r="G204" s="125">
        <f>ROUNDDOWN(D204*F204,-3)</f>
        <v>12000000</v>
      </c>
      <c r="H204" s="154" t="b">
        <f t="shared" si="3"/>
        <v>1</v>
      </c>
      <c r="I204" s="154"/>
      <c r="J204" s="154"/>
    </row>
    <row r="205" spans="1:10" ht="14.25" x14ac:dyDescent="0.2">
      <c r="A205" s="7" t="s">
        <v>1474</v>
      </c>
      <c r="B205" s="60">
        <v>521219</v>
      </c>
      <c r="C205" s="41" t="s">
        <v>53</v>
      </c>
      <c r="D205" s="60"/>
      <c r="E205" s="60"/>
      <c r="F205" s="42"/>
      <c r="G205" s="42">
        <f>SUM(G206:G209)</f>
        <v>298141000</v>
      </c>
      <c r="H205" s="154" t="b">
        <f t="shared" si="3"/>
        <v>1</v>
      </c>
      <c r="I205" s="154"/>
      <c r="J205" s="154"/>
    </row>
    <row r="206" spans="1:10" ht="14.25" x14ac:dyDescent="0.2">
      <c r="A206" s="7" t="s">
        <v>1475</v>
      </c>
      <c r="B206" s="124"/>
      <c r="C206" s="123" t="s">
        <v>3651</v>
      </c>
      <c r="D206" s="124">
        <v>40</v>
      </c>
      <c r="E206" s="124" t="s">
        <v>10</v>
      </c>
      <c r="F206" s="125">
        <v>1000000</v>
      </c>
      <c r="G206" s="125">
        <f>ROUNDDOWN(D206*F206,-3)</f>
        <v>40000000</v>
      </c>
      <c r="H206" s="154" t="b">
        <f t="shared" ref="H206:H263" si="4">_xlfn.ISFORMULA(G206)</f>
        <v>1</v>
      </c>
      <c r="I206" s="154"/>
      <c r="J206" s="154"/>
    </row>
    <row r="207" spans="1:10" ht="14.25" x14ac:dyDescent="0.2">
      <c r="A207" s="7" t="s">
        <v>1477</v>
      </c>
      <c r="B207" s="124"/>
      <c r="C207" s="123" t="s">
        <v>3652</v>
      </c>
      <c r="D207" s="124">
        <v>30</v>
      </c>
      <c r="E207" s="124" t="s">
        <v>776</v>
      </c>
      <c r="F207" s="125">
        <v>8000000</v>
      </c>
      <c r="G207" s="125">
        <f>ROUNDDOWN(D207*F207,-3)</f>
        <v>240000000</v>
      </c>
      <c r="H207" s="154" t="b">
        <f t="shared" si="4"/>
        <v>1</v>
      </c>
      <c r="I207" s="154"/>
      <c r="J207" s="154"/>
    </row>
    <row r="208" spans="1:10" ht="25.5" x14ac:dyDescent="0.2">
      <c r="A208" s="7" t="s">
        <v>1479</v>
      </c>
      <c r="B208" s="124"/>
      <c r="C208" s="123" t="s">
        <v>3653</v>
      </c>
      <c r="D208" s="124">
        <v>400</v>
      </c>
      <c r="E208" s="124" t="s">
        <v>10</v>
      </c>
      <c r="F208" s="125">
        <v>15000</v>
      </c>
      <c r="G208" s="125">
        <f>ROUNDDOWN(D208*F208,-3)</f>
        <v>6000000</v>
      </c>
      <c r="H208" s="154" t="b">
        <f t="shared" si="4"/>
        <v>1</v>
      </c>
      <c r="I208" s="154"/>
      <c r="J208" s="154"/>
    </row>
    <row r="209" spans="1:10" ht="14.25" x14ac:dyDescent="0.2">
      <c r="A209" s="7" t="s">
        <v>1481</v>
      </c>
      <c r="B209" s="124"/>
      <c r="C209" s="123" t="s">
        <v>3654</v>
      </c>
      <c r="D209" s="124">
        <v>1</v>
      </c>
      <c r="E209" s="124" t="s">
        <v>60</v>
      </c>
      <c r="F209" s="125">
        <v>12141000</v>
      </c>
      <c r="G209" s="125">
        <f>ROUNDDOWN(D209*F209,-3)</f>
        <v>12141000</v>
      </c>
      <c r="H209" s="154" t="b">
        <f t="shared" si="4"/>
        <v>1</v>
      </c>
      <c r="I209" s="154"/>
      <c r="J209" s="154"/>
    </row>
    <row r="210" spans="1:10" ht="14.25" x14ac:dyDescent="0.2">
      <c r="A210" s="7" t="s">
        <v>1483</v>
      </c>
      <c r="B210" s="60">
        <v>522151</v>
      </c>
      <c r="C210" s="41" t="s">
        <v>11</v>
      </c>
      <c r="D210" s="60"/>
      <c r="E210" s="60"/>
      <c r="F210" s="42"/>
      <c r="G210" s="42">
        <f>G211</f>
        <v>30000000</v>
      </c>
      <c r="H210" s="154" t="b">
        <f t="shared" si="4"/>
        <v>1</v>
      </c>
      <c r="I210" s="154"/>
      <c r="J210" s="154"/>
    </row>
    <row r="211" spans="1:10" ht="14.25" x14ac:dyDescent="0.2">
      <c r="A211" s="7" t="s">
        <v>1484</v>
      </c>
      <c r="B211" s="124"/>
      <c r="C211" s="123" t="s">
        <v>3603</v>
      </c>
      <c r="D211" s="124">
        <v>30</v>
      </c>
      <c r="E211" s="124" t="s">
        <v>54</v>
      </c>
      <c r="F211" s="125">
        <v>1000000</v>
      </c>
      <c r="G211" s="125">
        <f>ROUNDDOWN(D211*F211,-3)</f>
        <v>30000000</v>
      </c>
      <c r="H211" s="154" t="b">
        <f t="shared" si="4"/>
        <v>1</v>
      </c>
      <c r="I211" s="154"/>
      <c r="J211" s="154"/>
    </row>
    <row r="212" spans="1:10" ht="14.25" x14ac:dyDescent="0.2">
      <c r="A212" s="7" t="s">
        <v>1485</v>
      </c>
      <c r="B212" s="60">
        <v>522192</v>
      </c>
      <c r="C212" s="41" t="s">
        <v>24</v>
      </c>
      <c r="D212" s="60"/>
      <c r="E212" s="60"/>
      <c r="F212" s="42"/>
      <c r="G212" s="42">
        <f>G213</f>
        <v>8000000</v>
      </c>
      <c r="H212" s="154" t="b">
        <f t="shared" si="4"/>
        <v>1</v>
      </c>
      <c r="I212" s="154"/>
      <c r="J212" s="154"/>
    </row>
    <row r="213" spans="1:10" ht="14.25" x14ac:dyDescent="0.2">
      <c r="A213" s="7" t="s">
        <v>1486</v>
      </c>
      <c r="B213" s="124"/>
      <c r="C213" s="123" t="s">
        <v>3623</v>
      </c>
      <c r="D213" s="124">
        <v>1</v>
      </c>
      <c r="E213" s="124" t="s">
        <v>60</v>
      </c>
      <c r="F213" s="125">
        <v>8000000</v>
      </c>
      <c r="G213" s="125">
        <f>ROUNDDOWN(D213*F213,-3)</f>
        <v>8000000</v>
      </c>
      <c r="H213" s="154" t="b">
        <f t="shared" si="4"/>
        <v>1</v>
      </c>
      <c r="I213" s="154"/>
      <c r="J213" s="154"/>
    </row>
    <row r="214" spans="1:10" ht="14.25" x14ac:dyDescent="0.2">
      <c r="A214" s="7" t="s">
        <v>1487</v>
      </c>
      <c r="B214" s="60">
        <v>524111</v>
      </c>
      <c r="C214" s="41" t="s">
        <v>19</v>
      </c>
      <c r="D214" s="60"/>
      <c r="E214" s="60"/>
      <c r="F214" s="42"/>
      <c r="G214" s="42">
        <f>G215</f>
        <v>81859000</v>
      </c>
      <c r="H214" s="154" t="b">
        <f t="shared" si="4"/>
        <v>1</v>
      </c>
      <c r="I214" s="154"/>
      <c r="J214" s="154"/>
    </row>
    <row r="215" spans="1:10" ht="25.5" x14ac:dyDescent="0.2">
      <c r="A215" s="7" t="s">
        <v>1488</v>
      </c>
      <c r="B215" s="124"/>
      <c r="C215" s="123" t="s">
        <v>3655</v>
      </c>
      <c r="D215" s="124">
        <v>32</v>
      </c>
      <c r="E215" s="124" t="s">
        <v>10</v>
      </c>
      <c r="F215" s="125">
        <v>2558095</v>
      </c>
      <c r="G215" s="125">
        <f>ROUNDDOWN(D215*F215,-3)</f>
        <v>81859000</v>
      </c>
      <c r="H215" s="154" t="b">
        <f t="shared" si="4"/>
        <v>1</v>
      </c>
      <c r="I215" s="154"/>
      <c r="J215" s="154"/>
    </row>
    <row r="216" spans="1:10" ht="14.25" x14ac:dyDescent="0.2">
      <c r="A216" s="7" t="s">
        <v>1490</v>
      </c>
      <c r="B216" s="59" t="s">
        <v>579</v>
      </c>
      <c r="C216" s="38" t="s">
        <v>56</v>
      </c>
      <c r="D216" s="59"/>
      <c r="E216" s="59"/>
      <c r="F216" s="39"/>
      <c r="G216" s="39">
        <f>SUM(G217,G222,G224,G226)</f>
        <v>350000000</v>
      </c>
      <c r="H216" s="154" t="b">
        <f t="shared" si="4"/>
        <v>1</v>
      </c>
      <c r="I216" s="154"/>
      <c r="J216" s="154"/>
    </row>
    <row r="217" spans="1:10" ht="14.25" x14ac:dyDescent="0.2">
      <c r="A217" s="7" t="s">
        <v>1491</v>
      </c>
      <c r="B217" s="60">
        <v>521211</v>
      </c>
      <c r="C217" s="41" t="s">
        <v>7</v>
      </c>
      <c r="D217" s="60"/>
      <c r="E217" s="60"/>
      <c r="F217" s="42"/>
      <c r="G217" s="42">
        <f>SUM(G218:G221)</f>
        <v>31000000</v>
      </c>
      <c r="H217" s="154" t="b">
        <f t="shared" si="4"/>
        <v>1</v>
      </c>
      <c r="I217" s="154"/>
      <c r="J217" s="154"/>
    </row>
    <row r="218" spans="1:10" ht="14.25" x14ac:dyDescent="0.2">
      <c r="A218" s="7" t="s">
        <v>1492</v>
      </c>
      <c r="B218" s="124"/>
      <c r="C218" s="123" t="s">
        <v>3601</v>
      </c>
      <c r="D218" s="124">
        <v>300</v>
      </c>
      <c r="E218" s="124" t="s">
        <v>10</v>
      </c>
      <c r="F218" s="125">
        <v>75000</v>
      </c>
      <c r="G218" s="125">
        <f>ROUNDDOWN(D218*F218,-3)</f>
        <v>22500000</v>
      </c>
      <c r="H218" s="154" t="b">
        <f t="shared" si="4"/>
        <v>1</v>
      </c>
      <c r="I218" s="154"/>
      <c r="J218" s="154"/>
    </row>
    <row r="219" spans="1:10" ht="14.25" x14ac:dyDescent="0.2">
      <c r="A219" s="7" t="s">
        <v>1493</v>
      </c>
      <c r="B219" s="124"/>
      <c r="C219" s="123" t="s">
        <v>3602</v>
      </c>
      <c r="D219" s="124">
        <v>1</v>
      </c>
      <c r="E219" s="124" t="s">
        <v>9</v>
      </c>
      <c r="F219" s="125">
        <v>1000000</v>
      </c>
      <c r="G219" s="125">
        <f>ROUNDDOWN(D219*F219,-3)</f>
        <v>1000000</v>
      </c>
      <c r="H219" s="154" t="b">
        <f t="shared" si="4"/>
        <v>1</v>
      </c>
      <c r="I219" s="154"/>
      <c r="J219" s="154"/>
    </row>
    <row r="220" spans="1:10" ht="14.25" x14ac:dyDescent="0.2">
      <c r="A220" s="7" t="s">
        <v>1494</v>
      </c>
      <c r="B220" s="124"/>
      <c r="C220" s="123" t="s">
        <v>3588</v>
      </c>
      <c r="D220" s="124">
        <v>3</v>
      </c>
      <c r="E220" s="124" t="s">
        <v>9</v>
      </c>
      <c r="F220" s="125">
        <v>1000000</v>
      </c>
      <c r="G220" s="125">
        <f>ROUNDDOWN(D220*F220,-3)</f>
        <v>3000000</v>
      </c>
      <c r="H220" s="154" t="b">
        <f t="shared" si="4"/>
        <v>1</v>
      </c>
      <c r="I220" s="154"/>
      <c r="J220" s="154"/>
    </row>
    <row r="221" spans="1:10" ht="14.25" x14ac:dyDescent="0.2">
      <c r="A221" s="7" t="s">
        <v>1495</v>
      </c>
      <c r="B221" s="124"/>
      <c r="C221" s="123" t="s">
        <v>3589</v>
      </c>
      <c r="D221" s="124">
        <v>3</v>
      </c>
      <c r="E221" s="124" t="s">
        <v>9</v>
      </c>
      <c r="F221" s="125">
        <v>1500000</v>
      </c>
      <c r="G221" s="125">
        <f>ROUNDDOWN(D221*F221,-3)</f>
        <v>4500000</v>
      </c>
      <c r="H221" s="154" t="b">
        <f t="shared" si="4"/>
        <v>1</v>
      </c>
      <c r="I221" s="154"/>
      <c r="J221" s="154"/>
    </row>
    <row r="222" spans="1:10" ht="14.25" x14ac:dyDescent="0.2">
      <c r="A222" s="7" t="s">
        <v>1496</v>
      </c>
      <c r="B222" s="60">
        <v>521219</v>
      </c>
      <c r="C222" s="41" t="s">
        <v>53</v>
      </c>
      <c r="D222" s="60"/>
      <c r="E222" s="60"/>
      <c r="F222" s="42"/>
      <c r="G222" s="42">
        <f>G223</f>
        <v>3000000</v>
      </c>
      <c r="H222" s="154" t="b">
        <f t="shared" si="4"/>
        <v>1</v>
      </c>
      <c r="I222" s="154"/>
      <c r="J222" s="154"/>
    </row>
    <row r="223" spans="1:10" ht="14.25" x14ac:dyDescent="0.2">
      <c r="A223" s="7" t="s">
        <v>1497</v>
      </c>
      <c r="B223" s="124"/>
      <c r="C223" s="123" t="s">
        <v>3610</v>
      </c>
      <c r="D223" s="124">
        <v>12</v>
      </c>
      <c r="E223" s="124" t="s">
        <v>78</v>
      </c>
      <c r="F223" s="125">
        <v>250000</v>
      </c>
      <c r="G223" s="125">
        <f>ROUNDDOWN(D223*F223,-3)</f>
        <v>3000000</v>
      </c>
      <c r="H223" s="154" t="b">
        <f t="shared" si="4"/>
        <v>1</v>
      </c>
      <c r="I223" s="154"/>
      <c r="J223" s="154"/>
    </row>
    <row r="224" spans="1:10" ht="14.25" x14ac:dyDescent="0.2">
      <c r="A224" s="7" t="s">
        <v>1498</v>
      </c>
      <c r="B224" s="60">
        <v>522151</v>
      </c>
      <c r="C224" s="41" t="s">
        <v>11</v>
      </c>
      <c r="D224" s="60"/>
      <c r="E224" s="60"/>
      <c r="F224" s="42"/>
      <c r="G224" s="42">
        <f>G225</f>
        <v>70000000</v>
      </c>
      <c r="H224" s="154" t="b">
        <f t="shared" si="4"/>
        <v>1</v>
      </c>
      <c r="I224" s="154"/>
      <c r="J224" s="154"/>
    </row>
    <row r="225" spans="1:10" ht="14.25" x14ac:dyDescent="0.2">
      <c r="A225" s="7" t="s">
        <v>1499</v>
      </c>
      <c r="B225" s="124"/>
      <c r="C225" s="123" t="s">
        <v>3656</v>
      </c>
      <c r="D225" s="124">
        <v>70</v>
      </c>
      <c r="E225" s="124" t="s">
        <v>12</v>
      </c>
      <c r="F225" s="125">
        <v>1000000</v>
      </c>
      <c r="G225" s="125">
        <f>ROUNDDOWN(D225*F225,-3)</f>
        <v>70000000</v>
      </c>
      <c r="H225" s="154" t="b">
        <f t="shared" si="4"/>
        <v>1</v>
      </c>
      <c r="I225" s="154"/>
      <c r="J225" s="154"/>
    </row>
    <row r="226" spans="1:10" ht="14.25" x14ac:dyDescent="0.2">
      <c r="A226" s="7" t="s">
        <v>1501</v>
      </c>
      <c r="B226" s="60">
        <v>524111</v>
      </c>
      <c r="C226" s="41" t="s">
        <v>19</v>
      </c>
      <c r="D226" s="60"/>
      <c r="E226" s="60"/>
      <c r="F226" s="42"/>
      <c r="G226" s="42">
        <f>G227</f>
        <v>246000000</v>
      </c>
      <c r="H226" s="154" t="b">
        <f t="shared" si="4"/>
        <v>1</v>
      </c>
      <c r="I226" s="154"/>
      <c r="J226" s="154"/>
    </row>
    <row r="227" spans="1:10" ht="14.25" x14ac:dyDescent="0.2">
      <c r="A227" s="7" t="s">
        <v>1502</v>
      </c>
      <c r="B227" s="124"/>
      <c r="C227" s="123" t="s">
        <v>3657</v>
      </c>
      <c r="D227" s="124">
        <v>39</v>
      </c>
      <c r="E227" s="124" t="s">
        <v>10</v>
      </c>
      <c r="F227" s="125">
        <v>6307694</v>
      </c>
      <c r="G227" s="125">
        <f>ROUNDDOWN(D227*F227,-3)</f>
        <v>246000000</v>
      </c>
      <c r="H227" s="154" t="b">
        <f t="shared" si="4"/>
        <v>1</v>
      </c>
      <c r="I227" s="154"/>
      <c r="J227" s="154"/>
    </row>
    <row r="228" spans="1:10" ht="25.5" x14ac:dyDescent="0.2">
      <c r="A228" s="7" t="s">
        <v>1504</v>
      </c>
      <c r="B228" s="59" t="s">
        <v>580</v>
      </c>
      <c r="C228" s="38" t="s">
        <v>1505</v>
      </c>
      <c r="D228" s="59"/>
      <c r="E228" s="59"/>
      <c r="F228" s="39"/>
      <c r="G228" s="39">
        <f>SUM(G229,G239,G242,G246)</f>
        <v>668000000</v>
      </c>
      <c r="H228" s="154" t="b">
        <f t="shared" si="4"/>
        <v>1</v>
      </c>
      <c r="I228" s="154"/>
      <c r="J228" s="154"/>
    </row>
    <row r="229" spans="1:10" ht="14.25" x14ac:dyDescent="0.2">
      <c r="A229" s="7" t="s">
        <v>1506</v>
      </c>
      <c r="B229" s="60">
        <v>521211</v>
      </c>
      <c r="C229" s="41" t="s">
        <v>7</v>
      </c>
      <c r="D229" s="60"/>
      <c r="E229" s="60"/>
      <c r="F229" s="42"/>
      <c r="G229" s="42">
        <f>SUM(G230:G238)</f>
        <v>84800000</v>
      </c>
      <c r="H229" s="154" t="b">
        <f t="shared" si="4"/>
        <v>1</v>
      </c>
      <c r="I229" s="154"/>
      <c r="J229" s="154"/>
    </row>
    <row r="230" spans="1:10" ht="14.25" x14ac:dyDescent="0.2">
      <c r="A230" s="7" t="s">
        <v>1507</v>
      </c>
      <c r="B230" s="124"/>
      <c r="C230" s="123" t="s">
        <v>3601</v>
      </c>
      <c r="D230" s="124">
        <v>50</v>
      </c>
      <c r="E230" s="124" t="s">
        <v>10</v>
      </c>
      <c r="F230" s="125">
        <v>75000</v>
      </c>
      <c r="G230" s="125">
        <f t="shared" ref="G230:G238" si="5">ROUNDDOWN(D230*F230,-3)</f>
        <v>3750000</v>
      </c>
      <c r="H230" s="154" t="b">
        <f t="shared" si="4"/>
        <v>1</v>
      </c>
      <c r="I230" s="154"/>
      <c r="J230" s="154"/>
    </row>
    <row r="231" spans="1:10" ht="14.25" x14ac:dyDescent="0.2">
      <c r="A231" s="7" t="s">
        <v>1508</v>
      </c>
      <c r="B231" s="124"/>
      <c r="C231" s="123" t="s">
        <v>3602</v>
      </c>
      <c r="D231" s="124">
        <v>2</v>
      </c>
      <c r="E231" s="124" t="s">
        <v>9</v>
      </c>
      <c r="F231" s="125">
        <v>1000000</v>
      </c>
      <c r="G231" s="125">
        <f t="shared" si="5"/>
        <v>2000000</v>
      </c>
      <c r="H231" s="154" t="b">
        <f t="shared" si="4"/>
        <v>1</v>
      </c>
      <c r="I231" s="154"/>
      <c r="J231" s="154"/>
    </row>
    <row r="232" spans="1:10" ht="14.25" x14ac:dyDescent="0.2">
      <c r="A232" s="7" t="s">
        <v>1509</v>
      </c>
      <c r="B232" s="124"/>
      <c r="C232" s="123" t="s">
        <v>3588</v>
      </c>
      <c r="D232" s="124">
        <v>2</v>
      </c>
      <c r="E232" s="124" t="s">
        <v>9</v>
      </c>
      <c r="F232" s="125">
        <v>1000000</v>
      </c>
      <c r="G232" s="125">
        <f t="shared" si="5"/>
        <v>2000000</v>
      </c>
      <c r="H232" s="154" t="b">
        <f t="shared" si="4"/>
        <v>1</v>
      </c>
      <c r="I232" s="154"/>
      <c r="J232" s="154"/>
    </row>
    <row r="233" spans="1:10" ht="14.25" x14ac:dyDescent="0.2">
      <c r="A233" s="7" t="s">
        <v>1510</v>
      </c>
      <c r="B233" s="124"/>
      <c r="C233" s="123" t="s">
        <v>3589</v>
      </c>
      <c r="D233" s="124">
        <v>2</v>
      </c>
      <c r="E233" s="124" t="s">
        <v>9</v>
      </c>
      <c r="F233" s="125">
        <v>1500000</v>
      </c>
      <c r="G233" s="125">
        <f t="shared" si="5"/>
        <v>3000000</v>
      </c>
      <c r="H233" s="154" t="b">
        <f t="shared" si="4"/>
        <v>1</v>
      </c>
      <c r="I233" s="154"/>
      <c r="J233" s="154"/>
    </row>
    <row r="234" spans="1:10" ht="14.25" x14ac:dyDescent="0.2">
      <c r="A234" s="7" t="s">
        <v>1511</v>
      </c>
      <c r="B234" s="124"/>
      <c r="C234" s="123" t="s">
        <v>3658</v>
      </c>
      <c r="D234" s="124">
        <v>20</v>
      </c>
      <c r="E234" s="124" t="s">
        <v>58</v>
      </c>
      <c r="F234" s="125">
        <v>450000</v>
      </c>
      <c r="G234" s="125">
        <f t="shared" si="5"/>
        <v>9000000</v>
      </c>
      <c r="H234" s="154" t="b">
        <f t="shared" si="4"/>
        <v>1</v>
      </c>
      <c r="I234" s="154"/>
      <c r="J234" s="154"/>
    </row>
    <row r="235" spans="1:10" ht="14.25" x14ac:dyDescent="0.2">
      <c r="A235" s="7" t="s">
        <v>1513</v>
      </c>
      <c r="B235" s="124"/>
      <c r="C235" s="123" t="s">
        <v>3659</v>
      </c>
      <c r="D235" s="124">
        <v>20</v>
      </c>
      <c r="E235" s="124" t="s">
        <v>58</v>
      </c>
      <c r="F235" s="125">
        <v>450000</v>
      </c>
      <c r="G235" s="125">
        <f t="shared" si="5"/>
        <v>9000000</v>
      </c>
      <c r="H235" s="154" t="b">
        <f t="shared" si="4"/>
        <v>1</v>
      </c>
      <c r="I235" s="154"/>
      <c r="J235" s="154"/>
    </row>
    <row r="236" spans="1:10" ht="14.25" x14ac:dyDescent="0.2">
      <c r="A236" s="7" t="s">
        <v>1515</v>
      </c>
      <c r="B236" s="124"/>
      <c r="C236" s="123" t="s">
        <v>3660</v>
      </c>
      <c r="D236" s="124">
        <v>1</v>
      </c>
      <c r="E236" s="124" t="s">
        <v>23</v>
      </c>
      <c r="F236" s="125">
        <v>27575000</v>
      </c>
      <c r="G236" s="125">
        <f t="shared" si="5"/>
        <v>27575000</v>
      </c>
      <c r="H236" s="154" t="b">
        <f t="shared" si="4"/>
        <v>1</v>
      </c>
      <c r="I236" s="154"/>
      <c r="J236" s="154"/>
    </row>
    <row r="237" spans="1:10" ht="14.25" x14ac:dyDescent="0.2">
      <c r="A237" s="7" t="s">
        <v>1517</v>
      </c>
      <c r="B237" s="124"/>
      <c r="C237" s="123" t="s">
        <v>3661</v>
      </c>
      <c r="D237" s="124">
        <v>1</v>
      </c>
      <c r="E237" s="124" t="s">
        <v>23</v>
      </c>
      <c r="F237" s="125">
        <v>27575000</v>
      </c>
      <c r="G237" s="125">
        <f t="shared" si="5"/>
        <v>27575000</v>
      </c>
      <c r="H237" s="154" t="b">
        <f t="shared" si="4"/>
        <v>1</v>
      </c>
      <c r="I237" s="154"/>
      <c r="J237" s="154"/>
    </row>
    <row r="238" spans="1:10" ht="14.25" x14ac:dyDescent="0.2">
      <c r="A238" s="7" t="s">
        <v>1519</v>
      </c>
      <c r="B238" s="124"/>
      <c r="C238" s="123" t="s">
        <v>3662</v>
      </c>
      <c r="D238" s="124">
        <v>3</v>
      </c>
      <c r="E238" s="124" t="s">
        <v>58</v>
      </c>
      <c r="F238" s="125">
        <v>300000</v>
      </c>
      <c r="G238" s="125">
        <f t="shared" si="5"/>
        <v>900000</v>
      </c>
      <c r="H238" s="154" t="b">
        <f t="shared" si="4"/>
        <v>1</v>
      </c>
      <c r="I238" s="154"/>
      <c r="J238" s="154"/>
    </row>
    <row r="239" spans="1:10" ht="14.25" x14ac:dyDescent="0.2">
      <c r="A239" s="7" t="s">
        <v>1521</v>
      </c>
      <c r="B239" s="60">
        <v>521219</v>
      </c>
      <c r="C239" s="41" t="s">
        <v>53</v>
      </c>
      <c r="D239" s="60"/>
      <c r="E239" s="60"/>
      <c r="F239" s="42"/>
      <c r="G239" s="42">
        <f>SUM(G240:G241)</f>
        <v>393200000</v>
      </c>
      <c r="H239" s="154" t="b">
        <f t="shared" si="4"/>
        <v>1</v>
      </c>
      <c r="I239" s="154"/>
      <c r="J239" s="154"/>
    </row>
    <row r="240" spans="1:10" ht="14.25" x14ac:dyDescent="0.2">
      <c r="A240" s="7" t="s">
        <v>1522</v>
      </c>
      <c r="B240" s="124"/>
      <c r="C240" s="123" t="s">
        <v>3663</v>
      </c>
      <c r="D240" s="124">
        <v>1</v>
      </c>
      <c r="E240" s="124" t="s">
        <v>66</v>
      </c>
      <c r="F240" s="125">
        <v>196600000</v>
      </c>
      <c r="G240" s="125">
        <f>ROUNDDOWN(D240*F240,-3)</f>
        <v>196600000</v>
      </c>
      <c r="H240" s="154" t="b">
        <f t="shared" si="4"/>
        <v>1</v>
      </c>
      <c r="I240" s="154"/>
      <c r="J240" s="154"/>
    </row>
    <row r="241" spans="1:10" ht="14.25" x14ac:dyDescent="0.2">
      <c r="A241" s="7" t="s">
        <v>1524</v>
      </c>
      <c r="B241" s="124"/>
      <c r="C241" s="123" t="s">
        <v>3664</v>
      </c>
      <c r="D241" s="124">
        <v>1</v>
      </c>
      <c r="E241" s="124" t="s">
        <v>66</v>
      </c>
      <c r="F241" s="125">
        <v>196600000</v>
      </c>
      <c r="G241" s="125">
        <f>ROUNDDOWN(D241*F241,-3)</f>
        <v>196600000</v>
      </c>
      <c r="H241" s="154" t="b">
        <f t="shared" si="4"/>
        <v>1</v>
      </c>
      <c r="I241" s="154"/>
      <c r="J241" s="154"/>
    </row>
    <row r="242" spans="1:10" ht="14.25" x14ac:dyDescent="0.2">
      <c r="A242" s="7" t="s">
        <v>1526</v>
      </c>
      <c r="B242" s="60">
        <v>522141</v>
      </c>
      <c r="C242" s="41" t="s">
        <v>95</v>
      </c>
      <c r="D242" s="60"/>
      <c r="E242" s="60"/>
      <c r="F242" s="42"/>
      <c r="G242" s="42">
        <f>SUM(G243:G245)</f>
        <v>160000000</v>
      </c>
      <c r="H242" s="154" t="b">
        <f t="shared" si="4"/>
        <v>1</v>
      </c>
      <c r="I242" s="154"/>
      <c r="J242" s="154"/>
    </row>
    <row r="243" spans="1:10" ht="14.25" x14ac:dyDescent="0.2">
      <c r="A243" s="7" t="s">
        <v>1527</v>
      </c>
      <c r="B243" s="124"/>
      <c r="C243" s="123" t="s">
        <v>3665</v>
      </c>
      <c r="D243" s="124">
        <v>2</v>
      </c>
      <c r="E243" s="124" t="s">
        <v>23</v>
      </c>
      <c r="F243" s="125">
        <v>50000000</v>
      </c>
      <c r="G243" s="125">
        <f>ROUNDDOWN(D243*F243,-3)</f>
        <v>100000000</v>
      </c>
      <c r="H243" s="154" t="b">
        <f t="shared" si="4"/>
        <v>1</v>
      </c>
      <c r="I243" s="154"/>
      <c r="J243" s="154"/>
    </row>
    <row r="244" spans="1:10" ht="14.25" x14ac:dyDescent="0.2">
      <c r="A244" s="7" t="s">
        <v>1529</v>
      </c>
      <c r="B244" s="124"/>
      <c r="C244" s="123" t="s">
        <v>3666</v>
      </c>
      <c r="D244" s="124">
        <v>2</v>
      </c>
      <c r="E244" s="124" t="s">
        <v>23</v>
      </c>
      <c r="F244" s="125">
        <v>10000000</v>
      </c>
      <c r="G244" s="125">
        <f>ROUNDDOWN(D244*F244,-3)</f>
        <v>20000000</v>
      </c>
      <c r="H244" s="154" t="b">
        <f t="shared" si="4"/>
        <v>1</v>
      </c>
      <c r="I244" s="154"/>
      <c r="J244" s="154"/>
    </row>
    <row r="245" spans="1:10" ht="14.25" x14ac:dyDescent="0.2">
      <c r="A245" s="7" t="s">
        <v>1531</v>
      </c>
      <c r="B245" s="124"/>
      <c r="C245" s="123" t="s">
        <v>3667</v>
      </c>
      <c r="D245" s="124">
        <v>4</v>
      </c>
      <c r="E245" s="124" t="s">
        <v>23</v>
      </c>
      <c r="F245" s="125">
        <v>10000000</v>
      </c>
      <c r="G245" s="125">
        <f>ROUNDDOWN(D245*F245,-3)</f>
        <v>40000000</v>
      </c>
      <c r="H245" s="154" t="b">
        <f t="shared" si="4"/>
        <v>1</v>
      </c>
      <c r="I245" s="154"/>
      <c r="J245" s="154"/>
    </row>
    <row r="246" spans="1:10" ht="14.25" x14ac:dyDescent="0.2">
      <c r="A246" s="7" t="s">
        <v>1533</v>
      </c>
      <c r="B246" s="60">
        <v>524111</v>
      </c>
      <c r="C246" s="41" t="s">
        <v>19</v>
      </c>
      <c r="D246" s="60"/>
      <c r="E246" s="60"/>
      <c r="F246" s="42"/>
      <c r="G246" s="42">
        <f>G247</f>
        <v>30000000</v>
      </c>
      <c r="H246" s="154" t="b">
        <f t="shared" si="4"/>
        <v>1</v>
      </c>
      <c r="I246" s="154"/>
      <c r="J246" s="154"/>
    </row>
    <row r="247" spans="1:10" ht="25.5" x14ac:dyDescent="0.2">
      <c r="A247" s="7" t="s">
        <v>1534</v>
      </c>
      <c r="B247" s="124"/>
      <c r="C247" s="123" t="s">
        <v>3668</v>
      </c>
      <c r="D247" s="124">
        <v>12</v>
      </c>
      <c r="E247" s="124" t="s">
        <v>10</v>
      </c>
      <c r="F247" s="125">
        <v>2500000</v>
      </c>
      <c r="G247" s="125">
        <f>ROUNDDOWN(D247*F247,-3)</f>
        <v>30000000</v>
      </c>
      <c r="H247" s="154" t="b">
        <f t="shared" si="4"/>
        <v>1</v>
      </c>
      <c r="I247" s="154"/>
      <c r="J247" s="154"/>
    </row>
    <row r="248" spans="1:10" ht="25.5" x14ac:dyDescent="0.2">
      <c r="A248" s="7" t="s">
        <v>1536</v>
      </c>
      <c r="B248" s="59" t="s">
        <v>581</v>
      </c>
      <c r="C248" s="38" t="s">
        <v>1537</v>
      </c>
      <c r="D248" s="59"/>
      <c r="E248" s="59"/>
      <c r="F248" s="39"/>
      <c r="G248" s="39">
        <f>SUM(G249,G257,G259,G261)</f>
        <v>82000000</v>
      </c>
      <c r="H248" s="154" t="b">
        <f t="shared" si="4"/>
        <v>1</v>
      </c>
      <c r="I248" s="154"/>
      <c r="J248" s="154"/>
    </row>
    <row r="249" spans="1:10" ht="14.25" x14ac:dyDescent="0.2">
      <c r="A249" s="7" t="s">
        <v>1538</v>
      </c>
      <c r="B249" s="60">
        <v>521211</v>
      </c>
      <c r="C249" s="41" t="s">
        <v>7</v>
      </c>
      <c r="D249" s="60"/>
      <c r="E249" s="60"/>
      <c r="F249" s="42"/>
      <c r="G249" s="42">
        <f>SUM(G250:G256)</f>
        <v>17550000</v>
      </c>
      <c r="H249" s="154" t="b">
        <f t="shared" si="4"/>
        <v>1</v>
      </c>
      <c r="I249" s="154"/>
      <c r="J249" s="154"/>
    </row>
    <row r="250" spans="1:10" ht="14.25" x14ac:dyDescent="0.2">
      <c r="A250" s="7" t="s">
        <v>1539</v>
      </c>
      <c r="B250" s="124"/>
      <c r="C250" s="123" t="s">
        <v>3601</v>
      </c>
      <c r="D250" s="124">
        <v>20</v>
      </c>
      <c r="E250" s="124" t="s">
        <v>10</v>
      </c>
      <c r="F250" s="125">
        <v>75000</v>
      </c>
      <c r="G250" s="125">
        <f t="shared" ref="G250:G256" si="6">ROUNDDOWN(D250*F250,-3)</f>
        <v>1500000</v>
      </c>
      <c r="H250" s="154" t="b">
        <f t="shared" si="4"/>
        <v>1</v>
      </c>
      <c r="I250" s="154"/>
      <c r="J250" s="154"/>
    </row>
    <row r="251" spans="1:10" ht="14.25" x14ac:dyDescent="0.2">
      <c r="A251" s="7" t="s">
        <v>1540</v>
      </c>
      <c r="B251" s="124"/>
      <c r="C251" s="123" t="s">
        <v>3602</v>
      </c>
      <c r="D251" s="124">
        <v>2</v>
      </c>
      <c r="E251" s="124" t="s">
        <v>9</v>
      </c>
      <c r="F251" s="125">
        <v>1000000</v>
      </c>
      <c r="G251" s="125">
        <f t="shared" si="6"/>
        <v>2000000</v>
      </c>
      <c r="H251" s="154" t="b">
        <f t="shared" si="4"/>
        <v>1</v>
      </c>
      <c r="I251" s="154"/>
      <c r="J251" s="154"/>
    </row>
    <row r="252" spans="1:10" ht="14.25" x14ac:dyDescent="0.2">
      <c r="A252" s="7" t="s">
        <v>1541</v>
      </c>
      <c r="B252" s="124"/>
      <c r="C252" s="123" t="s">
        <v>3588</v>
      </c>
      <c r="D252" s="124">
        <v>2</v>
      </c>
      <c r="E252" s="124" t="s">
        <v>9</v>
      </c>
      <c r="F252" s="125">
        <v>1000000</v>
      </c>
      <c r="G252" s="125">
        <f t="shared" si="6"/>
        <v>2000000</v>
      </c>
      <c r="H252" s="154" t="b">
        <f t="shared" si="4"/>
        <v>1</v>
      </c>
      <c r="I252" s="154"/>
      <c r="J252" s="154"/>
    </row>
    <row r="253" spans="1:10" ht="14.25" x14ac:dyDescent="0.2">
      <c r="A253" s="7" t="s">
        <v>1542</v>
      </c>
      <c r="B253" s="124"/>
      <c r="C253" s="123" t="s">
        <v>3589</v>
      </c>
      <c r="D253" s="124">
        <v>2</v>
      </c>
      <c r="E253" s="124" t="s">
        <v>9</v>
      </c>
      <c r="F253" s="125">
        <v>1500000</v>
      </c>
      <c r="G253" s="125">
        <f t="shared" si="6"/>
        <v>3000000</v>
      </c>
      <c r="H253" s="154" t="b">
        <f t="shared" si="4"/>
        <v>1</v>
      </c>
      <c r="I253" s="154"/>
      <c r="J253" s="154"/>
    </row>
    <row r="254" spans="1:10" ht="14.25" x14ac:dyDescent="0.2">
      <c r="A254" s="7" t="s">
        <v>1543</v>
      </c>
      <c r="B254" s="124"/>
      <c r="C254" s="123" t="s">
        <v>3669</v>
      </c>
      <c r="D254" s="124">
        <v>10</v>
      </c>
      <c r="E254" s="124" t="s">
        <v>58</v>
      </c>
      <c r="F254" s="125">
        <v>250000</v>
      </c>
      <c r="G254" s="125">
        <f t="shared" si="6"/>
        <v>2500000</v>
      </c>
      <c r="H254" s="154" t="b">
        <f t="shared" si="4"/>
        <v>1</v>
      </c>
      <c r="I254" s="154"/>
      <c r="J254" s="154"/>
    </row>
    <row r="255" spans="1:10" ht="14.25" x14ac:dyDescent="0.2">
      <c r="A255" s="7" t="s">
        <v>1545</v>
      </c>
      <c r="B255" s="124"/>
      <c r="C255" s="123" t="s">
        <v>3670</v>
      </c>
      <c r="D255" s="124">
        <v>500</v>
      </c>
      <c r="E255" s="124" t="s">
        <v>58</v>
      </c>
      <c r="F255" s="125">
        <v>6000</v>
      </c>
      <c r="G255" s="125">
        <f t="shared" si="6"/>
        <v>3000000</v>
      </c>
      <c r="H255" s="154" t="b">
        <f t="shared" si="4"/>
        <v>1</v>
      </c>
      <c r="I255" s="154"/>
      <c r="J255" s="154"/>
    </row>
    <row r="256" spans="1:10" ht="14.25" x14ac:dyDescent="0.2">
      <c r="A256" s="7" t="s">
        <v>1547</v>
      </c>
      <c r="B256" s="124"/>
      <c r="C256" s="123" t="s">
        <v>3671</v>
      </c>
      <c r="D256" s="124">
        <v>100</v>
      </c>
      <c r="E256" s="124" t="s">
        <v>58</v>
      </c>
      <c r="F256" s="125">
        <v>35500</v>
      </c>
      <c r="G256" s="125">
        <f t="shared" si="6"/>
        <v>3550000</v>
      </c>
      <c r="H256" s="154" t="b">
        <f t="shared" si="4"/>
        <v>1</v>
      </c>
      <c r="I256" s="154"/>
      <c r="J256" s="154"/>
    </row>
    <row r="257" spans="1:10" ht="14.25" x14ac:dyDescent="0.2">
      <c r="A257" s="7" t="s">
        <v>1549</v>
      </c>
      <c r="B257" s="60">
        <v>521219</v>
      </c>
      <c r="C257" s="41" t="s">
        <v>53</v>
      </c>
      <c r="D257" s="60"/>
      <c r="E257" s="60"/>
      <c r="F257" s="42"/>
      <c r="G257" s="42">
        <f>G258</f>
        <v>3000000</v>
      </c>
      <c r="H257" s="154" t="b">
        <f t="shared" si="4"/>
        <v>1</v>
      </c>
      <c r="I257" s="154"/>
      <c r="J257" s="154"/>
    </row>
    <row r="258" spans="1:10" ht="14.25" x14ac:dyDescent="0.2">
      <c r="A258" s="7" t="s">
        <v>1550</v>
      </c>
      <c r="B258" s="124"/>
      <c r="C258" s="123" t="s">
        <v>3610</v>
      </c>
      <c r="D258" s="124">
        <v>12</v>
      </c>
      <c r="E258" s="124" t="s">
        <v>66</v>
      </c>
      <c r="F258" s="125">
        <v>250000</v>
      </c>
      <c r="G258" s="125">
        <f>ROUNDDOWN(D258*F258,-3)</f>
        <v>3000000</v>
      </c>
      <c r="H258" s="154" t="b">
        <f t="shared" si="4"/>
        <v>1</v>
      </c>
      <c r="I258" s="154"/>
      <c r="J258" s="154"/>
    </row>
    <row r="259" spans="1:10" ht="14.25" x14ac:dyDescent="0.2">
      <c r="A259" s="7" t="s">
        <v>1551</v>
      </c>
      <c r="B259" s="60">
        <v>522151</v>
      </c>
      <c r="C259" s="41" t="s">
        <v>11</v>
      </c>
      <c r="D259" s="60"/>
      <c r="E259" s="60"/>
      <c r="F259" s="42"/>
      <c r="G259" s="42">
        <f>G260</f>
        <v>40000000</v>
      </c>
      <c r="H259" s="154" t="b">
        <f t="shared" si="4"/>
        <v>1</v>
      </c>
      <c r="I259" s="154"/>
      <c r="J259" s="154"/>
    </row>
    <row r="260" spans="1:10" ht="14.25" x14ac:dyDescent="0.2">
      <c r="A260" s="7" t="s">
        <v>1552</v>
      </c>
      <c r="B260" s="124"/>
      <c r="C260" s="123" t="s">
        <v>3656</v>
      </c>
      <c r="D260" s="124">
        <v>40</v>
      </c>
      <c r="E260" s="124" t="s">
        <v>54</v>
      </c>
      <c r="F260" s="125">
        <v>1000000</v>
      </c>
      <c r="G260" s="125">
        <f>ROUNDDOWN(D260*F260,-3)</f>
        <v>40000000</v>
      </c>
      <c r="H260" s="154" t="b">
        <f t="shared" si="4"/>
        <v>1</v>
      </c>
      <c r="I260" s="154"/>
      <c r="J260" s="154"/>
    </row>
    <row r="261" spans="1:10" ht="14.25" x14ac:dyDescent="0.2">
      <c r="A261" s="7" t="s">
        <v>1553</v>
      </c>
      <c r="B261" s="60">
        <v>524111</v>
      </c>
      <c r="C261" s="41" t="s">
        <v>19</v>
      </c>
      <c r="D261" s="60"/>
      <c r="E261" s="60"/>
      <c r="F261" s="42"/>
      <c r="G261" s="42">
        <f>G262</f>
        <v>21450000</v>
      </c>
      <c r="H261" s="154" t="b">
        <f t="shared" si="4"/>
        <v>1</v>
      </c>
      <c r="I261" s="154"/>
      <c r="J261" s="154"/>
    </row>
    <row r="262" spans="1:10" ht="25.5" x14ac:dyDescent="0.2">
      <c r="A262" s="7" t="s">
        <v>1554</v>
      </c>
      <c r="B262" s="124"/>
      <c r="C262" s="123" t="s">
        <v>3672</v>
      </c>
      <c r="D262" s="124">
        <v>10</v>
      </c>
      <c r="E262" s="124" t="s">
        <v>10</v>
      </c>
      <c r="F262" s="125">
        <v>2145000</v>
      </c>
      <c r="G262" s="125">
        <f>ROUNDDOWN(D262*F262,-3)</f>
        <v>21450000</v>
      </c>
      <c r="H262" s="154" t="b">
        <f t="shared" si="4"/>
        <v>1</v>
      </c>
      <c r="I262" s="154"/>
      <c r="J262" s="154"/>
    </row>
    <row r="263" spans="1:10" ht="14.25" x14ac:dyDescent="0.2">
      <c r="A263" s="7" t="s">
        <v>1699</v>
      </c>
      <c r="B263" s="119" t="s">
        <v>3673</v>
      </c>
      <c r="C263" s="118" t="s">
        <v>1701</v>
      </c>
      <c r="D263" s="119">
        <v>1</v>
      </c>
      <c r="E263" s="119" t="s">
        <v>3627</v>
      </c>
      <c r="F263" s="120"/>
      <c r="G263" s="120">
        <f>SUM(G264)</f>
        <v>2195658000</v>
      </c>
      <c r="H263" s="154" t="b">
        <f t="shared" si="4"/>
        <v>1</v>
      </c>
      <c r="I263" s="154"/>
      <c r="J263" s="154"/>
    </row>
    <row r="264" spans="1:10" ht="14.25" x14ac:dyDescent="0.2">
      <c r="A264" s="7" t="s">
        <v>1847</v>
      </c>
      <c r="B264" s="58" t="s">
        <v>557</v>
      </c>
      <c r="C264" s="35" t="s">
        <v>89</v>
      </c>
      <c r="D264" s="58"/>
      <c r="E264" s="58"/>
      <c r="F264" s="36"/>
      <c r="G264" s="36">
        <f>SUM(G265,G286,G292,G305,G320)</f>
        <v>2195658000</v>
      </c>
      <c r="H264" s="154" t="b">
        <f t="shared" ref="H264:H290" si="7">_xlfn.ISFORMULA(G264)</f>
        <v>1</v>
      </c>
      <c r="I264" s="154"/>
      <c r="J264" s="154"/>
    </row>
    <row r="265" spans="1:10" ht="25.5" x14ac:dyDescent="0.2">
      <c r="A265" s="7" t="s">
        <v>2170</v>
      </c>
      <c r="B265" s="59" t="s">
        <v>1807</v>
      </c>
      <c r="C265" s="38" t="s">
        <v>2171</v>
      </c>
      <c r="D265" s="59"/>
      <c r="E265" s="59"/>
      <c r="F265" s="39"/>
      <c r="G265" s="39">
        <f>SUM(G266,G276)</f>
        <v>1254380000</v>
      </c>
      <c r="H265" s="154" t="b">
        <f t="shared" si="7"/>
        <v>1</v>
      </c>
      <c r="I265" s="154"/>
      <c r="J265" s="154"/>
    </row>
    <row r="266" spans="1:10" ht="14.25" x14ac:dyDescent="0.2">
      <c r="A266" s="7" t="s">
        <v>2172</v>
      </c>
      <c r="B266" s="60">
        <v>521111</v>
      </c>
      <c r="C266" s="41" t="s">
        <v>90</v>
      </c>
      <c r="D266" s="60"/>
      <c r="E266" s="60"/>
      <c r="F266" s="42"/>
      <c r="G266" s="42">
        <f>SUM(G267:G275)</f>
        <v>1076220000</v>
      </c>
      <c r="H266" s="154" t="b">
        <f t="shared" si="7"/>
        <v>1</v>
      </c>
      <c r="I266" s="154"/>
      <c r="J266" s="154"/>
    </row>
    <row r="267" spans="1:10" ht="14.25" x14ac:dyDescent="0.2">
      <c r="A267" s="7" t="s">
        <v>2173</v>
      </c>
      <c r="B267" s="124"/>
      <c r="C267" s="123" t="s">
        <v>3707</v>
      </c>
      <c r="D267" s="124">
        <v>60</v>
      </c>
      <c r="E267" s="124" t="s">
        <v>116</v>
      </c>
      <c r="F267" s="125">
        <v>1300000</v>
      </c>
      <c r="G267" s="125">
        <f t="shared" ref="G267:G275" si="8">ROUNDDOWN(D267*F267,-3)</f>
        <v>78000000</v>
      </c>
      <c r="H267" s="154" t="b">
        <f t="shared" si="7"/>
        <v>1</v>
      </c>
      <c r="I267" s="154"/>
      <c r="J267" s="154"/>
    </row>
    <row r="268" spans="1:10" ht="14.25" x14ac:dyDescent="0.2">
      <c r="A268" s="7" t="s">
        <v>2174</v>
      </c>
      <c r="B268" s="124"/>
      <c r="C268" s="123" t="s">
        <v>3708</v>
      </c>
      <c r="D268" s="124">
        <v>1</v>
      </c>
      <c r="E268" s="124" t="s">
        <v>60</v>
      </c>
      <c r="F268" s="125">
        <v>60000000</v>
      </c>
      <c r="G268" s="125">
        <f t="shared" si="8"/>
        <v>60000000</v>
      </c>
      <c r="H268" s="154" t="b">
        <f t="shared" si="7"/>
        <v>1</v>
      </c>
      <c r="I268" s="154"/>
      <c r="J268" s="154"/>
    </row>
    <row r="269" spans="1:10" ht="14.25" x14ac:dyDescent="0.2">
      <c r="A269" s="7" t="s">
        <v>2176</v>
      </c>
      <c r="B269" s="124"/>
      <c r="C269" s="123" t="s">
        <v>3709</v>
      </c>
      <c r="D269" s="124">
        <v>156</v>
      </c>
      <c r="E269" s="124" t="s">
        <v>21</v>
      </c>
      <c r="F269" s="125">
        <v>4858000</v>
      </c>
      <c r="G269" s="125">
        <f t="shared" si="8"/>
        <v>757848000</v>
      </c>
      <c r="H269" s="154" t="b">
        <f t="shared" si="7"/>
        <v>1</v>
      </c>
      <c r="I269" s="154"/>
      <c r="J269" s="154"/>
    </row>
    <row r="270" spans="1:10" ht="14.25" x14ac:dyDescent="0.2">
      <c r="A270" s="7" t="s">
        <v>2178</v>
      </c>
      <c r="B270" s="124"/>
      <c r="C270" s="123" t="s">
        <v>3710</v>
      </c>
      <c r="D270" s="124">
        <v>13</v>
      </c>
      <c r="E270" s="124" t="s">
        <v>32</v>
      </c>
      <c r="F270" s="125">
        <v>5344000</v>
      </c>
      <c r="G270" s="125">
        <f t="shared" si="8"/>
        <v>69472000</v>
      </c>
      <c r="H270" s="154" t="b">
        <f t="shared" si="7"/>
        <v>1</v>
      </c>
      <c r="I270" s="154"/>
      <c r="J270" s="154"/>
    </row>
    <row r="271" spans="1:10" ht="25.5" x14ac:dyDescent="0.2">
      <c r="A271" s="7" t="s">
        <v>2179</v>
      </c>
      <c r="B271" s="124"/>
      <c r="C271" s="123" t="s">
        <v>3711</v>
      </c>
      <c r="D271" s="124">
        <v>12</v>
      </c>
      <c r="E271" s="124" t="s">
        <v>78</v>
      </c>
      <c r="F271" s="125">
        <v>500000</v>
      </c>
      <c r="G271" s="125">
        <f t="shared" si="8"/>
        <v>6000000</v>
      </c>
      <c r="H271" s="154" t="b">
        <f t="shared" si="7"/>
        <v>1</v>
      </c>
      <c r="I271" s="154"/>
      <c r="J271" s="154"/>
    </row>
    <row r="272" spans="1:10" ht="14.25" x14ac:dyDescent="0.2">
      <c r="A272" s="7" t="s">
        <v>2181</v>
      </c>
      <c r="B272" s="124"/>
      <c r="C272" s="123" t="s">
        <v>3712</v>
      </c>
      <c r="D272" s="124">
        <v>100</v>
      </c>
      <c r="E272" s="124" t="s">
        <v>58</v>
      </c>
      <c r="F272" s="125">
        <v>500000</v>
      </c>
      <c r="G272" s="125">
        <f t="shared" si="8"/>
        <v>50000000</v>
      </c>
      <c r="H272" s="154" t="b">
        <f t="shared" si="7"/>
        <v>1</v>
      </c>
      <c r="I272" s="154"/>
      <c r="J272" s="154"/>
    </row>
    <row r="273" spans="1:10" ht="14.25" x14ac:dyDescent="0.2">
      <c r="A273" s="7" t="s">
        <v>2183</v>
      </c>
      <c r="B273" s="124"/>
      <c r="C273" s="123" t="s">
        <v>3713</v>
      </c>
      <c r="D273" s="124">
        <v>12</v>
      </c>
      <c r="E273" s="124" t="s">
        <v>115</v>
      </c>
      <c r="F273" s="125">
        <v>750000</v>
      </c>
      <c r="G273" s="125">
        <f t="shared" si="8"/>
        <v>9000000</v>
      </c>
      <c r="H273" s="154" t="b">
        <f t="shared" si="7"/>
        <v>1</v>
      </c>
      <c r="I273" s="154"/>
      <c r="J273" s="154"/>
    </row>
    <row r="274" spans="1:10" ht="14.25" x14ac:dyDescent="0.2">
      <c r="A274" s="7" t="s">
        <v>2185</v>
      </c>
      <c r="B274" s="124"/>
      <c r="C274" s="123" t="s">
        <v>3714</v>
      </c>
      <c r="D274" s="124">
        <v>12</v>
      </c>
      <c r="E274" s="124" t="s">
        <v>115</v>
      </c>
      <c r="F274" s="125">
        <v>1325000</v>
      </c>
      <c r="G274" s="125">
        <f t="shared" si="8"/>
        <v>15900000</v>
      </c>
      <c r="H274" s="154" t="b">
        <f t="shared" si="7"/>
        <v>1</v>
      </c>
      <c r="I274" s="154"/>
      <c r="J274" s="154"/>
    </row>
    <row r="275" spans="1:10" ht="14.25" x14ac:dyDescent="0.2">
      <c r="A275" s="7" t="s">
        <v>2187</v>
      </c>
      <c r="B275" s="124"/>
      <c r="C275" s="123" t="s">
        <v>3715</v>
      </c>
      <c r="D275" s="124">
        <v>12</v>
      </c>
      <c r="E275" s="124" t="s">
        <v>78</v>
      </c>
      <c r="F275" s="125">
        <v>2500000</v>
      </c>
      <c r="G275" s="125">
        <f t="shared" si="8"/>
        <v>30000000</v>
      </c>
      <c r="H275" s="154" t="b">
        <f t="shared" si="7"/>
        <v>1</v>
      </c>
      <c r="I275" s="154"/>
      <c r="J275" s="154"/>
    </row>
    <row r="276" spans="1:10" ht="14.25" x14ac:dyDescent="0.2">
      <c r="A276" s="7" t="s">
        <v>2189</v>
      </c>
      <c r="B276" s="60">
        <v>521811</v>
      </c>
      <c r="C276" s="41" t="s">
        <v>64</v>
      </c>
      <c r="D276" s="60"/>
      <c r="E276" s="60"/>
      <c r="F276" s="42"/>
      <c r="G276" s="42">
        <f>SUM(G277:G285)</f>
        <v>178160000</v>
      </c>
      <c r="H276" s="154" t="b">
        <f t="shared" si="7"/>
        <v>1</v>
      </c>
      <c r="I276" s="154"/>
      <c r="J276" s="154"/>
    </row>
    <row r="277" spans="1:10" ht="14.25" x14ac:dyDescent="0.2">
      <c r="A277" s="7" t="s">
        <v>2190</v>
      </c>
      <c r="B277" s="124"/>
      <c r="C277" s="123" t="s">
        <v>3595</v>
      </c>
      <c r="D277" s="124">
        <v>40</v>
      </c>
      <c r="E277" s="124" t="s">
        <v>9</v>
      </c>
      <c r="F277" s="125">
        <v>1000000</v>
      </c>
      <c r="G277" s="125">
        <f t="shared" ref="G277:G285" si="9">ROUNDDOWN(D277*F277,-3)</f>
        <v>40000000</v>
      </c>
      <c r="H277" s="154" t="b">
        <f t="shared" si="7"/>
        <v>1</v>
      </c>
      <c r="I277" s="154"/>
      <c r="J277" s="154"/>
    </row>
    <row r="278" spans="1:10" ht="14.25" x14ac:dyDescent="0.2">
      <c r="A278" s="7" t="s">
        <v>2191</v>
      </c>
      <c r="B278" s="124"/>
      <c r="C278" s="123" t="s">
        <v>3596</v>
      </c>
      <c r="D278" s="124">
        <v>40</v>
      </c>
      <c r="E278" s="124" t="s">
        <v>9</v>
      </c>
      <c r="F278" s="125">
        <v>1500000</v>
      </c>
      <c r="G278" s="125">
        <f t="shared" si="9"/>
        <v>60000000</v>
      </c>
      <c r="H278" s="154" t="b">
        <f t="shared" si="7"/>
        <v>1</v>
      </c>
      <c r="I278" s="154"/>
      <c r="J278" s="154"/>
    </row>
    <row r="279" spans="1:10" ht="14.25" x14ac:dyDescent="0.2">
      <c r="A279" s="7" t="s">
        <v>2192</v>
      </c>
      <c r="B279" s="124"/>
      <c r="C279" s="123" t="s">
        <v>3716</v>
      </c>
      <c r="D279" s="124">
        <v>192</v>
      </c>
      <c r="E279" s="124" t="s">
        <v>9</v>
      </c>
      <c r="F279" s="125">
        <v>50000</v>
      </c>
      <c r="G279" s="125">
        <f t="shared" si="9"/>
        <v>9600000</v>
      </c>
      <c r="H279" s="154" t="b">
        <f t="shared" si="7"/>
        <v>1</v>
      </c>
      <c r="I279" s="154"/>
      <c r="J279" s="154"/>
    </row>
    <row r="280" spans="1:10" ht="14.25" x14ac:dyDescent="0.2">
      <c r="A280" s="7" t="s">
        <v>2194</v>
      </c>
      <c r="B280" s="124"/>
      <c r="C280" s="123" t="s">
        <v>3717</v>
      </c>
      <c r="D280" s="124">
        <v>192</v>
      </c>
      <c r="E280" s="124" t="s">
        <v>9</v>
      </c>
      <c r="F280" s="125">
        <v>55000</v>
      </c>
      <c r="G280" s="125">
        <f t="shared" si="9"/>
        <v>10560000</v>
      </c>
      <c r="H280" s="154" t="b">
        <f t="shared" si="7"/>
        <v>1</v>
      </c>
      <c r="I280" s="154"/>
      <c r="J280" s="154"/>
    </row>
    <row r="281" spans="1:10" ht="14.25" x14ac:dyDescent="0.2">
      <c r="A281" s="7" t="s">
        <v>2196</v>
      </c>
      <c r="B281" s="124"/>
      <c r="C281" s="123" t="s">
        <v>3718</v>
      </c>
      <c r="D281" s="124">
        <v>50</v>
      </c>
      <c r="E281" s="124" t="s">
        <v>2198</v>
      </c>
      <c r="F281" s="125">
        <v>220000</v>
      </c>
      <c r="G281" s="125">
        <f t="shared" si="9"/>
        <v>11000000</v>
      </c>
      <c r="H281" s="154" t="b">
        <f t="shared" si="7"/>
        <v>1</v>
      </c>
      <c r="I281" s="154"/>
      <c r="J281" s="154"/>
    </row>
    <row r="282" spans="1:10" ht="14.25" x14ac:dyDescent="0.2">
      <c r="A282" s="7" t="s">
        <v>2199</v>
      </c>
      <c r="B282" s="124"/>
      <c r="C282" s="123" t="s">
        <v>3719</v>
      </c>
      <c r="D282" s="124">
        <v>50</v>
      </c>
      <c r="E282" s="124" t="s">
        <v>2198</v>
      </c>
      <c r="F282" s="125">
        <v>240000</v>
      </c>
      <c r="G282" s="125">
        <f t="shared" si="9"/>
        <v>12000000</v>
      </c>
      <c r="H282" s="154" t="b">
        <f t="shared" si="7"/>
        <v>1</v>
      </c>
      <c r="I282" s="154"/>
      <c r="J282" s="154"/>
    </row>
    <row r="283" spans="1:10" ht="14.25" x14ac:dyDescent="0.2">
      <c r="A283" s="7" t="s">
        <v>2201</v>
      </c>
      <c r="B283" s="124"/>
      <c r="C283" s="123" t="s">
        <v>3720</v>
      </c>
      <c r="D283" s="124">
        <v>800</v>
      </c>
      <c r="E283" s="124" t="s">
        <v>120</v>
      </c>
      <c r="F283" s="125">
        <v>5000</v>
      </c>
      <c r="G283" s="125">
        <f t="shared" si="9"/>
        <v>4000000</v>
      </c>
      <c r="H283" s="154" t="b">
        <f t="shared" si="7"/>
        <v>1</v>
      </c>
      <c r="I283" s="154"/>
      <c r="J283" s="154"/>
    </row>
    <row r="284" spans="1:10" ht="14.25" x14ac:dyDescent="0.2">
      <c r="A284" s="7" t="s">
        <v>2203</v>
      </c>
      <c r="B284" s="124"/>
      <c r="C284" s="123" t="s">
        <v>3721</v>
      </c>
      <c r="D284" s="124">
        <v>50</v>
      </c>
      <c r="E284" s="124" t="s">
        <v>1422</v>
      </c>
      <c r="F284" s="125">
        <v>220000</v>
      </c>
      <c r="G284" s="125">
        <f t="shared" si="9"/>
        <v>11000000</v>
      </c>
      <c r="H284" s="154" t="b">
        <f t="shared" si="7"/>
        <v>1</v>
      </c>
      <c r="I284" s="154"/>
      <c r="J284" s="154"/>
    </row>
    <row r="285" spans="1:10" ht="14.25" x14ac:dyDescent="0.2">
      <c r="A285" s="7" t="s">
        <v>2205</v>
      </c>
      <c r="B285" s="124"/>
      <c r="C285" s="123" t="s">
        <v>3722</v>
      </c>
      <c r="D285" s="124">
        <v>800</v>
      </c>
      <c r="E285" s="124" t="s">
        <v>120</v>
      </c>
      <c r="F285" s="125">
        <v>25000</v>
      </c>
      <c r="G285" s="125">
        <f t="shared" si="9"/>
        <v>20000000</v>
      </c>
      <c r="H285" s="154" t="b">
        <f t="shared" si="7"/>
        <v>1</v>
      </c>
      <c r="I285" s="154"/>
      <c r="J285" s="154"/>
    </row>
    <row r="286" spans="1:10" ht="14.25" x14ac:dyDescent="0.2">
      <c r="A286" s="7" t="s">
        <v>2207</v>
      </c>
      <c r="B286" s="59" t="s">
        <v>2208</v>
      </c>
      <c r="C286" s="38" t="s">
        <v>2209</v>
      </c>
      <c r="D286" s="59"/>
      <c r="E286" s="59"/>
      <c r="F286" s="39"/>
      <c r="G286" s="39">
        <f>SUM(G287,G289)</f>
        <v>148852000</v>
      </c>
      <c r="H286" s="154" t="b">
        <f t="shared" si="7"/>
        <v>1</v>
      </c>
      <c r="I286" s="154"/>
      <c r="J286" s="154"/>
    </row>
    <row r="287" spans="1:10" ht="14.25" x14ac:dyDescent="0.2">
      <c r="A287" s="7" t="s">
        <v>2210</v>
      </c>
      <c r="B287" s="60">
        <v>521114</v>
      </c>
      <c r="C287" s="41" t="s">
        <v>94</v>
      </c>
      <c r="D287" s="60"/>
      <c r="E287" s="60"/>
      <c r="F287" s="42"/>
      <c r="G287" s="42">
        <f>G288</f>
        <v>30000000</v>
      </c>
      <c r="H287" s="154" t="b">
        <f t="shared" si="7"/>
        <v>1</v>
      </c>
      <c r="I287" s="154"/>
      <c r="J287" s="154"/>
    </row>
    <row r="288" spans="1:10" ht="14.25" x14ac:dyDescent="0.2">
      <c r="A288" s="7" t="s">
        <v>2211</v>
      </c>
      <c r="B288" s="124"/>
      <c r="C288" s="123" t="s">
        <v>3723</v>
      </c>
      <c r="D288" s="124">
        <v>12</v>
      </c>
      <c r="E288" s="124" t="s">
        <v>78</v>
      </c>
      <c r="F288" s="125">
        <v>2500000</v>
      </c>
      <c r="G288" s="125">
        <f>ROUNDDOWN(D288*F288,-3)</f>
        <v>30000000</v>
      </c>
      <c r="H288" s="154" t="b">
        <f t="shared" si="7"/>
        <v>1</v>
      </c>
      <c r="I288" s="154"/>
      <c r="J288" s="154"/>
    </row>
    <row r="289" spans="1:10" ht="14.25" x14ac:dyDescent="0.2">
      <c r="A289" s="7" t="s">
        <v>2213</v>
      </c>
      <c r="B289" s="60">
        <v>522141</v>
      </c>
      <c r="C289" s="41" t="s">
        <v>95</v>
      </c>
      <c r="D289" s="60"/>
      <c r="E289" s="60"/>
      <c r="F289" s="42"/>
      <c r="G289" s="42">
        <f>SUM(G290:G291)</f>
        <v>118852000</v>
      </c>
      <c r="H289" s="154" t="b">
        <f t="shared" si="7"/>
        <v>1</v>
      </c>
      <c r="I289" s="154"/>
      <c r="J289" s="154"/>
    </row>
    <row r="290" spans="1:10" ht="14.25" x14ac:dyDescent="0.2">
      <c r="A290" s="7" t="s">
        <v>2214</v>
      </c>
      <c r="B290" s="124"/>
      <c r="C290" s="123" t="s">
        <v>3724</v>
      </c>
      <c r="D290" s="124">
        <v>12</v>
      </c>
      <c r="E290" s="124" t="s">
        <v>78</v>
      </c>
      <c r="F290" s="125">
        <v>5000000</v>
      </c>
      <c r="G290" s="125">
        <f>ROUNDDOWN(D290*F290,-3)</f>
        <v>60000000</v>
      </c>
      <c r="H290" s="154" t="b">
        <f t="shared" si="7"/>
        <v>1</v>
      </c>
      <c r="I290" s="154"/>
      <c r="J290" s="154"/>
    </row>
    <row r="291" spans="1:10" ht="14.25" x14ac:dyDescent="0.2">
      <c r="A291" s="7" t="s">
        <v>2216</v>
      </c>
      <c r="B291" s="124"/>
      <c r="C291" s="123" t="s">
        <v>3725</v>
      </c>
      <c r="D291" s="124">
        <v>1</v>
      </c>
      <c r="E291" s="124" t="s">
        <v>60</v>
      </c>
      <c r="F291" s="125">
        <v>58852000</v>
      </c>
      <c r="G291" s="125">
        <f>ROUNDDOWN(D291*F291,-3)</f>
        <v>58852000</v>
      </c>
      <c r="H291" s="154" t="b">
        <f t="shared" ref="H291:H354" si="10">_xlfn.ISFORMULA(G291)</f>
        <v>1</v>
      </c>
      <c r="I291" s="154"/>
      <c r="J291" s="154"/>
    </row>
    <row r="292" spans="1:10" ht="14.25" x14ac:dyDescent="0.2">
      <c r="A292" s="7" t="s">
        <v>2218</v>
      </c>
      <c r="B292" s="59" t="s">
        <v>2219</v>
      </c>
      <c r="C292" s="38" t="s">
        <v>2220</v>
      </c>
      <c r="D292" s="59"/>
      <c r="E292" s="59"/>
      <c r="F292" s="39"/>
      <c r="G292" s="39">
        <f>SUM(G293,G303)</f>
        <v>533050000</v>
      </c>
      <c r="H292" s="154" t="b">
        <f t="shared" si="10"/>
        <v>1</v>
      </c>
      <c r="I292" s="154"/>
      <c r="J292" s="154"/>
    </row>
    <row r="293" spans="1:10" ht="14.25" x14ac:dyDescent="0.2">
      <c r="A293" s="7" t="s">
        <v>2221</v>
      </c>
      <c r="B293" s="60">
        <v>523121</v>
      </c>
      <c r="C293" s="41" t="s">
        <v>99</v>
      </c>
      <c r="D293" s="60"/>
      <c r="E293" s="60"/>
      <c r="F293" s="42"/>
      <c r="G293" s="42">
        <f>SUM(G294:G302)</f>
        <v>497050000</v>
      </c>
      <c r="H293" s="154" t="b">
        <f t="shared" si="10"/>
        <v>1</v>
      </c>
      <c r="I293" s="154"/>
      <c r="J293" s="154"/>
    </row>
    <row r="294" spans="1:10" ht="25.5" x14ac:dyDescent="0.2">
      <c r="A294" s="7" t="s">
        <v>2222</v>
      </c>
      <c r="B294" s="124"/>
      <c r="C294" s="123" t="s">
        <v>3726</v>
      </c>
      <c r="D294" s="124">
        <v>1</v>
      </c>
      <c r="E294" s="124" t="s">
        <v>44</v>
      </c>
      <c r="F294" s="125">
        <v>38730000</v>
      </c>
      <c r="G294" s="125">
        <f t="shared" ref="G294:G302" si="11">ROUNDDOWN(D294*F294,-3)</f>
        <v>38730000</v>
      </c>
      <c r="H294" s="154" t="b">
        <f t="shared" si="10"/>
        <v>1</v>
      </c>
      <c r="I294" s="154"/>
      <c r="J294" s="154"/>
    </row>
    <row r="295" spans="1:10" ht="14.25" x14ac:dyDescent="0.2">
      <c r="A295" s="7" t="s">
        <v>2224</v>
      </c>
      <c r="B295" s="124"/>
      <c r="C295" s="123" t="s">
        <v>3727</v>
      </c>
      <c r="D295" s="124">
        <v>9</v>
      </c>
      <c r="E295" s="124" t="s">
        <v>3728</v>
      </c>
      <c r="F295" s="125">
        <v>32850000</v>
      </c>
      <c r="G295" s="125">
        <f t="shared" si="11"/>
        <v>295650000</v>
      </c>
      <c r="H295" s="154" t="b">
        <f t="shared" si="10"/>
        <v>1</v>
      </c>
      <c r="I295" s="154"/>
      <c r="J295" s="154"/>
    </row>
    <row r="296" spans="1:10" ht="14.25" x14ac:dyDescent="0.2">
      <c r="A296" s="7" t="s">
        <v>2226</v>
      </c>
      <c r="B296" s="124"/>
      <c r="C296" s="123" t="s">
        <v>3729</v>
      </c>
      <c r="D296" s="124">
        <v>5</v>
      </c>
      <c r="E296" s="124" t="s">
        <v>42</v>
      </c>
      <c r="F296" s="125">
        <v>3640000</v>
      </c>
      <c r="G296" s="125">
        <f t="shared" si="11"/>
        <v>18200000</v>
      </c>
      <c r="H296" s="154" t="b">
        <f t="shared" si="10"/>
        <v>1</v>
      </c>
      <c r="I296" s="154"/>
      <c r="J296" s="154"/>
    </row>
    <row r="297" spans="1:10" ht="14.25" x14ac:dyDescent="0.2">
      <c r="A297" s="7" t="s">
        <v>2228</v>
      </c>
      <c r="B297" s="124"/>
      <c r="C297" s="123" t="s">
        <v>3730</v>
      </c>
      <c r="D297" s="124">
        <v>40</v>
      </c>
      <c r="E297" s="124" t="s">
        <v>42</v>
      </c>
      <c r="F297" s="125">
        <v>730000</v>
      </c>
      <c r="G297" s="125">
        <f t="shared" si="11"/>
        <v>29200000</v>
      </c>
      <c r="H297" s="154" t="b">
        <f t="shared" si="10"/>
        <v>1</v>
      </c>
      <c r="I297" s="154"/>
      <c r="J297" s="154"/>
    </row>
    <row r="298" spans="1:10" ht="14.25" x14ac:dyDescent="0.2">
      <c r="A298" s="7" t="s">
        <v>2229</v>
      </c>
      <c r="B298" s="124"/>
      <c r="C298" s="123" t="s">
        <v>3731</v>
      </c>
      <c r="D298" s="124">
        <v>35</v>
      </c>
      <c r="E298" s="124" t="s">
        <v>44</v>
      </c>
      <c r="F298" s="125">
        <v>730000</v>
      </c>
      <c r="G298" s="125">
        <f t="shared" si="11"/>
        <v>25550000</v>
      </c>
      <c r="H298" s="154" t="b">
        <f t="shared" si="10"/>
        <v>1</v>
      </c>
      <c r="I298" s="154"/>
      <c r="J298" s="154"/>
    </row>
    <row r="299" spans="1:10" ht="14.25" x14ac:dyDescent="0.2">
      <c r="A299" s="7" t="s">
        <v>2230</v>
      </c>
      <c r="B299" s="124"/>
      <c r="C299" s="123" t="s">
        <v>3732</v>
      </c>
      <c r="D299" s="124">
        <v>35</v>
      </c>
      <c r="E299" s="124" t="s">
        <v>44</v>
      </c>
      <c r="F299" s="125">
        <v>690000</v>
      </c>
      <c r="G299" s="125">
        <f t="shared" si="11"/>
        <v>24150000</v>
      </c>
      <c r="H299" s="154" t="b">
        <f t="shared" si="10"/>
        <v>1</v>
      </c>
      <c r="I299" s="154"/>
      <c r="J299" s="154"/>
    </row>
    <row r="300" spans="1:10" ht="14.25" x14ac:dyDescent="0.2">
      <c r="A300" s="7" t="s">
        <v>2231</v>
      </c>
      <c r="B300" s="124"/>
      <c r="C300" s="123" t="s">
        <v>3733</v>
      </c>
      <c r="D300" s="124">
        <v>3</v>
      </c>
      <c r="E300" s="124" t="s">
        <v>44</v>
      </c>
      <c r="F300" s="125">
        <v>3500000</v>
      </c>
      <c r="G300" s="125">
        <f t="shared" si="11"/>
        <v>10500000</v>
      </c>
      <c r="H300" s="154" t="b">
        <f t="shared" si="10"/>
        <v>1</v>
      </c>
      <c r="I300" s="154"/>
      <c r="J300" s="154"/>
    </row>
    <row r="301" spans="1:10" ht="14.25" x14ac:dyDescent="0.2">
      <c r="A301" s="7" t="s">
        <v>2232</v>
      </c>
      <c r="B301" s="124"/>
      <c r="C301" s="123" t="s">
        <v>3734</v>
      </c>
      <c r="D301" s="124">
        <v>6</v>
      </c>
      <c r="E301" s="124" t="s">
        <v>44</v>
      </c>
      <c r="F301" s="125">
        <v>470000</v>
      </c>
      <c r="G301" s="125">
        <f t="shared" si="11"/>
        <v>2820000</v>
      </c>
      <c r="H301" s="154" t="b">
        <f t="shared" si="10"/>
        <v>1</v>
      </c>
      <c r="I301" s="154"/>
      <c r="J301" s="154"/>
    </row>
    <row r="302" spans="1:10" ht="14.25" x14ac:dyDescent="0.2">
      <c r="A302" s="7" t="s">
        <v>2234</v>
      </c>
      <c r="B302" s="124"/>
      <c r="C302" s="123" t="s">
        <v>3735</v>
      </c>
      <c r="D302" s="124">
        <v>1</v>
      </c>
      <c r="E302" s="124" t="s">
        <v>60</v>
      </c>
      <c r="F302" s="125">
        <v>52250000</v>
      </c>
      <c r="G302" s="125">
        <f t="shared" si="11"/>
        <v>52250000</v>
      </c>
      <c r="H302" s="154" t="b">
        <f t="shared" si="10"/>
        <v>1</v>
      </c>
      <c r="I302" s="154"/>
      <c r="J302" s="154"/>
    </row>
    <row r="303" spans="1:10" ht="14.25" x14ac:dyDescent="0.2">
      <c r="A303" s="7" t="s">
        <v>2235</v>
      </c>
      <c r="B303" s="60">
        <v>523199</v>
      </c>
      <c r="C303" s="41" t="s">
        <v>102</v>
      </c>
      <c r="D303" s="60"/>
      <c r="E303" s="60"/>
      <c r="F303" s="42"/>
      <c r="G303" s="42">
        <f>G304</f>
        <v>36000000</v>
      </c>
      <c r="H303" s="154" t="b">
        <f t="shared" si="10"/>
        <v>1</v>
      </c>
      <c r="I303" s="154"/>
      <c r="J303" s="154"/>
    </row>
    <row r="304" spans="1:10" ht="14.25" x14ac:dyDescent="0.2">
      <c r="A304" s="7" t="s">
        <v>2236</v>
      </c>
      <c r="B304" s="124"/>
      <c r="C304" s="123" t="s">
        <v>3736</v>
      </c>
      <c r="D304" s="124">
        <v>24</v>
      </c>
      <c r="E304" s="124" t="s">
        <v>96</v>
      </c>
      <c r="F304" s="125">
        <v>1500000</v>
      </c>
      <c r="G304" s="125">
        <f>ROUNDDOWN(D304*F304,-3)</f>
        <v>36000000</v>
      </c>
      <c r="H304" s="154" t="b">
        <f t="shared" si="10"/>
        <v>1</v>
      </c>
      <c r="I304" s="154"/>
      <c r="J304" s="154"/>
    </row>
    <row r="305" spans="1:10" ht="25.5" x14ac:dyDescent="0.2">
      <c r="A305" s="7" t="s">
        <v>2238</v>
      </c>
      <c r="B305" s="59" t="s">
        <v>2239</v>
      </c>
      <c r="C305" s="38" t="s">
        <v>2240</v>
      </c>
      <c r="D305" s="59"/>
      <c r="E305" s="59"/>
      <c r="F305" s="39"/>
      <c r="G305" s="39">
        <f>SUM(G306,G309)</f>
        <v>159376000</v>
      </c>
      <c r="H305" s="154" t="b">
        <f t="shared" si="10"/>
        <v>1</v>
      </c>
      <c r="I305" s="154"/>
      <c r="J305" s="154"/>
    </row>
    <row r="306" spans="1:10" ht="14.25" x14ac:dyDescent="0.2">
      <c r="A306" s="7" t="s">
        <v>2241</v>
      </c>
      <c r="B306" s="60">
        <v>521111</v>
      </c>
      <c r="C306" s="41" t="s">
        <v>90</v>
      </c>
      <c r="D306" s="60"/>
      <c r="E306" s="60"/>
      <c r="F306" s="42"/>
      <c r="G306" s="42">
        <f>SUM(G307:G308)</f>
        <v>101040000</v>
      </c>
      <c r="H306" s="154" t="b">
        <f t="shared" si="10"/>
        <v>1</v>
      </c>
      <c r="I306" s="154"/>
      <c r="J306" s="154"/>
    </row>
    <row r="307" spans="1:10" s="156" customFormat="1" ht="14.25" x14ac:dyDescent="0.2">
      <c r="A307" s="155" t="s">
        <v>2242</v>
      </c>
      <c r="B307" s="124"/>
      <c r="C307" s="123" t="s">
        <v>3737</v>
      </c>
      <c r="D307" s="124">
        <v>100</v>
      </c>
      <c r="E307" s="124" t="s">
        <v>2244</v>
      </c>
      <c r="F307" s="125">
        <v>857000</v>
      </c>
      <c r="G307" s="125">
        <f>ROUNDDOWN(D307*F307,-3)</f>
        <v>85700000</v>
      </c>
      <c r="H307" s="154" t="b">
        <f t="shared" si="10"/>
        <v>1</v>
      </c>
      <c r="I307" s="154"/>
      <c r="J307" s="154"/>
    </row>
    <row r="308" spans="1:10" ht="14.25" x14ac:dyDescent="0.2">
      <c r="A308" s="7" t="s">
        <v>2245</v>
      </c>
      <c r="B308" s="124"/>
      <c r="C308" s="123" t="s">
        <v>3738</v>
      </c>
      <c r="D308" s="124">
        <v>26</v>
      </c>
      <c r="E308" s="124" t="s">
        <v>121</v>
      </c>
      <c r="F308" s="125">
        <v>590000</v>
      </c>
      <c r="G308" s="125">
        <f>ROUNDDOWN(D308*F308,-3)</f>
        <v>15340000</v>
      </c>
      <c r="H308" s="154" t="b">
        <f t="shared" si="10"/>
        <v>1</v>
      </c>
      <c r="I308" s="154"/>
      <c r="J308" s="154"/>
    </row>
    <row r="309" spans="1:10" ht="14.25" x14ac:dyDescent="0.2">
      <c r="A309" s="7" t="s">
        <v>2247</v>
      </c>
      <c r="B309" s="60">
        <v>521115</v>
      </c>
      <c r="C309" s="41" t="s">
        <v>104</v>
      </c>
      <c r="D309" s="60"/>
      <c r="E309" s="60"/>
      <c r="F309" s="42"/>
      <c r="G309" s="42">
        <f>SUM(G310:G319)</f>
        <v>58336000</v>
      </c>
      <c r="H309" s="154" t="b">
        <f t="shared" si="10"/>
        <v>1</v>
      </c>
      <c r="I309" s="154"/>
      <c r="J309" s="154"/>
    </row>
    <row r="310" spans="1:10" ht="14.25" x14ac:dyDescent="0.2">
      <c r="A310" s="7" t="s">
        <v>2248</v>
      </c>
      <c r="B310" s="124"/>
      <c r="C310" s="123" t="s">
        <v>3739</v>
      </c>
      <c r="D310" s="124">
        <v>12</v>
      </c>
      <c r="E310" s="124" t="s">
        <v>32</v>
      </c>
      <c r="F310" s="125">
        <v>2920000</v>
      </c>
      <c r="G310" s="125">
        <f t="shared" ref="G310:G319" si="12">ROUNDDOWN(D310*F310,-3)</f>
        <v>35040000</v>
      </c>
      <c r="H310" s="154" t="b">
        <f t="shared" si="10"/>
        <v>1</v>
      </c>
      <c r="I310" s="154"/>
      <c r="J310" s="154"/>
    </row>
    <row r="311" spans="1:10" ht="25.5" x14ac:dyDescent="0.2">
      <c r="A311" s="7" t="s">
        <v>2250</v>
      </c>
      <c r="B311" s="124"/>
      <c r="C311" s="123" t="s">
        <v>3740</v>
      </c>
      <c r="D311" s="124">
        <v>12</v>
      </c>
      <c r="E311" s="124" t="s">
        <v>32</v>
      </c>
      <c r="F311" s="125">
        <v>324000</v>
      </c>
      <c r="G311" s="125">
        <f t="shared" si="12"/>
        <v>3888000</v>
      </c>
      <c r="H311" s="154" t="b">
        <f t="shared" si="10"/>
        <v>1</v>
      </c>
      <c r="I311" s="154"/>
      <c r="J311" s="154"/>
    </row>
    <row r="312" spans="1:10" ht="14.25" x14ac:dyDescent="0.2">
      <c r="A312" s="7" t="s">
        <v>2252</v>
      </c>
      <c r="B312" s="124"/>
      <c r="C312" s="123" t="s">
        <v>3741</v>
      </c>
      <c r="D312" s="124">
        <v>12</v>
      </c>
      <c r="E312" s="124" t="s">
        <v>32</v>
      </c>
      <c r="F312" s="125">
        <v>324000</v>
      </c>
      <c r="G312" s="125">
        <f t="shared" si="12"/>
        <v>3888000</v>
      </c>
      <c r="H312" s="154" t="b">
        <f t="shared" si="10"/>
        <v>1</v>
      </c>
      <c r="I312" s="154"/>
      <c r="J312" s="154"/>
    </row>
    <row r="313" spans="1:10" s="156" customFormat="1" ht="25.5" x14ac:dyDescent="0.2">
      <c r="A313" s="155" t="s">
        <v>2254</v>
      </c>
      <c r="B313" s="124"/>
      <c r="C313" s="123" t="s">
        <v>3742</v>
      </c>
      <c r="D313" s="124">
        <v>12</v>
      </c>
      <c r="E313" s="124" t="s">
        <v>32</v>
      </c>
      <c r="F313" s="125">
        <v>680000</v>
      </c>
      <c r="G313" s="125">
        <f t="shared" si="12"/>
        <v>8160000</v>
      </c>
      <c r="H313" s="154" t="b">
        <f t="shared" si="10"/>
        <v>1</v>
      </c>
      <c r="I313" s="154"/>
      <c r="J313" s="154"/>
    </row>
    <row r="314" spans="1:10" ht="14.25" x14ac:dyDescent="0.2">
      <c r="A314" s="7" t="s">
        <v>2256</v>
      </c>
      <c r="B314" s="124"/>
      <c r="C314" s="123" t="s">
        <v>3743</v>
      </c>
      <c r="D314" s="124">
        <v>12</v>
      </c>
      <c r="E314" s="124" t="s">
        <v>32</v>
      </c>
      <c r="F314" s="125">
        <v>200000</v>
      </c>
      <c r="G314" s="125">
        <f t="shared" si="12"/>
        <v>2400000</v>
      </c>
      <c r="H314" s="154" t="b">
        <f t="shared" si="10"/>
        <v>1</v>
      </c>
      <c r="I314" s="154"/>
      <c r="J314" s="154"/>
    </row>
    <row r="315" spans="1:10" ht="14.25" x14ac:dyDescent="0.2">
      <c r="A315" s="7" t="s">
        <v>2258</v>
      </c>
      <c r="B315" s="124"/>
      <c r="C315" s="123" t="s">
        <v>3744</v>
      </c>
      <c r="D315" s="124">
        <v>12</v>
      </c>
      <c r="E315" s="124" t="s">
        <v>32</v>
      </c>
      <c r="F315" s="125">
        <v>80000</v>
      </c>
      <c r="G315" s="125">
        <f t="shared" si="12"/>
        <v>960000</v>
      </c>
      <c r="H315" s="154" t="b">
        <f t="shared" si="10"/>
        <v>1</v>
      </c>
      <c r="I315" s="154"/>
      <c r="J315" s="154"/>
    </row>
    <row r="316" spans="1:10" ht="14.25" x14ac:dyDescent="0.2">
      <c r="A316" s="7" t="s">
        <v>2260</v>
      </c>
      <c r="B316" s="124"/>
      <c r="C316" s="123" t="s">
        <v>3745</v>
      </c>
      <c r="D316" s="124">
        <v>12</v>
      </c>
      <c r="E316" s="124" t="s">
        <v>32</v>
      </c>
      <c r="F316" s="125">
        <v>200000</v>
      </c>
      <c r="G316" s="125">
        <f t="shared" si="12"/>
        <v>2400000</v>
      </c>
      <c r="H316" s="154" t="b">
        <f t="shared" si="10"/>
        <v>1</v>
      </c>
      <c r="I316" s="154"/>
      <c r="J316" s="154"/>
    </row>
    <row r="317" spans="1:10" ht="14.25" x14ac:dyDescent="0.2">
      <c r="A317" s="7" t="s">
        <v>2262</v>
      </c>
      <c r="B317" s="124"/>
      <c r="C317" s="123" t="s">
        <v>3746</v>
      </c>
      <c r="D317" s="124">
        <v>1</v>
      </c>
      <c r="E317" s="124" t="s">
        <v>776</v>
      </c>
      <c r="F317" s="125">
        <v>400000</v>
      </c>
      <c r="G317" s="125">
        <f t="shared" si="12"/>
        <v>400000</v>
      </c>
      <c r="H317" s="154" t="b">
        <f t="shared" si="10"/>
        <v>1</v>
      </c>
      <c r="I317" s="154"/>
      <c r="J317" s="154"/>
    </row>
    <row r="318" spans="1:10" s="156" customFormat="1" ht="14.25" x14ac:dyDescent="0.2">
      <c r="A318" s="155" t="s">
        <v>2264</v>
      </c>
      <c r="B318" s="124"/>
      <c r="C318" s="123" t="s">
        <v>3747</v>
      </c>
      <c r="D318" s="124">
        <v>1</v>
      </c>
      <c r="E318" s="124" t="s">
        <v>25</v>
      </c>
      <c r="F318" s="125">
        <v>300000</v>
      </c>
      <c r="G318" s="125">
        <f t="shared" si="12"/>
        <v>300000</v>
      </c>
      <c r="H318" s="154" t="b">
        <f t="shared" si="10"/>
        <v>1</v>
      </c>
      <c r="I318" s="154"/>
      <c r="J318" s="154"/>
    </row>
    <row r="319" spans="1:10" ht="25.5" x14ac:dyDescent="0.2">
      <c r="A319" s="7" t="s">
        <v>2266</v>
      </c>
      <c r="B319" s="124"/>
      <c r="C319" s="123" t="s">
        <v>3748</v>
      </c>
      <c r="D319" s="124">
        <v>3</v>
      </c>
      <c r="E319" s="124" t="s">
        <v>25</v>
      </c>
      <c r="F319" s="125">
        <v>300000</v>
      </c>
      <c r="G319" s="125">
        <f t="shared" si="12"/>
        <v>900000</v>
      </c>
      <c r="H319" s="154" t="b">
        <f t="shared" si="10"/>
        <v>1</v>
      </c>
      <c r="I319" s="154"/>
      <c r="J319" s="154"/>
    </row>
    <row r="320" spans="1:10" ht="14.25" x14ac:dyDescent="0.2">
      <c r="A320" s="7" t="s">
        <v>3749</v>
      </c>
      <c r="B320" s="59" t="s">
        <v>3750</v>
      </c>
      <c r="C320" s="38" t="s">
        <v>3751</v>
      </c>
      <c r="D320" s="59"/>
      <c r="E320" s="59"/>
      <c r="F320" s="39"/>
      <c r="G320" s="39">
        <f>SUM(G321,G326,G331)</f>
        <v>100000000</v>
      </c>
      <c r="H320" s="154" t="b">
        <f t="shared" si="10"/>
        <v>1</v>
      </c>
      <c r="I320" s="154"/>
      <c r="J320" s="154"/>
    </row>
    <row r="321" spans="1:10" ht="14.25" x14ac:dyDescent="0.2">
      <c r="A321" s="7" t="s">
        <v>3752</v>
      </c>
      <c r="B321" s="60">
        <v>521111</v>
      </c>
      <c r="C321" s="41" t="s">
        <v>90</v>
      </c>
      <c r="D321" s="60"/>
      <c r="E321" s="60"/>
      <c r="F321" s="42"/>
      <c r="G321" s="42">
        <f>SUM(G322:G325)</f>
        <v>45000000</v>
      </c>
      <c r="H321" s="154" t="b">
        <f t="shared" si="10"/>
        <v>1</v>
      </c>
      <c r="I321" s="154"/>
      <c r="J321" s="154"/>
    </row>
    <row r="322" spans="1:10" ht="14.25" x14ac:dyDescent="0.2">
      <c r="A322" s="7" t="s">
        <v>3753</v>
      </c>
      <c r="B322" s="124"/>
      <c r="C322" s="123" t="s">
        <v>3754</v>
      </c>
      <c r="D322" s="124">
        <v>1</v>
      </c>
      <c r="E322" s="124" t="s">
        <v>60</v>
      </c>
      <c r="F322" s="125">
        <v>3000000</v>
      </c>
      <c r="G322" s="125">
        <f>ROUNDDOWN(D322*F322,-3)</f>
        <v>3000000</v>
      </c>
      <c r="H322" s="154" t="b">
        <f t="shared" si="10"/>
        <v>1</v>
      </c>
      <c r="I322" s="154"/>
      <c r="J322" s="154"/>
    </row>
    <row r="323" spans="1:10" s="156" customFormat="1" ht="14.25" x14ac:dyDescent="0.2">
      <c r="A323" s="155" t="s">
        <v>3755</v>
      </c>
      <c r="B323" s="124"/>
      <c r="C323" s="123" t="s">
        <v>3756</v>
      </c>
      <c r="D323" s="124">
        <v>48</v>
      </c>
      <c r="E323" s="124" t="s">
        <v>58</v>
      </c>
      <c r="F323" s="125">
        <v>500000</v>
      </c>
      <c r="G323" s="125">
        <f>ROUNDDOWN(D323*F323,-3)</f>
        <v>24000000</v>
      </c>
      <c r="H323" s="154" t="b">
        <f t="shared" si="10"/>
        <v>1</v>
      </c>
      <c r="I323" s="154"/>
      <c r="J323" s="154"/>
    </row>
    <row r="324" spans="1:10" ht="14.25" x14ac:dyDescent="0.2">
      <c r="A324" s="7" t="s">
        <v>3757</v>
      </c>
      <c r="B324" s="124"/>
      <c r="C324" s="123" t="s">
        <v>3758</v>
      </c>
      <c r="D324" s="124">
        <v>12</v>
      </c>
      <c r="E324" s="124" t="s">
        <v>78</v>
      </c>
      <c r="F324" s="125">
        <v>500000</v>
      </c>
      <c r="G324" s="125">
        <f>ROUNDDOWN(D324*F324,-3)</f>
        <v>6000000</v>
      </c>
      <c r="H324" s="154" t="b">
        <f t="shared" si="10"/>
        <v>1</v>
      </c>
      <c r="I324" s="154"/>
      <c r="J324" s="154"/>
    </row>
    <row r="325" spans="1:10" ht="14.25" x14ac:dyDescent="0.2">
      <c r="A325" s="7" t="s">
        <v>3759</v>
      </c>
      <c r="B325" s="124"/>
      <c r="C325" s="123" t="s">
        <v>3760</v>
      </c>
      <c r="D325" s="124">
        <v>60</v>
      </c>
      <c r="E325" s="124" t="s">
        <v>116</v>
      </c>
      <c r="F325" s="125">
        <v>200000</v>
      </c>
      <c r="G325" s="125">
        <f>ROUNDDOWN(D325*F325,-3)</f>
        <v>12000000</v>
      </c>
      <c r="H325" s="154" t="b">
        <f t="shared" si="10"/>
        <v>1</v>
      </c>
      <c r="I325" s="154"/>
      <c r="J325" s="154"/>
    </row>
    <row r="326" spans="1:10" ht="14.25" x14ac:dyDescent="0.2">
      <c r="A326" s="7" t="s">
        <v>3761</v>
      </c>
      <c r="B326" s="60">
        <v>521811</v>
      </c>
      <c r="C326" s="41" t="s">
        <v>64</v>
      </c>
      <c r="D326" s="60"/>
      <c r="E326" s="60"/>
      <c r="F326" s="42"/>
      <c r="G326" s="42">
        <f>SUM(G327:G330)</f>
        <v>26000000</v>
      </c>
      <c r="H326" s="154" t="b">
        <f t="shared" si="10"/>
        <v>1</v>
      </c>
      <c r="I326" s="154"/>
      <c r="J326" s="154"/>
    </row>
    <row r="327" spans="1:10" ht="14.25" x14ac:dyDescent="0.2">
      <c r="A327" s="7" t="s">
        <v>3762</v>
      </c>
      <c r="B327" s="124"/>
      <c r="C327" s="123" t="s">
        <v>3595</v>
      </c>
      <c r="D327" s="124">
        <v>8</v>
      </c>
      <c r="E327" s="124" t="s">
        <v>9</v>
      </c>
      <c r="F327" s="125">
        <v>1000000</v>
      </c>
      <c r="G327" s="125">
        <f>ROUNDDOWN(D327*F327,-3)</f>
        <v>8000000</v>
      </c>
      <c r="H327" s="154" t="b">
        <f t="shared" si="10"/>
        <v>1</v>
      </c>
      <c r="I327" s="154"/>
      <c r="J327" s="154"/>
    </row>
    <row r="328" spans="1:10" ht="14.25" x14ac:dyDescent="0.2">
      <c r="A328" s="7" t="s">
        <v>3763</v>
      </c>
      <c r="B328" s="124"/>
      <c r="C328" s="123" t="s">
        <v>3596</v>
      </c>
      <c r="D328" s="124">
        <v>8</v>
      </c>
      <c r="E328" s="124" t="s">
        <v>9</v>
      </c>
      <c r="F328" s="125">
        <v>1500000</v>
      </c>
      <c r="G328" s="125">
        <f>ROUNDDOWN(D328*F328,-3)</f>
        <v>12000000</v>
      </c>
      <c r="H328" s="154" t="b">
        <f t="shared" si="10"/>
        <v>1</v>
      </c>
      <c r="I328" s="154"/>
      <c r="J328" s="154"/>
    </row>
    <row r="329" spans="1:10" ht="14.25" x14ac:dyDescent="0.2">
      <c r="A329" s="7" t="s">
        <v>3764</v>
      </c>
      <c r="B329" s="124"/>
      <c r="C329" s="123" t="s">
        <v>3765</v>
      </c>
      <c r="D329" s="124">
        <v>200</v>
      </c>
      <c r="E329" s="124" t="s">
        <v>120</v>
      </c>
      <c r="F329" s="125">
        <v>5000</v>
      </c>
      <c r="G329" s="125">
        <f>ROUNDDOWN(D329*F329,-3)</f>
        <v>1000000</v>
      </c>
      <c r="H329" s="154" t="b">
        <f t="shared" si="10"/>
        <v>1</v>
      </c>
      <c r="I329" s="154"/>
      <c r="J329" s="154"/>
    </row>
    <row r="330" spans="1:10" s="156" customFormat="1" ht="14.25" x14ac:dyDescent="0.2">
      <c r="A330" s="155" t="s">
        <v>3766</v>
      </c>
      <c r="B330" s="124"/>
      <c r="C330" s="123" t="s">
        <v>3767</v>
      </c>
      <c r="D330" s="124">
        <v>200</v>
      </c>
      <c r="E330" s="124" t="s">
        <v>120</v>
      </c>
      <c r="F330" s="125">
        <v>25000</v>
      </c>
      <c r="G330" s="125">
        <f>ROUNDDOWN(D330*F330,-3)</f>
        <v>5000000</v>
      </c>
      <c r="H330" s="154" t="b">
        <f t="shared" si="10"/>
        <v>1</v>
      </c>
      <c r="I330" s="154"/>
      <c r="J330" s="154"/>
    </row>
    <row r="331" spans="1:10" ht="14.25" x14ac:dyDescent="0.2">
      <c r="A331" s="7" t="s">
        <v>3768</v>
      </c>
      <c r="B331" s="60">
        <v>523121</v>
      </c>
      <c r="C331" s="41" t="s">
        <v>99</v>
      </c>
      <c r="D331" s="60"/>
      <c r="E331" s="60"/>
      <c r="F331" s="42"/>
      <c r="G331" s="42">
        <f>SUM(G332:G336)</f>
        <v>29000000</v>
      </c>
      <c r="H331" s="154" t="b">
        <f t="shared" si="10"/>
        <v>1</v>
      </c>
      <c r="I331" s="154"/>
      <c r="J331" s="154"/>
    </row>
    <row r="332" spans="1:10" s="156" customFormat="1" ht="14.25" x14ac:dyDescent="0.2">
      <c r="A332" s="155" t="s">
        <v>3769</v>
      </c>
      <c r="B332" s="124"/>
      <c r="C332" s="123" t="s">
        <v>3770</v>
      </c>
      <c r="D332" s="124">
        <v>1</v>
      </c>
      <c r="E332" s="124" t="s">
        <v>42</v>
      </c>
      <c r="F332" s="125">
        <v>7200000</v>
      </c>
      <c r="G332" s="125">
        <f>ROUNDDOWN(D332*F332,-3)</f>
        <v>7200000</v>
      </c>
      <c r="H332" s="154" t="b">
        <f t="shared" si="10"/>
        <v>1</v>
      </c>
      <c r="I332" s="154"/>
      <c r="J332" s="154"/>
    </row>
    <row r="333" spans="1:10" ht="14.25" x14ac:dyDescent="0.2">
      <c r="A333" s="7" t="s">
        <v>3771</v>
      </c>
      <c r="B333" s="124"/>
      <c r="C333" s="123" t="s">
        <v>3772</v>
      </c>
      <c r="D333" s="124">
        <v>10</v>
      </c>
      <c r="E333" s="124" t="s">
        <v>42</v>
      </c>
      <c r="F333" s="125">
        <v>730000</v>
      </c>
      <c r="G333" s="125">
        <f>ROUNDDOWN(D333*F333,-3)</f>
        <v>7300000</v>
      </c>
      <c r="H333" s="154" t="b">
        <f t="shared" si="10"/>
        <v>1</v>
      </c>
      <c r="I333" s="154"/>
      <c r="J333" s="154"/>
    </row>
    <row r="334" spans="1:10" ht="14.25" x14ac:dyDescent="0.2">
      <c r="A334" s="7" t="s">
        <v>3773</v>
      </c>
      <c r="B334" s="124"/>
      <c r="C334" s="123" t="s">
        <v>3774</v>
      </c>
      <c r="D334" s="124">
        <v>10</v>
      </c>
      <c r="E334" s="124" t="s">
        <v>44</v>
      </c>
      <c r="F334" s="125">
        <v>730000</v>
      </c>
      <c r="G334" s="125">
        <f>ROUNDDOWN(D334*F334,-3)</f>
        <v>7300000</v>
      </c>
      <c r="H334" s="154" t="b">
        <f t="shared" si="10"/>
        <v>1</v>
      </c>
      <c r="I334" s="154"/>
      <c r="J334" s="154"/>
    </row>
    <row r="335" spans="1:10" ht="14.25" x14ac:dyDescent="0.2">
      <c r="A335" s="7" t="s">
        <v>3775</v>
      </c>
      <c r="B335" s="124"/>
      <c r="C335" s="123" t="s">
        <v>3776</v>
      </c>
      <c r="D335" s="124">
        <v>10</v>
      </c>
      <c r="E335" s="124" t="s">
        <v>44</v>
      </c>
      <c r="F335" s="125">
        <v>690000</v>
      </c>
      <c r="G335" s="125">
        <f>ROUNDDOWN(D335*F335,-3)</f>
        <v>6900000</v>
      </c>
      <c r="H335" s="154" t="b">
        <f t="shared" si="10"/>
        <v>1</v>
      </c>
      <c r="I335" s="154"/>
      <c r="J335" s="154"/>
    </row>
    <row r="336" spans="1:10" ht="14.25" x14ac:dyDescent="0.2">
      <c r="A336" s="7" t="s">
        <v>3777</v>
      </c>
      <c r="B336" s="124"/>
      <c r="C336" s="123" t="s">
        <v>3778</v>
      </c>
      <c r="D336" s="124">
        <v>1</v>
      </c>
      <c r="E336" s="124" t="s">
        <v>60</v>
      </c>
      <c r="F336" s="125">
        <v>300000</v>
      </c>
      <c r="G336" s="125">
        <f>ROUNDDOWN(D336*F336,-3)</f>
        <v>300000</v>
      </c>
      <c r="H336" s="154" t="b">
        <f t="shared" si="10"/>
        <v>1</v>
      </c>
      <c r="I336" s="154"/>
      <c r="J336" s="154"/>
    </row>
    <row r="337" spans="1:10" ht="14.25" x14ac:dyDescent="0.2">
      <c r="A337" s="7" t="s">
        <v>2268</v>
      </c>
      <c r="B337" s="116" t="s">
        <v>2269</v>
      </c>
      <c r="C337" s="114" t="s">
        <v>2270</v>
      </c>
      <c r="D337" s="116">
        <v>2</v>
      </c>
      <c r="E337" s="116" t="s">
        <v>42</v>
      </c>
      <c r="F337" s="117"/>
      <c r="G337" s="117">
        <f>G338</f>
        <v>540934000</v>
      </c>
      <c r="H337" s="154" t="b">
        <f t="shared" si="10"/>
        <v>1</v>
      </c>
      <c r="I337" s="154"/>
      <c r="J337" s="154"/>
    </row>
    <row r="338" spans="1:10" ht="14.25" x14ac:dyDescent="0.2">
      <c r="A338" s="7" t="s">
        <v>2271</v>
      </c>
      <c r="B338" s="119" t="s">
        <v>3779</v>
      </c>
      <c r="C338" s="118" t="s">
        <v>2273</v>
      </c>
      <c r="D338" s="119">
        <v>1</v>
      </c>
      <c r="E338" s="119" t="s">
        <v>42</v>
      </c>
      <c r="F338" s="120"/>
      <c r="G338" s="120">
        <f>G339</f>
        <v>540934000</v>
      </c>
      <c r="H338" s="154" t="b">
        <f t="shared" si="10"/>
        <v>1</v>
      </c>
      <c r="I338" s="154"/>
      <c r="J338" s="154"/>
    </row>
    <row r="339" spans="1:10" ht="25.5" x14ac:dyDescent="0.2">
      <c r="A339" s="7" t="s">
        <v>2289</v>
      </c>
      <c r="B339" s="58">
        <v>301</v>
      </c>
      <c r="C339" s="35" t="s">
        <v>2290</v>
      </c>
      <c r="D339" s="58"/>
      <c r="E339" s="58"/>
      <c r="F339" s="36"/>
      <c r="G339" s="36">
        <f>G340</f>
        <v>540934000</v>
      </c>
      <c r="H339" s="154" t="b">
        <f t="shared" si="10"/>
        <v>1</v>
      </c>
      <c r="I339" s="154"/>
      <c r="J339" s="154"/>
    </row>
    <row r="340" spans="1:10" ht="14.25" x14ac:dyDescent="0.2">
      <c r="A340" s="7" t="s">
        <v>2291</v>
      </c>
      <c r="B340" s="59" t="s">
        <v>8</v>
      </c>
      <c r="C340" s="38" t="s">
        <v>2292</v>
      </c>
      <c r="D340" s="59"/>
      <c r="E340" s="59"/>
      <c r="F340" s="39"/>
      <c r="G340" s="39">
        <f>G341</f>
        <v>540934000</v>
      </c>
      <c r="H340" s="154" t="b">
        <f t="shared" si="10"/>
        <v>1</v>
      </c>
      <c r="I340" s="154"/>
      <c r="J340" s="154"/>
    </row>
    <row r="341" spans="1:10" ht="14.25" x14ac:dyDescent="0.2">
      <c r="A341" s="7" t="s">
        <v>2293</v>
      </c>
      <c r="B341" s="60">
        <v>532111</v>
      </c>
      <c r="C341" s="41" t="s">
        <v>43</v>
      </c>
      <c r="D341" s="60"/>
      <c r="E341" s="60"/>
      <c r="F341" s="42"/>
      <c r="G341" s="42">
        <f>G342</f>
        <v>540934000</v>
      </c>
      <c r="H341" s="154" t="b">
        <f t="shared" si="10"/>
        <v>1</v>
      </c>
      <c r="I341" s="154"/>
      <c r="J341" s="154"/>
    </row>
    <row r="342" spans="1:10" ht="14.25" x14ac:dyDescent="0.2">
      <c r="A342" s="7" t="s">
        <v>2294</v>
      </c>
      <c r="B342" s="124"/>
      <c r="C342" s="123" t="s">
        <v>3780</v>
      </c>
      <c r="D342" s="124">
        <v>1</v>
      </c>
      <c r="E342" s="124" t="s">
        <v>42</v>
      </c>
      <c r="F342" s="125">
        <v>540934000</v>
      </c>
      <c r="G342" s="125">
        <f>ROUNDDOWN(D342*F342,-3)</f>
        <v>540934000</v>
      </c>
      <c r="H342" s="154" t="b">
        <f t="shared" si="10"/>
        <v>1</v>
      </c>
      <c r="I342" s="154"/>
      <c r="J342" s="154"/>
    </row>
    <row r="343" spans="1:10" ht="14.25" x14ac:dyDescent="0.2">
      <c r="A343" s="7" t="s">
        <v>2465</v>
      </c>
      <c r="B343" s="116" t="s">
        <v>2466</v>
      </c>
      <c r="C343" s="114" t="s">
        <v>2467</v>
      </c>
      <c r="D343" s="116">
        <v>5</v>
      </c>
      <c r="E343" s="116" t="s">
        <v>3782</v>
      </c>
      <c r="F343" s="117"/>
      <c r="G343" s="117">
        <f>SUM(G344,G384,G426)</f>
        <v>1538790000</v>
      </c>
      <c r="H343" s="154" t="b">
        <f t="shared" si="10"/>
        <v>1</v>
      </c>
      <c r="I343" s="154"/>
      <c r="J343" s="154"/>
    </row>
    <row r="344" spans="1:10" ht="14.25" x14ac:dyDescent="0.2">
      <c r="A344" s="7" t="s">
        <v>2468</v>
      </c>
      <c r="B344" s="119" t="s">
        <v>3783</v>
      </c>
      <c r="C344" s="118" t="s">
        <v>2470</v>
      </c>
      <c r="D344" s="119">
        <v>1</v>
      </c>
      <c r="E344" s="119" t="s">
        <v>3782</v>
      </c>
      <c r="F344" s="120"/>
      <c r="G344" s="120">
        <f>G345</f>
        <v>615138000</v>
      </c>
      <c r="H344" s="154" t="b">
        <f t="shared" si="10"/>
        <v>1</v>
      </c>
      <c r="I344" s="154"/>
      <c r="J344" s="154"/>
    </row>
    <row r="345" spans="1:10" ht="25.5" x14ac:dyDescent="0.2">
      <c r="A345" s="7" t="s">
        <v>2739</v>
      </c>
      <c r="B345" s="58">
        <v>301</v>
      </c>
      <c r="C345" s="35" t="s">
        <v>2740</v>
      </c>
      <c r="D345" s="58"/>
      <c r="E345" s="58"/>
      <c r="F345" s="36"/>
      <c r="G345" s="36">
        <f>SUM(G346,G358,G372)</f>
        <v>615138000</v>
      </c>
      <c r="H345" s="154" t="b">
        <f t="shared" si="10"/>
        <v>1</v>
      </c>
      <c r="I345" s="154"/>
      <c r="J345" s="154"/>
    </row>
    <row r="346" spans="1:10" ht="14.25" x14ac:dyDescent="0.2">
      <c r="A346" s="7" t="s">
        <v>2741</v>
      </c>
      <c r="B346" s="59" t="s">
        <v>8</v>
      </c>
      <c r="C346" s="38" t="s">
        <v>129</v>
      </c>
      <c r="D346" s="59"/>
      <c r="E346" s="59"/>
      <c r="F346" s="39"/>
      <c r="G346" s="39">
        <f>SUM(G347,G351,G353,G356)</f>
        <v>101050000</v>
      </c>
      <c r="H346" s="154" t="b">
        <f t="shared" si="10"/>
        <v>1</v>
      </c>
      <c r="I346" s="154"/>
      <c r="J346" s="154"/>
    </row>
    <row r="347" spans="1:10" ht="14.25" x14ac:dyDescent="0.2">
      <c r="A347" s="7" t="s">
        <v>2742</v>
      </c>
      <c r="B347" s="60">
        <v>521211</v>
      </c>
      <c r="C347" s="41" t="s">
        <v>7</v>
      </c>
      <c r="D347" s="60"/>
      <c r="E347" s="60"/>
      <c r="F347" s="42"/>
      <c r="G347" s="42">
        <f>SUM(G348:G350)</f>
        <v>22650000</v>
      </c>
      <c r="H347" s="154" t="b">
        <f t="shared" si="10"/>
        <v>1</v>
      </c>
      <c r="I347" s="154"/>
      <c r="J347" s="154"/>
    </row>
    <row r="348" spans="1:10" ht="14.25" x14ac:dyDescent="0.2">
      <c r="A348" s="7" t="s">
        <v>2743</v>
      </c>
      <c r="B348" s="124"/>
      <c r="C348" s="123" t="s">
        <v>3587</v>
      </c>
      <c r="D348" s="124">
        <v>6</v>
      </c>
      <c r="E348" s="124" t="s">
        <v>9</v>
      </c>
      <c r="F348" s="125">
        <v>1500000</v>
      </c>
      <c r="G348" s="125">
        <f>ROUNDDOWN(D348*F348,-3)</f>
        <v>9000000</v>
      </c>
      <c r="H348" s="154" t="b">
        <f t="shared" si="10"/>
        <v>1</v>
      </c>
      <c r="I348" s="154"/>
      <c r="J348" s="154"/>
    </row>
    <row r="349" spans="1:10" ht="14.25" x14ac:dyDescent="0.2">
      <c r="A349" s="7" t="s">
        <v>2744</v>
      </c>
      <c r="B349" s="124"/>
      <c r="C349" s="123" t="s">
        <v>3784</v>
      </c>
      <c r="D349" s="124">
        <v>70</v>
      </c>
      <c r="E349" s="124" t="s">
        <v>10</v>
      </c>
      <c r="F349" s="125">
        <v>70000</v>
      </c>
      <c r="G349" s="125">
        <f>ROUNDDOWN(D349*F349,-3)</f>
        <v>4900000</v>
      </c>
      <c r="H349" s="154" t="b">
        <f t="shared" si="10"/>
        <v>1</v>
      </c>
      <c r="I349" s="154"/>
      <c r="J349" s="154"/>
    </row>
    <row r="350" spans="1:10" ht="14.25" x14ac:dyDescent="0.2">
      <c r="A350" s="7" t="s">
        <v>2746</v>
      </c>
      <c r="B350" s="124"/>
      <c r="C350" s="123" t="s">
        <v>3785</v>
      </c>
      <c r="D350" s="124">
        <v>25</v>
      </c>
      <c r="E350" s="124" t="s">
        <v>176</v>
      </c>
      <c r="F350" s="125">
        <v>350000</v>
      </c>
      <c r="G350" s="125">
        <f>ROUNDDOWN(D350*F350,-3)</f>
        <v>8750000</v>
      </c>
      <c r="H350" s="154" t="b">
        <f t="shared" si="10"/>
        <v>1</v>
      </c>
      <c r="I350" s="154"/>
      <c r="J350" s="154"/>
    </row>
    <row r="351" spans="1:10" ht="14.25" x14ac:dyDescent="0.2">
      <c r="A351" s="7" t="s">
        <v>2747</v>
      </c>
      <c r="B351" s="60">
        <v>521219</v>
      </c>
      <c r="C351" s="41" t="s">
        <v>53</v>
      </c>
      <c r="D351" s="60"/>
      <c r="E351" s="60"/>
      <c r="F351" s="42"/>
      <c r="G351" s="42">
        <f>G352</f>
        <v>1000000</v>
      </c>
      <c r="H351" s="154" t="b">
        <f t="shared" si="10"/>
        <v>1</v>
      </c>
      <c r="I351" s="154"/>
      <c r="J351" s="154"/>
    </row>
    <row r="352" spans="1:10" ht="14.25" x14ac:dyDescent="0.2">
      <c r="A352" s="7" t="s">
        <v>2748</v>
      </c>
      <c r="B352" s="124"/>
      <c r="C352" s="123" t="s">
        <v>3610</v>
      </c>
      <c r="D352" s="124">
        <v>4</v>
      </c>
      <c r="E352" s="124" t="s">
        <v>2749</v>
      </c>
      <c r="F352" s="125">
        <v>250000</v>
      </c>
      <c r="G352" s="125">
        <f>ROUNDDOWN(D352*F352,-3)</f>
        <v>1000000</v>
      </c>
      <c r="H352" s="154" t="b">
        <f t="shared" si="10"/>
        <v>1</v>
      </c>
      <c r="I352" s="154"/>
      <c r="J352" s="154"/>
    </row>
    <row r="353" spans="1:10" ht="14.25" x14ac:dyDescent="0.2">
      <c r="A353" s="7" t="s">
        <v>2750</v>
      </c>
      <c r="B353" s="60">
        <v>521811</v>
      </c>
      <c r="C353" s="41" t="s">
        <v>64</v>
      </c>
      <c r="D353" s="60"/>
      <c r="E353" s="60"/>
      <c r="F353" s="42"/>
      <c r="G353" s="42">
        <f>SUM(G354:G355)</f>
        <v>15000000</v>
      </c>
      <c r="H353" s="154" t="b">
        <f t="shared" si="10"/>
        <v>1</v>
      </c>
      <c r="I353" s="154"/>
      <c r="J353" s="154"/>
    </row>
    <row r="354" spans="1:10" ht="14.25" x14ac:dyDescent="0.2">
      <c r="A354" s="7" t="s">
        <v>2751</v>
      </c>
      <c r="B354" s="124"/>
      <c r="C354" s="123" t="s">
        <v>3595</v>
      </c>
      <c r="D354" s="124">
        <v>6</v>
      </c>
      <c r="E354" s="124" t="s">
        <v>106</v>
      </c>
      <c r="F354" s="125">
        <v>1000000</v>
      </c>
      <c r="G354" s="125">
        <f>ROUNDDOWN(D354*F354,-3)</f>
        <v>6000000</v>
      </c>
      <c r="H354" s="154" t="b">
        <f t="shared" si="10"/>
        <v>1</v>
      </c>
      <c r="I354" s="154"/>
      <c r="J354" s="154"/>
    </row>
    <row r="355" spans="1:10" ht="14.25" x14ac:dyDescent="0.2">
      <c r="A355" s="7" t="s">
        <v>2752</v>
      </c>
      <c r="B355" s="124"/>
      <c r="C355" s="123" t="s">
        <v>3596</v>
      </c>
      <c r="D355" s="124">
        <v>6</v>
      </c>
      <c r="E355" s="124" t="s">
        <v>106</v>
      </c>
      <c r="F355" s="125">
        <v>1500000</v>
      </c>
      <c r="G355" s="125">
        <f>ROUNDDOWN(D355*F355,-3)</f>
        <v>9000000</v>
      </c>
      <c r="H355" s="154" t="b">
        <f t="shared" ref="H355:H418" si="13">_xlfn.ISFORMULA(G355)</f>
        <v>1</v>
      </c>
      <c r="I355" s="154"/>
      <c r="J355" s="154"/>
    </row>
    <row r="356" spans="1:10" ht="14.25" x14ac:dyDescent="0.2">
      <c r="A356" s="7" t="s">
        <v>2753</v>
      </c>
      <c r="B356" s="60">
        <v>524111</v>
      </c>
      <c r="C356" s="41" t="s">
        <v>19</v>
      </c>
      <c r="D356" s="60"/>
      <c r="E356" s="60"/>
      <c r="F356" s="42"/>
      <c r="G356" s="42">
        <f>G357</f>
        <v>62400000</v>
      </c>
      <c r="H356" s="154" t="b">
        <f t="shared" si="13"/>
        <v>1</v>
      </c>
      <c r="I356" s="154"/>
      <c r="J356" s="154"/>
    </row>
    <row r="357" spans="1:10" ht="25.5" x14ac:dyDescent="0.2">
      <c r="A357" s="7" t="s">
        <v>2754</v>
      </c>
      <c r="B357" s="124"/>
      <c r="C357" s="123" t="s">
        <v>3786</v>
      </c>
      <c r="D357" s="124">
        <v>12</v>
      </c>
      <c r="E357" s="124" t="s">
        <v>10</v>
      </c>
      <c r="F357" s="125">
        <v>5200000</v>
      </c>
      <c r="G357" s="125">
        <f>ROUNDDOWN(D357*F357,-3)</f>
        <v>62400000</v>
      </c>
      <c r="H357" s="154" t="b">
        <f t="shared" si="13"/>
        <v>1</v>
      </c>
      <c r="I357" s="154"/>
      <c r="J357" s="154"/>
    </row>
    <row r="358" spans="1:10" ht="14.25" x14ac:dyDescent="0.2">
      <c r="A358" s="7" t="s">
        <v>2756</v>
      </c>
      <c r="B358" s="59" t="s">
        <v>511</v>
      </c>
      <c r="C358" s="38" t="s">
        <v>130</v>
      </c>
      <c r="D358" s="59"/>
      <c r="E358" s="59"/>
      <c r="F358" s="39"/>
      <c r="G358" s="39">
        <f>SUM(G359,G363,G365,G368,G370)</f>
        <v>345988000</v>
      </c>
      <c r="H358" s="154" t="b">
        <f t="shared" si="13"/>
        <v>1</v>
      </c>
      <c r="I358" s="154"/>
      <c r="J358" s="154"/>
    </row>
    <row r="359" spans="1:10" ht="14.25" x14ac:dyDescent="0.2">
      <c r="A359" s="7" t="s">
        <v>2757</v>
      </c>
      <c r="B359" s="60">
        <v>521211</v>
      </c>
      <c r="C359" s="41" t="s">
        <v>7</v>
      </c>
      <c r="D359" s="60"/>
      <c r="E359" s="60"/>
      <c r="F359" s="42"/>
      <c r="G359" s="42">
        <f>SUM(G360:G362)</f>
        <v>49300000</v>
      </c>
      <c r="H359" s="154" t="b">
        <f t="shared" si="13"/>
        <v>1</v>
      </c>
      <c r="I359" s="154"/>
      <c r="J359" s="154"/>
    </row>
    <row r="360" spans="1:10" ht="14.25" x14ac:dyDescent="0.2">
      <c r="A360" s="7" t="s">
        <v>2758</v>
      </c>
      <c r="B360" s="124"/>
      <c r="C360" s="123" t="s">
        <v>3587</v>
      </c>
      <c r="D360" s="124">
        <v>10</v>
      </c>
      <c r="E360" s="124" t="s">
        <v>9</v>
      </c>
      <c r="F360" s="125">
        <v>1500000</v>
      </c>
      <c r="G360" s="125">
        <f>ROUNDDOWN(D360*F360,-3)</f>
        <v>15000000</v>
      </c>
      <c r="H360" s="154" t="b">
        <f t="shared" si="13"/>
        <v>1</v>
      </c>
      <c r="I360" s="154"/>
      <c r="J360" s="154"/>
    </row>
    <row r="361" spans="1:10" ht="14.25" x14ac:dyDescent="0.2">
      <c r="A361" s="7" t="s">
        <v>2759</v>
      </c>
      <c r="B361" s="124"/>
      <c r="C361" s="123" t="s">
        <v>3784</v>
      </c>
      <c r="D361" s="124">
        <v>290</v>
      </c>
      <c r="E361" s="124" t="s">
        <v>10</v>
      </c>
      <c r="F361" s="125">
        <v>70000</v>
      </c>
      <c r="G361" s="125">
        <f>ROUNDDOWN(D361*F361,-3)</f>
        <v>20300000</v>
      </c>
      <c r="H361" s="154" t="b">
        <f t="shared" si="13"/>
        <v>1</v>
      </c>
      <c r="I361" s="154"/>
      <c r="J361" s="154"/>
    </row>
    <row r="362" spans="1:10" ht="14.25" x14ac:dyDescent="0.2">
      <c r="A362" s="7" t="s">
        <v>2760</v>
      </c>
      <c r="B362" s="124"/>
      <c r="C362" s="123" t="s">
        <v>3785</v>
      </c>
      <c r="D362" s="124">
        <v>40</v>
      </c>
      <c r="E362" s="124" t="s">
        <v>176</v>
      </c>
      <c r="F362" s="125">
        <v>350000</v>
      </c>
      <c r="G362" s="125">
        <f>ROUNDDOWN(D362*F362,-3)</f>
        <v>14000000</v>
      </c>
      <c r="H362" s="154" t="b">
        <f t="shared" si="13"/>
        <v>1</v>
      </c>
      <c r="I362" s="154"/>
      <c r="J362" s="154"/>
    </row>
    <row r="363" spans="1:10" ht="14.25" x14ac:dyDescent="0.2">
      <c r="A363" s="7" t="s">
        <v>2761</v>
      </c>
      <c r="B363" s="60">
        <v>521219</v>
      </c>
      <c r="C363" s="41" t="s">
        <v>53</v>
      </c>
      <c r="D363" s="60"/>
      <c r="E363" s="60"/>
      <c r="F363" s="42"/>
      <c r="G363" s="42">
        <f>G364</f>
        <v>1000000</v>
      </c>
      <c r="H363" s="154" t="b">
        <f t="shared" si="13"/>
        <v>1</v>
      </c>
      <c r="I363" s="154"/>
      <c r="J363" s="154"/>
    </row>
    <row r="364" spans="1:10" ht="14.25" x14ac:dyDescent="0.2">
      <c r="A364" s="7" t="s">
        <v>2762</v>
      </c>
      <c r="B364" s="124"/>
      <c r="C364" s="123" t="s">
        <v>3610</v>
      </c>
      <c r="D364" s="124">
        <v>4</v>
      </c>
      <c r="E364" s="124" t="s">
        <v>9</v>
      </c>
      <c r="F364" s="125">
        <v>250000</v>
      </c>
      <c r="G364" s="125">
        <f>ROUNDDOWN(D364*F364,-3)</f>
        <v>1000000</v>
      </c>
      <c r="H364" s="154" t="b">
        <f t="shared" si="13"/>
        <v>1</v>
      </c>
      <c r="I364" s="154"/>
      <c r="J364" s="154"/>
    </row>
    <row r="365" spans="1:10" ht="14.25" x14ac:dyDescent="0.2">
      <c r="A365" s="7" t="s">
        <v>2763</v>
      </c>
      <c r="B365" s="60">
        <v>521811</v>
      </c>
      <c r="C365" s="41" t="s">
        <v>64</v>
      </c>
      <c r="D365" s="60"/>
      <c r="E365" s="60"/>
      <c r="F365" s="42"/>
      <c r="G365" s="42">
        <f>SUM(G366:G367)</f>
        <v>25000000</v>
      </c>
      <c r="H365" s="154" t="b">
        <f t="shared" si="13"/>
        <v>1</v>
      </c>
      <c r="I365" s="154"/>
      <c r="J365" s="154"/>
    </row>
    <row r="366" spans="1:10" ht="14.25" x14ac:dyDescent="0.2">
      <c r="A366" s="7" t="s">
        <v>2764</v>
      </c>
      <c r="B366" s="124"/>
      <c r="C366" s="123" t="s">
        <v>3595</v>
      </c>
      <c r="D366" s="124">
        <v>10</v>
      </c>
      <c r="E366" s="124" t="s">
        <v>106</v>
      </c>
      <c r="F366" s="125">
        <v>1000000</v>
      </c>
      <c r="G366" s="125">
        <f>ROUNDDOWN(D366*F366,-3)</f>
        <v>10000000</v>
      </c>
      <c r="H366" s="154" t="b">
        <f t="shared" si="13"/>
        <v>1</v>
      </c>
      <c r="I366" s="154"/>
      <c r="J366" s="154"/>
    </row>
    <row r="367" spans="1:10" ht="14.25" x14ac:dyDescent="0.2">
      <c r="A367" s="7" t="s">
        <v>2765</v>
      </c>
      <c r="B367" s="124"/>
      <c r="C367" s="123" t="s">
        <v>3596</v>
      </c>
      <c r="D367" s="124">
        <v>10</v>
      </c>
      <c r="E367" s="124" t="s">
        <v>106</v>
      </c>
      <c r="F367" s="125">
        <v>1500000</v>
      </c>
      <c r="G367" s="125">
        <f>ROUNDDOWN(D367*F367,-3)</f>
        <v>15000000</v>
      </c>
      <c r="H367" s="154" t="b">
        <f t="shared" si="13"/>
        <v>1</v>
      </c>
      <c r="I367" s="154"/>
      <c r="J367" s="154"/>
    </row>
    <row r="368" spans="1:10" ht="14.25" x14ac:dyDescent="0.2">
      <c r="A368" s="7" t="s">
        <v>2766</v>
      </c>
      <c r="B368" s="60">
        <v>522151</v>
      </c>
      <c r="C368" s="41" t="s">
        <v>11</v>
      </c>
      <c r="D368" s="60"/>
      <c r="E368" s="60"/>
      <c r="F368" s="42"/>
      <c r="G368" s="42">
        <f>G369</f>
        <v>12000000</v>
      </c>
      <c r="H368" s="154" t="b">
        <f t="shared" si="13"/>
        <v>1</v>
      </c>
      <c r="I368" s="154"/>
      <c r="J368" s="154"/>
    </row>
    <row r="369" spans="1:10" ht="14.25" x14ac:dyDescent="0.2">
      <c r="A369" s="7" t="s">
        <v>2767</v>
      </c>
      <c r="B369" s="124"/>
      <c r="C369" s="123" t="s">
        <v>3603</v>
      </c>
      <c r="D369" s="124">
        <v>12</v>
      </c>
      <c r="E369" s="124" t="s">
        <v>54</v>
      </c>
      <c r="F369" s="125">
        <v>1000000</v>
      </c>
      <c r="G369" s="125">
        <f>ROUNDDOWN(D369*F369,-3)</f>
        <v>12000000</v>
      </c>
      <c r="H369" s="154" t="b">
        <f t="shared" si="13"/>
        <v>1</v>
      </c>
      <c r="I369" s="154"/>
      <c r="J369" s="154"/>
    </row>
    <row r="370" spans="1:10" ht="14.25" x14ac:dyDescent="0.2">
      <c r="A370" s="7" t="s">
        <v>2768</v>
      </c>
      <c r="B370" s="60">
        <v>524111</v>
      </c>
      <c r="C370" s="41" t="s">
        <v>19</v>
      </c>
      <c r="D370" s="60"/>
      <c r="E370" s="60"/>
      <c r="F370" s="42"/>
      <c r="G370" s="42">
        <f>G371</f>
        <v>258688000</v>
      </c>
      <c r="H370" s="154" t="b">
        <f t="shared" si="13"/>
        <v>1</v>
      </c>
      <c r="I370" s="154"/>
      <c r="J370" s="154"/>
    </row>
    <row r="371" spans="1:10" ht="14.25" x14ac:dyDescent="0.2">
      <c r="A371" s="7" t="s">
        <v>2769</v>
      </c>
      <c r="B371" s="124"/>
      <c r="C371" s="123" t="s">
        <v>3787</v>
      </c>
      <c r="D371" s="124">
        <v>40</v>
      </c>
      <c r="E371" s="124" t="s">
        <v>10</v>
      </c>
      <c r="F371" s="125">
        <v>6467200</v>
      </c>
      <c r="G371" s="125">
        <f>ROUNDDOWN(D371*F371,-3)</f>
        <v>258688000</v>
      </c>
      <c r="H371" s="154" t="b">
        <f t="shared" si="13"/>
        <v>1</v>
      </c>
      <c r="I371" s="154"/>
      <c r="J371" s="154"/>
    </row>
    <row r="372" spans="1:10" ht="14.25" x14ac:dyDescent="0.2">
      <c r="A372" s="7" t="s">
        <v>2771</v>
      </c>
      <c r="B372" s="59" t="s">
        <v>512</v>
      </c>
      <c r="C372" s="38" t="s">
        <v>131</v>
      </c>
      <c r="D372" s="59"/>
      <c r="E372" s="59"/>
      <c r="F372" s="39"/>
      <c r="G372" s="39">
        <f>SUM(G373,G377,G380,G382)</f>
        <v>168100000</v>
      </c>
      <c r="H372" s="154" t="b">
        <f t="shared" si="13"/>
        <v>1</v>
      </c>
      <c r="I372" s="154"/>
      <c r="J372" s="154"/>
    </row>
    <row r="373" spans="1:10" ht="14.25" x14ac:dyDescent="0.2">
      <c r="A373" s="7" t="s">
        <v>2772</v>
      </c>
      <c r="B373" s="60">
        <v>521211</v>
      </c>
      <c r="C373" s="41" t="s">
        <v>7</v>
      </c>
      <c r="D373" s="60"/>
      <c r="E373" s="60"/>
      <c r="F373" s="42"/>
      <c r="G373" s="42">
        <f>SUM(G374:G376)</f>
        <v>39500000</v>
      </c>
      <c r="H373" s="154" t="b">
        <f t="shared" si="13"/>
        <v>1</v>
      </c>
      <c r="I373" s="154"/>
      <c r="J373" s="154"/>
    </row>
    <row r="374" spans="1:10" ht="14.25" x14ac:dyDescent="0.2">
      <c r="A374" s="7" t="s">
        <v>2773</v>
      </c>
      <c r="B374" s="124"/>
      <c r="C374" s="123" t="s">
        <v>3587</v>
      </c>
      <c r="D374" s="124">
        <v>10</v>
      </c>
      <c r="E374" s="124" t="s">
        <v>9</v>
      </c>
      <c r="F374" s="125">
        <v>1500000</v>
      </c>
      <c r="G374" s="125">
        <f>ROUNDDOWN(D374*F374,-3)</f>
        <v>15000000</v>
      </c>
      <c r="H374" s="154" t="b">
        <f t="shared" si="13"/>
        <v>1</v>
      </c>
      <c r="I374" s="154"/>
      <c r="J374" s="154"/>
    </row>
    <row r="375" spans="1:10" ht="14.25" x14ac:dyDescent="0.2">
      <c r="A375" s="7" t="s">
        <v>2774</v>
      </c>
      <c r="B375" s="124"/>
      <c r="C375" s="123" t="s">
        <v>3784</v>
      </c>
      <c r="D375" s="124">
        <v>150</v>
      </c>
      <c r="E375" s="124" t="s">
        <v>10</v>
      </c>
      <c r="F375" s="125">
        <v>70000</v>
      </c>
      <c r="G375" s="125">
        <f>ROUNDDOWN(D375*F375,-3)</f>
        <v>10500000</v>
      </c>
      <c r="H375" s="154" t="b">
        <f t="shared" si="13"/>
        <v>1</v>
      </c>
      <c r="I375" s="154"/>
      <c r="J375" s="154"/>
    </row>
    <row r="376" spans="1:10" ht="14.25" x14ac:dyDescent="0.2">
      <c r="A376" s="7" t="s">
        <v>2775</v>
      </c>
      <c r="B376" s="124"/>
      <c r="C376" s="123" t="s">
        <v>3785</v>
      </c>
      <c r="D376" s="124">
        <v>40</v>
      </c>
      <c r="E376" s="124" t="s">
        <v>176</v>
      </c>
      <c r="F376" s="125">
        <v>350000</v>
      </c>
      <c r="G376" s="125">
        <f>ROUNDDOWN(D376*F376,-3)</f>
        <v>14000000</v>
      </c>
      <c r="H376" s="154" t="b">
        <f t="shared" si="13"/>
        <v>1</v>
      </c>
      <c r="I376" s="154"/>
      <c r="J376" s="154"/>
    </row>
    <row r="377" spans="1:10" ht="14.25" x14ac:dyDescent="0.2">
      <c r="A377" s="7" t="s">
        <v>2776</v>
      </c>
      <c r="B377" s="60">
        <v>521811</v>
      </c>
      <c r="C377" s="41" t="s">
        <v>64</v>
      </c>
      <c r="D377" s="60"/>
      <c r="E377" s="60"/>
      <c r="F377" s="42"/>
      <c r="G377" s="42">
        <f>SUM(G378:G379)</f>
        <v>25000000</v>
      </c>
      <c r="H377" s="154" t="b">
        <f t="shared" si="13"/>
        <v>1</v>
      </c>
      <c r="I377" s="154"/>
      <c r="J377" s="154"/>
    </row>
    <row r="378" spans="1:10" ht="14.25" x14ac:dyDescent="0.2">
      <c r="A378" s="7" t="s">
        <v>2777</v>
      </c>
      <c r="B378" s="124"/>
      <c r="C378" s="123" t="s">
        <v>3595</v>
      </c>
      <c r="D378" s="124">
        <v>10</v>
      </c>
      <c r="E378" s="124" t="s">
        <v>106</v>
      </c>
      <c r="F378" s="125">
        <v>1000000</v>
      </c>
      <c r="G378" s="125">
        <f>ROUNDDOWN(D378*F378,-3)</f>
        <v>10000000</v>
      </c>
      <c r="H378" s="154" t="b">
        <f t="shared" si="13"/>
        <v>1</v>
      </c>
      <c r="I378" s="154"/>
      <c r="J378" s="154"/>
    </row>
    <row r="379" spans="1:10" ht="14.25" x14ac:dyDescent="0.2">
      <c r="A379" s="7" t="s">
        <v>2778</v>
      </c>
      <c r="B379" s="124"/>
      <c r="C379" s="123" t="s">
        <v>3596</v>
      </c>
      <c r="D379" s="124">
        <v>10</v>
      </c>
      <c r="E379" s="124" t="s">
        <v>106</v>
      </c>
      <c r="F379" s="125">
        <v>1500000</v>
      </c>
      <c r="G379" s="125">
        <f>ROUNDDOWN(D379*F379,-3)</f>
        <v>15000000</v>
      </c>
      <c r="H379" s="154" t="b">
        <f t="shared" si="13"/>
        <v>1</v>
      </c>
      <c r="I379" s="154"/>
      <c r="J379" s="154"/>
    </row>
    <row r="380" spans="1:10" ht="14.25" x14ac:dyDescent="0.2">
      <c r="A380" s="7" t="s">
        <v>2779</v>
      </c>
      <c r="B380" s="60">
        <v>522151</v>
      </c>
      <c r="C380" s="41" t="s">
        <v>11</v>
      </c>
      <c r="D380" s="60"/>
      <c r="E380" s="60"/>
      <c r="F380" s="42"/>
      <c r="G380" s="42">
        <f>G381</f>
        <v>10000000</v>
      </c>
      <c r="H380" s="154" t="b">
        <f t="shared" si="13"/>
        <v>1</v>
      </c>
      <c r="I380" s="154"/>
      <c r="J380" s="154"/>
    </row>
    <row r="381" spans="1:10" ht="14.25" x14ac:dyDescent="0.2">
      <c r="A381" s="7" t="s">
        <v>2780</v>
      </c>
      <c r="B381" s="124"/>
      <c r="C381" s="123" t="s">
        <v>3603</v>
      </c>
      <c r="D381" s="124">
        <v>10</v>
      </c>
      <c r="E381" s="124" t="s">
        <v>54</v>
      </c>
      <c r="F381" s="125">
        <v>1000000</v>
      </c>
      <c r="G381" s="125">
        <f>ROUNDDOWN(D381*F381,-3)</f>
        <v>10000000</v>
      </c>
      <c r="H381" s="154" t="b">
        <f t="shared" si="13"/>
        <v>1</v>
      </c>
      <c r="I381" s="154"/>
      <c r="J381" s="154"/>
    </row>
    <row r="382" spans="1:10" ht="14.25" x14ac:dyDescent="0.2">
      <c r="A382" s="7" t="s">
        <v>2781</v>
      </c>
      <c r="B382" s="60">
        <v>524111</v>
      </c>
      <c r="C382" s="41" t="s">
        <v>19</v>
      </c>
      <c r="D382" s="60"/>
      <c r="E382" s="60"/>
      <c r="F382" s="42"/>
      <c r="G382" s="42">
        <f>G383</f>
        <v>93600000</v>
      </c>
      <c r="H382" s="154" t="b">
        <f t="shared" si="13"/>
        <v>1</v>
      </c>
      <c r="I382" s="154"/>
      <c r="J382" s="154"/>
    </row>
    <row r="383" spans="1:10" ht="25.5" x14ac:dyDescent="0.2">
      <c r="A383" s="7" t="s">
        <v>2782</v>
      </c>
      <c r="B383" s="124"/>
      <c r="C383" s="123" t="s">
        <v>3788</v>
      </c>
      <c r="D383" s="124">
        <v>18</v>
      </c>
      <c r="E383" s="124" t="s">
        <v>10</v>
      </c>
      <c r="F383" s="125">
        <v>5200000</v>
      </c>
      <c r="G383" s="125">
        <f>ROUNDDOWN(D383*F383,-3)</f>
        <v>93600000</v>
      </c>
      <c r="H383" s="154" t="b">
        <f t="shared" si="13"/>
        <v>1</v>
      </c>
      <c r="I383" s="154"/>
      <c r="J383" s="154"/>
    </row>
    <row r="384" spans="1:10" ht="14.25" x14ac:dyDescent="0.2">
      <c r="A384" s="7" t="s">
        <v>2784</v>
      </c>
      <c r="B384" s="119" t="s">
        <v>3789</v>
      </c>
      <c r="C384" s="118" t="s">
        <v>2786</v>
      </c>
      <c r="D384" s="119">
        <v>2</v>
      </c>
      <c r="E384" s="119" t="s">
        <v>3782</v>
      </c>
      <c r="F384" s="120"/>
      <c r="G384" s="120">
        <f>SUM(G385,G414)</f>
        <v>633732000</v>
      </c>
      <c r="H384" s="154" t="b">
        <f t="shared" si="13"/>
        <v>1</v>
      </c>
      <c r="I384" s="154"/>
      <c r="J384" s="154"/>
    </row>
    <row r="385" spans="1:10" ht="25.5" x14ac:dyDescent="0.2">
      <c r="A385" s="7" t="s">
        <v>3052</v>
      </c>
      <c r="B385" s="58">
        <v>301</v>
      </c>
      <c r="C385" s="35" t="s">
        <v>3053</v>
      </c>
      <c r="D385" s="58"/>
      <c r="E385" s="58"/>
      <c r="F385" s="36"/>
      <c r="G385" s="36">
        <f>SUM(G386,G397)</f>
        <v>507200000</v>
      </c>
      <c r="H385" s="154" t="b">
        <f t="shared" si="13"/>
        <v>1</v>
      </c>
      <c r="I385" s="154"/>
      <c r="J385" s="154"/>
    </row>
    <row r="386" spans="1:10" ht="25.5" x14ac:dyDescent="0.2">
      <c r="A386" s="7" t="s">
        <v>3054</v>
      </c>
      <c r="B386" s="59" t="s">
        <v>8</v>
      </c>
      <c r="C386" s="38" t="s">
        <v>174</v>
      </c>
      <c r="D386" s="59"/>
      <c r="E386" s="59"/>
      <c r="F386" s="39"/>
      <c r="G386" s="39">
        <f>SUM(G387,G393,G395)</f>
        <v>295200000</v>
      </c>
      <c r="H386" s="154" t="b">
        <f t="shared" si="13"/>
        <v>1</v>
      </c>
      <c r="I386" s="154"/>
      <c r="J386" s="154"/>
    </row>
    <row r="387" spans="1:10" ht="14.25" x14ac:dyDescent="0.2">
      <c r="A387" s="7" t="s">
        <v>3055</v>
      </c>
      <c r="B387" s="60">
        <v>521211</v>
      </c>
      <c r="C387" s="41" t="s">
        <v>7</v>
      </c>
      <c r="D387" s="60"/>
      <c r="E387" s="60"/>
      <c r="F387" s="42"/>
      <c r="G387" s="42">
        <f>SUM(G388:G392)</f>
        <v>46000000</v>
      </c>
      <c r="H387" s="154" t="b">
        <f t="shared" si="13"/>
        <v>1</v>
      </c>
      <c r="I387" s="154"/>
      <c r="J387" s="154"/>
    </row>
    <row r="388" spans="1:10" ht="14.25" x14ac:dyDescent="0.2">
      <c r="A388" s="7" t="s">
        <v>3056</v>
      </c>
      <c r="B388" s="124"/>
      <c r="C388" s="123" t="s">
        <v>3587</v>
      </c>
      <c r="D388" s="124">
        <v>5</v>
      </c>
      <c r="E388" s="124" t="s">
        <v>9</v>
      </c>
      <c r="F388" s="125">
        <v>1500000</v>
      </c>
      <c r="G388" s="125">
        <f>ROUNDDOWN(D388*F388,-3)</f>
        <v>7500000</v>
      </c>
      <c r="H388" s="154" t="b">
        <f t="shared" si="13"/>
        <v>1</v>
      </c>
      <c r="I388" s="154"/>
      <c r="J388" s="154"/>
    </row>
    <row r="389" spans="1:10" ht="14.25" x14ac:dyDescent="0.2">
      <c r="A389" s="7" t="s">
        <v>3057</v>
      </c>
      <c r="B389" s="124"/>
      <c r="C389" s="123" t="s">
        <v>3784</v>
      </c>
      <c r="D389" s="124">
        <v>280</v>
      </c>
      <c r="E389" s="124" t="s">
        <v>10</v>
      </c>
      <c r="F389" s="125">
        <v>75000</v>
      </c>
      <c r="G389" s="125">
        <f>ROUNDDOWN(D389*F389,-3)</f>
        <v>21000000</v>
      </c>
      <c r="H389" s="154" t="b">
        <f t="shared" si="13"/>
        <v>1</v>
      </c>
      <c r="I389" s="154"/>
      <c r="J389" s="154"/>
    </row>
    <row r="390" spans="1:10" ht="14.25" x14ac:dyDescent="0.2">
      <c r="A390" s="7" t="s">
        <v>3058</v>
      </c>
      <c r="B390" s="124"/>
      <c r="C390" s="123" t="s">
        <v>3785</v>
      </c>
      <c r="D390" s="124">
        <v>30</v>
      </c>
      <c r="E390" s="124" t="s">
        <v>176</v>
      </c>
      <c r="F390" s="125">
        <v>250000</v>
      </c>
      <c r="G390" s="125">
        <f>ROUNDDOWN(D390*F390,-3)</f>
        <v>7500000</v>
      </c>
      <c r="H390" s="154" t="b">
        <f t="shared" si="13"/>
        <v>1</v>
      </c>
      <c r="I390" s="154"/>
      <c r="J390" s="154"/>
    </row>
    <row r="391" spans="1:10" ht="14.25" x14ac:dyDescent="0.2">
      <c r="A391" s="7" t="s">
        <v>3059</v>
      </c>
      <c r="B391" s="124"/>
      <c r="C391" s="123" t="s">
        <v>3591</v>
      </c>
      <c r="D391" s="124">
        <v>4</v>
      </c>
      <c r="E391" s="124" t="s">
        <v>106</v>
      </c>
      <c r="F391" s="125">
        <v>1000000</v>
      </c>
      <c r="G391" s="125">
        <f>ROUNDDOWN(D391*F391,-3)</f>
        <v>4000000</v>
      </c>
      <c r="H391" s="154" t="b">
        <f t="shared" si="13"/>
        <v>1</v>
      </c>
      <c r="I391" s="154"/>
      <c r="J391" s="154"/>
    </row>
    <row r="392" spans="1:10" ht="14.25" x14ac:dyDescent="0.2">
      <c r="A392" s="7" t="s">
        <v>3060</v>
      </c>
      <c r="B392" s="124"/>
      <c r="C392" s="123" t="s">
        <v>3592</v>
      </c>
      <c r="D392" s="124">
        <v>4</v>
      </c>
      <c r="E392" s="124" t="s">
        <v>106</v>
      </c>
      <c r="F392" s="125">
        <v>1500000</v>
      </c>
      <c r="G392" s="125">
        <f>ROUNDDOWN(D392*F392,-3)</f>
        <v>6000000</v>
      </c>
      <c r="H392" s="154" t="b">
        <f t="shared" si="13"/>
        <v>1</v>
      </c>
      <c r="I392" s="154"/>
      <c r="J392" s="154"/>
    </row>
    <row r="393" spans="1:10" ht="14.25" x14ac:dyDescent="0.2">
      <c r="A393" s="7" t="s">
        <v>3061</v>
      </c>
      <c r="B393" s="60">
        <v>521219</v>
      </c>
      <c r="C393" s="41" t="s">
        <v>53</v>
      </c>
      <c r="D393" s="60"/>
      <c r="E393" s="60"/>
      <c r="F393" s="42"/>
      <c r="G393" s="42">
        <f>G394</f>
        <v>2000000</v>
      </c>
      <c r="H393" s="154" t="b">
        <f t="shared" si="13"/>
        <v>1</v>
      </c>
      <c r="I393" s="154"/>
      <c r="J393" s="154"/>
    </row>
    <row r="394" spans="1:10" ht="25.5" x14ac:dyDescent="0.2">
      <c r="A394" s="7" t="s">
        <v>3062</v>
      </c>
      <c r="B394" s="124"/>
      <c r="C394" s="123" t="s">
        <v>3790</v>
      </c>
      <c r="D394" s="124">
        <v>1</v>
      </c>
      <c r="E394" s="124" t="s">
        <v>153</v>
      </c>
      <c r="F394" s="125">
        <v>2000000</v>
      </c>
      <c r="G394" s="125">
        <f>ROUNDDOWN(D394*F394,-3)</f>
        <v>2000000</v>
      </c>
      <c r="H394" s="154" t="b">
        <f t="shared" si="13"/>
        <v>1</v>
      </c>
      <c r="I394" s="154"/>
      <c r="J394" s="154"/>
    </row>
    <row r="395" spans="1:10" ht="14.25" x14ac:dyDescent="0.2">
      <c r="A395" s="7" t="s">
        <v>3064</v>
      </c>
      <c r="B395" s="60">
        <v>524111</v>
      </c>
      <c r="C395" s="41" t="s">
        <v>19</v>
      </c>
      <c r="D395" s="60"/>
      <c r="E395" s="60"/>
      <c r="F395" s="42"/>
      <c r="G395" s="42">
        <f>G396</f>
        <v>247200000</v>
      </c>
      <c r="H395" s="154" t="b">
        <f t="shared" si="13"/>
        <v>1</v>
      </c>
      <c r="I395" s="154"/>
      <c r="J395" s="154"/>
    </row>
    <row r="396" spans="1:10" ht="14.25" x14ac:dyDescent="0.2">
      <c r="A396" s="7" t="s">
        <v>3065</v>
      </c>
      <c r="B396" s="124"/>
      <c r="C396" s="123" t="s">
        <v>3791</v>
      </c>
      <c r="D396" s="124">
        <v>40</v>
      </c>
      <c r="E396" s="124" t="s">
        <v>10</v>
      </c>
      <c r="F396" s="125">
        <v>6180000</v>
      </c>
      <c r="G396" s="125">
        <f>ROUNDDOWN(D396*F396,-3)</f>
        <v>247200000</v>
      </c>
      <c r="H396" s="154" t="b">
        <f t="shared" si="13"/>
        <v>1</v>
      </c>
      <c r="I396" s="154"/>
      <c r="J396" s="154"/>
    </row>
    <row r="397" spans="1:10" ht="14.25" x14ac:dyDescent="0.2">
      <c r="A397" s="7" t="s">
        <v>3067</v>
      </c>
      <c r="B397" s="59" t="s">
        <v>511</v>
      </c>
      <c r="C397" s="38" t="s">
        <v>175</v>
      </c>
      <c r="D397" s="59"/>
      <c r="E397" s="59"/>
      <c r="F397" s="39"/>
      <c r="G397" s="39">
        <f>SUM(G398,G405,G408,G410,G412)</f>
        <v>212000000</v>
      </c>
      <c r="H397" s="154" t="b">
        <f t="shared" si="13"/>
        <v>1</v>
      </c>
      <c r="I397" s="154"/>
      <c r="J397" s="154"/>
    </row>
    <row r="398" spans="1:10" ht="14.25" x14ac:dyDescent="0.2">
      <c r="A398" s="7" t="s">
        <v>3068</v>
      </c>
      <c r="B398" s="60">
        <v>521211</v>
      </c>
      <c r="C398" s="41" t="s">
        <v>7</v>
      </c>
      <c r="D398" s="60"/>
      <c r="E398" s="60"/>
      <c r="F398" s="42"/>
      <c r="G398" s="42">
        <f>SUM(G399:G404)</f>
        <v>41000000</v>
      </c>
      <c r="H398" s="154" t="b">
        <f t="shared" si="13"/>
        <v>1</v>
      </c>
      <c r="I398" s="154"/>
      <c r="J398" s="154"/>
    </row>
    <row r="399" spans="1:10" ht="14.25" x14ac:dyDescent="0.2">
      <c r="A399" s="7" t="s">
        <v>3069</v>
      </c>
      <c r="B399" s="124"/>
      <c r="C399" s="123" t="s">
        <v>3587</v>
      </c>
      <c r="D399" s="124">
        <v>4</v>
      </c>
      <c r="E399" s="124" t="s">
        <v>9</v>
      </c>
      <c r="F399" s="125">
        <v>1500000</v>
      </c>
      <c r="G399" s="125">
        <f t="shared" ref="G399:G404" si="14">ROUNDDOWN(D399*F399,-3)</f>
        <v>6000000</v>
      </c>
      <c r="H399" s="154" t="b">
        <f t="shared" si="13"/>
        <v>1</v>
      </c>
      <c r="I399" s="154"/>
      <c r="J399" s="154"/>
    </row>
    <row r="400" spans="1:10" ht="14.25" x14ac:dyDescent="0.2">
      <c r="A400" s="7" t="s">
        <v>3070</v>
      </c>
      <c r="B400" s="124"/>
      <c r="C400" s="123" t="s">
        <v>3784</v>
      </c>
      <c r="D400" s="124">
        <v>180</v>
      </c>
      <c r="E400" s="124" t="s">
        <v>10</v>
      </c>
      <c r="F400" s="125">
        <v>75000</v>
      </c>
      <c r="G400" s="125">
        <f t="shared" si="14"/>
        <v>13500000</v>
      </c>
      <c r="H400" s="154" t="b">
        <f t="shared" si="13"/>
        <v>1</v>
      </c>
      <c r="I400" s="154"/>
      <c r="J400" s="154"/>
    </row>
    <row r="401" spans="1:10" ht="14.25" x14ac:dyDescent="0.2">
      <c r="A401" s="7" t="s">
        <v>3071</v>
      </c>
      <c r="B401" s="124"/>
      <c r="C401" s="123" t="s">
        <v>3792</v>
      </c>
      <c r="D401" s="124">
        <v>15</v>
      </c>
      <c r="E401" s="124" t="s">
        <v>176</v>
      </c>
      <c r="F401" s="125">
        <v>500000</v>
      </c>
      <c r="G401" s="125">
        <f t="shared" si="14"/>
        <v>7500000</v>
      </c>
      <c r="H401" s="154" t="b">
        <f t="shared" si="13"/>
        <v>1</v>
      </c>
      <c r="I401" s="154"/>
      <c r="J401" s="154"/>
    </row>
    <row r="402" spans="1:10" ht="14.25" x14ac:dyDescent="0.2">
      <c r="A402" s="7" t="s">
        <v>3073</v>
      </c>
      <c r="B402" s="124"/>
      <c r="C402" s="123" t="s">
        <v>3591</v>
      </c>
      <c r="D402" s="124">
        <v>4</v>
      </c>
      <c r="E402" s="124" t="s">
        <v>106</v>
      </c>
      <c r="F402" s="125">
        <v>1000000</v>
      </c>
      <c r="G402" s="125">
        <f t="shared" si="14"/>
        <v>4000000</v>
      </c>
      <c r="H402" s="154" t="b">
        <f t="shared" si="13"/>
        <v>1</v>
      </c>
      <c r="I402" s="154"/>
      <c r="J402" s="154"/>
    </row>
    <row r="403" spans="1:10" ht="14.25" x14ac:dyDescent="0.2">
      <c r="A403" s="7" t="s">
        <v>3074</v>
      </c>
      <c r="B403" s="124"/>
      <c r="C403" s="123" t="s">
        <v>3592</v>
      </c>
      <c r="D403" s="124">
        <v>4</v>
      </c>
      <c r="E403" s="124" t="s">
        <v>106</v>
      </c>
      <c r="F403" s="125">
        <v>1500000</v>
      </c>
      <c r="G403" s="125">
        <f t="shared" si="14"/>
        <v>6000000</v>
      </c>
      <c r="H403" s="154" t="b">
        <f t="shared" si="13"/>
        <v>1</v>
      </c>
      <c r="I403" s="154"/>
      <c r="J403" s="154"/>
    </row>
    <row r="404" spans="1:10" ht="14.25" x14ac:dyDescent="0.2">
      <c r="A404" s="7" t="s">
        <v>3075</v>
      </c>
      <c r="B404" s="124"/>
      <c r="C404" s="123" t="s">
        <v>3793</v>
      </c>
      <c r="D404" s="124">
        <v>8</v>
      </c>
      <c r="E404" s="124" t="s">
        <v>58</v>
      </c>
      <c r="F404" s="125">
        <v>500000</v>
      </c>
      <c r="G404" s="125">
        <f t="shared" si="14"/>
        <v>4000000</v>
      </c>
      <c r="H404" s="154" t="b">
        <f t="shared" si="13"/>
        <v>1</v>
      </c>
      <c r="I404" s="154"/>
      <c r="J404" s="154"/>
    </row>
    <row r="405" spans="1:10" ht="14.25" x14ac:dyDescent="0.2">
      <c r="A405" s="7" t="s">
        <v>3077</v>
      </c>
      <c r="B405" s="60">
        <v>521219</v>
      </c>
      <c r="C405" s="41" t="s">
        <v>53</v>
      </c>
      <c r="D405" s="60"/>
      <c r="E405" s="60"/>
      <c r="F405" s="42"/>
      <c r="G405" s="42">
        <f>SUM(G406:G407)</f>
        <v>32000000</v>
      </c>
      <c r="H405" s="154" t="b">
        <f t="shared" si="13"/>
        <v>1</v>
      </c>
      <c r="I405" s="154"/>
      <c r="J405" s="154"/>
    </row>
    <row r="406" spans="1:10" ht="25.5" x14ac:dyDescent="0.2">
      <c r="A406" s="7" t="s">
        <v>3078</v>
      </c>
      <c r="B406" s="124"/>
      <c r="C406" s="123" t="s">
        <v>3794</v>
      </c>
      <c r="D406" s="124">
        <v>2</v>
      </c>
      <c r="E406" s="124" t="s">
        <v>177</v>
      </c>
      <c r="F406" s="125">
        <v>15000000</v>
      </c>
      <c r="G406" s="125">
        <f>ROUNDDOWN(D406*F406,-3)</f>
        <v>30000000</v>
      </c>
      <c r="H406" s="154" t="b">
        <f t="shared" si="13"/>
        <v>1</v>
      </c>
      <c r="I406" s="154"/>
      <c r="J406" s="154"/>
    </row>
    <row r="407" spans="1:10" ht="25.5" x14ac:dyDescent="0.2">
      <c r="A407" s="7" t="s">
        <v>3080</v>
      </c>
      <c r="B407" s="124"/>
      <c r="C407" s="123" t="s">
        <v>3795</v>
      </c>
      <c r="D407" s="124">
        <v>1</v>
      </c>
      <c r="E407" s="124" t="s">
        <v>60</v>
      </c>
      <c r="F407" s="125">
        <v>2000000</v>
      </c>
      <c r="G407" s="125">
        <f>ROUNDDOWN(D407*F407,-3)</f>
        <v>2000000</v>
      </c>
      <c r="H407" s="154" t="b">
        <f t="shared" si="13"/>
        <v>1</v>
      </c>
      <c r="I407" s="154"/>
      <c r="J407" s="154"/>
    </row>
    <row r="408" spans="1:10" ht="14.25" x14ac:dyDescent="0.2">
      <c r="A408" s="7" t="s">
        <v>3082</v>
      </c>
      <c r="B408" s="60">
        <v>522151</v>
      </c>
      <c r="C408" s="41" t="s">
        <v>11</v>
      </c>
      <c r="D408" s="60"/>
      <c r="E408" s="60"/>
      <c r="F408" s="42"/>
      <c r="G408" s="42">
        <f>G409</f>
        <v>10000000</v>
      </c>
      <c r="H408" s="154" t="b">
        <f t="shared" si="13"/>
        <v>1</v>
      </c>
      <c r="I408" s="154"/>
      <c r="J408" s="154"/>
    </row>
    <row r="409" spans="1:10" ht="14.25" x14ac:dyDescent="0.2">
      <c r="A409" s="7" t="s">
        <v>3083</v>
      </c>
      <c r="B409" s="124"/>
      <c r="C409" s="123" t="s">
        <v>3603</v>
      </c>
      <c r="D409" s="124">
        <v>10</v>
      </c>
      <c r="E409" s="124" t="s">
        <v>54</v>
      </c>
      <c r="F409" s="125">
        <v>1000000</v>
      </c>
      <c r="G409" s="125">
        <f>ROUNDDOWN(D409*F409,-3)</f>
        <v>10000000</v>
      </c>
      <c r="H409" s="154" t="b">
        <f t="shared" si="13"/>
        <v>1</v>
      </c>
      <c r="I409" s="154"/>
      <c r="J409" s="154"/>
    </row>
    <row r="410" spans="1:10" ht="14.25" x14ac:dyDescent="0.2">
      <c r="A410" s="7" t="s">
        <v>3084</v>
      </c>
      <c r="B410" s="60">
        <v>524111</v>
      </c>
      <c r="C410" s="41" t="s">
        <v>19</v>
      </c>
      <c r="D410" s="60"/>
      <c r="E410" s="60"/>
      <c r="F410" s="42"/>
      <c r="G410" s="42">
        <f>G411</f>
        <v>120000000</v>
      </c>
      <c r="H410" s="154" t="b">
        <f t="shared" si="13"/>
        <v>1</v>
      </c>
      <c r="I410" s="154"/>
      <c r="J410" s="154"/>
    </row>
    <row r="411" spans="1:10" ht="14.25" x14ac:dyDescent="0.2">
      <c r="A411" s="7" t="s">
        <v>3085</v>
      </c>
      <c r="B411" s="124"/>
      <c r="C411" s="123" t="s">
        <v>3796</v>
      </c>
      <c r="D411" s="124">
        <v>30</v>
      </c>
      <c r="E411" s="124" t="s">
        <v>10</v>
      </c>
      <c r="F411" s="125">
        <v>4000000</v>
      </c>
      <c r="G411" s="125">
        <f>ROUNDDOWN(D411*F411,-3)</f>
        <v>120000000</v>
      </c>
      <c r="H411" s="154" t="b">
        <f t="shared" si="13"/>
        <v>1</v>
      </c>
      <c r="I411" s="154"/>
      <c r="J411" s="154"/>
    </row>
    <row r="412" spans="1:10" ht="14.25" x14ac:dyDescent="0.2">
      <c r="A412" s="7" t="s">
        <v>3087</v>
      </c>
      <c r="B412" s="60">
        <v>524113</v>
      </c>
      <c r="C412" s="41" t="s">
        <v>13</v>
      </c>
      <c r="D412" s="60"/>
      <c r="E412" s="60"/>
      <c r="F412" s="42"/>
      <c r="G412" s="42">
        <f>G413</f>
        <v>9000000</v>
      </c>
      <c r="H412" s="154" t="b">
        <f t="shared" si="13"/>
        <v>1</v>
      </c>
      <c r="I412" s="154"/>
      <c r="J412" s="154"/>
    </row>
    <row r="413" spans="1:10" ht="14.25" x14ac:dyDescent="0.2">
      <c r="A413" s="7" t="s">
        <v>3088</v>
      </c>
      <c r="B413" s="124"/>
      <c r="C413" s="123" t="s">
        <v>3593</v>
      </c>
      <c r="D413" s="124">
        <v>60</v>
      </c>
      <c r="E413" s="124" t="s">
        <v>25</v>
      </c>
      <c r="F413" s="125">
        <v>150000</v>
      </c>
      <c r="G413" s="125">
        <f>ROUNDDOWN(D413*F413,-3)</f>
        <v>9000000</v>
      </c>
      <c r="H413" s="154" t="b">
        <f t="shared" si="13"/>
        <v>1</v>
      </c>
      <c r="I413" s="154"/>
      <c r="J413" s="154"/>
    </row>
    <row r="414" spans="1:10" ht="25.5" x14ac:dyDescent="0.2">
      <c r="A414" s="7" t="s">
        <v>3089</v>
      </c>
      <c r="B414" s="58">
        <v>302</v>
      </c>
      <c r="C414" s="35" t="s">
        <v>3091</v>
      </c>
      <c r="D414" s="58"/>
      <c r="E414" s="58"/>
      <c r="F414" s="36"/>
      <c r="G414" s="36">
        <f>G415</f>
        <v>126532000</v>
      </c>
      <c r="H414" s="154" t="b">
        <f t="shared" si="13"/>
        <v>1</v>
      </c>
      <c r="I414" s="154"/>
      <c r="J414" s="154"/>
    </row>
    <row r="415" spans="1:10" ht="14.25" x14ac:dyDescent="0.2">
      <c r="A415" s="7" t="s">
        <v>3092</v>
      </c>
      <c r="B415" s="59" t="s">
        <v>8</v>
      </c>
      <c r="C415" s="38" t="s">
        <v>178</v>
      </c>
      <c r="D415" s="59"/>
      <c r="E415" s="59"/>
      <c r="F415" s="39"/>
      <c r="G415" s="39">
        <f>SUM(G416,G422,G424)</f>
        <v>126532000</v>
      </c>
      <c r="H415" s="154" t="b">
        <f t="shared" si="13"/>
        <v>1</v>
      </c>
      <c r="I415" s="154"/>
      <c r="J415" s="154"/>
    </row>
    <row r="416" spans="1:10" ht="14.25" x14ac:dyDescent="0.2">
      <c r="A416" s="7" t="s">
        <v>3093</v>
      </c>
      <c r="B416" s="60">
        <v>521211</v>
      </c>
      <c r="C416" s="41" t="s">
        <v>7</v>
      </c>
      <c r="D416" s="60"/>
      <c r="E416" s="60"/>
      <c r="F416" s="42"/>
      <c r="G416" s="42">
        <f>SUM(G417:G421)</f>
        <v>35500000</v>
      </c>
      <c r="H416" s="154" t="b">
        <f t="shared" si="13"/>
        <v>1</v>
      </c>
      <c r="I416" s="154"/>
      <c r="J416" s="154"/>
    </row>
    <row r="417" spans="1:10" ht="14.25" x14ac:dyDescent="0.2">
      <c r="A417" s="7" t="s">
        <v>3094</v>
      </c>
      <c r="B417" s="124"/>
      <c r="C417" s="123" t="s">
        <v>3587</v>
      </c>
      <c r="D417" s="124">
        <v>4</v>
      </c>
      <c r="E417" s="124" t="s">
        <v>9</v>
      </c>
      <c r="F417" s="125">
        <v>1500000</v>
      </c>
      <c r="G417" s="125">
        <f>ROUNDDOWN(D417*F417,-3)</f>
        <v>6000000</v>
      </c>
      <c r="H417" s="154" t="b">
        <f t="shared" si="13"/>
        <v>1</v>
      </c>
      <c r="I417" s="154"/>
      <c r="J417" s="154"/>
    </row>
    <row r="418" spans="1:10" ht="14.25" x14ac:dyDescent="0.2">
      <c r="A418" s="7" t="s">
        <v>3095</v>
      </c>
      <c r="B418" s="124"/>
      <c r="C418" s="123" t="s">
        <v>3784</v>
      </c>
      <c r="D418" s="124">
        <v>180</v>
      </c>
      <c r="E418" s="124" t="s">
        <v>10</v>
      </c>
      <c r="F418" s="125">
        <v>75000</v>
      </c>
      <c r="G418" s="125">
        <f>ROUNDDOWN(D418*F418,-3)</f>
        <v>13500000</v>
      </c>
      <c r="H418" s="154" t="b">
        <f t="shared" si="13"/>
        <v>1</v>
      </c>
      <c r="I418" s="154"/>
      <c r="J418" s="154"/>
    </row>
    <row r="419" spans="1:10" ht="14.25" x14ac:dyDescent="0.2">
      <c r="A419" s="7" t="s">
        <v>3096</v>
      </c>
      <c r="B419" s="124"/>
      <c r="C419" s="123" t="s">
        <v>3588</v>
      </c>
      <c r="D419" s="124">
        <v>4</v>
      </c>
      <c r="E419" s="124" t="s">
        <v>106</v>
      </c>
      <c r="F419" s="125">
        <v>1000000</v>
      </c>
      <c r="G419" s="125">
        <f>ROUNDDOWN(D419*F419,-3)</f>
        <v>4000000</v>
      </c>
      <c r="H419" s="154" t="b">
        <f t="shared" ref="H419:H482" si="15">_xlfn.ISFORMULA(G419)</f>
        <v>1</v>
      </c>
      <c r="I419" s="154"/>
      <c r="J419" s="154"/>
    </row>
    <row r="420" spans="1:10" ht="14.25" x14ac:dyDescent="0.2">
      <c r="A420" s="7" t="s">
        <v>3097</v>
      </c>
      <c r="B420" s="124"/>
      <c r="C420" s="123" t="s">
        <v>3589</v>
      </c>
      <c r="D420" s="124">
        <v>4</v>
      </c>
      <c r="E420" s="124" t="s">
        <v>106</v>
      </c>
      <c r="F420" s="125">
        <v>1500000</v>
      </c>
      <c r="G420" s="125">
        <f>ROUNDDOWN(D420*F420,-3)</f>
        <v>6000000</v>
      </c>
      <c r="H420" s="154" t="b">
        <f t="shared" si="15"/>
        <v>1</v>
      </c>
      <c r="I420" s="154"/>
      <c r="J420" s="154"/>
    </row>
    <row r="421" spans="1:10" ht="14.25" x14ac:dyDescent="0.2">
      <c r="A421" s="7" t="s">
        <v>3098</v>
      </c>
      <c r="B421" s="124"/>
      <c r="C421" s="123" t="s">
        <v>3797</v>
      </c>
      <c r="D421" s="124">
        <v>12</v>
      </c>
      <c r="E421" s="124" t="s">
        <v>176</v>
      </c>
      <c r="F421" s="125">
        <v>500000</v>
      </c>
      <c r="G421" s="125">
        <f>ROUNDDOWN(D421*F421,-3)</f>
        <v>6000000</v>
      </c>
      <c r="H421" s="154" t="b">
        <f t="shared" si="15"/>
        <v>1</v>
      </c>
      <c r="I421" s="154"/>
      <c r="J421" s="154"/>
    </row>
    <row r="422" spans="1:10" ht="14.25" x14ac:dyDescent="0.2">
      <c r="A422" s="7" t="s">
        <v>3100</v>
      </c>
      <c r="B422" s="60">
        <v>521219</v>
      </c>
      <c r="C422" s="41" t="s">
        <v>53</v>
      </c>
      <c r="D422" s="60"/>
      <c r="E422" s="60"/>
      <c r="F422" s="42"/>
      <c r="G422" s="42">
        <f>G423</f>
        <v>2000000</v>
      </c>
      <c r="H422" s="154" t="b">
        <f t="shared" si="15"/>
        <v>1</v>
      </c>
      <c r="I422" s="154"/>
      <c r="J422" s="154"/>
    </row>
    <row r="423" spans="1:10" ht="25.5" x14ac:dyDescent="0.2">
      <c r="A423" s="7" t="s">
        <v>3101</v>
      </c>
      <c r="B423" s="124"/>
      <c r="C423" s="123" t="s">
        <v>3790</v>
      </c>
      <c r="D423" s="124">
        <v>1</v>
      </c>
      <c r="E423" s="124" t="s">
        <v>153</v>
      </c>
      <c r="F423" s="125">
        <v>2000000</v>
      </c>
      <c r="G423" s="125">
        <f>ROUNDDOWN(D423*F423,-3)</f>
        <v>2000000</v>
      </c>
      <c r="H423" s="154" t="b">
        <f t="shared" si="15"/>
        <v>1</v>
      </c>
      <c r="I423" s="154"/>
      <c r="J423" s="154"/>
    </row>
    <row r="424" spans="1:10" ht="14.25" x14ac:dyDescent="0.2">
      <c r="A424" s="7" t="s">
        <v>3102</v>
      </c>
      <c r="B424" s="60">
        <v>524111</v>
      </c>
      <c r="C424" s="41" t="s">
        <v>19</v>
      </c>
      <c r="D424" s="60"/>
      <c r="E424" s="60"/>
      <c r="F424" s="42"/>
      <c r="G424" s="42">
        <f>G425</f>
        <v>89032000</v>
      </c>
      <c r="H424" s="154" t="b">
        <f t="shared" si="15"/>
        <v>1</v>
      </c>
      <c r="I424" s="154"/>
      <c r="J424" s="154"/>
    </row>
    <row r="425" spans="1:10" ht="14.25" x14ac:dyDescent="0.2">
      <c r="A425" s="7" t="s">
        <v>3103</v>
      </c>
      <c r="B425" s="124"/>
      <c r="C425" s="123" t="s">
        <v>3796</v>
      </c>
      <c r="D425" s="124">
        <v>22</v>
      </c>
      <c r="E425" s="124" t="s">
        <v>10</v>
      </c>
      <c r="F425" s="125">
        <v>4046950</v>
      </c>
      <c r="G425" s="125">
        <f>ROUNDDOWN(D425*F425,-3)</f>
        <v>89032000</v>
      </c>
      <c r="H425" s="154" t="b">
        <f t="shared" si="15"/>
        <v>1</v>
      </c>
      <c r="I425" s="154"/>
      <c r="J425" s="154"/>
    </row>
    <row r="426" spans="1:10" ht="14.25" x14ac:dyDescent="0.2">
      <c r="A426" s="7" t="s">
        <v>3104</v>
      </c>
      <c r="B426" s="119" t="s">
        <v>3798</v>
      </c>
      <c r="C426" s="118" t="s">
        <v>3106</v>
      </c>
      <c r="D426" s="119">
        <v>1</v>
      </c>
      <c r="E426" s="119" t="s">
        <v>3782</v>
      </c>
      <c r="F426" s="120"/>
      <c r="G426" s="120">
        <f>G427</f>
        <v>289920000</v>
      </c>
      <c r="H426" s="154" t="b">
        <f t="shared" si="15"/>
        <v>1</v>
      </c>
      <c r="I426" s="154"/>
      <c r="J426" s="154"/>
    </row>
    <row r="427" spans="1:10" ht="25.5" x14ac:dyDescent="0.2">
      <c r="A427" s="7" t="s">
        <v>3318</v>
      </c>
      <c r="B427" s="58">
        <v>301</v>
      </c>
      <c r="C427" s="35" t="s">
        <v>3319</v>
      </c>
      <c r="D427" s="58"/>
      <c r="E427" s="58"/>
      <c r="F427" s="36"/>
      <c r="G427" s="36">
        <f>SUM(G428,G438,G447,G455,G468,G476)</f>
        <v>289920000</v>
      </c>
      <c r="H427" s="154" t="b">
        <f t="shared" si="15"/>
        <v>1</v>
      </c>
      <c r="I427" s="154"/>
      <c r="J427" s="154"/>
    </row>
    <row r="428" spans="1:10" ht="14.25" x14ac:dyDescent="0.2">
      <c r="A428" s="7" t="s">
        <v>3320</v>
      </c>
      <c r="B428" s="59" t="s">
        <v>8</v>
      </c>
      <c r="C428" s="38" t="s">
        <v>143</v>
      </c>
      <c r="D428" s="59"/>
      <c r="E428" s="59"/>
      <c r="F428" s="39"/>
      <c r="G428" s="39">
        <f>SUM(G429,G434,G436)</f>
        <v>40700000</v>
      </c>
      <c r="H428" s="154" t="b">
        <f t="shared" si="15"/>
        <v>1</v>
      </c>
      <c r="I428" s="154"/>
      <c r="J428" s="154"/>
    </row>
    <row r="429" spans="1:10" ht="14.25" x14ac:dyDescent="0.2">
      <c r="A429" s="7" t="s">
        <v>3321</v>
      </c>
      <c r="B429" s="60">
        <v>521211</v>
      </c>
      <c r="C429" s="41" t="s">
        <v>7</v>
      </c>
      <c r="D429" s="60"/>
      <c r="E429" s="60"/>
      <c r="F429" s="42"/>
      <c r="G429" s="42">
        <f>SUM(G430:G433)</f>
        <v>23900000</v>
      </c>
      <c r="H429" s="154" t="b">
        <f t="shared" si="15"/>
        <v>1</v>
      </c>
      <c r="I429" s="154"/>
      <c r="J429" s="154"/>
    </row>
    <row r="430" spans="1:10" ht="14.25" x14ac:dyDescent="0.2">
      <c r="A430" s="7" t="s">
        <v>3322</v>
      </c>
      <c r="B430" s="124"/>
      <c r="C430" s="123" t="s">
        <v>3587</v>
      </c>
      <c r="D430" s="124">
        <v>5</v>
      </c>
      <c r="E430" s="124" t="s">
        <v>9</v>
      </c>
      <c r="F430" s="125">
        <v>1500000</v>
      </c>
      <c r="G430" s="125">
        <f>ROUNDDOWN(D430*F430,-3)</f>
        <v>7500000</v>
      </c>
      <c r="H430" s="154" t="b">
        <f t="shared" si="15"/>
        <v>1</v>
      </c>
      <c r="I430" s="154"/>
      <c r="J430" s="154"/>
    </row>
    <row r="431" spans="1:10" ht="14.25" x14ac:dyDescent="0.2">
      <c r="A431" s="7" t="s">
        <v>3323</v>
      </c>
      <c r="B431" s="124"/>
      <c r="C431" s="123" t="s">
        <v>3784</v>
      </c>
      <c r="D431" s="124">
        <v>20</v>
      </c>
      <c r="E431" s="124" t="s">
        <v>10</v>
      </c>
      <c r="F431" s="125">
        <v>70000</v>
      </c>
      <c r="G431" s="125">
        <f>ROUNDDOWN(D431*F431,-3)</f>
        <v>1400000</v>
      </c>
      <c r="H431" s="154" t="b">
        <f t="shared" si="15"/>
        <v>1</v>
      </c>
      <c r="I431" s="154"/>
      <c r="J431" s="154"/>
    </row>
    <row r="432" spans="1:10" ht="14.25" x14ac:dyDescent="0.2">
      <c r="A432" s="7" t="s">
        <v>3324</v>
      </c>
      <c r="B432" s="124"/>
      <c r="C432" s="123" t="s">
        <v>3588</v>
      </c>
      <c r="D432" s="124">
        <v>6</v>
      </c>
      <c r="E432" s="124" t="s">
        <v>106</v>
      </c>
      <c r="F432" s="125">
        <v>1000000</v>
      </c>
      <c r="G432" s="125">
        <f>ROUNDDOWN(D432*F432,-3)</f>
        <v>6000000</v>
      </c>
      <c r="H432" s="154" t="b">
        <f t="shared" si="15"/>
        <v>1</v>
      </c>
      <c r="I432" s="154"/>
      <c r="J432" s="154"/>
    </row>
    <row r="433" spans="1:10" ht="14.25" x14ac:dyDescent="0.2">
      <c r="A433" s="7" t="s">
        <v>3325</v>
      </c>
      <c r="B433" s="124"/>
      <c r="C433" s="123" t="s">
        <v>3589</v>
      </c>
      <c r="D433" s="124">
        <v>6</v>
      </c>
      <c r="E433" s="124" t="s">
        <v>106</v>
      </c>
      <c r="F433" s="125">
        <v>1500000</v>
      </c>
      <c r="G433" s="125">
        <f>ROUNDDOWN(D433*F433,-3)</f>
        <v>9000000</v>
      </c>
      <c r="H433" s="154" t="b">
        <f t="shared" si="15"/>
        <v>1</v>
      </c>
      <c r="I433" s="154"/>
      <c r="J433" s="154"/>
    </row>
    <row r="434" spans="1:10" ht="14.25" x14ac:dyDescent="0.2">
      <c r="A434" s="7" t="s">
        <v>3326</v>
      </c>
      <c r="B434" s="60">
        <v>524111</v>
      </c>
      <c r="C434" s="41" t="s">
        <v>19</v>
      </c>
      <c r="D434" s="60"/>
      <c r="E434" s="60"/>
      <c r="F434" s="42"/>
      <c r="G434" s="42">
        <f>G435</f>
        <v>15000000</v>
      </c>
      <c r="H434" s="154" t="b">
        <f t="shared" si="15"/>
        <v>1</v>
      </c>
      <c r="I434" s="154"/>
      <c r="J434" s="154"/>
    </row>
    <row r="435" spans="1:10" ht="14.25" x14ac:dyDescent="0.2">
      <c r="A435" s="7" t="s">
        <v>3327</v>
      </c>
      <c r="B435" s="124"/>
      <c r="C435" s="123" t="s">
        <v>3800</v>
      </c>
      <c r="D435" s="124">
        <v>5</v>
      </c>
      <c r="E435" s="124" t="s">
        <v>10</v>
      </c>
      <c r="F435" s="125">
        <v>3000000</v>
      </c>
      <c r="G435" s="125">
        <f>ROUNDDOWN(D435*F435,-3)</f>
        <v>15000000</v>
      </c>
      <c r="H435" s="154" t="b">
        <f t="shared" si="15"/>
        <v>1</v>
      </c>
      <c r="I435" s="154"/>
      <c r="J435" s="154"/>
    </row>
    <row r="436" spans="1:10" ht="14.25" x14ac:dyDescent="0.2">
      <c r="A436" s="7" t="s">
        <v>3329</v>
      </c>
      <c r="B436" s="60">
        <v>524113</v>
      </c>
      <c r="C436" s="41" t="s">
        <v>13</v>
      </c>
      <c r="D436" s="60"/>
      <c r="E436" s="60"/>
      <c r="F436" s="42"/>
      <c r="G436" s="42">
        <f>G437</f>
        <v>1800000</v>
      </c>
      <c r="H436" s="154" t="b">
        <f t="shared" si="15"/>
        <v>1</v>
      </c>
      <c r="I436" s="154"/>
      <c r="J436" s="154"/>
    </row>
    <row r="437" spans="1:10" ht="14.25" x14ac:dyDescent="0.2">
      <c r="A437" s="7" t="s">
        <v>3330</v>
      </c>
      <c r="B437" s="124"/>
      <c r="C437" s="123" t="s">
        <v>3590</v>
      </c>
      <c r="D437" s="124">
        <v>12</v>
      </c>
      <c r="E437" s="124" t="s">
        <v>10</v>
      </c>
      <c r="F437" s="125">
        <v>150000</v>
      </c>
      <c r="G437" s="125">
        <f>ROUNDDOWN(D437*F437,-3)</f>
        <v>1800000</v>
      </c>
      <c r="H437" s="154" t="b">
        <f t="shared" si="15"/>
        <v>1</v>
      </c>
      <c r="I437" s="154"/>
      <c r="J437" s="154"/>
    </row>
    <row r="438" spans="1:10" ht="14.25" x14ac:dyDescent="0.2">
      <c r="A438" s="7" t="s">
        <v>3331</v>
      </c>
      <c r="B438" s="59" t="s">
        <v>511</v>
      </c>
      <c r="C438" s="38" t="s">
        <v>144</v>
      </c>
      <c r="D438" s="59"/>
      <c r="E438" s="59"/>
      <c r="F438" s="39"/>
      <c r="G438" s="39">
        <f>SUM(G439,G443,G445)</f>
        <v>30900000</v>
      </c>
      <c r="H438" s="154" t="b">
        <f t="shared" si="15"/>
        <v>1</v>
      </c>
      <c r="I438" s="154"/>
      <c r="J438" s="154"/>
    </row>
    <row r="439" spans="1:10" ht="14.25" x14ac:dyDescent="0.2">
      <c r="A439" s="7" t="s">
        <v>3332</v>
      </c>
      <c r="B439" s="60">
        <v>521211</v>
      </c>
      <c r="C439" s="41" t="s">
        <v>7</v>
      </c>
      <c r="D439" s="60"/>
      <c r="E439" s="60"/>
      <c r="F439" s="42"/>
      <c r="G439" s="42">
        <f>SUM(G440:G442)</f>
        <v>11400000</v>
      </c>
      <c r="H439" s="154" t="b">
        <f t="shared" si="15"/>
        <v>1</v>
      </c>
      <c r="I439" s="154"/>
      <c r="J439" s="154"/>
    </row>
    <row r="440" spans="1:10" ht="14.25" x14ac:dyDescent="0.2">
      <c r="A440" s="7" t="s">
        <v>3333</v>
      </c>
      <c r="B440" s="124"/>
      <c r="C440" s="123" t="s">
        <v>3781</v>
      </c>
      <c r="D440" s="124">
        <v>4</v>
      </c>
      <c r="E440" s="124" t="s">
        <v>9</v>
      </c>
      <c r="F440" s="125">
        <v>1500000</v>
      </c>
      <c r="G440" s="125">
        <f>ROUNDDOWN(D440*F440,-3)</f>
        <v>6000000</v>
      </c>
      <c r="H440" s="154" t="b">
        <f t="shared" si="15"/>
        <v>1</v>
      </c>
      <c r="I440" s="154"/>
      <c r="J440" s="154"/>
    </row>
    <row r="441" spans="1:10" ht="14.25" x14ac:dyDescent="0.2">
      <c r="A441" s="7" t="s">
        <v>3334</v>
      </c>
      <c r="B441" s="124"/>
      <c r="C441" s="123" t="s">
        <v>3784</v>
      </c>
      <c r="D441" s="124">
        <v>20</v>
      </c>
      <c r="E441" s="124" t="s">
        <v>10</v>
      </c>
      <c r="F441" s="125">
        <v>70000</v>
      </c>
      <c r="G441" s="125">
        <f>ROUNDDOWN(D441*F441,-3)</f>
        <v>1400000</v>
      </c>
      <c r="H441" s="154" t="b">
        <f t="shared" si="15"/>
        <v>1</v>
      </c>
      <c r="I441" s="154"/>
      <c r="J441" s="154"/>
    </row>
    <row r="442" spans="1:10" ht="14.25" x14ac:dyDescent="0.2">
      <c r="A442" s="7" t="s">
        <v>3335</v>
      </c>
      <c r="B442" s="124"/>
      <c r="C442" s="123" t="s">
        <v>3588</v>
      </c>
      <c r="D442" s="124">
        <v>4</v>
      </c>
      <c r="E442" s="124" t="s">
        <v>106</v>
      </c>
      <c r="F442" s="125">
        <v>1000000</v>
      </c>
      <c r="G442" s="125">
        <f>ROUNDDOWN(D442*F442,-3)</f>
        <v>4000000</v>
      </c>
      <c r="H442" s="154" t="b">
        <f t="shared" si="15"/>
        <v>1</v>
      </c>
      <c r="I442" s="154"/>
      <c r="J442" s="154"/>
    </row>
    <row r="443" spans="1:10" ht="14.25" x14ac:dyDescent="0.2">
      <c r="A443" s="7" t="s">
        <v>3336</v>
      </c>
      <c r="B443" s="60">
        <v>524111</v>
      </c>
      <c r="C443" s="41" t="s">
        <v>19</v>
      </c>
      <c r="D443" s="60"/>
      <c r="E443" s="60"/>
      <c r="F443" s="42"/>
      <c r="G443" s="42">
        <f>G444</f>
        <v>18000000</v>
      </c>
      <c r="H443" s="154" t="b">
        <f t="shared" si="15"/>
        <v>1</v>
      </c>
      <c r="I443" s="154"/>
      <c r="J443" s="154"/>
    </row>
    <row r="444" spans="1:10" ht="14.25" x14ac:dyDescent="0.2">
      <c r="A444" s="7" t="s">
        <v>3337</v>
      </c>
      <c r="B444" s="124"/>
      <c r="C444" s="123" t="s">
        <v>3800</v>
      </c>
      <c r="D444" s="124">
        <v>6</v>
      </c>
      <c r="E444" s="124" t="s">
        <v>10</v>
      </c>
      <c r="F444" s="125">
        <v>3000000</v>
      </c>
      <c r="G444" s="125">
        <f>ROUNDDOWN(D444*F444,-3)</f>
        <v>18000000</v>
      </c>
      <c r="H444" s="154" t="b">
        <f t="shared" si="15"/>
        <v>1</v>
      </c>
      <c r="I444" s="154"/>
      <c r="J444" s="154"/>
    </row>
    <row r="445" spans="1:10" ht="14.25" x14ac:dyDescent="0.2">
      <c r="A445" s="7" t="s">
        <v>3338</v>
      </c>
      <c r="B445" s="60">
        <v>524113</v>
      </c>
      <c r="C445" s="41" t="s">
        <v>13</v>
      </c>
      <c r="D445" s="60"/>
      <c r="E445" s="60"/>
      <c r="F445" s="42"/>
      <c r="G445" s="42">
        <f>G446</f>
        <v>1500000</v>
      </c>
      <c r="H445" s="154" t="b">
        <f t="shared" si="15"/>
        <v>1</v>
      </c>
      <c r="I445" s="154"/>
      <c r="J445" s="154"/>
    </row>
    <row r="446" spans="1:10" ht="14.25" x14ac:dyDescent="0.2">
      <c r="A446" s="7" t="s">
        <v>3339</v>
      </c>
      <c r="B446" s="124"/>
      <c r="C446" s="123" t="s">
        <v>3593</v>
      </c>
      <c r="D446" s="124">
        <v>10</v>
      </c>
      <c r="E446" s="124" t="s">
        <v>10</v>
      </c>
      <c r="F446" s="125">
        <v>150000</v>
      </c>
      <c r="G446" s="125">
        <f>ROUNDDOWN(D446*F446,-3)</f>
        <v>1500000</v>
      </c>
      <c r="H446" s="154" t="b">
        <f t="shared" si="15"/>
        <v>1</v>
      </c>
      <c r="I446" s="154"/>
      <c r="J446" s="154"/>
    </row>
    <row r="447" spans="1:10" ht="14.25" x14ac:dyDescent="0.2">
      <c r="A447" s="7" t="s">
        <v>3340</v>
      </c>
      <c r="B447" s="59" t="s">
        <v>512</v>
      </c>
      <c r="C447" s="38" t="s">
        <v>145</v>
      </c>
      <c r="D447" s="59"/>
      <c r="E447" s="59"/>
      <c r="F447" s="39"/>
      <c r="G447" s="39">
        <f>SUM(G448,G451,G453)</f>
        <v>26500000</v>
      </c>
      <c r="H447" s="154" t="b">
        <f t="shared" si="15"/>
        <v>1</v>
      </c>
      <c r="I447" s="154"/>
      <c r="J447" s="154"/>
    </row>
    <row r="448" spans="1:10" ht="14.25" x14ac:dyDescent="0.2">
      <c r="A448" s="7" t="s">
        <v>3341</v>
      </c>
      <c r="B448" s="60">
        <v>521211</v>
      </c>
      <c r="C448" s="41" t="s">
        <v>7</v>
      </c>
      <c r="D448" s="60"/>
      <c r="E448" s="60"/>
      <c r="F448" s="42"/>
      <c r="G448" s="42">
        <f>SUM(G449:G450)</f>
        <v>10000000</v>
      </c>
      <c r="H448" s="154" t="b">
        <f t="shared" si="15"/>
        <v>1</v>
      </c>
      <c r="I448" s="154"/>
      <c r="J448" s="154"/>
    </row>
    <row r="449" spans="1:10" ht="14.25" x14ac:dyDescent="0.2">
      <c r="A449" s="7" t="s">
        <v>3342</v>
      </c>
      <c r="B449" s="124"/>
      <c r="C449" s="123" t="s">
        <v>3781</v>
      </c>
      <c r="D449" s="124">
        <v>4</v>
      </c>
      <c r="E449" s="124" t="s">
        <v>9</v>
      </c>
      <c r="F449" s="125">
        <v>1500000</v>
      </c>
      <c r="G449" s="125">
        <f>ROUNDDOWN(D449*F449,-3)</f>
        <v>6000000</v>
      </c>
      <c r="H449" s="154" t="b">
        <f t="shared" si="15"/>
        <v>1</v>
      </c>
      <c r="I449" s="154"/>
      <c r="J449" s="154"/>
    </row>
    <row r="450" spans="1:10" ht="14.25" x14ac:dyDescent="0.2">
      <c r="A450" s="7" t="s">
        <v>3343</v>
      </c>
      <c r="B450" s="124"/>
      <c r="C450" s="123" t="s">
        <v>3598</v>
      </c>
      <c r="D450" s="124">
        <v>4</v>
      </c>
      <c r="E450" s="124" t="s">
        <v>106</v>
      </c>
      <c r="F450" s="125">
        <v>1000000</v>
      </c>
      <c r="G450" s="125">
        <f>ROUNDDOWN(D450*F450,-3)</f>
        <v>4000000</v>
      </c>
      <c r="H450" s="154" t="b">
        <f t="shared" si="15"/>
        <v>1</v>
      </c>
      <c r="I450" s="154"/>
      <c r="J450" s="154"/>
    </row>
    <row r="451" spans="1:10" ht="14.25" x14ac:dyDescent="0.2">
      <c r="A451" s="7" t="s">
        <v>3344</v>
      </c>
      <c r="B451" s="60">
        <v>524111</v>
      </c>
      <c r="C451" s="41" t="s">
        <v>19</v>
      </c>
      <c r="D451" s="60"/>
      <c r="E451" s="60"/>
      <c r="F451" s="42"/>
      <c r="G451" s="42">
        <f>G452</f>
        <v>15000000</v>
      </c>
      <c r="H451" s="154" t="b">
        <f t="shared" si="15"/>
        <v>1</v>
      </c>
      <c r="I451" s="154"/>
      <c r="J451" s="154"/>
    </row>
    <row r="452" spans="1:10" ht="14.25" x14ac:dyDescent="0.2">
      <c r="A452" s="7" t="s">
        <v>3345</v>
      </c>
      <c r="B452" s="124"/>
      <c r="C452" s="123" t="s">
        <v>3801</v>
      </c>
      <c r="D452" s="124">
        <v>5</v>
      </c>
      <c r="E452" s="124" t="s">
        <v>10</v>
      </c>
      <c r="F452" s="125">
        <v>3000000</v>
      </c>
      <c r="G452" s="125">
        <f>ROUNDDOWN(D452*F452,-3)</f>
        <v>15000000</v>
      </c>
      <c r="H452" s="154" t="b">
        <f t="shared" si="15"/>
        <v>1</v>
      </c>
      <c r="I452" s="154"/>
      <c r="J452" s="154"/>
    </row>
    <row r="453" spans="1:10" ht="14.25" x14ac:dyDescent="0.2">
      <c r="A453" s="7" t="s">
        <v>3347</v>
      </c>
      <c r="B453" s="60">
        <v>524113</v>
      </c>
      <c r="C453" s="41" t="s">
        <v>13</v>
      </c>
      <c r="D453" s="60"/>
      <c r="E453" s="60"/>
      <c r="F453" s="42"/>
      <c r="G453" s="42">
        <f>G454</f>
        <v>1500000</v>
      </c>
      <c r="H453" s="154" t="b">
        <f t="shared" si="15"/>
        <v>1</v>
      </c>
      <c r="I453" s="154"/>
      <c r="J453" s="154"/>
    </row>
    <row r="454" spans="1:10" ht="14.25" x14ac:dyDescent="0.2">
      <c r="A454" s="7" t="s">
        <v>3348</v>
      </c>
      <c r="B454" s="124"/>
      <c r="C454" s="123" t="s">
        <v>3593</v>
      </c>
      <c r="D454" s="124">
        <v>10</v>
      </c>
      <c r="E454" s="124" t="s">
        <v>10</v>
      </c>
      <c r="F454" s="125">
        <v>150000</v>
      </c>
      <c r="G454" s="125">
        <f>ROUNDDOWN(D454*F454,-3)</f>
        <v>1500000</v>
      </c>
      <c r="H454" s="154" t="b">
        <f t="shared" si="15"/>
        <v>1</v>
      </c>
      <c r="I454" s="154"/>
      <c r="J454" s="154"/>
    </row>
    <row r="455" spans="1:10" ht="14.25" x14ac:dyDescent="0.2">
      <c r="A455" s="7" t="s">
        <v>3349</v>
      </c>
      <c r="B455" s="59" t="s">
        <v>514</v>
      </c>
      <c r="C455" s="38" t="s">
        <v>3350</v>
      </c>
      <c r="D455" s="59"/>
      <c r="E455" s="59"/>
      <c r="F455" s="39"/>
      <c r="G455" s="39">
        <f>SUM(G456,G462,G464,G466)</f>
        <v>86700000</v>
      </c>
      <c r="H455" s="154" t="b">
        <f t="shared" si="15"/>
        <v>1</v>
      </c>
      <c r="I455" s="154"/>
      <c r="J455" s="154"/>
    </row>
    <row r="456" spans="1:10" ht="14.25" x14ac:dyDescent="0.2">
      <c r="A456" s="7" t="s">
        <v>3351</v>
      </c>
      <c r="B456" s="60">
        <v>521211</v>
      </c>
      <c r="C456" s="41" t="s">
        <v>7</v>
      </c>
      <c r="D456" s="60"/>
      <c r="E456" s="60"/>
      <c r="F456" s="42"/>
      <c r="G456" s="42">
        <f>SUM(G457:G461)</f>
        <v>32400000</v>
      </c>
      <c r="H456" s="154" t="b">
        <f t="shared" si="15"/>
        <v>1</v>
      </c>
      <c r="I456" s="154"/>
      <c r="J456" s="154"/>
    </row>
    <row r="457" spans="1:10" ht="14.25" x14ac:dyDescent="0.2">
      <c r="A457" s="7" t="s">
        <v>3352</v>
      </c>
      <c r="B457" s="124"/>
      <c r="C457" s="123" t="s">
        <v>3781</v>
      </c>
      <c r="D457" s="124">
        <v>6</v>
      </c>
      <c r="E457" s="124" t="s">
        <v>9</v>
      </c>
      <c r="F457" s="125">
        <v>1500000</v>
      </c>
      <c r="G457" s="125">
        <f>ROUNDDOWN(D457*F457,-3)</f>
        <v>9000000</v>
      </c>
      <c r="H457" s="154" t="b">
        <f t="shared" si="15"/>
        <v>1</v>
      </c>
      <c r="I457" s="154"/>
      <c r="J457" s="154"/>
    </row>
    <row r="458" spans="1:10" ht="14.25" x14ac:dyDescent="0.2">
      <c r="A458" s="7" t="s">
        <v>3353</v>
      </c>
      <c r="B458" s="124"/>
      <c r="C458" s="123" t="s">
        <v>3784</v>
      </c>
      <c r="D458" s="124">
        <v>20</v>
      </c>
      <c r="E458" s="124" t="s">
        <v>10</v>
      </c>
      <c r="F458" s="125">
        <v>70000</v>
      </c>
      <c r="G458" s="125">
        <f>ROUNDDOWN(D458*F458,-3)</f>
        <v>1400000</v>
      </c>
      <c r="H458" s="154" t="b">
        <f t="shared" si="15"/>
        <v>1</v>
      </c>
      <c r="I458" s="154"/>
      <c r="J458" s="154"/>
    </row>
    <row r="459" spans="1:10" s="156" customFormat="1" ht="14.25" x14ac:dyDescent="0.2">
      <c r="A459" s="155" t="s">
        <v>3354</v>
      </c>
      <c r="B459" s="124"/>
      <c r="C459" s="123" t="s">
        <v>3802</v>
      </c>
      <c r="D459" s="124">
        <v>28</v>
      </c>
      <c r="E459" s="124" t="s">
        <v>176</v>
      </c>
      <c r="F459" s="125">
        <v>500000</v>
      </c>
      <c r="G459" s="125">
        <f>ROUNDDOWN(D459*F459,-3)</f>
        <v>14000000</v>
      </c>
      <c r="H459" s="154" t="b">
        <f t="shared" si="15"/>
        <v>1</v>
      </c>
      <c r="I459" s="154"/>
      <c r="J459" s="154"/>
    </row>
    <row r="460" spans="1:10" ht="14.25" x14ac:dyDescent="0.2">
      <c r="A460" s="7" t="s">
        <v>3356</v>
      </c>
      <c r="B460" s="124"/>
      <c r="C460" s="123" t="s">
        <v>3803</v>
      </c>
      <c r="D460" s="124">
        <v>4</v>
      </c>
      <c r="E460" s="124" t="s">
        <v>58</v>
      </c>
      <c r="F460" s="125">
        <v>500000</v>
      </c>
      <c r="G460" s="125">
        <f>ROUNDDOWN(D460*F460,-3)</f>
        <v>2000000</v>
      </c>
      <c r="H460" s="154" t="b">
        <f t="shared" si="15"/>
        <v>1</v>
      </c>
      <c r="I460" s="154"/>
      <c r="J460" s="154"/>
    </row>
    <row r="461" spans="1:10" ht="14.25" x14ac:dyDescent="0.2">
      <c r="A461" s="7" t="s">
        <v>3358</v>
      </c>
      <c r="B461" s="124"/>
      <c r="C461" s="123" t="s">
        <v>3799</v>
      </c>
      <c r="D461" s="124">
        <v>6</v>
      </c>
      <c r="E461" s="124" t="s">
        <v>106</v>
      </c>
      <c r="F461" s="125">
        <v>1000000</v>
      </c>
      <c r="G461" s="125">
        <f>ROUNDDOWN(D461*F461,-3)</f>
        <v>6000000</v>
      </c>
      <c r="H461" s="154" t="b">
        <f t="shared" si="15"/>
        <v>1</v>
      </c>
      <c r="I461" s="154"/>
      <c r="J461" s="154"/>
    </row>
    <row r="462" spans="1:10" ht="14.25" x14ac:dyDescent="0.2">
      <c r="A462" s="7" t="s">
        <v>3359</v>
      </c>
      <c r="B462" s="60">
        <v>522151</v>
      </c>
      <c r="C462" s="41" t="s">
        <v>11</v>
      </c>
      <c r="D462" s="60"/>
      <c r="E462" s="60"/>
      <c r="F462" s="42"/>
      <c r="G462" s="42">
        <f>G463</f>
        <v>9000000</v>
      </c>
      <c r="H462" s="154" t="b">
        <f t="shared" si="15"/>
        <v>1</v>
      </c>
      <c r="I462" s="154"/>
      <c r="J462" s="154"/>
    </row>
    <row r="463" spans="1:10" ht="14.25" x14ac:dyDescent="0.2">
      <c r="A463" s="7" t="s">
        <v>3360</v>
      </c>
      <c r="B463" s="124"/>
      <c r="C463" s="123" t="s">
        <v>3603</v>
      </c>
      <c r="D463" s="124">
        <v>10</v>
      </c>
      <c r="E463" s="124" t="s">
        <v>12</v>
      </c>
      <c r="F463" s="125">
        <v>900000</v>
      </c>
      <c r="G463" s="125">
        <f>ROUNDDOWN(D463*F463,-3)</f>
        <v>9000000</v>
      </c>
      <c r="H463" s="154" t="b">
        <f t="shared" si="15"/>
        <v>1</v>
      </c>
      <c r="I463" s="154"/>
      <c r="J463" s="154"/>
    </row>
    <row r="464" spans="1:10" ht="14.25" x14ac:dyDescent="0.2">
      <c r="A464" s="7" t="s">
        <v>3361</v>
      </c>
      <c r="B464" s="60">
        <v>524111</v>
      </c>
      <c r="C464" s="41" t="s">
        <v>19</v>
      </c>
      <c r="D464" s="60"/>
      <c r="E464" s="60"/>
      <c r="F464" s="42"/>
      <c r="G464" s="42">
        <f>G465</f>
        <v>42000000</v>
      </c>
      <c r="H464" s="154" t="b">
        <f t="shared" si="15"/>
        <v>1</v>
      </c>
      <c r="I464" s="154"/>
      <c r="J464" s="154"/>
    </row>
    <row r="465" spans="1:10" ht="25.5" x14ac:dyDescent="0.2">
      <c r="A465" s="7" t="s">
        <v>3362</v>
      </c>
      <c r="B465" s="124"/>
      <c r="C465" s="123" t="s">
        <v>3804</v>
      </c>
      <c r="D465" s="124">
        <v>14</v>
      </c>
      <c r="E465" s="124" t="s">
        <v>10</v>
      </c>
      <c r="F465" s="125">
        <v>3000000</v>
      </c>
      <c r="G465" s="125">
        <f>ROUNDDOWN(D465*F465,-3)</f>
        <v>42000000</v>
      </c>
      <c r="H465" s="154" t="b">
        <f t="shared" si="15"/>
        <v>1</v>
      </c>
      <c r="I465" s="154"/>
      <c r="J465" s="154"/>
    </row>
    <row r="466" spans="1:10" ht="14.25" x14ac:dyDescent="0.2">
      <c r="A466" s="7" t="s">
        <v>3364</v>
      </c>
      <c r="B466" s="60">
        <v>524113</v>
      </c>
      <c r="C466" s="41" t="s">
        <v>13</v>
      </c>
      <c r="D466" s="60"/>
      <c r="E466" s="60"/>
      <c r="F466" s="42"/>
      <c r="G466" s="42">
        <f>G467</f>
        <v>3300000</v>
      </c>
      <c r="H466" s="154" t="b">
        <f t="shared" si="15"/>
        <v>1</v>
      </c>
      <c r="I466" s="154"/>
      <c r="J466" s="154"/>
    </row>
    <row r="467" spans="1:10" ht="25.5" x14ac:dyDescent="0.2">
      <c r="A467" s="7" t="s">
        <v>3365</v>
      </c>
      <c r="B467" s="124"/>
      <c r="C467" s="123" t="s">
        <v>3805</v>
      </c>
      <c r="D467" s="124">
        <v>22</v>
      </c>
      <c r="E467" s="124" t="s">
        <v>10</v>
      </c>
      <c r="F467" s="125">
        <v>150000</v>
      </c>
      <c r="G467" s="125">
        <f>ROUNDDOWN(D467*F467,-3)</f>
        <v>3300000</v>
      </c>
      <c r="H467" s="154" t="b">
        <f t="shared" si="15"/>
        <v>1</v>
      </c>
      <c r="I467" s="154"/>
      <c r="J467" s="154"/>
    </row>
    <row r="468" spans="1:10" ht="14.25" x14ac:dyDescent="0.2">
      <c r="A468" s="7" t="s">
        <v>3367</v>
      </c>
      <c r="B468" s="59" t="s">
        <v>519</v>
      </c>
      <c r="C468" s="38" t="s">
        <v>146</v>
      </c>
      <c r="D468" s="59"/>
      <c r="E468" s="59"/>
      <c r="F468" s="39"/>
      <c r="G468" s="39">
        <f>SUM(G469,G472,G474)</f>
        <v>28800000</v>
      </c>
      <c r="H468" s="154" t="b">
        <f t="shared" si="15"/>
        <v>1</v>
      </c>
      <c r="I468" s="154"/>
      <c r="J468" s="154"/>
    </row>
    <row r="469" spans="1:10" ht="14.25" x14ac:dyDescent="0.2">
      <c r="A469" s="7" t="s">
        <v>3368</v>
      </c>
      <c r="B469" s="60">
        <v>521211</v>
      </c>
      <c r="C469" s="41" t="s">
        <v>7</v>
      </c>
      <c r="D469" s="60"/>
      <c r="E469" s="60"/>
      <c r="F469" s="42"/>
      <c r="G469" s="42">
        <f>SUM(G470:G471)</f>
        <v>15000000</v>
      </c>
      <c r="H469" s="154" t="b">
        <f t="shared" si="15"/>
        <v>1</v>
      </c>
      <c r="I469" s="154"/>
      <c r="J469" s="154"/>
    </row>
    <row r="470" spans="1:10" ht="14.25" x14ac:dyDescent="0.2">
      <c r="A470" s="7" t="s">
        <v>3369</v>
      </c>
      <c r="B470" s="124"/>
      <c r="C470" s="123" t="s">
        <v>3781</v>
      </c>
      <c r="D470" s="124">
        <v>6</v>
      </c>
      <c r="E470" s="124" t="s">
        <v>9</v>
      </c>
      <c r="F470" s="125">
        <v>1500000</v>
      </c>
      <c r="G470" s="125">
        <f>ROUNDDOWN(D470*F470,-3)</f>
        <v>9000000</v>
      </c>
      <c r="H470" s="154" t="b">
        <f t="shared" si="15"/>
        <v>1</v>
      </c>
      <c r="I470" s="154"/>
      <c r="J470" s="154"/>
    </row>
    <row r="471" spans="1:10" ht="14.25" x14ac:dyDescent="0.2">
      <c r="A471" s="7" t="s">
        <v>3370</v>
      </c>
      <c r="B471" s="124"/>
      <c r="C471" s="123" t="s">
        <v>3598</v>
      </c>
      <c r="D471" s="124">
        <v>6</v>
      </c>
      <c r="E471" s="124" t="s">
        <v>106</v>
      </c>
      <c r="F471" s="125">
        <v>1000000</v>
      </c>
      <c r="G471" s="125">
        <f>ROUNDDOWN(D471*F471,-3)</f>
        <v>6000000</v>
      </c>
      <c r="H471" s="154" t="b">
        <f t="shared" si="15"/>
        <v>1</v>
      </c>
      <c r="I471" s="154"/>
      <c r="J471" s="154"/>
    </row>
    <row r="472" spans="1:10" ht="14.25" x14ac:dyDescent="0.2">
      <c r="A472" s="7" t="s">
        <v>3371</v>
      </c>
      <c r="B472" s="60">
        <v>524111</v>
      </c>
      <c r="C472" s="41" t="s">
        <v>19</v>
      </c>
      <c r="D472" s="60"/>
      <c r="E472" s="60"/>
      <c r="F472" s="42"/>
      <c r="G472" s="42">
        <f>G473</f>
        <v>12000000</v>
      </c>
      <c r="H472" s="154" t="b">
        <f t="shared" si="15"/>
        <v>1</v>
      </c>
      <c r="I472" s="154"/>
      <c r="J472" s="154"/>
    </row>
    <row r="473" spans="1:10" ht="14.25" x14ac:dyDescent="0.2">
      <c r="A473" s="7" t="s">
        <v>3372</v>
      </c>
      <c r="B473" s="124"/>
      <c r="C473" s="123" t="s">
        <v>3806</v>
      </c>
      <c r="D473" s="124">
        <v>4</v>
      </c>
      <c r="E473" s="124" t="s">
        <v>10</v>
      </c>
      <c r="F473" s="125">
        <v>3000000</v>
      </c>
      <c r="G473" s="125">
        <f>ROUNDDOWN(D473*F473,-3)</f>
        <v>12000000</v>
      </c>
      <c r="H473" s="154" t="b">
        <f t="shared" si="15"/>
        <v>1</v>
      </c>
      <c r="I473" s="154"/>
      <c r="J473" s="154"/>
    </row>
    <row r="474" spans="1:10" ht="14.25" x14ac:dyDescent="0.2">
      <c r="A474" s="7" t="s">
        <v>3374</v>
      </c>
      <c r="B474" s="60">
        <v>524113</v>
      </c>
      <c r="C474" s="41" t="s">
        <v>13</v>
      </c>
      <c r="D474" s="60"/>
      <c r="E474" s="60"/>
      <c r="F474" s="42"/>
      <c r="G474" s="42">
        <f>G475</f>
        <v>1800000</v>
      </c>
      <c r="H474" s="154" t="b">
        <f t="shared" si="15"/>
        <v>1</v>
      </c>
      <c r="I474" s="154"/>
      <c r="J474" s="154"/>
    </row>
    <row r="475" spans="1:10" ht="14.25" x14ac:dyDescent="0.2">
      <c r="A475" s="7" t="s">
        <v>3375</v>
      </c>
      <c r="B475" s="124"/>
      <c r="C475" s="123" t="s">
        <v>3807</v>
      </c>
      <c r="D475" s="124">
        <v>12</v>
      </c>
      <c r="E475" s="124" t="s">
        <v>10</v>
      </c>
      <c r="F475" s="125">
        <v>150000</v>
      </c>
      <c r="G475" s="125">
        <f>ROUNDDOWN(D475*F475,-3)</f>
        <v>1800000</v>
      </c>
      <c r="H475" s="154" t="b">
        <f t="shared" si="15"/>
        <v>1</v>
      </c>
      <c r="I475" s="154"/>
      <c r="J475" s="154"/>
    </row>
    <row r="476" spans="1:10" ht="14.25" x14ac:dyDescent="0.2">
      <c r="A476" s="7" t="s">
        <v>3377</v>
      </c>
      <c r="B476" s="59" t="s">
        <v>578</v>
      </c>
      <c r="C476" s="38" t="s">
        <v>147</v>
      </c>
      <c r="D476" s="59"/>
      <c r="E476" s="59"/>
      <c r="F476" s="39"/>
      <c r="G476" s="39">
        <f>SUM(G477,G479,G482,G484)</f>
        <v>76320000</v>
      </c>
      <c r="H476" s="154" t="b">
        <f t="shared" si="15"/>
        <v>1</v>
      </c>
      <c r="I476" s="154"/>
      <c r="J476" s="154"/>
    </row>
    <row r="477" spans="1:10" ht="14.25" x14ac:dyDescent="0.2">
      <c r="A477" s="7" t="s">
        <v>3378</v>
      </c>
      <c r="B477" s="60">
        <v>521211</v>
      </c>
      <c r="C477" s="41" t="s">
        <v>7</v>
      </c>
      <c r="D477" s="60"/>
      <c r="E477" s="60"/>
      <c r="F477" s="42"/>
      <c r="G477" s="42">
        <f>G478</f>
        <v>4800000</v>
      </c>
      <c r="H477" s="154" t="b">
        <f t="shared" si="15"/>
        <v>1</v>
      </c>
      <c r="I477" s="154"/>
      <c r="J477" s="154"/>
    </row>
    <row r="478" spans="1:10" ht="14.25" x14ac:dyDescent="0.2">
      <c r="A478" s="7" t="s">
        <v>3379</v>
      </c>
      <c r="B478" s="124"/>
      <c r="C478" s="123" t="s">
        <v>3808</v>
      </c>
      <c r="D478" s="124">
        <v>24</v>
      </c>
      <c r="E478" s="124" t="s">
        <v>176</v>
      </c>
      <c r="F478" s="125">
        <v>200000</v>
      </c>
      <c r="G478" s="125">
        <f>ROUNDDOWN(D478*F478,-3)</f>
        <v>4800000</v>
      </c>
      <c r="H478" s="154" t="b">
        <f t="shared" si="15"/>
        <v>1</v>
      </c>
      <c r="I478" s="154"/>
      <c r="J478" s="154"/>
    </row>
    <row r="479" spans="1:10" ht="14.25" x14ac:dyDescent="0.2">
      <c r="A479" s="7" t="s">
        <v>3381</v>
      </c>
      <c r="B479" s="60">
        <v>521811</v>
      </c>
      <c r="C479" s="41" t="s">
        <v>64</v>
      </c>
      <c r="D479" s="60"/>
      <c r="E479" s="60"/>
      <c r="F479" s="42"/>
      <c r="G479" s="42">
        <f>SUM(G480:G481)</f>
        <v>25000000</v>
      </c>
      <c r="H479" s="154" t="b">
        <f t="shared" si="15"/>
        <v>1</v>
      </c>
      <c r="I479" s="154"/>
      <c r="J479" s="154"/>
    </row>
    <row r="480" spans="1:10" ht="14.25" x14ac:dyDescent="0.2">
      <c r="A480" s="7" t="s">
        <v>3382</v>
      </c>
      <c r="B480" s="124"/>
      <c r="C480" s="123" t="s">
        <v>3781</v>
      </c>
      <c r="D480" s="124">
        <v>10</v>
      </c>
      <c r="E480" s="124" t="s">
        <v>9</v>
      </c>
      <c r="F480" s="125">
        <v>1500000</v>
      </c>
      <c r="G480" s="125">
        <f>ROUNDDOWN(D480*F480,-3)</f>
        <v>15000000</v>
      </c>
      <c r="H480" s="154" t="b">
        <f t="shared" si="15"/>
        <v>1</v>
      </c>
      <c r="I480" s="154"/>
      <c r="J480" s="154"/>
    </row>
    <row r="481" spans="1:10" ht="14.25" x14ac:dyDescent="0.2">
      <c r="A481" s="7" t="s">
        <v>3383</v>
      </c>
      <c r="B481" s="124"/>
      <c r="C481" s="123" t="s">
        <v>3598</v>
      </c>
      <c r="D481" s="124">
        <v>10</v>
      </c>
      <c r="E481" s="124" t="s">
        <v>2749</v>
      </c>
      <c r="F481" s="125">
        <v>1000000</v>
      </c>
      <c r="G481" s="125">
        <f>ROUNDDOWN(D481*F481,-3)</f>
        <v>10000000</v>
      </c>
      <c r="H481" s="154" t="b">
        <f t="shared" si="15"/>
        <v>1</v>
      </c>
      <c r="I481" s="154"/>
      <c r="J481" s="154"/>
    </row>
    <row r="482" spans="1:10" ht="14.25" x14ac:dyDescent="0.2">
      <c r="A482" s="7" t="s">
        <v>3384</v>
      </c>
      <c r="B482" s="60">
        <v>524111</v>
      </c>
      <c r="C482" s="41" t="s">
        <v>19</v>
      </c>
      <c r="D482" s="60"/>
      <c r="E482" s="60"/>
      <c r="F482" s="42"/>
      <c r="G482" s="42">
        <f>G483</f>
        <v>42770000</v>
      </c>
      <c r="H482" s="154" t="b">
        <f t="shared" si="15"/>
        <v>1</v>
      </c>
      <c r="I482" s="154"/>
      <c r="J482" s="154"/>
    </row>
    <row r="483" spans="1:10" ht="14.25" x14ac:dyDescent="0.2">
      <c r="A483" s="7" t="s">
        <v>3385</v>
      </c>
      <c r="B483" s="124"/>
      <c r="C483" s="123" t="s">
        <v>3809</v>
      </c>
      <c r="D483" s="124">
        <v>14</v>
      </c>
      <c r="E483" s="124" t="s">
        <v>10</v>
      </c>
      <c r="F483" s="125">
        <v>3055000</v>
      </c>
      <c r="G483" s="125">
        <f>ROUNDDOWN(D483*F483,-3)</f>
        <v>42770000</v>
      </c>
      <c r="H483" s="154" t="b">
        <f t="shared" ref="H483:H546" si="16">_xlfn.ISFORMULA(G483)</f>
        <v>1</v>
      </c>
      <c r="I483" s="154"/>
      <c r="J483" s="154"/>
    </row>
    <row r="484" spans="1:10" ht="14.25" x14ac:dyDescent="0.2">
      <c r="A484" s="7" t="s">
        <v>3387</v>
      </c>
      <c r="B484" s="60">
        <v>524113</v>
      </c>
      <c r="C484" s="41" t="s">
        <v>13</v>
      </c>
      <c r="D484" s="60"/>
      <c r="E484" s="60"/>
      <c r="F484" s="42"/>
      <c r="G484" s="42">
        <f>G485</f>
        <v>3750000</v>
      </c>
      <c r="H484" s="154" t="b">
        <f t="shared" si="16"/>
        <v>1</v>
      </c>
      <c r="I484" s="154"/>
      <c r="J484" s="154"/>
    </row>
    <row r="485" spans="1:10" ht="14.25" x14ac:dyDescent="0.2">
      <c r="A485" s="7" t="s">
        <v>3388</v>
      </c>
      <c r="B485" s="124"/>
      <c r="C485" s="123" t="s">
        <v>3594</v>
      </c>
      <c r="D485" s="124">
        <v>25</v>
      </c>
      <c r="E485" s="124" t="s">
        <v>10</v>
      </c>
      <c r="F485" s="125">
        <v>150000</v>
      </c>
      <c r="G485" s="125">
        <f>ROUNDDOWN(D485*F485,-3)</f>
        <v>3750000</v>
      </c>
      <c r="H485" s="154" t="b">
        <f t="shared" si="16"/>
        <v>1</v>
      </c>
      <c r="I485" s="154"/>
      <c r="J485" s="154"/>
    </row>
    <row r="486" spans="1:10" ht="14.25" x14ac:dyDescent="0.2">
      <c r="A486" s="7" t="s">
        <v>495</v>
      </c>
      <c r="B486" s="55">
        <v>4345</v>
      </c>
      <c r="C486" s="26" t="s">
        <v>188</v>
      </c>
      <c r="D486" s="55"/>
      <c r="E486" s="55"/>
      <c r="F486" s="27"/>
      <c r="G486" s="27">
        <f>G487</f>
        <v>8582500000</v>
      </c>
      <c r="H486" s="154" t="b">
        <f t="shared" si="16"/>
        <v>1</v>
      </c>
      <c r="I486" s="154"/>
      <c r="J486" s="154"/>
    </row>
    <row r="487" spans="1:10" ht="14.25" x14ac:dyDescent="0.2">
      <c r="A487" s="7" t="s">
        <v>3473</v>
      </c>
      <c r="B487" s="116" t="s">
        <v>3474</v>
      </c>
      <c r="C487" s="114" t="s">
        <v>2312</v>
      </c>
      <c r="D487" s="116">
        <v>4725</v>
      </c>
      <c r="E487" s="116" t="s">
        <v>155</v>
      </c>
      <c r="F487" s="117"/>
      <c r="G487" s="117">
        <f>G488</f>
        <v>8582500000</v>
      </c>
      <c r="H487" s="154" t="b">
        <f t="shared" si="16"/>
        <v>1</v>
      </c>
      <c r="I487" s="154"/>
      <c r="J487" s="154"/>
    </row>
    <row r="488" spans="1:10" ht="14.25" x14ac:dyDescent="0.2">
      <c r="A488" s="7" t="s">
        <v>3475</v>
      </c>
      <c r="B488" s="119" t="s">
        <v>3810</v>
      </c>
      <c r="C488" s="118" t="s">
        <v>3477</v>
      </c>
      <c r="D488" s="119">
        <v>4725</v>
      </c>
      <c r="E488" s="119" t="s">
        <v>155</v>
      </c>
      <c r="F488" s="120"/>
      <c r="G488" s="120">
        <f>SUM(G489,G537)</f>
        <v>8582500000</v>
      </c>
      <c r="H488" s="154" t="b">
        <f t="shared" si="16"/>
        <v>1</v>
      </c>
      <c r="I488" s="154"/>
      <c r="J488" s="154"/>
    </row>
    <row r="489" spans="1:10" ht="14.25" x14ac:dyDescent="0.2">
      <c r="A489" s="7" t="s">
        <v>3478</v>
      </c>
      <c r="B489" s="58">
        <v>301</v>
      </c>
      <c r="C489" s="35" t="s">
        <v>189</v>
      </c>
      <c r="D489" s="58"/>
      <c r="E489" s="58"/>
      <c r="F489" s="36"/>
      <c r="G489" s="36">
        <f>SUM(G490,G509,G525,G534)</f>
        <v>8473300000</v>
      </c>
      <c r="H489" s="154" t="b">
        <f t="shared" si="16"/>
        <v>1</v>
      </c>
      <c r="I489" s="154"/>
      <c r="J489" s="154"/>
    </row>
    <row r="490" spans="1:10" ht="14.25" x14ac:dyDescent="0.2">
      <c r="A490" s="7" t="s">
        <v>3479</v>
      </c>
      <c r="B490" s="59" t="s">
        <v>8</v>
      </c>
      <c r="C490" s="38" t="s">
        <v>190</v>
      </c>
      <c r="D490" s="59"/>
      <c r="E490" s="59"/>
      <c r="F490" s="39"/>
      <c r="G490" s="39">
        <f>SUM(G491,G496,G499,G502,G504,G506)</f>
        <v>1713564000</v>
      </c>
      <c r="H490" s="154" t="b">
        <f t="shared" si="16"/>
        <v>1</v>
      </c>
      <c r="I490" s="154"/>
      <c r="J490" s="154"/>
    </row>
    <row r="491" spans="1:10" ht="14.25" x14ac:dyDescent="0.2">
      <c r="A491" s="7" t="s">
        <v>3480</v>
      </c>
      <c r="B491" s="60">
        <v>521211</v>
      </c>
      <c r="C491" s="41" t="s">
        <v>7</v>
      </c>
      <c r="D491" s="60"/>
      <c r="E491" s="60"/>
      <c r="F491" s="42"/>
      <c r="G491" s="42">
        <f>SUM(G492:G495)</f>
        <v>99100000</v>
      </c>
      <c r="H491" s="154" t="b">
        <f t="shared" si="16"/>
        <v>1</v>
      </c>
      <c r="I491" s="154"/>
      <c r="J491" s="154"/>
    </row>
    <row r="492" spans="1:10" ht="14.25" x14ac:dyDescent="0.2">
      <c r="A492" s="7" t="s">
        <v>3481</v>
      </c>
      <c r="B492" s="124"/>
      <c r="C492" s="123" t="s">
        <v>3811</v>
      </c>
      <c r="D492" s="124">
        <v>400</v>
      </c>
      <c r="E492" s="124" t="s">
        <v>10</v>
      </c>
      <c r="F492" s="125">
        <v>70000</v>
      </c>
      <c r="G492" s="125">
        <f>ROUNDDOWN(D492*F492,-3)</f>
        <v>28000000</v>
      </c>
      <c r="H492" s="154" t="b">
        <f t="shared" si="16"/>
        <v>1</v>
      </c>
      <c r="I492" s="154"/>
      <c r="J492" s="154"/>
    </row>
    <row r="493" spans="1:10" ht="14.25" x14ac:dyDescent="0.2">
      <c r="A493" s="7" t="s">
        <v>3482</v>
      </c>
      <c r="B493" s="124"/>
      <c r="C493" s="123" t="s">
        <v>3812</v>
      </c>
      <c r="D493" s="124">
        <v>10</v>
      </c>
      <c r="E493" s="124" t="s">
        <v>9</v>
      </c>
      <c r="F493" s="125">
        <v>1500000</v>
      </c>
      <c r="G493" s="125">
        <f>ROUNDDOWN(D493*F493,-3)</f>
        <v>15000000</v>
      </c>
      <c r="H493" s="154" t="b">
        <f t="shared" si="16"/>
        <v>1</v>
      </c>
      <c r="I493" s="154"/>
      <c r="J493" s="154"/>
    </row>
    <row r="494" spans="1:10" ht="14.25" x14ac:dyDescent="0.2">
      <c r="A494" s="7" t="s">
        <v>3484</v>
      </c>
      <c r="B494" s="124"/>
      <c r="C494" s="123" t="s">
        <v>3813</v>
      </c>
      <c r="D494" s="124">
        <v>120</v>
      </c>
      <c r="E494" s="124" t="s">
        <v>25</v>
      </c>
      <c r="F494" s="125">
        <v>280000</v>
      </c>
      <c r="G494" s="125">
        <f>ROUNDDOWN(D494*F494,-3)</f>
        <v>33600000</v>
      </c>
      <c r="H494" s="154" t="b">
        <f t="shared" si="16"/>
        <v>1</v>
      </c>
      <c r="I494" s="154"/>
      <c r="J494" s="154"/>
    </row>
    <row r="495" spans="1:10" ht="14.25" x14ac:dyDescent="0.2">
      <c r="A495" s="7" t="s">
        <v>3486</v>
      </c>
      <c r="B495" s="124"/>
      <c r="C495" s="123" t="s">
        <v>3814</v>
      </c>
      <c r="D495" s="124">
        <v>150</v>
      </c>
      <c r="E495" s="124" t="s">
        <v>25</v>
      </c>
      <c r="F495" s="125">
        <v>150000</v>
      </c>
      <c r="G495" s="125">
        <f>ROUNDDOWN(D495*F495,-3)</f>
        <v>22500000</v>
      </c>
      <c r="H495" s="154" t="b">
        <f t="shared" si="16"/>
        <v>1</v>
      </c>
      <c r="I495" s="154"/>
      <c r="J495" s="154"/>
    </row>
    <row r="496" spans="1:10" ht="14.25" x14ac:dyDescent="0.2">
      <c r="A496" s="7" t="s">
        <v>3488</v>
      </c>
      <c r="B496" s="60">
        <v>521219</v>
      </c>
      <c r="C496" s="41" t="s">
        <v>53</v>
      </c>
      <c r="D496" s="60"/>
      <c r="E496" s="60"/>
      <c r="F496" s="42"/>
      <c r="G496" s="42">
        <f>SUM(G497:G498)</f>
        <v>1333864000</v>
      </c>
      <c r="H496" s="154" t="b">
        <f t="shared" si="16"/>
        <v>1</v>
      </c>
      <c r="I496" s="154"/>
      <c r="J496" s="154"/>
    </row>
    <row r="497" spans="1:10" ht="14.25" x14ac:dyDescent="0.2">
      <c r="A497" s="7" t="s">
        <v>3489</v>
      </c>
      <c r="B497" s="124"/>
      <c r="C497" s="123" t="s">
        <v>3815</v>
      </c>
      <c r="D497" s="124">
        <v>33</v>
      </c>
      <c r="E497" s="124" t="s">
        <v>155</v>
      </c>
      <c r="F497" s="125">
        <v>40412550</v>
      </c>
      <c r="G497" s="125">
        <f>ROUNDDOWN(D497*F497,-3)</f>
        <v>1333614000</v>
      </c>
      <c r="H497" s="154" t="b">
        <f t="shared" si="16"/>
        <v>1</v>
      </c>
      <c r="I497" s="154"/>
      <c r="J497" s="154"/>
    </row>
    <row r="498" spans="1:10" ht="14.25" x14ac:dyDescent="0.2">
      <c r="A498" s="7" t="s">
        <v>3491</v>
      </c>
      <c r="B498" s="124"/>
      <c r="C498" s="123" t="s">
        <v>3816</v>
      </c>
      <c r="D498" s="124">
        <v>1</v>
      </c>
      <c r="E498" s="124" t="s">
        <v>9</v>
      </c>
      <c r="F498" s="125">
        <v>250000</v>
      </c>
      <c r="G498" s="125">
        <f>ROUNDDOWN(D498*F498,-3)</f>
        <v>250000</v>
      </c>
      <c r="H498" s="154" t="b">
        <f t="shared" si="16"/>
        <v>1</v>
      </c>
      <c r="I498" s="154"/>
      <c r="J498" s="154"/>
    </row>
    <row r="499" spans="1:10" ht="14.25" x14ac:dyDescent="0.2">
      <c r="A499" s="7" t="s">
        <v>3492</v>
      </c>
      <c r="B499" s="60">
        <v>521811</v>
      </c>
      <c r="C499" s="41" t="s">
        <v>64</v>
      </c>
      <c r="D499" s="60"/>
      <c r="E499" s="60"/>
      <c r="F499" s="42"/>
      <c r="G499" s="42">
        <f>SUM(G500:G501)</f>
        <v>25000000</v>
      </c>
      <c r="H499" s="154" t="b">
        <f t="shared" si="16"/>
        <v>1</v>
      </c>
      <c r="I499" s="154"/>
      <c r="J499" s="154"/>
    </row>
    <row r="500" spans="1:10" ht="14.25" x14ac:dyDescent="0.2">
      <c r="A500" s="7" t="s">
        <v>3493</v>
      </c>
      <c r="B500" s="124"/>
      <c r="C500" s="123" t="s">
        <v>3781</v>
      </c>
      <c r="D500" s="124">
        <v>10</v>
      </c>
      <c r="E500" s="124" t="s">
        <v>9</v>
      </c>
      <c r="F500" s="125">
        <v>1000000</v>
      </c>
      <c r="G500" s="125">
        <f>ROUNDDOWN(D500*F500,-3)</f>
        <v>10000000</v>
      </c>
      <c r="H500" s="154" t="b">
        <f t="shared" si="16"/>
        <v>1</v>
      </c>
      <c r="I500" s="154"/>
      <c r="J500" s="154"/>
    </row>
    <row r="501" spans="1:10" ht="14.25" x14ac:dyDescent="0.2">
      <c r="A501" s="7" t="s">
        <v>3494</v>
      </c>
      <c r="B501" s="124"/>
      <c r="C501" s="123" t="s">
        <v>3598</v>
      </c>
      <c r="D501" s="124">
        <v>10</v>
      </c>
      <c r="E501" s="124" t="s">
        <v>9</v>
      </c>
      <c r="F501" s="125">
        <v>1500000</v>
      </c>
      <c r="G501" s="125">
        <f>ROUNDDOWN(D501*F501,-3)</f>
        <v>15000000</v>
      </c>
      <c r="H501" s="154" t="b">
        <f t="shared" si="16"/>
        <v>1</v>
      </c>
      <c r="I501" s="154"/>
      <c r="J501" s="154"/>
    </row>
    <row r="502" spans="1:10" ht="14.25" x14ac:dyDescent="0.2">
      <c r="A502" s="7" t="s">
        <v>3495</v>
      </c>
      <c r="B502" s="60">
        <v>522151</v>
      </c>
      <c r="C502" s="41" t="s">
        <v>11</v>
      </c>
      <c r="D502" s="60"/>
      <c r="E502" s="60"/>
      <c r="F502" s="42"/>
      <c r="G502" s="42">
        <f>G503</f>
        <v>15000000</v>
      </c>
      <c r="H502" s="154" t="b">
        <f t="shared" si="16"/>
        <v>1</v>
      </c>
      <c r="I502" s="154"/>
      <c r="J502" s="154"/>
    </row>
    <row r="503" spans="1:10" ht="14.25" x14ac:dyDescent="0.2">
      <c r="A503" s="7" t="s">
        <v>3496</v>
      </c>
      <c r="B503" s="124"/>
      <c r="C503" s="123" t="s">
        <v>3603</v>
      </c>
      <c r="D503" s="124">
        <v>15</v>
      </c>
      <c r="E503" s="124" t="s">
        <v>12</v>
      </c>
      <c r="F503" s="125">
        <v>1000000</v>
      </c>
      <c r="G503" s="125">
        <f>ROUNDDOWN(D503*F503,-3)</f>
        <v>15000000</v>
      </c>
      <c r="H503" s="154" t="b">
        <f t="shared" si="16"/>
        <v>1</v>
      </c>
      <c r="I503" s="154"/>
      <c r="J503" s="154"/>
    </row>
    <row r="504" spans="1:10" ht="14.25" x14ac:dyDescent="0.2">
      <c r="A504" s="7" t="s">
        <v>3497</v>
      </c>
      <c r="B504" s="60">
        <v>522191</v>
      </c>
      <c r="C504" s="41" t="s">
        <v>22</v>
      </c>
      <c r="D504" s="60"/>
      <c r="E504" s="60"/>
      <c r="F504" s="42"/>
      <c r="G504" s="42">
        <f>G505</f>
        <v>102600000</v>
      </c>
      <c r="H504" s="154" t="b">
        <f t="shared" si="16"/>
        <v>1</v>
      </c>
      <c r="I504" s="154"/>
      <c r="J504" s="154"/>
    </row>
    <row r="505" spans="1:10" ht="14.25" x14ac:dyDescent="0.2">
      <c r="A505" s="7" t="s">
        <v>3498</v>
      </c>
      <c r="B505" s="124"/>
      <c r="C505" s="123" t="s">
        <v>3817</v>
      </c>
      <c r="D505" s="124">
        <v>120</v>
      </c>
      <c r="E505" s="124" t="s">
        <v>155</v>
      </c>
      <c r="F505" s="125">
        <v>855000</v>
      </c>
      <c r="G505" s="125">
        <f>ROUNDDOWN(D505*F505,-3)</f>
        <v>102600000</v>
      </c>
      <c r="H505" s="154" t="b">
        <f t="shared" si="16"/>
        <v>1</v>
      </c>
      <c r="I505" s="154"/>
      <c r="J505" s="154"/>
    </row>
    <row r="506" spans="1:10" ht="14.25" x14ac:dyDescent="0.2">
      <c r="A506" s="7" t="s">
        <v>3500</v>
      </c>
      <c r="B506" s="60">
        <v>524111</v>
      </c>
      <c r="C506" s="41" t="s">
        <v>19</v>
      </c>
      <c r="D506" s="60"/>
      <c r="E506" s="60"/>
      <c r="F506" s="42"/>
      <c r="G506" s="42">
        <f>SUM(G507:G508)</f>
        <v>138000000</v>
      </c>
      <c r="H506" s="154" t="b">
        <f t="shared" si="16"/>
        <v>1</v>
      </c>
      <c r="I506" s="154"/>
      <c r="J506" s="154"/>
    </row>
    <row r="507" spans="1:10" ht="14.25" x14ac:dyDescent="0.2">
      <c r="A507" s="7" t="s">
        <v>3501</v>
      </c>
      <c r="B507" s="124"/>
      <c r="C507" s="123" t="s">
        <v>3818</v>
      </c>
      <c r="D507" s="124">
        <v>50</v>
      </c>
      <c r="E507" s="124" t="s">
        <v>10</v>
      </c>
      <c r="F507" s="125">
        <v>1200000</v>
      </c>
      <c r="G507" s="125">
        <f>ROUNDDOWN(D507*F507,-3)</f>
        <v>60000000</v>
      </c>
      <c r="H507" s="154" t="b">
        <f t="shared" si="16"/>
        <v>1</v>
      </c>
      <c r="I507" s="154"/>
      <c r="J507" s="154"/>
    </row>
    <row r="508" spans="1:10" ht="25.5" x14ac:dyDescent="0.2">
      <c r="A508" s="7" t="s">
        <v>3503</v>
      </c>
      <c r="B508" s="124"/>
      <c r="C508" s="123" t="s">
        <v>3819</v>
      </c>
      <c r="D508" s="124">
        <v>12</v>
      </c>
      <c r="E508" s="124" t="s">
        <v>10</v>
      </c>
      <c r="F508" s="125">
        <v>6500000</v>
      </c>
      <c r="G508" s="125">
        <f>ROUNDDOWN(D508*F508,-3)</f>
        <v>78000000</v>
      </c>
      <c r="H508" s="154" t="b">
        <f t="shared" si="16"/>
        <v>1</v>
      </c>
      <c r="I508" s="154"/>
      <c r="J508" s="154"/>
    </row>
    <row r="509" spans="1:10" ht="14.25" x14ac:dyDescent="0.2">
      <c r="A509" s="7" t="s">
        <v>3505</v>
      </c>
      <c r="B509" s="59" t="s">
        <v>511</v>
      </c>
      <c r="C509" s="38" t="s">
        <v>191</v>
      </c>
      <c r="D509" s="59"/>
      <c r="E509" s="59"/>
      <c r="F509" s="39"/>
      <c r="G509" s="39">
        <f>SUM(G510,G513,G517,G520,G522)</f>
        <v>6555695000</v>
      </c>
      <c r="H509" s="154" t="b">
        <f t="shared" si="16"/>
        <v>1</v>
      </c>
      <c r="I509" s="154"/>
      <c r="J509" s="154"/>
    </row>
    <row r="510" spans="1:10" ht="14.25" x14ac:dyDescent="0.2">
      <c r="A510" s="7" t="s">
        <v>3506</v>
      </c>
      <c r="B510" s="60">
        <v>521211</v>
      </c>
      <c r="C510" s="41" t="s">
        <v>7</v>
      </c>
      <c r="D510" s="60"/>
      <c r="E510" s="60"/>
      <c r="F510" s="42"/>
      <c r="G510" s="42">
        <f>SUM(G511:G512)</f>
        <v>25000000</v>
      </c>
      <c r="H510" s="154" t="b">
        <f t="shared" si="16"/>
        <v>1</v>
      </c>
      <c r="I510" s="154"/>
      <c r="J510" s="154"/>
    </row>
    <row r="511" spans="1:10" ht="14.25" x14ac:dyDescent="0.2">
      <c r="A511" s="7" t="s">
        <v>3507</v>
      </c>
      <c r="B511" s="124"/>
      <c r="C511" s="123" t="s">
        <v>3811</v>
      </c>
      <c r="D511" s="124">
        <v>100</v>
      </c>
      <c r="E511" s="124" t="s">
        <v>10</v>
      </c>
      <c r="F511" s="125">
        <v>70000</v>
      </c>
      <c r="G511" s="125">
        <f>ROUNDDOWN(D511*F511,-3)</f>
        <v>7000000</v>
      </c>
      <c r="H511" s="154" t="b">
        <f t="shared" si="16"/>
        <v>1</v>
      </c>
      <c r="I511" s="154"/>
      <c r="J511" s="154"/>
    </row>
    <row r="512" spans="1:10" ht="14.25" x14ac:dyDescent="0.2">
      <c r="A512" s="7" t="s">
        <v>3508</v>
      </c>
      <c r="B512" s="124"/>
      <c r="C512" s="123" t="s">
        <v>3812</v>
      </c>
      <c r="D512" s="124">
        <v>12</v>
      </c>
      <c r="E512" s="124" t="s">
        <v>9</v>
      </c>
      <c r="F512" s="125">
        <v>1500000</v>
      </c>
      <c r="G512" s="125">
        <f>ROUNDDOWN(D512*F512,-3)</f>
        <v>18000000</v>
      </c>
      <c r="H512" s="154" t="b">
        <f t="shared" si="16"/>
        <v>1</v>
      </c>
      <c r="I512" s="154"/>
      <c r="J512" s="154"/>
    </row>
    <row r="513" spans="1:10" ht="14.25" x14ac:dyDescent="0.2">
      <c r="A513" s="7" t="s">
        <v>3509</v>
      </c>
      <c r="B513" s="60">
        <v>521219</v>
      </c>
      <c r="C513" s="41" t="s">
        <v>53</v>
      </c>
      <c r="D513" s="60"/>
      <c r="E513" s="60"/>
      <c r="F513" s="42"/>
      <c r="G513" s="42">
        <f>SUM(G514:G516)</f>
        <v>6308695000</v>
      </c>
      <c r="H513" s="154" t="b">
        <f t="shared" si="16"/>
        <v>1</v>
      </c>
      <c r="I513" s="154"/>
      <c r="J513" s="154"/>
    </row>
    <row r="514" spans="1:10" ht="14.25" x14ac:dyDescent="0.2">
      <c r="A514" s="7" t="s">
        <v>3510</v>
      </c>
      <c r="B514" s="124"/>
      <c r="C514" s="123" t="s">
        <v>3815</v>
      </c>
      <c r="D514" s="124">
        <v>157</v>
      </c>
      <c r="E514" s="124" t="s">
        <v>155</v>
      </c>
      <c r="F514" s="125">
        <v>40130229</v>
      </c>
      <c r="G514" s="125">
        <f>ROUNDDOWN(D514*F514,-3)</f>
        <v>6300445000</v>
      </c>
      <c r="H514" s="154" t="b">
        <f t="shared" si="16"/>
        <v>1</v>
      </c>
      <c r="I514" s="154"/>
      <c r="J514" s="154"/>
    </row>
    <row r="515" spans="1:10" ht="14.25" x14ac:dyDescent="0.2">
      <c r="A515" s="7" t="s">
        <v>3511</v>
      </c>
      <c r="B515" s="124"/>
      <c r="C515" s="123" t="s">
        <v>3816</v>
      </c>
      <c r="D515" s="124">
        <v>3</v>
      </c>
      <c r="E515" s="124" t="s">
        <v>9</v>
      </c>
      <c r="F515" s="125">
        <v>250000</v>
      </c>
      <c r="G515" s="125">
        <f>ROUNDDOWN(D515*F515,-3)</f>
        <v>750000</v>
      </c>
      <c r="H515" s="154" t="b">
        <f t="shared" si="16"/>
        <v>1</v>
      </c>
      <c r="I515" s="154"/>
      <c r="J515" s="154"/>
    </row>
    <row r="516" spans="1:10" ht="14.25" x14ac:dyDescent="0.2">
      <c r="A516" s="7" t="s">
        <v>3512</v>
      </c>
      <c r="B516" s="124"/>
      <c r="C516" s="123" t="s">
        <v>3820</v>
      </c>
      <c r="D516" s="124">
        <v>15</v>
      </c>
      <c r="E516" s="124" t="s">
        <v>106</v>
      </c>
      <c r="F516" s="125">
        <v>500000</v>
      </c>
      <c r="G516" s="125">
        <f>ROUNDDOWN(D516*F516,-3)</f>
        <v>7500000</v>
      </c>
      <c r="H516" s="154" t="b">
        <f t="shared" si="16"/>
        <v>1</v>
      </c>
      <c r="I516" s="154"/>
      <c r="J516" s="154"/>
    </row>
    <row r="517" spans="1:10" ht="14.25" x14ac:dyDescent="0.2">
      <c r="A517" s="7" t="s">
        <v>3514</v>
      </c>
      <c r="B517" s="60">
        <v>521811</v>
      </c>
      <c r="C517" s="41" t="s">
        <v>64</v>
      </c>
      <c r="D517" s="60"/>
      <c r="E517" s="60"/>
      <c r="F517" s="42"/>
      <c r="G517" s="42">
        <f>SUM(G518:G519)</f>
        <v>30000000</v>
      </c>
      <c r="H517" s="154" t="b">
        <f t="shared" si="16"/>
        <v>1</v>
      </c>
      <c r="I517" s="154"/>
      <c r="J517" s="154"/>
    </row>
    <row r="518" spans="1:10" ht="14.25" x14ac:dyDescent="0.2">
      <c r="A518" s="7" t="s">
        <v>3515</v>
      </c>
      <c r="B518" s="124"/>
      <c r="C518" s="123" t="s">
        <v>3781</v>
      </c>
      <c r="D518" s="124">
        <v>12</v>
      </c>
      <c r="E518" s="124" t="s">
        <v>9</v>
      </c>
      <c r="F518" s="125">
        <v>1000000</v>
      </c>
      <c r="G518" s="125">
        <f>ROUNDDOWN(D518*F518,-3)</f>
        <v>12000000</v>
      </c>
      <c r="H518" s="154" t="b">
        <f t="shared" si="16"/>
        <v>1</v>
      </c>
      <c r="I518" s="154"/>
      <c r="J518" s="154"/>
    </row>
    <row r="519" spans="1:10" ht="14.25" x14ac:dyDescent="0.2">
      <c r="A519" s="7" t="s">
        <v>3516</v>
      </c>
      <c r="B519" s="124"/>
      <c r="C519" s="123" t="s">
        <v>3598</v>
      </c>
      <c r="D519" s="124">
        <v>12</v>
      </c>
      <c r="E519" s="124" t="s">
        <v>9</v>
      </c>
      <c r="F519" s="125">
        <v>1500000</v>
      </c>
      <c r="G519" s="125">
        <f>ROUNDDOWN(D519*F519,-3)</f>
        <v>18000000</v>
      </c>
      <c r="H519" s="154" t="b">
        <f t="shared" si="16"/>
        <v>1</v>
      </c>
      <c r="I519" s="154"/>
      <c r="J519" s="154"/>
    </row>
    <row r="520" spans="1:10" ht="14.25" x14ac:dyDescent="0.2">
      <c r="A520" s="7" t="s">
        <v>3517</v>
      </c>
      <c r="B520" s="60">
        <v>522151</v>
      </c>
      <c r="C520" s="41" t="s">
        <v>11</v>
      </c>
      <c r="D520" s="60"/>
      <c r="E520" s="60"/>
      <c r="F520" s="42"/>
      <c r="G520" s="42">
        <f>G521</f>
        <v>6000000</v>
      </c>
      <c r="H520" s="154" t="b">
        <f t="shared" si="16"/>
        <v>1</v>
      </c>
      <c r="I520" s="154"/>
      <c r="J520" s="154"/>
    </row>
    <row r="521" spans="1:10" ht="14.25" x14ac:dyDescent="0.2">
      <c r="A521" s="7" t="s">
        <v>3518</v>
      </c>
      <c r="B521" s="124"/>
      <c r="C521" s="123" t="s">
        <v>3603</v>
      </c>
      <c r="D521" s="124">
        <v>6</v>
      </c>
      <c r="E521" s="124" t="s">
        <v>12</v>
      </c>
      <c r="F521" s="125">
        <v>1000000</v>
      </c>
      <c r="G521" s="125">
        <f>ROUNDDOWN(D521*F521,-3)</f>
        <v>6000000</v>
      </c>
      <c r="H521" s="154" t="b">
        <f t="shared" si="16"/>
        <v>1</v>
      </c>
      <c r="I521" s="154"/>
      <c r="J521" s="154"/>
    </row>
    <row r="522" spans="1:10" ht="14.25" x14ac:dyDescent="0.2">
      <c r="A522" s="7" t="s">
        <v>3519</v>
      </c>
      <c r="B522" s="60">
        <v>524111</v>
      </c>
      <c r="C522" s="41" t="s">
        <v>19</v>
      </c>
      <c r="D522" s="60"/>
      <c r="E522" s="60"/>
      <c r="F522" s="42"/>
      <c r="G522" s="42">
        <f>SUM(G523:G524)</f>
        <v>186000000</v>
      </c>
      <c r="H522" s="154" t="b">
        <f t="shared" si="16"/>
        <v>1</v>
      </c>
      <c r="I522" s="154"/>
      <c r="J522" s="154"/>
    </row>
    <row r="523" spans="1:10" ht="14.25" x14ac:dyDescent="0.2">
      <c r="A523" s="7" t="s">
        <v>3520</v>
      </c>
      <c r="B523" s="124"/>
      <c r="C523" s="123" t="s">
        <v>3818</v>
      </c>
      <c r="D523" s="124">
        <v>20</v>
      </c>
      <c r="E523" s="124" t="s">
        <v>10</v>
      </c>
      <c r="F523" s="125">
        <v>1500000</v>
      </c>
      <c r="G523" s="125">
        <f>ROUNDDOWN(D523*F523,-3)</f>
        <v>30000000</v>
      </c>
      <c r="H523" s="154" t="b">
        <f t="shared" si="16"/>
        <v>1</v>
      </c>
      <c r="I523" s="154"/>
      <c r="J523" s="154"/>
    </row>
    <row r="524" spans="1:10" ht="25.5" x14ac:dyDescent="0.2">
      <c r="A524" s="7" t="s">
        <v>3521</v>
      </c>
      <c r="B524" s="124"/>
      <c r="C524" s="123" t="s">
        <v>3819</v>
      </c>
      <c r="D524" s="124">
        <v>24</v>
      </c>
      <c r="E524" s="124" t="s">
        <v>10</v>
      </c>
      <c r="F524" s="125">
        <v>6500000</v>
      </c>
      <c r="G524" s="125">
        <f>ROUNDDOWN(D524*F524,-3)</f>
        <v>156000000</v>
      </c>
      <c r="H524" s="154" t="b">
        <f t="shared" si="16"/>
        <v>1</v>
      </c>
      <c r="I524" s="154"/>
      <c r="J524" s="154"/>
    </row>
    <row r="525" spans="1:10" ht="14.25" x14ac:dyDescent="0.2">
      <c r="A525" s="7" t="s">
        <v>3522</v>
      </c>
      <c r="B525" s="59" t="s">
        <v>512</v>
      </c>
      <c r="C525" s="38" t="s">
        <v>192</v>
      </c>
      <c r="D525" s="59"/>
      <c r="E525" s="59"/>
      <c r="F525" s="39"/>
      <c r="G525" s="39">
        <f>SUM(G526,G530,G532)</f>
        <v>174041000</v>
      </c>
      <c r="H525" s="154" t="b">
        <f t="shared" si="16"/>
        <v>1</v>
      </c>
      <c r="I525" s="154"/>
      <c r="J525" s="154"/>
    </row>
    <row r="526" spans="1:10" ht="14.25" x14ac:dyDescent="0.2">
      <c r="A526" s="7" t="s">
        <v>3523</v>
      </c>
      <c r="B526" s="60">
        <v>521211</v>
      </c>
      <c r="C526" s="41" t="s">
        <v>7</v>
      </c>
      <c r="D526" s="60"/>
      <c r="E526" s="60"/>
      <c r="F526" s="42"/>
      <c r="G526" s="42">
        <f>SUM(G527:G529)</f>
        <v>12000000</v>
      </c>
      <c r="H526" s="154" t="b">
        <f t="shared" si="16"/>
        <v>1</v>
      </c>
      <c r="I526" s="154"/>
      <c r="J526" s="154"/>
    </row>
    <row r="527" spans="1:10" ht="14.25" x14ac:dyDescent="0.2">
      <c r="A527" s="7" t="s">
        <v>3524</v>
      </c>
      <c r="B527" s="124"/>
      <c r="C527" s="123" t="s">
        <v>3821</v>
      </c>
      <c r="D527" s="124">
        <v>3</v>
      </c>
      <c r="E527" s="124" t="s">
        <v>9</v>
      </c>
      <c r="F527" s="125">
        <v>1500000</v>
      </c>
      <c r="G527" s="125">
        <f>ROUNDDOWN(D527*F527,-3)</f>
        <v>4500000</v>
      </c>
      <c r="H527" s="154" t="b">
        <f t="shared" si="16"/>
        <v>1</v>
      </c>
      <c r="I527" s="154"/>
      <c r="J527" s="154"/>
    </row>
    <row r="528" spans="1:10" ht="14.25" x14ac:dyDescent="0.2">
      <c r="A528" s="7" t="s">
        <v>3525</v>
      </c>
      <c r="B528" s="124"/>
      <c r="C528" s="123" t="s">
        <v>3596</v>
      </c>
      <c r="D528" s="124">
        <v>3</v>
      </c>
      <c r="E528" s="124" t="s">
        <v>9</v>
      </c>
      <c r="F528" s="125">
        <v>1000000</v>
      </c>
      <c r="G528" s="125">
        <f>ROUNDDOWN(D528*F528,-3)</f>
        <v>3000000</v>
      </c>
      <c r="H528" s="154" t="b">
        <f t="shared" si="16"/>
        <v>1</v>
      </c>
      <c r="I528" s="154"/>
      <c r="J528" s="154"/>
    </row>
    <row r="529" spans="1:10" ht="14.25" x14ac:dyDescent="0.2">
      <c r="A529" s="7" t="s">
        <v>3526</v>
      </c>
      <c r="B529" s="124"/>
      <c r="C529" s="123" t="s">
        <v>3588</v>
      </c>
      <c r="D529" s="124">
        <v>3</v>
      </c>
      <c r="E529" s="124" t="s">
        <v>9</v>
      </c>
      <c r="F529" s="125">
        <v>1500000</v>
      </c>
      <c r="G529" s="125">
        <f>ROUNDDOWN(D529*F529,-3)</f>
        <v>4500000</v>
      </c>
      <c r="H529" s="154" t="b">
        <f t="shared" si="16"/>
        <v>1</v>
      </c>
      <c r="I529" s="154"/>
      <c r="J529" s="154"/>
    </row>
    <row r="530" spans="1:10" ht="14.25" x14ac:dyDescent="0.2">
      <c r="A530" s="7" t="s">
        <v>3527</v>
      </c>
      <c r="B530" s="60">
        <v>521219</v>
      </c>
      <c r="C530" s="41" t="s">
        <v>53</v>
      </c>
      <c r="D530" s="60"/>
      <c r="E530" s="60"/>
      <c r="F530" s="42"/>
      <c r="G530" s="42">
        <f>G531</f>
        <v>20000000</v>
      </c>
      <c r="H530" s="154" t="b">
        <f t="shared" si="16"/>
        <v>1</v>
      </c>
      <c r="I530" s="154"/>
      <c r="J530" s="154"/>
    </row>
    <row r="531" spans="1:10" ht="25.5" x14ac:dyDescent="0.2">
      <c r="A531" s="7" t="s">
        <v>3528</v>
      </c>
      <c r="B531" s="124"/>
      <c r="C531" s="123" t="s">
        <v>3822</v>
      </c>
      <c r="D531" s="124">
        <v>2</v>
      </c>
      <c r="E531" s="124" t="s">
        <v>155</v>
      </c>
      <c r="F531" s="125">
        <v>10000000</v>
      </c>
      <c r="G531" s="125">
        <f>ROUNDDOWN(D531*F531,-3)</f>
        <v>20000000</v>
      </c>
      <c r="H531" s="154" t="b">
        <f t="shared" si="16"/>
        <v>1</v>
      </c>
      <c r="I531" s="154"/>
      <c r="J531" s="154"/>
    </row>
    <row r="532" spans="1:10" ht="14.25" x14ac:dyDescent="0.2">
      <c r="A532" s="7" t="s">
        <v>3530</v>
      </c>
      <c r="B532" s="60">
        <v>524211</v>
      </c>
      <c r="C532" s="41" t="s">
        <v>1151</v>
      </c>
      <c r="D532" s="60"/>
      <c r="E532" s="60"/>
      <c r="F532" s="42"/>
      <c r="G532" s="42">
        <f>G533</f>
        <v>142041000</v>
      </c>
      <c r="H532" s="154" t="b">
        <f t="shared" si="16"/>
        <v>1</v>
      </c>
      <c r="I532" s="154"/>
      <c r="J532" s="154"/>
    </row>
    <row r="533" spans="1:10" ht="25.5" x14ac:dyDescent="0.2">
      <c r="A533" s="7" t="s">
        <v>3531</v>
      </c>
      <c r="B533" s="124"/>
      <c r="C533" s="123" t="s">
        <v>3823</v>
      </c>
      <c r="D533" s="124">
        <v>3</v>
      </c>
      <c r="E533" s="124" t="s">
        <v>10</v>
      </c>
      <c r="F533" s="125">
        <v>47347000</v>
      </c>
      <c r="G533" s="125">
        <f>ROUNDDOWN(D533*F533,-3)</f>
        <v>142041000</v>
      </c>
      <c r="H533" s="154" t="b">
        <f t="shared" si="16"/>
        <v>1</v>
      </c>
      <c r="I533" s="154"/>
      <c r="J533" s="154"/>
    </row>
    <row r="534" spans="1:10" ht="14.25" x14ac:dyDescent="0.2">
      <c r="A534" s="7" t="s">
        <v>3533</v>
      </c>
      <c r="B534" s="59" t="s">
        <v>514</v>
      </c>
      <c r="C534" s="38" t="s">
        <v>3534</v>
      </c>
      <c r="D534" s="59"/>
      <c r="E534" s="59"/>
      <c r="F534" s="39"/>
      <c r="G534" s="39">
        <f>G535</f>
        <v>30000000</v>
      </c>
      <c r="H534" s="154" t="b">
        <f t="shared" si="16"/>
        <v>1</v>
      </c>
      <c r="I534" s="154"/>
      <c r="J534" s="154"/>
    </row>
    <row r="535" spans="1:10" ht="14.25" x14ac:dyDescent="0.2">
      <c r="A535" s="7" t="s">
        <v>3535</v>
      </c>
      <c r="B535" s="60">
        <v>522192</v>
      </c>
      <c r="C535" s="41" t="s">
        <v>24</v>
      </c>
      <c r="D535" s="60"/>
      <c r="E535" s="60"/>
      <c r="F535" s="42"/>
      <c r="G535" s="42">
        <f>G536</f>
        <v>30000000</v>
      </c>
      <c r="H535" s="154" t="b">
        <f t="shared" si="16"/>
        <v>1</v>
      </c>
      <c r="I535" s="154"/>
      <c r="J535" s="154"/>
    </row>
    <row r="536" spans="1:10" ht="14.25" x14ac:dyDescent="0.2">
      <c r="A536" s="7" t="s">
        <v>3536</v>
      </c>
      <c r="B536" s="124"/>
      <c r="C536" s="123" t="s">
        <v>3824</v>
      </c>
      <c r="D536" s="124">
        <v>120</v>
      </c>
      <c r="E536" s="124" t="s">
        <v>776</v>
      </c>
      <c r="F536" s="125">
        <v>250000</v>
      </c>
      <c r="G536" s="125">
        <f>ROUNDDOWN(D536*F536,-3)</f>
        <v>30000000</v>
      </c>
      <c r="H536" s="154" t="b">
        <f t="shared" si="16"/>
        <v>1</v>
      </c>
      <c r="I536" s="154"/>
      <c r="J536" s="154"/>
    </row>
    <row r="537" spans="1:10" ht="14.25" x14ac:dyDescent="0.2">
      <c r="A537" s="7" t="s">
        <v>3538</v>
      </c>
      <c r="B537" s="58">
        <v>302</v>
      </c>
      <c r="C537" s="35" t="s">
        <v>193</v>
      </c>
      <c r="D537" s="58"/>
      <c r="E537" s="58"/>
      <c r="F537" s="36"/>
      <c r="G537" s="36">
        <f>G538</f>
        <v>109200000</v>
      </c>
      <c r="H537" s="154" t="b">
        <f t="shared" si="16"/>
        <v>1</v>
      </c>
      <c r="I537" s="154"/>
      <c r="J537" s="154"/>
    </row>
    <row r="538" spans="1:10" ht="14.25" x14ac:dyDescent="0.2">
      <c r="A538" s="7" t="s">
        <v>3539</v>
      </c>
      <c r="B538" s="59" t="s">
        <v>8</v>
      </c>
      <c r="C538" s="38" t="s">
        <v>193</v>
      </c>
      <c r="D538" s="59"/>
      <c r="E538" s="59"/>
      <c r="F538" s="39"/>
      <c r="G538" s="39">
        <f>SUM(G539,G542,G545)</f>
        <v>109200000</v>
      </c>
      <c r="H538" s="154" t="b">
        <f t="shared" si="16"/>
        <v>1</v>
      </c>
      <c r="I538" s="154"/>
      <c r="J538" s="154"/>
    </row>
    <row r="539" spans="1:10" ht="14.25" x14ac:dyDescent="0.2">
      <c r="A539" s="7" t="s">
        <v>3540</v>
      </c>
      <c r="B539" s="60">
        <v>521211</v>
      </c>
      <c r="C539" s="41" t="s">
        <v>7</v>
      </c>
      <c r="D539" s="60"/>
      <c r="E539" s="60"/>
      <c r="F539" s="42"/>
      <c r="G539" s="42">
        <f>SUM(G540:G541)</f>
        <v>25000000</v>
      </c>
      <c r="H539" s="154" t="b">
        <f t="shared" si="16"/>
        <v>1</v>
      </c>
      <c r="I539" s="154"/>
      <c r="J539" s="154"/>
    </row>
    <row r="540" spans="1:10" ht="14.25" x14ac:dyDescent="0.2">
      <c r="A540" s="7" t="s">
        <v>3541</v>
      </c>
      <c r="B540" s="124"/>
      <c r="C540" s="123" t="s">
        <v>3811</v>
      </c>
      <c r="D540" s="124">
        <v>100</v>
      </c>
      <c r="E540" s="124" t="s">
        <v>10</v>
      </c>
      <c r="F540" s="125">
        <v>70000</v>
      </c>
      <c r="G540" s="125">
        <f>ROUNDDOWN(D540*F540,-3)</f>
        <v>7000000</v>
      </c>
      <c r="H540" s="154" t="b">
        <f t="shared" si="16"/>
        <v>1</v>
      </c>
      <c r="I540" s="154"/>
      <c r="J540" s="154"/>
    </row>
    <row r="541" spans="1:10" ht="14.25" x14ac:dyDescent="0.2">
      <c r="A541" s="7" t="s">
        <v>3542</v>
      </c>
      <c r="B541" s="124"/>
      <c r="C541" s="123" t="s">
        <v>3812</v>
      </c>
      <c r="D541" s="124">
        <v>12</v>
      </c>
      <c r="E541" s="124" t="s">
        <v>9</v>
      </c>
      <c r="F541" s="125">
        <v>1500000</v>
      </c>
      <c r="G541" s="125">
        <f>ROUNDDOWN(D541*F541,-3)</f>
        <v>18000000</v>
      </c>
      <c r="H541" s="154" t="b">
        <f t="shared" si="16"/>
        <v>1</v>
      </c>
      <c r="I541" s="154"/>
      <c r="J541" s="154"/>
    </row>
    <row r="542" spans="1:10" ht="14.25" x14ac:dyDescent="0.2">
      <c r="A542" s="7" t="s">
        <v>3543</v>
      </c>
      <c r="B542" s="60">
        <v>521811</v>
      </c>
      <c r="C542" s="41" t="s">
        <v>64</v>
      </c>
      <c r="D542" s="60"/>
      <c r="E542" s="60"/>
      <c r="F542" s="42"/>
      <c r="G542" s="42">
        <f>SUM(G543:G544)</f>
        <v>30000000</v>
      </c>
      <c r="H542" s="154" t="b">
        <f t="shared" si="16"/>
        <v>1</v>
      </c>
      <c r="I542" s="154"/>
      <c r="J542" s="154"/>
    </row>
    <row r="543" spans="1:10" ht="14.25" x14ac:dyDescent="0.2">
      <c r="A543" s="7" t="s">
        <v>3544</v>
      </c>
      <c r="B543" s="124"/>
      <c r="C543" s="123" t="s">
        <v>3781</v>
      </c>
      <c r="D543" s="124">
        <v>12</v>
      </c>
      <c r="E543" s="124" t="s">
        <v>9</v>
      </c>
      <c r="F543" s="125">
        <v>1000000</v>
      </c>
      <c r="G543" s="125">
        <f>ROUNDDOWN(D543*F543,-3)</f>
        <v>12000000</v>
      </c>
      <c r="H543" s="154" t="b">
        <f t="shared" si="16"/>
        <v>1</v>
      </c>
      <c r="I543" s="154"/>
      <c r="J543" s="154"/>
    </row>
    <row r="544" spans="1:10" ht="14.25" x14ac:dyDescent="0.2">
      <c r="A544" s="7" t="s">
        <v>3545</v>
      </c>
      <c r="B544" s="124"/>
      <c r="C544" s="123" t="s">
        <v>3598</v>
      </c>
      <c r="D544" s="124">
        <v>12</v>
      </c>
      <c r="E544" s="124" t="s">
        <v>9</v>
      </c>
      <c r="F544" s="125">
        <v>1500000</v>
      </c>
      <c r="G544" s="125">
        <f>ROUNDDOWN(D544*F544,-3)</f>
        <v>18000000</v>
      </c>
      <c r="H544" s="154" t="b">
        <f t="shared" si="16"/>
        <v>1</v>
      </c>
      <c r="I544" s="154"/>
      <c r="J544" s="154"/>
    </row>
    <row r="545" spans="1:10" ht="14.25" x14ac:dyDescent="0.2">
      <c r="A545" s="7" t="s">
        <v>3546</v>
      </c>
      <c r="B545" s="60">
        <v>524111</v>
      </c>
      <c r="C545" s="41" t="s">
        <v>19</v>
      </c>
      <c r="D545" s="60"/>
      <c r="E545" s="60"/>
      <c r="F545" s="42"/>
      <c r="G545" s="42">
        <f>G546</f>
        <v>54200000</v>
      </c>
      <c r="H545" s="154" t="b">
        <f t="shared" si="16"/>
        <v>1</v>
      </c>
      <c r="I545" s="154"/>
      <c r="J545" s="154"/>
    </row>
    <row r="546" spans="1:10" ht="25.5" x14ac:dyDescent="0.2">
      <c r="A546" s="7" t="s">
        <v>3547</v>
      </c>
      <c r="B546" s="124"/>
      <c r="C546" s="123" t="s">
        <v>3825</v>
      </c>
      <c r="D546" s="124">
        <v>10</v>
      </c>
      <c r="E546" s="124" t="s">
        <v>10</v>
      </c>
      <c r="F546" s="125">
        <v>5420000</v>
      </c>
      <c r="G546" s="125">
        <f>ROUNDDOWN(D546*F546,-3)</f>
        <v>54200000</v>
      </c>
      <c r="H546" s="154" t="b">
        <f t="shared" si="16"/>
        <v>1</v>
      </c>
      <c r="I546" s="154"/>
      <c r="J546" s="154"/>
    </row>
  </sheetData>
  <autoFilter ref="A11:H546" xr:uid="{5F23D4AB-6461-4F6C-ABE4-63EB0BAA35CF}"/>
  <mergeCells count="9">
    <mergeCell ref="K9:M9"/>
    <mergeCell ref="B1:G1"/>
    <mergeCell ref="B2:G2"/>
    <mergeCell ref="B9:B10"/>
    <mergeCell ref="C9:C10"/>
    <mergeCell ref="D9:D10"/>
    <mergeCell ref="E9:E10"/>
    <mergeCell ref="F9:F10"/>
    <mergeCell ref="G9:G10"/>
  </mergeCells>
  <conditionalFormatting sqref="G12:J12 G13:G517 H13:J546">
    <cfRule type="expression" dxfId="545" priority="14">
      <formula>NOT(_xlfn.ISFORMULA(G12))</formula>
    </cfRule>
  </conditionalFormatting>
  <conditionalFormatting sqref="B11:J12 H13:J546">
    <cfRule type="expression" dxfId="544" priority="15">
      <formula>AND(#REF!="Ya",#REF!=ROW())</formula>
    </cfRule>
  </conditionalFormatting>
  <conditionalFormatting sqref="B518:F518 G543:G544 G540:G541 G536 G533 G531 G527:G529 G523:G524 G521 G518:G519 B13:G517">
    <cfRule type="expression" dxfId="543" priority="13">
      <formula>AND($R$4="Ya",$Q$2=ROW())</formula>
    </cfRule>
  </conditionalFormatting>
  <conditionalFormatting sqref="G546">
    <cfRule type="expression" dxfId="542" priority="12">
      <formula>AND($R$4="Ya",$Q$2=ROW())</formula>
    </cfRule>
  </conditionalFormatting>
  <conditionalFormatting sqref="G546 G543:G544 G540:G541 G536 G533 G531 G527:G529 G523:G524 G521 G518:G519">
    <cfRule type="expression" dxfId="541" priority="11">
      <formula>NOT(_xlfn.ISFORMULA(G518))</formula>
    </cfRule>
  </conditionalFormatting>
  <conditionalFormatting sqref="G530">
    <cfRule type="expression" dxfId="540" priority="10">
      <formula>NOT(_xlfn.ISFORMULA(G530))</formula>
    </cfRule>
  </conditionalFormatting>
  <conditionalFormatting sqref="G530">
    <cfRule type="expression" dxfId="539" priority="9">
      <formula>AND($R$4="Ya",$Q$2=ROW())</formula>
    </cfRule>
  </conditionalFormatting>
  <conditionalFormatting sqref="G520">
    <cfRule type="expression" dxfId="538" priority="8">
      <formula>NOT(_xlfn.ISFORMULA(G520))</formula>
    </cfRule>
  </conditionalFormatting>
  <conditionalFormatting sqref="G520">
    <cfRule type="expression" dxfId="537" priority="7">
      <formula>AND($R$4="Ya",$Q$2=ROW())</formula>
    </cfRule>
  </conditionalFormatting>
  <conditionalFormatting sqref="G545">
    <cfRule type="expression" dxfId="536" priority="6">
      <formula>NOT(_xlfn.ISFORMULA(G545))</formula>
    </cfRule>
  </conditionalFormatting>
  <conditionalFormatting sqref="G545">
    <cfRule type="expression" dxfId="535" priority="5">
      <formula>AND($R$4="Ya",$Q$2=ROW())</formula>
    </cfRule>
  </conditionalFormatting>
  <conditionalFormatting sqref="G542">
    <cfRule type="expression" dxfId="534" priority="4">
      <formula>NOT(_xlfn.ISFORMULA(G542))</formula>
    </cfRule>
  </conditionalFormatting>
  <conditionalFormatting sqref="G542">
    <cfRule type="expression" dxfId="533" priority="3">
      <formula>AND($R$4="Ya",$Q$2=ROW())</formula>
    </cfRule>
  </conditionalFormatting>
  <conditionalFormatting sqref="G539">
    <cfRule type="expression" dxfId="532" priority="2">
      <formula>NOT(_xlfn.ISFORMULA(G539))</formula>
    </cfRule>
  </conditionalFormatting>
  <conditionalFormatting sqref="G539">
    <cfRule type="expression" dxfId="531"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58" fitToHeight="0" orientation="portrait" r:id="rId1"/>
  <headerFooter>
    <oddFooter>&amp;LDIPA Revisi 1 POK 1 TA. 2022&amp;RHal &amp;P dari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60CC55-916C-441A-8EB1-D50ACAAF7DD5}">
  <sheetPr codeName="Sheet6">
    <pageSetUpPr fitToPage="1"/>
  </sheetPr>
  <dimension ref="A1:X589"/>
  <sheetViews>
    <sheetView showGridLines="0" view="pageBreakPreview" topLeftCell="B1" zoomScaleNormal="100" zoomScaleSheetLayoutView="100" workbookViewId="0">
      <pane xSplit="2" ySplit="11" topLeftCell="D555" activePane="bottomRight" state="frozen"/>
      <selection activeCell="B1" sqref="B1"/>
      <selection pane="topRight" activeCell="D1" sqref="D1"/>
      <selection pane="bottomLeft" activeCell="B12" sqref="B12"/>
      <selection pane="bottomRight" activeCell="C536" sqref="C536"/>
    </sheetView>
  </sheetViews>
  <sheetFormatPr defaultColWidth="9.140625" defaultRowHeight="12.75" x14ac:dyDescent="0.2"/>
  <cols>
    <col min="1" max="1" width="37.140625" style="131" bestFit="1" customWidth="1"/>
    <col min="2" max="2" width="18" style="126" bestFit="1" customWidth="1"/>
    <col min="3" max="3" width="83.85546875" style="134" bestFit="1" customWidth="1"/>
    <col min="4" max="4" width="7" style="127" bestFit="1" customWidth="1"/>
    <col min="5" max="5" width="9.5703125" style="127" customWidth="1"/>
    <col min="6" max="6" width="14" style="135" bestFit="1" customWidth="1"/>
    <col min="7" max="7" width="15" style="135" bestFit="1" customWidth="1"/>
    <col min="8" max="8" width="7" style="135" bestFit="1" customWidth="1"/>
    <col min="9" max="10" width="16.85546875" style="135" customWidth="1"/>
    <col min="11" max="11" width="5" style="109" bestFit="1" customWidth="1"/>
    <col min="12" max="12" width="4.7109375" style="109" bestFit="1" customWidth="1"/>
    <col min="13" max="13" width="3.42578125" style="109" bestFit="1" customWidth="1"/>
    <col min="14" max="14" width="10.28515625" style="109" bestFit="1" customWidth="1"/>
    <col min="15" max="15" width="7.42578125" style="109" bestFit="1" customWidth="1"/>
    <col min="16" max="16" width="6.28515625" style="109" bestFit="1" customWidth="1"/>
    <col min="17" max="17" width="4.28515625" style="109" bestFit="1" customWidth="1"/>
    <col min="18" max="18" width="4.85546875" style="109" bestFit="1" customWidth="1"/>
    <col min="19" max="19" width="4.5703125" style="109" bestFit="1" customWidth="1"/>
    <col min="20" max="20" width="9.85546875" style="109" bestFit="1" customWidth="1"/>
    <col min="21" max="21" width="12.5703125" style="109" bestFit="1" customWidth="1"/>
    <col min="22" max="22" width="10" style="109" bestFit="1" customWidth="1"/>
    <col min="23" max="23" width="11.7109375" style="109" bestFit="1" customWidth="1"/>
    <col min="24" max="24" width="11.5703125" style="109" bestFit="1" customWidth="1"/>
    <col min="25" max="16384" width="9.140625" style="109"/>
  </cols>
  <sheetData>
    <row r="1" spans="1:24" ht="15.75" x14ac:dyDescent="0.2">
      <c r="B1" s="442" t="s">
        <v>598</v>
      </c>
      <c r="C1" s="442"/>
      <c r="D1" s="442"/>
      <c r="E1" s="442"/>
      <c r="F1" s="442"/>
      <c r="G1" s="450"/>
      <c r="H1" s="158"/>
      <c r="I1" s="177"/>
      <c r="J1" s="177"/>
    </row>
    <row r="2" spans="1:24" ht="15.75" x14ac:dyDescent="0.25">
      <c r="B2" s="451" t="s">
        <v>3826</v>
      </c>
      <c r="C2" s="451"/>
      <c r="D2" s="451"/>
      <c r="E2" s="451"/>
      <c r="F2" s="451"/>
      <c r="G2" s="452"/>
      <c r="H2" s="160"/>
      <c r="I2" s="178"/>
      <c r="J2" s="178"/>
    </row>
    <row r="3" spans="1:24" ht="15.75" x14ac:dyDescent="0.25">
      <c r="B3" s="159"/>
      <c r="C3" s="159"/>
      <c r="D3" s="159"/>
      <c r="E3" s="159"/>
      <c r="F3" s="159"/>
      <c r="G3" s="160"/>
      <c r="H3" s="160"/>
      <c r="I3" s="178"/>
      <c r="J3" s="178"/>
    </row>
    <row r="4" spans="1:24" ht="15" x14ac:dyDescent="0.2">
      <c r="B4" s="138" t="s">
        <v>599</v>
      </c>
      <c r="C4" s="138" t="s">
        <v>600</v>
      </c>
      <c r="D4" s="139"/>
      <c r="E4" s="139"/>
      <c r="F4" s="138"/>
      <c r="G4" s="140"/>
      <c r="H4" s="140"/>
      <c r="I4" s="140"/>
      <c r="J4" s="140"/>
    </row>
    <row r="5" spans="1:24" ht="15" x14ac:dyDescent="0.2">
      <c r="B5" s="138" t="s">
        <v>601</v>
      </c>
      <c r="C5" s="138" t="s">
        <v>602</v>
      </c>
      <c r="D5" s="53"/>
      <c r="E5" s="53"/>
      <c r="F5" s="50"/>
      <c r="G5" s="122"/>
      <c r="H5" s="122"/>
      <c r="I5" s="122"/>
      <c r="J5" s="122"/>
    </row>
    <row r="6" spans="1:24" ht="15" x14ac:dyDescent="0.2">
      <c r="B6" s="138" t="s">
        <v>603</v>
      </c>
      <c r="C6" s="138" t="s">
        <v>604</v>
      </c>
      <c r="D6" s="53"/>
      <c r="E6" s="53"/>
      <c r="F6" s="50"/>
      <c r="G6" s="122"/>
      <c r="H6" s="122"/>
      <c r="I6" s="122"/>
      <c r="J6" s="122"/>
    </row>
    <row r="7" spans="1:24" ht="15.75" x14ac:dyDescent="0.25">
      <c r="B7" s="138" t="s">
        <v>605</v>
      </c>
      <c r="C7" s="141" t="str">
        <f>":  Rp. " &amp; TEXT(G12,"#.##")</f>
        <v>:  Rp. 23.342.160.000</v>
      </c>
      <c r="D7" s="53"/>
      <c r="E7" s="53"/>
      <c r="F7" s="50"/>
      <c r="G7" s="122"/>
      <c r="H7" s="122"/>
      <c r="I7" s="122"/>
      <c r="J7" s="122"/>
    </row>
    <row r="8" spans="1:24" ht="15" x14ac:dyDescent="0.2">
      <c r="B8" s="142"/>
      <c r="C8" s="142"/>
      <c r="D8" s="142"/>
      <c r="E8" s="142"/>
      <c r="F8" s="142"/>
      <c r="G8" s="143"/>
      <c r="H8" s="143"/>
      <c r="I8" s="143"/>
      <c r="J8" s="143"/>
    </row>
    <row r="9" spans="1:24" ht="15" x14ac:dyDescent="0.2">
      <c r="B9" s="453" t="s">
        <v>606</v>
      </c>
      <c r="C9" s="454" t="s">
        <v>607</v>
      </c>
      <c r="D9" s="455" t="s">
        <v>608</v>
      </c>
      <c r="E9" s="453" t="s">
        <v>609</v>
      </c>
      <c r="F9" s="455" t="s">
        <v>610</v>
      </c>
      <c r="G9" s="449" t="s">
        <v>611</v>
      </c>
      <c r="H9" s="152"/>
      <c r="I9" s="152"/>
      <c r="J9" s="152"/>
      <c r="K9" s="456" t="s">
        <v>3827</v>
      </c>
      <c r="L9" s="456"/>
      <c r="M9" s="456"/>
      <c r="N9" s="109" t="s">
        <v>3828</v>
      </c>
      <c r="O9" s="109" t="s">
        <v>3829</v>
      </c>
      <c r="P9" s="109" t="s">
        <v>3830</v>
      </c>
      <c r="Q9" s="109" t="s">
        <v>3831</v>
      </c>
      <c r="R9" s="109" t="s">
        <v>3832</v>
      </c>
      <c r="S9" s="109" t="s">
        <v>3833</v>
      </c>
      <c r="T9" s="109" t="s">
        <v>3834</v>
      </c>
      <c r="U9" s="109" t="s">
        <v>3835</v>
      </c>
      <c r="V9" s="109" t="s">
        <v>3836</v>
      </c>
      <c r="W9" s="109" t="s">
        <v>3837</v>
      </c>
      <c r="X9" s="109" t="s">
        <v>3838</v>
      </c>
    </row>
    <row r="10" spans="1:24" s="133" customFormat="1" ht="14.25" x14ac:dyDescent="0.2">
      <c r="A10" s="132" t="s">
        <v>499</v>
      </c>
      <c r="B10" s="445"/>
      <c r="C10" s="445"/>
      <c r="D10" s="448"/>
      <c r="E10" s="448"/>
      <c r="F10" s="445"/>
      <c r="G10" s="445"/>
      <c r="H10" s="161"/>
      <c r="I10" s="161"/>
      <c r="J10" s="161"/>
      <c r="K10" s="162" t="s">
        <v>3839</v>
      </c>
      <c r="L10" s="162" t="s">
        <v>3840</v>
      </c>
      <c r="M10" s="162" t="s">
        <v>3841</v>
      </c>
    </row>
    <row r="11" spans="1:24" s="133" customFormat="1" x14ac:dyDescent="0.2">
      <c r="A11" s="132"/>
      <c r="B11" s="129">
        <v>1</v>
      </c>
      <c r="C11" s="129">
        <v>2</v>
      </c>
      <c r="D11" s="129">
        <v>3</v>
      </c>
      <c r="E11" s="129">
        <v>4</v>
      </c>
      <c r="F11" s="129">
        <v>5</v>
      </c>
      <c r="G11" s="130">
        <v>6</v>
      </c>
      <c r="H11" s="153"/>
      <c r="I11" s="153"/>
      <c r="J11" s="153"/>
    </row>
    <row r="12" spans="1:24" s="133" customFormat="1" x14ac:dyDescent="0.2">
      <c r="A12" s="132"/>
      <c r="B12" s="110" t="s">
        <v>3843</v>
      </c>
      <c r="C12" s="111" t="s">
        <v>613</v>
      </c>
      <c r="D12" s="112"/>
      <c r="E12" s="113"/>
      <c r="F12" s="112"/>
      <c r="G12" s="128">
        <f>SUM(G13,G114)</f>
        <v>23342160000</v>
      </c>
      <c r="H12" s="154" t="b">
        <f>_xlfn.ISFORMULA(G12)</f>
        <v>1</v>
      </c>
      <c r="I12" s="154"/>
      <c r="J12" s="154"/>
    </row>
    <row r="13" spans="1:24" ht="14.25" x14ac:dyDescent="0.2">
      <c r="A13" s="7" t="s">
        <v>0</v>
      </c>
      <c r="B13" s="54" t="s">
        <v>0</v>
      </c>
      <c r="C13" s="23" t="s">
        <v>1</v>
      </c>
      <c r="D13" s="54"/>
      <c r="E13" s="54"/>
      <c r="F13" s="24"/>
      <c r="G13" s="24">
        <f>G14</f>
        <v>1000000000</v>
      </c>
      <c r="H13" s="154" t="b">
        <f>_xlfn.ISFORMULA(G13)</f>
        <v>1</v>
      </c>
      <c r="I13" s="154"/>
      <c r="J13" s="154"/>
    </row>
    <row r="14" spans="1:24" ht="14.25" x14ac:dyDescent="0.2">
      <c r="A14" s="21" t="s">
        <v>419</v>
      </c>
      <c r="B14" s="55">
        <v>2376</v>
      </c>
      <c r="C14" s="26" t="s">
        <v>47</v>
      </c>
      <c r="D14" s="68"/>
      <c r="E14" s="55"/>
      <c r="F14" s="27"/>
      <c r="G14" s="27">
        <f>G15</f>
        <v>1000000000</v>
      </c>
      <c r="H14" s="154" t="b">
        <f t="shared" ref="H14:H77" si="0">_xlfn.ISFORMULA(G14)</f>
        <v>1</v>
      </c>
      <c r="I14" s="154"/>
      <c r="J14" s="154"/>
    </row>
    <row r="15" spans="1:24" ht="14.25" x14ac:dyDescent="0.2">
      <c r="A15" s="21" t="s">
        <v>420</v>
      </c>
      <c r="B15" s="116" t="s">
        <v>48</v>
      </c>
      <c r="C15" s="114" t="s">
        <v>615</v>
      </c>
      <c r="D15" s="115">
        <v>4</v>
      </c>
      <c r="E15" s="116" t="s">
        <v>3586</v>
      </c>
      <c r="F15" s="117"/>
      <c r="G15" s="117">
        <f>G16</f>
        <v>1000000000</v>
      </c>
      <c r="H15" s="154" t="b">
        <f t="shared" si="0"/>
        <v>1</v>
      </c>
      <c r="I15" s="154"/>
      <c r="J15" s="154"/>
    </row>
    <row r="16" spans="1:24" ht="14.25" x14ac:dyDescent="0.2">
      <c r="A16" s="21" t="s">
        <v>421</v>
      </c>
      <c r="B16" s="119" t="s">
        <v>3600</v>
      </c>
      <c r="C16" s="118" t="s">
        <v>49</v>
      </c>
      <c r="D16" s="119">
        <v>4</v>
      </c>
      <c r="E16" s="119" t="s">
        <v>3586</v>
      </c>
      <c r="F16" s="120"/>
      <c r="G16" s="120">
        <f>SUM(G17,G38,G49,G98)</f>
        <v>1000000000</v>
      </c>
      <c r="H16" s="154" t="b">
        <f t="shared" si="0"/>
        <v>1</v>
      </c>
      <c r="I16" s="154"/>
      <c r="J16" s="154"/>
    </row>
    <row r="17" spans="1:12" ht="14.25" x14ac:dyDescent="0.2">
      <c r="A17" s="21" t="s">
        <v>422</v>
      </c>
      <c r="B17" s="58" t="s">
        <v>502</v>
      </c>
      <c r="C17" s="35" t="s">
        <v>50</v>
      </c>
      <c r="D17" s="69"/>
      <c r="E17" s="58"/>
      <c r="F17" s="36"/>
      <c r="G17" s="36">
        <f>SUM(G18,G28)</f>
        <v>124100000</v>
      </c>
      <c r="H17" s="154" t="b">
        <f t="shared" si="0"/>
        <v>1</v>
      </c>
      <c r="I17" s="154"/>
      <c r="J17" s="154"/>
    </row>
    <row r="18" spans="1:12" ht="14.25" x14ac:dyDescent="0.2">
      <c r="A18" s="21" t="s">
        <v>423</v>
      </c>
      <c r="B18" s="59" t="s">
        <v>8</v>
      </c>
      <c r="C18" s="38" t="s">
        <v>51</v>
      </c>
      <c r="D18" s="59"/>
      <c r="E18" s="59"/>
      <c r="F18" s="39"/>
      <c r="G18" s="39">
        <f>SUM(G19,G24,G26)</f>
        <v>83135000</v>
      </c>
      <c r="H18" s="154" t="b">
        <f t="shared" si="0"/>
        <v>1</v>
      </c>
      <c r="I18" s="154"/>
      <c r="J18" s="154"/>
    </row>
    <row r="19" spans="1:12" ht="14.25" x14ac:dyDescent="0.2">
      <c r="A19" s="21" t="s">
        <v>424</v>
      </c>
      <c r="B19" s="60">
        <v>521211</v>
      </c>
      <c r="C19" s="41" t="s">
        <v>7</v>
      </c>
      <c r="D19" s="71"/>
      <c r="E19" s="60"/>
      <c r="F19" s="42"/>
      <c r="G19" s="42">
        <f>SUM(G20:G23)</f>
        <v>8375000</v>
      </c>
      <c r="H19" s="154" t="b">
        <f t="shared" si="0"/>
        <v>1</v>
      </c>
      <c r="I19" s="154"/>
      <c r="J19" s="154"/>
    </row>
    <row r="20" spans="1:12" ht="14.25" x14ac:dyDescent="0.2">
      <c r="A20" s="21" t="s">
        <v>425</v>
      </c>
      <c r="B20" s="124"/>
      <c r="C20" s="123" t="s">
        <v>3601</v>
      </c>
      <c r="D20" s="157">
        <v>65</v>
      </c>
      <c r="E20" s="124" t="s">
        <v>10</v>
      </c>
      <c r="F20" s="125">
        <v>75000</v>
      </c>
      <c r="G20" s="125">
        <f>ROUNDDOWN(D20*F20,-3)</f>
        <v>4875000</v>
      </c>
      <c r="H20" s="154" t="b">
        <f t="shared" si="0"/>
        <v>1</v>
      </c>
      <c r="I20" s="154"/>
      <c r="J20" s="154"/>
      <c r="L20" s="109" t="s">
        <v>3842</v>
      </c>
    </row>
    <row r="21" spans="1:12" ht="14.25" x14ac:dyDescent="0.2">
      <c r="A21" s="21" t="s">
        <v>426</v>
      </c>
      <c r="B21" s="124"/>
      <c r="C21" s="123" t="s">
        <v>3602</v>
      </c>
      <c r="D21" s="124">
        <v>1</v>
      </c>
      <c r="E21" s="124" t="s">
        <v>106</v>
      </c>
      <c r="F21" s="125">
        <v>1000000</v>
      </c>
      <c r="G21" s="125">
        <f>ROUNDDOWN(D21*F21,-3)</f>
        <v>1000000</v>
      </c>
      <c r="H21" s="154" t="b">
        <f t="shared" si="0"/>
        <v>1</v>
      </c>
      <c r="I21" s="154"/>
      <c r="J21" s="154"/>
    </row>
    <row r="22" spans="1:12" ht="14.25" x14ac:dyDescent="0.2">
      <c r="A22" s="21" t="s">
        <v>427</v>
      </c>
      <c r="B22" s="124"/>
      <c r="C22" s="123" t="s">
        <v>3588</v>
      </c>
      <c r="D22" s="157">
        <v>1</v>
      </c>
      <c r="E22" s="124" t="s">
        <v>106</v>
      </c>
      <c r="F22" s="125">
        <v>1000000</v>
      </c>
      <c r="G22" s="125">
        <f>ROUNDDOWN(D22*F22,-3)</f>
        <v>1000000</v>
      </c>
      <c r="H22" s="154" t="b">
        <f t="shared" si="0"/>
        <v>1</v>
      </c>
      <c r="I22" s="154"/>
      <c r="J22" s="154"/>
    </row>
    <row r="23" spans="1:12" ht="14.25" x14ac:dyDescent="0.2">
      <c r="A23" s="21" t="s">
        <v>428</v>
      </c>
      <c r="B23" s="124"/>
      <c r="C23" s="123" t="s">
        <v>3589</v>
      </c>
      <c r="D23" s="124">
        <v>1</v>
      </c>
      <c r="E23" s="124" t="s">
        <v>106</v>
      </c>
      <c r="F23" s="125">
        <v>1500000</v>
      </c>
      <c r="G23" s="125">
        <f>ROUNDDOWN(D23*F23,-3)</f>
        <v>1500000</v>
      </c>
      <c r="H23" s="154" t="b">
        <f t="shared" si="0"/>
        <v>1</v>
      </c>
      <c r="I23" s="154"/>
      <c r="J23" s="154"/>
    </row>
    <row r="24" spans="1:12" ht="14.25" x14ac:dyDescent="0.2">
      <c r="A24" s="21" t="s">
        <v>772</v>
      </c>
      <c r="B24" s="60">
        <v>522151</v>
      </c>
      <c r="C24" s="41" t="s">
        <v>11</v>
      </c>
      <c r="D24" s="71"/>
      <c r="E24" s="60"/>
      <c r="F24" s="42"/>
      <c r="G24" s="42">
        <f>G25</f>
        <v>1000000</v>
      </c>
      <c r="H24" s="154" t="b">
        <f>_xlfn.ISFORMULA(G24)</f>
        <v>1</v>
      </c>
      <c r="I24" s="154"/>
      <c r="J24" s="154"/>
    </row>
    <row r="25" spans="1:12" ht="14.25" x14ac:dyDescent="0.2">
      <c r="A25" s="21" t="s">
        <v>773</v>
      </c>
      <c r="B25" s="124"/>
      <c r="C25" s="123" t="s">
        <v>3603</v>
      </c>
      <c r="D25" s="124">
        <v>1</v>
      </c>
      <c r="E25" s="124" t="s">
        <v>54</v>
      </c>
      <c r="F25" s="125">
        <v>1000000</v>
      </c>
      <c r="G25" s="125">
        <f>ROUNDDOWN(D25*F25,-3)</f>
        <v>1000000</v>
      </c>
      <c r="H25" s="154" t="b">
        <f t="shared" si="0"/>
        <v>1</v>
      </c>
      <c r="I25" s="154"/>
      <c r="J25" s="154"/>
    </row>
    <row r="26" spans="1:12" ht="14.25" x14ac:dyDescent="0.2">
      <c r="A26" s="21" t="s">
        <v>429</v>
      </c>
      <c r="B26" s="60">
        <v>524111</v>
      </c>
      <c r="C26" s="41" t="s">
        <v>19</v>
      </c>
      <c r="D26" s="60"/>
      <c r="E26" s="60"/>
      <c r="F26" s="42"/>
      <c r="G26" s="42">
        <f>G27</f>
        <v>73760000</v>
      </c>
      <c r="H26" s="154" t="b">
        <f t="shared" si="0"/>
        <v>1</v>
      </c>
      <c r="I26" s="154"/>
      <c r="J26" s="154"/>
    </row>
    <row r="27" spans="1:12" ht="14.25" x14ac:dyDescent="0.2">
      <c r="A27" s="21" t="s">
        <v>430</v>
      </c>
      <c r="B27" s="124"/>
      <c r="C27" s="123" t="s">
        <v>3604</v>
      </c>
      <c r="D27" s="157">
        <v>12</v>
      </c>
      <c r="E27" s="124" t="s">
        <v>776</v>
      </c>
      <c r="F27" s="125">
        <v>6146667</v>
      </c>
      <c r="G27" s="125">
        <f>ROUNDDOWN(D27*F27,-3)</f>
        <v>73760000</v>
      </c>
      <c r="H27" s="154" t="b">
        <f t="shared" si="0"/>
        <v>1</v>
      </c>
      <c r="I27" s="154"/>
      <c r="J27" s="154"/>
    </row>
    <row r="28" spans="1:12" ht="14.25" x14ac:dyDescent="0.2">
      <c r="A28" s="21" t="s">
        <v>431</v>
      </c>
      <c r="B28" s="59" t="s">
        <v>511</v>
      </c>
      <c r="C28" s="38" t="s">
        <v>55</v>
      </c>
      <c r="D28" s="70"/>
      <c r="E28" s="59"/>
      <c r="F28" s="39"/>
      <c r="G28" s="39">
        <f>SUM(G29,G34,G36)</f>
        <v>40965000</v>
      </c>
      <c r="H28" s="154" t="b">
        <f t="shared" si="0"/>
        <v>1</v>
      </c>
      <c r="I28" s="154"/>
      <c r="J28" s="154"/>
    </row>
    <row r="29" spans="1:12" ht="14.25" x14ac:dyDescent="0.2">
      <c r="A29" s="21" t="s">
        <v>432</v>
      </c>
      <c r="B29" s="60">
        <v>521211</v>
      </c>
      <c r="C29" s="41" t="s">
        <v>7</v>
      </c>
      <c r="D29" s="71"/>
      <c r="E29" s="60"/>
      <c r="F29" s="42"/>
      <c r="G29" s="42">
        <f>SUM(G30:G33)</f>
        <v>6725000</v>
      </c>
      <c r="H29" s="154" t="b">
        <f t="shared" si="0"/>
        <v>1</v>
      </c>
      <c r="I29" s="154"/>
      <c r="J29" s="154"/>
    </row>
    <row r="30" spans="1:12" ht="14.25" x14ac:dyDescent="0.2">
      <c r="A30" s="21" t="s">
        <v>433</v>
      </c>
      <c r="B30" s="124"/>
      <c r="C30" s="123" t="s">
        <v>3601</v>
      </c>
      <c r="D30" s="124">
        <v>43</v>
      </c>
      <c r="E30" s="124" t="s">
        <v>10</v>
      </c>
      <c r="F30" s="125">
        <v>75000</v>
      </c>
      <c r="G30" s="125">
        <f>ROUNDDOWN(D30*F30,-3)</f>
        <v>3225000</v>
      </c>
      <c r="H30" s="154" t="b">
        <f t="shared" si="0"/>
        <v>1</v>
      </c>
      <c r="I30" s="154"/>
      <c r="J30" s="154"/>
    </row>
    <row r="31" spans="1:12" ht="14.25" x14ac:dyDescent="0.2">
      <c r="A31" s="21" t="s">
        <v>434</v>
      </c>
      <c r="B31" s="124"/>
      <c r="C31" s="123" t="s">
        <v>3602</v>
      </c>
      <c r="D31" s="157">
        <v>1</v>
      </c>
      <c r="E31" s="124" t="s">
        <v>106</v>
      </c>
      <c r="F31" s="125">
        <v>1000000</v>
      </c>
      <c r="G31" s="125">
        <f>ROUNDDOWN(D31*F31,-3)</f>
        <v>1000000</v>
      </c>
      <c r="H31" s="154" t="b">
        <f t="shared" si="0"/>
        <v>1</v>
      </c>
      <c r="I31" s="154"/>
      <c r="J31" s="154"/>
    </row>
    <row r="32" spans="1:12" ht="14.25" x14ac:dyDescent="0.2">
      <c r="A32" s="21" t="s">
        <v>435</v>
      </c>
      <c r="B32" s="124"/>
      <c r="C32" s="123" t="s">
        <v>3588</v>
      </c>
      <c r="D32" s="124">
        <v>1</v>
      </c>
      <c r="E32" s="124" t="s">
        <v>106</v>
      </c>
      <c r="F32" s="125">
        <v>1000000</v>
      </c>
      <c r="G32" s="125">
        <f>ROUNDDOWN(D32*F32,-3)</f>
        <v>1000000</v>
      </c>
      <c r="H32" s="154" t="b">
        <f t="shared" si="0"/>
        <v>1</v>
      </c>
      <c r="I32" s="154"/>
      <c r="J32" s="154"/>
    </row>
    <row r="33" spans="1:10" ht="14.25" x14ac:dyDescent="0.2">
      <c r="A33" s="21" t="s">
        <v>436</v>
      </c>
      <c r="B33" s="124"/>
      <c r="C33" s="123" t="s">
        <v>3589</v>
      </c>
      <c r="D33" s="157">
        <v>1</v>
      </c>
      <c r="E33" s="124" t="s">
        <v>106</v>
      </c>
      <c r="F33" s="125">
        <v>1500000</v>
      </c>
      <c r="G33" s="125">
        <f>ROUNDDOWN(D33*F33,-3)</f>
        <v>1500000</v>
      </c>
      <c r="H33" s="154" t="b">
        <f t="shared" si="0"/>
        <v>1</v>
      </c>
      <c r="I33" s="154"/>
      <c r="J33" s="154"/>
    </row>
    <row r="34" spans="1:10" ht="14.25" x14ac:dyDescent="0.2">
      <c r="A34" s="21" t="s">
        <v>777</v>
      </c>
      <c r="B34" s="60">
        <v>522151</v>
      </c>
      <c r="C34" s="41" t="s">
        <v>11</v>
      </c>
      <c r="D34" s="71"/>
      <c r="E34" s="60"/>
      <c r="F34" s="42"/>
      <c r="G34" s="42">
        <f>G35</f>
        <v>1000000</v>
      </c>
      <c r="H34" s="154" t="b">
        <f t="shared" si="0"/>
        <v>1</v>
      </c>
      <c r="I34" s="154"/>
      <c r="J34" s="154"/>
    </row>
    <row r="35" spans="1:10" ht="14.25" x14ac:dyDescent="0.2">
      <c r="A35" s="21" t="s">
        <v>778</v>
      </c>
      <c r="B35" s="124"/>
      <c r="C35" s="123" t="s">
        <v>3603</v>
      </c>
      <c r="D35" s="124">
        <v>1</v>
      </c>
      <c r="E35" s="124" t="s">
        <v>54</v>
      </c>
      <c r="F35" s="125">
        <v>1000000</v>
      </c>
      <c r="G35" s="125">
        <f>ROUNDDOWN(D35*F35,-3)</f>
        <v>1000000</v>
      </c>
      <c r="H35" s="154" t="b">
        <f t="shared" si="0"/>
        <v>1</v>
      </c>
      <c r="I35" s="154"/>
      <c r="J35" s="154"/>
    </row>
    <row r="36" spans="1:10" ht="14.25" x14ac:dyDescent="0.2">
      <c r="A36" s="21" t="s">
        <v>437</v>
      </c>
      <c r="B36" s="60">
        <v>524111</v>
      </c>
      <c r="C36" s="41" t="s">
        <v>19</v>
      </c>
      <c r="D36" s="71"/>
      <c r="E36" s="60"/>
      <c r="F36" s="42"/>
      <c r="G36" s="42">
        <f>G37</f>
        <v>33240000</v>
      </c>
      <c r="H36" s="154" t="b">
        <f t="shared" si="0"/>
        <v>1</v>
      </c>
      <c r="I36" s="154"/>
      <c r="J36" s="154"/>
    </row>
    <row r="37" spans="1:10" ht="14.25" x14ac:dyDescent="0.2">
      <c r="A37" s="21" t="s">
        <v>438</v>
      </c>
      <c r="B37" s="124"/>
      <c r="C37" s="123" t="s">
        <v>3604</v>
      </c>
      <c r="D37" s="124">
        <v>12</v>
      </c>
      <c r="E37" s="124" t="s">
        <v>776</v>
      </c>
      <c r="F37" s="125">
        <v>2770000</v>
      </c>
      <c r="G37" s="125">
        <f>ROUNDDOWN(D37*F37,-3)</f>
        <v>33240000</v>
      </c>
      <c r="H37" s="154" t="b">
        <f t="shared" si="0"/>
        <v>1</v>
      </c>
      <c r="I37" s="154"/>
      <c r="J37" s="154"/>
    </row>
    <row r="38" spans="1:10" ht="14.25" x14ac:dyDescent="0.2">
      <c r="A38" s="21" t="s">
        <v>439</v>
      </c>
      <c r="B38" s="58" t="s">
        <v>520</v>
      </c>
      <c r="C38" s="35" t="s">
        <v>57</v>
      </c>
      <c r="D38" s="69"/>
      <c r="E38" s="58"/>
      <c r="F38" s="36"/>
      <c r="G38" s="36">
        <f>G39</f>
        <v>54500000</v>
      </c>
      <c r="H38" s="154" t="b">
        <f t="shared" si="0"/>
        <v>1</v>
      </c>
      <c r="I38" s="154"/>
      <c r="J38" s="154"/>
    </row>
    <row r="39" spans="1:10" ht="14.25" x14ac:dyDescent="0.2">
      <c r="A39" s="21" t="s">
        <v>440</v>
      </c>
      <c r="B39" s="59" t="s">
        <v>8</v>
      </c>
      <c r="C39" s="38" t="s">
        <v>59</v>
      </c>
      <c r="D39" s="59"/>
      <c r="E39" s="59"/>
      <c r="F39" s="39"/>
      <c r="G39" s="39">
        <f>SUM(G40,G47)</f>
        <v>54500000</v>
      </c>
      <c r="H39" s="154" t="b">
        <f t="shared" si="0"/>
        <v>1</v>
      </c>
      <c r="I39" s="154"/>
      <c r="J39" s="154"/>
    </row>
    <row r="40" spans="1:10" ht="14.25" x14ac:dyDescent="0.2">
      <c r="A40" s="21" t="s">
        <v>441</v>
      </c>
      <c r="B40" s="60">
        <v>521211</v>
      </c>
      <c r="C40" s="41" t="s">
        <v>7</v>
      </c>
      <c r="D40" s="60"/>
      <c r="E40" s="60"/>
      <c r="F40" s="42"/>
      <c r="G40" s="42">
        <f>SUM(G41:G46)</f>
        <v>19225000</v>
      </c>
      <c r="H40" s="154" t="b">
        <f t="shared" si="0"/>
        <v>1</v>
      </c>
      <c r="I40" s="154"/>
      <c r="J40" s="154"/>
    </row>
    <row r="41" spans="1:10" ht="14.25" x14ac:dyDescent="0.2">
      <c r="A41" s="21" t="s">
        <v>442</v>
      </c>
      <c r="B41" s="124"/>
      <c r="C41" s="123" t="s">
        <v>3601</v>
      </c>
      <c r="D41" s="157">
        <v>23</v>
      </c>
      <c r="E41" s="124" t="s">
        <v>10</v>
      </c>
      <c r="F41" s="125">
        <v>75000</v>
      </c>
      <c r="G41" s="125">
        <f t="shared" ref="G41:G46" si="1">ROUNDDOWN(D41*F41,-3)</f>
        <v>1725000</v>
      </c>
      <c r="H41" s="154" t="b">
        <f t="shared" si="0"/>
        <v>1</v>
      </c>
      <c r="I41" s="154"/>
      <c r="J41" s="154"/>
    </row>
    <row r="42" spans="1:10" ht="14.25" x14ac:dyDescent="0.2">
      <c r="A42" s="7" t="s">
        <v>443</v>
      </c>
      <c r="B42" s="124"/>
      <c r="C42" s="123" t="s">
        <v>3602</v>
      </c>
      <c r="D42" s="157">
        <v>1</v>
      </c>
      <c r="E42" s="124" t="s">
        <v>106</v>
      </c>
      <c r="F42" s="125">
        <v>1000000</v>
      </c>
      <c r="G42" s="125">
        <f t="shared" si="1"/>
        <v>1000000</v>
      </c>
      <c r="H42" s="154" t="b">
        <f t="shared" si="0"/>
        <v>1</v>
      </c>
      <c r="I42" s="154"/>
      <c r="J42" s="154"/>
    </row>
    <row r="43" spans="1:10" ht="14.25" x14ac:dyDescent="0.2">
      <c r="A43" s="7" t="s">
        <v>444</v>
      </c>
      <c r="B43" s="124"/>
      <c r="C43" s="123" t="s">
        <v>3588</v>
      </c>
      <c r="D43" s="124">
        <v>2</v>
      </c>
      <c r="E43" s="124" t="s">
        <v>106</v>
      </c>
      <c r="F43" s="125">
        <v>1000000</v>
      </c>
      <c r="G43" s="125">
        <f t="shared" si="1"/>
        <v>2000000</v>
      </c>
      <c r="H43" s="154" t="b">
        <f t="shared" si="0"/>
        <v>1</v>
      </c>
      <c r="I43" s="154"/>
      <c r="J43" s="154"/>
    </row>
    <row r="44" spans="1:10" ht="14.25" x14ac:dyDescent="0.2">
      <c r="A44" s="21" t="s">
        <v>445</v>
      </c>
      <c r="B44" s="124"/>
      <c r="C44" s="123" t="s">
        <v>3589</v>
      </c>
      <c r="D44" s="124">
        <v>2</v>
      </c>
      <c r="E44" s="124" t="s">
        <v>106</v>
      </c>
      <c r="F44" s="125">
        <v>1500000</v>
      </c>
      <c r="G44" s="125">
        <f t="shared" si="1"/>
        <v>3000000</v>
      </c>
      <c r="H44" s="154" t="b">
        <f t="shared" si="0"/>
        <v>1</v>
      </c>
      <c r="I44" s="154"/>
      <c r="J44" s="154"/>
    </row>
    <row r="45" spans="1:10" ht="14.25" x14ac:dyDescent="0.2">
      <c r="A45" s="21" t="s">
        <v>446</v>
      </c>
      <c r="B45" s="124"/>
      <c r="C45" s="123" t="s">
        <v>3605</v>
      </c>
      <c r="D45" s="124">
        <v>23</v>
      </c>
      <c r="E45" s="124" t="s">
        <v>176</v>
      </c>
      <c r="F45" s="125">
        <v>250000</v>
      </c>
      <c r="G45" s="125">
        <f t="shared" si="1"/>
        <v>5750000</v>
      </c>
      <c r="H45" s="154" t="b">
        <f t="shared" si="0"/>
        <v>1</v>
      </c>
      <c r="I45" s="154"/>
      <c r="J45" s="154"/>
    </row>
    <row r="46" spans="1:10" ht="14.25" x14ac:dyDescent="0.2">
      <c r="A46" s="21" t="s">
        <v>447</v>
      </c>
      <c r="B46" s="124"/>
      <c r="C46" s="123" t="s">
        <v>3606</v>
      </c>
      <c r="D46" s="124">
        <v>23</v>
      </c>
      <c r="E46" s="124" t="s">
        <v>58</v>
      </c>
      <c r="F46" s="125">
        <v>250000</v>
      </c>
      <c r="G46" s="125">
        <f t="shared" si="1"/>
        <v>5750000</v>
      </c>
      <c r="H46" s="154" t="b">
        <f t="shared" si="0"/>
        <v>1</v>
      </c>
      <c r="I46" s="154"/>
      <c r="J46" s="154"/>
    </row>
    <row r="47" spans="1:10" ht="14.25" x14ac:dyDescent="0.2">
      <c r="A47" s="21" t="s">
        <v>448</v>
      </c>
      <c r="B47" s="60">
        <v>524111</v>
      </c>
      <c r="C47" s="41" t="s">
        <v>19</v>
      </c>
      <c r="D47" s="71"/>
      <c r="E47" s="60"/>
      <c r="F47" s="42"/>
      <c r="G47" s="42">
        <f>G48</f>
        <v>35275000</v>
      </c>
      <c r="H47" s="154" t="b">
        <f t="shared" si="0"/>
        <v>1</v>
      </c>
      <c r="I47" s="154"/>
      <c r="J47" s="154"/>
    </row>
    <row r="48" spans="1:10" ht="14.25" x14ac:dyDescent="0.2">
      <c r="A48" s="21" t="s">
        <v>449</v>
      </c>
      <c r="B48" s="124"/>
      <c r="C48" s="123" t="s">
        <v>3607</v>
      </c>
      <c r="D48" s="157">
        <v>10</v>
      </c>
      <c r="E48" s="124" t="s">
        <v>776</v>
      </c>
      <c r="F48" s="125">
        <v>3527550</v>
      </c>
      <c r="G48" s="125">
        <f>ROUNDDOWN(D48*F48,-3)</f>
        <v>35275000</v>
      </c>
      <c r="H48" s="154" t="b">
        <f t="shared" si="0"/>
        <v>1</v>
      </c>
      <c r="I48" s="154"/>
      <c r="J48" s="154"/>
    </row>
    <row r="49" spans="1:10" ht="14.25" x14ac:dyDescent="0.2">
      <c r="A49" s="21" t="s">
        <v>450</v>
      </c>
      <c r="B49" s="58" t="s">
        <v>523</v>
      </c>
      <c r="C49" s="35" t="s">
        <v>61</v>
      </c>
      <c r="D49" s="69"/>
      <c r="E49" s="58"/>
      <c r="F49" s="36"/>
      <c r="G49" s="36">
        <f>SUM(G50,G69,G86)</f>
        <v>686300000</v>
      </c>
      <c r="H49" s="154" t="b">
        <f t="shared" si="0"/>
        <v>1</v>
      </c>
      <c r="I49" s="154"/>
      <c r="J49" s="154"/>
    </row>
    <row r="50" spans="1:10" ht="14.25" x14ac:dyDescent="0.2">
      <c r="A50" s="21" t="s">
        <v>451</v>
      </c>
      <c r="B50" s="59" t="s">
        <v>8</v>
      </c>
      <c r="C50" s="38" t="s">
        <v>62</v>
      </c>
      <c r="D50" s="59"/>
      <c r="E50" s="59"/>
      <c r="F50" s="39"/>
      <c r="G50" s="39">
        <f>SUM(G51,G55,G58,G61,G63,G65,G67)</f>
        <v>386924000</v>
      </c>
      <c r="H50" s="154" t="b">
        <f t="shared" si="0"/>
        <v>1</v>
      </c>
      <c r="I50" s="154"/>
      <c r="J50" s="154"/>
    </row>
    <row r="51" spans="1:10" ht="14.25" x14ac:dyDescent="0.2">
      <c r="A51" s="21" t="s">
        <v>452</v>
      </c>
      <c r="B51" s="60">
        <v>521211</v>
      </c>
      <c r="C51" s="41" t="s">
        <v>7</v>
      </c>
      <c r="D51" s="71"/>
      <c r="E51" s="60"/>
      <c r="F51" s="42"/>
      <c r="G51" s="42">
        <f>SUM(G52:G54)</f>
        <v>64900000</v>
      </c>
      <c r="H51" s="154" t="b">
        <f t="shared" si="0"/>
        <v>1</v>
      </c>
      <c r="I51" s="154"/>
      <c r="J51" s="154"/>
    </row>
    <row r="52" spans="1:10" ht="14.25" x14ac:dyDescent="0.2">
      <c r="A52" s="21" t="s">
        <v>453</v>
      </c>
      <c r="B52" s="124"/>
      <c r="C52" s="123" t="s">
        <v>3587</v>
      </c>
      <c r="D52" s="157">
        <v>12</v>
      </c>
      <c r="E52" s="124" t="s">
        <v>106</v>
      </c>
      <c r="F52" s="125">
        <v>1500000</v>
      </c>
      <c r="G52" s="125">
        <f>ROUNDDOWN(D52*F52,-3)</f>
        <v>18000000</v>
      </c>
      <c r="H52" s="154" t="b">
        <f t="shared" si="0"/>
        <v>1</v>
      </c>
      <c r="I52" s="154"/>
      <c r="J52" s="154"/>
    </row>
    <row r="53" spans="1:10" ht="14.25" x14ac:dyDescent="0.2">
      <c r="A53" s="21" t="s">
        <v>454</v>
      </c>
      <c r="B53" s="124"/>
      <c r="C53" s="123" t="s">
        <v>3608</v>
      </c>
      <c r="D53" s="124">
        <v>100</v>
      </c>
      <c r="E53" s="124" t="s">
        <v>25</v>
      </c>
      <c r="F53" s="125">
        <v>69000</v>
      </c>
      <c r="G53" s="125">
        <f>ROUNDDOWN(D53*F53,-3)</f>
        <v>6900000</v>
      </c>
      <c r="H53" s="154" t="b">
        <f t="shared" si="0"/>
        <v>1</v>
      </c>
      <c r="I53" s="154"/>
      <c r="J53" s="154"/>
    </row>
    <row r="54" spans="1:10" ht="14.25" x14ac:dyDescent="0.2">
      <c r="A54" s="21" t="s">
        <v>783</v>
      </c>
      <c r="B54" s="124"/>
      <c r="C54" s="123" t="s">
        <v>3609</v>
      </c>
      <c r="D54" s="157">
        <v>80</v>
      </c>
      <c r="E54" s="124" t="s">
        <v>58</v>
      </c>
      <c r="F54" s="125">
        <v>500000</v>
      </c>
      <c r="G54" s="125">
        <f>ROUNDDOWN(D54*F54,-3)</f>
        <v>40000000</v>
      </c>
      <c r="H54" s="154" t="b">
        <f t="shared" si="0"/>
        <v>1</v>
      </c>
      <c r="I54" s="154"/>
      <c r="J54" s="154"/>
    </row>
    <row r="55" spans="1:10" ht="14.25" x14ac:dyDescent="0.2">
      <c r="A55" s="21" t="s">
        <v>455</v>
      </c>
      <c r="B55" s="60">
        <v>521219</v>
      </c>
      <c r="C55" s="41" t="s">
        <v>53</v>
      </c>
      <c r="D55" s="60"/>
      <c r="E55" s="60"/>
      <c r="F55" s="42"/>
      <c r="G55" s="42">
        <f>SUM(G56:G57)</f>
        <v>6000000</v>
      </c>
      <c r="H55" s="154" t="b">
        <f t="shared" si="0"/>
        <v>1</v>
      </c>
      <c r="I55" s="154"/>
      <c r="J55" s="154"/>
    </row>
    <row r="56" spans="1:10" ht="14.25" x14ac:dyDescent="0.2">
      <c r="A56" s="21" t="s">
        <v>456</v>
      </c>
      <c r="B56" s="124"/>
      <c r="C56" s="123" t="s">
        <v>3610</v>
      </c>
      <c r="D56" s="124">
        <v>4</v>
      </c>
      <c r="E56" s="124" t="s">
        <v>106</v>
      </c>
      <c r="F56" s="125">
        <v>250000</v>
      </c>
      <c r="G56" s="125">
        <f>ROUNDDOWN(D56*F56,-3)</f>
        <v>1000000</v>
      </c>
      <c r="H56" s="154" t="b">
        <f t="shared" si="0"/>
        <v>1</v>
      </c>
      <c r="I56" s="154"/>
      <c r="J56" s="154"/>
    </row>
    <row r="57" spans="1:10" ht="14.25" x14ac:dyDescent="0.2">
      <c r="A57" s="21" t="s">
        <v>457</v>
      </c>
      <c r="B57" s="124"/>
      <c r="C57" s="123" t="s">
        <v>3611</v>
      </c>
      <c r="D57" s="157">
        <v>10</v>
      </c>
      <c r="E57" s="124" t="s">
        <v>106</v>
      </c>
      <c r="F57" s="125">
        <v>500000</v>
      </c>
      <c r="G57" s="125">
        <f>ROUNDDOWN(D57*F57,-3)</f>
        <v>5000000</v>
      </c>
      <c r="H57" s="154" t="b">
        <f t="shared" si="0"/>
        <v>1</v>
      </c>
      <c r="I57" s="154"/>
      <c r="J57" s="154"/>
    </row>
    <row r="58" spans="1:10" ht="14.25" x14ac:dyDescent="0.2">
      <c r="A58" s="21" t="s">
        <v>458</v>
      </c>
      <c r="B58" s="60">
        <v>521811</v>
      </c>
      <c r="C58" s="41" t="s">
        <v>64</v>
      </c>
      <c r="D58" s="71"/>
      <c r="E58" s="60"/>
      <c r="F58" s="42"/>
      <c r="G58" s="42">
        <f>SUM(G59:G60)</f>
        <v>30000000</v>
      </c>
      <c r="H58" s="154" t="b">
        <f t="shared" si="0"/>
        <v>1</v>
      </c>
      <c r="I58" s="154"/>
      <c r="J58" s="154"/>
    </row>
    <row r="59" spans="1:10" ht="14.25" x14ac:dyDescent="0.2">
      <c r="A59" s="21" t="s">
        <v>459</v>
      </c>
      <c r="B59" s="124"/>
      <c r="C59" s="123" t="s">
        <v>3595</v>
      </c>
      <c r="D59" s="157">
        <v>12</v>
      </c>
      <c r="E59" s="124" t="s">
        <v>106</v>
      </c>
      <c r="F59" s="125">
        <v>1000000</v>
      </c>
      <c r="G59" s="125">
        <f>ROUNDDOWN(D59*F59,-3)</f>
        <v>12000000</v>
      </c>
      <c r="H59" s="154" t="b">
        <f t="shared" si="0"/>
        <v>1</v>
      </c>
      <c r="I59" s="154"/>
      <c r="J59" s="154"/>
    </row>
    <row r="60" spans="1:10" ht="14.25" x14ac:dyDescent="0.2">
      <c r="A60" s="21" t="s">
        <v>460</v>
      </c>
      <c r="B60" s="124"/>
      <c r="C60" s="123" t="s">
        <v>3596</v>
      </c>
      <c r="D60" s="157">
        <v>12</v>
      </c>
      <c r="E60" s="124" t="s">
        <v>106</v>
      </c>
      <c r="F60" s="125">
        <v>1500000</v>
      </c>
      <c r="G60" s="125">
        <f>ROUNDDOWN(D60*F60,-3)</f>
        <v>18000000</v>
      </c>
      <c r="H60" s="154" t="b">
        <f t="shared" si="0"/>
        <v>1</v>
      </c>
      <c r="I60" s="154"/>
      <c r="J60" s="154"/>
    </row>
    <row r="61" spans="1:10" ht="14.25" x14ac:dyDescent="0.2">
      <c r="A61" s="21" t="s">
        <v>461</v>
      </c>
      <c r="B61" s="60">
        <v>522151</v>
      </c>
      <c r="C61" s="41" t="s">
        <v>11</v>
      </c>
      <c r="D61" s="60"/>
      <c r="E61" s="60"/>
      <c r="F61" s="42"/>
      <c r="G61" s="42">
        <f>G62</f>
        <v>25200000</v>
      </c>
      <c r="H61" s="154" t="b">
        <f t="shared" si="0"/>
        <v>1</v>
      </c>
      <c r="I61" s="154"/>
      <c r="J61" s="154"/>
    </row>
    <row r="62" spans="1:10" ht="14.25" x14ac:dyDescent="0.2">
      <c r="A62" s="21" t="s">
        <v>462</v>
      </c>
      <c r="B62" s="124"/>
      <c r="C62" s="123" t="s">
        <v>3603</v>
      </c>
      <c r="D62" s="157">
        <v>28</v>
      </c>
      <c r="E62" s="124" t="s">
        <v>54</v>
      </c>
      <c r="F62" s="125">
        <v>900000</v>
      </c>
      <c r="G62" s="125">
        <f>ROUNDDOWN(D62*F62,-3)</f>
        <v>25200000</v>
      </c>
      <c r="H62" s="154" t="b">
        <f t="shared" si="0"/>
        <v>1</v>
      </c>
      <c r="I62" s="154"/>
      <c r="J62" s="154"/>
    </row>
    <row r="63" spans="1:10" ht="14.25" x14ac:dyDescent="0.2">
      <c r="A63" s="21" t="s">
        <v>463</v>
      </c>
      <c r="B63" s="60">
        <v>522192</v>
      </c>
      <c r="C63" s="41" t="s">
        <v>24</v>
      </c>
      <c r="D63" s="60"/>
      <c r="E63" s="60"/>
      <c r="F63" s="42"/>
      <c r="G63" s="42">
        <f>G64</f>
        <v>6000000</v>
      </c>
      <c r="H63" s="154" t="b">
        <f t="shared" si="0"/>
        <v>1</v>
      </c>
      <c r="I63" s="154"/>
      <c r="J63" s="154"/>
    </row>
    <row r="64" spans="1:10" ht="14.25" x14ac:dyDescent="0.2">
      <c r="A64" s="21" t="s">
        <v>464</v>
      </c>
      <c r="B64" s="124"/>
      <c r="C64" s="123" t="s">
        <v>3612</v>
      </c>
      <c r="D64" s="124">
        <v>1</v>
      </c>
      <c r="E64" s="124" t="s">
        <v>60</v>
      </c>
      <c r="F64" s="125">
        <v>6000000</v>
      </c>
      <c r="G64" s="125">
        <f>ROUNDDOWN(D64*F64,-3)</f>
        <v>6000000</v>
      </c>
      <c r="H64" s="154" t="b">
        <f t="shared" si="0"/>
        <v>1</v>
      </c>
      <c r="I64" s="154"/>
      <c r="J64" s="154"/>
    </row>
    <row r="65" spans="1:10" ht="14.25" x14ac:dyDescent="0.2">
      <c r="A65" s="21" t="s">
        <v>465</v>
      </c>
      <c r="B65" s="60">
        <v>524111</v>
      </c>
      <c r="C65" s="41" t="s">
        <v>19</v>
      </c>
      <c r="D65" s="71"/>
      <c r="E65" s="60"/>
      <c r="F65" s="42"/>
      <c r="G65" s="42">
        <f>G66</f>
        <v>253324000</v>
      </c>
      <c r="H65" s="154" t="b">
        <f t="shared" si="0"/>
        <v>1</v>
      </c>
      <c r="I65" s="154"/>
      <c r="J65" s="154"/>
    </row>
    <row r="66" spans="1:10" ht="14.25" x14ac:dyDescent="0.2">
      <c r="A66" s="21" t="s">
        <v>466</v>
      </c>
      <c r="B66" s="124"/>
      <c r="C66" s="123" t="s">
        <v>3613</v>
      </c>
      <c r="D66" s="157">
        <v>44</v>
      </c>
      <c r="E66" s="124" t="s">
        <v>776</v>
      </c>
      <c r="F66" s="125">
        <v>5757364</v>
      </c>
      <c r="G66" s="125">
        <f>ROUNDDOWN(D66*F66,-3)</f>
        <v>253324000</v>
      </c>
      <c r="H66" s="154" t="b">
        <f t="shared" si="0"/>
        <v>1</v>
      </c>
      <c r="I66" s="154"/>
      <c r="J66" s="154"/>
    </row>
    <row r="67" spans="1:10" ht="14.25" x14ac:dyDescent="0.2">
      <c r="A67" s="21" t="s">
        <v>467</v>
      </c>
      <c r="B67" s="60">
        <v>524113</v>
      </c>
      <c r="C67" s="41" t="s">
        <v>13</v>
      </c>
      <c r="D67" s="60"/>
      <c r="E67" s="60"/>
      <c r="F67" s="42"/>
      <c r="G67" s="42">
        <f>G68</f>
        <v>1500000</v>
      </c>
      <c r="H67" s="154" t="b">
        <f t="shared" si="0"/>
        <v>1</v>
      </c>
      <c r="I67" s="154"/>
      <c r="J67" s="154"/>
    </row>
    <row r="68" spans="1:10" ht="14.25" x14ac:dyDescent="0.2">
      <c r="A68" s="21" t="s">
        <v>468</v>
      </c>
      <c r="B68" s="124"/>
      <c r="C68" s="123" t="s">
        <v>3594</v>
      </c>
      <c r="D68" s="157">
        <v>10</v>
      </c>
      <c r="E68" s="124" t="s">
        <v>10</v>
      </c>
      <c r="F68" s="125">
        <v>150000</v>
      </c>
      <c r="G68" s="125">
        <f>ROUNDDOWN(D68*F68,-3)</f>
        <v>1500000</v>
      </c>
      <c r="H68" s="154" t="b">
        <f t="shared" si="0"/>
        <v>1</v>
      </c>
      <c r="I68" s="154"/>
      <c r="J68" s="154"/>
    </row>
    <row r="69" spans="1:10" ht="14.25" x14ac:dyDescent="0.2">
      <c r="A69" s="21" t="s">
        <v>469</v>
      </c>
      <c r="B69" s="59" t="s">
        <v>511</v>
      </c>
      <c r="C69" s="38" t="s">
        <v>65</v>
      </c>
      <c r="D69" s="70"/>
      <c r="E69" s="59"/>
      <c r="F69" s="39"/>
      <c r="G69" s="39">
        <f>SUM(G70,G74,G77,G80,G82,G84)</f>
        <v>247816000</v>
      </c>
      <c r="H69" s="154" t="b">
        <f t="shared" si="0"/>
        <v>1</v>
      </c>
      <c r="I69" s="154"/>
      <c r="J69" s="154"/>
    </row>
    <row r="70" spans="1:10" ht="14.25" x14ac:dyDescent="0.2">
      <c r="A70" s="21" t="s">
        <v>470</v>
      </c>
      <c r="B70" s="60">
        <v>521211</v>
      </c>
      <c r="C70" s="41" t="s">
        <v>7</v>
      </c>
      <c r="D70" s="60"/>
      <c r="E70" s="60"/>
      <c r="F70" s="42"/>
      <c r="G70" s="42">
        <f>SUM(G71:G73)</f>
        <v>71456000</v>
      </c>
      <c r="H70" s="154" t="b">
        <f t="shared" si="0"/>
        <v>1</v>
      </c>
      <c r="I70" s="154"/>
      <c r="J70" s="154"/>
    </row>
    <row r="71" spans="1:10" ht="14.25" x14ac:dyDescent="0.2">
      <c r="A71" s="21" t="s">
        <v>471</v>
      </c>
      <c r="B71" s="124"/>
      <c r="C71" s="123" t="s">
        <v>3614</v>
      </c>
      <c r="D71" s="157">
        <v>224</v>
      </c>
      <c r="E71" s="124" t="s">
        <v>25</v>
      </c>
      <c r="F71" s="125">
        <v>69000</v>
      </c>
      <c r="G71" s="125">
        <f>ROUNDDOWN(D71*F71,-3)</f>
        <v>15456000</v>
      </c>
      <c r="H71" s="154" t="b">
        <f t="shared" si="0"/>
        <v>1</v>
      </c>
      <c r="I71" s="154"/>
      <c r="J71" s="154"/>
    </row>
    <row r="72" spans="1:10" ht="14.25" x14ac:dyDescent="0.2">
      <c r="A72" s="21" t="s">
        <v>472</v>
      </c>
      <c r="B72" s="124"/>
      <c r="C72" s="123" t="s">
        <v>3602</v>
      </c>
      <c r="D72" s="124">
        <v>4</v>
      </c>
      <c r="E72" s="124" t="s">
        <v>106</v>
      </c>
      <c r="F72" s="125">
        <v>1500000</v>
      </c>
      <c r="G72" s="125">
        <f>ROUNDDOWN(D72*F72,-3)</f>
        <v>6000000</v>
      </c>
      <c r="H72" s="154" t="b">
        <f t="shared" si="0"/>
        <v>1</v>
      </c>
      <c r="I72" s="154"/>
      <c r="J72" s="154"/>
    </row>
    <row r="73" spans="1:10" ht="14.25" x14ac:dyDescent="0.2">
      <c r="A73" s="21" t="s">
        <v>789</v>
      </c>
      <c r="B73" s="124"/>
      <c r="C73" s="123" t="s">
        <v>3615</v>
      </c>
      <c r="D73" s="124">
        <v>100</v>
      </c>
      <c r="E73" s="124" t="s">
        <v>791</v>
      </c>
      <c r="F73" s="125">
        <v>500000</v>
      </c>
      <c r="G73" s="125">
        <f>ROUNDDOWN(D73*F73,-3)</f>
        <v>50000000</v>
      </c>
      <c r="H73" s="154" t="b">
        <f t="shared" si="0"/>
        <v>1</v>
      </c>
      <c r="I73" s="154"/>
      <c r="J73" s="154"/>
    </row>
    <row r="74" spans="1:10" ht="14.25" x14ac:dyDescent="0.2">
      <c r="A74" s="21" t="s">
        <v>473</v>
      </c>
      <c r="B74" s="60">
        <v>521219</v>
      </c>
      <c r="C74" s="41" t="s">
        <v>53</v>
      </c>
      <c r="D74" s="71"/>
      <c r="E74" s="60"/>
      <c r="F74" s="42"/>
      <c r="G74" s="42">
        <f>SUM(G75:G76)</f>
        <v>5000000</v>
      </c>
      <c r="H74" s="154" t="b">
        <f t="shared" si="0"/>
        <v>1</v>
      </c>
      <c r="I74" s="154"/>
      <c r="J74" s="154"/>
    </row>
    <row r="75" spans="1:10" ht="14.25" x14ac:dyDescent="0.2">
      <c r="A75" s="21" t="s">
        <v>474</v>
      </c>
      <c r="B75" s="124"/>
      <c r="C75" s="123" t="s">
        <v>3610</v>
      </c>
      <c r="D75" s="157">
        <v>4</v>
      </c>
      <c r="E75" s="124" t="s">
        <v>106</v>
      </c>
      <c r="F75" s="125">
        <v>250000</v>
      </c>
      <c r="G75" s="125">
        <f>ROUNDDOWN(D75*F75,-3)</f>
        <v>1000000</v>
      </c>
      <c r="H75" s="154" t="b">
        <f t="shared" si="0"/>
        <v>1</v>
      </c>
      <c r="I75" s="154"/>
      <c r="J75" s="154"/>
    </row>
    <row r="76" spans="1:10" ht="14.25" x14ac:dyDescent="0.2">
      <c r="A76" s="21" t="s">
        <v>792</v>
      </c>
      <c r="B76" s="124"/>
      <c r="C76" s="123" t="s">
        <v>3611</v>
      </c>
      <c r="D76" s="124">
        <v>8</v>
      </c>
      <c r="E76" s="124" t="s">
        <v>106</v>
      </c>
      <c r="F76" s="125">
        <v>500000</v>
      </c>
      <c r="G76" s="125">
        <f>ROUNDDOWN(D76*F76,-3)</f>
        <v>4000000</v>
      </c>
      <c r="H76" s="154" t="b">
        <f t="shared" si="0"/>
        <v>1</v>
      </c>
      <c r="I76" s="154"/>
      <c r="J76" s="154"/>
    </row>
    <row r="77" spans="1:10" ht="14.25" x14ac:dyDescent="0.2">
      <c r="A77" s="21" t="s">
        <v>475</v>
      </c>
      <c r="B77" s="60">
        <v>521811</v>
      </c>
      <c r="C77" s="41" t="s">
        <v>64</v>
      </c>
      <c r="D77" s="71"/>
      <c r="E77" s="60"/>
      <c r="F77" s="42"/>
      <c r="G77" s="42">
        <f>SUM(G78:G79)</f>
        <v>15000000</v>
      </c>
      <c r="H77" s="154" t="b">
        <f t="shared" si="0"/>
        <v>1</v>
      </c>
      <c r="I77" s="154"/>
      <c r="J77" s="154"/>
    </row>
    <row r="78" spans="1:10" ht="14.25" x14ac:dyDescent="0.2">
      <c r="A78" s="21" t="s">
        <v>476</v>
      </c>
      <c r="B78" s="124"/>
      <c r="C78" s="123" t="s">
        <v>3595</v>
      </c>
      <c r="D78" s="157">
        <v>6</v>
      </c>
      <c r="E78" s="124" t="s">
        <v>106</v>
      </c>
      <c r="F78" s="125">
        <v>1000000</v>
      </c>
      <c r="G78" s="125">
        <f>ROUNDDOWN(D78*F78,-3)</f>
        <v>6000000</v>
      </c>
      <c r="H78" s="154" t="b">
        <f t="shared" ref="H78:H141" si="2">_xlfn.ISFORMULA(G78)</f>
        <v>1</v>
      </c>
      <c r="I78" s="154"/>
      <c r="J78" s="154"/>
    </row>
    <row r="79" spans="1:10" ht="14.25" x14ac:dyDescent="0.2">
      <c r="A79" s="21" t="s">
        <v>477</v>
      </c>
      <c r="B79" s="124"/>
      <c r="C79" s="123" t="s">
        <v>3596</v>
      </c>
      <c r="D79" s="124">
        <v>6</v>
      </c>
      <c r="E79" s="124" t="s">
        <v>106</v>
      </c>
      <c r="F79" s="125">
        <v>1500000</v>
      </c>
      <c r="G79" s="125">
        <f>ROUNDDOWN(D79*F79,-3)</f>
        <v>9000000</v>
      </c>
      <c r="H79" s="154" t="b">
        <f t="shared" si="2"/>
        <v>1</v>
      </c>
      <c r="I79" s="154"/>
      <c r="J79" s="154"/>
    </row>
    <row r="80" spans="1:10" ht="14.25" x14ac:dyDescent="0.2">
      <c r="A80" s="21" t="s">
        <v>478</v>
      </c>
      <c r="B80" s="60">
        <v>522151</v>
      </c>
      <c r="C80" s="41" t="s">
        <v>11</v>
      </c>
      <c r="D80" s="71"/>
      <c r="E80" s="60"/>
      <c r="F80" s="42"/>
      <c r="G80" s="42">
        <f>G81</f>
        <v>16200000</v>
      </c>
      <c r="H80" s="154" t="b">
        <f t="shared" si="2"/>
        <v>1</v>
      </c>
      <c r="I80" s="154"/>
      <c r="J80" s="154"/>
    </row>
    <row r="81" spans="1:10" ht="14.25" x14ac:dyDescent="0.2">
      <c r="A81" s="21" t="s">
        <v>479</v>
      </c>
      <c r="B81" s="124"/>
      <c r="C81" s="123" t="s">
        <v>3603</v>
      </c>
      <c r="D81" s="124">
        <v>18</v>
      </c>
      <c r="E81" s="124" t="s">
        <v>54</v>
      </c>
      <c r="F81" s="125">
        <v>900000</v>
      </c>
      <c r="G81" s="125">
        <f>ROUNDDOWN(D81*F81,-3)</f>
        <v>16200000</v>
      </c>
      <c r="H81" s="154" t="b">
        <f t="shared" si="2"/>
        <v>1</v>
      </c>
      <c r="I81" s="154"/>
      <c r="J81" s="154"/>
    </row>
    <row r="82" spans="1:10" ht="14.25" x14ac:dyDescent="0.2">
      <c r="A82" s="21" t="s">
        <v>480</v>
      </c>
      <c r="B82" s="60">
        <v>522192</v>
      </c>
      <c r="C82" s="41" t="s">
        <v>24</v>
      </c>
      <c r="D82" s="60"/>
      <c r="E82" s="60"/>
      <c r="F82" s="42"/>
      <c r="G82" s="42">
        <f>G83</f>
        <v>2000000</v>
      </c>
      <c r="H82" s="154" t="b">
        <f t="shared" si="2"/>
        <v>1</v>
      </c>
      <c r="I82" s="154"/>
      <c r="J82" s="154"/>
    </row>
    <row r="83" spans="1:10" ht="14.25" x14ac:dyDescent="0.2">
      <c r="A83" s="21" t="s">
        <v>481</v>
      </c>
      <c r="B83" s="124"/>
      <c r="C83" s="123" t="s">
        <v>3612</v>
      </c>
      <c r="D83" s="157">
        <v>1</v>
      </c>
      <c r="E83" s="124" t="s">
        <v>60</v>
      </c>
      <c r="F83" s="125">
        <v>2000000</v>
      </c>
      <c r="G83" s="125">
        <f>ROUNDDOWN(D83*F83,-3)</f>
        <v>2000000</v>
      </c>
      <c r="H83" s="154" t="b">
        <f t="shared" si="2"/>
        <v>1</v>
      </c>
      <c r="I83" s="154"/>
      <c r="J83" s="154"/>
    </row>
    <row r="84" spans="1:10" ht="14.25" x14ac:dyDescent="0.2">
      <c r="A84" s="21" t="s">
        <v>482</v>
      </c>
      <c r="B84" s="60">
        <v>524111</v>
      </c>
      <c r="C84" s="41" t="s">
        <v>19</v>
      </c>
      <c r="D84" s="71"/>
      <c r="E84" s="60"/>
      <c r="F84" s="42"/>
      <c r="G84" s="42">
        <f>G85</f>
        <v>138160000</v>
      </c>
      <c r="H84" s="154" t="b">
        <f t="shared" si="2"/>
        <v>1</v>
      </c>
      <c r="I84" s="154"/>
      <c r="J84" s="154"/>
    </row>
    <row r="85" spans="1:10" ht="14.25" x14ac:dyDescent="0.2">
      <c r="A85" s="21" t="s">
        <v>483</v>
      </c>
      <c r="B85" s="124"/>
      <c r="C85" s="123" t="s">
        <v>3616</v>
      </c>
      <c r="D85" s="124">
        <v>22</v>
      </c>
      <c r="E85" s="124" t="s">
        <v>776</v>
      </c>
      <c r="F85" s="125">
        <v>6280000</v>
      </c>
      <c r="G85" s="125">
        <f>ROUNDDOWN(D85*F85,-3)</f>
        <v>138160000</v>
      </c>
      <c r="H85" s="154" t="b">
        <f t="shared" si="2"/>
        <v>1</v>
      </c>
      <c r="I85" s="154"/>
      <c r="J85" s="154"/>
    </row>
    <row r="86" spans="1:10" ht="14.25" x14ac:dyDescent="0.2">
      <c r="A86" s="21" t="s">
        <v>794</v>
      </c>
      <c r="B86" s="59" t="s">
        <v>512</v>
      </c>
      <c r="C86" s="38" t="s">
        <v>795</v>
      </c>
      <c r="D86" s="70"/>
      <c r="E86" s="59"/>
      <c r="F86" s="39"/>
      <c r="G86" s="39">
        <f>SUM(G87,G92,G94,G96)</f>
        <v>51560000</v>
      </c>
      <c r="H86" s="154" t="b">
        <f t="shared" si="2"/>
        <v>1</v>
      </c>
      <c r="I86" s="154"/>
      <c r="J86" s="154"/>
    </row>
    <row r="87" spans="1:10" ht="14.25" x14ac:dyDescent="0.2">
      <c r="A87" s="21" t="s">
        <v>796</v>
      </c>
      <c r="B87" s="60">
        <v>521211</v>
      </c>
      <c r="C87" s="41" t="s">
        <v>7</v>
      </c>
      <c r="D87" s="71"/>
      <c r="E87" s="60"/>
      <c r="F87" s="42"/>
      <c r="G87" s="42">
        <f>SUM(G88:G91)</f>
        <v>20830000</v>
      </c>
      <c r="H87" s="154" t="b">
        <f t="shared" si="2"/>
        <v>1</v>
      </c>
      <c r="I87" s="154"/>
      <c r="J87" s="154"/>
    </row>
    <row r="88" spans="1:10" ht="14.25" x14ac:dyDescent="0.2">
      <c r="A88" s="21" t="s">
        <v>797</v>
      </c>
      <c r="B88" s="124"/>
      <c r="C88" s="123" t="s">
        <v>3595</v>
      </c>
      <c r="D88" s="124">
        <v>4</v>
      </c>
      <c r="E88" s="124" t="s">
        <v>106</v>
      </c>
      <c r="F88" s="125">
        <v>1000000</v>
      </c>
      <c r="G88" s="125">
        <f>ROUNDDOWN(D88*F88,-3)</f>
        <v>4000000</v>
      </c>
      <c r="H88" s="154" t="b">
        <f t="shared" si="2"/>
        <v>1</v>
      </c>
      <c r="I88" s="154"/>
      <c r="J88" s="154"/>
    </row>
    <row r="89" spans="1:10" ht="14.25" x14ac:dyDescent="0.2">
      <c r="A89" s="21" t="s">
        <v>798</v>
      </c>
      <c r="B89" s="124"/>
      <c r="C89" s="123" t="s">
        <v>3596</v>
      </c>
      <c r="D89" s="157">
        <v>4</v>
      </c>
      <c r="E89" s="124" t="s">
        <v>106</v>
      </c>
      <c r="F89" s="125">
        <v>1500000</v>
      </c>
      <c r="G89" s="125">
        <f>ROUNDDOWN(D89*F89,-3)</f>
        <v>6000000</v>
      </c>
      <c r="H89" s="154" t="b">
        <f t="shared" si="2"/>
        <v>1</v>
      </c>
      <c r="I89" s="154"/>
      <c r="J89" s="154"/>
    </row>
    <row r="90" spans="1:10" ht="14.25" x14ac:dyDescent="0.2">
      <c r="A90" s="21" t="s">
        <v>799</v>
      </c>
      <c r="B90" s="124"/>
      <c r="C90" s="123" t="s">
        <v>3617</v>
      </c>
      <c r="D90" s="124">
        <v>70</v>
      </c>
      <c r="E90" s="124" t="s">
        <v>25</v>
      </c>
      <c r="F90" s="125">
        <v>69000</v>
      </c>
      <c r="G90" s="125">
        <f>ROUNDDOWN(D90*F90,-3)</f>
        <v>4830000</v>
      </c>
      <c r="H90" s="154" t="b">
        <f t="shared" si="2"/>
        <v>1</v>
      </c>
      <c r="I90" s="154"/>
      <c r="J90" s="154"/>
    </row>
    <row r="91" spans="1:10" ht="14.25" x14ac:dyDescent="0.2">
      <c r="A91" s="21" t="s">
        <v>800</v>
      </c>
      <c r="B91" s="124"/>
      <c r="C91" s="123" t="s">
        <v>3618</v>
      </c>
      <c r="D91" s="124">
        <v>4</v>
      </c>
      <c r="E91" s="124" t="s">
        <v>106</v>
      </c>
      <c r="F91" s="125">
        <v>1500000</v>
      </c>
      <c r="G91" s="125">
        <f>ROUNDDOWN(D91*F91,-3)</f>
        <v>6000000</v>
      </c>
      <c r="H91" s="154" t="b">
        <f t="shared" si="2"/>
        <v>1</v>
      </c>
      <c r="I91" s="154"/>
      <c r="J91" s="154"/>
    </row>
    <row r="92" spans="1:10" ht="14.25" x14ac:dyDescent="0.2">
      <c r="A92" s="21" t="s">
        <v>801</v>
      </c>
      <c r="B92" s="60">
        <v>521219</v>
      </c>
      <c r="C92" s="41" t="s">
        <v>53</v>
      </c>
      <c r="D92" s="71"/>
      <c r="E92" s="60"/>
      <c r="F92" s="42"/>
      <c r="G92" s="42">
        <f>G93</f>
        <v>500000</v>
      </c>
      <c r="H92" s="154" t="b">
        <f t="shared" si="2"/>
        <v>1</v>
      </c>
      <c r="I92" s="154"/>
      <c r="J92" s="154"/>
    </row>
    <row r="93" spans="1:10" ht="14.25" x14ac:dyDescent="0.2">
      <c r="A93" s="21" t="s">
        <v>802</v>
      </c>
      <c r="B93" s="124"/>
      <c r="C93" s="123" t="s">
        <v>3610</v>
      </c>
      <c r="D93" s="157">
        <v>2</v>
      </c>
      <c r="E93" s="124" t="s">
        <v>106</v>
      </c>
      <c r="F93" s="125">
        <v>250000</v>
      </c>
      <c r="G93" s="125">
        <f>ROUNDDOWN(D93*F93,-3)</f>
        <v>500000</v>
      </c>
      <c r="H93" s="154" t="b">
        <f t="shared" si="2"/>
        <v>1</v>
      </c>
      <c r="I93" s="154"/>
      <c r="J93" s="154"/>
    </row>
    <row r="94" spans="1:10" ht="14.25" x14ac:dyDescent="0.2">
      <c r="A94" s="21" t="s">
        <v>803</v>
      </c>
      <c r="B94" s="60">
        <v>522151</v>
      </c>
      <c r="C94" s="41" t="s">
        <v>11</v>
      </c>
      <c r="D94" s="60"/>
      <c r="E94" s="60"/>
      <c r="F94" s="42"/>
      <c r="G94" s="42">
        <f>G95</f>
        <v>7200000</v>
      </c>
      <c r="H94" s="154" t="b">
        <f t="shared" si="2"/>
        <v>1</v>
      </c>
      <c r="I94" s="154"/>
      <c r="J94" s="154"/>
    </row>
    <row r="95" spans="1:10" ht="14.25" x14ac:dyDescent="0.2">
      <c r="A95" s="21" t="s">
        <v>804</v>
      </c>
      <c r="B95" s="124"/>
      <c r="C95" s="123" t="s">
        <v>3603</v>
      </c>
      <c r="D95" s="157">
        <v>8</v>
      </c>
      <c r="E95" s="124" t="s">
        <v>54</v>
      </c>
      <c r="F95" s="125">
        <v>900000</v>
      </c>
      <c r="G95" s="125">
        <f>ROUNDDOWN(D95*F95,-3)</f>
        <v>7200000</v>
      </c>
      <c r="H95" s="154" t="b">
        <f t="shared" si="2"/>
        <v>1</v>
      </c>
      <c r="I95" s="154"/>
      <c r="J95" s="154"/>
    </row>
    <row r="96" spans="1:10" ht="14.25" x14ac:dyDescent="0.2">
      <c r="A96" s="21" t="s">
        <v>805</v>
      </c>
      <c r="B96" s="60">
        <v>524111</v>
      </c>
      <c r="C96" s="41" t="s">
        <v>19</v>
      </c>
      <c r="D96" s="71"/>
      <c r="E96" s="60"/>
      <c r="F96" s="42"/>
      <c r="G96" s="42">
        <f>G97</f>
        <v>23030000</v>
      </c>
      <c r="H96" s="154" t="b">
        <f t="shared" si="2"/>
        <v>1</v>
      </c>
      <c r="I96" s="154"/>
      <c r="J96" s="154"/>
    </row>
    <row r="97" spans="1:10" ht="14.25" x14ac:dyDescent="0.2">
      <c r="A97" s="21" t="s">
        <v>806</v>
      </c>
      <c r="B97" s="124"/>
      <c r="C97" s="123" t="s">
        <v>3619</v>
      </c>
      <c r="D97" s="124">
        <v>6</v>
      </c>
      <c r="E97" s="124" t="s">
        <v>776</v>
      </c>
      <c r="F97" s="125">
        <v>3838335</v>
      </c>
      <c r="G97" s="125">
        <f>ROUNDDOWN(D97*F97,-3)</f>
        <v>23030000</v>
      </c>
      <c r="H97" s="154" t="b">
        <f t="shared" si="2"/>
        <v>1</v>
      </c>
      <c r="I97" s="154"/>
      <c r="J97" s="154"/>
    </row>
    <row r="98" spans="1:10" ht="14.25" x14ac:dyDescent="0.2">
      <c r="A98" s="21" t="s">
        <v>484</v>
      </c>
      <c r="B98" s="58" t="s">
        <v>526</v>
      </c>
      <c r="C98" s="35" t="s">
        <v>67</v>
      </c>
      <c r="D98" s="69"/>
      <c r="E98" s="58"/>
      <c r="F98" s="36"/>
      <c r="G98" s="36">
        <f>G99</f>
        <v>135100000</v>
      </c>
      <c r="H98" s="154" t="b">
        <f t="shared" si="2"/>
        <v>1</v>
      </c>
      <c r="I98" s="154"/>
      <c r="J98" s="154"/>
    </row>
    <row r="99" spans="1:10" ht="14.25" x14ac:dyDescent="0.2">
      <c r="A99" s="21" t="s">
        <v>485</v>
      </c>
      <c r="B99" s="59" t="s">
        <v>8</v>
      </c>
      <c r="C99" s="38" t="s">
        <v>68</v>
      </c>
      <c r="D99" s="59"/>
      <c r="E99" s="59"/>
      <c r="F99" s="39"/>
      <c r="G99" s="39">
        <f>SUM(G100,G106,G108,G110,G112)</f>
        <v>135100000</v>
      </c>
      <c r="H99" s="154" t="b">
        <f t="shared" si="2"/>
        <v>1</v>
      </c>
      <c r="I99" s="154"/>
      <c r="J99" s="154"/>
    </row>
    <row r="100" spans="1:10" ht="14.25" x14ac:dyDescent="0.2">
      <c r="A100" s="21" t="s">
        <v>486</v>
      </c>
      <c r="B100" s="60">
        <v>521211</v>
      </c>
      <c r="C100" s="41" t="s">
        <v>7</v>
      </c>
      <c r="D100" s="71"/>
      <c r="E100" s="60"/>
      <c r="F100" s="42"/>
      <c r="G100" s="42">
        <f>SUM(G101:G105)</f>
        <v>21100000</v>
      </c>
      <c r="H100" s="154" t="b">
        <f t="shared" si="2"/>
        <v>1</v>
      </c>
      <c r="I100" s="154"/>
      <c r="J100" s="154"/>
    </row>
    <row r="101" spans="1:10" ht="14.25" x14ac:dyDescent="0.2">
      <c r="A101" s="21" t="s">
        <v>487</v>
      </c>
      <c r="B101" s="124"/>
      <c r="C101" s="123" t="s">
        <v>3587</v>
      </c>
      <c r="D101" s="124">
        <v>2</v>
      </c>
      <c r="E101" s="124" t="s">
        <v>106</v>
      </c>
      <c r="F101" s="125">
        <v>1500000</v>
      </c>
      <c r="G101" s="125">
        <f>ROUNDDOWN(D101*F101,-3)</f>
        <v>3000000</v>
      </c>
      <c r="H101" s="154" t="b">
        <f t="shared" si="2"/>
        <v>1</v>
      </c>
      <c r="I101" s="154"/>
      <c r="J101" s="154"/>
    </row>
    <row r="102" spans="1:10" ht="14.25" x14ac:dyDescent="0.2">
      <c r="A102" s="21" t="s">
        <v>488</v>
      </c>
      <c r="B102" s="124"/>
      <c r="C102" s="123" t="s">
        <v>3620</v>
      </c>
      <c r="D102" s="124">
        <v>90</v>
      </c>
      <c r="E102" s="124" t="s">
        <v>25</v>
      </c>
      <c r="F102" s="125">
        <v>65556</v>
      </c>
      <c r="G102" s="125">
        <f>ROUNDDOWN(D102*F102,-3)</f>
        <v>5900000</v>
      </c>
      <c r="H102" s="154" t="b">
        <f t="shared" si="2"/>
        <v>1</v>
      </c>
      <c r="I102" s="154"/>
      <c r="J102" s="154"/>
    </row>
    <row r="103" spans="1:10" ht="14.25" x14ac:dyDescent="0.2">
      <c r="A103" s="21" t="s">
        <v>489</v>
      </c>
      <c r="B103" s="124"/>
      <c r="C103" s="123" t="s">
        <v>3588</v>
      </c>
      <c r="D103" s="124">
        <v>2</v>
      </c>
      <c r="E103" s="124" t="s">
        <v>106</v>
      </c>
      <c r="F103" s="125">
        <v>1000000</v>
      </c>
      <c r="G103" s="125">
        <f>ROUNDDOWN(D103*F103,-3)</f>
        <v>2000000</v>
      </c>
      <c r="H103" s="154" t="b">
        <f t="shared" si="2"/>
        <v>1</v>
      </c>
      <c r="I103" s="154"/>
      <c r="J103" s="154"/>
    </row>
    <row r="104" spans="1:10" ht="14.25" x14ac:dyDescent="0.2">
      <c r="A104" s="21" t="s">
        <v>809</v>
      </c>
      <c r="B104" s="124"/>
      <c r="C104" s="123" t="s">
        <v>3589</v>
      </c>
      <c r="D104" s="157">
        <v>2</v>
      </c>
      <c r="E104" s="124" t="s">
        <v>106</v>
      </c>
      <c r="F104" s="125">
        <v>1500000</v>
      </c>
      <c r="G104" s="125">
        <f>ROUNDDOWN(D104*F104,-3)</f>
        <v>3000000</v>
      </c>
      <c r="H104" s="154" t="b">
        <f t="shared" si="2"/>
        <v>1</v>
      </c>
      <c r="I104" s="154"/>
      <c r="J104" s="154"/>
    </row>
    <row r="105" spans="1:10" ht="14.25" x14ac:dyDescent="0.2">
      <c r="A105" s="21" t="s">
        <v>810</v>
      </c>
      <c r="B105" s="124"/>
      <c r="C105" s="123" t="s">
        <v>3621</v>
      </c>
      <c r="D105" s="157">
        <v>36</v>
      </c>
      <c r="E105" s="124" t="s">
        <v>25</v>
      </c>
      <c r="F105" s="125">
        <v>200000</v>
      </c>
      <c r="G105" s="125">
        <f>ROUNDDOWN(D105*F105,-3)</f>
        <v>7200000</v>
      </c>
      <c r="H105" s="154" t="b">
        <f t="shared" si="2"/>
        <v>1</v>
      </c>
      <c r="I105" s="154"/>
      <c r="J105" s="154"/>
    </row>
    <row r="106" spans="1:10" ht="14.25" x14ac:dyDescent="0.2">
      <c r="A106" s="21" t="s">
        <v>490</v>
      </c>
      <c r="B106" s="60">
        <v>521219</v>
      </c>
      <c r="C106" s="41" t="s">
        <v>53</v>
      </c>
      <c r="D106" s="71"/>
      <c r="E106" s="60"/>
      <c r="F106" s="42"/>
      <c r="G106" s="42">
        <f>G107</f>
        <v>1584000</v>
      </c>
      <c r="H106" s="154" t="b">
        <f t="shared" si="2"/>
        <v>1</v>
      </c>
      <c r="I106" s="154"/>
      <c r="J106" s="154"/>
    </row>
    <row r="107" spans="1:10" ht="14.25" x14ac:dyDescent="0.2">
      <c r="A107" s="21" t="s">
        <v>491</v>
      </c>
      <c r="B107" s="124"/>
      <c r="C107" s="123" t="s">
        <v>3622</v>
      </c>
      <c r="D107" s="157">
        <v>36</v>
      </c>
      <c r="E107" s="124" t="s">
        <v>25</v>
      </c>
      <c r="F107" s="125">
        <v>44000</v>
      </c>
      <c r="G107" s="125">
        <f>ROUNDDOWN(D107*F107,-3)</f>
        <v>1584000</v>
      </c>
      <c r="H107" s="154" t="b">
        <f t="shared" si="2"/>
        <v>1</v>
      </c>
      <c r="I107" s="154"/>
      <c r="J107" s="154"/>
    </row>
    <row r="108" spans="1:10" ht="14.25" x14ac:dyDescent="0.2">
      <c r="A108" s="21" t="s">
        <v>492</v>
      </c>
      <c r="B108" s="60">
        <v>522151</v>
      </c>
      <c r="C108" s="41" t="s">
        <v>11</v>
      </c>
      <c r="D108" s="60"/>
      <c r="E108" s="60"/>
      <c r="F108" s="42"/>
      <c r="G108" s="42">
        <f>G109</f>
        <v>10000000</v>
      </c>
      <c r="H108" s="154" t="b">
        <f t="shared" si="2"/>
        <v>1</v>
      </c>
      <c r="I108" s="154"/>
      <c r="J108" s="154"/>
    </row>
    <row r="109" spans="1:10" ht="14.25" x14ac:dyDescent="0.2">
      <c r="A109" s="21" t="s">
        <v>493</v>
      </c>
      <c r="B109" s="124"/>
      <c r="C109" s="123" t="s">
        <v>3603</v>
      </c>
      <c r="D109" s="157">
        <v>10</v>
      </c>
      <c r="E109" s="124" t="s">
        <v>54</v>
      </c>
      <c r="F109" s="125">
        <v>1000000</v>
      </c>
      <c r="G109" s="125">
        <f>ROUNDDOWN(D109*F109,-3)</f>
        <v>10000000</v>
      </c>
      <c r="H109" s="154" t="b">
        <f t="shared" si="2"/>
        <v>1</v>
      </c>
      <c r="I109" s="154"/>
      <c r="J109" s="154"/>
    </row>
    <row r="110" spans="1:10" ht="14.25" x14ac:dyDescent="0.2">
      <c r="A110" s="21" t="s">
        <v>813</v>
      </c>
      <c r="B110" s="60">
        <v>522192</v>
      </c>
      <c r="C110" s="41" t="s">
        <v>24</v>
      </c>
      <c r="D110" s="60"/>
      <c r="E110" s="60"/>
      <c r="F110" s="42"/>
      <c r="G110" s="42">
        <f>G111</f>
        <v>5000000</v>
      </c>
      <c r="H110" s="154" t="b">
        <f t="shared" si="2"/>
        <v>1</v>
      </c>
      <c r="I110" s="154"/>
      <c r="J110" s="154"/>
    </row>
    <row r="111" spans="1:10" ht="14.25" x14ac:dyDescent="0.2">
      <c r="A111" s="21" t="s">
        <v>814</v>
      </c>
      <c r="B111" s="124"/>
      <c r="C111" s="123" t="s">
        <v>3623</v>
      </c>
      <c r="D111" s="157">
        <v>1</v>
      </c>
      <c r="E111" s="124" t="s">
        <v>153</v>
      </c>
      <c r="F111" s="125">
        <v>5000000</v>
      </c>
      <c r="G111" s="125">
        <f>ROUNDDOWN(D111*F111,-3)</f>
        <v>5000000</v>
      </c>
      <c r="H111" s="154" t="b">
        <f t="shared" si="2"/>
        <v>1</v>
      </c>
      <c r="I111" s="154"/>
      <c r="J111" s="154"/>
    </row>
    <row r="112" spans="1:10" ht="14.25" x14ac:dyDescent="0.2">
      <c r="A112" s="21" t="s">
        <v>816</v>
      </c>
      <c r="B112" s="60">
        <v>524111</v>
      </c>
      <c r="C112" s="41" t="s">
        <v>19</v>
      </c>
      <c r="D112" s="60"/>
      <c r="E112" s="60"/>
      <c r="F112" s="42"/>
      <c r="G112" s="42">
        <f>G113</f>
        <v>97416000</v>
      </c>
      <c r="H112" s="154" t="b">
        <f t="shared" si="2"/>
        <v>1</v>
      </c>
      <c r="I112" s="154"/>
      <c r="J112" s="154"/>
    </row>
    <row r="113" spans="1:10" ht="14.25" x14ac:dyDescent="0.2">
      <c r="A113" s="21" t="s">
        <v>817</v>
      </c>
      <c r="B113" s="124"/>
      <c r="C113" s="123" t="s">
        <v>3624</v>
      </c>
      <c r="D113" s="124">
        <v>36</v>
      </c>
      <c r="E113" s="124" t="s">
        <v>776</v>
      </c>
      <c r="F113" s="125">
        <v>2706000</v>
      </c>
      <c r="G113" s="125">
        <f>ROUNDDOWN(D113*F113,-3)</f>
        <v>97416000</v>
      </c>
      <c r="H113" s="154" t="b">
        <f t="shared" si="2"/>
        <v>1</v>
      </c>
      <c r="I113" s="154"/>
      <c r="J113" s="154"/>
    </row>
    <row r="114" spans="1:10" ht="14.25" x14ac:dyDescent="0.2">
      <c r="A114" s="21" t="s">
        <v>69</v>
      </c>
      <c r="B114" s="54" t="s">
        <v>69</v>
      </c>
      <c r="C114" s="23" t="s">
        <v>70</v>
      </c>
      <c r="D114" s="54"/>
      <c r="E114" s="54"/>
      <c r="F114" s="24"/>
      <c r="G114" s="24">
        <f>SUM(G115,G529)</f>
        <v>22342160000</v>
      </c>
      <c r="H114" s="154" t="b">
        <f t="shared" si="2"/>
        <v>1</v>
      </c>
      <c r="I114" s="154"/>
      <c r="J114" s="154"/>
    </row>
    <row r="115" spans="1:10" ht="25.5" x14ac:dyDescent="0.2">
      <c r="A115" s="21" t="s">
        <v>494</v>
      </c>
      <c r="B115" s="55">
        <v>2378</v>
      </c>
      <c r="C115" s="26" t="s">
        <v>71</v>
      </c>
      <c r="D115" s="68"/>
      <c r="E115" s="55"/>
      <c r="F115" s="27"/>
      <c r="G115" s="27">
        <f>SUM(G116,G122,G380,G386)</f>
        <v>13759660000</v>
      </c>
      <c r="H115" s="154" t="b">
        <f t="shared" si="2"/>
        <v>1</v>
      </c>
      <c r="I115" s="154"/>
      <c r="J115" s="154"/>
    </row>
    <row r="116" spans="1:10" ht="14.25" x14ac:dyDescent="0.2">
      <c r="A116" s="21" t="s">
        <v>819</v>
      </c>
      <c r="B116" s="116" t="s">
        <v>820</v>
      </c>
      <c r="C116" s="114" t="s">
        <v>821</v>
      </c>
      <c r="D116" s="115">
        <v>1</v>
      </c>
      <c r="E116" s="116" t="s">
        <v>42</v>
      </c>
      <c r="F116" s="117"/>
      <c r="G116" s="117">
        <f>G117</f>
        <v>115000000</v>
      </c>
      <c r="H116" s="154" t="b">
        <f t="shared" si="2"/>
        <v>1</v>
      </c>
      <c r="I116" s="154"/>
      <c r="J116" s="154"/>
    </row>
    <row r="117" spans="1:10" ht="25.5" x14ac:dyDescent="0.2">
      <c r="A117" s="21" t="s">
        <v>822</v>
      </c>
      <c r="B117" s="119" t="s">
        <v>3625</v>
      </c>
      <c r="C117" s="118" t="s">
        <v>824</v>
      </c>
      <c r="D117" s="121">
        <v>1</v>
      </c>
      <c r="E117" s="119" t="s">
        <v>42</v>
      </c>
      <c r="F117" s="120"/>
      <c r="G117" s="120">
        <f>G118</f>
        <v>115000000</v>
      </c>
      <c r="H117" s="154" t="b">
        <f t="shared" si="2"/>
        <v>1</v>
      </c>
      <c r="I117" s="154"/>
      <c r="J117" s="154"/>
    </row>
    <row r="118" spans="1:10" ht="14.25" x14ac:dyDescent="0.2">
      <c r="A118" s="21" t="s">
        <v>832</v>
      </c>
      <c r="B118" s="58">
        <v>301</v>
      </c>
      <c r="C118" s="35" t="s">
        <v>834</v>
      </c>
      <c r="D118" s="58"/>
      <c r="E118" s="58"/>
      <c r="F118" s="36"/>
      <c r="G118" s="36">
        <f>G119</f>
        <v>115000000</v>
      </c>
      <c r="H118" s="154" t="b">
        <f t="shared" si="2"/>
        <v>1</v>
      </c>
      <c r="I118" s="154"/>
      <c r="J118" s="154"/>
    </row>
    <row r="119" spans="1:10" ht="14.25" x14ac:dyDescent="0.2">
      <c r="A119" s="21" t="s">
        <v>835</v>
      </c>
      <c r="B119" s="59" t="s">
        <v>8</v>
      </c>
      <c r="C119" s="38" t="s">
        <v>836</v>
      </c>
      <c r="D119" s="70"/>
      <c r="E119" s="59"/>
      <c r="F119" s="39"/>
      <c r="G119" s="39">
        <f>G120</f>
        <v>115000000</v>
      </c>
      <c r="H119" s="154" t="b">
        <f t="shared" si="2"/>
        <v>1</v>
      </c>
      <c r="I119" s="154"/>
      <c r="J119" s="154"/>
    </row>
    <row r="120" spans="1:10" ht="14.25" x14ac:dyDescent="0.2">
      <c r="A120" s="21" t="s">
        <v>837</v>
      </c>
      <c r="B120" s="60">
        <v>532111</v>
      </c>
      <c r="C120" s="41" t="s">
        <v>43</v>
      </c>
      <c r="D120" s="60"/>
      <c r="E120" s="60"/>
      <c r="F120" s="42"/>
      <c r="G120" s="42">
        <f>G121</f>
        <v>115000000</v>
      </c>
      <c r="H120" s="154" t="b">
        <f t="shared" si="2"/>
        <v>1</v>
      </c>
      <c r="I120" s="154"/>
      <c r="J120" s="154"/>
    </row>
    <row r="121" spans="1:10" ht="14.25" x14ac:dyDescent="0.2">
      <c r="A121" s="21" t="s">
        <v>838</v>
      </c>
      <c r="B121" s="124"/>
      <c r="C121" s="123" t="s">
        <v>3626</v>
      </c>
      <c r="D121" s="157">
        <v>1</v>
      </c>
      <c r="E121" s="124" t="s">
        <v>23</v>
      </c>
      <c r="F121" s="125">
        <v>115000000</v>
      </c>
      <c r="G121" s="125">
        <f>ROUNDDOWN(D121*F121,-3)</f>
        <v>115000000</v>
      </c>
      <c r="H121" s="154" t="b">
        <f t="shared" si="2"/>
        <v>1</v>
      </c>
      <c r="I121" s="154"/>
      <c r="J121" s="154"/>
    </row>
    <row r="122" spans="1:10" ht="14.25" x14ac:dyDescent="0.2">
      <c r="A122" s="21" t="s">
        <v>840</v>
      </c>
      <c r="B122" s="116" t="s">
        <v>841</v>
      </c>
      <c r="C122" s="114" t="s">
        <v>842</v>
      </c>
      <c r="D122" s="116">
        <v>9</v>
      </c>
      <c r="E122" s="116" t="s">
        <v>3627</v>
      </c>
      <c r="F122" s="117"/>
      <c r="G122" s="117">
        <f>SUM(G123,G138,G263)</f>
        <v>11564936000</v>
      </c>
      <c r="H122" s="154" t="b">
        <f t="shared" si="2"/>
        <v>1</v>
      </c>
      <c r="I122" s="154"/>
      <c r="J122" s="154"/>
    </row>
    <row r="123" spans="1:10" ht="14.25" x14ac:dyDescent="0.2">
      <c r="A123" s="21" t="s">
        <v>1035</v>
      </c>
      <c r="B123" s="119" t="s">
        <v>3628</v>
      </c>
      <c r="C123" s="118" t="s">
        <v>1037</v>
      </c>
      <c r="D123" s="119">
        <v>2</v>
      </c>
      <c r="E123" s="119" t="s">
        <v>3627</v>
      </c>
      <c r="F123" s="120"/>
      <c r="G123" s="120">
        <f>G124</f>
        <v>153780000</v>
      </c>
      <c r="H123" s="154" t="b">
        <f t="shared" si="2"/>
        <v>1</v>
      </c>
      <c r="I123" s="154"/>
      <c r="J123" s="154"/>
    </row>
    <row r="124" spans="1:10" ht="14.25" x14ac:dyDescent="0.2">
      <c r="A124" s="7" t="s">
        <v>1184</v>
      </c>
      <c r="B124" s="58">
        <v>311</v>
      </c>
      <c r="C124" s="35" t="s">
        <v>1186</v>
      </c>
      <c r="D124" s="58"/>
      <c r="E124" s="58"/>
      <c r="F124" s="36"/>
      <c r="G124" s="36">
        <f>G125</f>
        <v>153780000</v>
      </c>
      <c r="H124" s="154" t="b">
        <f t="shared" si="2"/>
        <v>1</v>
      </c>
      <c r="I124" s="154"/>
      <c r="J124" s="154"/>
    </row>
    <row r="125" spans="1:10" ht="14.25" x14ac:dyDescent="0.2">
      <c r="A125" s="7" t="s">
        <v>1187</v>
      </c>
      <c r="B125" s="59" t="s">
        <v>8</v>
      </c>
      <c r="C125" s="38" t="s">
        <v>75</v>
      </c>
      <c r="D125" s="59"/>
      <c r="E125" s="59"/>
      <c r="F125" s="39"/>
      <c r="G125" s="39">
        <f>SUM(G126,G129,G131,G134,G136)</f>
        <v>153780000</v>
      </c>
      <c r="H125" s="154" t="b">
        <f t="shared" si="2"/>
        <v>1</v>
      </c>
      <c r="I125" s="154"/>
      <c r="J125" s="154"/>
    </row>
    <row r="126" spans="1:10" ht="14.25" x14ac:dyDescent="0.2">
      <c r="A126" s="7" t="s">
        <v>1188</v>
      </c>
      <c r="B126" s="60">
        <v>521211</v>
      </c>
      <c r="C126" s="41" t="s">
        <v>7</v>
      </c>
      <c r="D126" s="60"/>
      <c r="E126" s="60"/>
      <c r="F126" s="42"/>
      <c r="G126" s="42">
        <f>SUM(G127:G128)</f>
        <v>14400000</v>
      </c>
      <c r="H126" s="154" t="b">
        <f t="shared" si="2"/>
        <v>1</v>
      </c>
      <c r="I126" s="154"/>
      <c r="J126" s="154"/>
    </row>
    <row r="127" spans="1:10" ht="14.25" x14ac:dyDescent="0.2">
      <c r="A127" s="7" t="s">
        <v>1189</v>
      </c>
      <c r="B127" s="124"/>
      <c r="C127" s="123" t="s">
        <v>3587</v>
      </c>
      <c r="D127" s="124">
        <v>6</v>
      </c>
      <c r="E127" s="124" t="s">
        <v>52</v>
      </c>
      <c r="F127" s="125">
        <v>1000000</v>
      </c>
      <c r="G127" s="125">
        <f>ROUNDDOWN(D127*F127,-3)</f>
        <v>6000000</v>
      </c>
      <c r="H127" s="154" t="b">
        <f t="shared" si="2"/>
        <v>1</v>
      </c>
      <c r="I127" s="154"/>
      <c r="J127" s="154"/>
    </row>
    <row r="128" spans="1:10" ht="14.25" x14ac:dyDescent="0.2">
      <c r="A128" s="7" t="s">
        <v>1190</v>
      </c>
      <c r="B128" s="124"/>
      <c r="C128" s="123" t="s">
        <v>3608</v>
      </c>
      <c r="D128" s="124">
        <v>120</v>
      </c>
      <c r="E128" s="124" t="s">
        <v>25</v>
      </c>
      <c r="F128" s="125">
        <v>70000</v>
      </c>
      <c r="G128" s="125">
        <f>ROUNDDOWN(D128*F128,-3)</f>
        <v>8400000</v>
      </c>
      <c r="H128" s="154" t="b">
        <f t="shared" si="2"/>
        <v>1</v>
      </c>
      <c r="I128" s="154"/>
      <c r="J128" s="154"/>
    </row>
    <row r="129" spans="1:10" ht="14.25" x14ac:dyDescent="0.2">
      <c r="A129" s="7" t="s">
        <v>1191</v>
      </c>
      <c r="B129" s="60">
        <v>521219</v>
      </c>
      <c r="C129" s="41" t="s">
        <v>53</v>
      </c>
      <c r="D129" s="60"/>
      <c r="E129" s="60"/>
      <c r="F129" s="42"/>
      <c r="G129" s="42">
        <f>G130</f>
        <v>8000000</v>
      </c>
      <c r="H129" s="154" t="b">
        <f t="shared" si="2"/>
        <v>1</v>
      </c>
      <c r="I129" s="154"/>
      <c r="J129" s="154"/>
    </row>
    <row r="130" spans="1:10" ht="14.25" x14ac:dyDescent="0.2">
      <c r="A130" s="7" t="s">
        <v>1192</v>
      </c>
      <c r="B130" s="124"/>
      <c r="C130" s="123" t="s">
        <v>3629</v>
      </c>
      <c r="D130" s="124">
        <v>1</v>
      </c>
      <c r="E130" s="124" t="s">
        <v>106</v>
      </c>
      <c r="F130" s="125">
        <v>8000000</v>
      </c>
      <c r="G130" s="125">
        <f>ROUNDDOWN(D130*F130,-3)</f>
        <v>8000000</v>
      </c>
      <c r="H130" s="154" t="b">
        <f t="shared" si="2"/>
        <v>1</v>
      </c>
      <c r="I130" s="154"/>
      <c r="J130" s="154"/>
    </row>
    <row r="131" spans="1:10" ht="14.25" x14ac:dyDescent="0.2">
      <c r="A131" s="7" t="s">
        <v>1194</v>
      </c>
      <c r="B131" s="60">
        <v>521811</v>
      </c>
      <c r="C131" s="41" t="s">
        <v>64</v>
      </c>
      <c r="D131" s="60"/>
      <c r="E131" s="60"/>
      <c r="F131" s="42"/>
      <c r="G131" s="42">
        <f>SUM(G132:G133)</f>
        <v>12000000</v>
      </c>
      <c r="H131" s="154" t="b">
        <f t="shared" si="2"/>
        <v>1</v>
      </c>
      <c r="I131" s="154"/>
      <c r="J131" s="154"/>
    </row>
    <row r="132" spans="1:10" ht="14.25" x14ac:dyDescent="0.2">
      <c r="A132" s="7" t="s">
        <v>1195</v>
      </c>
      <c r="B132" s="124"/>
      <c r="C132" s="123" t="s">
        <v>3595</v>
      </c>
      <c r="D132" s="124">
        <v>6</v>
      </c>
      <c r="E132" s="124" t="s">
        <v>52</v>
      </c>
      <c r="F132" s="125">
        <v>1000000</v>
      </c>
      <c r="G132" s="125">
        <f>ROUNDDOWN(D132*F132,-3)</f>
        <v>6000000</v>
      </c>
      <c r="H132" s="154" t="b">
        <f t="shared" si="2"/>
        <v>1</v>
      </c>
      <c r="I132" s="154"/>
      <c r="J132" s="154"/>
    </row>
    <row r="133" spans="1:10" ht="14.25" x14ac:dyDescent="0.2">
      <c r="A133" s="7" t="s">
        <v>1196</v>
      </c>
      <c r="B133" s="124"/>
      <c r="C133" s="123" t="s">
        <v>3630</v>
      </c>
      <c r="D133" s="124">
        <v>6</v>
      </c>
      <c r="E133" s="124" t="s">
        <v>52</v>
      </c>
      <c r="F133" s="125">
        <v>1000000</v>
      </c>
      <c r="G133" s="125">
        <f>ROUNDDOWN(D133*F133,-3)</f>
        <v>6000000</v>
      </c>
      <c r="H133" s="154" t="b">
        <f t="shared" si="2"/>
        <v>1</v>
      </c>
      <c r="I133" s="154"/>
      <c r="J133" s="154"/>
    </row>
    <row r="134" spans="1:10" ht="14.25" x14ac:dyDescent="0.2">
      <c r="A134" s="7" t="s">
        <v>1198</v>
      </c>
      <c r="B134" s="60">
        <v>522151</v>
      </c>
      <c r="C134" s="41" t="s">
        <v>11</v>
      </c>
      <c r="D134" s="60"/>
      <c r="E134" s="60"/>
      <c r="F134" s="42"/>
      <c r="G134" s="42">
        <f>G135</f>
        <v>4000000</v>
      </c>
      <c r="H134" s="154" t="b">
        <f t="shared" si="2"/>
        <v>1</v>
      </c>
      <c r="I134" s="154"/>
      <c r="J134" s="154"/>
    </row>
    <row r="135" spans="1:10" ht="14.25" x14ac:dyDescent="0.2">
      <c r="A135" s="7" t="s">
        <v>1199</v>
      </c>
      <c r="B135" s="124"/>
      <c r="C135" s="123" t="s">
        <v>3603</v>
      </c>
      <c r="D135" s="124">
        <v>4</v>
      </c>
      <c r="E135" s="124" t="s">
        <v>54</v>
      </c>
      <c r="F135" s="125">
        <v>1000000</v>
      </c>
      <c r="G135" s="125">
        <f>ROUNDDOWN(D135*F135,-3)</f>
        <v>4000000</v>
      </c>
      <c r="H135" s="154" t="b">
        <f t="shared" si="2"/>
        <v>1</v>
      </c>
      <c r="I135" s="154"/>
      <c r="J135" s="154"/>
    </row>
    <row r="136" spans="1:10" ht="14.25" x14ac:dyDescent="0.2">
      <c r="A136" s="7" t="s">
        <v>1200</v>
      </c>
      <c r="B136" s="60">
        <v>524111</v>
      </c>
      <c r="C136" s="41" t="s">
        <v>19</v>
      </c>
      <c r="D136" s="60"/>
      <c r="E136" s="60"/>
      <c r="F136" s="42"/>
      <c r="G136" s="42">
        <f>G137</f>
        <v>115380000</v>
      </c>
      <c r="H136" s="154" t="b">
        <f t="shared" si="2"/>
        <v>1</v>
      </c>
      <c r="I136" s="154"/>
      <c r="J136" s="154"/>
    </row>
    <row r="137" spans="1:10" ht="14.25" x14ac:dyDescent="0.2">
      <c r="A137" s="7" t="s">
        <v>1201</v>
      </c>
      <c r="B137" s="124"/>
      <c r="C137" s="123" t="s">
        <v>3631</v>
      </c>
      <c r="D137" s="124">
        <v>20</v>
      </c>
      <c r="E137" s="124" t="s">
        <v>25</v>
      </c>
      <c r="F137" s="125">
        <v>5769000</v>
      </c>
      <c r="G137" s="125">
        <f>ROUNDDOWN(D137*F137,-3)</f>
        <v>115380000</v>
      </c>
      <c r="H137" s="154" t="b">
        <f t="shared" si="2"/>
        <v>1</v>
      </c>
      <c r="I137" s="154"/>
      <c r="J137" s="154"/>
    </row>
    <row r="138" spans="1:10" ht="14.25" x14ac:dyDescent="0.2">
      <c r="A138" s="7" t="s">
        <v>1268</v>
      </c>
      <c r="B138" s="119" t="s">
        <v>3632</v>
      </c>
      <c r="C138" s="118" t="s">
        <v>1270</v>
      </c>
      <c r="D138" s="119">
        <v>1</v>
      </c>
      <c r="E138" s="119" t="s">
        <v>3627</v>
      </c>
      <c r="F138" s="120"/>
      <c r="G138" s="120">
        <f>G139</f>
        <v>2736502000</v>
      </c>
      <c r="H138" s="154" t="b">
        <f t="shared" si="2"/>
        <v>1</v>
      </c>
      <c r="I138" s="154"/>
      <c r="J138" s="154"/>
    </row>
    <row r="139" spans="1:10" ht="14.25" x14ac:dyDescent="0.2">
      <c r="A139" s="7" t="s">
        <v>1388</v>
      </c>
      <c r="B139" s="58">
        <v>301</v>
      </c>
      <c r="C139" s="35" t="s">
        <v>1389</v>
      </c>
      <c r="D139" s="58"/>
      <c r="E139" s="58"/>
      <c r="F139" s="36"/>
      <c r="G139" s="36">
        <f>SUM(G140,G150,G161,G174,G184,G200,G216,G228,G248)</f>
        <v>2736502000</v>
      </c>
      <c r="H139" s="154" t="b">
        <f t="shared" si="2"/>
        <v>1</v>
      </c>
      <c r="I139" s="154"/>
      <c r="J139" s="154"/>
    </row>
    <row r="140" spans="1:10" ht="14.25" x14ac:dyDescent="0.2">
      <c r="A140" s="7" t="s">
        <v>1390</v>
      </c>
      <c r="B140" s="59" t="s">
        <v>8</v>
      </c>
      <c r="C140" s="38" t="s">
        <v>148</v>
      </c>
      <c r="D140" s="59"/>
      <c r="E140" s="59"/>
      <c r="F140" s="39"/>
      <c r="G140" s="39">
        <f>SUM(G141,G146,G148)</f>
        <v>42100000</v>
      </c>
      <c r="H140" s="154" t="b">
        <f t="shared" si="2"/>
        <v>1</v>
      </c>
      <c r="I140" s="154"/>
      <c r="J140" s="154"/>
    </row>
    <row r="141" spans="1:10" ht="14.25" x14ac:dyDescent="0.2">
      <c r="A141" s="7" t="s">
        <v>1391</v>
      </c>
      <c r="B141" s="60">
        <v>521211</v>
      </c>
      <c r="C141" s="41" t="s">
        <v>7</v>
      </c>
      <c r="D141" s="60"/>
      <c r="E141" s="60"/>
      <c r="F141" s="42"/>
      <c r="G141" s="42">
        <f>SUM(G142:G145)</f>
        <v>22000000</v>
      </c>
      <c r="H141" s="154" t="b">
        <f t="shared" si="2"/>
        <v>1</v>
      </c>
      <c r="I141" s="154"/>
      <c r="J141" s="154"/>
    </row>
    <row r="142" spans="1:10" ht="14.25" x14ac:dyDescent="0.2">
      <c r="A142" s="7" t="s">
        <v>1392</v>
      </c>
      <c r="B142" s="124"/>
      <c r="C142" s="123" t="s">
        <v>3595</v>
      </c>
      <c r="D142" s="124">
        <v>4</v>
      </c>
      <c r="E142" s="124" t="s">
        <v>9</v>
      </c>
      <c r="F142" s="125">
        <v>1500000</v>
      </c>
      <c r="G142" s="125">
        <f>ROUNDDOWN(D142*F142,-3)</f>
        <v>6000000</v>
      </c>
      <c r="H142" s="154" t="b">
        <f t="shared" ref="H142:H205" si="3">_xlfn.ISFORMULA(G142)</f>
        <v>1</v>
      </c>
      <c r="I142" s="154"/>
      <c r="J142" s="154"/>
    </row>
    <row r="143" spans="1:10" ht="14.25" x14ac:dyDescent="0.2">
      <c r="A143" s="7" t="s">
        <v>1393</v>
      </c>
      <c r="B143" s="124"/>
      <c r="C143" s="123" t="s">
        <v>3596</v>
      </c>
      <c r="D143" s="124">
        <v>4</v>
      </c>
      <c r="E143" s="124" t="s">
        <v>9</v>
      </c>
      <c r="F143" s="125">
        <v>1000000</v>
      </c>
      <c r="G143" s="125">
        <f>ROUNDDOWN(D143*F143,-3)</f>
        <v>4000000</v>
      </c>
      <c r="H143" s="154" t="b">
        <f t="shared" si="3"/>
        <v>1</v>
      </c>
      <c r="I143" s="154"/>
      <c r="J143" s="154"/>
    </row>
    <row r="144" spans="1:10" ht="14.25" x14ac:dyDescent="0.2">
      <c r="A144" s="7" t="s">
        <v>1394</v>
      </c>
      <c r="B144" s="124"/>
      <c r="C144" s="123" t="s">
        <v>3597</v>
      </c>
      <c r="D144" s="124">
        <v>4</v>
      </c>
      <c r="E144" s="124" t="s">
        <v>9</v>
      </c>
      <c r="F144" s="125">
        <v>1500000</v>
      </c>
      <c r="G144" s="125">
        <f>ROUNDDOWN(D144*F144,-3)</f>
        <v>6000000</v>
      </c>
      <c r="H144" s="154" t="b">
        <f t="shared" si="3"/>
        <v>1</v>
      </c>
      <c r="I144" s="154"/>
      <c r="J144" s="154"/>
    </row>
    <row r="145" spans="1:10" ht="14.25" x14ac:dyDescent="0.2">
      <c r="A145" s="7" t="s">
        <v>1395</v>
      </c>
      <c r="B145" s="124"/>
      <c r="C145" s="123" t="s">
        <v>3633</v>
      </c>
      <c r="D145" s="124">
        <v>12</v>
      </c>
      <c r="E145" s="124" t="s">
        <v>176</v>
      </c>
      <c r="F145" s="125">
        <v>500000</v>
      </c>
      <c r="G145" s="125">
        <f>ROUNDDOWN(D145*F145,-3)</f>
        <v>6000000</v>
      </c>
      <c r="H145" s="154" t="b">
        <f t="shared" si="3"/>
        <v>1</v>
      </c>
      <c r="I145" s="154"/>
      <c r="J145" s="154"/>
    </row>
    <row r="146" spans="1:10" ht="14.25" x14ac:dyDescent="0.2">
      <c r="A146" s="7" t="s">
        <v>1397</v>
      </c>
      <c r="B146" s="60">
        <v>524111</v>
      </c>
      <c r="C146" s="41" t="s">
        <v>19</v>
      </c>
      <c r="D146" s="60"/>
      <c r="E146" s="60"/>
      <c r="F146" s="42"/>
      <c r="G146" s="42">
        <f>G147</f>
        <v>18000000</v>
      </c>
      <c r="H146" s="154" t="b">
        <f t="shared" si="3"/>
        <v>1</v>
      </c>
      <c r="I146" s="154"/>
      <c r="J146" s="154"/>
    </row>
    <row r="147" spans="1:10" ht="14.25" x14ac:dyDescent="0.2">
      <c r="A147" s="7" t="s">
        <v>1398</v>
      </c>
      <c r="B147" s="124"/>
      <c r="C147" s="123" t="s">
        <v>3634</v>
      </c>
      <c r="D147" s="124">
        <v>6</v>
      </c>
      <c r="E147" s="124" t="s">
        <v>10</v>
      </c>
      <c r="F147" s="125">
        <v>3000000</v>
      </c>
      <c r="G147" s="125">
        <f>ROUNDDOWN(D147*F147,-3)</f>
        <v>18000000</v>
      </c>
      <c r="H147" s="154" t="b">
        <f t="shared" si="3"/>
        <v>1</v>
      </c>
      <c r="I147" s="154"/>
      <c r="J147" s="154"/>
    </row>
    <row r="148" spans="1:10" ht="14.25" x14ac:dyDescent="0.2">
      <c r="A148" s="7" t="s">
        <v>1400</v>
      </c>
      <c r="B148" s="60">
        <v>524113</v>
      </c>
      <c r="C148" s="41" t="s">
        <v>13</v>
      </c>
      <c r="D148" s="60"/>
      <c r="E148" s="60"/>
      <c r="F148" s="42"/>
      <c r="G148" s="42">
        <f>G149</f>
        <v>2100000</v>
      </c>
      <c r="H148" s="154" t="b">
        <f t="shared" si="3"/>
        <v>1</v>
      </c>
      <c r="I148" s="154"/>
      <c r="J148" s="154"/>
    </row>
    <row r="149" spans="1:10" ht="14.25" x14ac:dyDescent="0.2">
      <c r="A149" s="7" t="s">
        <v>1401</v>
      </c>
      <c r="B149" s="124"/>
      <c r="C149" s="123" t="s">
        <v>3635</v>
      </c>
      <c r="D149" s="124">
        <v>14</v>
      </c>
      <c r="E149" s="124" t="s">
        <v>10</v>
      </c>
      <c r="F149" s="125">
        <v>150000</v>
      </c>
      <c r="G149" s="125">
        <f>ROUNDDOWN(D149*F149,-3)</f>
        <v>2100000</v>
      </c>
      <c r="H149" s="154" t="b">
        <f t="shared" si="3"/>
        <v>1</v>
      </c>
      <c r="I149" s="154"/>
      <c r="J149" s="154"/>
    </row>
    <row r="150" spans="1:10" ht="14.25" x14ac:dyDescent="0.2">
      <c r="A150" s="7" t="s">
        <v>1403</v>
      </c>
      <c r="B150" s="59" t="s">
        <v>511</v>
      </c>
      <c r="C150" s="38" t="s">
        <v>150</v>
      </c>
      <c r="D150" s="59"/>
      <c r="E150" s="59"/>
      <c r="F150" s="39"/>
      <c r="G150" s="39">
        <f>SUM(G151,G154,G156,G158)</f>
        <v>571380000</v>
      </c>
      <c r="H150" s="154" t="b">
        <f t="shared" si="3"/>
        <v>1</v>
      </c>
      <c r="I150" s="154"/>
      <c r="J150" s="154"/>
    </row>
    <row r="151" spans="1:10" ht="14.25" x14ac:dyDescent="0.2">
      <c r="A151" s="7" t="s">
        <v>1404</v>
      </c>
      <c r="B151" s="60">
        <v>521211</v>
      </c>
      <c r="C151" s="41" t="s">
        <v>7</v>
      </c>
      <c r="D151" s="60"/>
      <c r="E151" s="60"/>
      <c r="F151" s="42"/>
      <c r="G151" s="42">
        <f>SUM(G152:G153)</f>
        <v>10000000</v>
      </c>
      <c r="H151" s="154" t="b">
        <f t="shared" si="3"/>
        <v>1</v>
      </c>
      <c r="I151" s="154"/>
      <c r="J151" s="154"/>
    </row>
    <row r="152" spans="1:10" ht="14.25" x14ac:dyDescent="0.2">
      <c r="A152" s="7" t="s">
        <v>1405</v>
      </c>
      <c r="B152" s="124"/>
      <c r="C152" s="123" t="s">
        <v>3595</v>
      </c>
      <c r="D152" s="124">
        <v>4</v>
      </c>
      <c r="E152" s="124" t="s">
        <v>9</v>
      </c>
      <c r="F152" s="125">
        <v>1500000</v>
      </c>
      <c r="G152" s="125">
        <f>ROUNDDOWN(D152*F152,-3)</f>
        <v>6000000</v>
      </c>
      <c r="H152" s="154" t="b">
        <f t="shared" si="3"/>
        <v>1</v>
      </c>
      <c r="I152" s="154"/>
      <c r="J152" s="154"/>
    </row>
    <row r="153" spans="1:10" ht="14.25" x14ac:dyDescent="0.2">
      <c r="A153" s="7" t="s">
        <v>1406</v>
      </c>
      <c r="B153" s="124"/>
      <c r="C153" s="123" t="s">
        <v>3596</v>
      </c>
      <c r="D153" s="124">
        <v>4</v>
      </c>
      <c r="E153" s="124" t="s">
        <v>9</v>
      </c>
      <c r="F153" s="125">
        <v>1000000</v>
      </c>
      <c r="G153" s="125">
        <f>ROUNDDOWN(D153*F153,-3)</f>
        <v>4000000</v>
      </c>
      <c r="H153" s="154" t="b">
        <f t="shared" si="3"/>
        <v>1</v>
      </c>
      <c r="I153" s="154"/>
      <c r="J153" s="154"/>
    </row>
    <row r="154" spans="1:10" ht="14.25" x14ac:dyDescent="0.2">
      <c r="A154" s="7" t="s">
        <v>1407</v>
      </c>
      <c r="B154" s="60">
        <v>521219</v>
      </c>
      <c r="C154" s="41" t="s">
        <v>53</v>
      </c>
      <c r="D154" s="60"/>
      <c r="E154" s="60"/>
      <c r="F154" s="42"/>
      <c r="G154" s="42">
        <f>G155</f>
        <v>7800000</v>
      </c>
      <c r="H154" s="154" t="b">
        <f t="shared" si="3"/>
        <v>1</v>
      </c>
      <c r="I154" s="154"/>
      <c r="J154" s="154"/>
    </row>
    <row r="155" spans="1:10" ht="14.25" x14ac:dyDescent="0.2">
      <c r="A155" s="7" t="s">
        <v>1408</v>
      </c>
      <c r="B155" s="124"/>
      <c r="C155" s="123" t="s">
        <v>3610</v>
      </c>
      <c r="D155" s="124">
        <v>12</v>
      </c>
      <c r="E155" s="124" t="s">
        <v>66</v>
      </c>
      <c r="F155" s="125">
        <v>650000</v>
      </c>
      <c r="G155" s="125">
        <f>ROUNDDOWN(D155*F155,-3)</f>
        <v>7800000</v>
      </c>
      <c r="H155" s="154" t="b">
        <f t="shared" si="3"/>
        <v>1</v>
      </c>
      <c r="I155" s="154"/>
      <c r="J155" s="154"/>
    </row>
    <row r="156" spans="1:10" ht="14.25" x14ac:dyDescent="0.2">
      <c r="A156" s="7" t="s">
        <v>1409</v>
      </c>
      <c r="B156" s="60">
        <v>522192</v>
      </c>
      <c r="C156" s="41" t="s">
        <v>24</v>
      </c>
      <c r="D156" s="60"/>
      <c r="E156" s="60"/>
      <c r="F156" s="42"/>
      <c r="G156" s="42">
        <f>G157</f>
        <v>39080000</v>
      </c>
      <c r="H156" s="154" t="b">
        <f t="shared" si="3"/>
        <v>1</v>
      </c>
      <c r="I156" s="154"/>
      <c r="J156" s="154"/>
    </row>
    <row r="157" spans="1:10" ht="14.25" x14ac:dyDescent="0.2">
      <c r="A157" s="7" t="s">
        <v>1410</v>
      </c>
      <c r="B157" s="124"/>
      <c r="C157" s="123" t="s">
        <v>3636</v>
      </c>
      <c r="D157" s="124">
        <v>80</v>
      </c>
      <c r="E157" s="124" t="s">
        <v>25</v>
      </c>
      <c r="F157" s="125">
        <v>488500</v>
      </c>
      <c r="G157" s="125">
        <f>ROUNDDOWN(D157*F157,-3)</f>
        <v>39080000</v>
      </c>
      <c r="H157" s="154" t="b">
        <f t="shared" si="3"/>
        <v>1</v>
      </c>
      <c r="I157" s="154"/>
      <c r="J157" s="154"/>
    </row>
    <row r="158" spans="1:10" ht="14.25" x14ac:dyDescent="0.2">
      <c r="A158" s="7" t="s">
        <v>1412</v>
      </c>
      <c r="B158" s="60">
        <v>524111</v>
      </c>
      <c r="C158" s="41" t="s">
        <v>19</v>
      </c>
      <c r="D158" s="60"/>
      <c r="E158" s="60"/>
      <c r="F158" s="42"/>
      <c r="G158" s="42">
        <f>SUM(G159:G160)</f>
        <v>514500000</v>
      </c>
      <c r="H158" s="154" t="b">
        <f t="shared" si="3"/>
        <v>1</v>
      </c>
      <c r="I158" s="154"/>
      <c r="J158" s="154"/>
    </row>
    <row r="159" spans="1:10" ht="14.25" x14ac:dyDescent="0.2">
      <c r="A159" s="7" t="s">
        <v>1413</v>
      </c>
      <c r="B159" s="124"/>
      <c r="C159" s="123" t="s">
        <v>3637</v>
      </c>
      <c r="D159" s="124">
        <v>55</v>
      </c>
      <c r="E159" s="124" t="s">
        <v>10</v>
      </c>
      <c r="F159" s="125">
        <v>6075000</v>
      </c>
      <c r="G159" s="125">
        <f>ROUNDDOWN(D159*F159,-3)</f>
        <v>334125000</v>
      </c>
      <c r="H159" s="154" t="b">
        <f t="shared" si="3"/>
        <v>1</v>
      </c>
      <c r="I159" s="154"/>
      <c r="J159" s="154"/>
    </row>
    <row r="160" spans="1:10" ht="14.25" x14ac:dyDescent="0.2">
      <c r="A160" s="7" t="s">
        <v>1415</v>
      </c>
      <c r="B160" s="124"/>
      <c r="C160" s="123" t="s">
        <v>3638</v>
      </c>
      <c r="D160" s="124">
        <v>30</v>
      </c>
      <c r="E160" s="124" t="s">
        <v>776</v>
      </c>
      <c r="F160" s="125">
        <v>6012500</v>
      </c>
      <c r="G160" s="125">
        <f>ROUNDDOWN(D160*F160,-3)</f>
        <v>180375000</v>
      </c>
      <c r="H160" s="154" t="b">
        <f t="shared" si="3"/>
        <v>1</v>
      </c>
      <c r="I160" s="154"/>
      <c r="J160" s="154"/>
    </row>
    <row r="161" spans="1:10" ht="14.25" x14ac:dyDescent="0.2">
      <c r="A161" s="7" t="s">
        <v>1417</v>
      </c>
      <c r="B161" s="59" t="s">
        <v>512</v>
      </c>
      <c r="C161" s="38" t="s">
        <v>1418</v>
      </c>
      <c r="D161" s="59"/>
      <c r="E161" s="59"/>
      <c r="F161" s="39"/>
      <c r="G161" s="39">
        <f>SUM(G162,G168,G170,G172)</f>
        <v>83500000</v>
      </c>
      <c r="H161" s="154" t="b">
        <f t="shared" si="3"/>
        <v>1</v>
      </c>
      <c r="I161" s="154"/>
      <c r="J161" s="154"/>
    </row>
    <row r="162" spans="1:10" ht="14.25" x14ac:dyDescent="0.2">
      <c r="A162" s="7" t="s">
        <v>1419</v>
      </c>
      <c r="B162" s="60">
        <v>521211</v>
      </c>
      <c r="C162" s="41" t="s">
        <v>7</v>
      </c>
      <c r="D162" s="60"/>
      <c r="E162" s="60"/>
      <c r="F162" s="42"/>
      <c r="G162" s="42">
        <f>SUM(G163:G167)</f>
        <v>46000000</v>
      </c>
      <c r="H162" s="154" t="b">
        <f t="shared" si="3"/>
        <v>1</v>
      </c>
      <c r="I162" s="154"/>
      <c r="J162" s="154"/>
    </row>
    <row r="163" spans="1:10" ht="14.25" x14ac:dyDescent="0.2">
      <c r="A163" s="7" t="s">
        <v>1420</v>
      </c>
      <c r="B163" s="124"/>
      <c r="C163" s="123" t="s">
        <v>3639</v>
      </c>
      <c r="D163" s="124">
        <v>500</v>
      </c>
      <c r="E163" s="124" t="s">
        <v>1422</v>
      </c>
      <c r="F163" s="125">
        <v>36000</v>
      </c>
      <c r="G163" s="125">
        <f>ROUNDDOWN(D163*F163,-3)</f>
        <v>18000000</v>
      </c>
      <c r="H163" s="154" t="b">
        <f t="shared" si="3"/>
        <v>1</v>
      </c>
      <c r="I163" s="154"/>
      <c r="J163" s="154"/>
    </row>
    <row r="164" spans="1:10" ht="14.25" x14ac:dyDescent="0.2">
      <c r="A164" s="7" t="s">
        <v>1423</v>
      </c>
      <c r="B164" s="124"/>
      <c r="C164" s="123" t="s">
        <v>3602</v>
      </c>
      <c r="D164" s="124">
        <v>4</v>
      </c>
      <c r="E164" s="124" t="s">
        <v>9</v>
      </c>
      <c r="F164" s="125">
        <v>1500000</v>
      </c>
      <c r="G164" s="125">
        <f>ROUNDDOWN(D164*F164,-3)</f>
        <v>6000000</v>
      </c>
      <c r="H164" s="154" t="b">
        <f t="shared" si="3"/>
        <v>1</v>
      </c>
      <c r="I164" s="154"/>
      <c r="J164" s="154"/>
    </row>
    <row r="165" spans="1:10" ht="14.25" x14ac:dyDescent="0.2">
      <c r="A165" s="7" t="s">
        <v>1424</v>
      </c>
      <c r="B165" s="124"/>
      <c r="C165" s="123" t="s">
        <v>3588</v>
      </c>
      <c r="D165" s="124">
        <v>4</v>
      </c>
      <c r="E165" s="124" t="s">
        <v>9</v>
      </c>
      <c r="F165" s="125">
        <v>1000000</v>
      </c>
      <c r="G165" s="125">
        <f>ROUNDDOWN(D165*F165,-3)</f>
        <v>4000000</v>
      </c>
      <c r="H165" s="154" t="b">
        <f t="shared" si="3"/>
        <v>1</v>
      </c>
      <c r="I165" s="154"/>
      <c r="J165" s="154"/>
    </row>
    <row r="166" spans="1:10" ht="14.25" x14ac:dyDescent="0.2">
      <c r="A166" s="7" t="s">
        <v>1425</v>
      </c>
      <c r="B166" s="124"/>
      <c r="C166" s="123" t="s">
        <v>3589</v>
      </c>
      <c r="D166" s="124">
        <v>4</v>
      </c>
      <c r="E166" s="124" t="s">
        <v>9</v>
      </c>
      <c r="F166" s="125">
        <v>1500000</v>
      </c>
      <c r="G166" s="125">
        <f>ROUNDDOWN(D166*F166,-3)</f>
        <v>6000000</v>
      </c>
      <c r="H166" s="154" t="b">
        <f t="shared" si="3"/>
        <v>1</v>
      </c>
      <c r="I166" s="154"/>
      <c r="J166" s="154"/>
    </row>
    <row r="167" spans="1:10" ht="14.25" x14ac:dyDescent="0.2">
      <c r="A167" s="7" t="s">
        <v>1426</v>
      </c>
      <c r="B167" s="124"/>
      <c r="C167" s="123" t="s">
        <v>3640</v>
      </c>
      <c r="D167" s="124">
        <v>24</v>
      </c>
      <c r="E167" s="124" t="s">
        <v>176</v>
      </c>
      <c r="F167" s="125">
        <v>500000</v>
      </c>
      <c r="G167" s="125">
        <f>ROUNDDOWN(D167*F167,-3)</f>
        <v>12000000</v>
      </c>
      <c r="H167" s="154" t="b">
        <f t="shared" si="3"/>
        <v>1</v>
      </c>
      <c r="I167" s="154"/>
      <c r="J167" s="154"/>
    </row>
    <row r="168" spans="1:10" ht="14.25" x14ac:dyDescent="0.2">
      <c r="A168" s="7" t="s">
        <v>1428</v>
      </c>
      <c r="B168" s="60">
        <v>522141</v>
      </c>
      <c r="C168" s="41" t="s">
        <v>95</v>
      </c>
      <c r="D168" s="60"/>
      <c r="E168" s="60"/>
      <c r="F168" s="42"/>
      <c r="G168" s="42">
        <f>G169</f>
        <v>6000000</v>
      </c>
      <c r="H168" s="154" t="b">
        <f t="shared" si="3"/>
        <v>1</v>
      </c>
      <c r="I168" s="154"/>
      <c r="J168" s="154"/>
    </row>
    <row r="169" spans="1:10" ht="14.25" x14ac:dyDescent="0.2">
      <c r="A169" s="7" t="s">
        <v>1429</v>
      </c>
      <c r="B169" s="124"/>
      <c r="C169" s="123" t="s">
        <v>3641</v>
      </c>
      <c r="D169" s="124">
        <v>4</v>
      </c>
      <c r="E169" s="124" t="s">
        <v>149</v>
      </c>
      <c r="F169" s="125">
        <v>1500000</v>
      </c>
      <c r="G169" s="125">
        <f>ROUNDDOWN(D169*F169,-3)</f>
        <v>6000000</v>
      </c>
      <c r="H169" s="154" t="b">
        <f t="shared" si="3"/>
        <v>1</v>
      </c>
      <c r="I169" s="154"/>
      <c r="J169" s="154"/>
    </row>
    <row r="170" spans="1:10" ht="14.25" x14ac:dyDescent="0.2">
      <c r="A170" s="7" t="s">
        <v>1431</v>
      </c>
      <c r="B170" s="60">
        <v>524111</v>
      </c>
      <c r="C170" s="41" t="s">
        <v>19</v>
      </c>
      <c r="D170" s="60"/>
      <c r="E170" s="60"/>
      <c r="F170" s="42"/>
      <c r="G170" s="42">
        <f>G171</f>
        <v>27000000</v>
      </c>
      <c r="H170" s="154" t="b">
        <f t="shared" si="3"/>
        <v>1</v>
      </c>
      <c r="I170" s="154"/>
      <c r="J170" s="154"/>
    </row>
    <row r="171" spans="1:10" ht="25.5" x14ac:dyDescent="0.2">
      <c r="A171" s="7" t="s">
        <v>1432</v>
      </c>
      <c r="B171" s="124"/>
      <c r="C171" s="123" t="s">
        <v>3642</v>
      </c>
      <c r="D171" s="124">
        <v>9</v>
      </c>
      <c r="E171" s="124" t="s">
        <v>10</v>
      </c>
      <c r="F171" s="125">
        <v>3000000</v>
      </c>
      <c r="G171" s="125">
        <f>ROUNDDOWN(D171*F171,-3)</f>
        <v>27000000</v>
      </c>
      <c r="H171" s="154" t="b">
        <f t="shared" si="3"/>
        <v>1</v>
      </c>
      <c r="I171" s="154"/>
      <c r="J171" s="154"/>
    </row>
    <row r="172" spans="1:10" ht="14.25" x14ac:dyDescent="0.2">
      <c r="A172" s="7" t="s">
        <v>1434</v>
      </c>
      <c r="B172" s="60">
        <v>524113</v>
      </c>
      <c r="C172" s="41" t="s">
        <v>13</v>
      </c>
      <c r="D172" s="60"/>
      <c r="E172" s="60"/>
      <c r="F172" s="42"/>
      <c r="G172" s="42">
        <f>G173</f>
        <v>4500000</v>
      </c>
      <c r="H172" s="154" t="b">
        <f t="shared" si="3"/>
        <v>1</v>
      </c>
      <c r="I172" s="154"/>
      <c r="J172" s="154"/>
    </row>
    <row r="173" spans="1:10" ht="14.25" x14ac:dyDescent="0.2">
      <c r="A173" s="7" t="s">
        <v>1435</v>
      </c>
      <c r="B173" s="124"/>
      <c r="C173" s="123" t="s">
        <v>3643</v>
      </c>
      <c r="D173" s="124">
        <v>30</v>
      </c>
      <c r="E173" s="124" t="s">
        <v>10</v>
      </c>
      <c r="F173" s="125">
        <v>150000</v>
      </c>
      <c r="G173" s="125">
        <f>ROUNDDOWN(D173*F173,-3)</f>
        <v>4500000</v>
      </c>
      <c r="H173" s="154" t="b">
        <f t="shared" si="3"/>
        <v>1</v>
      </c>
      <c r="I173" s="154"/>
      <c r="J173" s="154"/>
    </row>
    <row r="174" spans="1:10" ht="14.25" x14ac:dyDescent="0.2">
      <c r="A174" s="7" t="s">
        <v>1437</v>
      </c>
      <c r="B174" s="59" t="s">
        <v>514</v>
      </c>
      <c r="C174" s="38" t="s">
        <v>151</v>
      </c>
      <c r="D174" s="59"/>
      <c r="E174" s="59"/>
      <c r="F174" s="39"/>
      <c r="G174" s="39">
        <f>SUM(G175,G180,G182)</f>
        <v>101050000</v>
      </c>
      <c r="H174" s="154" t="b">
        <f t="shared" si="3"/>
        <v>1</v>
      </c>
      <c r="I174" s="154"/>
      <c r="J174" s="154"/>
    </row>
    <row r="175" spans="1:10" ht="14.25" x14ac:dyDescent="0.2">
      <c r="A175" s="7" t="s">
        <v>1438</v>
      </c>
      <c r="B175" s="60">
        <v>521211</v>
      </c>
      <c r="C175" s="41" t="s">
        <v>7</v>
      </c>
      <c r="D175" s="60"/>
      <c r="E175" s="60"/>
      <c r="F175" s="42"/>
      <c r="G175" s="42">
        <f>SUM(G176:G179)</f>
        <v>28000000</v>
      </c>
      <c r="H175" s="154" t="b">
        <f t="shared" si="3"/>
        <v>1</v>
      </c>
      <c r="I175" s="154"/>
      <c r="J175" s="154"/>
    </row>
    <row r="176" spans="1:10" ht="14.25" x14ac:dyDescent="0.2">
      <c r="A176" s="7" t="s">
        <v>1439</v>
      </c>
      <c r="B176" s="124"/>
      <c r="C176" s="123" t="s">
        <v>3595</v>
      </c>
      <c r="D176" s="124">
        <v>4</v>
      </c>
      <c r="E176" s="124" t="s">
        <v>9</v>
      </c>
      <c r="F176" s="125">
        <v>1000000</v>
      </c>
      <c r="G176" s="125">
        <f>ROUNDDOWN(D176*F176,-3)</f>
        <v>4000000</v>
      </c>
      <c r="H176" s="154" t="b">
        <f t="shared" si="3"/>
        <v>1</v>
      </c>
      <c r="I176" s="154"/>
      <c r="J176" s="154"/>
    </row>
    <row r="177" spans="1:10" ht="14.25" x14ac:dyDescent="0.2">
      <c r="A177" s="7" t="s">
        <v>1440</v>
      </c>
      <c r="B177" s="124"/>
      <c r="C177" s="123" t="s">
        <v>3596</v>
      </c>
      <c r="D177" s="124">
        <v>4</v>
      </c>
      <c r="E177" s="124" t="s">
        <v>9</v>
      </c>
      <c r="F177" s="125">
        <v>1500000</v>
      </c>
      <c r="G177" s="125">
        <f>ROUNDDOWN(D177*F177,-3)</f>
        <v>6000000</v>
      </c>
      <c r="H177" s="154" t="b">
        <f t="shared" si="3"/>
        <v>1</v>
      </c>
      <c r="I177" s="154"/>
      <c r="J177" s="154"/>
    </row>
    <row r="178" spans="1:10" ht="14.25" x14ac:dyDescent="0.2">
      <c r="A178" s="7" t="s">
        <v>1441</v>
      </c>
      <c r="B178" s="124"/>
      <c r="C178" s="123" t="s">
        <v>3597</v>
      </c>
      <c r="D178" s="124">
        <v>4</v>
      </c>
      <c r="E178" s="124" t="s">
        <v>9</v>
      </c>
      <c r="F178" s="125">
        <v>1500000</v>
      </c>
      <c r="G178" s="125">
        <f>ROUNDDOWN(D178*F178,-3)</f>
        <v>6000000</v>
      </c>
      <c r="H178" s="154" t="b">
        <f t="shared" si="3"/>
        <v>1</v>
      </c>
      <c r="I178" s="154"/>
      <c r="J178" s="154"/>
    </row>
    <row r="179" spans="1:10" ht="14.25" x14ac:dyDescent="0.2">
      <c r="A179" s="7" t="s">
        <v>1442</v>
      </c>
      <c r="B179" s="124"/>
      <c r="C179" s="123" t="s">
        <v>3644</v>
      </c>
      <c r="D179" s="124">
        <v>24</v>
      </c>
      <c r="E179" s="124" t="s">
        <v>176</v>
      </c>
      <c r="F179" s="125">
        <v>500000</v>
      </c>
      <c r="G179" s="125">
        <f>ROUNDDOWN(D179*F179,-3)</f>
        <v>12000000</v>
      </c>
      <c r="H179" s="154" t="b">
        <f t="shared" si="3"/>
        <v>1</v>
      </c>
      <c r="I179" s="154"/>
      <c r="J179" s="154"/>
    </row>
    <row r="180" spans="1:10" ht="14.25" x14ac:dyDescent="0.2">
      <c r="A180" s="7" t="s">
        <v>1443</v>
      </c>
      <c r="B180" s="60">
        <v>524111</v>
      </c>
      <c r="C180" s="41" t="s">
        <v>19</v>
      </c>
      <c r="D180" s="60"/>
      <c r="E180" s="60"/>
      <c r="F180" s="42"/>
      <c r="G180" s="42">
        <f>G181</f>
        <v>71250000</v>
      </c>
      <c r="H180" s="154" t="b">
        <f t="shared" si="3"/>
        <v>1</v>
      </c>
      <c r="I180" s="154"/>
      <c r="J180" s="154"/>
    </row>
    <row r="181" spans="1:10" ht="14.25" x14ac:dyDescent="0.2">
      <c r="A181" s="7" t="s">
        <v>1444</v>
      </c>
      <c r="B181" s="124"/>
      <c r="C181" s="123" t="s">
        <v>3645</v>
      </c>
      <c r="D181" s="124">
        <v>15</v>
      </c>
      <c r="E181" s="124" t="s">
        <v>10</v>
      </c>
      <c r="F181" s="125">
        <v>4750000</v>
      </c>
      <c r="G181" s="125">
        <f>ROUNDDOWN(D181*F181,-3)</f>
        <v>71250000</v>
      </c>
      <c r="H181" s="154" t="b">
        <f t="shared" si="3"/>
        <v>1</v>
      </c>
      <c r="I181" s="154"/>
      <c r="J181" s="154"/>
    </row>
    <row r="182" spans="1:10" ht="14.25" x14ac:dyDescent="0.2">
      <c r="A182" s="7" t="s">
        <v>1446</v>
      </c>
      <c r="B182" s="60">
        <v>524113</v>
      </c>
      <c r="C182" s="41" t="s">
        <v>13</v>
      </c>
      <c r="D182" s="60"/>
      <c r="E182" s="60"/>
      <c r="F182" s="42"/>
      <c r="G182" s="42">
        <f>G183</f>
        <v>1800000</v>
      </c>
      <c r="H182" s="154" t="b">
        <f t="shared" si="3"/>
        <v>1</v>
      </c>
      <c r="I182" s="154"/>
      <c r="J182" s="154"/>
    </row>
    <row r="183" spans="1:10" ht="14.25" x14ac:dyDescent="0.2">
      <c r="A183" s="7" t="s">
        <v>1447</v>
      </c>
      <c r="B183" s="124"/>
      <c r="C183" s="123" t="s">
        <v>3643</v>
      </c>
      <c r="D183" s="124">
        <v>12</v>
      </c>
      <c r="E183" s="124" t="s">
        <v>10</v>
      </c>
      <c r="F183" s="125">
        <v>150000</v>
      </c>
      <c r="G183" s="125">
        <f>ROUNDDOWN(D183*F183,-3)</f>
        <v>1800000</v>
      </c>
      <c r="H183" s="154" t="b">
        <f t="shared" si="3"/>
        <v>1</v>
      </c>
      <c r="I183" s="154"/>
      <c r="J183" s="154"/>
    </row>
    <row r="184" spans="1:10" ht="14.25" x14ac:dyDescent="0.2">
      <c r="A184" s="7" t="s">
        <v>1448</v>
      </c>
      <c r="B184" s="59" t="s">
        <v>519</v>
      </c>
      <c r="C184" s="38" t="s">
        <v>152</v>
      </c>
      <c r="D184" s="59"/>
      <c r="E184" s="59"/>
      <c r="F184" s="39"/>
      <c r="G184" s="39">
        <f>SUM(G185,G190,G194,G196,G198)</f>
        <v>388472000</v>
      </c>
      <c r="H184" s="154" t="b">
        <f t="shared" si="3"/>
        <v>1</v>
      </c>
      <c r="I184" s="154"/>
      <c r="J184" s="154"/>
    </row>
    <row r="185" spans="1:10" ht="14.25" x14ac:dyDescent="0.2">
      <c r="A185" s="7" t="s">
        <v>1449</v>
      </c>
      <c r="B185" s="60">
        <v>521211</v>
      </c>
      <c r="C185" s="41" t="s">
        <v>7</v>
      </c>
      <c r="D185" s="60"/>
      <c r="E185" s="60"/>
      <c r="F185" s="42"/>
      <c r="G185" s="42">
        <f>SUM(G186:G189)</f>
        <v>46000000</v>
      </c>
      <c r="H185" s="154" t="b">
        <f t="shared" si="3"/>
        <v>1</v>
      </c>
      <c r="I185" s="154"/>
      <c r="J185" s="154"/>
    </row>
    <row r="186" spans="1:10" ht="14.25" x14ac:dyDescent="0.2">
      <c r="A186" s="7" t="s">
        <v>1450</v>
      </c>
      <c r="B186" s="124"/>
      <c r="C186" s="123" t="s">
        <v>3587</v>
      </c>
      <c r="D186" s="124">
        <v>4</v>
      </c>
      <c r="E186" s="124" t="s">
        <v>9</v>
      </c>
      <c r="F186" s="125">
        <v>1500000</v>
      </c>
      <c r="G186" s="125">
        <f>ROUNDDOWN(D186*F186,-3)</f>
        <v>6000000</v>
      </c>
      <c r="H186" s="154" t="b">
        <f t="shared" si="3"/>
        <v>1</v>
      </c>
      <c r="I186" s="154"/>
      <c r="J186" s="154"/>
    </row>
    <row r="187" spans="1:10" ht="14.25" x14ac:dyDescent="0.2">
      <c r="A187" s="7" t="s">
        <v>1451</v>
      </c>
      <c r="B187" s="124"/>
      <c r="C187" s="123" t="s">
        <v>3598</v>
      </c>
      <c r="D187" s="124">
        <v>4</v>
      </c>
      <c r="E187" s="124" t="s">
        <v>9</v>
      </c>
      <c r="F187" s="125">
        <v>1000000</v>
      </c>
      <c r="G187" s="125">
        <f>ROUNDDOWN(D187*F187,-3)</f>
        <v>4000000</v>
      </c>
      <c r="H187" s="154" t="b">
        <f t="shared" si="3"/>
        <v>1</v>
      </c>
      <c r="I187" s="154"/>
      <c r="J187" s="154"/>
    </row>
    <row r="188" spans="1:10" ht="14.25" x14ac:dyDescent="0.2">
      <c r="A188" s="7" t="s">
        <v>1452</v>
      </c>
      <c r="B188" s="124"/>
      <c r="C188" s="123" t="s">
        <v>3599</v>
      </c>
      <c r="D188" s="124">
        <v>4</v>
      </c>
      <c r="E188" s="124" t="s">
        <v>9</v>
      </c>
      <c r="F188" s="125">
        <v>1500000</v>
      </c>
      <c r="G188" s="125">
        <f>ROUNDDOWN(D188*F188,-3)</f>
        <v>6000000</v>
      </c>
      <c r="H188" s="154" t="b">
        <f t="shared" si="3"/>
        <v>1</v>
      </c>
      <c r="I188" s="154"/>
      <c r="J188" s="154"/>
    </row>
    <row r="189" spans="1:10" ht="14.25" x14ac:dyDescent="0.2">
      <c r="A189" s="7" t="s">
        <v>1453</v>
      </c>
      <c r="B189" s="124"/>
      <c r="C189" s="123" t="s">
        <v>3646</v>
      </c>
      <c r="D189" s="124">
        <v>60</v>
      </c>
      <c r="E189" s="124" t="s">
        <v>176</v>
      </c>
      <c r="F189" s="125">
        <v>500000</v>
      </c>
      <c r="G189" s="125">
        <f>ROUNDDOWN(D189*F189,-3)</f>
        <v>30000000</v>
      </c>
      <c r="H189" s="154" t="b">
        <f t="shared" si="3"/>
        <v>1</v>
      </c>
      <c r="I189" s="154"/>
      <c r="J189" s="154"/>
    </row>
    <row r="190" spans="1:10" ht="14.25" x14ac:dyDescent="0.2">
      <c r="A190" s="7" t="s">
        <v>1455</v>
      </c>
      <c r="B190" s="60">
        <v>521241</v>
      </c>
      <c r="C190" s="41" t="s">
        <v>642</v>
      </c>
      <c r="D190" s="60"/>
      <c r="E190" s="60"/>
      <c r="F190" s="42"/>
      <c r="G190" s="42">
        <f>SUM(G191:G193)</f>
        <v>249600000</v>
      </c>
      <c r="H190" s="154" t="b">
        <f t="shared" si="3"/>
        <v>1</v>
      </c>
      <c r="I190" s="154"/>
      <c r="J190" s="154"/>
    </row>
    <row r="191" spans="1:10" ht="14.25" x14ac:dyDescent="0.2">
      <c r="A191" s="7" t="s">
        <v>1456</v>
      </c>
      <c r="B191" s="124"/>
      <c r="C191" s="123" t="s">
        <v>3647</v>
      </c>
      <c r="D191" s="124">
        <v>720</v>
      </c>
      <c r="E191" s="124" t="s">
        <v>32</v>
      </c>
      <c r="F191" s="125">
        <v>200000</v>
      </c>
      <c r="G191" s="125">
        <f>ROUNDDOWN(D191*F191,-3)</f>
        <v>144000000</v>
      </c>
      <c r="H191" s="154" t="b">
        <f t="shared" si="3"/>
        <v>1</v>
      </c>
      <c r="I191" s="154"/>
      <c r="J191" s="154"/>
    </row>
    <row r="192" spans="1:10" ht="14.25" x14ac:dyDescent="0.2">
      <c r="A192" s="7" t="s">
        <v>1458</v>
      </c>
      <c r="B192" s="124"/>
      <c r="C192" s="123" t="s">
        <v>3648</v>
      </c>
      <c r="D192" s="124">
        <v>360</v>
      </c>
      <c r="E192" s="124" t="s">
        <v>776</v>
      </c>
      <c r="F192" s="125">
        <v>280000</v>
      </c>
      <c r="G192" s="125">
        <f>ROUNDDOWN(D192*F192,-3)</f>
        <v>100800000</v>
      </c>
      <c r="H192" s="154" t="b">
        <f t="shared" si="3"/>
        <v>1</v>
      </c>
      <c r="I192" s="154"/>
      <c r="J192" s="154"/>
    </row>
    <row r="193" spans="1:10" ht="14.25" x14ac:dyDescent="0.2">
      <c r="A193" s="7" t="s">
        <v>1460</v>
      </c>
      <c r="B193" s="124"/>
      <c r="C193" s="123" t="s">
        <v>3649</v>
      </c>
      <c r="D193" s="124">
        <v>12</v>
      </c>
      <c r="E193" s="124" t="s">
        <v>32</v>
      </c>
      <c r="F193" s="125">
        <v>400000</v>
      </c>
      <c r="G193" s="125">
        <f>ROUNDDOWN(D193*F193,-3)</f>
        <v>4800000</v>
      </c>
      <c r="H193" s="154" t="b">
        <f t="shared" si="3"/>
        <v>1</v>
      </c>
      <c r="I193" s="154"/>
      <c r="J193" s="154"/>
    </row>
    <row r="194" spans="1:10" ht="14.25" x14ac:dyDescent="0.2">
      <c r="A194" s="7" t="s">
        <v>1462</v>
      </c>
      <c r="B194" s="60">
        <v>522192</v>
      </c>
      <c r="C194" s="41" t="s">
        <v>24</v>
      </c>
      <c r="D194" s="60"/>
      <c r="E194" s="60"/>
      <c r="F194" s="42"/>
      <c r="G194" s="42">
        <f>G195</f>
        <v>48000000</v>
      </c>
      <c r="H194" s="154" t="b">
        <f t="shared" si="3"/>
        <v>1</v>
      </c>
      <c r="I194" s="154"/>
      <c r="J194" s="154"/>
    </row>
    <row r="195" spans="1:10" ht="14.25" x14ac:dyDescent="0.2">
      <c r="A195" s="7" t="s">
        <v>1463</v>
      </c>
      <c r="B195" s="124"/>
      <c r="C195" s="123" t="s">
        <v>3636</v>
      </c>
      <c r="D195" s="124">
        <v>480</v>
      </c>
      <c r="E195" s="124" t="s">
        <v>25</v>
      </c>
      <c r="F195" s="125">
        <v>100000</v>
      </c>
      <c r="G195" s="125">
        <f>ROUNDDOWN(D195*F195,-3)</f>
        <v>48000000</v>
      </c>
      <c r="H195" s="154" t="b">
        <f t="shared" si="3"/>
        <v>1</v>
      </c>
      <c r="I195" s="154"/>
      <c r="J195" s="154"/>
    </row>
    <row r="196" spans="1:10" ht="14.25" x14ac:dyDescent="0.2">
      <c r="A196" s="7" t="s">
        <v>1464</v>
      </c>
      <c r="B196" s="60">
        <v>524111</v>
      </c>
      <c r="C196" s="41" t="s">
        <v>19</v>
      </c>
      <c r="D196" s="60"/>
      <c r="E196" s="60"/>
      <c r="F196" s="42"/>
      <c r="G196" s="42">
        <f>G197</f>
        <v>42772000</v>
      </c>
      <c r="H196" s="154" t="b">
        <f t="shared" si="3"/>
        <v>1</v>
      </c>
      <c r="I196" s="154"/>
      <c r="J196" s="154"/>
    </row>
    <row r="197" spans="1:10" ht="14.25" x14ac:dyDescent="0.2">
      <c r="A197" s="7" t="s">
        <v>1465</v>
      </c>
      <c r="B197" s="124"/>
      <c r="C197" s="123" t="s">
        <v>3650</v>
      </c>
      <c r="D197" s="124">
        <v>10</v>
      </c>
      <c r="E197" s="124" t="s">
        <v>10</v>
      </c>
      <c r="F197" s="125">
        <v>4277200</v>
      </c>
      <c r="G197" s="125">
        <f>ROUNDDOWN(D197*F197,-3)</f>
        <v>42772000</v>
      </c>
      <c r="H197" s="154" t="b">
        <f t="shared" si="3"/>
        <v>1</v>
      </c>
      <c r="I197" s="154"/>
      <c r="J197" s="154"/>
    </row>
    <row r="198" spans="1:10" ht="14.25" x14ac:dyDescent="0.2">
      <c r="A198" s="7" t="s">
        <v>1467</v>
      </c>
      <c r="B198" s="60">
        <v>524113</v>
      </c>
      <c r="C198" s="41" t="s">
        <v>13</v>
      </c>
      <c r="D198" s="60"/>
      <c r="E198" s="60"/>
      <c r="F198" s="42"/>
      <c r="G198" s="42">
        <f>G199</f>
        <v>2100000</v>
      </c>
      <c r="H198" s="154" t="b">
        <f t="shared" si="3"/>
        <v>1</v>
      </c>
      <c r="I198" s="154"/>
      <c r="J198" s="154"/>
    </row>
    <row r="199" spans="1:10" ht="14.25" x14ac:dyDescent="0.2">
      <c r="A199" s="7" t="s">
        <v>1468</v>
      </c>
      <c r="B199" s="124"/>
      <c r="C199" s="123" t="s">
        <v>3643</v>
      </c>
      <c r="D199" s="124">
        <v>14</v>
      </c>
      <c r="E199" s="124" t="s">
        <v>10</v>
      </c>
      <c r="F199" s="125">
        <v>150000</v>
      </c>
      <c r="G199" s="125">
        <f>ROUNDDOWN(D199*F199,-3)</f>
        <v>2100000</v>
      </c>
      <c r="H199" s="154" t="b">
        <f t="shared" si="3"/>
        <v>1</v>
      </c>
      <c r="I199" s="154"/>
      <c r="J199" s="154"/>
    </row>
    <row r="200" spans="1:10" ht="14.25" x14ac:dyDescent="0.2">
      <c r="A200" s="7" t="s">
        <v>1469</v>
      </c>
      <c r="B200" s="59" t="s">
        <v>578</v>
      </c>
      <c r="C200" s="38" t="s">
        <v>154</v>
      </c>
      <c r="D200" s="59"/>
      <c r="E200" s="59"/>
      <c r="F200" s="39"/>
      <c r="G200" s="39">
        <f>SUM(G201,G205,G210,G212,G214)</f>
        <v>450000000</v>
      </c>
      <c r="H200" s="154" t="b">
        <f t="shared" si="3"/>
        <v>1</v>
      </c>
      <c r="I200" s="154"/>
      <c r="J200" s="154"/>
    </row>
    <row r="201" spans="1:10" ht="14.25" x14ac:dyDescent="0.2">
      <c r="A201" s="7" t="s">
        <v>1470</v>
      </c>
      <c r="B201" s="60">
        <v>521211</v>
      </c>
      <c r="C201" s="41" t="s">
        <v>7</v>
      </c>
      <c r="D201" s="60"/>
      <c r="E201" s="60"/>
      <c r="F201" s="42"/>
      <c r="G201" s="42">
        <f>SUM(G202:G204)</f>
        <v>32000000</v>
      </c>
      <c r="H201" s="154" t="b">
        <f t="shared" si="3"/>
        <v>1</v>
      </c>
      <c r="I201" s="154"/>
      <c r="J201" s="154"/>
    </row>
    <row r="202" spans="1:10" ht="14.25" x14ac:dyDescent="0.2">
      <c r="A202" s="7" t="s">
        <v>1471</v>
      </c>
      <c r="B202" s="124"/>
      <c r="C202" s="123" t="s">
        <v>3587</v>
      </c>
      <c r="D202" s="124">
        <v>8</v>
      </c>
      <c r="E202" s="124" t="s">
        <v>9</v>
      </c>
      <c r="F202" s="125">
        <v>1500000</v>
      </c>
      <c r="G202" s="125">
        <f>ROUNDDOWN(D202*F202,-3)</f>
        <v>12000000</v>
      </c>
      <c r="H202" s="154" t="b">
        <f t="shared" si="3"/>
        <v>1</v>
      </c>
      <c r="I202" s="154"/>
      <c r="J202" s="154"/>
    </row>
    <row r="203" spans="1:10" ht="14.25" x14ac:dyDescent="0.2">
      <c r="A203" s="7" t="s">
        <v>1472</v>
      </c>
      <c r="B203" s="124"/>
      <c r="C203" s="123" t="s">
        <v>3598</v>
      </c>
      <c r="D203" s="124">
        <v>8</v>
      </c>
      <c r="E203" s="124" t="s">
        <v>9</v>
      </c>
      <c r="F203" s="125">
        <v>1000000</v>
      </c>
      <c r="G203" s="125">
        <f>ROUNDDOWN(D203*F203,-3)</f>
        <v>8000000</v>
      </c>
      <c r="H203" s="154" t="b">
        <f t="shared" si="3"/>
        <v>1</v>
      </c>
      <c r="I203" s="154"/>
      <c r="J203" s="154"/>
    </row>
    <row r="204" spans="1:10" ht="14.25" x14ac:dyDescent="0.2">
      <c r="A204" s="7" t="s">
        <v>1473</v>
      </c>
      <c r="B204" s="124"/>
      <c r="C204" s="123" t="s">
        <v>3599</v>
      </c>
      <c r="D204" s="124">
        <v>8</v>
      </c>
      <c r="E204" s="124" t="s">
        <v>9</v>
      </c>
      <c r="F204" s="125">
        <v>1500000</v>
      </c>
      <c r="G204" s="125">
        <f>ROUNDDOWN(D204*F204,-3)</f>
        <v>12000000</v>
      </c>
      <c r="H204" s="154" t="b">
        <f t="shared" si="3"/>
        <v>1</v>
      </c>
      <c r="I204" s="154"/>
      <c r="J204" s="154"/>
    </row>
    <row r="205" spans="1:10" ht="14.25" x14ac:dyDescent="0.2">
      <c r="A205" s="7" t="s">
        <v>1474</v>
      </c>
      <c r="B205" s="60">
        <v>521219</v>
      </c>
      <c r="C205" s="41" t="s">
        <v>53</v>
      </c>
      <c r="D205" s="60"/>
      <c r="E205" s="60"/>
      <c r="F205" s="42"/>
      <c r="G205" s="42">
        <f>SUM(G206:G209)</f>
        <v>298141000</v>
      </c>
      <c r="H205" s="154" t="b">
        <f t="shared" si="3"/>
        <v>1</v>
      </c>
      <c r="I205" s="154"/>
      <c r="J205" s="154"/>
    </row>
    <row r="206" spans="1:10" ht="14.25" x14ac:dyDescent="0.2">
      <c r="A206" s="7" t="s">
        <v>1475</v>
      </c>
      <c r="B206" s="124"/>
      <c r="C206" s="123" t="s">
        <v>3651</v>
      </c>
      <c r="D206" s="124">
        <v>40</v>
      </c>
      <c r="E206" s="124" t="s">
        <v>10</v>
      </c>
      <c r="F206" s="125">
        <v>1000000</v>
      </c>
      <c r="G206" s="125">
        <f>ROUNDDOWN(D206*F206,-3)</f>
        <v>40000000</v>
      </c>
      <c r="H206" s="154" t="b">
        <f t="shared" ref="H206:H269" si="4">_xlfn.ISFORMULA(G206)</f>
        <v>1</v>
      </c>
      <c r="I206" s="154"/>
      <c r="J206" s="154"/>
    </row>
    <row r="207" spans="1:10" ht="14.25" x14ac:dyDescent="0.2">
      <c r="A207" s="7" t="s">
        <v>1477</v>
      </c>
      <c r="B207" s="124"/>
      <c r="C207" s="123" t="s">
        <v>3652</v>
      </c>
      <c r="D207" s="124">
        <v>30</v>
      </c>
      <c r="E207" s="124" t="s">
        <v>776</v>
      </c>
      <c r="F207" s="125">
        <v>8000000</v>
      </c>
      <c r="G207" s="125">
        <f>ROUNDDOWN(D207*F207,-3)</f>
        <v>240000000</v>
      </c>
      <c r="H207" s="154" t="b">
        <f t="shared" si="4"/>
        <v>1</v>
      </c>
      <c r="I207" s="154"/>
      <c r="J207" s="154"/>
    </row>
    <row r="208" spans="1:10" ht="14.25" x14ac:dyDescent="0.2">
      <c r="A208" s="7" t="s">
        <v>1479</v>
      </c>
      <c r="B208" s="124"/>
      <c r="C208" s="123" t="s">
        <v>3653</v>
      </c>
      <c r="D208" s="124">
        <v>400</v>
      </c>
      <c r="E208" s="124" t="s">
        <v>10</v>
      </c>
      <c r="F208" s="125">
        <v>15000</v>
      </c>
      <c r="G208" s="125">
        <f>ROUNDDOWN(D208*F208,-3)</f>
        <v>6000000</v>
      </c>
      <c r="H208" s="154" t="b">
        <f t="shared" si="4"/>
        <v>1</v>
      </c>
      <c r="I208" s="154"/>
      <c r="J208" s="154"/>
    </row>
    <row r="209" spans="1:10" ht="14.25" x14ac:dyDescent="0.2">
      <c r="A209" s="7" t="s">
        <v>1481</v>
      </c>
      <c r="B209" s="124"/>
      <c r="C209" s="123" t="s">
        <v>3654</v>
      </c>
      <c r="D209" s="124">
        <v>1</v>
      </c>
      <c r="E209" s="124" t="s">
        <v>60</v>
      </c>
      <c r="F209" s="125">
        <v>12141000</v>
      </c>
      <c r="G209" s="125">
        <f>ROUNDDOWN(D209*F209,-3)</f>
        <v>12141000</v>
      </c>
      <c r="H209" s="154" t="b">
        <f t="shared" si="4"/>
        <v>1</v>
      </c>
      <c r="I209" s="154"/>
      <c r="J209" s="154"/>
    </row>
    <row r="210" spans="1:10" ht="14.25" x14ac:dyDescent="0.2">
      <c r="A210" s="7" t="s">
        <v>1483</v>
      </c>
      <c r="B210" s="60">
        <v>522151</v>
      </c>
      <c r="C210" s="41" t="s">
        <v>11</v>
      </c>
      <c r="D210" s="60"/>
      <c r="E210" s="60"/>
      <c r="F210" s="42"/>
      <c r="G210" s="42">
        <f>G211</f>
        <v>30000000</v>
      </c>
      <c r="H210" s="154" t="b">
        <f t="shared" si="4"/>
        <v>1</v>
      </c>
      <c r="I210" s="154"/>
      <c r="J210" s="154"/>
    </row>
    <row r="211" spans="1:10" ht="14.25" x14ac:dyDescent="0.2">
      <c r="A211" s="7" t="s">
        <v>1484</v>
      </c>
      <c r="B211" s="124"/>
      <c r="C211" s="123" t="s">
        <v>3603</v>
      </c>
      <c r="D211" s="124">
        <v>30</v>
      </c>
      <c r="E211" s="124" t="s">
        <v>54</v>
      </c>
      <c r="F211" s="125">
        <v>1000000</v>
      </c>
      <c r="G211" s="125">
        <f>ROUNDDOWN(D211*F211,-3)</f>
        <v>30000000</v>
      </c>
      <c r="H211" s="154" t="b">
        <f t="shared" si="4"/>
        <v>1</v>
      </c>
      <c r="I211" s="154"/>
      <c r="J211" s="154"/>
    </row>
    <row r="212" spans="1:10" ht="14.25" x14ac:dyDescent="0.2">
      <c r="A212" s="7" t="s">
        <v>1485</v>
      </c>
      <c r="B212" s="60">
        <v>522192</v>
      </c>
      <c r="C212" s="41" t="s">
        <v>24</v>
      </c>
      <c r="D212" s="60"/>
      <c r="E212" s="60"/>
      <c r="F212" s="42"/>
      <c r="G212" s="42">
        <f>G213</f>
        <v>8000000</v>
      </c>
      <c r="H212" s="154" t="b">
        <f t="shared" si="4"/>
        <v>1</v>
      </c>
      <c r="I212" s="154"/>
      <c r="J212" s="154"/>
    </row>
    <row r="213" spans="1:10" ht="14.25" x14ac:dyDescent="0.2">
      <c r="A213" s="7" t="s">
        <v>1486</v>
      </c>
      <c r="B213" s="124"/>
      <c r="C213" s="123" t="s">
        <v>3623</v>
      </c>
      <c r="D213" s="124">
        <v>1</v>
      </c>
      <c r="E213" s="124" t="s">
        <v>60</v>
      </c>
      <c r="F213" s="125">
        <v>8000000</v>
      </c>
      <c r="G213" s="125">
        <f>ROUNDDOWN(D213*F213,-3)</f>
        <v>8000000</v>
      </c>
      <c r="H213" s="154" t="b">
        <f t="shared" si="4"/>
        <v>1</v>
      </c>
      <c r="I213" s="154"/>
      <c r="J213" s="154"/>
    </row>
    <row r="214" spans="1:10" ht="14.25" x14ac:dyDescent="0.2">
      <c r="A214" s="7" t="s">
        <v>1487</v>
      </c>
      <c r="B214" s="60">
        <v>524111</v>
      </c>
      <c r="C214" s="41" t="s">
        <v>19</v>
      </c>
      <c r="D214" s="60"/>
      <c r="E214" s="60"/>
      <c r="F214" s="42"/>
      <c r="G214" s="42">
        <f>G215</f>
        <v>81859000</v>
      </c>
      <c r="H214" s="154" t="b">
        <f t="shared" si="4"/>
        <v>1</v>
      </c>
      <c r="I214" s="154"/>
      <c r="J214" s="154"/>
    </row>
    <row r="215" spans="1:10" ht="14.25" x14ac:dyDescent="0.2">
      <c r="A215" s="7" t="s">
        <v>1488</v>
      </c>
      <c r="B215" s="124"/>
      <c r="C215" s="123" t="s">
        <v>3655</v>
      </c>
      <c r="D215" s="124">
        <v>32</v>
      </c>
      <c r="E215" s="124" t="s">
        <v>10</v>
      </c>
      <c r="F215" s="125">
        <v>2558095</v>
      </c>
      <c r="G215" s="125">
        <f>ROUNDDOWN(D215*F215,-3)</f>
        <v>81859000</v>
      </c>
      <c r="H215" s="154" t="b">
        <f t="shared" si="4"/>
        <v>1</v>
      </c>
      <c r="I215" s="154"/>
      <c r="J215" s="154"/>
    </row>
    <row r="216" spans="1:10" ht="14.25" x14ac:dyDescent="0.2">
      <c r="A216" s="7" t="s">
        <v>1490</v>
      </c>
      <c r="B216" s="59" t="s">
        <v>579</v>
      </c>
      <c r="C216" s="38" t="s">
        <v>56</v>
      </c>
      <c r="D216" s="59"/>
      <c r="E216" s="59"/>
      <c r="F216" s="39"/>
      <c r="G216" s="39">
        <f>SUM(G217,G222,G224,G226)</f>
        <v>350000000</v>
      </c>
      <c r="H216" s="154" t="b">
        <f t="shared" si="4"/>
        <v>1</v>
      </c>
      <c r="I216" s="154"/>
      <c r="J216" s="154"/>
    </row>
    <row r="217" spans="1:10" ht="14.25" x14ac:dyDescent="0.2">
      <c r="A217" s="7" t="s">
        <v>1491</v>
      </c>
      <c r="B217" s="60">
        <v>521211</v>
      </c>
      <c r="C217" s="41" t="s">
        <v>7</v>
      </c>
      <c r="D217" s="60"/>
      <c r="E217" s="60"/>
      <c r="F217" s="42"/>
      <c r="G217" s="42">
        <f>SUM(G218:G221)</f>
        <v>31000000</v>
      </c>
      <c r="H217" s="154" t="b">
        <f t="shared" si="4"/>
        <v>1</v>
      </c>
      <c r="I217" s="154"/>
      <c r="J217" s="154"/>
    </row>
    <row r="218" spans="1:10" ht="14.25" x14ac:dyDescent="0.2">
      <c r="A218" s="7" t="s">
        <v>1492</v>
      </c>
      <c r="B218" s="124"/>
      <c r="C218" s="123" t="s">
        <v>3601</v>
      </c>
      <c r="D218" s="124">
        <v>300</v>
      </c>
      <c r="E218" s="124" t="s">
        <v>10</v>
      </c>
      <c r="F218" s="125">
        <v>75000</v>
      </c>
      <c r="G218" s="125">
        <f>ROUNDDOWN(D218*F218,-3)</f>
        <v>22500000</v>
      </c>
      <c r="H218" s="154" t="b">
        <f t="shared" si="4"/>
        <v>1</v>
      </c>
      <c r="I218" s="154"/>
      <c r="J218" s="154"/>
    </row>
    <row r="219" spans="1:10" ht="14.25" x14ac:dyDescent="0.2">
      <c r="A219" s="7" t="s">
        <v>1493</v>
      </c>
      <c r="B219" s="124"/>
      <c r="C219" s="123" t="s">
        <v>3602</v>
      </c>
      <c r="D219" s="124">
        <v>1</v>
      </c>
      <c r="E219" s="124" t="s">
        <v>9</v>
      </c>
      <c r="F219" s="125">
        <v>1000000</v>
      </c>
      <c r="G219" s="125">
        <f>ROUNDDOWN(D219*F219,-3)</f>
        <v>1000000</v>
      </c>
      <c r="H219" s="154" t="b">
        <f t="shared" si="4"/>
        <v>1</v>
      </c>
      <c r="I219" s="154"/>
      <c r="J219" s="154"/>
    </row>
    <row r="220" spans="1:10" ht="14.25" x14ac:dyDescent="0.2">
      <c r="A220" s="7" t="s">
        <v>1494</v>
      </c>
      <c r="B220" s="124"/>
      <c r="C220" s="123" t="s">
        <v>3588</v>
      </c>
      <c r="D220" s="124">
        <v>3</v>
      </c>
      <c r="E220" s="124" t="s">
        <v>9</v>
      </c>
      <c r="F220" s="125">
        <v>1000000</v>
      </c>
      <c r="G220" s="125">
        <f>ROUNDDOWN(D220*F220,-3)</f>
        <v>3000000</v>
      </c>
      <c r="H220" s="154" t="b">
        <f t="shared" si="4"/>
        <v>1</v>
      </c>
      <c r="I220" s="154"/>
      <c r="J220" s="154"/>
    </row>
    <row r="221" spans="1:10" ht="14.25" x14ac:dyDescent="0.2">
      <c r="A221" s="7" t="s">
        <v>1495</v>
      </c>
      <c r="B221" s="124"/>
      <c r="C221" s="123" t="s">
        <v>3589</v>
      </c>
      <c r="D221" s="124">
        <v>3</v>
      </c>
      <c r="E221" s="124" t="s">
        <v>9</v>
      </c>
      <c r="F221" s="125">
        <v>1500000</v>
      </c>
      <c r="G221" s="125">
        <f>ROUNDDOWN(D221*F221,-3)</f>
        <v>4500000</v>
      </c>
      <c r="H221" s="154" t="b">
        <f t="shared" si="4"/>
        <v>1</v>
      </c>
      <c r="I221" s="154"/>
      <c r="J221" s="154"/>
    </row>
    <row r="222" spans="1:10" ht="14.25" x14ac:dyDescent="0.2">
      <c r="A222" s="7" t="s">
        <v>1496</v>
      </c>
      <c r="B222" s="60">
        <v>521219</v>
      </c>
      <c r="C222" s="41" t="s">
        <v>53</v>
      </c>
      <c r="D222" s="60"/>
      <c r="E222" s="60"/>
      <c r="F222" s="42"/>
      <c r="G222" s="42">
        <f>G223</f>
        <v>3000000</v>
      </c>
      <c r="H222" s="154" t="b">
        <f t="shared" si="4"/>
        <v>1</v>
      </c>
      <c r="I222" s="154"/>
      <c r="J222" s="154"/>
    </row>
    <row r="223" spans="1:10" ht="14.25" x14ac:dyDescent="0.2">
      <c r="A223" s="7" t="s">
        <v>1497</v>
      </c>
      <c r="B223" s="124"/>
      <c r="C223" s="123" t="s">
        <v>3610</v>
      </c>
      <c r="D223" s="124">
        <v>12</v>
      </c>
      <c r="E223" s="124" t="s">
        <v>78</v>
      </c>
      <c r="F223" s="125">
        <v>250000</v>
      </c>
      <c r="G223" s="125">
        <f>ROUNDDOWN(D223*F223,-3)</f>
        <v>3000000</v>
      </c>
      <c r="H223" s="154" t="b">
        <f t="shared" si="4"/>
        <v>1</v>
      </c>
      <c r="I223" s="154"/>
      <c r="J223" s="154"/>
    </row>
    <row r="224" spans="1:10" ht="14.25" x14ac:dyDescent="0.2">
      <c r="A224" s="7" t="s">
        <v>1498</v>
      </c>
      <c r="B224" s="60">
        <v>522151</v>
      </c>
      <c r="C224" s="41" t="s">
        <v>11</v>
      </c>
      <c r="D224" s="60"/>
      <c r="E224" s="60"/>
      <c r="F224" s="42"/>
      <c r="G224" s="42">
        <f>G225</f>
        <v>70000000</v>
      </c>
      <c r="H224" s="154" t="b">
        <f t="shared" si="4"/>
        <v>1</v>
      </c>
      <c r="I224" s="154"/>
      <c r="J224" s="154"/>
    </row>
    <row r="225" spans="1:10" ht="14.25" x14ac:dyDescent="0.2">
      <c r="A225" s="7" t="s">
        <v>1499</v>
      </c>
      <c r="B225" s="124"/>
      <c r="C225" s="123" t="s">
        <v>3656</v>
      </c>
      <c r="D225" s="124">
        <v>70</v>
      </c>
      <c r="E225" s="124" t="s">
        <v>12</v>
      </c>
      <c r="F225" s="125">
        <v>1000000</v>
      </c>
      <c r="G225" s="125">
        <f>ROUNDDOWN(D225*F225,-3)</f>
        <v>70000000</v>
      </c>
      <c r="H225" s="154" t="b">
        <f t="shared" si="4"/>
        <v>1</v>
      </c>
      <c r="I225" s="154"/>
      <c r="J225" s="154"/>
    </row>
    <row r="226" spans="1:10" ht="14.25" x14ac:dyDescent="0.2">
      <c r="A226" s="7" t="s">
        <v>1501</v>
      </c>
      <c r="B226" s="60">
        <v>524111</v>
      </c>
      <c r="C226" s="41" t="s">
        <v>19</v>
      </c>
      <c r="D226" s="60"/>
      <c r="E226" s="60"/>
      <c r="F226" s="42"/>
      <c r="G226" s="42">
        <f>G227</f>
        <v>246000000</v>
      </c>
      <c r="H226" s="154" t="b">
        <f t="shared" si="4"/>
        <v>1</v>
      </c>
      <c r="I226" s="154"/>
      <c r="J226" s="154"/>
    </row>
    <row r="227" spans="1:10" ht="14.25" x14ac:dyDescent="0.2">
      <c r="A227" s="7" t="s">
        <v>1502</v>
      </c>
      <c r="B227" s="124"/>
      <c r="C227" s="123" t="s">
        <v>3657</v>
      </c>
      <c r="D227" s="124">
        <v>39</v>
      </c>
      <c r="E227" s="124" t="s">
        <v>10</v>
      </c>
      <c r="F227" s="125">
        <v>6307694</v>
      </c>
      <c r="G227" s="125">
        <f>ROUNDDOWN(D227*F227,-3)</f>
        <v>246000000</v>
      </c>
      <c r="H227" s="154" t="b">
        <f t="shared" si="4"/>
        <v>1</v>
      </c>
      <c r="I227" s="154"/>
      <c r="J227" s="154"/>
    </row>
    <row r="228" spans="1:10" ht="14.25" x14ac:dyDescent="0.2">
      <c r="A228" s="7" t="s">
        <v>1504</v>
      </c>
      <c r="B228" s="59" t="s">
        <v>580</v>
      </c>
      <c r="C228" s="38" t="s">
        <v>1505</v>
      </c>
      <c r="D228" s="59"/>
      <c r="E228" s="59"/>
      <c r="F228" s="39"/>
      <c r="G228" s="39">
        <f>SUM(G229,G239,G242,G246)</f>
        <v>668000000</v>
      </c>
      <c r="H228" s="154" t="b">
        <f t="shared" si="4"/>
        <v>1</v>
      </c>
      <c r="I228" s="154"/>
      <c r="J228" s="154"/>
    </row>
    <row r="229" spans="1:10" ht="14.25" x14ac:dyDescent="0.2">
      <c r="A229" s="7" t="s">
        <v>1506</v>
      </c>
      <c r="B229" s="60">
        <v>521211</v>
      </c>
      <c r="C229" s="41" t="s">
        <v>7</v>
      </c>
      <c r="D229" s="60"/>
      <c r="E229" s="60"/>
      <c r="F229" s="42"/>
      <c r="G229" s="42">
        <f>SUM(G230:G238)</f>
        <v>84800000</v>
      </c>
      <c r="H229" s="154" t="b">
        <f t="shared" si="4"/>
        <v>1</v>
      </c>
      <c r="I229" s="154"/>
      <c r="J229" s="154"/>
    </row>
    <row r="230" spans="1:10" ht="14.25" x14ac:dyDescent="0.2">
      <c r="A230" s="7" t="s">
        <v>1507</v>
      </c>
      <c r="B230" s="124"/>
      <c r="C230" s="123" t="s">
        <v>3601</v>
      </c>
      <c r="D230" s="124">
        <v>50</v>
      </c>
      <c r="E230" s="124" t="s">
        <v>10</v>
      </c>
      <c r="F230" s="125">
        <v>75000</v>
      </c>
      <c r="G230" s="125">
        <f t="shared" ref="G230:G238" si="5">ROUNDDOWN(D230*F230,-3)</f>
        <v>3750000</v>
      </c>
      <c r="H230" s="154" t="b">
        <f t="shared" si="4"/>
        <v>1</v>
      </c>
      <c r="I230" s="154"/>
      <c r="J230" s="154"/>
    </row>
    <row r="231" spans="1:10" ht="14.25" x14ac:dyDescent="0.2">
      <c r="A231" s="7" t="s">
        <v>1508</v>
      </c>
      <c r="B231" s="124"/>
      <c r="C231" s="123" t="s">
        <v>3602</v>
      </c>
      <c r="D231" s="124">
        <v>2</v>
      </c>
      <c r="E231" s="124" t="s">
        <v>9</v>
      </c>
      <c r="F231" s="125">
        <v>1000000</v>
      </c>
      <c r="G231" s="125">
        <f t="shared" si="5"/>
        <v>2000000</v>
      </c>
      <c r="H231" s="154" t="b">
        <f t="shared" si="4"/>
        <v>1</v>
      </c>
      <c r="I231" s="154"/>
      <c r="J231" s="154"/>
    </row>
    <row r="232" spans="1:10" ht="14.25" x14ac:dyDescent="0.2">
      <c r="A232" s="7" t="s">
        <v>1509</v>
      </c>
      <c r="B232" s="124"/>
      <c r="C232" s="123" t="s">
        <v>3588</v>
      </c>
      <c r="D232" s="124">
        <v>2</v>
      </c>
      <c r="E232" s="124" t="s">
        <v>9</v>
      </c>
      <c r="F232" s="125">
        <v>1000000</v>
      </c>
      <c r="G232" s="125">
        <f t="shared" si="5"/>
        <v>2000000</v>
      </c>
      <c r="H232" s="154" t="b">
        <f t="shared" si="4"/>
        <v>1</v>
      </c>
      <c r="I232" s="154"/>
      <c r="J232" s="154"/>
    </row>
    <row r="233" spans="1:10" ht="14.25" x14ac:dyDescent="0.2">
      <c r="A233" s="7" t="s">
        <v>1510</v>
      </c>
      <c r="B233" s="124"/>
      <c r="C233" s="123" t="s">
        <v>3589</v>
      </c>
      <c r="D233" s="124">
        <v>2</v>
      </c>
      <c r="E233" s="124" t="s">
        <v>9</v>
      </c>
      <c r="F233" s="125">
        <v>1500000</v>
      </c>
      <c r="G233" s="125">
        <f t="shared" si="5"/>
        <v>3000000</v>
      </c>
      <c r="H233" s="154" t="b">
        <f t="shared" si="4"/>
        <v>1</v>
      </c>
      <c r="I233" s="154"/>
      <c r="J233" s="154"/>
    </row>
    <row r="234" spans="1:10" ht="14.25" x14ac:dyDescent="0.2">
      <c r="A234" s="7" t="s">
        <v>1511</v>
      </c>
      <c r="B234" s="124"/>
      <c r="C234" s="123" t="s">
        <v>3658</v>
      </c>
      <c r="D234" s="124">
        <v>20</v>
      </c>
      <c r="E234" s="124" t="s">
        <v>58</v>
      </c>
      <c r="F234" s="125">
        <v>450000</v>
      </c>
      <c r="G234" s="125">
        <f t="shared" si="5"/>
        <v>9000000</v>
      </c>
      <c r="H234" s="154" t="b">
        <f t="shared" si="4"/>
        <v>1</v>
      </c>
      <c r="I234" s="154"/>
      <c r="J234" s="154"/>
    </row>
    <row r="235" spans="1:10" ht="14.25" x14ac:dyDescent="0.2">
      <c r="A235" s="7" t="s">
        <v>1513</v>
      </c>
      <c r="B235" s="124"/>
      <c r="C235" s="123" t="s">
        <v>3659</v>
      </c>
      <c r="D235" s="124">
        <v>20</v>
      </c>
      <c r="E235" s="124" t="s">
        <v>58</v>
      </c>
      <c r="F235" s="125">
        <v>450000</v>
      </c>
      <c r="G235" s="125">
        <f t="shared" si="5"/>
        <v>9000000</v>
      </c>
      <c r="H235" s="154" t="b">
        <f t="shared" si="4"/>
        <v>1</v>
      </c>
      <c r="I235" s="154"/>
      <c r="J235" s="154"/>
    </row>
    <row r="236" spans="1:10" ht="14.25" x14ac:dyDescent="0.2">
      <c r="A236" s="7" t="s">
        <v>1515</v>
      </c>
      <c r="B236" s="124"/>
      <c r="C236" s="123" t="s">
        <v>3660</v>
      </c>
      <c r="D236" s="124">
        <v>1</v>
      </c>
      <c r="E236" s="124" t="s">
        <v>23</v>
      </c>
      <c r="F236" s="125">
        <v>27575000</v>
      </c>
      <c r="G236" s="125">
        <f t="shared" si="5"/>
        <v>27575000</v>
      </c>
      <c r="H236" s="154" t="b">
        <f t="shared" si="4"/>
        <v>1</v>
      </c>
      <c r="I236" s="154"/>
      <c r="J236" s="154"/>
    </row>
    <row r="237" spans="1:10" ht="14.25" x14ac:dyDescent="0.2">
      <c r="A237" s="7" t="s">
        <v>1517</v>
      </c>
      <c r="B237" s="124"/>
      <c r="C237" s="123" t="s">
        <v>3661</v>
      </c>
      <c r="D237" s="124">
        <v>1</v>
      </c>
      <c r="E237" s="124" t="s">
        <v>23</v>
      </c>
      <c r="F237" s="125">
        <v>27575000</v>
      </c>
      <c r="G237" s="125">
        <f t="shared" si="5"/>
        <v>27575000</v>
      </c>
      <c r="H237" s="154" t="b">
        <f t="shared" si="4"/>
        <v>1</v>
      </c>
      <c r="I237" s="154"/>
      <c r="J237" s="154"/>
    </row>
    <row r="238" spans="1:10" ht="14.25" x14ac:dyDescent="0.2">
      <c r="A238" s="7" t="s">
        <v>1519</v>
      </c>
      <c r="B238" s="124"/>
      <c r="C238" s="123" t="s">
        <v>3662</v>
      </c>
      <c r="D238" s="124">
        <v>3</v>
      </c>
      <c r="E238" s="124" t="s">
        <v>58</v>
      </c>
      <c r="F238" s="125">
        <v>300000</v>
      </c>
      <c r="G238" s="125">
        <f t="shared" si="5"/>
        <v>900000</v>
      </c>
      <c r="H238" s="154" t="b">
        <f t="shared" si="4"/>
        <v>1</v>
      </c>
      <c r="I238" s="154"/>
      <c r="J238" s="154"/>
    </row>
    <row r="239" spans="1:10" ht="14.25" x14ac:dyDescent="0.2">
      <c r="A239" s="7" t="s">
        <v>1521</v>
      </c>
      <c r="B239" s="60">
        <v>521219</v>
      </c>
      <c r="C239" s="41" t="s">
        <v>53</v>
      </c>
      <c r="D239" s="60"/>
      <c r="E239" s="60"/>
      <c r="F239" s="42"/>
      <c r="G239" s="42">
        <f>SUM(G240:G241)</f>
        <v>393200000</v>
      </c>
      <c r="H239" s="154" t="b">
        <f t="shared" si="4"/>
        <v>1</v>
      </c>
      <c r="I239" s="154"/>
      <c r="J239" s="154"/>
    </row>
    <row r="240" spans="1:10" ht="14.25" x14ac:dyDescent="0.2">
      <c r="A240" s="7" t="s">
        <v>1522</v>
      </c>
      <c r="B240" s="124"/>
      <c r="C240" s="123" t="s">
        <v>3663</v>
      </c>
      <c r="D240" s="124">
        <v>1</v>
      </c>
      <c r="E240" s="124" t="s">
        <v>66</v>
      </c>
      <c r="F240" s="125">
        <v>196600000</v>
      </c>
      <c r="G240" s="125">
        <f>ROUNDDOWN(D240*F240,-3)</f>
        <v>196600000</v>
      </c>
      <c r="H240" s="154" t="b">
        <f t="shared" si="4"/>
        <v>1</v>
      </c>
      <c r="I240" s="154"/>
      <c r="J240" s="154"/>
    </row>
    <row r="241" spans="1:10" ht="14.25" x14ac:dyDescent="0.2">
      <c r="A241" s="7" t="s">
        <v>1524</v>
      </c>
      <c r="B241" s="124"/>
      <c r="C241" s="123" t="s">
        <v>3664</v>
      </c>
      <c r="D241" s="124">
        <v>1</v>
      </c>
      <c r="E241" s="124" t="s">
        <v>66</v>
      </c>
      <c r="F241" s="125">
        <v>196600000</v>
      </c>
      <c r="G241" s="125">
        <f>ROUNDDOWN(D241*F241,-3)</f>
        <v>196600000</v>
      </c>
      <c r="H241" s="154" t="b">
        <f t="shared" si="4"/>
        <v>1</v>
      </c>
      <c r="I241" s="154"/>
      <c r="J241" s="154"/>
    </row>
    <row r="242" spans="1:10" ht="14.25" x14ac:dyDescent="0.2">
      <c r="A242" s="7" t="s">
        <v>1526</v>
      </c>
      <c r="B242" s="60">
        <v>522141</v>
      </c>
      <c r="C242" s="41" t="s">
        <v>95</v>
      </c>
      <c r="D242" s="60"/>
      <c r="E242" s="60"/>
      <c r="F242" s="42"/>
      <c r="G242" s="42">
        <f>SUM(G243:G245)</f>
        <v>160000000</v>
      </c>
      <c r="H242" s="154" t="b">
        <f t="shared" si="4"/>
        <v>1</v>
      </c>
      <c r="I242" s="154"/>
      <c r="J242" s="154"/>
    </row>
    <row r="243" spans="1:10" ht="14.25" x14ac:dyDescent="0.2">
      <c r="A243" s="7" t="s">
        <v>1527</v>
      </c>
      <c r="B243" s="124"/>
      <c r="C243" s="123" t="s">
        <v>3665</v>
      </c>
      <c r="D243" s="124">
        <v>2</v>
      </c>
      <c r="E243" s="124" t="s">
        <v>23</v>
      </c>
      <c r="F243" s="125">
        <v>50000000</v>
      </c>
      <c r="G243" s="125">
        <f>ROUNDDOWN(D243*F243,-3)</f>
        <v>100000000</v>
      </c>
      <c r="H243" s="154" t="b">
        <f t="shared" si="4"/>
        <v>1</v>
      </c>
      <c r="I243" s="154"/>
      <c r="J243" s="154"/>
    </row>
    <row r="244" spans="1:10" ht="14.25" x14ac:dyDescent="0.2">
      <c r="A244" s="7" t="s">
        <v>1529</v>
      </c>
      <c r="B244" s="124"/>
      <c r="C244" s="123" t="s">
        <v>3666</v>
      </c>
      <c r="D244" s="124">
        <v>2</v>
      </c>
      <c r="E244" s="124" t="s">
        <v>23</v>
      </c>
      <c r="F244" s="125">
        <v>10000000</v>
      </c>
      <c r="G244" s="125">
        <f>ROUNDDOWN(D244*F244,-3)</f>
        <v>20000000</v>
      </c>
      <c r="H244" s="154" t="b">
        <f t="shared" si="4"/>
        <v>1</v>
      </c>
      <c r="I244" s="154"/>
      <c r="J244" s="154"/>
    </row>
    <row r="245" spans="1:10" ht="14.25" x14ac:dyDescent="0.2">
      <c r="A245" s="7" t="s">
        <v>1531</v>
      </c>
      <c r="B245" s="124"/>
      <c r="C245" s="123" t="s">
        <v>3667</v>
      </c>
      <c r="D245" s="124">
        <v>4</v>
      </c>
      <c r="E245" s="124" t="s">
        <v>23</v>
      </c>
      <c r="F245" s="125">
        <v>10000000</v>
      </c>
      <c r="G245" s="125">
        <f>ROUNDDOWN(D245*F245,-3)</f>
        <v>40000000</v>
      </c>
      <c r="H245" s="154" t="b">
        <f t="shared" si="4"/>
        <v>1</v>
      </c>
      <c r="I245" s="154"/>
      <c r="J245" s="154"/>
    </row>
    <row r="246" spans="1:10" ht="14.25" x14ac:dyDescent="0.2">
      <c r="A246" s="7" t="s">
        <v>1533</v>
      </c>
      <c r="B246" s="60">
        <v>524111</v>
      </c>
      <c r="C246" s="41" t="s">
        <v>19</v>
      </c>
      <c r="D246" s="60"/>
      <c r="E246" s="60"/>
      <c r="F246" s="42"/>
      <c r="G246" s="42">
        <f>G247</f>
        <v>30000000</v>
      </c>
      <c r="H246" s="154" t="b">
        <f t="shared" si="4"/>
        <v>1</v>
      </c>
      <c r="I246" s="154"/>
      <c r="J246" s="154"/>
    </row>
    <row r="247" spans="1:10" ht="14.25" x14ac:dyDescent="0.2">
      <c r="A247" s="7" t="s">
        <v>1534</v>
      </c>
      <c r="B247" s="124"/>
      <c r="C247" s="123" t="s">
        <v>3668</v>
      </c>
      <c r="D247" s="124">
        <v>12</v>
      </c>
      <c r="E247" s="124" t="s">
        <v>10</v>
      </c>
      <c r="F247" s="125">
        <v>2500000</v>
      </c>
      <c r="G247" s="125">
        <f>ROUNDDOWN(D247*F247,-3)</f>
        <v>30000000</v>
      </c>
      <c r="H247" s="154" t="b">
        <f t="shared" si="4"/>
        <v>1</v>
      </c>
      <c r="I247" s="154"/>
      <c r="J247" s="154"/>
    </row>
    <row r="248" spans="1:10" ht="14.25" x14ac:dyDescent="0.2">
      <c r="A248" s="7" t="s">
        <v>1536</v>
      </c>
      <c r="B248" s="59" t="s">
        <v>581</v>
      </c>
      <c r="C248" s="38" t="s">
        <v>1537</v>
      </c>
      <c r="D248" s="59"/>
      <c r="E248" s="59"/>
      <c r="F248" s="39"/>
      <c r="G248" s="39">
        <f>SUM(G249,G257,G259,G261)</f>
        <v>82000000</v>
      </c>
      <c r="H248" s="154" t="b">
        <f t="shared" si="4"/>
        <v>1</v>
      </c>
      <c r="I248" s="154"/>
      <c r="J248" s="154"/>
    </row>
    <row r="249" spans="1:10" ht="14.25" x14ac:dyDescent="0.2">
      <c r="A249" s="7" t="s">
        <v>1538</v>
      </c>
      <c r="B249" s="60">
        <v>521211</v>
      </c>
      <c r="C249" s="41" t="s">
        <v>7</v>
      </c>
      <c r="D249" s="60"/>
      <c r="E249" s="60"/>
      <c r="F249" s="42"/>
      <c r="G249" s="42">
        <f>SUM(G250:G256)</f>
        <v>17550000</v>
      </c>
      <c r="H249" s="154" t="b">
        <f t="shared" si="4"/>
        <v>1</v>
      </c>
      <c r="I249" s="154"/>
      <c r="J249" s="154"/>
    </row>
    <row r="250" spans="1:10" ht="14.25" x14ac:dyDescent="0.2">
      <c r="A250" s="7" t="s">
        <v>1539</v>
      </c>
      <c r="B250" s="124"/>
      <c r="C250" s="123" t="s">
        <v>3601</v>
      </c>
      <c r="D250" s="124">
        <v>20</v>
      </c>
      <c r="E250" s="124" t="s">
        <v>10</v>
      </c>
      <c r="F250" s="125">
        <v>75000</v>
      </c>
      <c r="G250" s="125">
        <f t="shared" ref="G250:G256" si="6">ROUNDDOWN(D250*F250,-3)</f>
        <v>1500000</v>
      </c>
      <c r="H250" s="154" t="b">
        <f t="shared" si="4"/>
        <v>1</v>
      </c>
      <c r="I250" s="154"/>
      <c r="J250" s="154"/>
    </row>
    <row r="251" spans="1:10" ht="14.25" x14ac:dyDescent="0.2">
      <c r="A251" s="7" t="s">
        <v>1540</v>
      </c>
      <c r="B251" s="124"/>
      <c r="C251" s="123" t="s">
        <v>3602</v>
      </c>
      <c r="D251" s="124">
        <v>2</v>
      </c>
      <c r="E251" s="124" t="s">
        <v>9</v>
      </c>
      <c r="F251" s="125">
        <v>1000000</v>
      </c>
      <c r="G251" s="125">
        <f t="shared" si="6"/>
        <v>2000000</v>
      </c>
      <c r="H251" s="154" t="b">
        <f t="shared" si="4"/>
        <v>1</v>
      </c>
      <c r="I251" s="154"/>
      <c r="J251" s="154"/>
    </row>
    <row r="252" spans="1:10" ht="14.25" x14ac:dyDescent="0.2">
      <c r="A252" s="7" t="s">
        <v>1541</v>
      </c>
      <c r="B252" s="124"/>
      <c r="C252" s="123" t="s">
        <v>3588</v>
      </c>
      <c r="D252" s="124">
        <v>2</v>
      </c>
      <c r="E252" s="124" t="s">
        <v>9</v>
      </c>
      <c r="F252" s="125">
        <v>1000000</v>
      </c>
      <c r="G252" s="125">
        <f t="shared" si="6"/>
        <v>2000000</v>
      </c>
      <c r="H252" s="154" t="b">
        <f t="shared" si="4"/>
        <v>1</v>
      </c>
      <c r="I252" s="154"/>
      <c r="J252" s="154"/>
    </row>
    <row r="253" spans="1:10" ht="14.25" x14ac:dyDescent="0.2">
      <c r="A253" s="7" t="s">
        <v>1542</v>
      </c>
      <c r="B253" s="124"/>
      <c r="C253" s="123" t="s">
        <v>3589</v>
      </c>
      <c r="D253" s="124">
        <v>2</v>
      </c>
      <c r="E253" s="124" t="s">
        <v>9</v>
      </c>
      <c r="F253" s="125">
        <v>1500000</v>
      </c>
      <c r="G253" s="125">
        <f t="shared" si="6"/>
        <v>3000000</v>
      </c>
      <c r="H253" s="154" t="b">
        <f t="shared" si="4"/>
        <v>1</v>
      </c>
      <c r="I253" s="154"/>
      <c r="J253" s="154"/>
    </row>
    <row r="254" spans="1:10" ht="14.25" x14ac:dyDescent="0.2">
      <c r="A254" s="7" t="s">
        <v>1543</v>
      </c>
      <c r="B254" s="124"/>
      <c r="C254" s="123" t="s">
        <v>3669</v>
      </c>
      <c r="D254" s="124">
        <v>10</v>
      </c>
      <c r="E254" s="124" t="s">
        <v>58</v>
      </c>
      <c r="F254" s="125">
        <v>250000</v>
      </c>
      <c r="G254" s="125">
        <f t="shared" si="6"/>
        <v>2500000</v>
      </c>
      <c r="H254" s="154" t="b">
        <f t="shared" si="4"/>
        <v>1</v>
      </c>
      <c r="I254" s="154"/>
      <c r="J254" s="154"/>
    </row>
    <row r="255" spans="1:10" ht="14.25" x14ac:dyDescent="0.2">
      <c r="A255" s="7" t="s">
        <v>1545</v>
      </c>
      <c r="B255" s="124"/>
      <c r="C255" s="123" t="s">
        <v>3670</v>
      </c>
      <c r="D255" s="124">
        <v>500</v>
      </c>
      <c r="E255" s="124" t="s">
        <v>58</v>
      </c>
      <c r="F255" s="125">
        <v>6000</v>
      </c>
      <c r="G255" s="125">
        <f t="shared" si="6"/>
        <v>3000000</v>
      </c>
      <c r="H255" s="154" t="b">
        <f t="shared" si="4"/>
        <v>1</v>
      </c>
      <c r="I255" s="154"/>
      <c r="J255" s="154"/>
    </row>
    <row r="256" spans="1:10" ht="14.25" x14ac:dyDescent="0.2">
      <c r="A256" s="7" t="s">
        <v>1547</v>
      </c>
      <c r="B256" s="124"/>
      <c r="C256" s="123" t="s">
        <v>3671</v>
      </c>
      <c r="D256" s="124">
        <v>100</v>
      </c>
      <c r="E256" s="124" t="s">
        <v>58</v>
      </c>
      <c r="F256" s="125">
        <v>35500</v>
      </c>
      <c r="G256" s="125">
        <f t="shared" si="6"/>
        <v>3550000</v>
      </c>
      <c r="H256" s="154" t="b">
        <f t="shared" si="4"/>
        <v>1</v>
      </c>
      <c r="I256" s="154"/>
      <c r="J256" s="154"/>
    </row>
    <row r="257" spans="1:10" ht="14.25" x14ac:dyDescent="0.2">
      <c r="A257" s="7" t="s">
        <v>1549</v>
      </c>
      <c r="B257" s="60">
        <v>521219</v>
      </c>
      <c r="C257" s="41" t="s">
        <v>53</v>
      </c>
      <c r="D257" s="60"/>
      <c r="E257" s="60"/>
      <c r="F257" s="42"/>
      <c r="G257" s="42">
        <f>G258</f>
        <v>3000000</v>
      </c>
      <c r="H257" s="154" t="b">
        <f t="shared" si="4"/>
        <v>1</v>
      </c>
      <c r="I257" s="154"/>
      <c r="J257" s="154"/>
    </row>
    <row r="258" spans="1:10" ht="14.25" x14ac:dyDescent="0.2">
      <c r="A258" s="7" t="s">
        <v>1550</v>
      </c>
      <c r="B258" s="124"/>
      <c r="C258" s="123" t="s">
        <v>3610</v>
      </c>
      <c r="D258" s="124">
        <v>12</v>
      </c>
      <c r="E258" s="124" t="s">
        <v>66</v>
      </c>
      <c r="F258" s="125">
        <v>250000</v>
      </c>
      <c r="G258" s="125">
        <f>ROUNDDOWN(D258*F258,-3)</f>
        <v>3000000</v>
      </c>
      <c r="H258" s="154" t="b">
        <f t="shared" si="4"/>
        <v>1</v>
      </c>
      <c r="I258" s="154"/>
      <c r="J258" s="154"/>
    </row>
    <row r="259" spans="1:10" ht="14.25" x14ac:dyDescent="0.2">
      <c r="A259" s="7" t="s">
        <v>1551</v>
      </c>
      <c r="B259" s="60">
        <v>522151</v>
      </c>
      <c r="C259" s="41" t="s">
        <v>11</v>
      </c>
      <c r="D259" s="60"/>
      <c r="E259" s="60"/>
      <c r="F259" s="42"/>
      <c r="G259" s="42">
        <f>G260</f>
        <v>40000000</v>
      </c>
      <c r="H259" s="154" t="b">
        <f t="shared" si="4"/>
        <v>1</v>
      </c>
      <c r="I259" s="154"/>
      <c r="J259" s="154"/>
    </row>
    <row r="260" spans="1:10" ht="14.25" x14ac:dyDescent="0.2">
      <c r="A260" s="7" t="s">
        <v>1552</v>
      </c>
      <c r="B260" s="124"/>
      <c r="C260" s="123" t="s">
        <v>3656</v>
      </c>
      <c r="D260" s="124">
        <v>40</v>
      </c>
      <c r="E260" s="124" t="s">
        <v>54</v>
      </c>
      <c r="F260" s="125">
        <v>1000000</v>
      </c>
      <c r="G260" s="125">
        <f>ROUNDDOWN(D260*F260,-3)</f>
        <v>40000000</v>
      </c>
      <c r="H260" s="154" t="b">
        <f t="shared" si="4"/>
        <v>1</v>
      </c>
      <c r="I260" s="154"/>
      <c r="J260" s="154"/>
    </row>
    <row r="261" spans="1:10" ht="14.25" x14ac:dyDescent="0.2">
      <c r="A261" s="7" t="s">
        <v>1553</v>
      </c>
      <c r="B261" s="60">
        <v>524111</v>
      </c>
      <c r="C261" s="41" t="s">
        <v>19</v>
      </c>
      <c r="D261" s="60"/>
      <c r="E261" s="60"/>
      <c r="F261" s="42"/>
      <c r="G261" s="42">
        <f>G262</f>
        <v>21450000</v>
      </c>
      <c r="H261" s="154" t="b">
        <f t="shared" si="4"/>
        <v>1</v>
      </c>
      <c r="I261" s="154"/>
      <c r="J261" s="154"/>
    </row>
    <row r="262" spans="1:10" ht="14.25" x14ac:dyDescent="0.2">
      <c r="A262" s="7" t="s">
        <v>1554</v>
      </c>
      <c r="B262" s="124"/>
      <c r="C262" s="123" t="s">
        <v>3672</v>
      </c>
      <c r="D262" s="124">
        <v>10</v>
      </c>
      <c r="E262" s="124" t="s">
        <v>10</v>
      </c>
      <c r="F262" s="125">
        <v>2145000</v>
      </c>
      <c r="G262" s="125">
        <f>ROUNDDOWN(D262*F262,-3)</f>
        <v>21450000</v>
      </c>
      <c r="H262" s="154" t="b">
        <f t="shared" si="4"/>
        <v>1</v>
      </c>
      <c r="I262" s="154"/>
      <c r="J262" s="154"/>
    </row>
    <row r="263" spans="1:10" ht="14.25" x14ac:dyDescent="0.2">
      <c r="A263" s="7" t="s">
        <v>1699</v>
      </c>
      <c r="B263" s="119" t="s">
        <v>3673</v>
      </c>
      <c r="C263" s="118" t="s">
        <v>1701</v>
      </c>
      <c r="D263" s="119">
        <v>1</v>
      </c>
      <c r="E263" s="119" t="s">
        <v>3627</v>
      </c>
      <c r="F263" s="120"/>
      <c r="G263" s="120">
        <f>SUM(G264,G307)</f>
        <v>8674654000</v>
      </c>
      <c r="H263" s="154" t="b">
        <f t="shared" si="4"/>
        <v>1</v>
      </c>
      <c r="I263" s="154"/>
      <c r="J263" s="154"/>
    </row>
    <row r="264" spans="1:10" ht="14.25" x14ac:dyDescent="0.2">
      <c r="A264" s="7" t="s">
        <v>1702</v>
      </c>
      <c r="B264" s="58" t="s">
        <v>501</v>
      </c>
      <c r="C264" s="35" t="s">
        <v>76</v>
      </c>
      <c r="D264" s="58"/>
      <c r="E264" s="58"/>
      <c r="F264" s="36"/>
      <c r="G264" s="36">
        <f>SUM(G265,G304)</f>
        <v>6478996000</v>
      </c>
      <c r="H264" s="154" t="b">
        <f t="shared" si="4"/>
        <v>1</v>
      </c>
      <c r="I264" s="154"/>
      <c r="J264" s="154"/>
    </row>
    <row r="265" spans="1:10" ht="14.25" x14ac:dyDescent="0.2">
      <c r="A265" s="7" t="s">
        <v>1806</v>
      </c>
      <c r="B265" s="59" t="s">
        <v>1807</v>
      </c>
      <c r="C265" s="38" t="s">
        <v>1808</v>
      </c>
      <c r="D265" s="59"/>
      <c r="E265" s="59"/>
      <c r="F265" s="39"/>
      <c r="G265" s="39">
        <f>SUM(G266,G270,G274,G278,G282,G286,G290,G294,G296,G298,G302)</f>
        <v>6155047000</v>
      </c>
      <c r="H265" s="154" t="b">
        <f t="shared" si="4"/>
        <v>1</v>
      </c>
      <c r="I265" s="154"/>
      <c r="J265" s="154"/>
    </row>
    <row r="266" spans="1:10" ht="14.25" x14ac:dyDescent="0.2">
      <c r="A266" s="7" t="s">
        <v>1809</v>
      </c>
      <c r="B266" s="60">
        <v>511111</v>
      </c>
      <c r="C266" s="41" t="s">
        <v>77</v>
      </c>
      <c r="D266" s="60"/>
      <c r="E266" s="60"/>
      <c r="F266" s="42"/>
      <c r="G266" s="42">
        <f>SUM(G267:G269)</f>
        <v>2483477000</v>
      </c>
      <c r="H266" s="154" t="b">
        <f t="shared" si="4"/>
        <v>1</v>
      </c>
      <c r="I266" s="154"/>
      <c r="J266" s="154"/>
    </row>
    <row r="267" spans="1:10" ht="14.25" x14ac:dyDescent="0.2">
      <c r="A267" s="7" t="s">
        <v>1810</v>
      </c>
      <c r="B267" s="124"/>
      <c r="C267" s="123" t="s">
        <v>3674</v>
      </c>
      <c r="D267" s="124">
        <v>1</v>
      </c>
      <c r="E267" s="124" t="s">
        <v>97</v>
      </c>
      <c r="F267" s="125">
        <v>180000000</v>
      </c>
      <c r="G267" s="125">
        <f>ROUNDDOWN(D267*F267,-3)</f>
        <v>180000000</v>
      </c>
      <c r="H267" s="154" t="b">
        <f t="shared" si="4"/>
        <v>1</v>
      </c>
      <c r="I267" s="154"/>
      <c r="J267" s="154"/>
    </row>
    <row r="268" spans="1:10" ht="14.25" x14ac:dyDescent="0.2">
      <c r="A268" s="7" t="s">
        <v>1811</v>
      </c>
      <c r="B268" s="124"/>
      <c r="C268" s="123" t="s">
        <v>3675</v>
      </c>
      <c r="D268" s="124">
        <v>1</v>
      </c>
      <c r="E268" s="124" t="s">
        <v>60</v>
      </c>
      <c r="F268" s="125">
        <v>2123477000</v>
      </c>
      <c r="G268" s="125">
        <f>ROUNDDOWN(D268*F268,-3)</f>
        <v>2123477000</v>
      </c>
      <c r="H268" s="154" t="b">
        <f t="shared" si="4"/>
        <v>1</v>
      </c>
      <c r="I268" s="154"/>
      <c r="J268" s="154"/>
    </row>
    <row r="269" spans="1:10" ht="14.25" x14ac:dyDescent="0.2">
      <c r="A269" s="7" t="s">
        <v>1812</v>
      </c>
      <c r="B269" s="124"/>
      <c r="C269" s="123" t="s">
        <v>3676</v>
      </c>
      <c r="D269" s="124">
        <v>1</v>
      </c>
      <c r="E269" s="124" t="s">
        <v>97</v>
      </c>
      <c r="F269" s="125">
        <v>180000000</v>
      </c>
      <c r="G269" s="125">
        <f>ROUNDDOWN(D269*F269,-3)</f>
        <v>180000000</v>
      </c>
      <c r="H269" s="154" t="b">
        <f t="shared" si="4"/>
        <v>1</v>
      </c>
      <c r="I269" s="154"/>
      <c r="J269" s="154"/>
    </row>
    <row r="270" spans="1:10" ht="14.25" x14ac:dyDescent="0.2">
      <c r="A270" s="7" t="s">
        <v>1813</v>
      </c>
      <c r="B270" s="60">
        <v>511119</v>
      </c>
      <c r="C270" s="41" t="s">
        <v>79</v>
      </c>
      <c r="D270" s="60"/>
      <c r="E270" s="60"/>
      <c r="F270" s="42"/>
      <c r="G270" s="42">
        <f>SUM(G271:G273)</f>
        <v>38000</v>
      </c>
      <c r="H270" s="154" t="b">
        <f t="shared" ref="H270:H333" si="7">_xlfn.ISFORMULA(G270)</f>
        <v>1</v>
      </c>
      <c r="I270" s="154"/>
      <c r="J270" s="154"/>
    </row>
    <row r="271" spans="1:10" ht="14.25" x14ac:dyDescent="0.2">
      <c r="A271" s="7" t="s">
        <v>1814</v>
      </c>
      <c r="B271" s="124"/>
      <c r="C271" s="123" t="s">
        <v>3677</v>
      </c>
      <c r="D271" s="124">
        <v>1</v>
      </c>
      <c r="E271" s="124" t="s">
        <v>97</v>
      </c>
      <c r="F271" s="125">
        <v>3000</v>
      </c>
      <c r="G271" s="125">
        <f>ROUNDDOWN(D271*F271,-3)</f>
        <v>3000</v>
      </c>
      <c r="H271" s="154" t="b">
        <f t="shared" si="7"/>
        <v>1</v>
      </c>
      <c r="I271" s="154"/>
      <c r="J271" s="154"/>
    </row>
    <row r="272" spans="1:10" ht="14.25" x14ac:dyDescent="0.2">
      <c r="A272" s="7" t="s">
        <v>1815</v>
      </c>
      <c r="B272" s="124"/>
      <c r="C272" s="123" t="s">
        <v>3678</v>
      </c>
      <c r="D272" s="124">
        <v>1</v>
      </c>
      <c r="E272" s="124" t="s">
        <v>153</v>
      </c>
      <c r="F272" s="125">
        <v>32000</v>
      </c>
      <c r="G272" s="125">
        <f>ROUNDDOWN(D272*F272,-3)</f>
        <v>32000</v>
      </c>
      <c r="H272" s="154" t="b">
        <f t="shared" si="7"/>
        <v>1</v>
      </c>
      <c r="I272" s="154"/>
      <c r="J272" s="154"/>
    </row>
    <row r="273" spans="1:10" ht="14.25" x14ac:dyDescent="0.2">
      <c r="A273" s="7" t="s">
        <v>1816</v>
      </c>
      <c r="B273" s="124"/>
      <c r="C273" s="123" t="s">
        <v>3679</v>
      </c>
      <c r="D273" s="124">
        <v>1</v>
      </c>
      <c r="E273" s="124" t="s">
        <v>97</v>
      </c>
      <c r="F273" s="125">
        <v>3000</v>
      </c>
      <c r="G273" s="125">
        <f>ROUNDDOWN(D273*F273,-3)</f>
        <v>3000</v>
      </c>
      <c r="H273" s="154" t="b">
        <f t="shared" si="7"/>
        <v>1</v>
      </c>
      <c r="I273" s="154"/>
      <c r="J273" s="154"/>
    </row>
    <row r="274" spans="1:10" ht="14.25" x14ac:dyDescent="0.2">
      <c r="A274" s="7" t="s">
        <v>1817</v>
      </c>
      <c r="B274" s="60">
        <v>511121</v>
      </c>
      <c r="C274" s="41" t="s">
        <v>80</v>
      </c>
      <c r="D274" s="60"/>
      <c r="E274" s="60"/>
      <c r="F274" s="42"/>
      <c r="G274" s="42">
        <f>SUM(G275:G277)</f>
        <v>171959000</v>
      </c>
      <c r="H274" s="154" t="b">
        <f t="shared" si="7"/>
        <v>1</v>
      </c>
      <c r="I274" s="154"/>
      <c r="J274" s="154"/>
    </row>
    <row r="275" spans="1:10" ht="14.25" x14ac:dyDescent="0.2">
      <c r="A275" s="7" t="s">
        <v>1818</v>
      </c>
      <c r="B275" s="124"/>
      <c r="C275" s="123" t="s">
        <v>3680</v>
      </c>
      <c r="D275" s="124">
        <v>1</v>
      </c>
      <c r="E275" s="124" t="s">
        <v>153</v>
      </c>
      <c r="F275" s="125">
        <v>147267000</v>
      </c>
      <c r="G275" s="125">
        <f>ROUNDDOWN(D275*F275,-3)</f>
        <v>147267000</v>
      </c>
      <c r="H275" s="154" t="b">
        <f t="shared" si="7"/>
        <v>1</v>
      </c>
      <c r="I275" s="154"/>
      <c r="J275" s="154"/>
    </row>
    <row r="276" spans="1:10" ht="14.25" x14ac:dyDescent="0.2">
      <c r="A276" s="7" t="s">
        <v>1819</v>
      </c>
      <c r="B276" s="124"/>
      <c r="C276" s="123" t="s">
        <v>3681</v>
      </c>
      <c r="D276" s="124">
        <v>1</v>
      </c>
      <c r="E276" s="124" t="s">
        <v>97</v>
      </c>
      <c r="F276" s="125">
        <v>12494000</v>
      </c>
      <c r="G276" s="125">
        <f>ROUNDDOWN(D276*F276,-3)</f>
        <v>12494000</v>
      </c>
      <c r="H276" s="154" t="b">
        <f t="shared" si="7"/>
        <v>1</v>
      </c>
      <c r="I276" s="154"/>
      <c r="J276" s="154"/>
    </row>
    <row r="277" spans="1:10" ht="14.25" x14ac:dyDescent="0.2">
      <c r="A277" s="7" t="s">
        <v>1820</v>
      </c>
      <c r="B277" s="124"/>
      <c r="C277" s="123" t="s">
        <v>3682</v>
      </c>
      <c r="D277" s="124">
        <v>1</v>
      </c>
      <c r="E277" s="124" t="s">
        <v>97</v>
      </c>
      <c r="F277" s="125">
        <v>12198000</v>
      </c>
      <c r="G277" s="125">
        <f>ROUNDDOWN(D277*F277,-3)</f>
        <v>12198000</v>
      </c>
      <c r="H277" s="154" t="b">
        <f t="shared" si="7"/>
        <v>1</v>
      </c>
      <c r="I277" s="154"/>
      <c r="J277" s="154"/>
    </row>
    <row r="278" spans="1:10" ht="14.25" x14ac:dyDescent="0.2">
      <c r="A278" s="7" t="s">
        <v>1821</v>
      </c>
      <c r="B278" s="60">
        <v>511122</v>
      </c>
      <c r="C278" s="41" t="s">
        <v>81</v>
      </c>
      <c r="D278" s="60"/>
      <c r="E278" s="60"/>
      <c r="F278" s="42"/>
      <c r="G278" s="42">
        <f>SUM(G279:G281)</f>
        <v>46700000</v>
      </c>
      <c r="H278" s="154" t="b">
        <f t="shared" si="7"/>
        <v>1</v>
      </c>
      <c r="I278" s="154"/>
      <c r="J278" s="154"/>
    </row>
    <row r="279" spans="1:10" ht="14.25" x14ac:dyDescent="0.2">
      <c r="A279" s="7" t="s">
        <v>1822</v>
      </c>
      <c r="B279" s="124"/>
      <c r="C279" s="123" t="s">
        <v>3683</v>
      </c>
      <c r="D279" s="124">
        <v>1</v>
      </c>
      <c r="E279" s="124" t="s">
        <v>97</v>
      </c>
      <c r="F279" s="125">
        <v>3282000</v>
      </c>
      <c r="G279" s="125">
        <f>ROUNDDOWN(D279*F279,-3)</f>
        <v>3282000</v>
      </c>
      <c r="H279" s="154" t="b">
        <f t="shared" si="7"/>
        <v>1</v>
      </c>
      <c r="I279" s="154"/>
      <c r="J279" s="154"/>
    </row>
    <row r="280" spans="1:10" ht="14.25" x14ac:dyDescent="0.2">
      <c r="A280" s="7" t="s">
        <v>1823</v>
      </c>
      <c r="B280" s="124"/>
      <c r="C280" s="123" t="s">
        <v>3684</v>
      </c>
      <c r="D280" s="124">
        <v>1</v>
      </c>
      <c r="E280" s="124" t="s">
        <v>153</v>
      </c>
      <c r="F280" s="125">
        <v>40080000</v>
      </c>
      <c r="G280" s="125">
        <f>ROUNDDOWN(D280*F280,-3)</f>
        <v>40080000</v>
      </c>
      <c r="H280" s="154" t="b">
        <f t="shared" si="7"/>
        <v>1</v>
      </c>
      <c r="I280" s="154"/>
      <c r="J280" s="154"/>
    </row>
    <row r="281" spans="1:10" ht="14.25" x14ac:dyDescent="0.2">
      <c r="A281" s="7" t="s">
        <v>1824</v>
      </c>
      <c r="B281" s="124"/>
      <c r="C281" s="123" t="s">
        <v>3685</v>
      </c>
      <c r="D281" s="124">
        <v>1</v>
      </c>
      <c r="E281" s="124" t="s">
        <v>97</v>
      </c>
      <c r="F281" s="125">
        <v>3338000</v>
      </c>
      <c r="G281" s="125">
        <f>ROUNDDOWN(D281*F281,-3)</f>
        <v>3338000</v>
      </c>
      <c r="H281" s="154" t="b">
        <f t="shared" si="7"/>
        <v>1</v>
      </c>
      <c r="I281" s="154"/>
      <c r="J281" s="154"/>
    </row>
    <row r="282" spans="1:10" ht="14.25" x14ac:dyDescent="0.2">
      <c r="A282" s="7" t="s">
        <v>1825</v>
      </c>
      <c r="B282" s="60">
        <v>511123</v>
      </c>
      <c r="C282" s="41" t="s">
        <v>82</v>
      </c>
      <c r="D282" s="60"/>
      <c r="E282" s="60"/>
      <c r="F282" s="42"/>
      <c r="G282" s="42">
        <f>SUM(G283:G285)</f>
        <v>158000000</v>
      </c>
      <c r="H282" s="154" t="b">
        <f t="shared" si="7"/>
        <v>1</v>
      </c>
      <c r="I282" s="154"/>
      <c r="J282" s="154"/>
    </row>
    <row r="283" spans="1:10" ht="14.25" x14ac:dyDescent="0.2">
      <c r="A283" s="7" t="s">
        <v>1826</v>
      </c>
      <c r="B283" s="124"/>
      <c r="C283" s="123" t="s">
        <v>3686</v>
      </c>
      <c r="D283" s="124">
        <v>1</v>
      </c>
      <c r="E283" s="124" t="s">
        <v>97</v>
      </c>
      <c r="F283" s="125">
        <v>12070000</v>
      </c>
      <c r="G283" s="125">
        <f>ROUNDDOWN(D283*F283,-3)</f>
        <v>12070000</v>
      </c>
      <c r="H283" s="154" t="b">
        <f t="shared" si="7"/>
        <v>1</v>
      </c>
      <c r="I283" s="154"/>
      <c r="J283" s="154"/>
    </row>
    <row r="284" spans="1:10" ht="14.25" x14ac:dyDescent="0.2">
      <c r="A284" s="7" t="s">
        <v>1827</v>
      </c>
      <c r="B284" s="124"/>
      <c r="C284" s="123" t="s">
        <v>3687</v>
      </c>
      <c r="D284" s="124">
        <v>1</v>
      </c>
      <c r="E284" s="124" t="s">
        <v>60</v>
      </c>
      <c r="F284" s="125">
        <v>133860000</v>
      </c>
      <c r="G284" s="125">
        <f>ROUNDDOWN(D284*F284,-3)</f>
        <v>133860000</v>
      </c>
      <c r="H284" s="154" t="b">
        <f t="shared" si="7"/>
        <v>1</v>
      </c>
      <c r="I284" s="154"/>
      <c r="J284" s="154"/>
    </row>
    <row r="285" spans="1:10" ht="14.25" x14ac:dyDescent="0.2">
      <c r="A285" s="7" t="s">
        <v>1828</v>
      </c>
      <c r="B285" s="124"/>
      <c r="C285" s="123" t="s">
        <v>3688</v>
      </c>
      <c r="D285" s="124">
        <v>1</v>
      </c>
      <c r="E285" s="124" t="s">
        <v>97</v>
      </c>
      <c r="F285" s="125">
        <v>12070000</v>
      </c>
      <c r="G285" s="125">
        <f>ROUNDDOWN(D285*F285,-3)</f>
        <v>12070000</v>
      </c>
      <c r="H285" s="154" t="b">
        <f t="shared" si="7"/>
        <v>1</v>
      </c>
      <c r="I285" s="154"/>
      <c r="J285" s="154"/>
    </row>
    <row r="286" spans="1:10" ht="14.25" x14ac:dyDescent="0.2">
      <c r="A286" s="7" t="s">
        <v>1829</v>
      </c>
      <c r="B286" s="60">
        <v>511124</v>
      </c>
      <c r="C286" s="41" t="s">
        <v>83</v>
      </c>
      <c r="D286" s="60"/>
      <c r="E286" s="60"/>
      <c r="F286" s="42"/>
      <c r="G286" s="42">
        <f>SUM(G287:G289)</f>
        <v>48180000</v>
      </c>
      <c r="H286" s="154" t="b">
        <f t="shared" si="7"/>
        <v>1</v>
      </c>
      <c r="I286" s="154"/>
      <c r="J286" s="154"/>
    </row>
    <row r="287" spans="1:10" ht="14.25" x14ac:dyDescent="0.2">
      <c r="A287" s="7" t="s">
        <v>1830</v>
      </c>
      <c r="B287" s="124"/>
      <c r="C287" s="123" t="s">
        <v>3689</v>
      </c>
      <c r="D287" s="124">
        <v>1</v>
      </c>
      <c r="E287" s="124" t="s">
        <v>97</v>
      </c>
      <c r="F287" s="125">
        <v>2000000</v>
      </c>
      <c r="G287" s="125">
        <f>ROUNDDOWN(D287*F287,-3)</f>
        <v>2000000</v>
      </c>
      <c r="H287" s="154" t="b">
        <f t="shared" si="7"/>
        <v>1</v>
      </c>
      <c r="I287" s="154"/>
      <c r="J287" s="154"/>
    </row>
    <row r="288" spans="1:10" ht="14.25" x14ac:dyDescent="0.2">
      <c r="A288" s="7" t="s">
        <v>1831</v>
      </c>
      <c r="B288" s="124"/>
      <c r="C288" s="123" t="s">
        <v>3690</v>
      </c>
      <c r="D288" s="124">
        <v>1</v>
      </c>
      <c r="E288" s="124" t="s">
        <v>60</v>
      </c>
      <c r="F288" s="125">
        <v>44180000</v>
      </c>
      <c r="G288" s="125">
        <f>ROUNDDOWN(D288*F288,-3)</f>
        <v>44180000</v>
      </c>
      <c r="H288" s="154" t="b">
        <f t="shared" si="7"/>
        <v>1</v>
      </c>
      <c r="I288" s="154"/>
      <c r="J288" s="154"/>
    </row>
    <row r="289" spans="1:10" ht="14.25" x14ac:dyDescent="0.2">
      <c r="A289" s="7" t="s">
        <v>1832</v>
      </c>
      <c r="B289" s="124"/>
      <c r="C289" s="123" t="s">
        <v>3691</v>
      </c>
      <c r="D289" s="124">
        <v>1</v>
      </c>
      <c r="E289" s="124" t="s">
        <v>97</v>
      </c>
      <c r="F289" s="125">
        <v>2000000</v>
      </c>
      <c r="G289" s="125">
        <f>ROUNDDOWN(D289*F289,-3)</f>
        <v>2000000</v>
      </c>
      <c r="H289" s="154" t="b">
        <f t="shared" si="7"/>
        <v>1</v>
      </c>
      <c r="I289" s="154"/>
      <c r="J289" s="154"/>
    </row>
    <row r="290" spans="1:10" ht="14.25" x14ac:dyDescent="0.2">
      <c r="A290" s="7" t="s">
        <v>1833</v>
      </c>
      <c r="B290" s="60">
        <v>511125</v>
      </c>
      <c r="C290" s="41" t="s">
        <v>84</v>
      </c>
      <c r="D290" s="60"/>
      <c r="E290" s="60"/>
      <c r="F290" s="42"/>
      <c r="G290" s="42">
        <f>SUM(G291:G293)</f>
        <v>13133000</v>
      </c>
      <c r="H290" s="154" t="b">
        <f t="shared" si="7"/>
        <v>1</v>
      </c>
      <c r="I290" s="154"/>
      <c r="J290" s="154"/>
    </row>
    <row r="291" spans="1:10" ht="14.25" x14ac:dyDescent="0.2">
      <c r="A291" s="7" t="s">
        <v>1834</v>
      </c>
      <c r="B291" s="124"/>
      <c r="C291" s="123" t="s">
        <v>3692</v>
      </c>
      <c r="D291" s="124">
        <v>1</v>
      </c>
      <c r="E291" s="124" t="s">
        <v>97</v>
      </c>
      <c r="F291" s="125">
        <v>3360000</v>
      </c>
      <c r="G291" s="125">
        <f>ROUNDDOWN(D291*F291,-3)</f>
        <v>3360000</v>
      </c>
      <c r="H291" s="154" t="b">
        <f t="shared" si="7"/>
        <v>1</v>
      </c>
      <c r="I291" s="154"/>
      <c r="J291" s="154"/>
    </row>
    <row r="292" spans="1:10" ht="14.25" x14ac:dyDescent="0.2">
      <c r="A292" s="7" t="s">
        <v>1835</v>
      </c>
      <c r="B292" s="124"/>
      <c r="C292" s="123" t="s">
        <v>3693</v>
      </c>
      <c r="D292" s="124">
        <v>1</v>
      </c>
      <c r="E292" s="124" t="s">
        <v>153</v>
      </c>
      <c r="F292" s="125">
        <v>6407000</v>
      </c>
      <c r="G292" s="125">
        <f>ROUNDDOWN(D292*F292,-3)</f>
        <v>6407000</v>
      </c>
      <c r="H292" s="154" t="b">
        <f t="shared" si="7"/>
        <v>1</v>
      </c>
      <c r="I292" s="154"/>
      <c r="J292" s="154"/>
    </row>
    <row r="293" spans="1:10" ht="14.25" x14ac:dyDescent="0.2">
      <c r="A293" s="7" t="s">
        <v>1836</v>
      </c>
      <c r="B293" s="124"/>
      <c r="C293" s="123" t="s">
        <v>3694</v>
      </c>
      <c r="D293" s="124">
        <v>1</v>
      </c>
      <c r="E293" s="124" t="s">
        <v>97</v>
      </c>
      <c r="F293" s="125">
        <v>3366000</v>
      </c>
      <c r="G293" s="125">
        <f>ROUNDDOWN(D293*F293,-3)</f>
        <v>3366000</v>
      </c>
      <c r="H293" s="154" t="b">
        <f t="shared" si="7"/>
        <v>1</v>
      </c>
      <c r="I293" s="154"/>
      <c r="J293" s="154"/>
    </row>
    <row r="294" spans="1:10" ht="14.25" x14ac:dyDescent="0.2">
      <c r="A294" s="7" t="s">
        <v>1837</v>
      </c>
      <c r="B294" s="60">
        <v>511126</v>
      </c>
      <c r="C294" s="41" t="s">
        <v>85</v>
      </c>
      <c r="D294" s="60"/>
      <c r="E294" s="60"/>
      <c r="F294" s="42"/>
      <c r="G294" s="42">
        <f>G295</f>
        <v>130333000</v>
      </c>
      <c r="H294" s="154" t="b">
        <f t="shared" si="7"/>
        <v>1</v>
      </c>
      <c r="I294" s="154"/>
      <c r="J294" s="154"/>
    </row>
    <row r="295" spans="1:10" ht="14.25" x14ac:dyDescent="0.2">
      <c r="A295" s="7" t="s">
        <v>1838</v>
      </c>
      <c r="B295" s="124"/>
      <c r="C295" s="123" t="s">
        <v>3695</v>
      </c>
      <c r="D295" s="124">
        <v>1</v>
      </c>
      <c r="E295" s="124" t="s">
        <v>60</v>
      </c>
      <c r="F295" s="125">
        <v>130333000</v>
      </c>
      <c r="G295" s="125">
        <f>ROUNDDOWN(D295*F295,-3)</f>
        <v>130333000</v>
      </c>
      <c r="H295" s="154" t="b">
        <f t="shared" si="7"/>
        <v>1</v>
      </c>
      <c r="I295" s="154"/>
      <c r="J295" s="154"/>
    </row>
    <row r="296" spans="1:10" ht="14.25" x14ac:dyDescent="0.2">
      <c r="A296" s="7" t="s">
        <v>1839</v>
      </c>
      <c r="B296" s="60">
        <v>511129</v>
      </c>
      <c r="C296" s="41" t="s">
        <v>86</v>
      </c>
      <c r="D296" s="60"/>
      <c r="E296" s="60"/>
      <c r="F296" s="42"/>
      <c r="G296" s="42">
        <f>G297</f>
        <v>379379000</v>
      </c>
      <c r="H296" s="154" t="b">
        <f t="shared" si="7"/>
        <v>1</v>
      </c>
      <c r="I296" s="154"/>
      <c r="J296" s="154"/>
    </row>
    <row r="297" spans="1:10" ht="14.25" x14ac:dyDescent="0.2">
      <c r="A297" s="7" t="s">
        <v>1840</v>
      </c>
      <c r="B297" s="124"/>
      <c r="C297" s="123" t="s">
        <v>3696</v>
      </c>
      <c r="D297" s="124">
        <v>1</v>
      </c>
      <c r="E297" s="124" t="s">
        <v>153</v>
      </c>
      <c r="F297" s="125">
        <v>379379000</v>
      </c>
      <c r="G297" s="125">
        <f>ROUNDDOWN(D297*F297,-3)</f>
        <v>379379000</v>
      </c>
      <c r="H297" s="154" t="b">
        <f t="shared" si="7"/>
        <v>1</v>
      </c>
      <c r="I297" s="154"/>
      <c r="J297" s="154"/>
    </row>
    <row r="298" spans="1:10" ht="14.25" x14ac:dyDescent="0.2">
      <c r="A298" s="7" t="s">
        <v>1841</v>
      </c>
      <c r="B298" s="60">
        <v>511151</v>
      </c>
      <c r="C298" s="41" t="s">
        <v>87</v>
      </c>
      <c r="D298" s="60"/>
      <c r="E298" s="60"/>
      <c r="F298" s="42"/>
      <c r="G298" s="42">
        <f>SUM(G299:G301)</f>
        <v>88360000</v>
      </c>
      <c r="H298" s="154" t="b">
        <f t="shared" si="7"/>
        <v>1</v>
      </c>
      <c r="I298" s="154"/>
      <c r="J298" s="154"/>
    </row>
    <row r="299" spans="1:10" ht="14.25" x14ac:dyDescent="0.2">
      <c r="A299" s="7" t="s">
        <v>1842</v>
      </c>
      <c r="B299" s="124"/>
      <c r="C299" s="123" t="s">
        <v>3697</v>
      </c>
      <c r="D299" s="124">
        <v>1</v>
      </c>
      <c r="E299" s="124" t="s">
        <v>97</v>
      </c>
      <c r="F299" s="125">
        <v>6655000</v>
      </c>
      <c r="G299" s="125">
        <f>ROUNDDOWN(D299*F299,-3)</f>
        <v>6655000</v>
      </c>
      <c r="H299" s="154" t="b">
        <f t="shared" si="7"/>
        <v>1</v>
      </c>
      <c r="I299" s="154"/>
      <c r="J299" s="154"/>
    </row>
    <row r="300" spans="1:10" ht="14.25" x14ac:dyDescent="0.2">
      <c r="A300" s="7" t="s">
        <v>1843</v>
      </c>
      <c r="B300" s="124"/>
      <c r="C300" s="123" t="s">
        <v>3698</v>
      </c>
      <c r="D300" s="124">
        <v>1</v>
      </c>
      <c r="E300" s="124" t="s">
        <v>60</v>
      </c>
      <c r="F300" s="125">
        <v>75605000</v>
      </c>
      <c r="G300" s="125">
        <f>ROUNDDOWN(D300*F300,-3)</f>
        <v>75605000</v>
      </c>
      <c r="H300" s="154" t="b">
        <f t="shared" si="7"/>
        <v>1</v>
      </c>
      <c r="I300" s="154"/>
      <c r="J300" s="154"/>
    </row>
    <row r="301" spans="1:10" ht="14.25" x14ac:dyDescent="0.2">
      <c r="A301" s="7" t="s">
        <v>1844</v>
      </c>
      <c r="B301" s="124"/>
      <c r="C301" s="123" t="s">
        <v>3699</v>
      </c>
      <c r="D301" s="124">
        <v>1</v>
      </c>
      <c r="E301" s="124" t="s">
        <v>97</v>
      </c>
      <c r="F301" s="125">
        <v>6100000</v>
      </c>
      <c r="G301" s="125">
        <f>ROUNDDOWN(D301*F301,-3)</f>
        <v>6100000</v>
      </c>
      <c r="H301" s="154" t="b">
        <f t="shared" si="7"/>
        <v>1</v>
      </c>
      <c r="I301" s="154"/>
      <c r="J301" s="154"/>
    </row>
    <row r="302" spans="1:10" ht="14.25" x14ac:dyDescent="0.2">
      <c r="A302" s="7" t="s">
        <v>1845</v>
      </c>
      <c r="B302" s="60">
        <v>512411</v>
      </c>
      <c r="C302" s="41" t="s">
        <v>88</v>
      </c>
      <c r="D302" s="60"/>
      <c r="E302" s="60"/>
      <c r="F302" s="42"/>
      <c r="G302" s="42">
        <f>G303</f>
        <v>2635488000</v>
      </c>
      <c r="H302" s="154" t="b">
        <f t="shared" si="7"/>
        <v>1</v>
      </c>
      <c r="I302" s="154"/>
      <c r="J302" s="154"/>
    </row>
    <row r="303" spans="1:10" ht="14.25" x14ac:dyDescent="0.2">
      <c r="A303" s="7" t="s">
        <v>1846</v>
      </c>
      <c r="B303" s="124"/>
      <c r="C303" s="123" t="s">
        <v>3700</v>
      </c>
      <c r="D303" s="124">
        <v>1</v>
      </c>
      <c r="E303" s="124" t="s">
        <v>153</v>
      </c>
      <c r="F303" s="125">
        <v>2635488000</v>
      </c>
      <c r="G303" s="125">
        <f>ROUNDDOWN(D303*F303,-3)</f>
        <v>2635488000</v>
      </c>
      <c r="H303" s="154" t="b">
        <f t="shared" si="7"/>
        <v>1</v>
      </c>
      <c r="I303" s="154"/>
      <c r="J303" s="154"/>
    </row>
    <row r="304" spans="1:10" ht="14.25" x14ac:dyDescent="0.2">
      <c r="A304" s="7" t="s">
        <v>3701</v>
      </c>
      <c r="B304" s="59" t="s">
        <v>2208</v>
      </c>
      <c r="C304" s="38" t="s">
        <v>3702</v>
      </c>
      <c r="D304" s="59"/>
      <c r="E304" s="59"/>
      <c r="F304" s="39"/>
      <c r="G304" s="39">
        <f>G305</f>
        <v>323949000</v>
      </c>
      <c r="H304" s="154" t="b">
        <f t="shared" si="7"/>
        <v>1</v>
      </c>
      <c r="I304" s="154"/>
      <c r="J304" s="154"/>
    </row>
    <row r="305" spans="1:10" ht="14.25" x14ac:dyDescent="0.2">
      <c r="A305" s="7" t="s">
        <v>3703</v>
      </c>
      <c r="B305" s="60">
        <v>512411</v>
      </c>
      <c r="C305" s="41" t="s">
        <v>88</v>
      </c>
      <c r="D305" s="60"/>
      <c r="E305" s="60"/>
      <c r="F305" s="42"/>
      <c r="G305" s="42">
        <f>G306</f>
        <v>323949000</v>
      </c>
      <c r="H305" s="154" t="b">
        <f t="shared" si="7"/>
        <v>1</v>
      </c>
      <c r="I305" s="154"/>
      <c r="J305" s="154"/>
    </row>
    <row r="306" spans="1:10" ht="14.25" x14ac:dyDescent="0.2">
      <c r="A306" s="7" t="s">
        <v>3704</v>
      </c>
      <c r="B306" s="124"/>
      <c r="C306" s="123" t="s">
        <v>3705</v>
      </c>
      <c r="D306" s="124">
        <v>1</v>
      </c>
      <c r="E306" s="124" t="s">
        <v>3706</v>
      </c>
      <c r="F306" s="125">
        <v>323949000</v>
      </c>
      <c r="G306" s="125">
        <f>ROUNDDOWN(D306*F306,-3)</f>
        <v>323949000</v>
      </c>
      <c r="H306" s="154" t="b">
        <f t="shared" si="7"/>
        <v>1</v>
      </c>
      <c r="I306" s="154"/>
      <c r="J306" s="154"/>
    </row>
    <row r="307" spans="1:10" ht="14.25" x14ac:dyDescent="0.2">
      <c r="A307" s="7" t="s">
        <v>1847</v>
      </c>
      <c r="B307" s="58" t="s">
        <v>557</v>
      </c>
      <c r="C307" s="35" t="s">
        <v>89</v>
      </c>
      <c r="D307" s="58"/>
      <c r="E307" s="58"/>
      <c r="F307" s="36"/>
      <c r="G307" s="36">
        <f>SUM(G308,G329,G335,G348,G363)</f>
        <v>2195658000</v>
      </c>
      <c r="H307" s="154" t="b">
        <f t="shared" si="7"/>
        <v>1</v>
      </c>
      <c r="I307" s="154"/>
      <c r="J307" s="154"/>
    </row>
    <row r="308" spans="1:10" ht="14.25" x14ac:dyDescent="0.2">
      <c r="A308" s="7" t="s">
        <v>2170</v>
      </c>
      <c r="B308" s="59" t="s">
        <v>1807</v>
      </c>
      <c r="C308" s="38" t="s">
        <v>2171</v>
      </c>
      <c r="D308" s="59"/>
      <c r="E308" s="59"/>
      <c r="F308" s="39"/>
      <c r="G308" s="39">
        <f>SUM(G309,G319)</f>
        <v>1254380000</v>
      </c>
      <c r="H308" s="154" t="b">
        <f t="shared" si="7"/>
        <v>1</v>
      </c>
      <c r="I308" s="154"/>
      <c r="J308" s="154"/>
    </row>
    <row r="309" spans="1:10" ht="14.25" x14ac:dyDescent="0.2">
      <c r="A309" s="7" t="s">
        <v>2172</v>
      </c>
      <c r="B309" s="60">
        <v>521111</v>
      </c>
      <c r="C309" s="41" t="s">
        <v>90</v>
      </c>
      <c r="D309" s="60"/>
      <c r="E309" s="60"/>
      <c r="F309" s="42"/>
      <c r="G309" s="42">
        <f>SUM(G310:G318)</f>
        <v>1076220000</v>
      </c>
      <c r="H309" s="154" t="b">
        <f t="shared" si="7"/>
        <v>1</v>
      </c>
      <c r="I309" s="154"/>
      <c r="J309" s="154"/>
    </row>
    <row r="310" spans="1:10" ht="14.25" x14ac:dyDescent="0.2">
      <c r="A310" s="7" t="s">
        <v>2173</v>
      </c>
      <c r="B310" s="124"/>
      <c r="C310" s="123" t="s">
        <v>3707</v>
      </c>
      <c r="D310" s="124">
        <v>60</v>
      </c>
      <c r="E310" s="124" t="s">
        <v>116</v>
      </c>
      <c r="F310" s="125">
        <v>1300000</v>
      </c>
      <c r="G310" s="125">
        <f t="shared" ref="G310:G318" si="8">ROUNDDOWN(D310*F310,-3)</f>
        <v>78000000</v>
      </c>
      <c r="H310" s="154" t="b">
        <f t="shared" si="7"/>
        <v>1</v>
      </c>
      <c r="I310" s="154"/>
      <c r="J310" s="154"/>
    </row>
    <row r="311" spans="1:10" ht="14.25" x14ac:dyDescent="0.2">
      <c r="A311" s="7" t="s">
        <v>2174</v>
      </c>
      <c r="B311" s="124"/>
      <c r="C311" s="123" t="s">
        <v>3708</v>
      </c>
      <c r="D311" s="124">
        <v>1</v>
      </c>
      <c r="E311" s="124" t="s">
        <v>60</v>
      </c>
      <c r="F311" s="125">
        <v>60000000</v>
      </c>
      <c r="G311" s="125">
        <f t="shared" si="8"/>
        <v>60000000</v>
      </c>
      <c r="H311" s="154" t="b">
        <f t="shared" si="7"/>
        <v>1</v>
      </c>
      <c r="I311" s="154"/>
      <c r="J311" s="154"/>
    </row>
    <row r="312" spans="1:10" ht="14.25" x14ac:dyDescent="0.2">
      <c r="A312" s="7" t="s">
        <v>2176</v>
      </c>
      <c r="B312" s="124"/>
      <c r="C312" s="123" t="s">
        <v>3709</v>
      </c>
      <c r="D312" s="124">
        <v>156</v>
      </c>
      <c r="E312" s="124" t="s">
        <v>21</v>
      </c>
      <c r="F312" s="125">
        <v>4858000</v>
      </c>
      <c r="G312" s="125">
        <f t="shared" si="8"/>
        <v>757848000</v>
      </c>
      <c r="H312" s="154" t="b">
        <f t="shared" si="7"/>
        <v>1</v>
      </c>
      <c r="I312" s="154"/>
      <c r="J312" s="154"/>
    </row>
    <row r="313" spans="1:10" ht="14.25" x14ac:dyDescent="0.2">
      <c r="A313" s="7" t="s">
        <v>2178</v>
      </c>
      <c r="B313" s="124"/>
      <c r="C313" s="123" t="s">
        <v>3710</v>
      </c>
      <c r="D313" s="124">
        <v>13</v>
      </c>
      <c r="E313" s="124" t="s">
        <v>32</v>
      </c>
      <c r="F313" s="125">
        <v>5344000</v>
      </c>
      <c r="G313" s="125">
        <f t="shared" si="8"/>
        <v>69472000</v>
      </c>
      <c r="H313" s="154" t="b">
        <f t="shared" si="7"/>
        <v>1</v>
      </c>
      <c r="I313" s="154"/>
      <c r="J313" s="154"/>
    </row>
    <row r="314" spans="1:10" ht="14.25" x14ac:dyDescent="0.2">
      <c r="A314" s="7" t="s">
        <v>2179</v>
      </c>
      <c r="B314" s="124"/>
      <c r="C314" s="123" t="s">
        <v>3711</v>
      </c>
      <c r="D314" s="124">
        <v>12</v>
      </c>
      <c r="E314" s="124" t="s">
        <v>78</v>
      </c>
      <c r="F314" s="125">
        <v>500000</v>
      </c>
      <c r="G314" s="125">
        <f t="shared" si="8"/>
        <v>6000000</v>
      </c>
      <c r="H314" s="154" t="b">
        <f t="shared" si="7"/>
        <v>1</v>
      </c>
      <c r="I314" s="154"/>
      <c r="J314" s="154"/>
    </row>
    <row r="315" spans="1:10" ht="14.25" x14ac:dyDescent="0.2">
      <c r="A315" s="7" t="s">
        <v>2181</v>
      </c>
      <c r="B315" s="124"/>
      <c r="C315" s="123" t="s">
        <v>3712</v>
      </c>
      <c r="D315" s="124">
        <v>100</v>
      </c>
      <c r="E315" s="124" t="s">
        <v>58</v>
      </c>
      <c r="F315" s="125">
        <v>500000</v>
      </c>
      <c r="G315" s="125">
        <f t="shared" si="8"/>
        <v>50000000</v>
      </c>
      <c r="H315" s="154" t="b">
        <f t="shared" si="7"/>
        <v>1</v>
      </c>
      <c r="I315" s="154"/>
      <c r="J315" s="154"/>
    </row>
    <row r="316" spans="1:10" ht="14.25" x14ac:dyDescent="0.2">
      <c r="A316" s="7" t="s">
        <v>2183</v>
      </c>
      <c r="B316" s="124"/>
      <c r="C316" s="123" t="s">
        <v>3713</v>
      </c>
      <c r="D316" s="124">
        <v>12</v>
      </c>
      <c r="E316" s="124" t="s">
        <v>115</v>
      </c>
      <c r="F316" s="125">
        <v>750000</v>
      </c>
      <c r="G316" s="125">
        <f t="shared" si="8"/>
        <v>9000000</v>
      </c>
      <c r="H316" s="154" t="b">
        <f t="shared" si="7"/>
        <v>1</v>
      </c>
      <c r="I316" s="154"/>
      <c r="J316" s="154"/>
    </row>
    <row r="317" spans="1:10" ht="14.25" x14ac:dyDescent="0.2">
      <c r="A317" s="7" t="s">
        <v>2185</v>
      </c>
      <c r="B317" s="124"/>
      <c r="C317" s="123" t="s">
        <v>3714</v>
      </c>
      <c r="D317" s="124">
        <v>12</v>
      </c>
      <c r="E317" s="124" t="s">
        <v>115</v>
      </c>
      <c r="F317" s="125">
        <v>1325000</v>
      </c>
      <c r="G317" s="125">
        <f t="shared" si="8"/>
        <v>15900000</v>
      </c>
      <c r="H317" s="154" t="b">
        <f t="shared" si="7"/>
        <v>1</v>
      </c>
      <c r="I317" s="154"/>
      <c r="J317" s="154"/>
    </row>
    <row r="318" spans="1:10" ht="14.25" x14ac:dyDescent="0.2">
      <c r="A318" s="7" t="s">
        <v>2187</v>
      </c>
      <c r="B318" s="124"/>
      <c r="C318" s="123" t="s">
        <v>3715</v>
      </c>
      <c r="D318" s="124">
        <v>12</v>
      </c>
      <c r="E318" s="124" t="s">
        <v>78</v>
      </c>
      <c r="F318" s="125">
        <v>2500000</v>
      </c>
      <c r="G318" s="125">
        <f t="shared" si="8"/>
        <v>30000000</v>
      </c>
      <c r="H318" s="154" t="b">
        <f t="shared" si="7"/>
        <v>1</v>
      </c>
      <c r="I318" s="154"/>
      <c r="J318" s="154"/>
    </row>
    <row r="319" spans="1:10" ht="14.25" x14ac:dyDescent="0.2">
      <c r="A319" s="7" t="s">
        <v>2189</v>
      </c>
      <c r="B319" s="60">
        <v>521811</v>
      </c>
      <c r="C319" s="41" t="s">
        <v>64</v>
      </c>
      <c r="D319" s="60"/>
      <c r="E319" s="60"/>
      <c r="F319" s="42"/>
      <c r="G319" s="42">
        <f>SUM(G320:G328)</f>
        <v>178160000</v>
      </c>
      <c r="H319" s="154" t="b">
        <f t="shared" si="7"/>
        <v>1</v>
      </c>
      <c r="I319" s="154"/>
      <c r="J319" s="154"/>
    </row>
    <row r="320" spans="1:10" ht="14.25" x14ac:dyDescent="0.2">
      <c r="A320" s="7" t="s">
        <v>2190</v>
      </c>
      <c r="B320" s="124"/>
      <c r="C320" s="123" t="s">
        <v>3595</v>
      </c>
      <c r="D320" s="124">
        <v>40</v>
      </c>
      <c r="E320" s="124" t="s">
        <v>9</v>
      </c>
      <c r="F320" s="125">
        <v>1000000</v>
      </c>
      <c r="G320" s="125">
        <f t="shared" ref="G320:G328" si="9">ROUNDDOWN(D320*F320,-3)</f>
        <v>40000000</v>
      </c>
      <c r="H320" s="154" t="b">
        <f t="shared" si="7"/>
        <v>1</v>
      </c>
      <c r="I320" s="154"/>
      <c r="J320" s="154"/>
    </row>
    <row r="321" spans="1:10" ht="14.25" x14ac:dyDescent="0.2">
      <c r="A321" s="7" t="s">
        <v>2191</v>
      </c>
      <c r="B321" s="124"/>
      <c r="C321" s="123" t="s">
        <v>3596</v>
      </c>
      <c r="D321" s="124">
        <v>40</v>
      </c>
      <c r="E321" s="124" t="s">
        <v>9</v>
      </c>
      <c r="F321" s="125">
        <v>1500000</v>
      </c>
      <c r="G321" s="125">
        <f t="shared" si="9"/>
        <v>60000000</v>
      </c>
      <c r="H321" s="154" t="b">
        <f t="shared" si="7"/>
        <v>1</v>
      </c>
      <c r="I321" s="154"/>
      <c r="J321" s="154"/>
    </row>
    <row r="322" spans="1:10" ht="14.25" x14ac:dyDescent="0.2">
      <c r="A322" s="7" t="s">
        <v>2192</v>
      </c>
      <c r="B322" s="124"/>
      <c r="C322" s="123" t="s">
        <v>3716</v>
      </c>
      <c r="D322" s="124">
        <v>192</v>
      </c>
      <c r="E322" s="124" t="s">
        <v>9</v>
      </c>
      <c r="F322" s="125">
        <v>50000</v>
      </c>
      <c r="G322" s="125">
        <f t="shared" si="9"/>
        <v>9600000</v>
      </c>
      <c r="H322" s="154" t="b">
        <f t="shared" si="7"/>
        <v>1</v>
      </c>
      <c r="I322" s="154"/>
      <c r="J322" s="154"/>
    </row>
    <row r="323" spans="1:10" ht="14.25" x14ac:dyDescent="0.2">
      <c r="A323" s="7" t="s">
        <v>2194</v>
      </c>
      <c r="B323" s="124"/>
      <c r="C323" s="123" t="s">
        <v>3717</v>
      </c>
      <c r="D323" s="124">
        <v>192</v>
      </c>
      <c r="E323" s="124" t="s">
        <v>9</v>
      </c>
      <c r="F323" s="125">
        <v>55000</v>
      </c>
      <c r="G323" s="125">
        <f t="shared" si="9"/>
        <v>10560000</v>
      </c>
      <c r="H323" s="154" t="b">
        <f t="shared" si="7"/>
        <v>1</v>
      </c>
      <c r="I323" s="154"/>
      <c r="J323" s="154"/>
    </row>
    <row r="324" spans="1:10" ht="14.25" x14ac:dyDescent="0.2">
      <c r="A324" s="7" t="s">
        <v>2196</v>
      </c>
      <c r="B324" s="124"/>
      <c r="C324" s="123" t="s">
        <v>3718</v>
      </c>
      <c r="D324" s="124">
        <v>50</v>
      </c>
      <c r="E324" s="124" t="s">
        <v>2198</v>
      </c>
      <c r="F324" s="125">
        <v>220000</v>
      </c>
      <c r="G324" s="125">
        <f t="shared" si="9"/>
        <v>11000000</v>
      </c>
      <c r="H324" s="154" t="b">
        <f t="shared" si="7"/>
        <v>1</v>
      </c>
      <c r="I324" s="154"/>
      <c r="J324" s="154"/>
    </row>
    <row r="325" spans="1:10" ht="14.25" x14ac:dyDescent="0.2">
      <c r="A325" s="7" t="s">
        <v>2199</v>
      </c>
      <c r="B325" s="124"/>
      <c r="C325" s="123" t="s">
        <v>3719</v>
      </c>
      <c r="D325" s="124">
        <v>50</v>
      </c>
      <c r="E325" s="124" t="s">
        <v>2198</v>
      </c>
      <c r="F325" s="125">
        <v>240000</v>
      </c>
      <c r="G325" s="125">
        <f t="shared" si="9"/>
        <v>12000000</v>
      </c>
      <c r="H325" s="154" t="b">
        <f t="shared" si="7"/>
        <v>1</v>
      </c>
      <c r="I325" s="154"/>
      <c r="J325" s="154"/>
    </row>
    <row r="326" spans="1:10" ht="14.25" x14ac:dyDescent="0.2">
      <c r="A326" s="7" t="s">
        <v>2201</v>
      </c>
      <c r="B326" s="124"/>
      <c r="C326" s="123" t="s">
        <v>3720</v>
      </c>
      <c r="D326" s="124">
        <v>800</v>
      </c>
      <c r="E326" s="124" t="s">
        <v>120</v>
      </c>
      <c r="F326" s="125">
        <v>5000</v>
      </c>
      <c r="G326" s="125">
        <f t="shared" si="9"/>
        <v>4000000</v>
      </c>
      <c r="H326" s="154" t="b">
        <f t="shared" si="7"/>
        <v>1</v>
      </c>
      <c r="I326" s="154"/>
      <c r="J326" s="154"/>
    </row>
    <row r="327" spans="1:10" ht="14.25" x14ac:dyDescent="0.2">
      <c r="A327" s="7" t="s">
        <v>2203</v>
      </c>
      <c r="B327" s="124"/>
      <c r="C327" s="123" t="s">
        <v>3721</v>
      </c>
      <c r="D327" s="124">
        <v>50</v>
      </c>
      <c r="E327" s="124" t="s">
        <v>1422</v>
      </c>
      <c r="F327" s="125">
        <v>220000</v>
      </c>
      <c r="G327" s="125">
        <f t="shared" si="9"/>
        <v>11000000</v>
      </c>
      <c r="H327" s="154" t="b">
        <f t="shared" si="7"/>
        <v>1</v>
      </c>
      <c r="I327" s="154"/>
      <c r="J327" s="154"/>
    </row>
    <row r="328" spans="1:10" ht="14.25" x14ac:dyDescent="0.2">
      <c r="A328" s="7" t="s">
        <v>2205</v>
      </c>
      <c r="B328" s="124"/>
      <c r="C328" s="123" t="s">
        <v>3722</v>
      </c>
      <c r="D328" s="124">
        <v>800</v>
      </c>
      <c r="E328" s="124" t="s">
        <v>120</v>
      </c>
      <c r="F328" s="125">
        <v>25000</v>
      </c>
      <c r="G328" s="125">
        <f t="shared" si="9"/>
        <v>20000000</v>
      </c>
      <c r="H328" s="154" t="b">
        <f t="shared" si="7"/>
        <v>1</v>
      </c>
      <c r="I328" s="154"/>
      <c r="J328" s="154"/>
    </row>
    <row r="329" spans="1:10" ht="14.25" x14ac:dyDescent="0.2">
      <c r="A329" s="7" t="s">
        <v>2207</v>
      </c>
      <c r="B329" s="59" t="s">
        <v>2208</v>
      </c>
      <c r="C329" s="38" t="s">
        <v>2209</v>
      </c>
      <c r="D329" s="59"/>
      <c r="E329" s="59"/>
      <c r="F329" s="39"/>
      <c r="G329" s="39">
        <f>SUM(G330,G332)</f>
        <v>148852000</v>
      </c>
      <c r="H329" s="154" t="b">
        <f t="shared" si="7"/>
        <v>1</v>
      </c>
      <c r="I329" s="154"/>
      <c r="J329" s="154"/>
    </row>
    <row r="330" spans="1:10" ht="14.25" x14ac:dyDescent="0.2">
      <c r="A330" s="7" t="s">
        <v>2210</v>
      </c>
      <c r="B330" s="60">
        <v>521114</v>
      </c>
      <c r="C330" s="41" t="s">
        <v>94</v>
      </c>
      <c r="D330" s="60"/>
      <c r="E330" s="60"/>
      <c r="F330" s="42"/>
      <c r="G330" s="42">
        <f>G331</f>
        <v>30000000</v>
      </c>
      <c r="H330" s="154" t="b">
        <f>_xlfn.ISFORMULA(G330)</f>
        <v>1</v>
      </c>
      <c r="I330" s="154"/>
      <c r="J330" s="154"/>
    </row>
    <row r="331" spans="1:10" ht="14.25" x14ac:dyDescent="0.2">
      <c r="A331" s="7" t="s">
        <v>2211</v>
      </c>
      <c r="B331" s="124"/>
      <c r="C331" s="123" t="s">
        <v>3723</v>
      </c>
      <c r="D331" s="124">
        <v>12</v>
      </c>
      <c r="E331" s="124" t="s">
        <v>78</v>
      </c>
      <c r="F331" s="125">
        <v>2500000</v>
      </c>
      <c r="G331" s="125">
        <f>ROUNDDOWN(D331*F331,-3)</f>
        <v>30000000</v>
      </c>
      <c r="H331" s="154" t="b">
        <f t="shared" si="7"/>
        <v>1</v>
      </c>
      <c r="I331" s="154"/>
      <c r="J331" s="154"/>
    </row>
    <row r="332" spans="1:10" ht="14.25" x14ac:dyDescent="0.2">
      <c r="A332" s="7" t="s">
        <v>2213</v>
      </c>
      <c r="B332" s="60">
        <v>522141</v>
      </c>
      <c r="C332" s="41" t="s">
        <v>95</v>
      </c>
      <c r="D332" s="60"/>
      <c r="E332" s="60"/>
      <c r="F332" s="42"/>
      <c r="G332" s="42">
        <f>SUM(G333:G334)</f>
        <v>118852000</v>
      </c>
      <c r="H332" s="154" t="b">
        <f t="shared" si="7"/>
        <v>1</v>
      </c>
      <c r="I332" s="154"/>
      <c r="J332" s="154"/>
    </row>
    <row r="333" spans="1:10" ht="14.25" x14ac:dyDescent="0.2">
      <c r="A333" s="7" t="s">
        <v>2214</v>
      </c>
      <c r="B333" s="124"/>
      <c r="C333" s="123" t="s">
        <v>3724</v>
      </c>
      <c r="D333" s="124">
        <v>12</v>
      </c>
      <c r="E333" s="124" t="s">
        <v>78</v>
      </c>
      <c r="F333" s="125">
        <v>5000000</v>
      </c>
      <c r="G333" s="125">
        <f>ROUNDDOWN(D333*F333,-3)</f>
        <v>60000000</v>
      </c>
      <c r="H333" s="154" t="b">
        <f t="shared" si="7"/>
        <v>1</v>
      </c>
      <c r="I333" s="154"/>
      <c r="J333" s="154"/>
    </row>
    <row r="334" spans="1:10" ht="14.25" x14ac:dyDescent="0.2">
      <c r="A334" s="7" t="s">
        <v>2216</v>
      </c>
      <c r="B334" s="124"/>
      <c r="C334" s="123" t="s">
        <v>3725</v>
      </c>
      <c r="D334" s="124">
        <v>1</v>
      </c>
      <c r="E334" s="124" t="s">
        <v>60</v>
      </c>
      <c r="F334" s="125">
        <v>58852000</v>
      </c>
      <c r="G334" s="125">
        <f>ROUNDDOWN(D334*F334,-3)</f>
        <v>58852000</v>
      </c>
      <c r="H334" s="154" t="b">
        <f t="shared" ref="H334:H397" si="10">_xlfn.ISFORMULA(G334)</f>
        <v>1</v>
      </c>
      <c r="I334" s="154"/>
      <c r="J334" s="154"/>
    </row>
    <row r="335" spans="1:10" ht="14.25" x14ac:dyDescent="0.2">
      <c r="A335" s="7" t="s">
        <v>2218</v>
      </c>
      <c r="B335" s="59" t="s">
        <v>2219</v>
      </c>
      <c r="C335" s="38" t="s">
        <v>2220</v>
      </c>
      <c r="D335" s="59"/>
      <c r="E335" s="59"/>
      <c r="F335" s="39"/>
      <c r="G335" s="39">
        <f>SUM(G336,G346)</f>
        <v>533050000</v>
      </c>
      <c r="H335" s="154" t="b">
        <f t="shared" si="10"/>
        <v>1</v>
      </c>
      <c r="I335" s="154"/>
      <c r="J335" s="154"/>
    </row>
    <row r="336" spans="1:10" ht="14.25" x14ac:dyDescent="0.2">
      <c r="A336" s="7" t="s">
        <v>2221</v>
      </c>
      <c r="B336" s="60">
        <v>523121</v>
      </c>
      <c r="C336" s="41" t="s">
        <v>99</v>
      </c>
      <c r="D336" s="60"/>
      <c r="E336" s="60"/>
      <c r="F336" s="42"/>
      <c r="G336" s="42">
        <f>SUM(G337:G345)</f>
        <v>497050000</v>
      </c>
      <c r="H336" s="154" t="b">
        <f t="shared" si="10"/>
        <v>1</v>
      </c>
      <c r="I336" s="154"/>
      <c r="J336" s="154"/>
    </row>
    <row r="337" spans="1:10" ht="14.25" x14ac:dyDescent="0.2">
      <c r="A337" s="7" t="s">
        <v>2222</v>
      </c>
      <c r="B337" s="124"/>
      <c r="C337" s="123" t="s">
        <v>3726</v>
      </c>
      <c r="D337" s="124">
        <v>1</v>
      </c>
      <c r="E337" s="124" t="s">
        <v>44</v>
      </c>
      <c r="F337" s="125">
        <v>38730000</v>
      </c>
      <c r="G337" s="125">
        <f t="shared" ref="G337:G345" si="11">ROUNDDOWN(D337*F337,-3)</f>
        <v>38730000</v>
      </c>
      <c r="H337" s="154" t="b">
        <f t="shared" si="10"/>
        <v>1</v>
      </c>
      <c r="I337" s="154"/>
      <c r="J337" s="154"/>
    </row>
    <row r="338" spans="1:10" ht="14.25" x14ac:dyDescent="0.2">
      <c r="A338" s="7" t="s">
        <v>2224</v>
      </c>
      <c r="B338" s="124"/>
      <c r="C338" s="123" t="s">
        <v>3727</v>
      </c>
      <c r="D338" s="124">
        <v>9</v>
      </c>
      <c r="E338" s="124" t="s">
        <v>3728</v>
      </c>
      <c r="F338" s="125">
        <v>32850000</v>
      </c>
      <c r="G338" s="125">
        <f t="shared" si="11"/>
        <v>295650000</v>
      </c>
      <c r="H338" s="154" t="b">
        <f t="shared" si="10"/>
        <v>1</v>
      </c>
      <c r="I338" s="154"/>
      <c r="J338" s="154"/>
    </row>
    <row r="339" spans="1:10" ht="14.25" x14ac:dyDescent="0.2">
      <c r="A339" s="7" t="s">
        <v>2226</v>
      </c>
      <c r="B339" s="124"/>
      <c r="C339" s="123" t="s">
        <v>3729</v>
      </c>
      <c r="D339" s="124">
        <v>5</v>
      </c>
      <c r="E339" s="124" t="s">
        <v>42</v>
      </c>
      <c r="F339" s="125">
        <v>3640000</v>
      </c>
      <c r="G339" s="125">
        <f t="shared" si="11"/>
        <v>18200000</v>
      </c>
      <c r="H339" s="154" t="b">
        <f t="shared" si="10"/>
        <v>1</v>
      </c>
      <c r="I339" s="154"/>
      <c r="J339" s="154"/>
    </row>
    <row r="340" spans="1:10" ht="14.25" x14ac:dyDescent="0.2">
      <c r="A340" s="7" t="s">
        <v>2228</v>
      </c>
      <c r="B340" s="124"/>
      <c r="C340" s="123" t="s">
        <v>3730</v>
      </c>
      <c r="D340" s="124">
        <v>40</v>
      </c>
      <c r="E340" s="124" t="s">
        <v>42</v>
      </c>
      <c r="F340" s="125">
        <v>730000</v>
      </c>
      <c r="G340" s="125">
        <f t="shared" si="11"/>
        <v>29200000</v>
      </c>
      <c r="H340" s="154" t="b">
        <f t="shared" si="10"/>
        <v>1</v>
      </c>
      <c r="I340" s="154"/>
      <c r="J340" s="154"/>
    </row>
    <row r="341" spans="1:10" ht="14.25" x14ac:dyDescent="0.2">
      <c r="A341" s="7" t="s">
        <v>2229</v>
      </c>
      <c r="B341" s="124"/>
      <c r="C341" s="123" t="s">
        <v>3731</v>
      </c>
      <c r="D341" s="124">
        <v>35</v>
      </c>
      <c r="E341" s="124" t="s">
        <v>44</v>
      </c>
      <c r="F341" s="125">
        <v>730000</v>
      </c>
      <c r="G341" s="125">
        <f t="shared" si="11"/>
        <v>25550000</v>
      </c>
      <c r="H341" s="154" t="b">
        <f t="shared" si="10"/>
        <v>1</v>
      </c>
      <c r="I341" s="154"/>
      <c r="J341" s="154"/>
    </row>
    <row r="342" spans="1:10" ht="14.25" x14ac:dyDescent="0.2">
      <c r="A342" s="7" t="s">
        <v>2230</v>
      </c>
      <c r="B342" s="124"/>
      <c r="C342" s="123" t="s">
        <v>3732</v>
      </c>
      <c r="D342" s="124">
        <v>35</v>
      </c>
      <c r="E342" s="124" t="s">
        <v>44</v>
      </c>
      <c r="F342" s="125">
        <v>690000</v>
      </c>
      <c r="G342" s="125">
        <f t="shared" si="11"/>
        <v>24150000</v>
      </c>
      <c r="H342" s="154" t="b">
        <f t="shared" si="10"/>
        <v>1</v>
      </c>
      <c r="I342" s="154"/>
      <c r="J342" s="154"/>
    </row>
    <row r="343" spans="1:10" ht="14.25" x14ac:dyDescent="0.2">
      <c r="A343" s="7" t="s">
        <v>2231</v>
      </c>
      <c r="B343" s="124"/>
      <c r="C343" s="123" t="s">
        <v>3733</v>
      </c>
      <c r="D343" s="124">
        <v>3</v>
      </c>
      <c r="E343" s="124" t="s">
        <v>44</v>
      </c>
      <c r="F343" s="125">
        <v>3500000</v>
      </c>
      <c r="G343" s="125">
        <f t="shared" si="11"/>
        <v>10500000</v>
      </c>
      <c r="H343" s="154" t="b">
        <f t="shared" si="10"/>
        <v>1</v>
      </c>
      <c r="I343" s="154"/>
      <c r="J343" s="154"/>
    </row>
    <row r="344" spans="1:10" ht="14.25" x14ac:dyDescent="0.2">
      <c r="A344" s="7" t="s">
        <v>2232</v>
      </c>
      <c r="B344" s="124"/>
      <c r="C344" s="123" t="s">
        <v>3734</v>
      </c>
      <c r="D344" s="124">
        <v>6</v>
      </c>
      <c r="E344" s="124" t="s">
        <v>44</v>
      </c>
      <c r="F344" s="125">
        <v>470000</v>
      </c>
      <c r="G344" s="125">
        <f t="shared" si="11"/>
        <v>2820000</v>
      </c>
      <c r="H344" s="154" t="b">
        <f t="shared" si="10"/>
        <v>1</v>
      </c>
      <c r="I344" s="154"/>
      <c r="J344" s="154"/>
    </row>
    <row r="345" spans="1:10" ht="14.25" x14ac:dyDescent="0.2">
      <c r="A345" s="7" t="s">
        <v>2234</v>
      </c>
      <c r="B345" s="124"/>
      <c r="C345" s="123" t="s">
        <v>3735</v>
      </c>
      <c r="D345" s="124">
        <v>1</v>
      </c>
      <c r="E345" s="124" t="s">
        <v>60</v>
      </c>
      <c r="F345" s="125">
        <v>52250000</v>
      </c>
      <c r="G345" s="125">
        <f t="shared" si="11"/>
        <v>52250000</v>
      </c>
      <c r="H345" s="154" t="b">
        <f t="shared" si="10"/>
        <v>1</v>
      </c>
      <c r="I345" s="154"/>
      <c r="J345" s="154"/>
    </row>
    <row r="346" spans="1:10" ht="14.25" x14ac:dyDescent="0.2">
      <c r="A346" s="7" t="s">
        <v>2235</v>
      </c>
      <c r="B346" s="60">
        <v>523199</v>
      </c>
      <c r="C346" s="41" t="s">
        <v>102</v>
      </c>
      <c r="D346" s="60"/>
      <c r="E346" s="60"/>
      <c r="F346" s="42"/>
      <c r="G346" s="42">
        <f>G347</f>
        <v>36000000</v>
      </c>
      <c r="H346" s="154" t="b">
        <f t="shared" si="10"/>
        <v>1</v>
      </c>
      <c r="I346" s="154"/>
      <c r="J346" s="154"/>
    </row>
    <row r="347" spans="1:10" ht="14.25" x14ac:dyDescent="0.2">
      <c r="A347" s="7" t="s">
        <v>2236</v>
      </c>
      <c r="B347" s="124"/>
      <c r="C347" s="123" t="s">
        <v>3736</v>
      </c>
      <c r="D347" s="124">
        <v>24</v>
      </c>
      <c r="E347" s="124" t="s">
        <v>96</v>
      </c>
      <c r="F347" s="125">
        <v>1500000</v>
      </c>
      <c r="G347" s="125">
        <f>ROUNDDOWN(D347*F347,-3)</f>
        <v>36000000</v>
      </c>
      <c r="H347" s="154" t="b">
        <f t="shared" si="10"/>
        <v>1</v>
      </c>
      <c r="I347" s="154"/>
      <c r="J347" s="154"/>
    </row>
    <row r="348" spans="1:10" ht="14.25" x14ac:dyDescent="0.2">
      <c r="A348" s="7" t="s">
        <v>2238</v>
      </c>
      <c r="B348" s="59" t="s">
        <v>2239</v>
      </c>
      <c r="C348" s="38" t="s">
        <v>2240</v>
      </c>
      <c r="D348" s="59"/>
      <c r="E348" s="59"/>
      <c r="F348" s="39"/>
      <c r="G348" s="39">
        <f>SUM(G349,G352)</f>
        <v>159376000</v>
      </c>
      <c r="H348" s="154" t="b">
        <f t="shared" si="10"/>
        <v>1</v>
      </c>
      <c r="I348" s="154"/>
      <c r="J348" s="154"/>
    </row>
    <row r="349" spans="1:10" ht="14.25" x14ac:dyDescent="0.2">
      <c r="A349" s="7" t="s">
        <v>2241</v>
      </c>
      <c r="B349" s="60">
        <v>521111</v>
      </c>
      <c r="C349" s="41" t="s">
        <v>90</v>
      </c>
      <c r="D349" s="60"/>
      <c r="E349" s="60"/>
      <c r="F349" s="42"/>
      <c r="G349" s="42">
        <f>SUM(G350:G351)</f>
        <v>101040000</v>
      </c>
      <c r="H349" s="154" t="b">
        <f t="shared" si="10"/>
        <v>1</v>
      </c>
      <c r="I349" s="154"/>
      <c r="J349" s="154"/>
    </row>
    <row r="350" spans="1:10" s="156" customFormat="1" ht="14.25" x14ac:dyDescent="0.2">
      <c r="A350" s="155" t="s">
        <v>2242</v>
      </c>
      <c r="B350" s="124"/>
      <c r="C350" s="123" t="s">
        <v>3737</v>
      </c>
      <c r="D350" s="124">
        <v>100</v>
      </c>
      <c r="E350" s="124" t="s">
        <v>2244</v>
      </c>
      <c r="F350" s="125">
        <v>857000</v>
      </c>
      <c r="G350" s="125">
        <f>ROUNDDOWN(D350*F350,-3)</f>
        <v>85700000</v>
      </c>
      <c r="H350" s="154" t="b">
        <f t="shared" si="10"/>
        <v>1</v>
      </c>
      <c r="I350" s="154"/>
      <c r="J350" s="154"/>
    </row>
    <row r="351" spans="1:10" ht="14.25" x14ac:dyDescent="0.2">
      <c r="A351" s="7" t="s">
        <v>2245</v>
      </c>
      <c r="B351" s="124"/>
      <c r="C351" s="123" t="s">
        <v>3738</v>
      </c>
      <c r="D351" s="124">
        <v>26</v>
      </c>
      <c r="E351" s="124" t="s">
        <v>121</v>
      </c>
      <c r="F351" s="125">
        <v>590000</v>
      </c>
      <c r="G351" s="125">
        <f>ROUNDDOWN(D351*F351,-3)</f>
        <v>15340000</v>
      </c>
      <c r="H351" s="154" t="b">
        <f t="shared" si="10"/>
        <v>1</v>
      </c>
      <c r="I351" s="154"/>
      <c r="J351" s="154"/>
    </row>
    <row r="352" spans="1:10" ht="14.25" x14ac:dyDescent="0.2">
      <c r="A352" s="7" t="s">
        <v>2247</v>
      </c>
      <c r="B352" s="60">
        <v>521115</v>
      </c>
      <c r="C352" s="41" t="s">
        <v>104</v>
      </c>
      <c r="D352" s="60"/>
      <c r="E352" s="60"/>
      <c r="F352" s="42"/>
      <c r="G352" s="42">
        <f>SUM(G353:G362)</f>
        <v>58336000</v>
      </c>
      <c r="H352" s="154" t="b">
        <f t="shared" si="10"/>
        <v>1</v>
      </c>
      <c r="I352" s="154"/>
      <c r="J352" s="154"/>
    </row>
    <row r="353" spans="1:10" ht="14.25" x14ac:dyDescent="0.2">
      <c r="A353" s="7" t="s">
        <v>2248</v>
      </c>
      <c r="B353" s="124"/>
      <c r="C353" s="123" t="s">
        <v>3739</v>
      </c>
      <c r="D353" s="124">
        <v>12</v>
      </c>
      <c r="E353" s="124" t="s">
        <v>32</v>
      </c>
      <c r="F353" s="125">
        <v>2920000</v>
      </c>
      <c r="G353" s="125">
        <f t="shared" ref="G353:G362" si="12">ROUNDDOWN(D353*F353,-3)</f>
        <v>35040000</v>
      </c>
      <c r="H353" s="154" t="b">
        <f t="shared" si="10"/>
        <v>1</v>
      </c>
      <c r="I353" s="154"/>
      <c r="J353" s="154"/>
    </row>
    <row r="354" spans="1:10" ht="14.25" x14ac:dyDescent="0.2">
      <c r="A354" s="7" t="s">
        <v>2250</v>
      </c>
      <c r="B354" s="124"/>
      <c r="C354" s="123" t="s">
        <v>3740</v>
      </c>
      <c r="D354" s="124">
        <v>12</v>
      </c>
      <c r="E354" s="124" t="s">
        <v>32</v>
      </c>
      <c r="F354" s="125">
        <v>324000</v>
      </c>
      <c r="G354" s="125">
        <f t="shared" si="12"/>
        <v>3888000</v>
      </c>
      <c r="H354" s="154" t="b">
        <f t="shared" si="10"/>
        <v>1</v>
      </c>
      <c r="I354" s="154"/>
      <c r="J354" s="154"/>
    </row>
    <row r="355" spans="1:10" ht="14.25" x14ac:dyDescent="0.2">
      <c r="A355" s="7" t="s">
        <v>2252</v>
      </c>
      <c r="B355" s="124"/>
      <c r="C355" s="123" t="s">
        <v>3741</v>
      </c>
      <c r="D355" s="124">
        <v>12</v>
      </c>
      <c r="E355" s="124" t="s">
        <v>32</v>
      </c>
      <c r="F355" s="125">
        <v>324000</v>
      </c>
      <c r="G355" s="125">
        <f t="shared" si="12"/>
        <v>3888000</v>
      </c>
      <c r="H355" s="154" t="b">
        <f t="shared" si="10"/>
        <v>1</v>
      </c>
      <c r="I355" s="154"/>
      <c r="J355" s="154"/>
    </row>
    <row r="356" spans="1:10" s="156" customFormat="1" ht="14.25" x14ac:dyDescent="0.2">
      <c r="A356" s="155" t="s">
        <v>2254</v>
      </c>
      <c r="B356" s="124"/>
      <c r="C356" s="123" t="s">
        <v>3742</v>
      </c>
      <c r="D356" s="124">
        <v>12</v>
      </c>
      <c r="E356" s="124" t="s">
        <v>32</v>
      </c>
      <c r="F356" s="125">
        <v>680000</v>
      </c>
      <c r="G356" s="125">
        <f t="shared" si="12"/>
        <v>8160000</v>
      </c>
      <c r="H356" s="154" t="b">
        <f t="shared" si="10"/>
        <v>1</v>
      </c>
      <c r="I356" s="154"/>
      <c r="J356" s="154"/>
    </row>
    <row r="357" spans="1:10" ht="14.25" x14ac:dyDescent="0.2">
      <c r="A357" s="7" t="s">
        <v>2256</v>
      </c>
      <c r="B357" s="124"/>
      <c r="C357" s="123" t="s">
        <v>3743</v>
      </c>
      <c r="D357" s="124">
        <v>12</v>
      </c>
      <c r="E357" s="124" t="s">
        <v>32</v>
      </c>
      <c r="F357" s="125">
        <v>200000</v>
      </c>
      <c r="G357" s="125">
        <f t="shared" si="12"/>
        <v>2400000</v>
      </c>
      <c r="H357" s="154" t="b">
        <f t="shared" si="10"/>
        <v>1</v>
      </c>
      <c r="I357" s="154"/>
      <c r="J357" s="154"/>
    </row>
    <row r="358" spans="1:10" ht="14.25" x14ac:dyDescent="0.2">
      <c r="A358" s="7" t="s">
        <v>2258</v>
      </c>
      <c r="B358" s="124"/>
      <c r="C358" s="123" t="s">
        <v>3744</v>
      </c>
      <c r="D358" s="124">
        <v>12</v>
      </c>
      <c r="E358" s="124" t="s">
        <v>32</v>
      </c>
      <c r="F358" s="125">
        <v>80000</v>
      </c>
      <c r="G358" s="125">
        <f t="shared" si="12"/>
        <v>960000</v>
      </c>
      <c r="H358" s="154" t="b">
        <f t="shared" si="10"/>
        <v>1</v>
      </c>
      <c r="I358" s="154"/>
      <c r="J358" s="154"/>
    </row>
    <row r="359" spans="1:10" ht="14.25" x14ac:dyDescent="0.2">
      <c r="A359" s="7" t="s">
        <v>2260</v>
      </c>
      <c r="B359" s="124"/>
      <c r="C359" s="123" t="s">
        <v>3745</v>
      </c>
      <c r="D359" s="124">
        <v>12</v>
      </c>
      <c r="E359" s="124" t="s">
        <v>32</v>
      </c>
      <c r="F359" s="125">
        <v>200000</v>
      </c>
      <c r="G359" s="125">
        <f t="shared" si="12"/>
        <v>2400000</v>
      </c>
      <c r="H359" s="154" t="b">
        <f t="shared" si="10"/>
        <v>1</v>
      </c>
      <c r="I359" s="154"/>
      <c r="J359" s="154"/>
    </row>
    <row r="360" spans="1:10" ht="14.25" x14ac:dyDescent="0.2">
      <c r="A360" s="7" t="s">
        <v>2262</v>
      </c>
      <c r="B360" s="124"/>
      <c r="C360" s="123" t="s">
        <v>3746</v>
      </c>
      <c r="D360" s="124">
        <v>1</v>
      </c>
      <c r="E360" s="124" t="s">
        <v>776</v>
      </c>
      <c r="F360" s="125">
        <v>400000</v>
      </c>
      <c r="G360" s="125">
        <f t="shared" si="12"/>
        <v>400000</v>
      </c>
      <c r="H360" s="154" t="b">
        <f t="shared" si="10"/>
        <v>1</v>
      </c>
      <c r="I360" s="154"/>
      <c r="J360" s="154"/>
    </row>
    <row r="361" spans="1:10" s="156" customFormat="1" ht="14.25" x14ac:dyDescent="0.2">
      <c r="A361" s="155" t="s">
        <v>2264</v>
      </c>
      <c r="B361" s="124"/>
      <c r="C361" s="123" t="s">
        <v>3747</v>
      </c>
      <c r="D361" s="124">
        <v>1</v>
      </c>
      <c r="E361" s="124" t="s">
        <v>25</v>
      </c>
      <c r="F361" s="125">
        <v>300000</v>
      </c>
      <c r="G361" s="125">
        <f t="shared" si="12"/>
        <v>300000</v>
      </c>
      <c r="H361" s="154" t="b">
        <f t="shared" si="10"/>
        <v>1</v>
      </c>
      <c r="I361" s="154"/>
      <c r="J361" s="154"/>
    </row>
    <row r="362" spans="1:10" ht="14.25" x14ac:dyDescent="0.2">
      <c r="A362" s="7" t="s">
        <v>2266</v>
      </c>
      <c r="B362" s="124"/>
      <c r="C362" s="123" t="s">
        <v>3748</v>
      </c>
      <c r="D362" s="124">
        <v>3</v>
      </c>
      <c r="E362" s="124" t="s">
        <v>25</v>
      </c>
      <c r="F362" s="125">
        <v>300000</v>
      </c>
      <c r="G362" s="125">
        <f t="shared" si="12"/>
        <v>900000</v>
      </c>
      <c r="H362" s="154" t="b">
        <f t="shared" si="10"/>
        <v>1</v>
      </c>
      <c r="I362" s="154"/>
      <c r="J362" s="154"/>
    </row>
    <row r="363" spans="1:10" ht="14.25" x14ac:dyDescent="0.2">
      <c r="A363" s="7" t="s">
        <v>3749</v>
      </c>
      <c r="B363" s="59" t="s">
        <v>3750</v>
      </c>
      <c r="C363" s="38" t="s">
        <v>3751</v>
      </c>
      <c r="D363" s="59"/>
      <c r="E363" s="59"/>
      <c r="F363" s="39"/>
      <c r="G363" s="39">
        <f>SUM(G364,G369,G374)</f>
        <v>100000000</v>
      </c>
      <c r="H363" s="154" t="b">
        <f t="shared" si="10"/>
        <v>1</v>
      </c>
      <c r="I363" s="154"/>
      <c r="J363" s="154"/>
    </row>
    <row r="364" spans="1:10" ht="14.25" x14ac:dyDescent="0.2">
      <c r="A364" s="7" t="s">
        <v>3752</v>
      </c>
      <c r="B364" s="60">
        <v>521111</v>
      </c>
      <c r="C364" s="41" t="s">
        <v>90</v>
      </c>
      <c r="D364" s="60"/>
      <c r="E364" s="60"/>
      <c r="F364" s="42"/>
      <c r="G364" s="42">
        <f>SUM(G365:G368)</f>
        <v>45000000</v>
      </c>
      <c r="H364" s="154" t="b">
        <f t="shared" si="10"/>
        <v>1</v>
      </c>
      <c r="I364" s="154"/>
      <c r="J364" s="154"/>
    </row>
    <row r="365" spans="1:10" ht="14.25" x14ac:dyDescent="0.2">
      <c r="A365" s="7" t="s">
        <v>3753</v>
      </c>
      <c r="B365" s="124"/>
      <c r="C365" s="123" t="s">
        <v>3754</v>
      </c>
      <c r="D365" s="124">
        <v>1</v>
      </c>
      <c r="E365" s="124" t="s">
        <v>60</v>
      </c>
      <c r="F365" s="125">
        <v>3000000</v>
      </c>
      <c r="G365" s="125">
        <f>ROUNDDOWN(D365*F365,-3)</f>
        <v>3000000</v>
      </c>
      <c r="H365" s="154" t="b">
        <f t="shared" si="10"/>
        <v>1</v>
      </c>
      <c r="I365" s="154"/>
      <c r="J365" s="154"/>
    </row>
    <row r="366" spans="1:10" s="156" customFormat="1" ht="14.25" x14ac:dyDescent="0.2">
      <c r="A366" s="155" t="s">
        <v>3755</v>
      </c>
      <c r="B366" s="124"/>
      <c r="C366" s="123" t="s">
        <v>3756</v>
      </c>
      <c r="D366" s="124">
        <v>48</v>
      </c>
      <c r="E366" s="124" t="s">
        <v>58</v>
      </c>
      <c r="F366" s="125">
        <v>500000</v>
      </c>
      <c r="G366" s="125">
        <f>ROUNDDOWN(D366*F366,-3)</f>
        <v>24000000</v>
      </c>
      <c r="H366" s="154" t="b">
        <f t="shared" si="10"/>
        <v>1</v>
      </c>
      <c r="I366" s="154"/>
      <c r="J366" s="154"/>
    </row>
    <row r="367" spans="1:10" ht="14.25" x14ac:dyDescent="0.2">
      <c r="A367" s="7" t="s">
        <v>3757</v>
      </c>
      <c r="B367" s="124"/>
      <c r="C367" s="123" t="s">
        <v>3758</v>
      </c>
      <c r="D367" s="124">
        <v>12</v>
      </c>
      <c r="E367" s="124" t="s">
        <v>78</v>
      </c>
      <c r="F367" s="125">
        <v>500000</v>
      </c>
      <c r="G367" s="125">
        <f>ROUNDDOWN(D367*F367,-3)</f>
        <v>6000000</v>
      </c>
      <c r="H367" s="154" t="b">
        <f t="shared" si="10"/>
        <v>1</v>
      </c>
      <c r="I367" s="154"/>
      <c r="J367" s="154"/>
    </row>
    <row r="368" spans="1:10" ht="14.25" x14ac:dyDescent="0.2">
      <c r="A368" s="7" t="s">
        <v>3759</v>
      </c>
      <c r="B368" s="124"/>
      <c r="C368" s="123" t="s">
        <v>3760</v>
      </c>
      <c r="D368" s="124">
        <v>60</v>
      </c>
      <c r="E368" s="124" t="s">
        <v>116</v>
      </c>
      <c r="F368" s="125">
        <v>200000</v>
      </c>
      <c r="G368" s="125">
        <f>ROUNDDOWN(D368*F368,-3)</f>
        <v>12000000</v>
      </c>
      <c r="H368" s="154" t="b">
        <f t="shared" si="10"/>
        <v>1</v>
      </c>
      <c r="I368" s="154"/>
      <c r="J368" s="154"/>
    </row>
    <row r="369" spans="1:10" ht="14.25" x14ac:dyDescent="0.2">
      <c r="A369" s="7" t="s">
        <v>3761</v>
      </c>
      <c r="B369" s="60">
        <v>521811</v>
      </c>
      <c r="C369" s="41" t="s">
        <v>64</v>
      </c>
      <c r="D369" s="60"/>
      <c r="E369" s="60"/>
      <c r="F369" s="42"/>
      <c r="G369" s="42">
        <f>SUM(G370:G373)</f>
        <v>26000000</v>
      </c>
      <c r="H369" s="154" t="b">
        <f t="shared" si="10"/>
        <v>1</v>
      </c>
      <c r="I369" s="154"/>
      <c r="J369" s="154"/>
    </row>
    <row r="370" spans="1:10" ht="14.25" x14ac:dyDescent="0.2">
      <c r="A370" s="7" t="s">
        <v>3762</v>
      </c>
      <c r="B370" s="124"/>
      <c r="C370" s="123" t="s">
        <v>3595</v>
      </c>
      <c r="D370" s="124">
        <v>8</v>
      </c>
      <c r="E370" s="124" t="s">
        <v>9</v>
      </c>
      <c r="F370" s="125">
        <v>1000000</v>
      </c>
      <c r="G370" s="125">
        <f>ROUNDDOWN(D370*F370,-3)</f>
        <v>8000000</v>
      </c>
      <c r="H370" s="154" t="b">
        <f t="shared" si="10"/>
        <v>1</v>
      </c>
      <c r="I370" s="154"/>
      <c r="J370" s="154"/>
    </row>
    <row r="371" spans="1:10" ht="14.25" x14ac:dyDescent="0.2">
      <c r="A371" s="7" t="s">
        <v>3763</v>
      </c>
      <c r="B371" s="124"/>
      <c r="C371" s="123" t="s">
        <v>3596</v>
      </c>
      <c r="D371" s="124">
        <v>8</v>
      </c>
      <c r="E371" s="124" t="s">
        <v>9</v>
      </c>
      <c r="F371" s="125">
        <v>1500000</v>
      </c>
      <c r="G371" s="125">
        <f>ROUNDDOWN(D371*F371,-3)</f>
        <v>12000000</v>
      </c>
      <c r="H371" s="154" t="b">
        <f t="shared" si="10"/>
        <v>1</v>
      </c>
      <c r="I371" s="154"/>
      <c r="J371" s="154"/>
    </row>
    <row r="372" spans="1:10" ht="14.25" x14ac:dyDescent="0.2">
      <c r="A372" s="7" t="s">
        <v>3764</v>
      </c>
      <c r="B372" s="124"/>
      <c r="C372" s="123" t="s">
        <v>3765</v>
      </c>
      <c r="D372" s="124">
        <v>200</v>
      </c>
      <c r="E372" s="124" t="s">
        <v>120</v>
      </c>
      <c r="F372" s="125">
        <v>5000</v>
      </c>
      <c r="G372" s="125">
        <f>ROUNDDOWN(D372*F372,-3)</f>
        <v>1000000</v>
      </c>
      <c r="H372" s="154" t="b">
        <f t="shared" si="10"/>
        <v>1</v>
      </c>
      <c r="I372" s="154"/>
      <c r="J372" s="154"/>
    </row>
    <row r="373" spans="1:10" s="156" customFormat="1" ht="14.25" x14ac:dyDescent="0.2">
      <c r="A373" s="155" t="s">
        <v>3766</v>
      </c>
      <c r="B373" s="124"/>
      <c r="C373" s="123" t="s">
        <v>3767</v>
      </c>
      <c r="D373" s="124">
        <v>200</v>
      </c>
      <c r="E373" s="124" t="s">
        <v>120</v>
      </c>
      <c r="F373" s="125">
        <v>25000</v>
      </c>
      <c r="G373" s="125">
        <f>ROUNDDOWN(D373*F373,-3)</f>
        <v>5000000</v>
      </c>
      <c r="H373" s="154" t="b">
        <f t="shared" si="10"/>
        <v>1</v>
      </c>
      <c r="I373" s="154"/>
      <c r="J373" s="154"/>
    </row>
    <row r="374" spans="1:10" ht="14.25" x14ac:dyDescent="0.2">
      <c r="A374" s="7" t="s">
        <v>3768</v>
      </c>
      <c r="B374" s="60">
        <v>523121</v>
      </c>
      <c r="C374" s="41" t="s">
        <v>99</v>
      </c>
      <c r="D374" s="60"/>
      <c r="E374" s="60"/>
      <c r="F374" s="42"/>
      <c r="G374" s="42">
        <f>SUM(G375:G379)</f>
        <v>29000000</v>
      </c>
      <c r="H374" s="154" t="b">
        <f t="shared" si="10"/>
        <v>1</v>
      </c>
      <c r="I374" s="154"/>
      <c r="J374" s="154"/>
    </row>
    <row r="375" spans="1:10" s="156" customFormat="1" ht="14.25" x14ac:dyDescent="0.2">
      <c r="A375" s="155" t="s">
        <v>3769</v>
      </c>
      <c r="B375" s="124"/>
      <c r="C375" s="123" t="s">
        <v>3770</v>
      </c>
      <c r="D375" s="124">
        <v>1</v>
      </c>
      <c r="E375" s="124" t="s">
        <v>42</v>
      </c>
      <c r="F375" s="125">
        <v>7200000</v>
      </c>
      <c r="G375" s="125">
        <f>ROUNDDOWN(D375*F375,-3)</f>
        <v>7200000</v>
      </c>
      <c r="H375" s="154" t="b">
        <f t="shared" si="10"/>
        <v>1</v>
      </c>
      <c r="I375" s="154"/>
      <c r="J375" s="154"/>
    </row>
    <row r="376" spans="1:10" ht="14.25" x14ac:dyDescent="0.2">
      <c r="A376" s="7" t="s">
        <v>3771</v>
      </c>
      <c r="B376" s="124"/>
      <c r="C376" s="123" t="s">
        <v>3772</v>
      </c>
      <c r="D376" s="124">
        <v>10</v>
      </c>
      <c r="E376" s="124" t="s">
        <v>42</v>
      </c>
      <c r="F376" s="125">
        <v>730000</v>
      </c>
      <c r="G376" s="125">
        <f>ROUNDDOWN(D376*F376,-3)</f>
        <v>7300000</v>
      </c>
      <c r="H376" s="154" t="b">
        <f t="shared" si="10"/>
        <v>1</v>
      </c>
      <c r="I376" s="154"/>
      <c r="J376" s="154"/>
    </row>
    <row r="377" spans="1:10" ht="14.25" x14ac:dyDescent="0.2">
      <c r="A377" s="7" t="s">
        <v>3773</v>
      </c>
      <c r="B377" s="124"/>
      <c r="C377" s="123" t="s">
        <v>3774</v>
      </c>
      <c r="D377" s="124">
        <v>10</v>
      </c>
      <c r="E377" s="124" t="s">
        <v>44</v>
      </c>
      <c r="F377" s="125">
        <v>730000</v>
      </c>
      <c r="G377" s="125">
        <f>ROUNDDOWN(D377*F377,-3)</f>
        <v>7300000</v>
      </c>
      <c r="H377" s="154" t="b">
        <f t="shared" si="10"/>
        <v>1</v>
      </c>
      <c r="I377" s="154"/>
      <c r="J377" s="154"/>
    </row>
    <row r="378" spans="1:10" ht="14.25" x14ac:dyDescent="0.2">
      <c r="A378" s="7" t="s">
        <v>3775</v>
      </c>
      <c r="B378" s="124"/>
      <c r="C378" s="123" t="s">
        <v>3776</v>
      </c>
      <c r="D378" s="124">
        <v>10</v>
      </c>
      <c r="E378" s="124" t="s">
        <v>44</v>
      </c>
      <c r="F378" s="125">
        <v>690000</v>
      </c>
      <c r="G378" s="125">
        <f>ROUNDDOWN(D378*F378,-3)</f>
        <v>6900000</v>
      </c>
      <c r="H378" s="154" t="b">
        <f t="shared" si="10"/>
        <v>1</v>
      </c>
      <c r="I378" s="154"/>
      <c r="J378" s="154"/>
    </row>
    <row r="379" spans="1:10" ht="14.25" x14ac:dyDescent="0.2">
      <c r="A379" s="7" t="s">
        <v>3777</v>
      </c>
      <c r="B379" s="124"/>
      <c r="C379" s="123" t="s">
        <v>3778</v>
      </c>
      <c r="D379" s="124">
        <v>1</v>
      </c>
      <c r="E379" s="124" t="s">
        <v>60</v>
      </c>
      <c r="F379" s="125">
        <v>300000</v>
      </c>
      <c r="G379" s="125">
        <f>ROUNDDOWN(D379*F379,-3)</f>
        <v>300000</v>
      </c>
      <c r="H379" s="154" t="b">
        <f t="shared" si="10"/>
        <v>1</v>
      </c>
      <c r="I379" s="154"/>
      <c r="J379" s="154"/>
    </row>
    <row r="380" spans="1:10" ht="14.25" x14ac:dyDescent="0.2">
      <c r="A380" s="7" t="s">
        <v>2268</v>
      </c>
      <c r="B380" s="116" t="s">
        <v>2269</v>
      </c>
      <c r="C380" s="114" t="s">
        <v>2270</v>
      </c>
      <c r="D380" s="116">
        <v>2</v>
      </c>
      <c r="E380" s="116" t="s">
        <v>42</v>
      </c>
      <c r="F380" s="117"/>
      <c r="G380" s="117">
        <f>G381</f>
        <v>540934000</v>
      </c>
      <c r="H380" s="154" t="b">
        <f t="shared" si="10"/>
        <v>1</v>
      </c>
      <c r="I380" s="154"/>
      <c r="J380" s="154"/>
    </row>
    <row r="381" spans="1:10" ht="14.25" x14ac:dyDescent="0.2">
      <c r="A381" s="7" t="s">
        <v>2271</v>
      </c>
      <c r="B381" s="119" t="s">
        <v>3779</v>
      </c>
      <c r="C381" s="118" t="s">
        <v>2273</v>
      </c>
      <c r="D381" s="119">
        <v>1</v>
      </c>
      <c r="E381" s="119" t="s">
        <v>42</v>
      </c>
      <c r="F381" s="120"/>
      <c r="G381" s="120">
        <f>G382</f>
        <v>540934000</v>
      </c>
      <c r="H381" s="154" t="b">
        <f t="shared" si="10"/>
        <v>1</v>
      </c>
      <c r="I381" s="154"/>
      <c r="J381" s="154"/>
    </row>
    <row r="382" spans="1:10" ht="14.25" x14ac:dyDescent="0.2">
      <c r="A382" s="7" t="s">
        <v>2289</v>
      </c>
      <c r="B382" s="58">
        <v>301</v>
      </c>
      <c r="C382" s="35" t="s">
        <v>2290</v>
      </c>
      <c r="D382" s="58"/>
      <c r="E382" s="58"/>
      <c r="F382" s="36"/>
      <c r="G382" s="36">
        <f>G383</f>
        <v>540934000</v>
      </c>
      <c r="H382" s="154" t="b">
        <f t="shared" si="10"/>
        <v>1</v>
      </c>
      <c r="I382" s="154"/>
      <c r="J382" s="154"/>
    </row>
    <row r="383" spans="1:10" ht="14.25" x14ac:dyDescent="0.2">
      <c r="A383" s="7" t="s">
        <v>2291</v>
      </c>
      <c r="B383" s="59" t="s">
        <v>8</v>
      </c>
      <c r="C383" s="38" t="s">
        <v>2292</v>
      </c>
      <c r="D383" s="59"/>
      <c r="E383" s="59"/>
      <c r="F383" s="39"/>
      <c r="G383" s="39">
        <f>G384</f>
        <v>540934000</v>
      </c>
      <c r="H383" s="154" t="b">
        <f t="shared" si="10"/>
        <v>1</v>
      </c>
      <c r="I383" s="154"/>
      <c r="J383" s="154"/>
    </row>
    <row r="384" spans="1:10" ht="14.25" x14ac:dyDescent="0.2">
      <c r="A384" s="7" t="s">
        <v>2293</v>
      </c>
      <c r="B384" s="60">
        <v>532111</v>
      </c>
      <c r="C384" s="41" t="s">
        <v>43</v>
      </c>
      <c r="D384" s="60"/>
      <c r="E384" s="60"/>
      <c r="F384" s="42"/>
      <c r="G384" s="42">
        <f>G385</f>
        <v>540934000</v>
      </c>
      <c r="H384" s="154" t="b">
        <f t="shared" si="10"/>
        <v>1</v>
      </c>
      <c r="I384" s="154"/>
      <c r="J384" s="154"/>
    </row>
    <row r="385" spans="1:10" ht="14.25" x14ac:dyDescent="0.2">
      <c r="A385" s="7" t="s">
        <v>2294</v>
      </c>
      <c r="B385" s="124"/>
      <c r="C385" s="123" t="s">
        <v>3780</v>
      </c>
      <c r="D385" s="124">
        <v>1</v>
      </c>
      <c r="E385" s="124" t="s">
        <v>42</v>
      </c>
      <c r="F385" s="125">
        <v>540934000</v>
      </c>
      <c r="G385" s="125">
        <f>ROUNDDOWN(D385*F385,-3)</f>
        <v>540934000</v>
      </c>
      <c r="H385" s="154" t="b">
        <f t="shared" si="10"/>
        <v>1</v>
      </c>
      <c r="I385" s="154"/>
      <c r="J385" s="154"/>
    </row>
    <row r="386" spans="1:10" ht="14.25" x14ac:dyDescent="0.2">
      <c r="A386" s="7" t="s">
        <v>2465</v>
      </c>
      <c r="B386" s="116" t="s">
        <v>2466</v>
      </c>
      <c r="C386" s="114" t="s">
        <v>2467</v>
      </c>
      <c r="D386" s="116">
        <v>5</v>
      </c>
      <c r="E386" s="116" t="s">
        <v>3782</v>
      </c>
      <c r="F386" s="117"/>
      <c r="G386" s="117">
        <f>SUM(G387,G427,G469)</f>
        <v>1538790000</v>
      </c>
      <c r="H386" s="154" t="b">
        <f t="shared" si="10"/>
        <v>1</v>
      </c>
      <c r="I386" s="154"/>
      <c r="J386" s="154"/>
    </row>
    <row r="387" spans="1:10" ht="14.25" x14ac:dyDescent="0.2">
      <c r="A387" s="7" t="s">
        <v>2468</v>
      </c>
      <c r="B387" s="119" t="s">
        <v>3783</v>
      </c>
      <c r="C387" s="118" t="s">
        <v>2470</v>
      </c>
      <c r="D387" s="119">
        <v>1</v>
      </c>
      <c r="E387" s="119" t="s">
        <v>3782</v>
      </c>
      <c r="F387" s="120"/>
      <c r="G387" s="120">
        <f>G388</f>
        <v>615138000</v>
      </c>
      <c r="H387" s="154" t="b">
        <f t="shared" si="10"/>
        <v>1</v>
      </c>
      <c r="I387" s="154"/>
      <c r="J387" s="154"/>
    </row>
    <row r="388" spans="1:10" ht="14.25" x14ac:dyDescent="0.2">
      <c r="A388" s="7" t="s">
        <v>2739</v>
      </c>
      <c r="B388" s="58">
        <v>301</v>
      </c>
      <c r="C388" s="35" t="s">
        <v>2740</v>
      </c>
      <c r="D388" s="58"/>
      <c r="E388" s="58"/>
      <c r="F388" s="36"/>
      <c r="G388" s="36">
        <f>SUM(G389,G401,G415)</f>
        <v>615138000</v>
      </c>
      <c r="H388" s="154" t="b">
        <f t="shared" si="10"/>
        <v>1</v>
      </c>
      <c r="I388" s="154"/>
      <c r="J388" s="154"/>
    </row>
    <row r="389" spans="1:10" ht="14.25" x14ac:dyDescent="0.2">
      <c r="A389" s="7" t="s">
        <v>2741</v>
      </c>
      <c r="B389" s="59" t="s">
        <v>8</v>
      </c>
      <c r="C389" s="38" t="s">
        <v>129</v>
      </c>
      <c r="D389" s="59"/>
      <c r="E389" s="59"/>
      <c r="F389" s="39"/>
      <c r="G389" s="39">
        <f>SUM(G390,G394,G396,G399)</f>
        <v>101050000</v>
      </c>
      <c r="H389" s="154" t="b">
        <f t="shared" si="10"/>
        <v>1</v>
      </c>
      <c r="I389" s="154"/>
      <c r="J389" s="154"/>
    </row>
    <row r="390" spans="1:10" ht="14.25" x14ac:dyDescent="0.2">
      <c r="A390" s="7" t="s">
        <v>2742</v>
      </c>
      <c r="B390" s="60">
        <v>521211</v>
      </c>
      <c r="C390" s="41" t="s">
        <v>7</v>
      </c>
      <c r="D390" s="60"/>
      <c r="E390" s="60"/>
      <c r="F390" s="42"/>
      <c r="G390" s="42">
        <f>SUM(G391:G393)</f>
        <v>22650000</v>
      </c>
      <c r="H390" s="154" t="b">
        <f t="shared" si="10"/>
        <v>1</v>
      </c>
      <c r="I390" s="154"/>
      <c r="J390" s="154"/>
    </row>
    <row r="391" spans="1:10" ht="14.25" x14ac:dyDescent="0.2">
      <c r="A391" s="7" t="s">
        <v>2743</v>
      </c>
      <c r="B391" s="124"/>
      <c r="C391" s="123" t="s">
        <v>3587</v>
      </c>
      <c r="D391" s="124">
        <v>6</v>
      </c>
      <c r="E391" s="124" t="s">
        <v>9</v>
      </c>
      <c r="F391" s="125">
        <v>1500000</v>
      </c>
      <c r="G391" s="125">
        <f>ROUNDDOWN(D391*F391,-3)</f>
        <v>9000000</v>
      </c>
      <c r="H391" s="154" t="b">
        <f t="shared" si="10"/>
        <v>1</v>
      </c>
      <c r="I391" s="154"/>
      <c r="J391" s="154"/>
    </row>
    <row r="392" spans="1:10" ht="14.25" x14ac:dyDescent="0.2">
      <c r="A392" s="7" t="s">
        <v>2744</v>
      </c>
      <c r="B392" s="124"/>
      <c r="C392" s="123" t="s">
        <v>3784</v>
      </c>
      <c r="D392" s="124">
        <v>70</v>
      </c>
      <c r="E392" s="124" t="s">
        <v>10</v>
      </c>
      <c r="F392" s="125">
        <v>70000</v>
      </c>
      <c r="G392" s="125">
        <f>ROUNDDOWN(D392*F392,-3)</f>
        <v>4900000</v>
      </c>
      <c r="H392" s="154" t="b">
        <f t="shared" si="10"/>
        <v>1</v>
      </c>
      <c r="I392" s="154"/>
      <c r="J392" s="154"/>
    </row>
    <row r="393" spans="1:10" ht="14.25" x14ac:dyDescent="0.2">
      <c r="A393" s="7" t="s">
        <v>2746</v>
      </c>
      <c r="B393" s="124"/>
      <c r="C393" s="123" t="s">
        <v>3785</v>
      </c>
      <c r="D393" s="124">
        <v>25</v>
      </c>
      <c r="E393" s="124" t="s">
        <v>176</v>
      </c>
      <c r="F393" s="125">
        <v>350000</v>
      </c>
      <c r="G393" s="125">
        <f>ROUNDDOWN(D393*F393,-3)</f>
        <v>8750000</v>
      </c>
      <c r="H393" s="154" t="b">
        <f t="shared" si="10"/>
        <v>1</v>
      </c>
      <c r="I393" s="154"/>
      <c r="J393" s="154"/>
    </row>
    <row r="394" spans="1:10" ht="14.25" x14ac:dyDescent="0.2">
      <c r="A394" s="7" t="s">
        <v>2747</v>
      </c>
      <c r="B394" s="60">
        <v>521219</v>
      </c>
      <c r="C394" s="41" t="s">
        <v>53</v>
      </c>
      <c r="D394" s="60"/>
      <c r="E394" s="60"/>
      <c r="F394" s="42"/>
      <c r="G394" s="42">
        <f>G395</f>
        <v>1000000</v>
      </c>
      <c r="H394" s="154" t="b">
        <f t="shared" si="10"/>
        <v>1</v>
      </c>
      <c r="I394" s="154"/>
      <c r="J394" s="154"/>
    </row>
    <row r="395" spans="1:10" ht="14.25" x14ac:dyDescent="0.2">
      <c r="A395" s="7" t="s">
        <v>2748</v>
      </c>
      <c r="B395" s="124"/>
      <c r="C395" s="123" t="s">
        <v>3610</v>
      </c>
      <c r="D395" s="124">
        <v>4</v>
      </c>
      <c r="E395" s="124" t="s">
        <v>2749</v>
      </c>
      <c r="F395" s="125">
        <v>250000</v>
      </c>
      <c r="G395" s="125">
        <f>ROUNDDOWN(D395*F395,-3)</f>
        <v>1000000</v>
      </c>
      <c r="H395" s="154" t="b">
        <f t="shared" si="10"/>
        <v>1</v>
      </c>
      <c r="I395" s="154"/>
      <c r="J395" s="154"/>
    </row>
    <row r="396" spans="1:10" ht="14.25" x14ac:dyDescent="0.2">
      <c r="A396" s="7" t="s">
        <v>2750</v>
      </c>
      <c r="B396" s="60">
        <v>521811</v>
      </c>
      <c r="C396" s="41" t="s">
        <v>64</v>
      </c>
      <c r="D396" s="60"/>
      <c r="E396" s="60"/>
      <c r="F396" s="42"/>
      <c r="G396" s="42">
        <f>SUM(G397:G398)</f>
        <v>15000000</v>
      </c>
      <c r="H396" s="154" t="b">
        <f t="shared" si="10"/>
        <v>1</v>
      </c>
      <c r="I396" s="154"/>
      <c r="J396" s="154"/>
    </row>
    <row r="397" spans="1:10" ht="14.25" x14ac:dyDescent="0.2">
      <c r="A397" s="7" t="s">
        <v>2751</v>
      </c>
      <c r="B397" s="124"/>
      <c r="C397" s="123" t="s">
        <v>3595</v>
      </c>
      <c r="D397" s="124">
        <v>6</v>
      </c>
      <c r="E397" s="124" t="s">
        <v>106</v>
      </c>
      <c r="F397" s="125">
        <v>1000000</v>
      </c>
      <c r="G397" s="125">
        <f>ROUNDDOWN(D397*F397,-3)</f>
        <v>6000000</v>
      </c>
      <c r="H397" s="154" t="b">
        <f t="shared" si="10"/>
        <v>1</v>
      </c>
      <c r="I397" s="154"/>
      <c r="J397" s="154"/>
    </row>
    <row r="398" spans="1:10" ht="14.25" x14ac:dyDescent="0.2">
      <c r="A398" s="7" t="s">
        <v>2752</v>
      </c>
      <c r="B398" s="124"/>
      <c r="C398" s="123" t="s">
        <v>3596</v>
      </c>
      <c r="D398" s="124">
        <v>6</v>
      </c>
      <c r="E398" s="124" t="s">
        <v>106</v>
      </c>
      <c r="F398" s="125">
        <v>1500000</v>
      </c>
      <c r="G398" s="125">
        <f>ROUNDDOWN(D398*F398,-3)</f>
        <v>9000000</v>
      </c>
      <c r="H398" s="154" t="b">
        <f t="shared" ref="H398:H461" si="13">_xlfn.ISFORMULA(G398)</f>
        <v>1</v>
      </c>
      <c r="I398" s="154"/>
      <c r="J398" s="154"/>
    </row>
    <row r="399" spans="1:10" ht="14.25" x14ac:dyDescent="0.2">
      <c r="A399" s="7" t="s">
        <v>2753</v>
      </c>
      <c r="B399" s="60">
        <v>524111</v>
      </c>
      <c r="C399" s="41" t="s">
        <v>19</v>
      </c>
      <c r="D399" s="60"/>
      <c r="E399" s="60"/>
      <c r="F399" s="42"/>
      <c r="G399" s="42">
        <f>G400</f>
        <v>62400000</v>
      </c>
      <c r="H399" s="154" t="b">
        <f t="shared" si="13"/>
        <v>1</v>
      </c>
      <c r="I399" s="154"/>
      <c r="J399" s="154"/>
    </row>
    <row r="400" spans="1:10" ht="14.25" x14ac:dyDescent="0.2">
      <c r="A400" s="7" t="s">
        <v>2754</v>
      </c>
      <c r="B400" s="124"/>
      <c r="C400" s="123" t="s">
        <v>3786</v>
      </c>
      <c r="D400" s="124">
        <v>12</v>
      </c>
      <c r="E400" s="124" t="s">
        <v>10</v>
      </c>
      <c r="F400" s="125">
        <v>5200000</v>
      </c>
      <c r="G400" s="125">
        <f>ROUNDDOWN(D400*F400,-3)</f>
        <v>62400000</v>
      </c>
      <c r="H400" s="154" t="b">
        <f t="shared" si="13"/>
        <v>1</v>
      </c>
      <c r="I400" s="154"/>
      <c r="J400" s="154"/>
    </row>
    <row r="401" spans="1:10" ht="14.25" x14ac:dyDescent="0.2">
      <c r="A401" s="7" t="s">
        <v>2756</v>
      </c>
      <c r="B401" s="59" t="s">
        <v>511</v>
      </c>
      <c r="C401" s="38" t="s">
        <v>130</v>
      </c>
      <c r="D401" s="59"/>
      <c r="E401" s="59"/>
      <c r="F401" s="39"/>
      <c r="G401" s="39">
        <f>SUM(G402,G406,G408,G411,G413)</f>
        <v>345988000</v>
      </c>
      <c r="H401" s="154" t="b">
        <f t="shared" si="13"/>
        <v>1</v>
      </c>
      <c r="I401" s="154"/>
      <c r="J401" s="154"/>
    </row>
    <row r="402" spans="1:10" ht="14.25" x14ac:dyDescent="0.2">
      <c r="A402" s="7" t="s">
        <v>2757</v>
      </c>
      <c r="B402" s="60">
        <v>521211</v>
      </c>
      <c r="C402" s="41" t="s">
        <v>7</v>
      </c>
      <c r="D402" s="60"/>
      <c r="E402" s="60"/>
      <c r="F402" s="42"/>
      <c r="G402" s="42">
        <f>SUM(G403:G405)</f>
        <v>49300000</v>
      </c>
      <c r="H402" s="154" t="b">
        <f t="shared" si="13"/>
        <v>1</v>
      </c>
      <c r="I402" s="154"/>
      <c r="J402" s="154"/>
    </row>
    <row r="403" spans="1:10" ht="14.25" x14ac:dyDescent="0.2">
      <c r="A403" s="7" t="s">
        <v>2758</v>
      </c>
      <c r="B403" s="124"/>
      <c r="C403" s="123" t="s">
        <v>3587</v>
      </c>
      <c r="D403" s="124">
        <v>10</v>
      </c>
      <c r="E403" s="124" t="s">
        <v>9</v>
      </c>
      <c r="F403" s="125">
        <v>1500000</v>
      </c>
      <c r="G403" s="125">
        <f>ROUNDDOWN(D403*F403,-3)</f>
        <v>15000000</v>
      </c>
      <c r="H403" s="154" t="b">
        <f t="shared" si="13"/>
        <v>1</v>
      </c>
      <c r="I403" s="154"/>
      <c r="J403" s="154"/>
    </row>
    <row r="404" spans="1:10" ht="14.25" x14ac:dyDescent="0.2">
      <c r="A404" s="7" t="s">
        <v>2759</v>
      </c>
      <c r="B404" s="124"/>
      <c r="C404" s="123" t="s">
        <v>3784</v>
      </c>
      <c r="D404" s="124">
        <v>290</v>
      </c>
      <c r="E404" s="124" t="s">
        <v>10</v>
      </c>
      <c r="F404" s="125">
        <v>70000</v>
      </c>
      <c r="G404" s="125">
        <f>ROUNDDOWN(D404*F404,-3)</f>
        <v>20300000</v>
      </c>
      <c r="H404" s="154" t="b">
        <f t="shared" si="13"/>
        <v>1</v>
      </c>
      <c r="I404" s="154"/>
      <c r="J404" s="154"/>
    </row>
    <row r="405" spans="1:10" ht="14.25" x14ac:dyDescent="0.2">
      <c r="A405" s="7" t="s">
        <v>2760</v>
      </c>
      <c r="B405" s="124"/>
      <c r="C405" s="123" t="s">
        <v>3785</v>
      </c>
      <c r="D405" s="124">
        <v>40</v>
      </c>
      <c r="E405" s="124" t="s">
        <v>176</v>
      </c>
      <c r="F405" s="125">
        <v>350000</v>
      </c>
      <c r="G405" s="125">
        <f>ROUNDDOWN(D405*F405,-3)</f>
        <v>14000000</v>
      </c>
      <c r="H405" s="154" t="b">
        <f t="shared" si="13"/>
        <v>1</v>
      </c>
      <c r="I405" s="154"/>
      <c r="J405" s="154"/>
    </row>
    <row r="406" spans="1:10" ht="14.25" x14ac:dyDescent="0.2">
      <c r="A406" s="7" t="s">
        <v>2761</v>
      </c>
      <c r="B406" s="60">
        <v>521219</v>
      </c>
      <c r="C406" s="41" t="s">
        <v>53</v>
      </c>
      <c r="D406" s="60"/>
      <c r="E406" s="60"/>
      <c r="F406" s="42"/>
      <c r="G406" s="42">
        <f>G407</f>
        <v>1000000</v>
      </c>
      <c r="H406" s="154" t="b">
        <f t="shared" si="13"/>
        <v>1</v>
      </c>
      <c r="I406" s="154"/>
      <c r="J406" s="154"/>
    </row>
    <row r="407" spans="1:10" ht="14.25" x14ac:dyDescent="0.2">
      <c r="A407" s="7" t="s">
        <v>2762</v>
      </c>
      <c r="B407" s="124"/>
      <c r="C407" s="123" t="s">
        <v>3610</v>
      </c>
      <c r="D407" s="124">
        <v>4</v>
      </c>
      <c r="E407" s="124" t="s">
        <v>9</v>
      </c>
      <c r="F407" s="125">
        <v>250000</v>
      </c>
      <c r="G407" s="125">
        <f>ROUNDDOWN(D407*F407,-3)</f>
        <v>1000000</v>
      </c>
      <c r="H407" s="154" t="b">
        <f t="shared" si="13"/>
        <v>1</v>
      </c>
      <c r="I407" s="154"/>
      <c r="J407" s="154"/>
    </row>
    <row r="408" spans="1:10" ht="14.25" x14ac:dyDescent="0.2">
      <c r="A408" s="7" t="s">
        <v>2763</v>
      </c>
      <c r="B408" s="60">
        <v>521811</v>
      </c>
      <c r="C408" s="41" t="s">
        <v>64</v>
      </c>
      <c r="D408" s="60"/>
      <c r="E408" s="60"/>
      <c r="F408" s="42"/>
      <c r="G408" s="42">
        <f>SUM(G409:G410)</f>
        <v>25000000</v>
      </c>
      <c r="H408" s="154" t="b">
        <f t="shared" si="13"/>
        <v>1</v>
      </c>
      <c r="I408" s="154"/>
      <c r="J408" s="154"/>
    </row>
    <row r="409" spans="1:10" ht="14.25" x14ac:dyDescent="0.2">
      <c r="A409" s="7" t="s">
        <v>2764</v>
      </c>
      <c r="B409" s="124"/>
      <c r="C409" s="123" t="s">
        <v>3595</v>
      </c>
      <c r="D409" s="124">
        <v>10</v>
      </c>
      <c r="E409" s="124" t="s">
        <v>106</v>
      </c>
      <c r="F409" s="125">
        <v>1000000</v>
      </c>
      <c r="G409" s="125">
        <f>ROUNDDOWN(D409*F409,-3)</f>
        <v>10000000</v>
      </c>
      <c r="H409" s="154" t="b">
        <f t="shared" si="13"/>
        <v>1</v>
      </c>
      <c r="I409" s="154"/>
      <c r="J409" s="154"/>
    </row>
    <row r="410" spans="1:10" ht="14.25" x14ac:dyDescent="0.2">
      <c r="A410" s="7" t="s">
        <v>2765</v>
      </c>
      <c r="B410" s="124"/>
      <c r="C410" s="123" t="s">
        <v>3596</v>
      </c>
      <c r="D410" s="124">
        <v>10</v>
      </c>
      <c r="E410" s="124" t="s">
        <v>106</v>
      </c>
      <c r="F410" s="125">
        <v>1500000</v>
      </c>
      <c r="G410" s="125">
        <f>ROUNDDOWN(D410*F410,-3)</f>
        <v>15000000</v>
      </c>
      <c r="H410" s="154" t="b">
        <f t="shared" si="13"/>
        <v>1</v>
      </c>
      <c r="I410" s="154"/>
      <c r="J410" s="154"/>
    </row>
    <row r="411" spans="1:10" ht="14.25" x14ac:dyDescent="0.2">
      <c r="A411" s="7" t="s">
        <v>2766</v>
      </c>
      <c r="B411" s="60">
        <v>522151</v>
      </c>
      <c r="C411" s="41" t="s">
        <v>11</v>
      </c>
      <c r="D411" s="60"/>
      <c r="E411" s="60"/>
      <c r="F411" s="42"/>
      <c r="G411" s="42">
        <f>G412</f>
        <v>12000000</v>
      </c>
      <c r="H411" s="154" t="b">
        <f t="shared" si="13"/>
        <v>1</v>
      </c>
      <c r="I411" s="154"/>
      <c r="J411" s="154"/>
    </row>
    <row r="412" spans="1:10" ht="14.25" x14ac:dyDescent="0.2">
      <c r="A412" s="7" t="s">
        <v>2767</v>
      </c>
      <c r="B412" s="124"/>
      <c r="C412" s="123" t="s">
        <v>3603</v>
      </c>
      <c r="D412" s="124">
        <v>12</v>
      </c>
      <c r="E412" s="124" t="s">
        <v>54</v>
      </c>
      <c r="F412" s="125">
        <v>1000000</v>
      </c>
      <c r="G412" s="125">
        <f>ROUNDDOWN(D412*F412,-3)</f>
        <v>12000000</v>
      </c>
      <c r="H412" s="154" t="b">
        <f t="shared" si="13"/>
        <v>1</v>
      </c>
      <c r="I412" s="154"/>
      <c r="J412" s="154"/>
    </row>
    <row r="413" spans="1:10" ht="14.25" x14ac:dyDescent="0.2">
      <c r="A413" s="7" t="s">
        <v>2768</v>
      </c>
      <c r="B413" s="60">
        <v>524111</v>
      </c>
      <c r="C413" s="41" t="s">
        <v>19</v>
      </c>
      <c r="D413" s="60"/>
      <c r="E413" s="60"/>
      <c r="F413" s="42"/>
      <c r="G413" s="42">
        <f>G414</f>
        <v>258688000</v>
      </c>
      <c r="H413" s="154" t="b">
        <f t="shared" si="13"/>
        <v>1</v>
      </c>
      <c r="I413" s="154"/>
      <c r="J413" s="154"/>
    </row>
    <row r="414" spans="1:10" ht="14.25" x14ac:dyDescent="0.2">
      <c r="A414" s="7" t="s">
        <v>2769</v>
      </c>
      <c r="B414" s="124"/>
      <c r="C414" s="123" t="s">
        <v>3787</v>
      </c>
      <c r="D414" s="124">
        <v>40</v>
      </c>
      <c r="E414" s="124" t="s">
        <v>10</v>
      </c>
      <c r="F414" s="125">
        <v>6467200</v>
      </c>
      <c r="G414" s="125">
        <f>ROUNDDOWN(D414*F414,-3)</f>
        <v>258688000</v>
      </c>
      <c r="H414" s="154" t="b">
        <f t="shared" si="13"/>
        <v>1</v>
      </c>
      <c r="I414" s="154"/>
      <c r="J414" s="154"/>
    </row>
    <row r="415" spans="1:10" ht="14.25" x14ac:dyDescent="0.2">
      <c r="A415" s="7" t="s">
        <v>2771</v>
      </c>
      <c r="B415" s="59" t="s">
        <v>512</v>
      </c>
      <c r="C415" s="38" t="s">
        <v>131</v>
      </c>
      <c r="D415" s="59"/>
      <c r="E415" s="59"/>
      <c r="F415" s="39"/>
      <c r="G415" s="39">
        <f>SUM(G416,G420,G423,G425)</f>
        <v>168100000</v>
      </c>
      <c r="H415" s="154" t="b">
        <f t="shared" si="13"/>
        <v>1</v>
      </c>
      <c r="I415" s="154"/>
      <c r="J415" s="154"/>
    </row>
    <row r="416" spans="1:10" ht="14.25" x14ac:dyDescent="0.2">
      <c r="A416" s="7" t="s">
        <v>2772</v>
      </c>
      <c r="B416" s="60">
        <v>521211</v>
      </c>
      <c r="C416" s="41" t="s">
        <v>7</v>
      </c>
      <c r="D416" s="60"/>
      <c r="E416" s="60"/>
      <c r="F416" s="42"/>
      <c r="G416" s="42">
        <f>SUM(G417:G419)</f>
        <v>39500000</v>
      </c>
      <c r="H416" s="154" t="b">
        <f t="shared" si="13"/>
        <v>1</v>
      </c>
      <c r="I416" s="154"/>
      <c r="J416" s="154"/>
    </row>
    <row r="417" spans="1:10" ht="14.25" x14ac:dyDescent="0.2">
      <c r="A417" s="7" t="s">
        <v>2773</v>
      </c>
      <c r="B417" s="124"/>
      <c r="C417" s="123" t="s">
        <v>3587</v>
      </c>
      <c r="D417" s="124">
        <v>10</v>
      </c>
      <c r="E417" s="124" t="s">
        <v>9</v>
      </c>
      <c r="F417" s="125">
        <v>1500000</v>
      </c>
      <c r="G417" s="125">
        <f>ROUNDDOWN(D417*F417,-3)</f>
        <v>15000000</v>
      </c>
      <c r="H417" s="154" t="b">
        <f t="shared" si="13"/>
        <v>1</v>
      </c>
      <c r="I417" s="154"/>
      <c r="J417" s="154"/>
    </row>
    <row r="418" spans="1:10" ht="14.25" x14ac:dyDescent="0.2">
      <c r="A418" s="7" t="s">
        <v>2774</v>
      </c>
      <c r="B418" s="124"/>
      <c r="C418" s="123" t="s">
        <v>3784</v>
      </c>
      <c r="D418" s="124">
        <v>150</v>
      </c>
      <c r="E418" s="124" t="s">
        <v>10</v>
      </c>
      <c r="F418" s="125">
        <v>70000</v>
      </c>
      <c r="G418" s="125">
        <f>ROUNDDOWN(D418*F418,-3)</f>
        <v>10500000</v>
      </c>
      <c r="H418" s="154" t="b">
        <f t="shared" si="13"/>
        <v>1</v>
      </c>
      <c r="I418" s="154"/>
      <c r="J418" s="154"/>
    </row>
    <row r="419" spans="1:10" ht="14.25" x14ac:dyDescent="0.2">
      <c r="A419" s="7" t="s">
        <v>2775</v>
      </c>
      <c r="B419" s="124"/>
      <c r="C419" s="123" t="s">
        <v>3785</v>
      </c>
      <c r="D419" s="124">
        <v>40</v>
      </c>
      <c r="E419" s="124" t="s">
        <v>176</v>
      </c>
      <c r="F419" s="125">
        <v>350000</v>
      </c>
      <c r="G419" s="125">
        <f>ROUNDDOWN(D419*F419,-3)</f>
        <v>14000000</v>
      </c>
      <c r="H419" s="154" t="b">
        <f t="shared" si="13"/>
        <v>1</v>
      </c>
      <c r="I419" s="154"/>
      <c r="J419" s="154"/>
    </row>
    <row r="420" spans="1:10" ht="14.25" x14ac:dyDescent="0.2">
      <c r="A420" s="7" t="s">
        <v>2776</v>
      </c>
      <c r="B420" s="60">
        <v>521811</v>
      </c>
      <c r="C420" s="41" t="s">
        <v>64</v>
      </c>
      <c r="D420" s="60"/>
      <c r="E420" s="60"/>
      <c r="F420" s="42"/>
      <c r="G420" s="42">
        <f>SUM(G421:G422)</f>
        <v>25000000</v>
      </c>
      <c r="H420" s="154" t="b">
        <f t="shared" si="13"/>
        <v>1</v>
      </c>
      <c r="I420" s="154"/>
      <c r="J420" s="154"/>
    </row>
    <row r="421" spans="1:10" ht="14.25" x14ac:dyDescent="0.2">
      <c r="A421" s="7" t="s">
        <v>2777</v>
      </c>
      <c r="B421" s="124"/>
      <c r="C421" s="123" t="s">
        <v>3595</v>
      </c>
      <c r="D421" s="124">
        <v>10</v>
      </c>
      <c r="E421" s="124" t="s">
        <v>106</v>
      </c>
      <c r="F421" s="125">
        <v>1000000</v>
      </c>
      <c r="G421" s="125">
        <f>ROUNDDOWN(D421*F421,-3)</f>
        <v>10000000</v>
      </c>
      <c r="H421" s="154" t="b">
        <f t="shared" si="13"/>
        <v>1</v>
      </c>
      <c r="I421" s="154"/>
      <c r="J421" s="154"/>
    </row>
    <row r="422" spans="1:10" ht="14.25" x14ac:dyDescent="0.2">
      <c r="A422" s="7" t="s">
        <v>2778</v>
      </c>
      <c r="B422" s="124"/>
      <c r="C422" s="123" t="s">
        <v>3596</v>
      </c>
      <c r="D422" s="124">
        <v>10</v>
      </c>
      <c r="E422" s="124" t="s">
        <v>106</v>
      </c>
      <c r="F422" s="125">
        <v>1500000</v>
      </c>
      <c r="G422" s="125">
        <f>ROUNDDOWN(D422*F422,-3)</f>
        <v>15000000</v>
      </c>
      <c r="H422" s="154" t="b">
        <f t="shared" si="13"/>
        <v>1</v>
      </c>
      <c r="I422" s="154"/>
      <c r="J422" s="154"/>
    </row>
    <row r="423" spans="1:10" ht="14.25" x14ac:dyDescent="0.2">
      <c r="A423" s="7" t="s">
        <v>2779</v>
      </c>
      <c r="B423" s="60">
        <v>522151</v>
      </c>
      <c r="C423" s="41" t="s">
        <v>11</v>
      </c>
      <c r="D423" s="60"/>
      <c r="E423" s="60"/>
      <c r="F423" s="42"/>
      <c r="G423" s="42">
        <f>G424</f>
        <v>10000000</v>
      </c>
      <c r="H423" s="154" t="b">
        <f t="shared" si="13"/>
        <v>1</v>
      </c>
      <c r="I423" s="154"/>
      <c r="J423" s="154"/>
    </row>
    <row r="424" spans="1:10" ht="14.25" x14ac:dyDescent="0.2">
      <c r="A424" s="7" t="s">
        <v>2780</v>
      </c>
      <c r="B424" s="124"/>
      <c r="C424" s="123" t="s">
        <v>3603</v>
      </c>
      <c r="D424" s="124">
        <v>10</v>
      </c>
      <c r="E424" s="124" t="s">
        <v>54</v>
      </c>
      <c r="F424" s="125">
        <v>1000000</v>
      </c>
      <c r="G424" s="125">
        <f>ROUNDDOWN(D424*F424,-3)</f>
        <v>10000000</v>
      </c>
      <c r="H424" s="154" t="b">
        <f t="shared" si="13"/>
        <v>1</v>
      </c>
      <c r="I424" s="154"/>
      <c r="J424" s="154"/>
    </row>
    <row r="425" spans="1:10" ht="14.25" x14ac:dyDescent="0.2">
      <c r="A425" s="7" t="s">
        <v>2781</v>
      </c>
      <c r="B425" s="60">
        <v>524111</v>
      </c>
      <c r="C425" s="41" t="s">
        <v>19</v>
      </c>
      <c r="D425" s="60"/>
      <c r="E425" s="60"/>
      <c r="F425" s="42"/>
      <c r="G425" s="42">
        <f>G426</f>
        <v>93600000</v>
      </c>
      <c r="H425" s="154" t="b">
        <f t="shared" si="13"/>
        <v>1</v>
      </c>
      <c r="I425" s="154"/>
      <c r="J425" s="154"/>
    </row>
    <row r="426" spans="1:10" ht="14.25" x14ac:dyDescent="0.2">
      <c r="A426" s="7" t="s">
        <v>2782</v>
      </c>
      <c r="B426" s="124"/>
      <c r="C426" s="123" t="s">
        <v>3788</v>
      </c>
      <c r="D426" s="124">
        <v>18</v>
      </c>
      <c r="E426" s="124" t="s">
        <v>10</v>
      </c>
      <c r="F426" s="125">
        <v>5200000</v>
      </c>
      <c r="G426" s="125">
        <f>ROUNDDOWN(D426*F426,-3)</f>
        <v>93600000</v>
      </c>
      <c r="H426" s="154" t="b">
        <f t="shared" si="13"/>
        <v>1</v>
      </c>
      <c r="I426" s="154"/>
      <c r="J426" s="154"/>
    </row>
    <row r="427" spans="1:10" ht="14.25" x14ac:dyDescent="0.2">
      <c r="A427" s="7" t="s">
        <v>2784</v>
      </c>
      <c r="B427" s="119" t="s">
        <v>3789</v>
      </c>
      <c r="C427" s="118" t="s">
        <v>2786</v>
      </c>
      <c r="D427" s="119">
        <v>2</v>
      </c>
      <c r="E427" s="119" t="s">
        <v>3782</v>
      </c>
      <c r="F427" s="120"/>
      <c r="G427" s="120">
        <f>SUM(G428,G457)</f>
        <v>633732000</v>
      </c>
      <c r="H427" s="154" t="b">
        <f t="shared" si="13"/>
        <v>1</v>
      </c>
      <c r="I427" s="154"/>
      <c r="J427" s="154"/>
    </row>
    <row r="428" spans="1:10" ht="14.25" x14ac:dyDescent="0.2">
      <c r="A428" s="7" t="s">
        <v>3052</v>
      </c>
      <c r="B428" s="58">
        <v>301</v>
      </c>
      <c r="C428" s="35" t="s">
        <v>3053</v>
      </c>
      <c r="D428" s="58"/>
      <c r="E428" s="58"/>
      <c r="F428" s="36"/>
      <c r="G428" s="36">
        <f>SUM(G429,G440)</f>
        <v>507200000</v>
      </c>
      <c r="H428" s="154" t="b">
        <f t="shared" si="13"/>
        <v>1</v>
      </c>
      <c r="I428" s="154"/>
      <c r="J428" s="154"/>
    </row>
    <row r="429" spans="1:10" ht="14.25" x14ac:dyDescent="0.2">
      <c r="A429" s="7" t="s">
        <v>3054</v>
      </c>
      <c r="B429" s="59" t="s">
        <v>8</v>
      </c>
      <c r="C429" s="38" t="s">
        <v>174</v>
      </c>
      <c r="D429" s="59"/>
      <c r="E429" s="59"/>
      <c r="F429" s="39"/>
      <c r="G429" s="39">
        <f>SUM(G430,G436,G438)</f>
        <v>295200000</v>
      </c>
      <c r="H429" s="154" t="b">
        <f t="shared" si="13"/>
        <v>1</v>
      </c>
      <c r="I429" s="154"/>
      <c r="J429" s="154"/>
    </row>
    <row r="430" spans="1:10" ht="14.25" x14ac:dyDescent="0.2">
      <c r="A430" s="7" t="s">
        <v>3055</v>
      </c>
      <c r="B430" s="60">
        <v>521211</v>
      </c>
      <c r="C430" s="41" t="s">
        <v>7</v>
      </c>
      <c r="D430" s="60"/>
      <c r="E430" s="60"/>
      <c r="F430" s="42"/>
      <c r="G430" s="42">
        <f>SUM(G431:G435)</f>
        <v>46000000</v>
      </c>
      <c r="H430" s="154" t="b">
        <f t="shared" si="13"/>
        <v>1</v>
      </c>
      <c r="I430" s="154"/>
      <c r="J430" s="154"/>
    </row>
    <row r="431" spans="1:10" ht="14.25" x14ac:dyDescent="0.2">
      <c r="A431" s="7" t="s">
        <v>3056</v>
      </c>
      <c r="B431" s="124"/>
      <c r="C431" s="123" t="s">
        <v>3587</v>
      </c>
      <c r="D431" s="124">
        <v>5</v>
      </c>
      <c r="E431" s="124" t="s">
        <v>9</v>
      </c>
      <c r="F431" s="125">
        <v>1500000</v>
      </c>
      <c r="G431" s="125">
        <f>ROUNDDOWN(D431*F431,-3)</f>
        <v>7500000</v>
      </c>
      <c r="H431" s="154" t="b">
        <f t="shared" si="13"/>
        <v>1</v>
      </c>
      <c r="I431" s="154"/>
      <c r="J431" s="154"/>
    </row>
    <row r="432" spans="1:10" ht="14.25" x14ac:dyDescent="0.2">
      <c r="A432" s="7" t="s">
        <v>3057</v>
      </c>
      <c r="B432" s="124"/>
      <c r="C432" s="123" t="s">
        <v>3784</v>
      </c>
      <c r="D432" s="124">
        <v>280</v>
      </c>
      <c r="E432" s="124" t="s">
        <v>10</v>
      </c>
      <c r="F432" s="125">
        <v>75000</v>
      </c>
      <c r="G432" s="125">
        <f>ROUNDDOWN(D432*F432,-3)</f>
        <v>21000000</v>
      </c>
      <c r="H432" s="154" t="b">
        <f t="shared" si="13"/>
        <v>1</v>
      </c>
      <c r="I432" s="154"/>
      <c r="J432" s="154"/>
    </row>
    <row r="433" spans="1:10" ht="14.25" x14ac:dyDescent="0.2">
      <c r="A433" s="7" t="s">
        <v>3058</v>
      </c>
      <c r="B433" s="124"/>
      <c r="C433" s="123" t="s">
        <v>3785</v>
      </c>
      <c r="D433" s="124">
        <v>30</v>
      </c>
      <c r="E433" s="124" t="s">
        <v>176</v>
      </c>
      <c r="F433" s="125">
        <v>250000</v>
      </c>
      <c r="G433" s="125">
        <f>ROUNDDOWN(D433*F433,-3)</f>
        <v>7500000</v>
      </c>
      <c r="H433" s="154" t="b">
        <f t="shared" si="13"/>
        <v>1</v>
      </c>
      <c r="I433" s="154"/>
      <c r="J433" s="154"/>
    </row>
    <row r="434" spans="1:10" ht="14.25" x14ac:dyDescent="0.2">
      <c r="A434" s="7" t="s">
        <v>3059</v>
      </c>
      <c r="B434" s="124"/>
      <c r="C434" s="123" t="s">
        <v>3591</v>
      </c>
      <c r="D434" s="124">
        <v>4</v>
      </c>
      <c r="E434" s="124" t="s">
        <v>106</v>
      </c>
      <c r="F434" s="125">
        <v>1000000</v>
      </c>
      <c r="G434" s="125">
        <f>ROUNDDOWN(D434*F434,-3)</f>
        <v>4000000</v>
      </c>
      <c r="H434" s="154" t="b">
        <f t="shared" si="13"/>
        <v>1</v>
      </c>
      <c r="I434" s="154"/>
      <c r="J434" s="154"/>
    </row>
    <row r="435" spans="1:10" ht="14.25" x14ac:dyDescent="0.2">
      <c r="A435" s="7" t="s">
        <v>3060</v>
      </c>
      <c r="B435" s="124"/>
      <c r="C435" s="123" t="s">
        <v>3592</v>
      </c>
      <c r="D435" s="124">
        <v>4</v>
      </c>
      <c r="E435" s="124" t="s">
        <v>106</v>
      </c>
      <c r="F435" s="125">
        <v>1500000</v>
      </c>
      <c r="G435" s="125">
        <f>ROUNDDOWN(D435*F435,-3)</f>
        <v>6000000</v>
      </c>
      <c r="H435" s="154" t="b">
        <f t="shared" si="13"/>
        <v>1</v>
      </c>
      <c r="I435" s="154"/>
      <c r="J435" s="154"/>
    </row>
    <row r="436" spans="1:10" ht="14.25" x14ac:dyDescent="0.2">
      <c r="A436" s="7" t="s">
        <v>3061</v>
      </c>
      <c r="B436" s="60">
        <v>521219</v>
      </c>
      <c r="C436" s="41" t="s">
        <v>53</v>
      </c>
      <c r="D436" s="60"/>
      <c r="E436" s="60"/>
      <c r="F436" s="42"/>
      <c r="G436" s="42">
        <f>G437</f>
        <v>2000000</v>
      </c>
      <c r="H436" s="154" t="b">
        <f t="shared" si="13"/>
        <v>1</v>
      </c>
      <c r="I436" s="154"/>
      <c r="J436" s="154"/>
    </row>
    <row r="437" spans="1:10" ht="14.25" x14ac:dyDescent="0.2">
      <c r="A437" s="7" t="s">
        <v>3062</v>
      </c>
      <c r="B437" s="124"/>
      <c r="C437" s="123" t="s">
        <v>3790</v>
      </c>
      <c r="D437" s="124">
        <v>1</v>
      </c>
      <c r="E437" s="124" t="s">
        <v>153</v>
      </c>
      <c r="F437" s="125">
        <v>2000000</v>
      </c>
      <c r="G437" s="125">
        <f>ROUNDDOWN(D437*F437,-3)</f>
        <v>2000000</v>
      </c>
      <c r="H437" s="154" t="b">
        <f t="shared" si="13"/>
        <v>1</v>
      </c>
      <c r="I437" s="154"/>
      <c r="J437" s="154"/>
    </row>
    <row r="438" spans="1:10" ht="14.25" x14ac:dyDescent="0.2">
      <c r="A438" s="7" t="s">
        <v>3064</v>
      </c>
      <c r="B438" s="60">
        <v>524111</v>
      </c>
      <c r="C438" s="41" t="s">
        <v>19</v>
      </c>
      <c r="D438" s="60"/>
      <c r="E438" s="60"/>
      <c r="F438" s="42"/>
      <c r="G438" s="42">
        <f>G439</f>
        <v>247200000</v>
      </c>
      <c r="H438" s="154" t="b">
        <f t="shared" si="13"/>
        <v>1</v>
      </c>
      <c r="I438" s="154"/>
      <c r="J438" s="154"/>
    </row>
    <row r="439" spans="1:10" ht="14.25" x14ac:dyDescent="0.2">
      <c r="A439" s="7" t="s">
        <v>3065</v>
      </c>
      <c r="B439" s="124"/>
      <c r="C439" s="123" t="s">
        <v>3791</v>
      </c>
      <c r="D439" s="124">
        <v>40</v>
      </c>
      <c r="E439" s="124" t="s">
        <v>10</v>
      </c>
      <c r="F439" s="125">
        <v>6180000</v>
      </c>
      <c r="G439" s="125">
        <f>ROUNDDOWN(D439*F439,-3)</f>
        <v>247200000</v>
      </c>
      <c r="H439" s="154" t="b">
        <f t="shared" si="13"/>
        <v>1</v>
      </c>
      <c r="I439" s="154"/>
      <c r="J439" s="154"/>
    </row>
    <row r="440" spans="1:10" ht="14.25" x14ac:dyDescent="0.2">
      <c r="A440" s="7" t="s">
        <v>3067</v>
      </c>
      <c r="B440" s="59" t="s">
        <v>511</v>
      </c>
      <c r="C440" s="38" t="s">
        <v>175</v>
      </c>
      <c r="D440" s="59"/>
      <c r="E440" s="59"/>
      <c r="F440" s="39"/>
      <c r="G440" s="39">
        <f>SUM(G441,G448,G451,G453,G455)</f>
        <v>212000000</v>
      </c>
      <c r="H440" s="154" t="b">
        <f t="shared" si="13"/>
        <v>1</v>
      </c>
      <c r="I440" s="154"/>
      <c r="J440" s="154"/>
    </row>
    <row r="441" spans="1:10" ht="14.25" x14ac:dyDescent="0.2">
      <c r="A441" s="7" t="s">
        <v>3068</v>
      </c>
      <c r="B441" s="60">
        <v>521211</v>
      </c>
      <c r="C441" s="41" t="s">
        <v>7</v>
      </c>
      <c r="D441" s="60"/>
      <c r="E441" s="60"/>
      <c r="F441" s="42"/>
      <c r="G441" s="42">
        <f>SUM(G442:G447)</f>
        <v>41000000</v>
      </c>
      <c r="H441" s="154" t="b">
        <f t="shared" si="13"/>
        <v>1</v>
      </c>
      <c r="I441" s="154"/>
      <c r="J441" s="154"/>
    </row>
    <row r="442" spans="1:10" ht="14.25" x14ac:dyDescent="0.2">
      <c r="A442" s="7" t="s">
        <v>3069</v>
      </c>
      <c r="B442" s="124"/>
      <c r="C442" s="123" t="s">
        <v>3587</v>
      </c>
      <c r="D442" s="124">
        <v>4</v>
      </c>
      <c r="E442" s="124" t="s">
        <v>9</v>
      </c>
      <c r="F442" s="125">
        <v>1500000</v>
      </c>
      <c r="G442" s="125">
        <f t="shared" ref="G442:G447" si="14">ROUNDDOWN(D442*F442,-3)</f>
        <v>6000000</v>
      </c>
      <c r="H442" s="154" t="b">
        <f t="shared" si="13"/>
        <v>1</v>
      </c>
      <c r="I442" s="154"/>
      <c r="J442" s="154"/>
    </row>
    <row r="443" spans="1:10" ht="14.25" x14ac:dyDescent="0.2">
      <c r="A443" s="7" t="s">
        <v>3070</v>
      </c>
      <c r="B443" s="124"/>
      <c r="C443" s="123" t="s">
        <v>3784</v>
      </c>
      <c r="D443" s="124">
        <v>180</v>
      </c>
      <c r="E443" s="124" t="s">
        <v>10</v>
      </c>
      <c r="F443" s="125">
        <v>75000</v>
      </c>
      <c r="G443" s="125">
        <f t="shared" si="14"/>
        <v>13500000</v>
      </c>
      <c r="H443" s="154" t="b">
        <f t="shared" si="13"/>
        <v>1</v>
      </c>
      <c r="I443" s="154"/>
      <c r="J443" s="154"/>
    </row>
    <row r="444" spans="1:10" ht="14.25" x14ac:dyDescent="0.2">
      <c r="A444" s="7" t="s">
        <v>3071</v>
      </c>
      <c r="B444" s="124"/>
      <c r="C444" s="123" t="s">
        <v>3792</v>
      </c>
      <c r="D444" s="124">
        <v>15</v>
      </c>
      <c r="E444" s="124" t="s">
        <v>176</v>
      </c>
      <c r="F444" s="125">
        <v>500000</v>
      </c>
      <c r="G444" s="125">
        <f t="shared" si="14"/>
        <v>7500000</v>
      </c>
      <c r="H444" s="154" t="b">
        <f t="shared" si="13"/>
        <v>1</v>
      </c>
      <c r="I444" s="154"/>
      <c r="J444" s="154"/>
    </row>
    <row r="445" spans="1:10" ht="14.25" x14ac:dyDescent="0.2">
      <c r="A445" s="7" t="s">
        <v>3073</v>
      </c>
      <c r="B445" s="124"/>
      <c r="C445" s="123" t="s">
        <v>3591</v>
      </c>
      <c r="D445" s="124">
        <v>4</v>
      </c>
      <c r="E445" s="124" t="s">
        <v>106</v>
      </c>
      <c r="F445" s="125">
        <v>1000000</v>
      </c>
      <c r="G445" s="125">
        <f t="shared" si="14"/>
        <v>4000000</v>
      </c>
      <c r="H445" s="154" t="b">
        <f t="shared" si="13"/>
        <v>1</v>
      </c>
      <c r="I445" s="154"/>
      <c r="J445" s="154"/>
    </row>
    <row r="446" spans="1:10" ht="14.25" x14ac:dyDescent="0.2">
      <c r="A446" s="7" t="s">
        <v>3074</v>
      </c>
      <c r="B446" s="124"/>
      <c r="C446" s="123" t="s">
        <v>3592</v>
      </c>
      <c r="D446" s="124">
        <v>4</v>
      </c>
      <c r="E446" s="124" t="s">
        <v>106</v>
      </c>
      <c r="F446" s="125">
        <v>1500000</v>
      </c>
      <c r="G446" s="125">
        <f t="shared" si="14"/>
        <v>6000000</v>
      </c>
      <c r="H446" s="154" t="b">
        <f t="shared" si="13"/>
        <v>1</v>
      </c>
      <c r="I446" s="154"/>
      <c r="J446" s="154"/>
    </row>
    <row r="447" spans="1:10" ht="14.25" x14ac:dyDescent="0.2">
      <c r="A447" s="7" t="s">
        <v>3075</v>
      </c>
      <c r="B447" s="124"/>
      <c r="C447" s="123" t="s">
        <v>3793</v>
      </c>
      <c r="D447" s="124">
        <v>8</v>
      </c>
      <c r="E447" s="124" t="s">
        <v>58</v>
      </c>
      <c r="F447" s="125">
        <v>500000</v>
      </c>
      <c r="G447" s="125">
        <f t="shared" si="14"/>
        <v>4000000</v>
      </c>
      <c r="H447" s="154" t="b">
        <f t="shared" si="13"/>
        <v>1</v>
      </c>
      <c r="I447" s="154"/>
      <c r="J447" s="154"/>
    </row>
    <row r="448" spans="1:10" ht="14.25" x14ac:dyDescent="0.2">
      <c r="A448" s="7" t="s">
        <v>3077</v>
      </c>
      <c r="B448" s="60">
        <v>521219</v>
      </c>
      <c r="C448" s="41" t="s">
        <v>53</v>
      </c>
      <c r="D448" s="60"/>
      <c r="E448" s="60"/>
      <c r="F448" s="42"/>
      <c r="G448" s="42">
        <f>SUM(G449:G450)</f>
        <v>32000000</v>
      </c>
      <c r="H448" s="154" t="b">
        <f t="shared" si="13"/>
        <v>1</v>
      </c>
      <c r="I448" s="154"/>
      <c r="J448" s="154"/>
    </row>
    <row r="449" spans="1:10" ht="14.25" x14ac:dyDescent="0.2">
      <c r="A449" s="7" t="s">
        <v>3078</v>
      </c>
      <c r="B449" s="124"/>
      <c r="C449" s="123" t="s">
        <v>3794</v>
      </c>
      <c r="D449" s="124">
        <v>2</v>
      </c>
      <c r="E449" s="124" t="s">
        <v>177</v>
      </c>
      <c r="F449" s="125">
        <v>15000000</v>
      </c>
      <c r="G449" s="125">
        <f>ROUNDDOWN(D449*F449,-3)</f>
        <v>30000000</v>
      </c>
      <c r="H449" s="154" t="b">
        <f t="shared" si="13"/>
        <v>1</v>
      </c>
      <c r="I449" s="154"/>
      <c r="J449" s="154"/>
    </row>
    <row r="450" spans="1:10" ht="14.25" x14ac:dyDescent="0.2">
      <c r="A450" s="7" t="s">
        <v>3080</v>
      </c>
      <c r="B450" s="124"/>
      <c r="C450" s="123" t="s">
        <v>3795</v>
      </c>
      <c r="D450" s="124">
        <v>1</v>
      </c>
      <c r="E450" s="124" t="s">
        <v>60</v>
      </c>
      <c r="F450" s="125">
        <v>2000000</v>
      </c>
      <c r="G450" s="125">
        <f>ROUNDDOWN(D450*F450,-3)</f>
        <v>2000000</v>
      </c>
      <c r="H450" s="154" t="b">
        <f t="shared" si="13"/>
        <v>1</v>
      </c>
      <c r="I450" s="154"/>
      <c r="J450" s="154"/>
    </row>
    <row r="451" spans="1:10" ht="14.25" x14ac:dyDescent="0.2">
      <c r="A451" s="7" t="s">
        <v>3082</v>
      </c>
      <c r="B451" s="60">
        <v>522151</v>
      </c>
      <c r="C451" s="41" t="s">
        <v>11</v>
      </c>
      <c r="D451" s="60"/>
      <c r="E451" s="60"/>
      <c r="F451" s="42"/>
      <c r="G451" s="42">
        <f>G452</f>
        <v>10000000</v>
      </c>
      <c r="H451" s="154" t="b">
        <f t="shared" si="13"/>
        <v>1</v>
      </c>
      <c r="I451" s="154"/>
      <c r="J451" s="154"/>
    </row>
    <row r="452" spans="1:10" ht="14.25" x14ac:dyDescent="0.2">
      <c r="A452" s="7" t="s">
        <v>3083</v>
      </c>
      <c r="B452" s="124"/>
      <c r="C452" s="123" t="s">
        <v>3603</v>
      </c>
      <c r="D452" s="124">
        <v>10</v>
      </c>
      <c r="E452" s="124" t="s">
        <v>54</v>
      </c>
      <c r="F452" s="125">
        <v>1000000</v>
      </c>
      <c r="G452" s="125">
        <f>ROUNDDOWN(D452*F452,-3)</f>
        <v>10000000</v>
      </c>
      <c r="H452" s="154" t="b">
        <f t="shared" si="13"/>
        <v>1</v>
      </c>
      <c r="I452" s="154"/>
      <c r="J452" s="154"/>
    </row>
    <row r="453" spans="1:10" ht="14.25" x14ac:dyDescent="0.2">
      <c r="A453" s="7" t="s">
        <v>3084</v>
      </c>
      <c r="B453" s="60">
        <v>524111</v>
      </c>
      <c r="C453" s="41" t="s">
        <v>19</v>
      </c>
      <c r="D453" s="60"/>
      <c r="E453" s="60"/>
      <c r="F453" s="42"/>
      <c r="G453" s="42">
        <f>G454</f>
        <v>120000000</v>
      </c>
      <c r="H453" s="154" t="b">
        <f t="shared" si="13"/>
        <v>1</v>
      </c>
      <c r="I453" s="154"/>
      <c r="J453" s="154"/>
    </row>
    <row r="454" spans="1:10" ht="14.25" x14ac:dyDescent="0.2">
      <c r="A454" s="7" t="s">
        <v>3085</v>
      </c>
      <c r="B454" s="124"/>
      <c r="C454" s="123" t="s">
        <v>3796</v>
      </c>
      <c r="D454" s="124">
        <v>30</v>
      </c>
      <c r="E454" s="124" t="s">
        <v>10</v>
      </c>
      <c r="F454" s="125">
        <v>4000000</v>
      </c>
      <c r="G454" s="125">
        <f>ROUNDDOWN(D454*F454,-3)</f>
        <v>120000000</v>
      </c>
      <c r="H454" s="154" t="b">
        <f t="shared" si="13"/>
        <v>1</v>
      </c>
      <c r="I454" s="154"/>
      <c r="J454" s="154"/>
    </row>
    <row r="455" spans="1:10" ht="14.25" x14ac:dyDescent="0.2">
      <c r="A455" s="7" t="s">
        <v>3087</v>
      </c>
      <c r="B455" s="60">
        <v>524113</v>
      </c>
      <c r="C455" s="41" t="s">
        <v>13</v>
      </c>
      <c r="D455" s="60"/>
      <c r="E455" s="60"/>
      <c r="F455" s="42"/>
      <c r="G455" s="42">
        <f>G456</f>
        <v>9000000</v>
      </c>
      <c r="H455" s="154" t="b">
        <f t="shared" si="13"/>
        <v>1</v>
      </c>
      <c r="I455" s="154"/>
      <c r="J455" s="154"/>
    </row>
    <row r="456" spans="1:10" ht="14.25" x14ac:dyDescent="0.2">
      <c r="A456" s="7" t="s">
        <v>3088</v>
      </c>
      <c r="B456" s="124"/>
      <c r="C456" s="123" t="s">
        <v>3593</v>
      </c>
      <c r="D456" s="124">
        <v>60</v>
      </c>
      <c r="E456" s="124" t="s">
        <v>25</v>
      </c>
      <c r="F456" s="125">
        <v>150000</v>
      </c>
      <c r="G456" s="125">
        <f>ROUNDDOWN(D456*F456,-3)</f>
        <v>9000000</v>
      </c>
      <c r="H456" s="154" t="b">
        <f t="shared" si="13"/>
        <v>1</v>
      </c>
      <c r="I456" s="154"/>
      <c r="J456" s="154"/>
    </row>
    <row r="457" spans="1:10" ht="14.25" x14ac:dyDescent="0.2">
      <c r="A457" s="7" t="s">
        <v>3089</v>
      </c>
      <c r="B457" s="58">
        <v>302</v>
      </c>
      <c r="C457" s="35" t="s">
        <v>3091</v>
      </c>
      <c r="D457" s="58"/>
      <c r="E457" s="58"/>
      <c r="F457" s="36"/>
      <c r="G457" s="36">
        <f>G458</f>
        <v>126532000</v>
      </c>
      <c r="H457" s="154" t="b">
        <f t="shared" si="13"/>
        <v>1</v>
      </c>
      <c r="I457" s="154"/>
      <c r="J457" s="154"/>
    </row>
    <row r="458" spans="1:10" ht="14.25" x14ac:dyDescent="0.2">
      <c r="A458" s="7" t="s">
        <v>3092</v>
      </c>
      <c r="B458" s="59" t="s">
        <v>8</v>
      </c>
      <c r="C458" s="38" t="s">
        <v>178</v>
      </c>
      <c r="D458" s="59"/>
      <c r="E458" s="59"/>
      <c r="F458" s="39"/>
      <c r="G458" s="39">
        <f>SUM(G459,G465,G467)</f>
        <v>126532000</v>
      </c>
      <c r="H458" s="154" t="b">
        <f t="shared" si="13"/>
        <v>1</v>
      </c>
      <c r="I458" s="154"/>
      <c r="J458" s="154"/>
    </row>
    <row r="459" spans="1:10" ht="14.25" x14ac:dyDescent="0.2">
      <c r="A459" s="7" t="s">
        <v>3093</v>
      </c>
      <c r="B459" s="60">
        <v>521211</v>
      </c>
      <c r="C459" s="41" t="s">
        <v>7</v>
      </c>
      <c r="D459" s="60"/>
      <c r="E459" s="60"/>
      <c r="F459" s="42"/>
      <c r="G459" s="42">
        <f>SUM(G460:G464)</f>
        <v>35500000</v>
      </c>
      <c r="H459" s="154" t="b">
        <f t="shared" si="13"/>
        <v>1</v>
      </c>
      <c r="I459" s="154"/>
      <c r="J459" s="154"/>
    </row>
    <row r="460" spans="1:10" ht="14.25" x14ac:dyDescent="0.2">
      <c r="A460" s="7" t="s">
        <v>3094</v>
      </c>
      <c r="B460" s="124"/>
      <c r="C460" s="123" t="s">
        <v>3587</v>
      </c>
      <c r="D460" s="124">
        <v>4</v>
      </c>
      <c r="E460" s="124" t="s">
        <v>9</v>
      </c>
      <c r="F460" s="125">
        <v>1500000</v>
      </c>
      <c r="G460" s="125">
        <f>ROUNDDOWN(D460*F460,-3)</f>
        <v>6000000</v>
      </c>
      <c r="H460" s="154" t="b">
        <f t="shared" si="13"/>
        <v>1</v>
      </c>
      <c r="I460" s="154"/>
      <c r="J460" s="154"/>
    </row>
    <row r="461" spans="1:10" ht="14.25" x14ac:dyDescent="0.2">
      <c r="A461" s="7" t="s">
        <v>3095</v>
      </c>
      <c r="B461" s="124"/>
      <c r="C461" s="123" t="s">
        <v>3784</v>
      </c>
      <c r="D461" s="124">
        <v>180</v>
      </c>
      <c r="E461" s="124" t="s">
        <v>10</v>
      </c>
      <c r="F461" s="125">
        <v>75000</v>
      </c>
      <c r="G461" s="125">
        <f>ROUNDDOWN(D461*F461,-3)</f>
        <v>13500000</v>
      </c>
      <c r="H461" s="154" t="b">
        <f t="shared" si="13"/>
        <v>1</v>
      </c>
      <c r="I461" s="154"/>
      <c r="J461" s="154"/>
    </row>
    <row r="462" spans="1:10" ht="14.25" x14ac:dyDescent="0.2">
      <c r="A462" s="7" t="s">
        <v>3096</v>
      </c>
      <c r="B462" s="124"/>
      <c r="C462" s="123" t="s">
        <v>3588</v>
      </c>
      <c r="D462" s="124">
        <v>4</v>
      </c>
      <c r="E462" s="124" t="s">
        <v>106</v>
      </c>
      <c r="F462" s="125">
        <v>1000000</v>
      </c>
      <c r="G462" s="125">
        <f>ROUNDDOWN(D462*F462,-3)</f>
        <v>4000000</v>
      </c>
      <c r="H462" s="154" t="b">
        <f t="shared" ref="H462:H525" si="15">_xlfn.ISFORMULA(G462)</f>
        <v>1</v>
      </c>
      <c r="I462" s="154"/>
      <c r="J462" s="154"/>
    </row>
    <row r="463" spans="1:10" ht="14.25" x14ac:dyDescent="0.2">
      <c r="A463" s="7" t="s">
        <v>3097</v>
      </c>
      <c r="B463" s="124"/>
      <c r="C463" s="123" t="s">
        <v>3589</v>
      </c>
      <c r="D463" s="124">
        <v>4</v>
      </c>
      <c r="E463" s="124" t="s">
        <v>106</v>
      </c>
      <c r="F463" s="125">
        <v>1500000</v>
      </c>
      <c r="G463" s="125">
        <f>ROUNDDOWN(D463*F463,-3)</f>
        <v>6000000</v>
      </c>
      <c r="H463" s="154" t="b">
        <f t="shared" si="15"/>
        <v>1</v>
      </c>
      <c r="I463" s="154"/>
      <c r="J463" s="154"/>
    </row>
    <row r="464" spans="1:10" ht="14.25" x14ac:dyDescent="0.2">
      <c r="A464" s="7" t="s">
        <v>3098</v>
      </c>
      <c r="B464" s="124"/>
      <c r="C464" s="123" t="s">
        <v>3797</v>
      </c>
      <c r="D464" s="124">
        <v>12</v>
      </c>
      <c r="E464" s="124" t="s">
        <v>176</v>
      </c>
      <c r="F464" s="125">
        <v>500000</v>
      </c>
      <c r="G464" s="125">
        <f>ROUNDDOWN(D464*F464,-3)</f>
        <v>6000000</v>
      </c>
      <c r="H464" s="154" t="b">
        <f t="shared" si="15"/>
        <v>1</v>
      </c>
      <c r="I464" s="154"/>
      <c r="J464" s="154"/>
    </row>
    <row r="465" spans="1:10" ht="14.25" x14ac:dyDescent="0.2">
      <c r="A465" s="7" t="s">
        <v>3100</v>
      </c>
      <c r="B465" s="60">
        <v>521219</v>
      </c>
      <c r="C465" s="41" t="s">
        <v>53</v>
      </c>
      <c r="D465" s="60"/>
      <c r="E465" s="60"/>
      <c r="F465" s="42"/>
      <c r="G465" s="42">
        <f>G466</f>
        <v>2000000</v>
      </c>
      <c r="H465" s="154" t="b">
        <f t="shared" si="15"/>
        <v>1</v>
      </c>
      <c r="I465" s="154"/>
      <c r="J465" s="154"/>
    </row>
    <row r="466" spans="1:10" ht="14.25" x14ac:dyDescent="0.2">
      <c r="A466" s="7" t="s">
        <v>3101</v>
      </c>
      <c r="B466" s="124"/>
      <c r="C466" s="123" t="s">
        <v>3790</v>
      </c>
      <c r="D466" s="124">
        <v>1</v>
      </c>
      <c r="E466" s="124" t="s">
        <v>153</v>
      </c>
      <c r="F466" s="125">
        <v>2000000</v>
      </c>
      <c r="G466" s="125">
        <f>ROUNDDOWN(D466*F466,-3)</f>
        <v>2000000</v>
      </c>
      <c r="H466" s="154" t="b">
        <f t="shared" si="15"/>
        <v>1</v>
      </c>
      <c r="I466" s="154"/>
      <c r="J466" s="154"/>
    </row>
    <row r="467" spans="1:10" ht="14.25" x14ac:dyDescent="0.2">
      <c r="A467" s="7" t="s">
        <v>3102</v>
      </c>
      <c r="B467" s="60">
        <v>524111</v>
      </c>
      <c r="C467" s="41" t="s">
        <v>19</v>
      </c>
      <c r="D467" s="60"/>
      <c r="E467" s="60"/>
      <c r="F467" s="42"/>
      <c r="G467" s="42">
        <f>G468</f>
        <v>89032000</v>
      </c>
      <c r="H467" s="154" t="b">
        <f t="shared" si="15"/>
        <v>1</v>
      </c>
      <c r="I467" s="154"/>
      <c r="J467" s="154"/>
    </row>
    <row r="468" spans="1:10" ht="14.25" x14ac:dyDescent="0.2">
      <c r="A468" s="7" t="s">
        <v>3103</v>
      </c>
      <c r="B468" s="124"/>
      <c r="C468" s="123" t="s">
        <v>3796</v>
      </c>
      <c r="D468" s="124">
        <v>22</v>
      </c>
      <c r="E468" s="124" t="s">
        <v>10</v>
      </c>
      <c r="F468" s="125">
        <v>4046950</v>
      </c>
      <c r="G468" s="125">
        <f>ROUNDDOWN(D468*F468,-3)</f>
        <v>89032000</v>
      </c>
      <c r="H468" s="154" t="b">
        <f t="shared" si="15"/>
        <v>1</v>
      </c>
      <c r="I468" s="154"/>
      <c r="J468" s="154"/>
    </row>
    <row r="469" spans="1:10" ht="14.25" x14ac:dyDescent="0.2">
      <c r="A469" s="7" t="s">
        <v>3104</v>
      </c>
      <c r="B469" s="119" t="s">
        <v>3798</v>
      </c>
      <c r="C469" s="118" t="s">
        <v>3106</v>
      </c>
      <c r="D469" s="119">
        <v>1</v>
      </c>
      <c r="E469" s="119" t="s">
        <v>3782</v>
      </c>
      <c r="F469" s="120"/>
      <c r="G469" s="120">
        <f>G470</f>
        <v>289920000</v>
      </c>
      <c r="H469" s="154" t="b">
        <f t="shared" si="15"/>
        <v>1</v>
      </c>
      <c r="I469" s="154"/>
      <c r="J469" s="154"/>
    </row>
    <row r="470" spans="1:10" ht="14.25" x14ac:dyDescent="0.2">
      <c r="A470" s="7" t="s">
        <v>3318</v>
      </c>
      <c r="B470" s="58">
        <v>301</v>
      </c>
      <c r="C470" s="35" t="s">
        <v>3319</v>
      </c>
      <c r="D470" s="58"/>
      <c r="E470" s="58"/>
      <c r="F470" s="36"/>
      <c r="G470" s="36">
        <f>SUM(G471,G481,G490,G498,G511,G519)</f>
        <v>289920000</v>
      </c>
      <c r="H470" s="154" t="b">
        <f t="shared" si="15"/>
        <v>1</v>
      </c>
      <c r="I470" s="154"/>
      <c r="J470" s="154"/>
    </row>
    <row r="471" spans="1:10" ht="14.25" x14ac:dyDescent="0.2">
      <c r="A471" s="7" t="s">
        <v>3320</v>
      </c>
      <c r="B471" s="59" t="s">
        <v>8</v>
      </c>
      <c r="C471" s="38" t="s">
        <v>143</v>
      </c>
      <c r="D471" s="59"/>
      <c r="E471" s="59"/>
      <c r="F471" s="39"/>
      <c r="G471" s="39">
        <f>SUM(G472,G477,G479)</f>
        <v>40700000</v>
      </c>
      <c r="H471" s="154" t="b">
        <f t="shared" si="15"/>
        <v>1</v>
      </c>
      <c r="I471" s="154"/>
      <c r="J471" s="154"/>
    </row>
    <row r="472" spans="1:10" ht="14.25" x14ac:dyDescent="0.2">
      <c r="A472" s="7" t="s">
        <v>3321</v>
      </c>
      <c r="B472" s="60">
        <v>521211</v>
      </c>
      <c r="C472" s="41" t="s">
        <v>7</v>
      </c>
      <c r="D472" s="60"/>
      <c r="E472" s="60"/>
      <c r="F472" s="42"/>
      <c r="G472" s="42">
        <f>SUM(G473:G476)</f>
        <v>23900000</v>
      </c>
      <c r="H472" s="154" t="b">
        <f t="shared" si="15"/>
        <v>1</v>
      </c>
      <c r="I472" s="154"/>
      <c r="J472" s="154"/>
    </row>
    <row r="473" spans="1:10" ht="14.25" x14ac:dyDescent="0.2">
      <c r="A473" s="7" t="s">
        <v>3322</v>
      </c>
      <c r="B473" s="124"/>
      <c r="C473" s="123" t="s">
        <v>3587</v>
      </c>
      <c r="D473" s="124">
        <v>5</v>
      </c>
      <c r="E473" s="124" t="s">
        <v>9</v>
      </c>
      <c r="F473" s="125">
        <v>1500000</v>
      </c>
      <c r="G473" s="125">
        <f>ROUNDDOWN(D473*F473,-3)</f>
        <v>7500000</v>
      </c>
      <c r="H473" s="154" t="b">
        <f t="shared" si="15"/>
        <v>1</v>
      </c>
      <c r="I473" s="154"/>
      <c r="J473" s="154"/>
    </row>
    <row r="474" spans="1:10" ht="14.25" x14ac:dyDescent="0.2">
      <c r="A474" s="7" t="s">
        <v>3323</v>
      </c>
      <c r="B474" s="124"/>
      <c r="C474" s="123" t="s">
        <v>3784</v>
      </c>
      <c r="D474" s="124">
        <v>20</v>
      </c>
      <c r="E474" s="124" t="s">
        <v>10</v>
      </c>
      <c r="F474" s="125">
        <v>70000</v>
      </c>
      <c r="G474" s="125">
        <f>ROUNDDOWN(D474*F474,-3)</f>
        <v>1400000</v>
      </c>
      <c r="H474" s="154" t="b">
        <f t="shared" si="15"/>
        <v>1</v>
      </c>
      <c r="I474" s="154"/>
      <c r="J474" s="154"/>
    </row>
    <row r="475" spans="1:10" ht="14.25" x14ac:dyDescent="0.2">
      <c r="A475" s="7" t="s">
        <v>3324</v>
      </c>
      <c r="B475" s="124"/>
      <c r="C475" s="123" t="s">
        <v>3588</v>
      </c>
      <c r="D475" s="124">
        <v>6</v>
      </c>
      <c r="E475" s="124" t="s">
        <v>106</v>
      </c>
      <c r="F475" s="125">
        <v>1000000</v>
      </c>
      <c r="G475" s="125">
        <f>ROUNDDOWN(D475*F475,-3)</f>
        <v>6000000</v>
      </c>
      <c r="H475" s="154" t="b">
        <f t="shared" si="15"/>
        <v>1</v>
      </c>
      <c r="I475" s="154"/>
      <c r="J475" s="154"/>
    </row>
    <row r="476" spans="1:10" ht="14.25" x14ac:dyDescent="0.2">
      <c r="A476" s="7" t="s">
        <v>3325</v>
      </c>
      <c r="B476" s="124"/>
      <c r="C476" s="123" t="s">
        <v>3589</v>
      </c>
      <c r="D476" s="124">
        <v>6</v>
      </c>
      <c r="E476" s="124" t="s">
        <v>106</v>
      </c>
      <c r="F476" s="125">
        <v>1500000</v>
      </c>
      <c r="G476" s="125">
        <f>ROUNDDOWN(D476*F476,-3)</f>
        <v>9000000</v>
      </c>
      <c r="H476" s="154" t="b">
        <f t="shared" si="15"/>
        <v>1</v>
      </c>
      <c r="I476" s="154"/>
      <c r="J476" s="154"/>
    </row>
    <row r="477" spans="1:10" ht="14.25" x14ac:dyDescent="0.2">
      <c r="A477" s="7" t="s">
        <v>3326</v>
      </c>
      <c r="B477" s="60">
        <v>524111</v>
      </c>
      <c r="C477" s="41" t="s">
        <v>19</v>
      </c>
      <c r="D477" s="60"/>
      <c r="E477" s="60"/>
      <c r="F477" s="42"/>
      <c r="G477" s="42">
        <f>G478</f>
        <v>15000000</v>
      </c>
      <c r="H477" s="154" t="b">
        <f t="shared" si="15"/>
        <v>1</v>
      </c>
      <c r="I477" s="154"/>
      <c r="J477" s="154"/>
    </row>
    <row r="478" spans="1:10" ht="14.25" x14ac:dyDescent="0.2">
      <c r="A478" s="7" t="s">
        <v>3327</v>
      </c>
      <c r="B478" s="124"/>
      <c r="C478" s="123" t="s">
        <v>3800</v>
      </c>
      <c r="D478" s="124">
        <v>5</v>
      </c>
      <c r="E478" s="124" t="s">
        <v>10</v>
      </c>
      <c r="F478" s="125">
        <v>3000000</v>
      </c>
      <c r="G478" s="125">
        <f>ROUNDDOWN(D478*F478,-3)</f>
        <v>15000000</v>
      </c>
      <c r="H478" s="154" t="b">
        <f t="shared" si="15"/>
        <v>1</v>
      </c>
      <c r="I478" s="154"/>
      <c r="J478" s="154"/>
    </row>
    <row r="479" spans="1:10" ht="14.25" x14ac:dyDescent="0.2">
      <c r="A479" s="7" t="s">
        <v>3329</v>
      </c>
      <c r="B479" s="60">
        <v>524113</v>
      </c>
      <c r="C479" s="41" t="s">
        <v>13</v>
      </c>
      <c r="D479" s="60"/>
      <c r="E479" s="60"/>
      <c r="F479" s="42"/>
      <c r="G479" s="42">
        <f>G480</f>
        <v>1800000</v>
      </c>
      <c r="H479" s="154" t="b">
        <f t="shared" si="15"/>
        <v>1</v>
      </c>
      <c r="I479" s="154"/>
      <c r="J479" s="154"/>
    </row>
    <row r="480" spans="1:10" ht="14.25" x14ac:dyDescent="0.2">
      <c r="A480" s="7" t="s">
        <v>3330</v>
      </c>
      <c r="B480" s="124"/>
      <c r="C480" s="123" t="s">
        <v>3590</v>
      </c>
      <c r="D480" s="124">
        <v>12</v>
      </c>
      <c r="E480" s="124" t="s">
        <v>10</v>
      </c>
      <c r="F480" s="125">
        <v>150000</v>
      </c>
      <c r="G480" s="125">
        <f>ROUNDDOWN(D480*F480,-3)</f>
        <v>1800000</v>
      </c>
      <c r="H480" s="154" t="b">
        <f t="shared" si="15"/>
        <v>1</v>
      </c>
      <c r="I480" s="154"/>
      <c r="J480" s="154"/>
    </row>
    <row r="481" spans="1:10" ht="14.25" x14ac:dyDescent="0.2">
      <c r="A481" s="7" t="s">
        <v>3331</v>
      </c>
      <c r="B481" s="59" t="s">
        <v>511</v>
      </c>
      <c r="C481" s="38" t="s">
        <v>144</v>
      </c>
      <c r="D481" s="59"/>
      <c r="E481" s="59"/>
      <c r="F481" s="39"/>
      <c r="G481" s="39">
        <f>SUM(G482,G486,G488)</f>
        <v>30900000</v>
      </c>
      <c r="H481" s="154" t="b">
        <f t="shared" si="15"/>
        <v>1</v>
      </c>
      <c r="I481" s="154"/>
      <c r="J481" s="154"/>
    </row>
    <row r="482" spans="1:10" ht="14.25" x14ac:dyDescent="0.2">
      <c r="A482" s="7" t="s">
        <v>3332</v>
      </c>
      <c r="B482" s="60">
        <v>521211</v>
      </c>
      <c r="C482" s="41" t="s">
        <v>7</v>
      </c>
      <c r="D482" s="60"/>
      <c r="E482" s="60"/>
      <c r="F482" s="42"/>
      <c r="G482" s="42">
        <f>SUM(G483:G485)</f>
        <v>11400000</v>
      </c>
      <c r="H482" s="154" t="b">
        <f t="shared" si="15"/>
        <v>1</v>
      </c>
      <c r="I482" s="154"/>
      <c r="J482" s="154"/>
    </row>
    <row r="483" spans="1:10" ht="14.25" x14ac:dyDescent="0.2">
      <c r="A483" s="7" t="s">
        <v>3333</v>
      </c>
      <c r="B483" s="124"/>
      <c r="C483" s="123" t="s">
        <v>3781</v>
      </c>
      <c r="D483" s="124">
        <v>4</v>
      </c>
      <c r="E483" s="124" t="s">
        <v>9</v>
      </c>
      <c r="F483" s="125">
        <v>1500000</v>
      </c>
      <c r="G483" s="125">
        <f>ROUNDDOWN(D483*F483,-3)</f>
        <v>6000000</v>
      </c>
      <c r="H483" s="154" t="b">
        <f t="shared" si="15"/>
        <v>1</v>
      </c>
      <c r="I483" s="154"/>
      <c r="J483" s="154"/>
    </row>
    <row r="484" spans="1:10" ht="14.25" x14ac:dyDescent="0.2">
      <c r="A484" s="7" t="s">
        <v>3334</v>
      </c>
      <c r="B484" s="124"/>
      <c r="C484" s="123" t="s">
        <v>3784</v>
      </c>
      <c r="D484" s="124">
        <v>20</v>
      </c>
      <c r="E484" s="124" t="s">
        <v>10</v>
      </c>
      <c r="F484" s="125">
        <v>70000</v>
      </c>
      <c r="G484" s="125">
        <f>ROUNDDOWN(D484*F484,-3)</f>
        <v>1400000</v>
      </c>
      <c r="H484" s="154" t="b">
        <f t="shared" si="15"/>
        <v>1</v>
      </c>
      <c r="I484" s="154"/>
      <c r="J484" s="154"/>
    </row>
    <row r="485" spans="1:10" ht="14.25" x14ac:dyDescent="0.2">
      <c r="A485" s="7" t="s">
        <v>3335</v>
      </c>
      <c r="B485" s="124"/>
      <c r="C485" s="123" t="s">
        <v>3588</v>
      </c>
      <c r="D485" s="124">
        <v>4</v>
      </c>
      <c r="E485" s="124" t="s">
        <v>106</v>
      </c>
      <c r="F485" s="125">
        <v>1000000</v>
      </c>
      <c r="G485" s="125">
        <f>ROUNDDOWN(D485*F485,-3)</f>
        <v>4000000</v>
      </c>
      <c r="H485" s="154" t="b">
        <f t="shared" si="15"/>
        <v>1</v>
      </c>
      <c r="I485" s="154"/>
      <c r="J485" s="154"/>
    </row>
    <row r="486" spans="1:10" ht="14.25" x14ac:dyDescent="0.2">
      <c r="A486" s="7" t="s">
        <v>3336</v>
      </c>
      <c r="B486" s="60">
        <v>524111</v>
      </c>
      <c r="C486" s="41" t="s">
        <v>19</v>
      </c>
      <c r="D486" s="60"/>
      <c r="E486" s="60"/>
      <c r="F486" s="42"/>
      <c r="G486" s="42">
        <f>G487</f>
        <v>18000000</v>
      </c>
      <c r="H486" s="154" t="b">
        <f t="shared" si="15"/>
        <v>1</v>
      </c>
      <c r="I486" s="154"/>
      <c r="J486" s="154"/>
    </row>
    <row r="487" spans="1:10" ht="14.25" x14ac:dyDescent="0.2">
      <c r="A487" s="7" t="s">
        <v>3337</v>
      </c>
      <c r="B487" s="124"/>
      <c r="C487" s="123" t="s">
        <v>3800</v>
      </c>
      <c r="D487" s="124">
        <v>6</v>
      </c>
      <c r="E487" s="124" t="s">
        <v>10</v>
      </c>
      <c r="F487" s="125">
        <v>3000000</v>
      </c>
      <c r="G487" s="125">
        <f>ROUNDDOWN(D487*F487,-3)</f>
        <v>18000000</v>
      </c>
      <c r="H487" s="154" t="b">
        <f t="shared" si="15"/>
        <v>1</v>
      </c>
      <c r="I487" s="154"/>
      <c r="J487" s="154"/>
    </row>
    <row r="488" spans="1:10" ht="14.25" x14ac:dyDescent="0.2">
      <c r="A488" s="7" t="s">
        <v>3338</v>
      </c>
      <c r="B488" s="60">
        <v>524113</v>
      </c>
      <c r="C488" s="41" t="s">
        <v>13</v>
      </c>
      <c r="D488" s="60"/>
      <c r="E488" s="60"/>
      <c r="F488" s="42"/>
      <c r="G488" s="42">
        <f>G489</f>
        <v>1500000</v>
      </c>
      <c r="H488" s="154" t="b">
        <f t="shared" si="15"/>
        <v>1</v>
      </c>
      <c r="I488" s="154"/>
      <c r="J488" s="154"/>
    </row>
    <row r="489" spans="1:10" ht="14.25" x14ac:dyDescent="0.2">
      <c r="A489" s="7" t="s">
        <v>3339</v>
      </c>
      <c r="B489" s="124"/>
      <c r="C489" s="123" t="s">
        <v>3593</v>
      </c>
      <c r="D489" s="124">
        <v>10</v>
      </c>
      <c r="E489" s="124" t="s">
        <v>10</v>
      </c>
      <c r="F489" s="125">
        <v>150000</v>
      </c>
      <c r="G489" s="125">
        <f>ROUNDDOWN(D489*F489,-3)</f>
        <v>1500000</v>
      </c>
      <c r="H489" s="154" t="b">
        <f t="shared" si="15"/>
        <v>1</v>
      </c>
      <c r="I489" s="154"/>
      <c r="J489" s="154"/>
    </row>
    <row r="490" spans="1:10" ht="14.25" x14ac:dyDescent="0.2">
      <c r="A490" s="7" t="s">
        <v>3340</v>
      </c>
      <c r="B490" s="59" t="s">
        <v>512</v>
      </c>
      <c r="C490" s="38" t="s">
        <v>145</v>
      </c>
      <c r="D490" s="59"/>
      <c r="E490" s="59"/>
      <c r="F490" s="39"/>
      <c r="G490" s="39">
        <f>SUM(G491,G494,G496)</f>
        <v>26500000</v>
      </c>
      <c r="H490" s="154" t="b">
        <f t="shared" si="15"/>
        <v>1</v>
      </c>
      <c r="I490" s="154"/>
      <c r="J490" s="154"/>
    </row>
    <row r="491" spans="1:10" ht="14.25" x14ac:dyDescent="0.2">
      <c r="A491" s="7" t="s">
        <v>3341</v>
      </c>
      <c r="B491" s="60">
        <v>521211</v>
      </c>
      <c r="C491" s="41" t="s">
        <v>7</v>
      </c>
      <c r="D491" s="60"/>
      <c r="E491" s="60"/>
      <c r="F491" s="42"/>
      <c r="G491" s="42">
        <f>SUM(G492:G493)</f>
        <v>10000000</v>
      </c>
      <c r="H491" s="154" t="b">
        <f t="shared" si="15"/>
        <v>1</v>
      </c>
      <c r="I491" s="154"/>
      <c r="J491" s="154"/>
    </row>
    <row r="492" spans="1:10" ht="14.25" x14ac:dyDescent="0.2">
      <c r="A492" s="7" t="s">
        <v>3342</v>
      </c>
      <c r="B492" s="124"/>
      <c r="C492" s="123" t="s">
        <v>3781</v>
      </c>
      <c r="D492" s="124">
        <v>4</v>
      </c>
      <c r="E492" s="124" t="s">
        <v>9</v>
      </c>
      <c r="F492" s="125">
        <v>1500000</v>
      </c>
      <c r="G492" s="125">
        <f>ROUNDDOWN(D492*F492,-3)</f>
        <v>6000000</v>
      </c>
      <c r="H492" s="154" t="b">
        <f t="shared" si="15"/>
        <v>1</v>
      </c>
      <c r="I492" s="154"/>
      <c r="J492" s="154"/>
    </row>
    <row r="493" spans="1:10" ht="14.25" x14ac:dyDescent="0.2">
      <c r="A493" s="7" t="s">
        <v>3343</v>
      </c>
      <c r="B493" s="124"/>
      <c r="C493" s="123" t="s">
        <v>3598</v>
      </c>
      <c r="D493" s="124">
        <v>4</v>
      </c>
      <c r="E493" s="124" t="s">
        <v>106</v>
      </c>
      <c r="F493" s="125">
        <v>1000000</v>
      </c>
      <c r="G493" s="125">
        <f>ROUNDDOWN(D493*F493,-3)</f>
        <v>4000000</v>
      </c>
      <c r="H493" s="154" t="b">
        <f t="shared" si="15"/>
        <v>1</v>
      </c>
      <c r="I493" s="154"/>
      <c r="J493" s="154"/>
    </row>
    <row r="494" spans="1:10" ht="14.25" x14ac:dyDescent="0.2">
      <c r="A494" s="7" t="s">
        <v>3344</v>
      </c>
      <c r="B494" s="60">
        <v>524111</v>
      </c>
      <c r="C494" s="41" t="s">
        <v>19</v>
      </c>
      <c r="D494" s="60"/>
      <c r="E494" s="60"/>
      <c r="F494" s="42"/>
      <c r="G494" s="42">
        <f>G495</f>
        <v>15000000</v>
      </c>
      <c r="H494" s="154" t="b">
        <f t="shared" si="15"/>
        <v>1</v>
      </c>
      <c r="I494" s="154"/>
      <c r="J494" s="154"/>
    </row>
    <row r="495" spans="1:10" ht="14.25" x14ac:dyDescent="0.2">
      <c r="A495" s="7" t="s">
        <v>3345</v>
      </c>
      <c r="B495" s="124"/>
      <c r="C495" s="123" t="s">
        <v>3801</v>
      </c>
      <c r="D495" s="124">
        <v>5</v>
      </c>
      <c r="E495" s="124" t="s">
        <v>10</v>
      </c>
      <c r="F495" s="125">
        <v>3000000</v>
      </c>
      <c r="G495" s="125">
        <f>ROUNDDOWN(D495*F495,-3)</f>
        <v>15000000</v>
      </c>
      <c r="H495" s="154" t="b">
        <f t="shared" si="15"/>
        <v>1</v>
      </c>
      <c r="I495" s="154"/>
      <c r="J495" s="154"/>
    </row>
    <row r="496" spans="1:10" ht="14.25" x14ac:dyDescent="0.2">
      <c r="A496" s="7" t="s">
        <v>3347</v>
      </c>
      <c r="B496" s="60">
        <v>524113</v>
      </c>
      <c r="C496" s="41" t="s">
        <v>13</v>
      </c>
      <c r="D496" s="60"/>
      <c r="E496" s="60"/>
      <c r="F496" s="42"/>
      <c r="G496" s="42">
        <f>G497</f>
        <v>1500000</v>
      </c>
      <c r="H496" s="154" t="b">
        <f t="shared" si="15"/>
        <v>1</v>
      </c>
      <c r="I496" s="154"/>
      <c r="J496" s="154"/>
    </row>
    <row r="497" spans="1:10" ht="14.25" x14ac:dyDescent="0.2">
      <c r="A497" s="7" t="s">
        <v>3348</v>
      </c>
      <c r="B497" s="124"/>
      <c r="C497" s="123" t="s">
        <v>3593</v>
      </c>
      <c r="D497" s="124">
        <v>10</v>
      </c>
      <c r="E497" s="124" t="s">
        <v>10</v>
      </c>
      <c r="F497" s="125">
        <v>150000</v>
      </c>
      <c r="G497" s="125">
        <f>ROUNDDOWN(D497*F497,-3)</f>
        <v>1500000</v>
      </c>
      <c r="H497" s="154" t="b">
        <f t="shared" si="15"/>
        <v>1</v>
      </c>
      <c r="I497" s="154"/>
      <c r="J497" s="154"/>
    </row>
    <row r="498" spans="1:10" ht="14.25" x14ac:dyDescent="0.2">
      <c r="A498" s="7" t="s">
        <v>3349</v>
      </c>
      <c r="B498" s="59" t="s">
        <v>514</v>
      </c>
      <c r="C498" s="38" t="s">
        <v>3350</v>
      </c>
      <c r="D498" s="59"/>
      <c r="E498" s="59"/>
      <c r="F498" s="39"/>
      <c r="G498" s="39">
        <f>SUM(G499,G505,G507,G509)</f>
        <v>86700000</v>
      </c>
      <c r="H498" s="154" t="b">
        <f t="shared" si="15"/>
        <v>1</v>
      </c>
      <c r="I498" s="154"/>
      <c r="J498" s="154"/>
    </row>
    <row r="499" spans="1:10" ht="14.25" x14ac:dyDescent="0.2">
      <c r="A499" s="7" t="s">
        <v>3351</v>
      </c>
      <c r="B499" s="60">
        <v>521211</v>
      </c>
      <c r="C499" s="41" t="s">
        <v>7</v>
      </c>
      <c r="D499" s="60"/>
      <c r="E499" s="60"/>
      <c r="F499" s="42"/>
      <c r="G499" s="42">
        <f>SUM(G500:G504)</f>
        <v>32400000</v>
      </c>
      <c r="H499" s="154" t="b">
        <f t="shared" si="15"/>
        <v>1</v>
      </c>
      <c r="I499" s="154"/>
      <c r="J499" s="154"/>
    </row>
    <row r="500" spans="1:10" ht="14.25" x14ac:dyDescent="0.2">
      <c r="A500" s="7" t="s">
        <v>3352</v>
      </c>
      <c r="B500" s="124"/>
      <c r="C500" s="123" t="s">
        <v>3781</v>
      </c>
      <c r="D500" s="124">
        <v>6</v>
      </c>
      <c r="E500" s="124" t="s">
        <v>9</v>
      </c>
      <c r="F500" s="125">
        <v>1500000</v>
      </c>
      <c r="G500" s="125">
        <f>ROUNDDOWN(D500*F500,-3)</f>
        <v>9000000</v>
      </c>
      <c r="H500" s="154" t="b">
        <f t="shared" si="15"/>
        <v>1</v>
      </c>
      <c r="I500" s="154"/>
      <c r="J500" s="154"/>
    </row>
    <row r="501" spans="1:10" ht="14.25" x14ac:dyDescent="0.2">
      <c r="A501" s="7" t="s">
        <v>3353</v>
      </c>
      <c r="B501" s="124"/>
      <c r="C501" s="123" t="s">
        <v>3784</v>
      </c>
      <c r="D501" s="124">
        <v>20</v>
      </c>
      <c r="E501" s="124" t="s">
        <v>10</v>
      </c>
      <c r="F501" s="125">
        <v>70000</v>
      </c>
      <c r="G501" s="125">
        <f>ROUNDDOWN(D501*F501,-3)</f>
        <v>1400000</v>
      </c>
      <c r="H501" s="154" t="b">
        <f t="shared" si="15"/>
        <v>1</v>
      </c>
      <c r="I501" s="154"/>
      <c r="J501" s="154"/>
    </row>
    <row r="502" spans="1:10" s="156" customFormat="1" ht="14.25" x14ac:dyDescent="0.2">
      <c r="A502" s="155" t="s">
        <v>3354</v>
      </c>
      <c r="B502" s="124"/>
      <c r="C502" s="123" t="s">
        <v>3802</v>
      </c>
      <c r="D502" s="124">
        <v>28</v>
      </c>
      <c r="E502" s="124" t="s">
        <v>176</v>
      </c>
      <c r="F502" s="125">
        <v>500000</v>
      </c>
      <c r="G502" s="125">
        <f>ROUNDDOWN(D502*F502,-3)</f>
        <v>14000000</v>
      </c>
      <c r="H502" s="154" t="b">
        <f t="shared" si="15"/>
        <v>1</v>
      </c>
      <c r="I502" s="154"/>
      <c r="J502" s="154"/>
    </row>
    <row r="503" spans="1:10" ht="14.25" x14ac:dyDescent="0.2">
      <c r="A503" s="7" t="s">
        <v>3356</v>
      </c>
      <c r="B503" s="124"/>
      <c r="C503" s="123" t="s">
        <v>3803</v>
      </c>
      <c r="D503" s="124">
        <v>4</v>
      </c>
      <c r="E503" s="124" t="s">
        <v>58</v>
      </c>
      <c r="F503" s="125">
        <v>500000</v>
      </c>
      <c r="G503" s="125">
        <f>ROUNDDOWN(D503*F503,-3)</f>
        <v>2000000</v>
      </c>
      <c r="H503" s="154" t="b">
        <f t="shared" si="15"/>
        <v>1</v>
      </c>
      <c r="I503" s="154"/>
      <c r="J503" s="154"/>
    </row>
    <row r="504" spans="1:10" ht="14.25" x14ac:dyDescent="0.2">
      <c r="A504" s="7" t="s">
        <v>3358</v>
      </c>
      <c r="B504" s="124"/>
      <c r="C504" s="123" t="s">
        <v>3799</v>
      </c>
      <c r="D504" s="124">
        <v>6</v>
      </c>
      <c r="E504" s="124" t="s">
        <v>106</v>
      </c>
      <c r="F504" s="125">
        <v>1000000</v>
      </c>
      <c r="G504" s="125">
        <f>ROUNDDOWN(D504*F504,-3)</f>
        <v>6000000</v>
      </c>
      <c r="H504" s="154" t="b">
        <f t="shared" si="15"/>
        <v>1</v>
      </c>
      <c r="I504" s="154"/>
      <c r="J504" s="154"/>
    </row>
    <row r="505" spans="1:10" ht="14.25" x14ac:dyDescent="0.2">
      <c r="A505" s="7" t="s">
        <v>3359</v>
      </c>
      <c r="B505" s="60">
        <v>522151</v>
      </c>
      <c r="C505" s="41" t="s">
        <v>11</v>
      </c>
      <c r="D505" s="60"/>
      <c r="E505" s="60"/>
      <c r="F505" s="42"/>
      <c r="G505" s="42">
        <f>G506</f>
        <v>9000000</v>
      </c>
      <c r="H505" s="154" t="b">
        <f t="shared" si="15"/>
        <v>1</v>
      </c>
      <c r="I505" s="154"/>
      <c r="J505" s="154"/>
    </row>
    <row r="506" spans="1:10" ht="14.25" x14ac:dyDescent="0.2">
      <c r="A506" s="7" t="s">
        <v>3360</v>
      </c>
      <c r="B506" s="124"/>
      <c r="C506" s="123" t="s">
        <v>3603</v>
      </c>
      <c r="D506" s="124">
        <v>10</v>
      </c>
      <c r="E506" s="124" t="s">
        <v>12</v>
      </c>
      <c r="F506" s="125">
        <v>900000</v>
      </c>
      <c r="G506" s="125">
        <f>ROUNDDOWN(D506*F506,-3)</f>
        <v>9000000</v>
      </c>
      <c r="H506" s="154" t="b">
        <f t="shared" si="15"/>
        <v>1</v>
      </c>
      <c r="I506" s="154"/>
      <c r="J506" s="154"/>
    </row>
    <row r="507" spans="1:10" ht="14.25" x14ac:dyDescent="0.2">
      <c r="A507" s="7" t="s">
        <v>3361</v>
      </c>
      <c r="B507" s="60">
        <v>524111</v>
      </c>
      <c r="C507" s="41" t="s">
        <v>19</v>
      </c>
      <c r="D507" s="60"/>
      <c r="E507" s="60"/>
      <c r="F507" s="42"/>
      <c r="G507" s="42">
        <f>G508</f>
        <v>42000000</v>
      </c>
      <c r="H507" s="154" t="b">
        <f t="shared" si="15"/>
        <v>1</v>
      </c>
      <c r="I507" s="154"/>
      <c r="J507" s="154"/>
    </row>
    <row r="508" spans="1:10" ht="14.25" x14ac:dyDescent="0.2">
      <c r="A508" s="7" t="s">
        <v>3362</v>
      </c>
      <c r="B508" s="124"/>
      <c r="C508" s="123" t="s">
        <v>3804</v>
      </c>
      <c r="D508" s="124">
        <v>14</v>
      </c>
      <c r="E508" s="124" t="s">
        <v>10</v>
      </c>
      <c r="F508" s="125">
        <v>3000000</v>
      </c>
      <c r="G508" s="125">
        <f>ROUNDDOWN(D508*F508,-3)</f>
        <v>42000000</v>
      </c>
      <c r="H508" s="154" t="b">
        <f t="shared" si="15"/>
        <v>1</v>
      </c>
      <c r="I508" s="154"/>
      <c r="J508" s="154"/>
    </row>
    <row r="509" spans="1:10" ht="14.25" x14ac:dyDescent="0.2">
      <c r="A509" s="7" t="s">
        <v>3364</v>
      </c>
      <c r="B509" s="60">
        <v>524113</v>
      </c>
      <c r="C509" s="41" t="s">
        <v>13</v>
      </c>
      <c r="D509" s="60"/>
      <c r="E509" s="60"/>
      <c r="F509" s="42"/>
      <c r="G509" s="42">
        <f>G510</f>
        <v>3300000</v>
      </c>
      <c r="H509" s="154" t="b">
        <f t="shared" si="15"/>
        <v>1</v>
      </c>
      <c r="I509" s="154"/>
      <c r="J509" s="154"/>
    </row>
    <row r="510" spans="1:10" ht="14.25" x14ac:dyDescent="0.2">
      <c r="A510" s="7" t="s">
        <v>3365</v>
      </c>
      <c r="B510" s="124"/>
      <c r="C510" s="123" t="s">
        <v>3805</v>
      </c>
      <c r="D510" s="124">
        <v>22</v>
      </c>
      <c r="E510" s="124" t="s">
        <v>10</v>
      </c>
      <c r="F510" s="125">
        <v>150000</v>
      </c>
      <c r="G510" s="125">
        <f>ROUNDDOWN(D510*F510,-3)</f>
        <v>3300000</v>
      </c>
      <c r="H510" s="154" t="b">
        <f t="shared" si="15"/>
        <v>1</v>
      </c>
      <c r="I510" s="154"/>
      <c r="J510" s="154"/>
    </row>
    <row r="511" spans="1:10" ht="14.25" x14ac:dyDescent="0.2">
      <c r="A511" s="7" t="s">
        <v>3367</v>
      </c>
      <c r="B511" s="59" t="s">
        <v>519</v>
      </c>
      <c r="C511" s="38" t="s">
        <v>146</v>
      </c>
      <c r="D511" s="59"/>
      <c r="E511" s="59"/>
      <c r="F511" s="39"/>
      <c r="G511" s="39">
        <f>SUM(G512,G515,G517)</f>
        <v>28800000</v>
      </c>
      <c r="H511" s="154" t="b">
        <f t="shared" si="15"/>
        <v>1</v>
      </c>
      <c r="I511" s="154"/>
      <c r="J511" s="154"/>
    </row>
    <row r="512" spans="1:10" ht="14.25" x14ac:dyDescent="0.2">
      <c r="A512" s="7" t="s">
        <v>3368</v>
      </c>
      <c r="B512" s="60">
        <v>521211</v>
      </c>
      <c r="C512" s="41" t="s">
        <v>7</v>
      </c>
      <c r="D512" s="60"/>
      <c r="E512" s="60"/>
      <c r="F512" s="42"/>
      <c r="G512" s="42">
        <f>SUM(G513:G514)</f>
        <v>15000000</v>
      </c>
      <c r="H512" s="154" t="b">
        <f t="shared" si="15"/>
        <v>1</v>
      </c>
      <c r="I512" s="154"/>
      <c r="J512" s="154"/>
    </row>
    <row r="513" spans="1:10" ht="14.25" x14ac:dyDescent="0.2">
      <c r="A513" s="7" t="s">
        <v>3369</v>
      </c>
      <c r="B513" s="124"/>
      <c r="C513" s="123" t="s">
        <v>3781</v>
      </c>
      <c r="D513" s="124">
        <v>6</v>
      </c>
      <c r="E513" s="124" t="s">
        <v>9</v>
      </c>
      <c r="F513" s="125">
        <v>1500000</v>
      </c>
      <c r="G513" s="125">
        <f>ROUNDDOWN(D513*F513,-3)</f>
        <v>9000000</v>
      </c>
      <c r="H513" s="154" t="b">
        <f t="shared" si="15"/>
        <v>1</v>
      </c>
      <c r="I513" s="154"/>
      <c r="J513" s="154"/>
    </row>
    <row r="514" spans="1:10" ht="14.25" x14ac:dyDescent="0.2">
      <c r="A514" s="7" t="s">
        <v>3370</v>
      </c>
      <c r="B514" s="124"/>
      <c r="C514" s="123" t="s">
        <v>3598</v>
      </c>
      <c r="D514" s="124">
        <v>6</v>
      </c>
      <c r="E514" s="124" t="s">
        <v>106</v>
      </c>
      <c r="F514" s="125">
        <v>1000000</v>
      </c>
      <c r="G514" s="125">
        <f>ROUNDDOWN(D514*F514,-3)</f>
        <v>6000000</v>
      </c>
      <c r="H514" s="154" t="b">
        <f t="shared" si="15"/>
        <v>1</v>
      </c>
      <c r="I514" s="154"/>
      <c r="J514" s="154"/>
    </row>
    <row r="515" spans="1:10" ht="14.25" x14ac:dyDescent="0.2">
      <c r="A515" s="7" t="s">
        <v>3371</v>
      </c>
      <c r="B515" s="60">
        <v>524111</v>
      </c>
      <c r="C515" s="41" t="s">
        <v>19</v>
      </c>
      <c r="D515" s="60"/>
      <c r="E515" s="60"/>
      <c r="F515" s="42"/>
      <c r="G515" s="42">
        <f>G516</f>
        <v>12000000</v>
      </c>
      <c r="H515" s="154" t="b">
        <f t="shared" si="15"/>
        <v>1</v>
      </c>
      <c r="I515" s="154"/>
      <c r="J515" s="154"/>
    </row>
    <row r="516" spans="1:10" ht="14.25" x14ac:dyDescent="0.2">
      <c r="A516" s="7" t="s">
        <v>3372</v>
      </c>
      <c r="B516" s="124"/>
      <c r="C516" s="123" t="s">
        <v>3806</v>
      </c>
      <c r="D516" s="124">
        <v>4</v>
      </c>
      <c r="E516" s="124" t="s">
        <v>10</v>
      </c>
      <c r="F516" s="125">
        <v>3000000</v>
      </c>
      <c r="G516" s="125">
        <f>ROUNDDOWN(D516*F516,-3)</f>
        <v>12000000</v>
      </c>
      <c r="H516" s="154" t="b">
        <f t="shared" si="15"/>
        <v>1</v>
      </c>
      <c r="I516" s="154"/>
      <c r="J516" s="154"/>
    </row>
    <row r="517" spans="1:10" ht="14.25" x14ac:dyDescent="0.2">
      <c r="A517" s="7" t="s">
        <v>3374</v>
      </c>
      <c r="B517" s="60">
        <v>524113</v>
      </c>
      <c r="C517" s="41" t="s">
        <v>13</v>
      </c>
      <c r="D517" s="60"/>
      <c r="E517" s="60"/>
      <c r="F517" s="42"/>
      <c r="G517" s="42">
        <f>G518</f>
        <v>1800000</v>
      </c>
      <c r="H517" s="154" t="b">
        <f t="shared" si="15"/>
        <v>1</v>
      </c>
      <c r="I517" s="154"/>
      <c r="J517" s="154"/>
    </row>
    <row r="518" spans="1:10" ht="14.25" x14ac:dyDescent="0.2">
      <c r="A518" s="7" t="s">
        <v>3375</v>
      </c>
      <c r="B518" s="124"/>
      <c r="C518" s="123" t="s">
        <v>3807</v>
      </c>
      <c r="D518" s="124">
        <v>12</v>
      </c>
      <c r="E518" s="124" t="s">
        <v>10</v>
      </c>
      <c r="F518" s="125">
        <v>150000</v>
      </c>
      <c r="G518" s="125">
        <f>ROUNDDOWN(D518*F518,-3)</f>
        <v>1800000</v>
      </c>
      <c r="H518" s="154" t="b">
        <f t="shared" si="15"/>
        <v>1</v>
      </c>
      <c r="I518" s="154"/>
      <c r="J518" s="154"/>
    </row>
    <row r="519" spans="1:10" ht="14.25" x14ac:dyDescent="0.2">
      <c r="A519" s="7" t="s">
        <v>3377</v>
      </c>
      <c r="B519" s="59" t="s">
        <v>578</v>
      </c>
      <c r="C519" s="38" t="s">
        <v>147</v>
      </c>
      <c r="D519" s="59"/>
      <c r="E519" s="59"/>
      <c r="F519" s="39"/>
      <c r="G519" s="39">
        <f>SUM(G520,G522,G525,G527)</f>
        <v>76320000</v>
      </c>
      <c r="H519" s="154" t="b">
        <f t="shared" si="15"/>
        <v>1</v>
      </c>
      <c r="I519" s="154"/>
      <c r="J519" s="154"/>
    </row>
    <row r="520" spans="1:10" ht="14.25" x14ac:dyDescent="0.2">
      <c r="A520" s="7" t="s">
        <v>3378</v>
      </c>
      <c r="B520" s="60">
        <v>521211</v>
      </c>
      <c r="C520" s="41" t="s">
        <v>7</v>
      </c>
      <c r="D520" s="60"/>
      <c r="E520" s="60"/>
      <c r="F520" s="42"/>
      <c r="G520" s="42">
        <f>G521</f>
        <v>4800000</v>
      </c>
      <c r="H520" s="154" t="b">
        <f t="shared" si="15"/>
        <v>1</v>
      </c>
      <c r="I520" s="154"/>
      <c r="J520" s="154"/>
    </row>
    <row r="521" spans="1:10" ht="14.25" x14ac:dyDescent="0.2">
      <c r="A521" s="7" t="s">
        <v>3379</v>
      </c>
      <c r="B521" s="124"/>
      <c r="C521" s="123" t="s">
        <v>3808</v>
      </c>
      <c r="D521" s="124">
        <v>24</v>
      </c>
      <c r="E521" s="124" t="s">
        <v>176</v>
      </c>
      <c r="F521" s="125">
        <v>200000</v>
      </c>
      <c r="G521" s="125">
        <f>ROUNDDOWN(D521*F521,-3)</f>
        <v>4800000</v>
      </c>
      <c r="H521" s="154" t="b">
        <f t="shared" si="15"/>
        <v>1</v>
      </c>
      <c r="I521" s="154"/>
      <c r="J521" s="154"/>
    </row>
    <row r="522" spans="1:10" ht="14.25" x14ac:dyDescent="0.2">
      <c r="A522" s="7" t="s">
        <v>3381</v>
      </c>
      <c r="B522" s="60">
        <v>521811</v>
      </c>
      <c r="C522" s="41" t="s">
        <v>64</v>
      </c>
      <c r="D522" s="60"/>
      <c r="E522" s="60"/>
      <c r="F522" s="42"/>
      <c r="G522" s="42">
        <f>SUM(G523:G524)</f>
        <v>25000000</v>
      </c>
      <c r="H522" s="154" t="b">
        <f t="shared" si="15"/>
        <v>1</v>
      </c>
      <c r="I522" s="154"/>
      <c r="J522" s="154"/>
    </row>
    <row r="523" spans="1:10" ht="14.25" x14ac:dyDescent="0.2">
      <c r="A523" s="7" t="s">
        <v>3382</v>
      </c>
      <c r="B523" s="124"/>
      <c r="C523" s="123" t="s">
        <v>3781</v>
      </c>
      <c r="D523" s="124">
        <v>10</v>
      </c>
      <c r="E523" s="124" t="s">
        <v>9</v>
      </c>
      <c r="F523" s="125">
        <v>1500000</v>
      </c>
      <c r="G523" s="125">
        <f>ROUNDDOWN(D523*F523,-3)</f>
        <v>15000000</v>
      </c>
      <c r="H523" s="154" t="b">
        <f t="shared" si="15"/>
        <v>1</v>
      </c>
      <c r="I523" s="154"/>
      <c r="J523" s="154"/>
    </row>
    <row r="524" spans="1:10" ht="14.25" x14ac:dyDescent="0.2">
      <c r="A524" s="7" t="s">
        <v>3383</v>
      </c>
      <c r="B524" s="124"/>
      <c r="C524" s="123" t="s">
        <v>3598</v>
      </c>
      <c r="D524" s="124">
        <v>10</v>
      </c>
      <c r="E524" s="124" t="s">
        <v>2749</v>
      </c>
      <c r="F524" s="125">
        <v>1000000</v>
      </c>
      <c r="G524" s="125">
        <f>ROUNDDOWN(D524*F524,-3)</f>
        <v>10000000</v>
      </c>
      <c r="H524" s="154" t="b">
        <f t="shared" si="15"/>
        <v>1</v>
      </c>
      <c r="I524" s="154"/>
      <c r="J524" s="154"/>
    </row>
    <row r="525" spans="1:10" ht="14.25" x14ac:dyDescent="0.2">
      <c r="A525" s="7" t="s">
        <v>3384</v>
      </c>
      <c r="B525" s="60">
        <v>524111</v>
      </c>
      <c r="C525" s="41" t="s">
        <v>19</v>
      </c>
      <c r="D525" s="60"/>
      <c r="E525" s="60"/>
      <c r="F525" s="42"/>
      <c r="G525" s="42">
        <f>G526</f>
        <v>42770000</v>
      </c>
      <c r="H525" s="154" t="b">
        <f t="shared" si="15"/>
        <v>1</v>
      </c>
      <c r="I525" s="154"/>
      <c r="J525" s="154"/>
    </row>
    <row r="526" spans="1:10" ht="14.25" x14ac:dyDescent="0.2">
      <c r="A526" s="7" t="s">
        <v>3385</v>
      </c>
      <c r="B526" s="124"/>
      <c r="C526" s="123" t="s">
        <v>3809</v>
      </c>
      <c r="D526" s="124">
        <v>14</v>
      </c>
      <c r="E526" s="124" t="s">
        <v>10</v>
      </c>
      <c r="F526" s="125">
        <v>3055000</v>
      </c>
      <c r="G526" s="125">
        <f>ROUNDDOWN(D526*F526,-3)</f>
        <v>42770000</v>
      </c>
      <c r="H526" s="154" t="b">
        <f t="shared" ref="H526:H589" si="16">_xlfn.ISFORMULA(G526)</f>
        <v>1</v>
      </c>
      <c r="I526" s="154"/>
      <c r="J526" s="154"/>
    </row>
    <row r="527" spans="1:10" ht="14.25" x14ac:dyDescent="0.2">
      <c r="A527" s="7" t="s">
        <v>3387</v>
      </c>
      <c r="B527" s="60">
        <v>524113</v>
      </c>
      <c r="C527" s="41" t="s">
        <v>13</v>
      </c>
      <c r="D527" s="60"/>
      <c r="E527" s="60"/>
      <c r="F527" s="42"/>
      <c r="G527" s="42">
        <f>G528</f>
        <v>3750000</v>
      </c>
      <c r="H527" s="154" t="b">
        <f t="shared" si="16"/>
        <v>1</v>
      </c>
      <c r="I527" s="154"/>
      <c r="J527" s="154"/>
    </row>
    <row r="528" spans="1:10" ht="14.25" x14ac:dyDescent="0.2">
      <c r="A528" s="7" t="s">
        <v>3388</v>
      </c>
      <c r="B528" s="124"/>
      <c r="C528" s="123" t="s">
        <v>3594</v>
      </c>
      <c r="D528" s="124">
        <v>25</v>
      </c>
      <c r="E528" s="124" t="s">
        <v>10</v>
      </c>
      <c r="F528" s="125">
        <v>150000</v>
      </c>
      <c r="G528" s="125">
        <f>ROUNDDOWN(D528*F528,-3)</f>
        <v>3750000</v>
      </c>
      <c r="H528" s="154" t="b">
        <f t="shared" si="16"/>
        <v>1</v>
      </c>
      <c r="I528" s="154"/>
      <c r="J528" s="154"/>
    </row>
    <row r="529" spans="1:10" ht="14.25" x14ac:dyDescent="0.2">
      <c r="A529" s="7" t="s">
        <v>495</v>
      </c>
      <c r="B529" s="55">
        <v>4345</v>
      </c>
      <c r="C529" s="26" t="s">
        <v>188</v>
      </c>
      <c r="D529" s="55"/>
      <c r="E529" s="55"/>
      <c r="F529" s="27"/>
      <c r="G529" s="27">
        <f>G530</f>
        <v>8582500000</v>
      </c>
      <c r="H529" s="154" t="b">
        <f t="shared" si="16"/>
        <v>1</v>
      </c>
      <c r="I529" s="154"/>
      <c r="J529" s="154"/>
    </row>
    <row r="530" spans="1:10" ht="14.25" x14ac:dyDescent="0.2">
      <c r="A530" s="7" t="s">
        <v>3473</v>
      </c>
      <c r="B530" s="116" t="s">
        <v>3474</v>
      </c>
      <c r="C530" s="114" t="s">
        <v>2312</v>
      </c>
      <c r="D530" s="116">
        <v>4725</v>
      </c>
      <c r="E530" s="116" t="s">
        <v>155</v>
      </c>
      <c r="F530" s="117"/>
      <c r="G530" s="117">
        <f>G531</f>
        <v>8582500000</v>
      </c>
      <c r="H530" s="154" t="b">
        <f t="shared" si="16"/>
        <v>1</v>
      </c>
      <c r="I530" s="154"/>
      <c r="J530" s="154"/>
    </row>
    <row r="531" spans="1:10" ht="14.25" x14ac:dyDescent="0.2">
      <c r="A531" s="7" t="s">
        <v>3475</v>
      </c>
      <c r="B531" s="119" t="s">
        <v>3810</v>
      </c>
      <c r="C531" s="118" t="s">
        <v>3477</v>
      </c>
      <c r="D531" s="119">
        <v>4725</v>
      </c>
      <c r="E531" s="119" t="s">
        <v>155</v>
      </c>
      <c r="F531" s="120"/>
      <c r="G531" s="120">
        <f>SUM(G532,G580)</f>
        <v>8582500000</v>
      </c>
      <c r="H531" s="154" t="b">
        <f t="shared" si="16"/>
        <v>1</v>
      </c>
      <c r="I531" s="154"/>
      <c r="J531" s="154"/>
    </row>
    <row r="532" spans="1:10" ht="14.25" x14ac:dyDescent="0.2">
      <c r="A532" s="7" t="s">
        <v>3478</v>
      </c>
      <c r="B532" s="58">
        <v>301</v>
      </c>
      <c r="C532" s="35" t="s">
        <v>189</v>
      </c>
      <c r="D532" s="58"/>
      <c r="E532" s="58"/>
      <c r="F532" s="36"/>
      <c r="G532" s="36">
        <f>SUM(G533,G552,G568,G577)</f>
        <v>8473300000</v>
      </c>
      <c r="H532" s="154" t="b">
        <f t="shared" si="16"/>
        <v>1</v>
      </c>
      <c r="I532" s="154"/>
      <c r="J532" s="154"/>
    </row>
    <row r="533" spans="1:10" ht="14.25" x14ac:dyDescent="0.2">
      <c r="A533" s="7" t="s">
        <v>3479</v>
      </c>
      <c r="B533" s="59" t="s">
        <v>8</v>
      </c>
      <c r="C533" s="38" t="s">
        <v>190</v>
      </c>
      <c r="D533" s="59"/>
      <c r="E533" s="59"/>
      <c r="F533" s="39"/>
      <c r="G533" s="39">
        <f>SUM(G534,G539,G542,G545,G547,G549)</f>
        <v>1713564000</v>
      </c>
      <c r="H533" s="154" t="b">
        <f t="shared" si="16"/>
        <v>1</v>
      </c>
      <c r="I533" s="154"/>
      <c r="J533" s="154"/>
    </row>
    <row r="534" spans="1:10" ht="14.25" x14ac:dyDescent="0.2">
      <c r="A534" s="7" t="s">
        <v>3480</v>
      </c>
      <c r="B534" s="60">
        <v>521211</v>
      </c>
      <c r="C534" s="41" t="s">
        <v>7</v>
      </c>
      <c r="D534" s="60"/>
      <c r="E534" s="60"/>
      <c r="F534" s="42"/>
      <c r="G534" s="42">
        <f>SUM(G535:G538)</f>
        <v>99100000</v>
      </c>
      <c r="H534" s="154" t="b">
        <f t="shared" si="16"/>
        <v>1</v>
      </c>
      <c r="I534" s="154"/>
      <c r="J534" s="154"/>
    </row>
    <row r="535" spans="1:10" ht="14.25" x14ac:dyDescent="0.2">
      <c r="A535" s="7" t="s">
        <v>3481</v>
      </c>
      <c r="B535" s="124"/>
      <c r="C535" s="123" t="s">
        <v>3811</v>
      </c>
      <c r="D535" s="124">
        <v>400</v>
      </c>
      <c r="E535" s="124" t="s">
        <v>10</v>
      </c>
      <c r="F535" s="125">
        <v>70000</v>
      </c>
      <c r="G535" s="125">
        <f>ROUNDDOWN(D535*F535,-3)</f>
        <v>28000000</v>
      </c>
      <c r="H535" s="154" t="b">
        <f t="shared" si="16"/>
        <v>1</v>
      </c>
      <c r="I535" s="154"/>
      <c r="J535" s="154"/>
    </row>
    <row r="536" spans="1:10" ht="14.25" x14ac:dyDescent="0.2">
      <c r="A536" s="7" t="s">
        <v>3482</v>
      </c>
      <c r="B536" s="124"/>
      <c r="C536" s="123" t="s">
        <v>3812</v>
      </c>
      <c r="D536" s="124">
        <v>10</v>
      </c>
      <c r="E536" s="124" t="s">
        <v>9</v>
      </c>
      <c r="F536" s="125">
        <v>1500000</v>
      </c>
      <c r="G536" s="125">
        <f>ROUNDDOWN(D536*F536,-3)</f>
        <v>15000000</v>
      </c>
      <c r="H536" s="154" t="b">
        <f t="shared" si="16"/>
        <v>1</v>
      </c>
      <c r="I536" s="154"/>
      <c r="J536" s="154"/>
    </row>
    <row r="537" spans="1:10" ht="14.25" x14ac:dyDescent="0.2">
      <c r="A537" s="7" t="s">
        <v>3484</v>
      </c>
      <c r="B537" s="124"/>
      <c r="C537" s="123" t="s">
        <v>3813</v>
      </c>
      <c r="D537" s="124">
        <v>120</v>
      </c>
      <c r="E537" s="124" t="s">
        <v>25</v>
      </c>
      <c r="F537" s="125">
        <v>280000</v>
      </c>
      <c r="G537" s="125">
        <f>ROUNDDOWN(D537*F537,-3)</f>
        <v>33600000</v>
      </c>
      <c r="H537" s="154" t="b">
        <f t="shared" si="16"/>
        <v>1</v>
      </c>
      <c r="I537" s="154"/>
      <c r="J537" s="154"/>
    </row>
    <row r="538" spans="1:10" ht="14.25" x14ac:dyDescent="0.2">
      <c r="A538" s="7" t="s">
        <v>3486</v>
      </c>
      <c r="B538" s="124"/>
      <c r="C538" s="123" t="s">
        <v>3814</v>
      </c>
      <c r="D538" s="124">
        <v>150</v>
      </c>
      <c r="E538" s="124" t="s">
        <v>25</v>
      </c>
      <c r="F538" s="125">
        <v>150000</v>
      </c>
      <c r="G538" s="125">
        <f>ROUNDDOWN(D538*F538,-3)</f>
        <v>22500000</v>
      </c>
      <c r="H538" s="154" t="b">
        <f t="shared" si="16"/>
        <v>1</v>
      </c>
      <c r="I538" s="154"/>
      <c r="J538" s="154"/>
    </row>
    <row r="539" spans="1:10" ht="14.25" x14ac:dyDescent="0.2">
      <c r="A539" s="7" t="s">
        <v>3488</v>
      </c>
      <c r="B539" s="60">
        <v>521219</v>
      </c>
      <c r="C539" s="41" t="s">
        <v>53</v>
      </c>
      <c r="D539" s="60"/>
      <c r="E539" s="60"/>
      <c r="F539" s="42"/>
      <c r="G539" s="42">
        <f>SUM(G540:G541)</f>
        <v>1333864000</v>
      </c>
      <c r="H539" s="154" t="b">
        <f t="shared" si="16"/>
        <v>1</v>
      </c>
      <c r="I539" s="154"/>
      <c r="J539" s="154"/>
    </row>
    <row r="540" spans="1:10" ht="14.25" x14ac:dyDescent="0.2">
      <c r="A540" s="7" t="s">
        <v>3489</v>
      </c>
      <c r="B540" s="124"/>
      <c r="C540" s="123" t="s">
        <v>3815</v>
      </c>
      <c r="D540" s="124">
        <v>33</v>
      </c>
      <c r="E540" s="124" t="s">
        <v>155</v>
      </c>
      <c r="F540" s="125">
        <v>40412550</v>
      </c>
      <c r="G540" s="125">
        <f>ROUNDDOWN(D540*F540,-3)</f>
        <v>1333614000</v>
      </c>
      <c r="H540" s="154" t="b">
        <f t="shared" si="16"/>
        <v>1</v>
      </c>
      <c r="I540" s="154"/>
      <c r="J540" s="154"/>
    </row>
    <row r="541" spans="1:10" ht="14.25" x14ac:dyDescent="0.2">
      <c r="A541" s="7" t="s">
        <v>3491</v>
      </c>
      <c r="B541" s="124"/>
      <c r="C541" s="123" t="s">
        <v>3816</v>
      </c>
      <c r="D541" s="124">
        <v>1</v>
      </c>
      <c r="E541" s="124" t="s">
        <v>9</v>
      </c>
      <c r="F541" s="125">
        <v>250000</v>
      </c>
      <c r="G541" s="125">
        <f>ROUNDDOWN(D541*F541,-3)</f>
        <v>250000</v>
      </c>
      <c r="H541" s="154" t="b">
        <f t="shared" si="16"/>
        <v>1</v>
      </c>
      <c r="I541" s="154"/>
      <c r="J541" s="154"/>
    </row>
    <row r="542" spans="1:10" ht="14.25" x14ac:dyDescent="0.2">
      <c r="A542" s="7" t="s">
        <v>3492</v>
      </c>
      <c r="B542" s="60">
        <v>521811</v>
      </c>
      <c r="C542" s="41" t="s">
        <v>64</v>
      </c>
      <c r="D542" s="60"/>
      <c r="E542" s="60"/>
      <c r="F542" s="42"/>
      <c r="G542" s="42">
        <f>SUM(G543:G544)</f>
        <v>25000000</v>
      </c>
      <c r="H542" s="154" t="b">
        <f t="shared" si="16"/>
        <v>1</v>
      </c>
      <c r="I542" s="154"/>
      <c r="J542" s="154"/>
    </row>
    <row r="543" spans="1:10" ht="14.25" x14ac:dyDescent="0.2">
      <c r="A543" s="7" t="s">
        <v>3493</v>
      </c>
      <c r="B543" s="124"/>
      <c r="C543" s="123" t="s">
        <v>3781</v>
      </c>
      <c r="D543" s="124">
        <v>10</v>
      </c>
      <c r="E543" s="124" t="s">
        <v>9</v>
      </c>
      <c r="F543" s="125">
        <v>1000000</v>
      </c>
      <c r="G543" s="125">
        <f>ROUNDDOWN(D543*F543,-3)</f>
        <v>10000000</v>
      </c>
      <c r="H543" s="154" t="b">
        <f t="shared" si="16"/>
        <v>1</v>
      </c>
      <c r="I543" s="154"/>
      <c r="J543" s="154"/>
    </row>
    <row r="544" spans="1:10" ht="14.25" x14ac:dyDescent="0.2">
      <c r="A544" s="7" t="s">
        <v>3494</v>
      </c>
      <c r="B544" s="124"/>
      <c r="C544" s="123" t="s">
        <v>3598</v>
      </c>
      <c r="D544" s="124">
        <v>10</v>
      </c>
      <c r="E544" s="124" t="s">
        <v>9</v>
      </c>
      <c r="F544" s="125">
        <v>1500000</v>
      </c>
      <c r="G544" s="125">
        <f>ROUNDDOWN(D544*F544,-3)</f>
        <v>15000000</v>
      </c>
      <c r="H544" s="154" t="b">
        <f t="shared" si="16"/>
        <v>1</v>
      </c>
      <c r="I544" s="154"/>
      <c r="J544" s="154"/>
    </row>
    <row r="545" spans="1:10" ht="14.25" x14ac:dyDescent="0.2">
      <c r="A545" s="7" t="s">
        <v>3495</v>
      </c>
      <c r="B545" s="60">
        <v>522151</v>
      </c>
      <c r="C545" s="41" t="s">
        <v>11</v>
      </c>
      <c r="D545" s="60"/>
      <c r="E545" s="60"/>
      <c r="F545" s="42"/>
      <c r="G545" s="42">
        <f>G546</f>
        <v>15000000</v>
      </c>
      <c r="H545" s="154" t="b">
        <f t="shared" si="16"/>
        <v>1</v>
      </c>
      <c r="I545" s="154"/>
      <c r="J545" s="154"/>
    </row>
    <row r="546" spans="1:10" ht="14.25" x14ac:dyDescent="0.2">
      <c r="A546" s="7" t="s">
        <v>3496</v>
      </c>
      <c r="B546" s="124"/>
      <c r="C546" s="123" t="s">
        <v>3603</v>
      </c>
      <c r="D546" s="124">
        <v>15</v>
      </c>
      <c r="E546" s="124" t="s">
        <v>12</v>
      </c>
      <c r="F546" s="125">
        <v>1000000</v>
      </c>
      <c r="G546" s="125">
        <f>ROUNDDOWN(D546*F546,-3)</f>
        <v>15000000</v>
      </c>
      <c r="H546" s="154" t="b">
        <f t="shared" si="16"/>
        <v>1</v>
      </c>
      <c r="I546" s="154"/>
      <c r="J546" s="154"/>
    </row>
    <row r="547" spans="1:10" ht="14.25" x14ac:dyDescent="0.2">
      <c r="A547" s="7" t="s">
        <v>3497</v>
      </c>
      <c r="B547" s="60">
        <v>522191</v>
      </c>
      <c r="C547" s="41" t="s">
        <v>22</v>
      </c>
      <c r="D547" s="60"/>
      <c r="E547" s="60"/>
      <c r="F547" s="42"/>
      <c r="G547" s="42">
        <f>G548</f>
        <v>102600000</v>
      </c>
      <c r="H547" s="154" t="b">
        <f t="shared" si="16"/>
        <v>1</v>
      </c>
      <c r="I547" s="154"/>
      <c r="J547" s="154"/>
    </row>
    <row r="548" spans="1:10" ht="14.25" x14ac:dyDescent="0.2">
      <c r="A548" s="7" t="s">
        <v>3498</v>
      </c>
      <c r="B548" s="124"/>
      <c r="C548" s="123" t="s">
        <v>3817</v>
      </c>
      <c r="D548" s="124">
        <v>120</v>
      </c>
      <c r="E548" s="124" t="s">
        <v>155</v>
      </c>
      <c r="F548" s="125">
        <v>855000</v>
      </c>
      <c r="G548" s="125">
        <f>ROUNDDOWN(D548*F548,-3)</f>
        <v>102600000</v>
      </c>
      <c r="H548" s="154" t="b">
        <f t="shared" si="16"/>
        <v>1</v>
      </c>
      <c r="I548" s="154"/>
      <c r="J548" s="154"/>
    </row>
    <row r="549" spans="1:10" ht="14.25" x14ac:dyDescent="0.2">
      <c r="A549" s="7" t="s">
        <v>3500</v>
      </c>
      <c r="B549" s="60">
        <v>524111</v>
      </c>
      <c r="C549" s="41" t="s">
        <v>19</v>
      </c>
      <c r="D549" s="60"/>
      <c r="E549" s="60"/>
      <c r="F549" s="42"/>
      <c r="G549" s="42">
        <f>SUM(G550:G551)</f>
        <v>138000000</v>
      </c>
      <c r="H549" s="154" t="b">
        <f t="shared" si="16"/>
        <v>1</v>
      </c>
      <c r="I549" s="154"/>
      <c r="J549" s="154"/>
    </row>
    <row r="550" spans="1:10" ht="14.25" x14ac:dyDescent="0.2">
      <c r="A550" s="7" t="s">
        <v>3501</v>
      </c>
      <c r="B550" s="124"/>
      <c r="C550" s="123" t="s">
        <v>3818</v>
      </c>
      <c r="D550" s="124">
        <v>50</v>
      </c>
      <c r="E550" s="124" t="s">
        <v>10</v>
      </c>
      <c r="F550" s="125">
        <v>1200000</v>
      </c>
      <c r="G550" s="125">
        <f>ROUNDDOWN(D550*F550,-3)</f>
        <v>60000000</v>
      </c>
      <c r="H550" s="154" t="b">
        <f t="shared" si="16"/>
        <v>1</v>
      </c>
      <c r="I550" s="154"/>
      <c r="J550" s="154"/>
    </row>
    <row r="551" spans="1:10" ht="14.25" x14ac:dyDescent="0.2">
      <c r="A551" s="7" t="s">
        <v>3503</v>
      </c>
      <c r="B551" s="124"/>
      <c r="C551" s="123" t="s">
        <v>3819</v>
      </c>
      <c r="D551" s="124">
        <v>12</v>
      </c>
      <c r="E551" s="124" t="s">
        <v>10</v>
      </c>
      <c r="F551" s="125">
        <v>6500000</v>
      </c>
      <c r="G551" s="125">
        <f>ROUNDDOWN(D551*F551,-3)</f>
        <v>78000000</v>
      </c>
      <c r="H551" s="154" t="b">
        <f t="shared" si="16"/>
        <v>1</v>
      </c>
      <c r="I551" s="154"/>
      <c r="J551" s="154"/>
    </row>
    <row r="552" spans="1:10" ht="14.25" x14ac:dyDescent="0.2">
      <c r="A552" s="7" t="s">
        <v>3505</v>
      </c>
      <c r="B552" s="59" t="s">
        <v>511</v>
      </c>
      <c r="C552" s="38" t="s">
        <v>191</v>
      </c>
      <c r="D552" s="59"/>
      <c r="E552" s="59"/>
      <c r="F552" s="39"/>
      <c r="G552" s="39">
        <f>SUM(G553,G556,G560,G563,G565)</f>
        <v>6555695000</v>
      </c>
      <c r="H552" s="154" t="b">
        <f t="shared" si="16"/>
        <v>1</v>
      </c>
      <c r="I552" s="154"/>
      <c r="J552" s="154"/>
    </row>
    <row r="553" spans="1:10" ht="14.25" x14ac:dyDescent="0.2">
      <c r="A553" s="7" t="s">
        <v>3506</v>
      </c>
      <c r="B553" s="60">
        <v>521211</v>
      </c>
      <c r="C553" s="41" t="s">
        <v>7</v>
      </c>
      <c r="D553" s="60"/>
      <c r="E553" s="60"/>
      <c r="F553" s="42"/>
      <c r="G553" s="42">
        <f>SUM(G554:G555)</f>
        <v>25000000</v>
      </c>
      <c r="H553" s="154" t="b">
        <f t="shared" si="16"/>
        <v>1</v>
      </c>
      <c r="I553" s="154"/>
      <c r="J553" s="154"/>
    </row>
    <row r="554" spans="1:10" ht="14.25" x14ac:dyDescent="0.2">
      <c r="A554" s="7" t="s">
        <v>3507</v>
      </c>
      <c r="B554" s="124"/>
      <c r="C554" s="123" t="s">
        <v>3811</v>
      </c>
      <c r="D554" s="124">
        <v>100</v>
      </c>
      <c r="E554" s="124" t="s">
        <v>10</v>
      </c>
      <c r="F554" s="125">
        <v>70000</v>
      </c>
      <c r="G554" s="125">
        <f>ROUNDDOWN(D554*F554,-3)</f>
        <v>7000000</v>
      </c>
      <c r="H554" s="154" t="b">
        <f t="shared" si="16"/>
        <v>1</v>
      </c>
      <c r="I554" s="154"/>
      <c r="J554" s="154"/>
    </row>
    <row r="555" spans="1:10" ht="14.25" x14ac:dyDescent="0.2">
      <c r="A555" s="7" t="s">
        <v>3508</v>
      </c>
      <c r="B555" s="124"/>
      <c r="C555" s="123" t="s">
        <v>3812</v>
      </c>
      <c r="D555" s="124">
        <v>12</v>
      </c>
      <c r="E555" s="124" t="s">
        <v>9</v>
      </c>
      <c r="F555" s="125">
        <v>1500000</v>
      </c>
      <c r="G555" s="125">
        <f>ROUNDDOWN(D555*F555,-3)</f>
        <v>18000000</v>
      </c>
      <c r="H555" s="154" t="b">
        <f t="shared" si="16"/>
        <v>1</v>
      </c>
      <c r="I555" s="154"/>
      <c r="J555" s="154"/>
    </row>
    <row r="556" spans="1:10" ht="14.25" x14ac:dyDescent="0.2">
      <c r="A556" s="7" t="s">
        <v>3509</v>
      </c>
      <c r="B556" s="60">
        <v>521219</v>
      </c>
      <c r="C556" s="41" t="s">
        <v>53</v>
      </c>
      <c r="D556" s="60"/>
      <c r="E556" s="60"/>
      <c r="F556" s="42"/>
      <c r="G556" s="42">
        <f>SUM(G557:G559)</f>
        <v>6308695000</v>
      </c>
      <c r="H556" s="154" t="b">
        <f t="shared" si="16"/>
        <v>1</v>
      </c>
      <c r="I556" s="154"/>
      <c r="J556" s="154"/>
    </row>
    <row r="557" spans="1:10" ht="14.25" x14ac:dyDescent="0.2">
      <c r="A557" s="7" t="s">
        <v>3510</v>
      </c>
      <c r="B557" s="124"/>
      <c r="C557" s="123" t="s">
        <v>3815</v>
      </c>
      <c r="D557" s="124">
        <v>157</v>
      </c>
      <c r="E557" s="124" t="s">
        <v>155</v>
      </c>
      <c r="F557" s="125">
        <v>40130229</v>
      </c>
      <c r="G557" s="125">
        <f>ROUNDDOWN(D557*F557,-3)</f>
        <v>6300445000</v>
      </c>
      <c r="H557" s="154" t="b">
        <f t="shared" si="16"/>
        <v>1</v>
      </c>
      <c r="I557" s="154"/>
      <c r="J557" s="154"/>
    </row>
    <row r="558" spans="1:10" ht="14.25" x14ac:dyDescent="0.2">
      <c r="A558" s="7" t="s">
        <v>3511</v>
      </c>
      <c r="B558" s="124"/>
      <c r="C558" s="123" t="s">
        <v>3816</v>
      </c>
      <c r="D558" s="124">
        <v>3</v>
      </c>
      <c r="E558" s="124" t="s">
        <v>9</v>
      </c>
      <c r="F558" s="125">
        <v>250000</v>
      </c>
      <c r="G558" s="125">
        <f>ROUNDDOWN(D558*F558,-3)</f>
        <v>750000</v>
      </c>
      <c r="H558" s="154" t="b">
        <f t="shared" si="16"/>
        <v>1</v>
      </c>
      <c r="I558" s="154"/>
      <c r="J558" s="154"/>
    </row>
    <row r="559" spans="1:10" ht="14.25" x14ac:dyDescent="0.2">
      <c r="A559" s="7" t="s">
        <v>3512</v>
      </c>
      <c r="B559" s="124"/>
      <c r="C559" s="123" t="s">
        <v>3820</v>
      </c>
      <c r="D559" s="124">
        <v>15</v>
      </c>
      <c r="E559" s="124" t="s">
        <v>106</v>
      </c>
      <c r="F559" s="125">
        <v>500000</v>
      </c>
      <c r="G559" s="125">
        <f>ROUNDDOWN(D559*F559,-3)</f>
        <v>7500000</v>
      </c>
      <c r="H559" s="154" t="b">
        <f t="shared" si="16"/>
        <v>1</v>
      </c>
      <c r="I559" s="154"/>
      <c r="J559" s="154"/>
    </row>
    <row r="560" spans="1:10" ht="14.25" x14ac:dyDescent="0.2">
      <c r="A560" s="7" t="s">
        <v>3514</v>
      </c>
      <c r="B560" s="60">
        <v>521811</v>
      </c>
      <c r="C560" s="41" t="s">
        <v>64</v>
      </c>
      <c r="D560" s="60"/>
      <c r="E560" s="60"/>
      <c r="F560" s="42"/>
      <c r="G560" s="42">
        <f>SUM(G561:G562)</f>
        <v>30000000</v>
      </c>
      <c r="H560" s="154" t="b">
        <f t="shared" si="16"/>
        <v>1</v>
      </c>
      <c r="I560" s="154"/>
      <c r="J560" s="154"/>
    </row>
    <row r="561" spans="1:10" ht="14.25" x14ac:dyDescent="0.2">
      <c r="A561" s="7" t="s">
        <v>3515</v>
      </c>
      <c r="B561" s="124"/>
      <c r="C561" s="123" t="s">
        <v>3781</v>
      </c>
      <c r="D561" s="124">
        <v>12</v>
      </c>
      <c r="E561" s="124" t="s">
        <v>9</v>
      </c>
      <c r="F561" s="125">
        <v>1000000</v>
      </c>
      <c r="G561" s="125">
        <f>ROUNDDOWN(D561*F561,-3)</f>
        <v>12000000</v>
      </c>
      <c r="H561" s="154" t="b">
        <f t="shared" si="16"/>
        <v>1</v>
      </c>
      <c r="I561" s="154"/>
      <c r="J561" s="154"/>
    </row>
    <row r="562" spans="1:10" ht="14.25" x14ac:dyDescent="0.2">
      <c r="A562" s="7" t="s">
        <v>3516</v>
      </c>
      <c r="B562" s="124"/>
      <c r="C562" s="123" t="s">
        <v>3598</v>
      </c>
      <c r="D562" s="124">
        <v>12</v>
      </c>
      <c r="E562" s="124" t="s">
        <v>9</v>
      </c>
      <c r="F562" s="125">
        <v>1500000</v>
      </c>
      <c r="G562" s="125">
        <f>ROUNDDOWN(D562*F562,-3)</f>
        <v>18000000</v>
      </c>
      <c r="H562" s="154" t="b">
        <f t="shared" si="16"/>
        <v>1</v>
      </c>
      <c r="I562" s="154"/>
      <c r="J562" s="154"/>
    </row>
    <row r="563" spans="1:10" ht="14.25" x14ac:dyDescent="0.2">
      <c r="A563" s="7" t="s">
        <v>3517</v>
      </c>
      <c r="B563" s="60">
        <v>522151</v>
      </c>
      <c r="C563" s="41" t="s">
        <v>11</v>
      </c>
      <c r="D563" s="60"/>
      <c r="E563" s="60"/>
      <c r="F563" s="42"/>
      <c r="G563" s="42">
        <f>G564</f>
        <v>6000000</v>
      </c>
      <c r="H563" s="154" t="b">
        <f t="shared" si="16"/>
        <v>1</v>
      </c>
      <c r="I563" s="154"/>
      <c r="J563" s="154"/>
    </row>
    <row r="564" spans="1:10" ht="14.25" x14ac:dyDescent="0.2">
      <c r="A564" s="7" t="s">
        <v>3518</v>
      </c>
      <c r="B564" s="124"/>
      <c r="C564" s="123" t="s">
        <v>3603</v>
      </c>
      <c r="D564" s="124">
        <v>6</v>
      </c>
      <c r="E564" s="124" t="s">
        <v>12</v>
      </c>
      <c r="F564" s="125">
        <v>1000000</v>
      </c>
      <c r="G564" s="125">
        <f>ROUNDDOWN(D564*F564,-3)</f>
        <v>6000000</v>
      </c>
      <c r="H564" s="154" t="b">
        <f t="shared" si="16"/>
        <v>1</v>
      </c>
      <c r="I564" s="154"/>
      <c r="J564" s="154"/>
    </row>
    <row r="565" spans="1:10" ht="14.25" x14ac:dyDescent="0.2">
      <c r="A565" s="7" t="s">
        <v>3519</v>
      </c>
      <c r="B565" s="60">
        <v>524111</v>
      </c>
      <c r="C565" s="41" t="s">
        <v>19</v>
      </c>
      <c r="D565" s="60"/>
      <c r="E565" s="60"/>
      <c r="F565" s="42"/>
      <c r="G565" s="42">
        <f>SUM(G566:G567)</f>
        <v>186000000</v>
      </c>
      <c r="H565" s="154" t="b">
        <f t="shared" si="16"/>
        <v>1</v>
      </c>
      <c r="I565" s="154"/>
      <c r="J565" s="154"/>
    </row>
    <row r="566" spans="1:10" ht="14.25" x14ac:dyDescent="0.2">
      <c r="A566" s="7" t="s">
        <v>3520</v>
      </c>
      <c r="B566" s="124"/>
      <c r="C566" s="123" t="s">
        <v>3818</v>
      </c>
      <c r="D566" s="124">
        <v>20</v>
      </c>
      <c r="E566" s="124" t="s">
        <v>10</v>
      </c>
      <c r="F566" s="125">
        <v>1500000</v>
      </c>
      <c r="G566" s="125">
        <f>ROUNDDOWN(D566*F566,-3)</f>
        <v>30000000</v>
      </c>
      <c r="H566" s="154" t="b">
        <f t="shared" si="16"/>
        <v>1</v>
      </c>
      <c r="I566" s="154"/>
      <c r="J566" s="154"/>
    </row>
    <row r="567" spans="1:10" ht="14.25" x14ac:dyDescent="0.2">
      <c r="A567" s="7" t="s">
        <v>3521</v>
      </c>
      <c r="B567" s="124"/>
      <c r="C567" s="123" t="s">
        <v>3819</v>
      </c>
      <c r="D567" s="124">
        <v>24</v>
      </c>
      <c r="E567" s="124" t="s">
        <v>10</v>
      </c>
      <c r="F567" s="125">
        <v>6500000</v>
      </c>
      <c r="G567" s="125">
        <f>ROUNDDOWN(D567*F567,-3)</f>
        <v>156000000</v>
      </c>
      <c r="H567" s="154" t="b">
        <f t="shared" si="16"/>
        <v>1</v>
      </c>
      <c r="I567" s="154"/>
      <c r="J567" s="154"/>
    </row>
    <row r="568" spans="1:10" ht="14.25" x14ac:dyDescent="0.2">
      <c r="A568" s="7" t="s">
        <v>3522</v>
      </c>
      <c r="B568" s="59" t="s">
        <v>512</v>
      </c>
      <c r="C568" s="38" t="s">
        <v>192</v>
      </c>
      <c r="D568" s="59"/>
      <c r="E568" s="59"/>
      <c r="F568" s="39"/>
      <c r="G568" s="39">
        <f>SUM(G569,G573,G575)</f>
        <v>174041000</v>
      </c>
      <c r="H568" s="154" t="b">
        <f t="shared" si="16"/>
        <v>1</v>
      </c>
      <c r="I568" s="154"/>
      <c r="J568" s="154"/>
    </row>
    <row r="569" spans="1:10" ht="14.25" x14ac:dyDescent="0.2">
      <c r="A569" s="7" t="s">
        <v>3523</v>
      </c>
      <c r="B569" s="60">
        <v>521211</v>
      </c>
      <c r="C569" s="41" t="s">
        <v>7</v>
      </c>
      <c r="D569" s="60"/>
      <c r="E569" s="60"/>
      <c r="F569" s="42"/>
      <c r="G569" s="42">
        <f>SUM(G570:G572)</f>
        <v>12000000</v>
      </c>
      <c r="H569" s="154" t="b">
        <f t="shared" si="16"/>
        <v>1</v>
      </c>
      <c r="I569" s="154"/>
      <c r="J569" s="154"/>
    </row>
    <row r="570" spans="1:10" ht="14.25" x14ac:dyDescent="0.2">
      <c r="A570" s="7" t="s">
        <v>3524</v>
      </c>
      <c r="B570" s="124"/>
      <c r="C570" s="123" t="s">
        <v>3821</v>
      </c>
      <c r="D570" s="124">
        <v>3</v>
      </c>
      <c r="E570" s="124" t="s">
        <v>9</v>
      </c>
      <c r="F570" s="125">
        <v>1500000</v>
      </c>
      <c r="G570" s="125">
        <f>ROUNDDOWN(D570*F570,-3)</f>
        <v>4500000</v>
      </c>
      <c r="H570" s="154" t="b">
        <f t="shared" si="16"/>
        <v>1</v>
      </c>
      <c r="I570" s="154"/>
      <c r="J570" s="154"/>
    </row>
    <row r="571" spans="1:10" ht="14.25" x14ac:dyDescent="0.2">
      <c r="A571" s="7" t="s">
        <v>3525</v>
      </c>
      <c r="B571" s="124"/>
      <c r="C571" s="123" t="s">
        <v>3596</v>
      </c>
      <c r="D571" s="124">
        <v>3</v>
      </c>
      <c r="E571" s="124" t="s">
        <v>9</v>
      </c>
      <c r="F571" s="125">
        <v>1000000</v>
      </c>
      <c r="G571" s="125">
        <f>ROUNDDOWN(D571*F571,-3)</f>
        <v>3000000</v>
      </c>
      <c r="H571" s="154" t="b">
        <f t="shared" si="16"/>
        <v>1</v>
      </c>
      <c r="I571" s="154"/>
      <c r="J571" s="154"/>
    </row>
    <row r="572" spans="1:10" ht="14.25" x14ac:dyDescent="0.2">
      <c r="A572" s="7" t="s">
        <v>3526</v>
      </c>
      <c r="B572" s="124"/>
      <c r="C572" s="123" t="s">
        <v>3588</v>
      </c>
      <c r="D572" s="124">
        <v>3</v>
      </c>
      <c r="E572" s="124" t="s">
        <v>9</v>
      </c>
      <c r="F572" s="125">
        <v>1500000</v>
      </c>
      <c r="G572" s="125">
        <f>ROUNDDOWN(D572*F572,-3)</f>
        <v>4500000</v>
      </c>
      <c r="H572" s="154" t="b">
        <f t="shared" si="16"/>
        <v>1</v>
      </c>
      <c r="I572" s="154"/>
      <c r="J572" s="154"/>
    </row>
    <row r="573" spans="1:10" ht="14.25" x14ac:dyDescent="0.2">
      <c r="A573" s="7" t="s">
        <v>3527</v>
      </c>
      <c r="B573" s="60">
        <v>521219</v>
      </c>
      <c r="C573" s="41" t="s">
        <v>53</v>
      </c>
      <c r="D573" s="60"/>
      <c r="E573" s="60"/>
      <c r="F573" s="42"/>
      <c r="G573" s="42">
        <f>G574</f>
        <v>20000000</v>
      </c>
      <c r="H573" s="154" t="b">
        <f t="shared" si="16"/>
        <v>1</v>
      </c>
      <c r="I573" s="154"/>
      <c r="J573" s="154"/>
    </row>
    <row r="574" spans="1:10" ht="14.25" x14ac:dyDescent="0.2">
      <c r="A574" s="7" t="s">
        <v>3528</v>
      </c>
      <c r="B574" s="124"/>
      <c r="C574" s="123" t="s">
        <v>3822</v>
      </c>
      <c r="D574" s="124">
        <v>2</v>
      </c>
      <c r="E574" s="124" t="s">
        <v>155</v>
      </c>
      <c r="F574" s="125">
        <v>10000000</v>
      </c>
      <c r="G574" s="125">
        <f>ROUNDDOWN(D574*F574,-3)</f>
        <v>20000000</v>
      </c>
      <c r="H574" s="154" t="b">
        <f t="shared" si="16"/>
        <v>1</v>
      </c>
      <c r="I574" s="154"/>
      <c r="J574" s="154"/>
    </row>
    <row r="575" spans="1:10" ht="14.25" x14ac:dyDescent="0.2">
      <c r="A575" s="7" t="s">
        <v>3530</v>
      </c>
      <c r="B575" s="60">
        <v>524211</v>
      </c>
      <c r="C575" s="41" t="s">
        <v>1151</v>
      </c>
      <c r="D575" s="60"/>
      <c r="E575" s="60"/>
      <c r="F575" s="42"/>
      <c r="G575" s="42">
        <f>G576</f>
        <v>142041000</v>
      </c>
      <c r="H575" s="154" t="b">
        <f t="shared" si="16"/>
        <v>1</v>
      </c>
      <c r="I575" s="154"/>
      <c r="J575" s="154"/>
    </row>
    <row r="576" spans="1:10" ht="14.25" x14ac:dyDescent="0.2">
      <c r="A576" s="7" t="s">
        <v>3531</v>
      </c>
      <c r="B576" s="124"/>
      <c r="C576" s="123" t="s">
        <v>3823</v>
      </c>
      <c r="D576" s="124">
        <v>3</v>
      </c>
      <c r="E576" s="124" t="s">
        <v>10</v>
      </c>
      <c r="F576" s="125">
        <v>47347000</v>
      </c>
      <c r="G576" s="125">
        <f>ROUNDDOWN(D576*F576,-3)</f>
        <v>142041000</v>
      </c>
      <c r="H576" s="154" t="b">
        <f t="shared" si="16"/>
        <v>1</v>
      </c>
      <c r="I576" s="154"/>
      <c r="J576" s="154"/>
    </row>
    <row r="577" spans="1:10" ht="14.25" x14ac:dyDescent="0.2">
      <c r="A577" s="7" t="s">
        <v>3533</v>
      </c>
      <c r="B577" s="59" t="s">
        <v>514</v>
      </c>
      <c r="C577" s="38" t="s">
        <v>3534</v>
      </c>
      <c r="D577" s="59"/>
      <c r="E577" s="59"/>
      <c r="F577" s="39"/>
      <c r="G577" s="39">
        <f>G578</f>
        <v>30000000</v>
      </c>
      <c r="H577" s="154" t="b">
        <f t="shared" si="16"/>
        <v>1</v>
      </c>
      <c r="I577" s="154"/>
      <c r="J577" s="154"/>
    </row>
    <row r="578" spans="1:10" ht="14.25" x14ac:dyDescent="0.2">
      <c r="A578" s="7" t="s">
        <v>3535</v>
      </c>
      <c r="B578" s="60">
        <v>522192</v>
      </c>
      <c r="C578" s="41" t="s">
        <v>24</v>
      </c>
      <c r="D578" s="60"/>
      <c r="E578" s="60"/>
      <c r="F578" s="42"/>
      <c r="G578" s="42">
        <f>G579</f>
        <v>30000000</v>
      </c>
      <c r="H578" s="154" t="b">
        <f t="shared" si="16"/>
        <v>1</v>
      </c>
      <c r="I578" s="154"/>
      <c r="J578" s="154"/>
    </row>
    <row r="579" spans="1:10" ht="14.25" x14ac:dyDescent="0.2">
      <c r="A579" s="7" t="s">
        <v>3536</v>
      </c>
      <c r="B579" s="124"/>
      <c r="C579" s="123" t="s">
        <v>3824</v>
      </c>
      <c r="D579" s="124">
        <v>120</v>
      </c>
      <c r="E579" s="124" t="s">
        <v>776</v>
      </c>
      <c r="F579" s="125">
        <v>250000</v>
      </c>
      <c r="G579" s="125">
        <f>ROUNDDOWN(D579*F579,-3)</f>
        <v>30000000</v>
      </c>
      <c r="H579" s="154" t="b">
        <f t="shared" si="16"/>
        <v>1</v>
      </c>
      <c r="I579" s="154"/>
      <c r="J579" s="154"/>
    </row>
    <row r="580" spans="1:10" ht="14.25" x14ac:dyDescent="0.2">
      <c r="A580" s="7" t="s">
        <v>3538</v>
      </c>
      <c r="B580" s="58">
        <v>302</v>
      </c>
      <c r="C580" s="35" t="s">
        <v>193</v>
      </c>
      <c r="D580" s="58"/>
      <c r="E580" s="58"/>
      <c r="F580" s="36"/>
      <c r="G580" s="36">
        <f>G581</f>
        <v>109200000</v>
      </c>
      <c r="H580" s="154" t="b">
        <f t="shared" si="16"/>
        <v>1</v>
      </c>
      <c r="I580" s="154"/>
      <c r="J580" s="154"/>
    </row>
    <row r="581" spans="1:10" ht="14.25" x14ac:dyDescent="0.2">
      <c r="A581" s="7" t="s">
        <v>3539</v>
      </c>
      <c r="B581" s="59" t="s">
        <v>8</v>
      </c>
      <c r="C581" s="38" t="s">
        <v>193</v>
      </c>
      <c r="D581" s="59"/>
      <c r="E581" s="59"/>
      <c r="F581" s="39"/>
      <c r="G581" s="39">
        <f>SUM(G582,G585,G588)</f>
        <v>109200000</v>
      </c>
      <c r="H581" s="154" t="b">
        <f t="shared" si="16"/>
        <v>1</v>
      </c>
      <c r="I581" s="154"/>
      <c r="J581" s="154"/>
    </row>
    <row r="582" spans="1:10" ht="14.25" x14ac:dyDescent="0.2">
      <c r="A582" s="7" t="s">
        <v>3540</v>
      </c>
      <c r="B582" s="60">
        <v>521211</v>
      </c>
      <c r="C582" s="41" t="s">
        <v>7</v>
      </c>
      <c r="D582" s="60"/>
      <c r="E582" s="60"/>
      <c r="F582" s="42"/>
      <c r="G582" s="42">
        <f>SUM(G583:G584)</f>
        <v>25000000</v>
      </c>
      <c r="H582" s="154" t="b">
        <f t="shared" si="16"/>
        <v>1</v>
      </c>
      <c r="I582" s="154"/>
      <c r="J582" s="154"/>
    </row>
    <row r="583" spans="1:10" ht="14.25" x14ac:dyDescent="0.2">
      <c r="A583" s="7" t="s">
        <v>3541</v>
      </c>
      <c r="B583" s="124"/>
      <c r="C583" s="123" t="s">
        <v>3811</v>
      </c>
      <c r="D583" s="124">
        <v>100</v>
      </c>
      <c r="E583" s="124" t="s">
        <v>10</v>
      </c>
      <c r="F583" s="125">
        <v>70000</v>
      </c>
      <c r="G583" s="125">
        <f>ROUNDDOWN(D583*F583,-3)</f>
        <v>7000000</v>
      </c>
      <c r="H583" s="154" t="b">
        <f t="shared" si="16"/>
        <v>1</v>
      </c>
      <c r="I583" s="154"/>
      <c r="J583" s="154"/>
    </row>
    <row r="584" spans="1:10" ht="14.25" x14ac:dyDescent="0.2">
      <c r="A584" s="7" t="s">
        <v>3542</v>
      </c>
      <c r="B584" s="124"/>
      <c r="C584" s="123" t="s">
        <v>3812</v>
      </c>
      <c r="D584" s="124">
        <v>12</v>
      </c>
      <c r="E584" s="124" t="s">
        <v>9</v>
      </c>
      <c r="F584" s="125">
        <v>1500000</v>
      </c>
      <c r="G584" s="125">
        <f>ROUNDDOWN(D584*F584,-3)</f>
        <v>18000000</v>
      </c>
      <c r="H584" s="154" t="b">
        <f t="shared" si="16"/>
        <v>1</v>
      </c>
      <c r="I584" s="154"/>
      <c r="J584" s="154"/>
    </row>
    <row r="585" spans="1:10" ht="14.25" x14ac:dyDescent="0.2">
      <c r="A585" s="7" t="s">
        <v>3543</v>
      </c>
      <c r="B585" s="60">
        <v>521811</v>
      </c>
      <c r="C585" s="41" t="s">
        <v>64</v>
      </c>
      <c r="D585" s="60"/>
      <c r="E585" s="60"/>
      <c r="F585" s="42"/>
      <c r="G585" s="42">
        <f>SUM(G586:G587)</f>
        <v>30000000</v>
      </c>
      <c r="H585" s="154" t="b">
        <f t="shared" si="16"/>
        <v>1</v>
      </c>
      <c r="I585" s="154"/>
      <c r="J585" s="154"/>
    </row>
    <row r="586" spans="1:10" ht="14.25" x14ac:dyDescent="0.2">
      <c r="A586" s="7" t="s">
        <v>3544</v>
      </c>
      <c r="B586" s="124"/>
      <c r="C586" s="123" t="s">
        <v>3781</v>
      </c>
      <c r="D586" s="124">
        <v>12</v>
      </c>
      <c r="E586" s="124" t="s">
        <v>9</v>
      </c>
      <c r="F586" s="125">
        <v>1000000</v>
      </c>
      <c r="G586" s="125">
        <f>ROUNDDOWN(D586*F586,-3)</f>
        <v>12000000</v>
      </c>
      <c r="H586" s="154" t="b">
        <f t="shared" si="16"/>
        <v>1</v>
      </c>
      <c r="I586" s="154"/>
      <c r="J586" s="154"/>
    </row>
    <row r="587" spans="1:10" ht="14.25" x14ac:dyDescent="0.2">
      <c r="A587" s="7" t="s">
        <v>3545</v>
      </c>
      <c r="B587" s="124"/>
      <c r="C587" s="123" t="s">
        <v>3598</v>
      </c>
      <c r="D587" s="124">
        <v>12</v>
      </c>
      <c r="E587" s="124" t="s">
        <v>9</v>
      </c>
      <c r="F587" s="125">
        <v>1500000</v>
      </c>
      <c r="G587" s="125">
        <f>ROUNDDOWN(D587*F587,-3)</f>
        <v>18000000</v>
      </c>
      <c r="H587" s="154" t="b">
        <f t="shared" si="16"/>
        <v>1</v>
      </c>
      <c r="I587" s="154"/>
      <c r="J587" s="154"/>
    </row>
    <row r="588" spans="1:10" ht="14.25" x14ac:dyDescent="0.2">
      <c r="A588" s="7" t="s">
        <v>3546</v>
      </c>
      <c r="B588" s="60">
        <v>524111</v>
      </c>
      <c r="C588" s="41" t="s">
        <v>19</v>
      </c>
      <c r="D588" s="60"/>
      <c r="E588" s="60"/>
      <c r="F588" s="42"/>
      <c r="G588" s="42">
        <f>G589</f>
        <v>54200000</v>
      </c>
      <c r="H588" s="154" t="b">
        <f t="shared" si="16"/>
        <v>1</v>
      </c>
      <c r="I588" s="154"/>
      <c r="J588" s="154"/>
    </row>
    <row r="589" spans="1:10" ht="14.25" x14ac:dyDescent="0.2">
      <c r="A589" s="7" t="s">
        <v>3547</v>
      </c>
      <c r="B589" s="124"/>
      <c r="C589" s="123" t="s">
        <v>3825</v>
      </c>
      <c r="D589" s="124">
        <v>10</v>
      </c>
      <c r="E589" s="124" t="s">
        <v>10</v>
      </c>
      <c r="F589" s="125">
        <v>5420000</v>
      </c>
      <c r="G589" s="125">
        <f>ROUNDDOWN(D589*F589,-3)</f>
        <v>54200000</v>
      </c>
      <c r="H589" s="154" t="b">
        <f t="shared" si="16"/>
        <v>1</v>
      </c>
      <c r="I589" s="154"/>
      <c r="J589" s="154"/>
    </row>
  </sheetData>
  <autoFilter ref="A11:H589" xr:uid="{5F23D4AB-6461-4F6C-ABE4-63EB0BAA35CF}"/>
  <mergeCells count="9">
    <mergeCell ref="K9:M9"/>
    <mergeCell ref="B1:G1"/>
    <mergeCell ref="B2:G2"/>
    <mergeCell ref="B9:B10"/>
    <mergeCell ref="C9:C10"/>
    <mergeCell ref="D9:D10"/>
    <mergeCell ref="E9:E10"/>
    <mergeCell ref="F9:F10"/>
    <mergeCell ref="G9:G10"/>
  </mergeCells>
  <conditionalFormatting sqref="G12:J12 G13:G560 H13:J589">
    <cfRule type="expression" dxfId="530" priority="14">
      <formula>NOT(_xlfn.ISFORMULA(G12))</formula>
    </cfRule>
  </conditionalFormatting>
  <conditionalFormatting sqref="B11:J12 H13:J589">
    <cfRule type="expression" dxfId="529" priority="15">
      <formula>AND(#REF!="Ya",#REF!=ROW())</formula>
    </cfRule>
  </conditionalFormatting>
  <conditionalFormatting sqref="B561:F561 G586:G587 G583:G584 G579 G576 G574 G570:G572 G566:G567 G564 G561:G562 B13:G560">
    <cfRule type="expression" dxfId="528" priority="13">
      <formula>AND($R$4="Ya",$Q$2=ROW())</formula>
    </cfRule>
  </conditionalFormatting>
  <conditionalFormatting sqref="G589">
    <cfRule type="expression" dxfId="527" priority="12">
      <formula>AND($R$4="Ya",$Q$2=ROW())</formula>
    </cfRule>
  </conditionalFormatting>
  <conditionalFormatting sqref="G589 G586:G587 G583:G584 G579 G576 G574 G570:G572 G566:G567 G564 G561:G562">
    <cfRule type="expression" dxfId="526" priority="11">
      <formula>NOT(_xlfn.ISFORMULA(G561))</formula>
    </cfRule>
  </conditionalFormatting>
  <conditionalFormatting sqref="G573">
    <cfRule type="expression" dxfId="525" priority="10">
      <formula>NOT(_xlfn.ISFORMULA(G573))</formula>
    </cfRule>
  </conditionalFormatting>
  <conditionalFormatting sqref="G573">
    <cfRule type="expression" dxfId="524" priority="9">
      <formula>AND($R$4="Ya",$Q$2=ROW())</formula>
    </cfRule>
  </conditionalFormatting>
  <conditionalFormatting sqref="G563">
    <cfRule type="expression" dxfId="523" priority="8">
      <formula>NOT(_xlfn.ISFORMULA(G563))</formula>
    </cfRule>
  </conditionalFormatting>
  <conditionalFormatting sqref="G563">
    <cfRule type="expression" dxfId="522" priority="7">
      <formula>AND($R$4="Ya",$Q$2=ROW())</formula>
    </cfRule>
  </conditionalFormatting>
  <conditionalFormatting sqref="G588">
    <cfRule type="expression" dxfId="521" priority="6">
      <formula>NOT(_xlfn.ISFORMULA(G588))</formula>
    </cfRule>
  </conditionalFormatting>
  <conditionalFormatting sqref="G588">
    <cfRule type="expression" dxfId="520" priority="5">
      <formula>AND($R$4="Ya",$Q$2=ROW())</formula>
    </cfRule>
  </conditionalFormatting>
  <conditionalFormatting sqref="G585">
    <cfRule type="expression" dxfId="519" priority="4">
      <formula>NOT(_xlfn.ISFORMULA(G585))</formula>
    </cfRule>
  </conditionalFormatting>
  <conditionalFormatting sqref="G585">
    <cfRule type="expression" dxfId="518" priority="3">
      <formula>AND($R$4="Ya",$Q$2=ROW())</formula>
    </cfRule>
  </conditionalFormatting>
  <conditionalFormatting sqref="G582">
    <cfRule type="expression" dxfId="517" priority="2">
      <formula>NOT(_xlfn.ISFORMULA(G582))</formula>
    </cfRule>
  </conditionalFormatting>
  <conditionalFormatting sqref="G582">
    <cfRule type="expression" dxfId="516"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61"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3D4AB-6461-4F6C-ABE4-63EB0BAA35CF}">
  <sheetPr codeName="Sheet5">
    <pageSetUpPr fitToPage="1"/>
  </sheetPr>
  <dimension ref="A1:V589"/>
  <sheetViews>
    <sheetView showGridLines="0" view="pageBreakPreview" topLeftCell="B1" zoomScaleNormal="100" zoomScaleSheetLayoutView="100" workbookViewId="0">
      <pane xSplit="2" ySplit="11" topLeftCell="D525" activePane="bottomRight" state="frozen"/>
      <selection activeCell="B1" sqref="B1"/>
      <selection pane="topRight" activeCell="D1" sqref="D1"/>
      <selection pane="bottomLeft" activeCell="B12" sqref="B12"/>
      <selection pane="bottomRight" activeCell="K517" sqref="K517"/>
    </sheetView>
  </sheetViews>
  <sheetFormatPr defaultColWidth="9.140625" defaultRowHeight="12.75" x14ac:dyDescent="0.2"/>
  <cols>
    <col min="1" max="1" width="37.7109375" style="131" hidden="1" customWidth="1"/>
    <col min="2" max="2" width="16.28515625" style="126" bestFit="1"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8" width="16.85546875" style="135" customWidth="1"/>
    <col min="9" max="11" width="20" style="109" customWidth="1"/>
    <col min="12" max="12" width="9.140625" style="109"/>
    <col min="13" max="13" width="15" style="109" customWidth="1"/>
    <col min="14" max="16384" width="9.140625" style="109"/>
  </cols>
  <sheetData>
    <row r="1" spans="1:22" ht="15.75" x14ac:dyDescent="0.2">
      <c r="B1" s="442" t="s">
        <v>598</v>
      </c>
      <c r="C1" s="442"/>
      <c r="D1" s="442"/>
      <c r="E1" s="442"/>
      <c r="F1" s="442"/>
      <c r="G1" s="450"/>
      <c r="H1" s="150"/>
    </row>
    <row r="2" spans="1:22" ht="15.75" x14ac:dyDescent="0.25">
      <c r="B2" s="451" t="s">
        <v>3826</v>
      </c>
      <c r="C2" s="451"/>
      <c r="D2" s="451"/>
      <c r="E2" s="451"/>
      <c r="F2" s="451"/>
      <c r="G2" s="452"/>
      <c r="H2" s="151"/>
    </row>
    <row r="3" spans="1:22" ht="15.75" x14ac:dyDescent="0.25">
      <c r="B3" s="136"/>
      <c r="C3" s="136"/>
      <c r="D3" s="136"/>
      <c r="E3" s="136"/>
      <c r="F3" s="136"/>
      <c r="G3" s="137"/>
      <c r="H3" s="151"/>
    </row>
    <row r="4" spans="1:22" ht="15" x14ac:dyDescent="0.2">
      <c r="B4" s="138" t="s">
        <v>599</v>
      </c>
      <c r="C4" s="138" t="s">
        <v>600</v>
      </c>
      <c r="D4" s="139"/>
      <c r="E4" s="139"/>
      <c r="F4" s="138"/>
      <c r="G4" s="140"/>
      <c r="H4" s="140"/>
    </row>
    <row r="5" spans="1:22" ht="15" x14ac:dyDescent="0.2">
      <c r="B5" s="138" t="s">
        <v>601</v>
      </c>
      <c r="C5" s="138" t="s">
        <v>602</v>
      </c>
      <c r="D5" s="53"/>
      <c r="E5" s="53"/>
      <c r="F5" s="50"/>
      <c r="G5" s="122"/>
      <c r="H5" s="122"/>
    </row>
    <row r="6" spans="1:22" ht="15" x14ac:dyDescent="0.2">
      <c r="B6" s="138" t="s">
        <v>603</v>
      </c>
      <c r="C6" s="138" t="s">
        <v>604</v>
      </c>
      <c r="D6" s="53"/>
      <c r="E6" s="53"/>
      <c r="F6" s="50"/>
      <c r="G6" s="122"/>
      <c r="H6" s="122"/>
    </row>
    <row r="7" spans="1:22" ht="15.75" x14ac:dyDescent="0.25">
      <c r="B7" s="138" t="s">
        <v>605</v>
      </c>
      <c r="C7" s="141" t="str">
        <f>":  Rp. " &amp; TEXT(G12,"#.##")</f>
        <v>:  Rp. 23.342.160.000</v>
      </c>
      <c r="D7" s="53"/>
      <c r="E7" s="53"/>
      <c r="F7" s="50"/>
      <c r="G7" s="122"/>
      <c r="H7" s="122"/>
    </row>
    <row r="8" spans="1:22" ht="15" x14ac:dyDescent="0.2">
      <c r="B8" s="142"/>
      <c r="C8" s="142"/>
      <c r="D8" s="142"/>
      <c r="E8" s="142"/>
      <c r="F8" s="142"/>
      <c r="G8" s="143"/>
      <c r="H8" s="143"/>
    </row>
    <row r="9" spans="1:22" ht="15" x14ac:dyDescent="0.2">
      <c r="B9" s="453" t="s">
        <v>606</v>
      </c>
      <c r="C9" s="454" t="s">
        <v>607</v>
      </c>
      <c r="D9" s="455" t="s">
        <v>608</v>
      </c>
      <c r="E9" s="453" t="s">
        <v>609</v>
      </c>
      <c r="F9" s="455" t="s">
        <v>610</v>
      </c>
      <c r="G9" s="449" t="s">
        <v>611</v>
      </c>
      <c r="H9" s="152"/>
      <c r="I9" s="456" t="s">
        <v>3827</v>
      </c>
      <c r="J9" s="456"/>
      <c r="K9" s="456"/>
      <c r="L9" s="109" t="s">
        <v>3828</v>
      </c>
      <c r="M9" s="109" t="s">
        <v>3829</v>
      </c>
      <c r="N9" s="109" t="s">
        <v>3830</v>
      </c>
      <c r="O9" s="109" t="s">
        <v>3831</v>
      </c>
      <c r="P9" s="109" t="s">
        <v>3832</v>
      </c>
      <c r="Q9" s="109" t="s">
        <v>3833</v>
      </c>
      <c r="R9" s="109" t="s">
        <v>3834</v>
      </c>
      <c r="S9" s="109" t="s">
        <v>3835</v>
      </c>
      <c r="T9" s="109" t="s">
        <v>3836</v>
      </c>
      <c r="U9" s="109" t="s">
        <v>3837</v>
      </c>
      <c r="V9" s="109" t="s">
        <v>3838</v>
      </c>
    </row>
    <row r="10" spans="1:22" s="133" customFormat="1" ht="14.25" x14ac:dyDescent="0.2">
      <c r="A10" s="132" t="s">
        <v>499</v>
      </c>
      <c r="B10" s="445"/>
      <c r="C10" s="445"/>
      <c r="D10" s="448"/>
      <c r="E10" s="448"/>
      <c r="F10" s="445"/>
      <c r="G10" s="445"/>
      <c r="H10" s="161"/>
      <c r="I10" s="162" t="s">
        <v>3839</v>
      </c>
      <c r="J10" s="162" t="s">
        <v>3840</v>
      </c>
      <c r="K10" s="162" t="s">
        <v>3841</v>
      </c>
    </row>
    <row r="11" spans="1:22" s="133" customFormat="1" x14ac:dyDescent="0.2">
      <c r="A11" s="132"/>
      <c r="B11" s="129">
        <v>1</v>
      </c>
      <c r="C11" s="129">
        <v>2</v>
      </c>
      <c r="D11" s="129">
        <v>3</v>
      </c>
      <c r="E11" s="129">
        <v>4</v>
      </c>
      <c r="F11" s="129">
        <v>5</v>
      </c>
      <c r="G11" s="130">
        <v>6</v>
      </c>
      <c r="H11" s="153"/>
    </row>
    <row r="12" spans="1:22" s="133" customFormat="1" x14ac:dyDescent="0.2">
      <c r="A12" s="132"/>
      <c r="B12" s="110"/>
      <c r="C12" s="111" t="s">
        <v>613</v>
      </c>
      <c r="D12" s="112"/>
      <c r="E12" s="113"/>
      <c r="F12" s="112"/>
      <c r="G12" s="128">
        <f>SUM(G13,G114)</f>
        <v>23342160000</v>
      </c>
      <c r="H12" s="154" t="b">
        <f>_xlfn.ISFORMULA(G12)</f>
        <v>1</v>
      </c>
    </row>
    <row r="13" spans="1:22" ht="14.25" x14ac:dyDescent="0.2">
      <c r="A13" s="7" t="s">
        <v>0</v>
      </c>
      <c r="B13" s="54" t="s">
        <v>0</v>
      </c>
      <c r="C13" s="23" t="s">
        <v>1</v>
      </c>
      <c r="D13" s="54"/>
      <c r="E13" s="54"/>
      <c r="F13" s="24"/>
      <c r="G13" s="24">
        <f>G14</f>
        <v>1000000000</v>
      </c>
      <c r="H13" s="154" t="b">
        <f>_xlfn.ISFORMULA(G13)</f>
        <v>1</v>
      </c>
    </row>
    <row r="14" spans="1:22" ht="14.25" x14ac:dyDescent="0.2">
      <c r="A14" s="21" t="s">
        <v>419</v>
      </c>
      <c r="B14" s="55">
        <v>2376</v>
      </c>
      <c r="C14" s="26" t="s">
        <v>47</v>
      </c>
      <c r="D14" s="68"/>
      <c r="E14" s="55"/>
      <c r="F14" s="27"/>
      <c r="G14" s="27">
        <f>G15</f>
        <v>1000000000</v>
      </c>
      <c r="H14" s="154" t="b">
        <f t="shared" ref="H14:H76" si="0">_xlfn.ISFORMULA(G14)</f>
        <v>1</v>
      </c>
    </row>
    <row r="15" spans="1:22" ht="14.25" x14ac:dyDescent="0.2">
      <c r="A15" s="21" t="s">
        <v>420</v>
      </c>
      <c r="B15" s="116" t="s">
        <v>48</v>
      </c>
      <c r="C15" s="114" t="s">
        <v>615</v>
      </c>
      <c r="D15" s="115">
        <v>4</v>
      </c>
      <c r="E15" s="116" t="s">
        <v>3586</v>
      </c>
      <c r="F15" s="117"/>
      <c r="G15" s="117">
        <f>G16</f>
        <v>1000000000</v>
      </c>
      <c r="H15" s="154" t="b">
        <f t="shared" si="0"/>
        <v>1</v>
      </c>
    </row>
    <row r="16" spans="1:22" ht="25.5" x14ac:dyDescent="0.2">
      <c r="A16" s="21" t="s">
        <v>421</v>
      </c>
      <c r="B16" s="119" t="s">
        <v>3600</v>
      </c>
      <c r="C16" s="118" t="s">
        <v>49</v>
      </c>
      <c r="D16" s="119">
        <v>4</v>
      </c>
      <c r="E16" s="119" t="s">
        <v>3586</v>
      </c>
      <c r="F16" s="120"/>
      <c r="G16" s="120">
        <f>SUM(G17,G38,G49,G98)</f>
        <v>1000000000</v>
      </c>
      <c r="H16" s="154" t="b">
        <f t="shared" si="0"/>
        <v>1</v>
      </c>
    </row>
    <row r="17" spans="1:8" ht="14.25" x14ac:dyDescent="0.2">
      <c r="A17" s="21" t="s">
        <v>422</v>
      </c>
      <c r="B17" s="58" t="s">
        <v>502</v>
      </c>
      <c r="C17" s="35" t="s">
        <v>50</v>
      </c>
      <c r="D17" s="69"/>
      <c r="E17" s="58"/>
      <c r="F17" s="36"/>
      <c r="G17" s="36">
        <f>SUM(G18,G28)</f>
        <v>124100000</v>
      </c>
      <c r="H17" s="154" t="b">
        <f t="shared" si="0"/>
        <v>1</v>
      </c>
    </row>
    <row r="18" spans="1:8" ht="14.25" x14ac:dyDescent="0.2">
      <c r="A18" s="21" t="s">
        <v>423</v>
      </c>
      <c r="B18" s="59" t="s">
        <v>8</v>
      </c>
      <c r="C18" s="38" t="s">
        <v>51</v>
      </c>
      <c r="D18" s="59"/>
      <c r="E18" s="59"/>
      <c r="F18" s="39"/>
      <c r="G18" s="39">
        <f>SUM(G19,G24,G26)</f>
        <v>83135000</v>
      </c>
      <c r="H18" s="154" t="b">
        <f t="shared" si="0"/>
        <v>1</v>
      </c>
    </row>
    <row r="19" spans="1:8" ht="14.25" x14ac:dyDescent="0.2">
      <c r="A19" s="21" t="s">
        <v>424</v>
      </c>
      <c r="B19" s="60">
        <v>521211</v>
      </c>
      <c r="C19" s="41" t="s">
        <v>7</v>
      </c>
      <c r="D19" s="71"/>
      <c r="E19" s="60"/>
      <c r="F19" s="42"/>
      <c r="G19" s="42">
        <f>SUM(G20:G23)</f>
        <v>8375000</v>
      </c>
      <c r="H19" s="154" t="b">
        <f t="shared" si="0"/>
        <v>1</v>
      </c>
    </row>
    <row r="20" spans="1:8" ht="14.25" x14ac:dyDescent="0.2">
      <c r="A20" s="21" t="s">
        <v>425</v>
      </c>
      <c r="B20" s="124"/>
      <c r="C20" s="123" t="s">
        <v>3601</v>
      </c>
      <c r="D20" s="157">
        <v>65</v>
      </c>
      <c r="E20" s="124" t="s">
        <v>10</v>
      </c>
      <c r="F20" s="125">
        <v>75000</v>
      </c>
      <c r="G20" s="125">
        <f>ROUNDDOWN(D20*F20,-3)</f>
        <v>4875000</v>
      </c>
      <c r="H20" s="154" t="b">
        <f t="shared" si="0"/>
        <v>1</v>
      </c>
    </row>
    <row r="21" spans="1:8" ht="14.25" x14ac:dyDescent="0.2">
      <c r="A21" s="21" t="s">
        <v>426</v>
      </c>
      <c r="B21" s="124"/>
      <c r="C21" s="123" t="s">
        <v>3602</v>
      </c>
      <c r="D21" s="124">
        <v>1</v>
      </c>
      <c r="E21" s="124" t="s">
        <v>106</v>
      </c>
      <c r="F21" s="125">
        <v>1000000</v>
      </c>
      <c r="G21" s="125">
        <f>ROUNDDOWN(D21*F21,-3)</f>
        <v>1000000</v>
      </c>
      <c r="H21" s="154" t="b">
        <f t="shared" si="0"/>
        <v>1</v>
      </c>
    </row>
    <row r="22" spans="1:8" ht="14.25" x14ac:dyDescent="0.2">
      <c r="A22" s="21" t="s">
        <v>427</v>
      </c>
      <c r="B22" s="124"/>
      <c r="C22" s="123" t="s">
        <v>3588</v>
      </c>
      <c r="D22" s="157">
        <v>1</v>
      </c>
      <c r="E22" s="124" t="s">
        <v>106</v>
      </c>
      <c r="F22" s="125">
        <v>1000000</v>
      </c>
      <c r="G22" s="125">
        <f>ROUNDDOWN(D22*F22,-3)</f>
        <v>1000000</v>
      </c>
      <c r="H22" s="154" t="b">
        <f t="shared" si="0"/>
        <v>1</v>
      </c>
    </row>
    <row r="23" spans="1:8" ht="14.25" x14ac:dyDescent="0.2">
      <c r="A23" s="21" t="s">
        <v>428</v>
      </c>
      <c r="B23" s="124"/>
      <c r="C23" s="123" t="s">
        <v>3589</v>
      </c>
      <c r="D23" s="124">
        <v>1</v>
      </c>
      <c r="E23" s="124" t="s">
        <v>106</v>
      </c>
      <c r="F23" s="125">
        <v>1500000</v>
      </c>
      <c r="G23" s="125">
        <f>ROUNDDOWN(D23*F23,-3)</f>
        <v>1500000</v>
      </c>
      <c r="H23" s="154" t="b">
        <f t="shared" si="0"/>
        <v>1</v>
      </c>
    </row>
    <row r="24" spans="1:8" ht="14.25" x14ac:dyDescent="0.2">
      <c r="A24" s="21" t="s">
        <v>772</v>
      </c>
      <c r="B24" s="60">
        <v>522151</v>
      </c>
      <c r="C24" s="41" t="s">
        <v>11</v>
      </c>
      <c r="D24" s="71"/>
      <c r="E24" s="60"/>
      <c r="F24" s="42"/>
      <c r="G24" s="42">
        <f>G25</f>
        <v>1000000</v>
      </c>
      <c r="H24" s="154" t="b">
        <f>_xlfn.ISFORMULA(G24)</f>
        <v>1</v>
      </c>
    </row>
    <row r="25" spans="1:8" ht="14.25" x14ac:dyDescent="0.2">
      <c r="A25" s="21" t="s">
        <v>773</v>
      </c>
      <c r="B25" s="124"/>
      <c r="C25" s="123" t="s">
        <v>3603</v>
      </c>
      <c r="D25" s="124">
        <v>1</v>
      </c>
      <c r="E25" s="124" t="s">
        <v>54</v>
      </c>
      <c r="F25" s="125">
        <v>1000000</v>
      </c>
      <c r="G25" s="125">
        <f>ROUNDDOWN(D25*F25,-3)</f>
        <v>1000000</v>
      </c>
      <c r="H25" s="154" t="b">
        <f t="shared" si="0"/>
        <v>1</v>
      </c>
    </row>
    <row r="26" spans="1:8" ht="14.25" x14ac:dyDescent="0.2">
      <c r="A26" s="21" t="s">
        <v>429</v>
      </c>
      <c r="B26" s="60">
        <v>524111</v>
      </c>
      <c r="C26" s="41" t="s">
        <v>19</v>
      </c>
      <c r="D26" s="60"/>
      <c r="E26" s="60"/>
      <c r="F26" s="42"/>
      <c r="G26" s="42">
        <f>G27</f>
        <v>73760000</v>
      </c>
      <c r="H26" s="154" t="b">
        <f t="shared" si="0"/>
        <v>1</v>
      </c>
    </row>
    <row r="27" spans="1:8" ht="25.5" x14ac:dyDescent="0.2">
      <c r="A27" s="21" t="s">
        <v>430</v>
      </c>
      <c r="B27" s="124"/>
      <c r="C27" s="123" t="s">
        <v>3604</v>
      </c>
      <c r="D27" s="157">
        <v>12</v>
      </c>
      <c r="E27" s="124" t="s">
        <v>776</v>
      </c>
      <c r="F27" s="125">
        <v>6146667</v>
      </c>
      <c r="G27" s="125">
        <f>ROUNDDOWN(D27*F27,-3)</f>
        <v>73760000</v>
      </c>
      <c r="H27" s="154" t="b">
        <f t="shared" si="0"/>
        <v>1</v>
      </c>
    </row>
    <row r="28" spans="1:8" ht="14.25" x14ac:dyDescent="0.2">
      <c r="A28" s="21" t="s">
        <v>431</v>
      </c>
      <c r="B28" s="59" t="s">
        <v>511</v>
      </c>
      <c r="C28" s="38" t="s">
        <v>55</v>
      </c>
      <c r="D28" s="70"/>
      <c r="E28" s="59"/>
      <c r="F28" s="39"/>
      <c r="G28" s="39">
        <f>SUM(G29,G34,G36)</f>
        <v>40965000</v>
      </c>
      <c r="H28" s="154" t="b">
        <f t="shared" si="0"/>
        <v>1</v>
      </c>
    </row>
    <row r="29" spans="1:8" ht="14.25" x14ac:dyDescent="0.2">
      <c r="A29" s="21" t="s">
        <v>432</v>
      </c>
      <c r="B29" s="60">
        <v>521211</v>
      </c>
      <c r="C29" s="41" t="s">
        <v>7</v>
      </c>
      <c r="D29" s="71"/>
      <c r="E29" s="60"/>
      <c r="F29" s="42"/>
      <c r="G29" s="42">
        <f>SUM(G30:G33)</f>
        <v>6725000</v>
      </c>
      <c r="H29" s="154" t="b">
        <f t="shared" si="0"/>
        <v>1</v>
      </c>
    </row>
    <row r="30" spans="1:8" ht="14.25" x14ac:dyDescent="0.2">
      <c r="A30" s="21" t="s">
        <v>433</v>
      </c>
      <c r="B30" s="124"/>
      <c r="C30" s="123" t="s">
        <v>3601</v>
      </c>
      <c r="D30" s="124">
        <v>43</v>
      </c>
      <c r="E30" s="124" t="s">
        <v>10</v>
      </c>
      <c r="F30" s="125">
        <v>75000</v>
      </c>
      <c r="G30" s="125">
        <f>ROUNDDOWN(D30*F30,-3)</f>
        <v>3225000</v>
      </c>
      <c r="H30" s="154" t="b">
        <f t="shared" si="0"/>
        <v>1</v>
      </c>
    </row>
    <row r="31" spans="1:8" ht="14.25" x14ac:dyDescent="0.2">
      <c r="A31" s="21" t="s">
        <v>434</v>
      </c>
      <c r="B31" s="124"/>
      <c r="C31" s="123" t="s">
        <v>3602</v>
      </c>
      <c r="D31" s="157">
        <v>1</v>
      </c>
      <c r="E31" s="124" t="s">
        <v>106</v>
      </c>
      <c r="F31" s="125">
        <v>1000000</v>
      </c>
      <c r="G31" s="125">
        <f>ROUNDDOWN(D31*F31,-3)</f>
        <v>1000000</v>
      </c>
      <c r="H31" s="154" t="b">
        <f t="shared" si="0"/>
        <v>1</v>
      </c>
    </row>
    <row r="32" spans="1:8" ht="14.25" x14ac:dyDescent="0.2">
      <c r="A32" s="21" t="s">
        <v>435</v>
      </c>
      <c r="B32" s="124"/>
      <c r="C32" s="123" t="s">
        <v>3588</v>
      </c>
      <c r="D32" s="124">
        <v>1</v>
      </c>
      <c r="E32" s="124" t="s">
        <v>106</v>
      </c>
      <c r="F32" s="125">
        <v>1000000</v>
      </c>
      <c r="G32" s="125">
        <f>ROUNDDOWN(D32*F32,-3)</f>
        <v>1000000</v>
      </c>
      <c r="H32" s="154" t="b">
        <f t="shared" si="0"/>
        <v>1</v>
      </c>
    </row>
    <row r="33" spans="1:8" ht="14.25" x14ac:dyDescent="0.2">
      <c r="A33" s="21" t="s">
        <v>436</v>
      </c>
      <c r="B33" s="124"/>
      <c r="C33" s="123" t="s">
        <v>3589</v>
      </c>
      <c r="D33" s="157">
        <v>1</v>
      </c>
      <c r="E33" s="124" t="s">
        <v>106</v>
      </c>
      <c r="F33" s="125">
        <v>1500000</v>
      </c>
      <c r="G33" s="125">
        <f>ROUNDDOWN(D33*F33,-3)</f>
        <v>1500000</v>
      </c>
      <c r="H33" s="154" t="b">
        <f t="shared" si="0"/>
        <v>1</v>
      </c>
    </row>
    <row r="34" spans="1:8" ht="14.25" x14ac:dyDescent="0.2">
      <c r="A34" s="21" t="s">
        <v>777</v>
      </c>
      <c r="B34" s="60">
        <v>522151</v>
      </c>
      <c r="C34" s="41" t="s">
        <v>11</v>
      </c>
      <c r="D34" s="71"/>
      <c r="E34" s="60"/>
      <c r="F34" s="42"/>
      <c r="G34" s="42">
        <f>G35</f>
        <v>1000000</v>
      </c>
      <c r="H34" s="154" t="b">
        <f t="shared" si="0"/>
        <v>1</v>
      </c>
    </row>
    <row r="35" spans="1:8" ht="14.25" x14ac:dyDescent="0.2">
      <c r="A35" s="21" t="s">
        <v>778</v>
      </c>
      <c r="B35" s="124"/>
      <c r="C35" s="123" t="s">
        <v>3603</v>
      </c>
      <c r="D35" s="124">
        <v>1</v>
      </c>
      <c r="E35" s="124" t="s">
        <v>54</v>
      </c>
      <c r="F35" s="125">
        <v>1000000</v>
      </c>
      <c r="G35" s="125">
        <f>ROUNDDOWN(D35*F35,-3)</f>
        <v>1000000</v>
      </c>
      <c r="H35" s="154" t="b">
        <f t="shared" si="0"/>
        <v>1</v>
      </c>
    </row>
    <row r="36" spans="1:8" ht="14.25" x14ac:dyDescent="0.2">
      <c r="A36" s="21" t="s">
        <v>437</v>
      </c>
      <c r="B36" s="60">
        <v>524111</v>
      </c>
      <c r="C36" s="41" t="s">
        <v>19</v>
      </c>
      <c r="D36" s="71"/>
      <c r="E36" s="60"/>
      <c r="F36" s="42"/>
      <c r="G36" s="42">
        <f>G37</f>
        <v>33240000</v>
      </c>
      <c r="H36" s="154" t="b">
        <f t="shared" si="0"/>
        <v>1</v>
      </c>
    </row>
    <row r="37" spans="1:8" ht="25.5" x14ac:dyDescent="0.2">
      <c r="A37" s="21" t="s">
        <v>438</v>
      </c>
      <c r="B37" s="124"/>
      <c r="C37" s="123" t="s">
        <v>3604</v>
      </c>
      <c r="D37" s="124">
        <v>12</v>
      </c>
      <c r="E37" s="124" t="s">
        <v>776</v>
      </c>
      <c r="F37" s="125">
        <v>2770000</v>
      </c>
      <c r="G37" s="125">
        <f>ROUNDDOWN(D37*F37,-3)</f>
        <v>33240000</v>
      </c>
      <c r="H37" s="154" t="b">
        <f t="shared" si="0"/>
        <v>1</v>
      </c>
    </row>
    <row r="38" spans="1:8" ht="25.5" x14ac:dyDescent="0.2">
      <c r="A38" s="21" t="s">
        <v>439</v>
      </c>
      <c r="B38" s="58" t="s">
        <v>520</v>
      </c>
      <c r="C38" s="35" t="s">
        <v>57</v>
      </c>
      <c r="D38" s="69"/>
      <c r="E38" s="58"/>
      <c r="F38" s="36"/>
      <c r="G38" s="36">
        <f>G39</f>
        <v>54500000</v>
      </c>
      <c r="H38" s="154" t="b">
        <f t="shared" si="0"/>
        <v>1</v>
      </c>
    </row>
    <row r="39" spans="1:8" ht="25.5" x14ac:dyDescent="0.2">
      <c r="A39" s="21" t="s">
        <v>440</v>
      </c>
      <c r="B39" s="59" t="s">
        <v>8</v>
      </c>
      <c r="C39" s="38" t="s">
        <v>59</v>
      </c>
      <c r="D39" s="59"/>
      <c r="E39" s="59"/>
      <c r="F39" s="39"/>
      <c r="G39" s="39">
        <f>SUM(G40,G47)</f>
        <v>54500000</v>
      </c>
      <c r="H39" s="154" t="b">
        <f t="shared" si="0"/>
        <v>1</v>
      </c>
    </row>
    <row r="40" spans="1:8" ht="14.25" x14ac:dyDescent="0.2">
      <c r="A40" s="21" t="s">
        <v>441</v>
      </c>
      <c r="B40" s="60">
        <v>521211</v>
      </c>
      <c r="C40" s="41" t="s">
        <v>7</v>
      </c>
      <c r="D40" s="60"/>
      <c r="E40" s="60"/>
      <c r="F40" s="42"/>
      <c r="G40" s="42">
        <f>SUM(G41:G46)</f>
        <v>19225000</v>
      </c>
      <c r="H40" s="154" t="b">
        <f t="shared" si="0"/>
        <v>1</v>
      </c>
    </row>
    <row r="41" spans="1:8" ht="14.25" x14ac:dyDescent="0.2">
      <c r="A41" s="21" t="s">
        <v>442</v>
      </c>
      <c r="B41" s="124"/>
      <c r="C41" s="123" t="s">
        <v>3601</v>
      </c>
      <c r="D41" s="157">
        <v>23</v>
      </c>
      <c r="E41" s="124" t="s">
        <v>10</v>
      </c>
      <c r="F41" s="125">
        <v>75000</v>
      </c>
      <c r="G41" s="125">
        <f t="shared" ref="G41:G46" si="1">ROUNDDOWN(D41*F41,-3)</f>
        <v>1725000</v>
      </c>
      <c r="H41" s="154" t="b">
        <f t="shared" si="0"/>
        <v>1</v>
      </c>
    </row>
    <row r="42" spans="1:8" ht="14.25" x14ac:dyDescent="0.2">
      <c r="A42" s="7" t="s">
        <v>443</v>
      </c>
      <c r="B42" s="124"/>
      <c r="C42" s="123" t="s">
        <v>3602</v>
      </c>
      <c r="D42" s="157">
        <v>1</v>
      </c>
      <c r="E42" s="124" t="s">
        <v>106</v>
      </c>
      <c r="F42" s="125">
        <v>1000000</v>
      </c>
      <c r="G42" s="125">
        <f t="shared" si="1"/>
        <v>1000000</v>
      </c>
      <c r="H42" s="154" t="b">
        <f t="shared" si="0"/>
        <v>1</v>
      </c>
    </row>
    <row r="43" spans="1:8" ht="14.25" x14ac:dyDescent="0.2">
      <c r="A43" s="7" t="s">
        <v>444</v>
      </c>
      <c r="B43" s="124"/>
      <c r="C43" s="123" t="s">
        <v>3588</v>
      </c>
      <c r="D43" s="124">
        <v>2</v>
      </c>
      <c r="E43" s="124" t="s">
        <v>106</v>
      </c>
      <c r="F43" s="125">
        <v>1000000</v>
      </c>
      <c r="G43" s="125">
        <f t="shared" si="1"/>
        <v>2000000</v>
      </c>
      <c r="H43" s="154" t="b">
        <f t="shared" si="0"/>
        <v>1</v>
      </c>
    </row>
    <row r="44" spans="1:8" ht="14.25" x14ac:dyDescent="0.2">
      <c r="A44" s="21" t="s">
        <v>445</v>
      </c>
      <c r="B44" s="124"/>
      <c r="C44" s="123" t="s">
        <v>3589</v>
      </c>
      <c r="D44" s="124">
        <v>2</v>
      </c>
      <c r="E44" s="124" t="s">
        <v>106</v>
      </c>
      <c r="F44" s="125">
        <v>1500000</v>
      </c>
      <c r="G44" s="125">
        <f t="shared" si="1"/>
        <v>3000000</v>
      </c>
      <c r="H44" s="154" t="b">
        <f t="shared" si="0"/>
        <v>1</v>
      </c>
    </row>
    <row r="45" spans="1:8" ht="14.25" x14ac:dyDescent="0.2">
      <c r="A45" s="21" t="s">
        <v>446</v>
      </c>
      <c r="B45" s="124"/>
      <c r="C45" s="123" t="s">
        <v>3605</v>
      </c>
      <c r="D45" s="124">
        <v>23</v>
      </c>
      <c r="E45" s="124" t="s">
        <v>176</v>
      </c>
      <c r="F45" s="125">
        <v>250000</v>
      </c>
      <c r="G45" s="125">
        <f t="shared" si="1"/>
        <v>5750000</v>
      </c>
      <c r="H45" s="154" t="b">
        <f t="shared" si="0"/>
        <v>1</v>
      </c>
    </row>
    <row r="46" spans="1:8" ht="14.25" x14ac:dyDescent="0.2">
      <c r="A46" s="21" t="s">
        <v>447</v>
      </c>
      <c r="B46" s="124"/>
      <c r="C46" s="123" t="s">
        <v>3606</v>
      </c>
      <c r="D46" s="124">
        <v>23</v>
      </c>
      <c r="E46" s="124" t="s">
        <v>58</v>
      </c>
      <c r="F46" s="125">
        <v>250000</v>
      </c>
      <c r="G46" s="125">
        <f t="shared" si="1"/>
        <v>5750000</v>
      </c>
      <c r="H46" s="154" t="b">
        <f t="shared" si="0"/>
        <v>1</v>
      </c>
    </row>
    <row r="47" spans="1:8" ht="14.25" x14ac:dyDescent="0.2">
      <c r="A47" s="21" t="s">
        <v>448</v>
      </c>
      <c r="B47" s="60">
        <v>524111</v>
      </c>
      <c r="C47" s="41" t="s">
        <v>19</v>
      </c>
      <c r="D47" s="71"/>
      <c r="E47" s="60"/>
      <c r="F47" s="42"/>
      <c r="G47" s="42">
        <f>G48</f>
        <v>35275000</v>
      </c>
      <c r="H47" s="154" t="b">
        <f t="shared" si="0"/>
        <v>1</v>
      </c>
    </row>
    <row r="48" spans="1:8" ht="25.5" x14ac:dyDescent="0.2">
      <c r="A48" s="21" t="s">
        <v>449</v>
      </c>
      <c r="B48" s="124"/>
      <c r="C48" s="123" t="s">
        <v>3607</v>
      </c>
      <c r="D48" s="157">
        <v>10</v>
      </c>
      <c r="E48" s="124" t="s">
        <v>776</v>
      </c>
      <c r="F48" s="125">
        <v>3527550</v>
      </c>
      <c r="G48" s="125">
        <f>ROUNDDOWN(D48*F48,-3)</f>
        <v>35275000</v>
      </c>
      <c r="H48" s="154" t="b">
        <f t="shared" si="0"/>
        <v>1</v>
      </c>
    </row>
    <row r="49" spans="1:8" ht="14.25" x14ac:dyDescent="0.2">
      <c r="A49" s="21" t="s">
        <v>450</v>
      </c>
      <c r="B49" s="58" t="s">
        <v>523</v>
      </c>
      <c r="C49" s="35" t="s">
        <v>61</v>
      </c>
      <c r="D49" s="69"/>
      <c r="E49" s="58"/>
      <c r="F49" s="36"/>
      <c r="G49" s="36">
        <f>SUM(G50,G69,G86)</f>
        <v>686300000</v>
      </c>
      <c r="H49" s="154" t="b">
        <f t="shared" si="0"/>
        <v>1</v>
      </c>
    </row>
    <row r="50" spans="1:8" ht="14.25" x14ac:dyDescent="0.2">
      <c r="A50" s="21" t="s">
        <v>451</v>
      </c>
      <c r="B50" s="59" t="s">
        <v>8</v>
      </c>
      <c r="C50" s="38" t="s">
        <v>62</v>
      </c>
      <c r="D50" s="59"/>
      <c r="E50" s="59"/>
      <c r="F50" s="39"/>
      <c r="G50" s="39">
        <f>SUM(G51,G55,G58,G61,G63,G65,G67)</f>
        <v>386924000</v>
      </c>
      <c r="H50" s="154" t="b">
        <f t="shared" si="0"/>
        <v>1</v>
      </c>
    </row>
    <row r="51" spans="1:8" ht="14.25" x14ac:dyDescent="0.2">
      <c r="A51" s="21" t="s">
        <v>452</v>
      </c>
      <c r="B51" s="60">
        <v>521211</v>
      </c>
      <c r="C51" s="41" t="s">
        <v>7</v>
      </c>
      <c r="D51" s="71"/>
      <c r="E51" s="60"/>
      <c r="F51" s="42"/>
      <c r="G51" s="42">
        <f>SUM(G52:G54)</f>
        <v>64900000</v>
      </c>
      <c r="H51" s="154" t="b">
        <f t="shared" si="0"/>
        <v>1</v>
      </c>
    </row>
    <row r="52" spans="1:8" ht="14.25" x14ac:dyDescent="0.2">
      <c r="A52" s="21" t="s">
        <v>453</v>
      </c>
      <c r="B52" s="124"/>
      <c r="C52" s="123" t="s">
        <v>3587</v>
      </c>
      <c r="D52" s="157">
        <v>12</v>
      </c>
      <c r="E52" s="124" t="s">
        <v>106</v>
      </c>
      <c r="F52" s="125">
        <v>1500000</v>
      </c>
      <c r="G52" s="125">
        <f>ROUNDDOWN(D52*F52,-3)</f>
        <v>18000000</v>
      </c>
      <c r="H52" s="154" t="b">
        <f t="shared" si="0"/>
        <v>1</v>
      </c>
    </row>
    <row r="53" spans="1:8" ht="14.25" x14ac:dyDescent="0.2">
      <c r="A53" s="21" t="s">
        <v>454</v>
      </c>
      <c r="B53" s="124"/>
      <c r="C53" s="123" t="s">
        <v>3608</v>
      </c>
      <c r="D53" s="124">
        <v>100</v>
      </c>
      <c r="E53" s="124" t="s">
        <v>25</v>
      </c>
      <c r="F53" s="125">
        <v>69000</v>
      </c>
      <c r="G53" s="125">
        <f>ROUNDDOWN(D53*F53,-3)</f>
        <v>6900000</v>
      </c>
      <c r="H53" s="154" t="b">
        <f t="shared" si="0"/>
        <v>1</v>
      </c>
    </row>
    <row r="54" spans="1:8" ht="14.25" x14ac:dyDescent="0.2">
      <c r="A54" s="21" t="s">
        <v>783</v>
      </c>
      <c r="B54" s="124"/>
      <c r="C54" s="123" t="s">
        <v>3609</v>
      </c>
      <c r="D54" s="157">
        <v>80</v>
      </c>
      <c r="E54" s="124" t="s">
        <v>58</v>
      </c>
      <c r="F54" s="125">
        <v>500000</v>
      </c>
      <c r="G54" s="125">
        <f>ROUNDDOWN(D54*F54,-3)</f>
        <v>40000000</v>
      </c>
      <c r="H54" s="154" t="b">
        <f t="shared" si="0"/>
        <v>1</v>
      </c>
    </row>
    <row r="55" spans="1:8" ht="14.25" x14ac:dyDescent="0.2">
      <c r="A55" s="21" t="s">
        <v>455</v>
      </c>
      <c r="B55" s="60">
        <v>521219</v>
      </c>
      <c r="C55" s="41" t="s">
        <v>53</v>
      </c>
      <c r="D55" s="60"/>
      <c r="E55" s="60"/>
      <c r="F55" s="42"/>
      <c r="G55" s="42">
        <f>SUM(G56:G57)</f>
        <v>6000000</v>
      </c>
      <c r="H55" s="154" t="b">
        <f t="shared" si="0"/>
        <v>1</v>
      </c>
    </row>
    <row r="56" spans="1:8" ht="14.25" x14ac:dyDescent="0.2">
      <c r="A56" s="21" t="s">
        <v>456</v>
      </c>
      <c r="B56" s="124"/>
      <c r="C56" s="123" t="s">
        <v>3610</v>
      </c>
      <c r="D56" s="124">
        <v>4</v>
      </c>
      <c r="E56" s="124" t="s">
        <v>106</v>
      </c>
      <c r="F56" s="125">
        <v>250000</v>
      </c>
      <c r="G56" s="125">
        <f>ROUNDDOWN(D56*F56,-3)</f>
        <v>1000000</v>
      </c>
      <c r="H56" s="154" t="b">
        <f t="shared" si="0"/>
        <v>1</v>
      </c>
    </row>
    <row r="57" spans="1:8" ht="14.25" x14ac:dyDescent="0.2">
      <c r="A57" s="21" t="s">
        <v>457</v>
      </c>
      <c r="B57" s="124"/>
      <c r="C57" s="123" t="s">
        <v>3611</v>
      </c>
      <c r="D57" s="157">
        <v>10</v>
      </c>
      <c r="E57" s="124" t="s">
        <v>106</v>
      </c>
      <c r="F57" s="125">
        <v>500000</v>
      </c>
      <c r="G57" s="125">
        <f>ROUNDDOWN(D57*F57,-3)</f>
        <v>5000000</v>
      </c>
      <c r="H57" s="154" t="b">
        <f t="shared" si="0"/>
        <v>1</v>
      </c>
    </row>
    <row r="58" spans="1:8" ht="14.25" x14ac:dyDescent="0.2">
      <c r="A58" s="21" t="s">
        <v>458</v>
      </c>
      <c r="B58" s="60">
        <v>521811</v>
      </c>
      <c r="C58" s="41" t="s">
        <v>64</v>
      </c>
      <c r="D58" s="71"/>
      <c r="E58" s="60"/>
      <c r="F58" s="42"/>
      <c r="G58" s="42">
        <f>SUM(G59:G60)</f>
        <v>30000000</v>
      </c>
      <c r="H58" s="154" t="b">
        <f t="shared" si="0"/>
        <v>1</v>
      </c>
    </row>
    <row r="59" spans="1:8" ht="14.25" x14ac:dyDescent="0.2">
      <c r="A59" s="21" t="s">
        <v>459</v>
      </c>
      <c r="B59" s="124"/>
      <c r="C59" s="123" t="s">
        <v>3595</v>
      </c>
      <c r="D59" s="157">
        <v>12</v>
      </c>
      <c r="E59" s="124" t="s">
        <v>106</v>
      </c>
      <c r="F59" s="125">
        <v>1000000</v>
      </c>
      <c r="G59" s="125">
        <f>ROUNDDOWN(D59*F59,-3)</f>
        <v>12000000</v>
      </c>
      <c r="H59" s="154" t="b">
        <f t="shared" si="0"/>
        <v>1</v>
      </c>
    </row>
    <row r="60" spans="1:8" ht="14.25" x14ac:dyDescent="0.2">
      <c r="A60" s="21" t="s">
        <v>460</v>
      </c>
      <c r="B60" s="124"/>
      <c r="C60" s="123" t="s">
        <v>3596</v>
      </c>
      <c r="D60" s="157">
        <v>12</v>
      </c>
      <c r="E60" s="124" t="s">
        <v>106</v>
      </c>
      <c r="F60" s="125">
        <v>1500000</v>
      </c>
      <c r="G60" s="125">
        <f>ROUNDDOWN(D60*F60,-3)</f>
        <v>18000000</v>
      </c>
      <c r="H60" s="154" t="b">
        <f t="shared" si="0"/>
        <v>1</v>
      </c>
    </row>
    <row r="61" spans="1:8" ht="14.25" x14ac:dyDescent="0.2">
      <c r="A61" s="21" t="s">
        <v>461</v>
      </c>
      <c r="B61" s="60">
        <v>522151</v>
      </c>
      <c r="C61" s="41" t="s">
        <v>11</v>
      </c>
      <c r="D61" s="60"/>
      <c r="E61" s="60"/>
      <c r="F61" s="42"/>
      <c r="G61" s="42">
        <f>G62</f>
        <v>25200000</v>
      </c>
      <c r="H61" s="154" t="b">
        <f t="shared" si="0"/>
        <v>1</v>
      </c>
    </row>
    <row r="62" spans="1:8" ht="14.25" x14ac:dyDescent="0.2">
      <c r="A62" s="21" t="s">
        <v>462</v>
      </c>
      <c r="B62" s="124"/>
      <c r="C62" s="123" t="s">
        <v>3603</v>
      </c>
      <c r="D62" s="157">
        <v>28</v>
      </c>
      <c r="E62" s="124" t="s">
        <v>54</v>
      </c>
      <c r="F62" s="125">
        <v>900000</v>
      </c>
      <c r="G62" s="125">
        <f>ROUNDDOWN(D62*F62,-3)</f>
        <v>25200000</v>
      </c>
      <c r="H62" s="154" t="b">
        <f t="shared" si="0"/>
        <v>1</v>
      </c>
    </row>
    <row r="63" spans="1:8" ht="14.25" x14ac:dyDescent="0.2">
      <c r="A63" s="21" t="s">
        <v>463</v>
      </c>
      <c r="B63" s="60">
        <v>522192</v>
      </c>
      <c r="C63" s="41" t="s">
        <v>24</v>
      </c>
      <c r="D63" s="60"/>
      <c r="E63" s="60"/>
      <c r="F63" s="42"/>
      <c r="G63" s="42">
        <f>G64</f>
        <v>6000000</v>
      </c>
      <c r="H63" s="154" t="b">
        <f t="shared" si="0"/>
        <v>1</v>
      </c>
    </row>
    <row r="64" spans="1:8" ht="14.25" x14ac:dyDescent="0.2">
      <c r="A64" s="21" t="s">
        <v>464</v>
      </c>
      <c r="B64" s="124"/>
      <c r="C64" s="123" t="s">
        <v>3612</v>
      </c>
      <c r="D64" s="124">
        <v>1</v>
      </c>
      <c r="E64" s="124" t="s">
        <v>60</v>
      </c>
      <c r="F64" s="125">
        <v>6000000</v>
      </c>
      <c r="G64" s="125">
        <f>ROUNDDOWN(D64*F64,-3)</f>
        <v>6000000</v>
      </c>
      <c r="H64" s="154" t="b">
        <f t="shared" si="0"/>
        <v>1</v>
      </c>
    </row>
    <row r="65" spans="1:8" ht="14.25" x14ac:dyDescent="0.2">
      <c r="A65" s="21" t="s">
        <v>465</v>
      </c>
      <c r="B65" s="60">
        <v>524111</v>
      </c>
      <c r="C65" s="41" t="s">
        <v>19</v>
      </c>
      <c r="D65" s="71"/>
      <c r="E65" s="60"/>
      <c r="F65" s="42"/>
      <c r="G65" s="42">
        <f>G66</f>
        <v>253324000</v>
      </c>
      <c r="H65" s="154" t="b">
        <f t="shared" si="0"/>
        <v>1</v>
      </c>
    </row>
    <row r="66" spans="1:8" ht="25.5" x14ac:dyDescent="0.2">
      <c r="A66" s="21" t="s">
        <v>466</v>
      </c>
      <c r="B66" s="124"/>
      <c r="C66" s="123" t="s">
        <v>3613</v>
      </c>
      <c r="D66" s="157">
        <v>44</v>
      </c>
      <c r="E66" s="124" t="s">
        <v>776</v>
      </c>
      <c r="F66" s="125">
        <v>5757364</v>
      </c>
      <c r="G66" s="125">
        <f>ROUNDDOWN(D66*F66,-3)</f>
        <v>253324000</v>
      </c>
      <c r="H66" s="154" t="b">
        <f t="shared" si="0"/>
        <v>1</v>
      </c>
    </row>
    <row r="67" spans="1:8" ht="14.25" x14ac:dyDescent="0.2">
      <c r="A67" s="21" t="s">
        <v>467</v>
      </c>
      <c r="B67" s="60">
        <v>524113</v>
      </c>
      <c r="C67" s="41" t="s">
        <v>13</v>
      </c>
      <c r="D67" s="60"/>
      <c r="E67" s="60"/>
      <c r="F67" s="42"/>
      <c r="G67" s="42">
        <f>G68</f>
        <v>1500000</v>
      </c>
      <c r="H67" s="154" t="b">
        <f t="shared" si="0"/>
        <v>1</v>
      </c>
    </row>
    <row r="68" spans="1:8" ht="14.25" x14ac:dyDescent="0.2">
      <c r="A68" s="21" t="s">
        <v>468</v>
      </c>
      <c r="B68" s="124"/>
      <c r="C68" s="123" t="s">
        <v>3594</v>
      </c>
      <c r="D68" s="157">
        <v>10</v>
      </c>
      <c r="E68" s="124" t="s">
        <v>10</v>
      </c>
      <c r="F68" s="125">
        <v>150000</v>
      </c>
      <c r="G68" s="125">
        <f>ROUNDDOWN(D68*F68,-3)</f>
        <v>1500000</v>
      </c>
      <c r="H68" s="154" t="b">
        <f t="shared" si="0"/>
        <v>1</v>
      </c>
    </row>
    <row r="69" spans="1:8" ht="14.25" x14ac:dyDescent="0.2">
      <c r="A69" s="21" t="s">
        <v>469</v>
      </c>
      <c r="B69" s="59" t="s">
        <v>511</v>
      </c>
      <c r="C69" s="38" t="s">
        <v>65</v>
      </c>
      <c r="D69" s="70"/>
      <c r="E69" s="59"/>
      <c r="F69" s="39"/>
      <c r="G69" s="39">
        <f>SUM(G70,G74,G77,G80,G82,G84)</f>
        <v>247816000</v>
      </c>
      <c r="H69" s="154" t="b">
        <f t="shared" si="0"/>
        <v>1</v>
      </c>
    </row>
    <row r="70" spans="1:8" ht="14.25" x14ac:dyDescent="0.2">
      <c r="A70" s="21" t="s">
        <v>470</v>
      </c>
      <c r="B70" s="60">
        <v>521211</v>
      </c>
      <c r="C70" s="41" t="s">
        <v>7</v>
      </c>
      <c r="D70" s="60"/>
      <c r="E70" s="60"/>
      <c r="F70" s="42"/>
      <c r="G70" s="42">
        <f>SUM(G71:G73)</f>
        <v>71456000</v>
      </c>
      <c r="H70" s="154" t="b">
        <f t="shared" si="0"/>
        <v>1</v>
      </c>
    </row>
    <row r="71" spans="1:8" ht="14.25" x14ac:dyDescent="0.2">
      <c r="A71" s="21" t="s">
        <v>471</v>
      </c>
      <c r="B71" s="124"/>
      <c r="C71" s="123" t="s">
        <v>3614</v>
      </c>
      <c r="D71" s="157">
        <v>224</v>
      </c>
      <c r="E71" s="124" t="s">
        <v>25</v>
      </c>
      <c r="F71" s="125">
        <v>69000</v>
      </c>
      <c r="G71" s="125">
        <f>ROUNDDOWN(D71*F71,-3)</f>
        <v>15456000</v>
      </c>
      <c r="H71" s="154" t="b">
        <f t="shared" si="0"/>
        <v>1</v>
      </c>
    </row>
    <row r="72" spans="1:8" ht="14.25" x14ac:dyDescent="0.2">
      <c r="A72" s="21" t="s">
        <v>472</v>
      </c>
      <c r="B72" s="124"/>
      <c r="C72" s="123" t="s">
        <v>3602</v>
      </c>
      <c r="D72" s="124">
        <v>4</v>
      </c>
      <c r="E72" s="124" t="s">
        <v>106</v>
      </c>
      <c r="F72" s="125">
        <v>1500000</v>
      </c>
      <c r="G72" s="125">
        <f>ROUNDDOWN(D72*F72,-3)</f>
        <v>6000000</v>
      </c>
      <c r="H72" s="154" t="b">
        <f t="shared" si="0"/>
        <v>1</v>
      </c>
    </row>
    <row r="73" spans="1:8" ht="14.25" x14ac:dyDescent="0.2">
      <c r="A73" s="21" t="s">
        <v>789</v>
      </c>
      <c r="B73" s="124"/>
      <c r="C73" s="123" t="s">
        <v>3615</v>
      </c>
      <c r="D73" s="124">
        <v>100</v>
      </c>
      <c r="E73" s="124" t="s">
        <v>791</v>
      </c>
      <c r="F73" s="125">
        <v>500000</v>
      </c>
      <c r="G73" s="125">
        <f>ROUNDDOWN(D73*F73,-3)</f>
        <v>50000000</v>
      </c>
      <c r="H73" s="154" t="b">
        <f t="shared" si="0"/>
        <v>1</v>
      </c>
    </row>
    <row r="74" spans="1:8" ht="14.25" x14ac:dyDescent="0.2">
      <c r="A74" s="21" t="s">
        <v>473</v>
      </c>
      <c r="B74" s="60">
        <v>521219</v>
      </c>
      <c r="C74" s="41" t="s">
        <v>53</v>
      </c>
      <c r="D74" s="71"/>
      <c r="E74" s="60"/>
      <c r="F74" s="42"/>
      <c r="G74" s="42">
        <f>SUM(G75:G76)</f>
        <v>5000000</v>
      </c>
      <c r="H74" s="154" t="b">
        <f t="shared" si="0"/>
        <v>1</v>
      </c>
    </row>
    <row r="75" spans="1:8" ht="14.25" x14ac:dyDescent="0.2">
      <c r="A75" s="21" t="s">
        <v>474</v>
      </c>
      <c r="B75" s="124"/>
      <c r="C75" s="123" t="s">
        <v>3610</v>
      </c>
      <c r="D75" s="157">
        <v>4</v>
      </c>
      <c r="E75" s="124" t="s">
        <v>106</v>
      </c>
      <c r="F75" s="125">
        <v>250000</v>
      </c>
      <c r="G75" s="125">
        <f>ROUNDDOWN(D75*F75,-3)</f>
        <v>1000000</v>
      </c>
      <c r="H75" s="154" t="b">
        <f t="shared" si="0"/>
        <v>1</v>
      </c>
    </row>
    <row r="76" spans="1:8" ht="14.25" x14ac:dyDescent="0.2">
      <c r="A76" s="21" t="s">
        <v>792</v>
      </c>
      <c r="B76" s="124"/>
      <c r="C76" s="123" t="s">
        <v>3611</v>
      </c>
      <c r="D76" s="124">
        <v>8</v>
      </c>
      <c r="E76" s="124" t="s">
        <v>106</v>
      </c>
      <c r="F76" s="125">
        <v>500000</v>
      </c>
      <c r="G76" s="125">
        <f>ROUNDDOWN(D76*F76,-3)</f>
        <v>4000000</v>
      </c>
      <c r="H76" s="154" t="b">
        <f t="shared" si="0"/>
        <v>1</v>
      </c>
    </row>
    <row r="77" spans="1:8" ht="14.25" x14ac:dyDescent="0.2">
      <c r="A77" s="21" t="s">
        <v>475</v>
      </c>
      <c r="B77" s="60">
        <v>521811</v>
      </c>
      <c r="C77" s="41" t="s">
        <v>64</v>
      </c>
      <c r="D77" s="71"/>
      <c r="E77" s="60"/>
      <c r="F77" s="42"/>
      <c r="G77" s="42">
        <f>SUM(G78:G79)</f>
        <v>15000000</v>
      </c>
      <c r="H77" s="154" t="b">
        <f t="shared" ref="H77:H140" si="2">_xlfn.ISFORMULA(G77)</f>
        <v>1</v>
      </c>
    </row>
    <row r="78" spans="1:8" ht="14.25" x14ac:dyDescent="0.2">
      <c r="A78" s="21" t="s">
        <v>476</v>
      </c>
      <c r="B78" s="124"/>
      <c r="C78" s="123" t="s">
        <v>3595</v>
      </c>
      <c r="D78" s="157">
        <v>6</v>
      </c>
      <c r="E78" s="124" t="s">
        <v>106</v>
      </c>
      <c r="F78" s="125">
        <v>1000000</v>
      </c>
      <c r="G78" s="125">
        <f>ROUNDDOWN(D78*F78,-3)</f>
        <v>6000000</v>
      </c>
      <c r="H78" s="154" t="b">
        <f t="shared" si="2"/>
        <v>1</v>
      </c>
    </row>
    <row r="79" spans="1:8" ht="14.25" x14ac:dyDescent="0.2">
      <c r="A79" s="21" t="s">
        <v>477</v>
      </c>
      <c r="B79" s="124"/>
      <c r="C79" s="123" t="s">
        <v>3596</v>
      </c>
      <c r="D79" s="124">
        <v>6</v>
      </c>
      <c r="E79" s="124" t="s">
        <v>106</v>
      </c>
      <c r="F79" s="125">
        <v>1500000</v>
      </c>
      <c r="G79" s="125">
        <f>ROUNDDOWN(D79*F79,-3)</f>
        <v>9000000</v>
      </c>
      <c r="H79" s="154" t="b">
        <f t="shared" si="2"/>
        <v>1</v>
      </c>
    </row>
    <row r="80" spans="1:8" ht="14.25" x14ac:dyDescent="0.2">
      <c r="A80" s="21" t="s">
        <v>478</v>
      </c>
      <c r="B80" s="60">
        <v>522151</v>
      </c>
      <c r="C80" s="41" t="s">
        <v>11</v>
      </c>
      <c r="D80" s="71"/>
      <c r="E80" s="60"/>
      <c r="F80" s="42"/>
      <c r="G80" s="42">
        <f>G81</f>
        <v>16200000</v>
      </c>
      <c r="H80" s="154" t="b">
        <f t="shared" si="2"/>
        <v>1</v>
      </c>
    </row>
    <row r="81" spans="1:8" ht="14.25" x14ac:dyDescent="0.2">
      <c r="A81" s="21" t="s">
        <v>479</v>
      </c>
      <c r="B81" s="124"/>
      <c r="C81" s="123" t="s">
        <v>3603</v>
      </c>
      <c r="D81" s="124">
        <v>18</v>
      </c>
      <c r="E81" s="124" t="s">
        <v>54</v>
      </c>
      <c r="F81" s="125">
        <v>900000</v>
      </c>
      <c r="G81" s="125">
        <f>ROUNDDOWN(D81*F81,-3)</f>
        <v>16200000</v>
      </c>
      <c r="H81" s="154" t="b">
        <f t="shared" si="2"/>
        <v>1</v>
      </c>
    </row>
    <row r="82" spans="1:8" ht="14.25" x14ac:dyDescent="0.2">
      <c r="A82" s="21" t="s">
        <v>480</v>
      </c>
      <c r="B82" s="60">
        <v>522192</v>
      </c>
      <c r="C82" s="41" t="s">
        <v>24</v>
      </c>
      <c r="D82" s="60"/>
      <c r="E82" s="60"/>
      <c r="F82" s="42"/>
      <c r="G82" s="42">
        <f>G83</f>
        <v>2000000</v>
      </c>
      <c r="H82" s="154" t="b">
        <f t="shared" si="2"/>
        <v>1</v>
      </c>
    </row>
    <row r="83" spans="1:8" ht="14.25" x14ac:dyDescent="0.2">
      <c r="A83" s="21" t="s">
        <v>481</v>
      </c>
      <c r="B83" s="124"/>
      <c r="C83" s="123" t="s">
        <v>3612</v>
      </c>
      <c r="D83" s="157">
        <v>1</v>
      </c>
      <c r="E83" s="124" t="s">
        <v>60</v>
      </c>
      <c r="F83" s="125">
        <v>2000000</v>
      </c>
      <c r="G83" s="125">
        <f>ROUNDDOWN(D83*F83,-3)</f>
        <v>2000000</v>
      </c>
      <c r="H83" s="154" t="b">
        <f t="shared" si="2"/>
        <v>1</v>
      </c>
    </row>
    <row r="84" spans="1:8" ht="14.25" x14ac:dyDescent="0.2">
      <c r="A84" s="21" t="s">
        <v>482</v>
      </c>
      <c r="B84" s="60">
        <v>524111</v>
      </c>
      <c r="C84" s="41" t="s">
        <v>19</v>
      </c>
      <c r="D84" s="71"/>
      <c r="E84" s="60"/>
      <c r="F84" s="42"/>
      <c r="G84" s="42">
        <f>G85</f>
        <v>138160000</v>
      </c>
      <c r="H84" s="154" t="b">
        <f t="shared" si="2"/>
        <v>1</v>
      </c>
    </row>
    <row r="85" spans="1:8" ht="14.25" x14ac:dyDescent="0.2">
      <c r="A85" s="21" t="s">
        <v>483</v>
      </c>
      <c r="B85" s="124"/>
      <c r="C85" s="123" t="s">
        <v>3616</v>
      </c>
      <c r="D85" s="124">
        <v>22</v>
      </c>
      <c r="E85" s="124" t="s">
        <v>776</v>
      </c>
      <c r="F85" s="125">
        <v>6280000</v>
      </c>
      <c r="G85" s="125">
        <f>ROUNDDOWN(D85*F85,-3)</f>
        <v>138160000</v>
      </c>
      <c r="H85" s="154" t="b">
        <f t="shared" si="2"/>
        <v>1</v>
      </c>
    </row>
    <row r="86" spans="1:8" ht="14.25" x14ac:dyDescent="0.2">
      <c r="A86" s="21" t="s">
        <v>794</v>
      </c>
      <c r="B86" s="59" t="s">
        <v>512</v>
      </c>
      <c r="C86" s="38" t="s">
        <v>795</v>
      </c>
      <c r="D86" s="70"/>
      <c r="E86" s="59"/>
      <c r="F86" s="39"/>
      <c r="G86" s="39">
        <f>SUM(G87,G92,G94,G96)</f>
        <v>51560000</v>
      </c>
      <c r="H86" s="154" t="b">
        <f t="shared" si="2"/>
        <v>1</v>
      </c>
    </row>
    <row r="87" spans="1:8" ht="14.25" x14ac:dyDescent="0.2">
      <c r="A87" s="21" t="s">
        <v>796</v>
      </c>
      <c r="B87" s="60">
        <v>521211</v>
      </c>
      <c r="C87" s="41" t="s">
        <v>7</v>
      </c>
      <c r="D87" s="71"/>
      <c r="E87" s="60"/>
      <c r="F87" s="42"/>
      <c r="G87" s="42">
        <f>SUM(G88:G91)</f>
        <v>20830000</v>
      </c>
      <c r="H87" s="154" t="b">
        <f t="shared" si="2"/>
        <v>1</v>
      </c>
    </row>
    <row r="88" spans="1:8" ht="14.25" x14ac:dyDescent="0.2">
      <c r="A88" s="21" t="s">
        <v>797</v>
      </c>
      <c r="B88" s="124"/>
      <c r="C88" s="123" t="s">
        <v>3595</v>
      </c>
      <c r="D88" s="124">
        <v>4</v>
      </c>
      <c r="E88" s="124" t="s">
        <v>106</v>
      </c>
      <c r="F88" s="125">
        <v>1000000</v>
      </c>
      <c r="G88" s="125">
        <f>ROUNDDOWN(D88*F88,-3)</f>
        <v>4000000</v>
      </c>
      <c r="H88" s="154" t="b">
        <f t="shared" si="2"/>
        <v>1</v>
      </c>
    </row>
    <row r="89" spans="1:8" ht="14.25" x14ac:dyDescent="0.2">
      <c r="A89" s="21" t="s">
        <v>798</v>
      </c>
      <c r="B89" s="124"/>
      <c r="C89" s="123" t="s">
        <v>3596</v>
      </c>
      <c r="D89" s="157">
        <v>4</v>
      </c>
      <c r="E89" s="124" t="s">
        <v>106</v>
      </c>
      <c r="F89" s="125">
        <v>1500000</v>
      </c>
      <c r="G89" s="125">
        <f>ROUNDDOWN(D89*F89,-3)</f>
        <v>6000000</v>
      </c>
      <c r="H89" s="154" t="b">
        <f t="shared" si="2"/>
        <v>1</v>
      </c>
    </row>
    <row r="90" spans="1:8" ht="14.25" x14ac:dyDescent="0.2">
      <c r="A90" s="21" t="s">
        <v>799</v>
      </c>
      <c r="B90" s="124"/>
      <c r="C90" s="123" t="s">
        <v>3617</v>
      </c>
      <c r="D90" s="124">
        <v>70</v>
      </c>
      <c r="E90" s="124" t="s">
        <v>25</v>
      </c>
      <c r="F90" s="125">
        <v>69000</v>
      </c>
      <c r="G90" s="125">
        <f>ROUNDDOWN(D90*F90,-3)</f>
        <v>4830000</v>
      </c>
      <c r="H90" s="154" t="b">
        <f t="shared" si="2"/>
        <v>1</v>
      </c>
    </row>
    <row r="91" spans="1:8" ht="14.25" x14ac:dyDescent="0.2">
      <c r="A91" s="21" t="s">
        <v>800</v>
      </c>
      <c r="B91" s="124"/>
      <c r="C91" s="123" t="s">
        <v>3618</v>
      </c>
      <c r="D91" s="124">
        <v>4</v>
      </c>
      <c r="E91" s="124" t="s">
        <v>106</v>
      </c>
      <c r="F91" s="125">
        <v>1500000</v>
      </c>
      <c r="G91" s="125">
        <f>ROUNDDOWN(D91*F91,-3)</f>
        <v>6000000</v>
      </c>
      <c r="H91" s="154" t="b">
        <f t="shared" si="2"/>
        <v>1</v>
      </c>
    </row>
    <row r="92" spans="1:8" ht="14.25" x14ac:dyDescent="0.2">
      <c r="A92" s="21" t="s">
        <v>801</v>
      </c>
      <c r="B92" s="60">
        <v>521219</v>
      </c>
      <c r="C92" s="41" t="s">
        <v>53</v>
      </c>
      <c r="D92" s="71"/>
      <c r="E92" s="60"/>
      <c r="F92" s="42"/>
      <c r="G92" s="42">
        <f>G93</f>
        <v>500000</v>
      </c>
      <c r="H92" s="154" t="b">
        <f t="shared" si="2"/>
        <v>1</v>
      </c>
    </row>
    <row r="93" spans="1:8" ht="14.25" x14ac:dyDescent="0.2">
      <c r="A93" s="21" t="s">
        <v>802</v>
      </c>
      <c r="B93" s="124"/>
      <c r="C93" s="123" t="s">
        <v>3610</v>
      </c>
      <c r="D93" s="157">
        <v>2</v>
      </c>
      <c r="E93" s="124" t="s">
        <v>106</v>
      </c>
      <c r="F93" s="125">
        <v>250000</v>
      </c>
      <c r="G93" s="125">
        <f>ROUNDDOWN(D93*F93,-3)</f>
        <v>500000</v>
      </c>
      <c r="H93" s="154" t="b">
        <f t="shared" si="2"/>
        <v>1</v>
      </c>
    </row>
    <row r="94" spans="1:8" ht="14.25" x14ac:dyDescent="0.2">
      <c r="A94" s="21" t="s">
        <v>803</v>
      </c>
      <c r="B94" s="60">
        <v>522151</v>
      </c>
      <c r="C94" s="41" t="s">
        <v>11</v>
      </c>
      <c r="D94" s="60"/>
      <c r="E94" s="60"/>
      <c r="F94" s="42"/>
      <c r="G94" s="42">
        <f>G95</f>
        <v>7200000</v>
      </c>
      <c r="H94" s="154" t="b">
        <f t="shared" si="2"/>
        <v>1</v>
      </c>
    </row>
    <row r="95" spans="1:8" ht="14.25" x14ac:dyDescent="0.2">
      <c r="A95" s="21" t="s">
        <v>804</v>
      </c>
      <c r="B95" s="124"/>
      <c r="C95" s="123" t="s">
        <v>3603</v>
      </c>
      <c r="D95" s="157">
        <v>8</v>
      </c>
      <c r="E95" s="124" t="s">
        <v>54</v>
      </c>
      <c r="F95" s="125">
        <v>900000</v>
      </c>
      <c r="G95" s="125">
        <f>ROUNDDOWN(D95*F95,-3)</f>
        <v>7200000</v>
      </c>
      <c r="H95" s="154" t="b">
        <f t="shared" si="2"/>
        <v>1</v>
      </c>
    </row>
    <row r="96" spans="1:8" ht="14.25" x14ac:dyDescent="0.2">
      <c r="A96" s="21" t="s">
        <v>805</v>
      </c>
      <c r="B96" s="60">
        <v>524111</v>
      </c>
      <c r="C96" s="41" t="s">
        <v>19</v>
      </c>
      <c r="D96" s="71"/>
      <c r="E96" s="60"/>
      <c r="F96" s="42"/>
      <c r="G96" s="42">
        <f>G97</f>
        <v>23030000</v>
      </c>
      <c r="H96" s="154" t="b">
        <f t="shared" si="2"/>
        <v>1</v>
      </c>
    </row>
    <row r="97" spans="1:8" ht="25.5" x14ac:dyDescent="0.2">
      <c r="A97" s="21" t="s">
        <v>806</v>
      </c>
      <c r="B97" s="124"/>
      <c r="C97" s="123" t="s">
        <v>3619</v>
      </c>
      <c r="D97" s="124">
        <v>6</v>
      </c>
      <c r="E97" s="124" t="s">
        <v>776</v>
      </c>
      <c r="F97" s="125">
        <v>3838335</v>
      </c>
      <c r="G97" s="125">
        <f>ROUNDDOWN(D97*F97,-3)</f>
        <v>23030000</v>
      </c>
      <c r="H97" s="154" t="b">
        <f t="shared" si="2"/>
        <v>1</v>
      </c>
    </row>
    <row r="98" spans="1:8" ht="14.25" x14ac:dyDescent="0.2">
      <c r="A98" s="21" t="s">
        <v>484</v>
      </c>
      <c r="B98" s="58" t="s">
        <v>526</v>
      </c>
      <c r="C98" s="35" t="s">
        <v>67</v>
      </c>
      <c r="D98" s="69"/>
      <c r="E98" s="58"/>
      <c r="F98" s="36"/>
      <c r="G98" s="36">
        <f>G99</f>
        <v>135100000</v>
      </c>
      <c r="H98" s="154" t="b">
        <f t="shared" si="2"/>
        <v>1</v>
      </c>
    </row>
    <row r="99" spans="1:8" ht="14.25" x14ac:dyDescent="0.2">
      <c r="A99" s="21" t="s">
        <v>485</v>
      </c>
      <c r="B99" s="59" t="s">
        <v>8</v>
      </c>
      <c r="C99" s="38" t="s">
        <v>68</v>
      </c>
      <c r="D99" s="59"/>
      <c r="E99" s="59"/>
      <c r="F99" s="39"/>
      <c r="G99" s="39">
        <f>SUM(G100,G106,G108,G110,G112)</f>
        <v>135100000</v>
      </c>
      <c r="H99" s="154" t="b">
        <f t="shared" si="2"/>
        <v>1</v>
      </c>
    </row>
    <row r="100" spans="1:8" ht="14.25" x14ac:dyDescent="0.2">
      <c r="A100" s="21" t="s">
        <v>486</v>
      </c>
      <c r="B100" s="60">
        <v>521211</v>
      </c>
      <c r="C100" s="41" t="s">
        <v>7</v>
      </c>
      <c r="D100" s="71"/>
      <c r="E100" s="60"/>
      <c r="F100" s="42"/>
      <c r="G100" s="42">
        <f>SUM(G101:G105)</f>
        <v>21100000</v>
      </c>
      <c r="H100" s="154" t="b">
        <f t="shared" si="2"/>
        <v>1</v>
      </c>
    </row>
    <row r="101" spans="1:8" ht="14.25" x14ac:dyDescent="0.2">
      <c r="A101" s="21" t="s">
        <v>487</v>
      </c>
      <c r="B101" s="124"/>
      <c r="C101" s="123" t="s">
        <v>3587</v>
      </c>
      <c r="D101" s="124">
        <v>2</v>
      </c>
      <c r="E101" s="124" t="s">
        <v>106</v>
      </c>
      <c r="F101" s="125">
        <v>1500000</v>
      </c>
      <c r="G101" s="125">
        <f>ROUNDDOWN(D101*F101,-3)</f>
        <v>3000000</v>
      </c>
      <c r="H101" s="154" t="b">
        <f t="shared" si="2"/>
        <v>1</v>
      </c>
    </row>
    <row r="102" spans="1:8" ht="14.25" x14ac:dyDescent="0.2">
      <c r="A102" s="21" t="s">
        <v>488</v>
      </c>
      <c r="B102" s="124"/>
      <c r="C102" s="123" t="s">
        <v>3620</v>
      </c>
      <c r="D102" s="124">
        <v>90</v>
      </c>
      <c r="E102" s="124" t="s">
        <v>25</v>
      </c>
      <c r="F102" s="125">
        <v>65556</v>
      </c>
      <c r="G102" s="125">
        <f>ROUNDDOWN(D102*F102,-3)</f>
        <v>5900000</v>
      </c>
      <c r="H102" s="154" t="b">
        <f t="shared" si="2"/>
        <v>1</v>
      </c>
    </row>
    <row r="103" spans="1:8" ht="14.25" x14ac:dyDescent="0.2">
      <c r="A103" s="21" t="s">
        <v>489</v>
      </c>
      <c r="B103" s="124"/>
      <c r="C103" s="123" t="s">
        <v>3588</v>
      </c>
      <c r="D103" s="124">
        <v>2</v>
      </c>
      <c r="E103" s="124" t="s">
        <v>106</v>
      </c>
      <c r="F103" s="125">
        <v>1000000</v>
      </c>
      <c r="G103" s="125">
        <f>ROUNDDOWN(D103*F103,-3)</f>
        <v>2000000</v>
      </c>
      <c r="H103" s="154" t="b">
        <f t="shared" si="2"/>
        <v>1</v>
      </c>
    </row>
    <row r="104" spans="1:8" ht="14.25" x14ac:dyDescent="0.2">
      <c r="A104" s="21" t="s">
        <v>809</v>
      </c>
      <c r="B104" s="124"/>
      <c r="C104" s="123" t="s">
        <v>3589</v>
      </c>
      <c r="D104" s="157">
        <v>2</v>
      </c>
      <c r="E104" s="124" t="s">
        <v>106</v>
      </c>
      <c r="F104" s="125">
        <v>1500000</v>
      </c>
      <c r="G104" s="125">
        <f>ROUNDDOWN(D104*F104,-3)</f>
        <v>3000000</v>
      </c>
      <c r="H104" s="154" t="b">
        <f t="shared" si="2"/>
        <v>1</v>
      </c>
    </row>
    <row r="105" spans="1:8" ht="25.5" x14ac:dyDescent="0.2">
      <c r="A105" s="21" t="s">
        <v>810</v>
      </c>
      <c r="B105" s="124"/>
      <c r="C105" s="123" t="s">
        <v>3621</v>
      </c>
      <c r="D105" s="157">
        <v>36</v>
      </c>
      <c r="E105" s="124" t="s">
        <v>25</v>
      </c>
      <c r="F105" s="125">
        <v>200000</v>
      </c>
      <c r="G105" s="125">
        <f>ROUNDDOWN(D105*F105,-3)</f>
        <v>7200000</v>
      </c>
      <c r="H105" s="154" t="b">
        <f t="shared" si="2"/>
        <v>1</v>
      </c>
    </row>
    <row r="106" spans="1:8" ht="14.25" x14ac:dyDescent="0.2">
      <c r="A106" s="21" t="s">
        <v>490</v>
      </c>
      <c r="B106" s="60">
        <v>521219</v>
      </c>
      <c r="C106" s="41" t="s">
        <v>53</v>
      </c>
      <c r="D106" s="71"/>
      <c r="E106" s="60"/>
      <c r="F106" s="42"/>
      <c r="G106" s="42">
        <f>G107</f>
        <v>1584000</v>
      </c>
      <c r="H106" s="154" t="b">
        <f t="shared" si="2"/>
        <v>1</v>
      </c>
    </row>
    <row r="107" spans="1:8" ht="25.5" x14ac:dyDescent="0.2">
      <c r="A107" s="21" t="s">
        <v>491</v>
      </c>
      <c r="B107" s="124"/>
      <c r="C107" s="123" t="s">
        <v>3622</v>
      </c>
      <c r="D107" s="157">
        <v>36</v>
      </c>
      <c r="E107" s="124" t="s">
        <v>25</v>
      </c>
      <c r="F107" s="125">
        <v>44000</v>
      </c>
      <c r="G107" s="125">
        <f>ROUNDDOWN(D107*F107,-3)</f>
        <v>1584000</v>
      </c>
      <c r="H107" s="154" t="b">
        <f t="shared" si="2"/>
        <v>1</v>
      </c>
    </row>
    <row r="108" spans="1:8" ht="14.25" x14ac:dyDescent="0.2">
      <c r="A108" s="21" t="s">
        <v>492</v>
      </c>
      <c r="B108" s="60">
        <v>522151</v>
      </c>
      <c r="C108" s="41" t="s">
        <v>11</v>
      </c>
      <c r="D108" s="60"/>
      <c r="E108" s="60"/>
      <c r="F108" s="42"/>
      <c r="G108" s="42">
        <f>G109</f>
        <v>10000000</v>
      </c>
      <c r="H108" s="154" t="b">
        <f t="shared" si="2"/>
        <v>1</v>
      </c>
    </row>
    <row r="109" spans="1:8" ht="14.25" x14ac:dyDescent="0.2">
      <c r="A109" s="21" t="s">
        <v>493</v>
      </c>
      <c r="B109" s="124"/>
      <c r="C109" s="123" t="s">
        <v>3603</v>
      </c>
      <c r="D109" s="157">
        <v>10</v>
      </c>
      <c r="E109" s="124" t="s">
        <v>54</v>
      </c>
      <c r="F109" s="125">
        <v>1000000</v>
      </c>
      <c r="G109" s="125">
        <f>ROUNDDOWN(D109*F109,-3)</f>
        <v>10000000</v>
      </c>
      <c r="H109" s="154" t="b">
        <f t="shared" si="2"/>
        <v>1</v>
      </c>
    </row>
    <row r="110" spans="1:8" ht="14.25" x14ac:dyDescent="0.2">
      <c r="A110" s="21" t="s">
        <v>813</v>
      </c>
      <c r="B110" s="60">
        <v>522192</v>
      </c>
      <c r="C110" s="41" t="s">
        <v>24</v>
      </c>
      <c r="D110" s="60"/>
      <c r="E110" s="60"/>
      <c r="F110" s="42"/>
      <c r="G110" s="42">
        <f>G111</f>
        <v>5000000</v>
      </c>
      <c r="H110" s="154" t="b">
        <f t="shared" si="2"/>
        <v>1</v>
      </c>
    </row>
    <row r="111" spans="1:8" ht="14.25" x14ac:dyDescent="0.2">
      <c r="A111" s="21" t="s">
        <v>814</v>
      </c>
      <c r="B111" s="124"/>
      <c r="C111" s="123" t="s">
        <v>3623</v>
      </c>
      <c r="D111" s="157">
        <v>1</v>
      </c>
      <c r="E111" s="124" t="s">
        <v>153</v>
      </c>
      <c r="F111" s="125">
        <v>5000000</v>
      </c>
      <c r="G111" s="125">
        <f>ROUNDDOWN(D111*F111,-3)</f>
        <v>5000000</v>
      </c>
      <c r="H111" s="154" t="b">
        <f t="shared" si="2"/>
        <v>1</v>
      </c>
    </row>
    <row r="112" spans="1:8" ht="14.25" x14ac:dyDescent="0.2">
      <c r="A112" s="21" t="s">
        <v>816</v>
      </c>
      <c r="B112" s="60">
        <v>524111</v>
      </c>
      <c r="C112" s="41" t="s">
        <v>19</v>
      </c>
      <c r="D112" s="60"/>
      <c r="E112" s="60"/>
      <c r="F112" s="42"/>
      <c r="G112" s="42">
        <f>G113</f>
        <v>97416000</v>
      </c>
      <c r="H112" s="154" t="b">
        <f t="shared" si="2"/>
        <v>1</v>
      </c>
    </row>
    <row r="113" spans="1:8" ht="14.25" x14ac:dyDescent="0.2">
      <c r="A113" s="21" t="s">
        <v>817</v>
      </c>
      <c r="B113" s="124"/>
      <c r="C113" s="123" t="s">
        <v>3624</v>
      </c>
      <c r="D113" s="124">
        <v>36</v>
      </c>
      <c r="E113" s="124" t="s">
        <v>776</v>
      </c>
      <c r="F113" s="125">
        <v>2706000</v>
      </c>
      <c r="G113" s="125">
        <f>ROUNDDOWN(D113*F113,-3)</f>
        <v>97416000</v>
      </c>
      <c r="H113" s="154" t="b">
        <f t="shared" si="2"/>
        <v>1</v>
      </c>
    </row>
    <row r="114" spans="1:8" ht="14.25" x14ac:dyDescent="0.2">
      <c r="A114" s="21" t="s">
        <v>69</v>
      </c>
      <c r="B114" s="54" t="s">
        <v>69</v>
      </c>
      <c r="C114" s="23" t="s">
        <v>70</v>
      </c>
      <c r="D114" s="54"/>
      <c r="E114" s="54"/>
      <c r="F114" s="24"/>
      <c r="G114" s="24">
        <f>SUM(G115,G529)</f>
        <v>22342160000</v>
      </c>
      <c r="H114" s="154" t="b">
        <f t="shared" si="2"/>
        <v>1</v>
      </c>
    </row>
    <row r="115" spans="1:8" ht="25.5" x14ac:dyDescent="0.2">
      <c r="A115" s="21" t="s">
        <v>494</v>
      </c>
      <c r="B115" s="55">
        <v>2378</v>
      </c>
      <c r="C115" s="26" t="s">
        <v>71</v>
      </c>
      <c r="D115" s="68"/>
      <c r="E115" s="55"/>
      <c r="F115" s="27"/>
      <c r="G115" s="27">
        <f>SUM(G116,G122,G380,G386)</f>
        <v>13759660000</v>
      </c>
      <c r="H115" s="154" t="b">
        <f t="shared" si="2"/>
        <v>1</v>
      </c>
    </row>
    <row r="116" spans="1:8" ht="14.25" x14ac:dyDescent="0.2">
      <c r="A116" s="21" t="s">
        <v>819</v>
      </c>
      <c r="B116" s="116" t="s">
        <v>820</v>
      </c>
      <c r="C116" s="114" t="s">
        <v>821</v>
      </c>
      <c r="D116" s="115">
        <v>1</v>
      </c>
      <c r="E116" s="116" t="s">
        <v>42</v>
      </c>
      <c r="F116" s="117"/>
      <c r="G116" s="117">
        <f>G117</f>
        <v>115000000</v>
      </c>
      <c r="H116" s="154" t="b">
        <f t="shared" si="2"/>
        <v>1</v>
      </c>
    </row>
    <row r="117" spans="1:8" ht="25.5" x14ac:dyDescent="0.2">
      <c r="A117" s="21" t="s">
        <v>822</v>
      </c>
      <c r="B117" s="119" t="s">
        <v>3625</v>
      </c>
      <c r="C117" s="118" t="s">
        <v>824</v>
      </c>
      <c r="D117" s="121">
        <v>1</v>
      </c>
      <c r="E117" s="119" t="s">
        <v>42</v>
      </c>
      <c r="F117" s="120"/>
      <c r="G117" s="120">
        <f>G118</f>
        <v>115000000</v>
      </c>
      <c r="H117" s="154" t="b">
        <f t="shared" si="2"/>
        <v>1</v>
      </c>
    </row>
    <row r="118" spans="1:8" ht="25.5" x14ac:dyDescent="0.2">
      <c r="A118" s="21" t="s">
        <v>832</v>
      </c>
      <c r="B118" s="58">
        <v>301</v>
      </c>
      <c r="C118" s="35" t="s">
        <v>834</v>
      </c>
      <c r="D118" s="58"/>
      <c r="E118" s="58"/>
      <c r="F118" s="36"/>
      <c r="G118" s="36">
        <f>G119</f>
        <v>115000000</v>
      </c>
      <c r="H118" s="154" t="b">
        <f t="shared" si="2"/>
        <v>1</v>
      </c>
    </row>
    <row r="119" spans="1:8" ht="14.25" x14ac:dyDescent="0.2">
      <c r="A119" s="21" t="s">
        <v>835</v>
      </c>
      <c r="B119" s="59" t="s">
        <v>8</v>
      </c>
      <c r="C119" s="38" t="s">
        <v>836</v>
      </c>
      <c r="D119" s="70"/>
      <c r="E119" s="59"/>
      <c r="F119" s="39"/>
      <c r="G119" s="39">
        <f>G120</f>
        <v>115000000</v>
      </c>
      <c r="H119" s="154" t="b">
        <f t="shared" si="2"/>
        <v>1</v>
      </c>
    </row>
    <row r="120" spans="1:8" ht="14.25" x14ac:dyDescent="0.2">
      <c r="A120" s="21" t="s">
        <v>837</v>
      </c>
      <c r="B120" s="60">
        <v>532111</v>
      </c>
      <c r="C120" s="41" t="s">
        <v>43</v>
      </c>
      <c r="D120" s="60"/>
      <c r="E120" s="60"/>
      <c r="F120" s="42"/>
      <c r="G120" s="42">
        <f>G121</f>
        <v>115000000</v>
      </c>
      <c r="H120" s="154" t="b">
        <f t="shared" si="2"/>
        <v>1</v>
      </c>
    </row>
    <row r="121" spans="1:8" ht="14.25" x14ac:dyDescent="0.2">
      <c r="A121" s="21" t="s">
        <v>838</v>
      </c>
      <c r="B121" s="124"/>
      <c r="C121" s="123" t="s">
        <v>3626</v>
      </c>
      <c r="D121" s="157">
        <v>1</v>
      </c>
      <c r="E121" s="124" t="s">
        <v>23</v>
      </c>
      <c r="F121" s="125">
        <v>115000000</v>
      </c>
      <c r="G121" s="125">
        <f>ROUNDDOWN(D121*F121,-3)</f>
        <v>115000000</v>
      </c>
      <c r="H121" s="154" t="b">
        <f t="shared" si="2"/>
        <v>1</v>
      </c>
    </row>
    <row r="122" spans="1:8" ht="14.25" x14ac:dyDescent="0.2">
      <c r="A122" s="21" t="s">
        <v>840</v>
      </c>
      <c r="B122" s="116" t="s">
        <v>841</v>
      </c>
      <c r="C122" s="114" t="s">
        <v>842</v>
      </c>
      <c r="D122" s="116">
        <v>9</v>
      </c>
      <c r="E122" s="116" t="s">
        <v>3627</v>
      </c>
      <c r="F122" s="117"/>
      <c r="G122" s="117">
        <f>SUM(G123,G138,G263)</f>
        <v>11564936000</v>
      </c>
      <c r="H122" s="154" t="b">
        <f t="shared" si="2"/>
        <v>1</v>
      </c>
    </row>
    <row r="123" spans="1:8" ht="14.25" x14ac:dyDescent="0.2">
      <c r="A123" s="21" t="s">
        <v>1035</v>
      </c>
      <c r="B123" s="119" t="s">
        <v>3628</v>
      </c>
      <c r="C123" s="118" t="s">
        <v>1037</v>
      </c>
      <c r="D123" s="119">
        <v>2</v>
      </c>
      <c r="E123" s="119" t="s">
        <v>3627</v>
      </c>
      <c r="F123" s="120"/>
      <c r="G123" s="120">
        <f>G124</f>
        <v>153780000</v>
      </c>
      <c r="H123" s="154" t="b">
        <f t="shared" si="2"/>
        <v>1</v>
      </c>
    </row>
    <row r="124" spans="1:8" ht="25.5" x14ac:dyDescent="0.2">
      <c r="A124" s="7" t="s">
        <v>1184</v>
      </c>
      <c r="B124" s="58">
        <v>311</v>
      </c>
      <c r="C124" s="35" t="s">
        <v>1186</v>
      </c>
      <c r="D124" s="58"/>
      <c r="E124" s="58"/>
      <c r="F124" s="36"/>
      <c r="G124" s="36">
        <f>G125</f>
        <v>153780000</v>
      </c>
      <c r="H124" s="154" t="b">
        <f t="shared" si="2"/>
        <v>1</v>
      </c>
    </row>
    <row r="125" spans="1:8" ht="14.25" x14ac:dyDescent="0.2">
      <c r="A125" s="7" t="s">
        <v>1187</v>
      </c>
      <c r="B125" s="59" t="s">
        <v>8</v>
      </c>
      <c r="C125" s="38" t="s">
        <v>75</v>
      </c>
      <c r="D125" s="59"/>
      <c r="E125" s="59"/>
      <c r="F125" s="39"/>
      <c r="G125" s="39">
        <f>SUM(G126,G129,G131,G134,G136)</f>
        <v>153780000</v>
      </c>
      <c r="H125" s="154" t="b">
        <f t="shared" si="2"/>
        <v>1</v>
      </c>
    </row>
    <row r="126" spans="1:8" ht="14.25" x14ac:dyDescent="0.2">
      <c r="A126" s="7" t="s">
        <v>1188</v>
      </c>
      <c r="B126" s="60">
        <v>521211</v>
      </c>
      <c r="C126" s="41" t="s">
        <v>7</v>
      </c>
      <c r="D126" s="60"/>
      <c r="E126" s="60"/>
      <c r="F126" s="42"/>
      <c r="G126" s="42">
        <f>SUM(G127:G128)</f>
        <v>14400000</v>
      </c>
      <c r="H126" s="154" t="b">
        <f t="shared" si="2"/>
        <v>1</v>
      </c>
    </row>
    <row r="127" spans="1:8" ht="14.25" x14ac:dyDescent="0.2">
      <c r="A127" s="7" t="s">
        <v>1189</v>
      </c>
      <c r="B127" s="124"/>
      <c r="C127" s="123" t="s">
        <v>3587</v>
      </c>
      <c r="D127" s="124">
        <v>6</v>
      </c>
      <c r="E127" s="124" t="s">
        <v>52</v>
      </c>
      <c r="F127" s="125">
        <v>1000000</v>
      </c>
      <c r="G127" s="125">
        <f>ROUNDDOWN(D127*F127,-3)</f>
        <v>6000000</v>
      </c>
      <c r="H127" s="154" t="b">
        <f t="shared" si="2"/>
        <v>1</v>
      </c>
    </row>
    <row r="128" spans="1:8" ht="14.25" x14ac:dyDescent="0.2">
      <c r="A128" s="7" t="s">
        <v>1190</v>
      </c>
      <c r="B128" s="124"/>
      <c r="C128" s="123" t="s">
        <v>3608</v>
      </c>
      <c r="D128" s="124">
        <v>120</v>
      </c>
      <c r="E128" s="124" t="s">
        <v>25</v>
      </c>
      <c r="F128" s="125">
        <v>70000</v>
      </c>
      <c r="G128" s="125">
        <f>ROUNDDOWN(D128*F128,-3)</f>
        <v>8400000</v>
      </c>
      <c r="H128" s="154" t="b">
        <f t="shared" si="2"/>
        <v>1</v>
      </c>
    </row>
    <row r="129" spans="1:8" ht="14.25" x14ac:dyDescent="0.2">
      <c r="A129" s="7" t="s">
        <v>1191</v>
      </c>
      <c r="B129" s="60">
        <v>521219</v>
      </c>
      <c r="C129" s="41" t="s">
        <v>53</v>
      </c>
      <c r="D129" s="60"/>
      <c r="E129" s="60"/>
      <c r="F129" s="42"/>
      <c r="G129" s="42">
        <f>G130</f>
        <v>8000000</v>
      </c>
      <c r="H129" s="154" t="b">
        <f t="shared" si="2"/>
        <v>1</v>
      </c>
    </row>
    <row r="130" spans="1:8" ht="14.25" x14ac:dyDescent="0.2">
      <c r="A130" s="7" t="s">
        <v>1192</v>
      </c>
      <c r="B130" s="124"/>
      <c r="C130" s="123" t="s">
        <v>3629</v>
      </c>
      <c r="D130" s="124">
        <v>1</v>
      </c>
      <c r="E130" s="124" t="s">
        <v>106</v>
      </c>
      <c r="F130" s="125">
        <v>8000000</v>
      </c>
      <c r="G130" s="125">
        <f>ROUNDDOWN(D130*F130,-3)</f>
        <v>8000000</v>
      </c>
      <c r="H130" s="154" t="b">
        <f t="shared" si="2"/>
        <v>1</v>
      </c>
    </row>
    <row r="131" spans="1:8" ht="14.25" x14ac:dyDescent="0.2">
      <c r="A131" s="7" t="s">
        <v>1194</v>
      </c>
      <c r="B131" s="60">
        <v>521811</v>
      </c>
      <c r="C131" s="41" t="s">
        <v>64</v>
      </c>
      <c r="D131" s="60"/>
      <c r="E131" s="60"/>
      <c r="F131" s="42"/>
      <c r="G131" s="42">
        <f>SUM(G132:G133)</f>
        <v>12000000</v>
      </c>
      <c r="H131" s="154" t="b">
        <f t="shared" si="2"/>
        <v>1</v>
      </c>
    </row>
    <row r="132" spans="1:8" ht="14.25" x14ac:dyDescent="0.2">
      <c r="A132" s="7" t="s">
        <v>1195</v>
      </c>
      <c r="B132" s="124"/>
      <c r="C132" s="123" t="s">
        <v>3595</v>
      </c>
      <c r="D132" s="124">
        <v>6</v>
      </c>
      <c r="E132" s="124" t="s">
        <v>52</v>
      </c>
      <c r="F132" s="125">
        <v>1000000</v>
      </c>
      <c r="G132" s="125">
        <f>ROUNDDOWN(D132*F132,-3)</f>
        <v>6000000</v>
      </c>
      <c r="H132" s="154" t="b">
        <f t="shared" si="2"/>
        <v>1</v>
      </c>
    </row>
    <row r="133" spans="1:8" ht="14.25" x14ac:dyDescent="0.2">
      <c r="A133" s="7" t="s">
        <v>1196</v>
      </c>
      <c r="B133" s="124"/>
      <c r="C133" s="123" t="s">
        <v>3630</v>
      </c>
      <c r="D133" s="124">
        <v>6</v>
      </c>
      <c r="E133" s="124" t="s">
        <v>52</v>
      </c>
      <c r="F133" s="125">
        <v>1000000</v>
      </c>
      <c r="G133" s="125">
        <f>ROUNDDOWN(D133*F133,-3)</f>
        <v>6000000</v>
      </c>
      <c r="H133" s="154" t="b">
        <f t="shared" si="2"/>
        <v>1</v>
      </c>
    </row>
    <row r="134" spans="1:8" ht="14.25" x14ac:dyDescent="0.2">
      <c r="A134" s="7" t="s">
        <v>1198</v>
      </c>
      <c r="B134" s="60">
        <v>522151</v>
      </c>
      <c r="C134" s="41" t="s">
        <v>11</v>
      </c>
      <c r="D134" s="60"/>
      <c r="E134" s="60"/>
      <c r="F134" s="42"/>
      <c r="G134" s="42">
        <f>G135</f>
        <v>4000000</v>
      </c>
      <c r="H134" s="154" t="b">
        <f t="shared" si="2"/>
        <v>1</v>
      </c>
    </row>
    <row r="135" spans="1:8" ht="14.25" x14ac:dyDescent="0.2">
      <c r="A135" s="7" t="s">
        <v>1199</v>
      </c>
      <c r="B135" s="124"/>
      <c r="C135" s="123" t="s">
        <v>3603</v>
      </c>
      <c r="D135" s="124">
        <v>4</v>
      </c>
      <c r="E135" s="124" t="s">
        <v>54</v>
      </c>
      <c r="F135" s="125">
        <v>1000000</v>
      </c>
      <c r="G135" s="125">
        <f>ROUNDDOWN(D135*F135,-3)</f>
        <v>4000000</v>
      </c>
      <c r="H135" s="154" t="b">
        <f t="shared" si="2"/>
        <v>1</v>
      </c>
    </row>
    <row r="136" spans="1:8" ht="14.25" x14ac:dyDescent="0.2">
      <c r="A136" s="7" t="s">
        <v>1200</v>
      </c>
      <c r="B136" s="60">
        <v>524111</v>
      </c>
      <c r="C136" s="41" t="s">
        <v>19</v>
      </c>
      <c r="D136" s="60"/>
      <c r="E136" s="60"/>
      <c r="F136" s="42"/>
      <c r="G136" s="42">
        <f>G137</f>
        <v>115380000</v>
      </c>
      <c r="H136" s="154" t="b">
        <f t="shared" si="2"/>
        <v>1</v>
      </c>
    </row>
    <row r="137" spans="1:8" ht="14.25" x14ac:dyDescent="0.2">
      <c r="A137" s="7" t="s">
        <v>1201</v>
      </c>
      <c r="B137" s="124"/>
      <c r="C137" s="123" t="s">
        <v>3631</v>
      </c>
      <c r="D137" s="124">
        <v>20</v>
      </c>
      <c r="E137" s="124" t="s">
        <v>25</v>
      </c>
      <c r="F137" s="125">
        <v>5769000</v>
      </c>
      <c r="G137" s="125">
        <f>ROUNDDOWN(D137*F137,-3)</f>
        <v>115380000</v>
      </c>
      <c r="H137" s="154" t="b">
        <f t="shared" si="2"/>
        <v>1</v>
      </c>
    </row>
    <row r="138" spans="1:8" ht="14.25" x14ac:dyDescent="0.2">
      <c r="A138" s="7" t="s">
        <v>1268</v>
      </c>
      <c r="B138" s="119" t="s">
        <v>3632</v>
      </c>
      <c r="C138" s="118" t="s">
        <v>1270</v>
      </c>
      <c r="D138" s="119">
        <v>1</v>
      </c>
      <c r="E138" s="119" t="s">
        <v>3627</v>
      </c>
      <c r="F138" s="120"/>
      <c r="G138" s="120">
        <f>G139</f>
        <v>2736502000</v>
      </c>
      <c r="H138" s="154" t="b">
        <f t="shared" si="2"/>
        <v>1</v>
      </c>
    </row>
    <row r="139" spans="1:8" ht="25.5" x14ac:dyDescent="0.2">
      <c r="A139" s="7" t="s">
        <v>1388</v>
      </c>
      <c r="B139" s="58">
        <v>301</v>
      </c>
      <c r="C139" s="35" t="s">
        <v>1389</v>
      </c>
      <c r="D139" s="58"/>
      <c r="E139" s="58"/>
      <c r="F139" s="36"/>
      <c r="G139" s="36">
        <f>SUM(G140,G150,G161,G174,G184,G200,G216,G228,G248)</f>
        <v>2736502000</v>
      </c>
      <c r="H139" s="154" t="b">
        <f t="shared" si="2"/>
        <v>1</v>
      </c>
    </row>
    <row r="140" spans="1:8" ht="14.25" x14ac:dyDescent="0.2">
      <c r="A140" s="7" t="s">
        <v>1390</v>
      </c>
      <c r="B140" s="59" t="s">
        <v>8</v>
      </c>
      <c r="C140" s="38" t="s">
        <v>148</v>
      </c>
      <c r="D140" s="59"/>
      <c r="E140" s="59"/>
      <c r="F140" s="39"/>
      <c r="G140" s="39">
        <f>SUM(G141,G146,G148)</f>
        <v>42100000</v>
      </c>
      <c r="H140" s="154" t="b">
        <f t="shared" si="2"/>
        <v>1</v>
      </c>
    </row>
    <row r="141" spans="1:8" ht="14.25" x14ac:dyDescent="0.2">
      <c r="A141" s="7" t="s">
        <v>1391</v>
      </c>
      <c r="B141" s="60">
        <v>521211</v>
      </c>
      <c r="C141" s="41" t="s">
        <v>7</v>
      </c>
      <c r="D141" s="60"/>
      <c r="E141" s="60"/>
      <c r="F141" s="42"/>
      <c r="G141" s="42">
        <f>SUM(G142:G145)</f>
        <v>22000000</v>
      </c>
      <c r="H141" s="154" t="b">
        <f t="shared" ref="H141:H204" si="3">_xlfn.ISFORMULA(G141)</f>
        <v>1</v>
      </c>
    </row>
    <row r="142" spans="1:8" ht="14.25" x14ac:dyDescent="0.2">
      <c r="A142" s="7" t="s">
        <v>1392</v>
      </c>
      <c r="B142" s="124"/>
      <c r="C142" s="123" t="s">
        <v>3595</v>
      </c>
      <c r="D142" s="124">
        <v>4</v>
      </c>
      <c r="E142" s="124" t="s">
        <v>9</v>
      </c>
      <c r="F142" s="125">
        <v>1500000</v>
      </c>
      <c r="G142" s="125">
        <f>ROUNDDOWN(D142*F142,-3)</f>
        <v>6000000</v>
      </c>
      <c r="H142" s="154" t="b">
        <f t="shared" si="3"/>
        <v>1</v>
      </c>
    </row>
    <row r="143" spans="1:8" ht="14.25" x14ac:dyDescent="0.2">
      <c r="A143" s="7" t="s">
        <v>1393</v>
      </c>
      <c r="B143" s="124"/>
      <c r="C143" s="123" t="s">
        <v>3596</v>
      </c>
      <c r="D143" s="124">
        <v>4</v>
      </c>
      <c r="E143" s="124" t="s">
        <v>9</v>
      </c>
      <c r="F143" s="125">
        <v>1000000</v>
      </c>
      <c r="G143" s="125">
        <f>ROUNDDOWN(D143*F143,-3)</f>
        <v>4000000</v>
      </c>
      <c r="H143" s="154" t="b">
        <f t="shared" si="3"/>
        <v>1</v>
      </c>
    </row>
    <row r="144" spans="1:8" ht="14.25" x14ac:dyDescent="0.2">
      <c r="A144" s="7" t="s">
        <v>1394</v>
      </c>
      <c r="B144" s="124"/>
      <c r="C144" s="123" t="s">
        <v>3597</v>
      </c>
      <c r="D144" s="124">
        <v>4</v>
      </c>
      <c r="E144" s="124" t="s">
        <v>9</v>
      </c>
      <c r="F144" s="125">
        <v>1500000</v>
      </c>
      <c r="G144" s="125">
        <f>ROUNDDOWN(D144*F144,-3)</f>
        <v>6000000</v>
      </c>
      <c r="H144" s="154" t="b">
        <f t="shared" si="3"/>
        <v>1</v>
      </c>
    </row>
    <row r="145" spans="1:8" ht="14.25" x14ac:dyDescent="0.2">
      <c r="A145" s="7" t="s">
        <v>1395</v>
      </c>
      <c r="B145" s="124"/>
      <c r="C145" s="123" t="s">
        <v>3633</v>
      </c>
      <c r="D145" s="124">
        <v>12</v>
      </c>
      <c r="E145" s="124" t="s">
        <v>176</v>
      </c>
      <c r="F145" s="125">
        <v>500000</v>
      </c>
      <c r="G145" s="125">
        <f>ROUNDDOWN(D145*F145,-3)</f>
        <v>6000000</v>
      </c>
      <c r="H145" s="154" t="b">
        <f t="shared" si="3"/>
        <v>1</v>
      </c>
    </row>
    <row r="146" spans="1:8" ht="14.25" x14ac:dyDescent="0.2">
      <c r="A146" s="7" t="s">
        <v>1397</v>
      </c>
      <c r="B146" s="60">
        <v>524111</v>
      </c>
      <c r="C146" s="41" t="s">
        <v>19</v>
      </c>
      <c r="D146" s="60"/>
      <c r="E146" s="60"/>
      <c r="F146" s="42"/>
      <c r="G146" s="42">
        <f>G147</f>
        <v>18000000</v>
      </c>
      <c r="H146" s="154" t="b">
        <f t="shared" si="3"/>
        <v>1</v>
      </c>
    </row>
    <row r="147" spans="1:8" ht="14.25" x14ac:dyDescent="0.2">
      <c r="A147" s="7" t="s">
        <v>1398</v>
      </c>
      <c r="B147" s="124"/>
      <c r="C147" s="123" t="s">
        <v>3634</v>
      </c>
      <c r="D147" s="124">
        <v>6</v>
      </c>
      <c r="E147" s="124" t="s">
        <v>10</v>
      </c>
      <c r="F147" s="125">
        <v>3000000</v>
      </c>
      <c r="G147" s="125">
        <f>ROUNDDOWN(D147*F147,-3)</f>
        <v>18000000</v>
      </c>
      <c r="H147" s="154" t="b">
        <f t="shared" si="3"/>
        <v>1</v>
      </c>
    </row>
    <row r="148" spans="1:8" ht="14.25" x14ac:dyDescent="0.2">
      <c r="A148" s="7" t="s">
        <v>1400</v>
      </c>
      <c r="B148" s="60">
        <v>524113</v>
      </c>
      <c r="C148" s="41" t="s">
        <v>13</v>
      </c>
      <c r="D148" s="60"/>
      <c r="E148" s="60"/>
      <c r="F148" s="42"/>
      <c r="G148" s="42">
        <f>G149</f>
        <v>2100000</v>
      </c>
      <c r="H148" s="154" t="b">
        <f t="shared" si="3"/>
        <v>1</v>
      </c>
    </row>
    <row r="149" spans="1:8" ht="14.25" x14ac:dyDescent="0.2">
      <c r="A149" s="7" t="s">
        <v>1401</v>
      </c>
      <c r="B149" s="124"/>
      <c r="C149" s="123" t="s">
        <v>3635</v>
      </c>
      <c r="D149" s="124">
        <v>14</v>
      </c>
      <c r="E149" s="124" t="s">
        <v>10</v>
      </c>
      <c r="F149" s="125">
        <v>150000</v>
      </c>
      <c r="G149" s="125">
        <f>ROUNDDOWN(D149*F149,-3)</f>
        <v>2100000</v>
      </c>
      <c r="H149" s="154" t="b">
        <f t="shared" si="3"/>
        <v>1</v>
      </c>
    </row>
    <row r="150" spans="1:8" ht="14.25" x14ac:dyDescent="0.2">
      <c r="A150" s="7" t="s">
        <v>1403</v>
      </c>
      <c r="B150" s="59" t="s">
        <v>511</v>
      </c>
      <c r="C150" s="38" t="s">
        <v>150</v>
      </c>
      <c r="D150" s="59"/>
      <c r="E150" s="59"/>
      <c r="F150" s="39"/>
      <c r="G150" s="39">
        <f>SUM(G151,G154,G156,G158)</f>
        <v>571380000</v>
      </c>
      <c r="H150" s="154" t="b">
        <f t="shared" si="3"/>
        <v>1</v>
      </c>
    </row>
    <row r="151" spans="1:8" ht="14.25" x14ac:dyDescent="0.2">
      <c r="A151" s="7" t="s">
        <v>1404</v>
      </c>
      <c r="B151" s="60">
        <v>521211</v>
      </c>
      <c r="C151" s="41" t="s">
        <v>7</v>
      </c>
      <c r="D151" s="60"/>
      <c r="E151" s="60"/>
      <c r="F151" s="42"/>
      <c r="G151" s="42">
        <f>SUM(G152:G153)</f>
        <v>10000000</v>
      </c>
      <c r="H151" s="154" t="b">
        <f t="shared" si="3"/>
        <v>1</v>
      </c>
    </row>
    <row r="152" spans="1:8" ht="14.25" x14ac:dyDescent="0.2">
      <c r="A152" s="7" t="s">
        <v>1405</v>
      </c>
      <c r="B152" s="124"/>
      <c r="C152" s="123" t="s">
        <v>3595</v>
      </c>
      <c r="D152" s="124">
        <v>4</v>
      </c>
      <c r="E152" s="124" t="s">
        <v>9</v>
      </c>
      <c r="F152" s="125">
        <v>1500000</v>
      </c>
      <c r="G152" s="125">
        <f>ROUNDDOWN(D152*F152,-3)</f>
        <v>6000000</v>
      </c>
      <c r="H152" s="154" t="b">
        <f t="shared" si="3"/>
        <v>1</v>
      </c>
    </row>
    <row r="153" spans="1:8" ht="14.25" x14ac:dyDescent="0.2">
      <c r="A153" s="7" t="s">
        <v>1406</v>
      </c>
      <c r="B153" s="124"/>
      <c r="C153" s="123" t="s">
        <v>3596</v>
      </c>
      <c r="D153" s="124">
        <v>4</v>
      </c>
      <c r="E153" s="124" t="s">
        <v>9</v>
      </c>
      <c r="F153" s="125">
        <v>1000000</v>
      </c>
      <c r="G153" s="125">
        <f>ROUNDDOWN(D153*F153,-3)</f>
        <v>4000000</v>
      </c>
      <c r="H153" s="154" t="b">
        <f t="shared" si="3"/>
        <v>1</v>
      </c>
    </row>
    <row r="154" spans="1:8" ht="14.25" x14ac:dyDescent="0.2">
      <c r="A154" s="7" t="s">
        <v>1407</v>
      </c>
      <c r="B154" s="60">
        <v>521219</v>
      </c>
      <c r="C154" s="41" t="s">
        <v>53</v>
      </c>
      <c r="D154" s="60"/>
      <c r="E154" s="60"/>
      <c r="F154" s="42"/>
      <c r="G154" s="42">
        <f>G155</f>
        <v>7800000</v>
      </c>
      <c r="H154" s="154" t="b">
        <f t="shared" si="3"/>
        <v>1</v>
      </c>
    </row>
    <row r="155" spans="1:8" ht="14.25" x14ac:dyDescent="0.2">
      <c r="A155" s="7" t="s">
        <v>1408</v>
      </c>
      <c r="B155" s="124"/>
      <c r="C155" s="123" t="s">
        <v>3610</v>
      </c>
      <c r="D155" s="124">
        <v>12</v>
      </c>
      <c r="E155" s="124" t="s">
        <v>66</v>
      </c>
      <c r="F155" s="125">
        <v>650000</v>
      </c>
      <c r="G155" s="125">
        <f>ROUNDDOWN(D155*F155,-3)</f>
        <v>7800000</v>
      </c>
      <c r="H155" s="154" t="b">
        <f t="shared" si="3"/>
        <v>1</v>
      </c>
    </row>
    <row r="156" spans="1:8" ht="14.25" x14ac:dyDescent="0.2">
      <c r="A156" s="7" t="s">
        <v>1409</v>
      </c>
      <c r="B156" s="60">
        <v>522192</v>
      </c>
      <c r="C156" s="41" t="s">
        <v>24</v>
      </c>
      <c r="D156" s="60"/>
      <c r="E156" s="60"/>
      <c r="F156" s="42"/>
      <c r="G156" s="42">
        <f>G157</f>
        <v>39080000</v>
      </c>
      <c r="H156" s="154" t="b">
        <f t="shared" si="3"/>
        <v>1</v>
      </c>
    </row>
    <row r="157" spans="1:8" ht="14.25" x14ac:dyDescent="0.2">
      <c r="A157" s="7" t="s">
        <v>1410</v>
      </c>
      <c r="B157" s="124"/>
      <c r="C157" s="123" t="s">
        <v>3636</v>
      </c>
      <c r="D157" s="124">
        <v>80</v>
      </c>
      <c r="E157" s="124" t="s">
        <v>25</v>
      </c>
      <c r="F157" s="125">
        <v>488500</v>
      </c>
      <c r="G157" s="125">
        <f>ROUNDDOWN(D157*F157,-3)</f>
        <v>39080000</v>
      </c>
      <c r="H157" s="154" t="b">
        <f t="shared" si="3"/>
        <v>1</v>
      </c>
    </row>
    <row r="158" spans="1:8" ht="14.25" x14ac:dyDescent="0.2">
      <c r="A158" s="7" t="s">
        <v>1412</v>
      </c>
      <c r="B158" s="60">
        <v>524111</v>
      </c>
      <c r="C158" s="41" t="s">
        <v>19</v>
      </c>
      <c r="D158" s="60"/>
      <c r="E158" s="60"/>
      <c r="F158" s="42"/>
      <c r="G158" s="42">
        <f>SUM(G159:G160)</f>
        <v>514500000</v>
      </c>
      <c r="H158" s="154" t="b">
        <f t="shared" si="3"/>
        <v>1</v>
      </c>
    </row>
    <row r="159" spans="1:8" ht="14.25" x14ac:dyDescent="0.2">
      <c r="A159" s="7" t="s">
        <v>1413</v>
      </c>
      <c r="B159" s="124"/>
      <c r="C159" s="123" t="s">
        <v>3637</v>
      </c>
      <c r="D159" s="124">
        <v>55</v>
      </c>
      <c r="E159" s="124" t="s">
        <v>10</v>
      </c>
      <c r="F159" s="125">
        <v>6075000</v>
      </c>
      <c r="G159" s="125">
        <f>ROUNDDOWN(D159*F159,-3)</f>
        <v>334125000</v>
      </c>
      <c r="H159" s="154" t="b">
        <f t="shared" si="3"/>
        <v>1</v>
      </c>
    </row>
    <row r="160" spans="1:8" ht="25.5" x14ac:dyDescent="0.2">
      <c r="A160" s="7" t="s">
        <v>1415</v>
      </c>
      <c r="B160" s="124"/>
      <c r="C160" s="123" t="s">
        <v>3638</v>
      </c>
      <c r="D160" s="124">
        <v>30</v>
      </c>
      <c r="E160" s="124" t="s">
        <v>776</v>
      </c>
      <c r="F160" s="125">
        <v>6012500</v>
      </c>
      <c r="G160" s="125">
        <f>ROUNDDOWN(D160*F160,-3)</f>
        <v>180375000</v>
      </c>
      <c r="H160" s="154" t="b">
        <f t="shared" si="3"/>
        <v>1</v>
      </c>
    </row>
    <row r="161" spans="1:8" ht="25.5" x14ac:dyDescent="0.2">
      <c r="A161" s="7" t="s">
        <v>1417</v>
      </c>
      <c r="B161" s="59" t="s">
        <v>512</v>
      </c>
      <c r="C161" s="38" t="s">
        <v>1418</v>
      </c>
      <c r="D161" s="59"/>
      <c r="E161" s="59"/>
      <c r="F161" s="39"/>
      <c r="G161" s="39">
        <f>SUM(G162,G168,G170,G172)</f>
        <v>83500000</v>
      </c>
      <c r="H161" s="154" t="b">
        <f t="shared" si="3"/>
        <v>1</v>
      </c>
    </row>
    <row r="162" spans="1:8" ht="14.25" x14ac:dyDescent="0.2">
      <c r="A162" s="7" t="s">
        <v>1419</v>
      </c>
      <c r="B162" s="60">
        <v>521211</v>
      </c>
      <c r="C162" s="41" t="s">
        <v>7</v>
      </c>
      <c r="D162" s="60"/>
      <c r="E162" s="60"/>
      <c r="F162" s="42"/>
      <c r="G162" s="42">
        <f>SUM(G163:G167)</f>
        <v>46000000</v>
      </c>
      <c r="H162" s="154" t="b">
        <f t="shared" si="3"/>
        <v>1</v>
      </c>
    </row>
    <row r="163" spans="1:8" ht="14.25" x14ac:dyDescent="0.2">
      <c r="A163" s="7" t="s">
        <v>1420</v>
      </c>
      <c r="B163" s="124"/>
      <c r="C163" s="123" t="s">
        <v>3639</v>
      </c>
      <c r="D163" s="124">
        <v>500</v>
      </c>
      <c r="E163" s="124" t="s">
        <v>1422</v>
      </c>
      <c r="F163" s="125">
        <v>36000</v>
      </c>
      <c r="G163" s="125">
        <f>ROUNDDOWN(D163*F163,-3)</f>
        <v>18000000</v>
      </c>
      <c r="H163" s="154" t="b">
        <f t="shared" si="3"/>
        <v>1</v>
      </c>
    </row>
    <row r="164" spans="1:8" ht="14.25" x14ac:dyDescent="0.2">
      <c r="A164" s="7" t="s">
        <v>1423</v>
      </c>
      <c r="B164" s="124"/>
      <c r="C164" s="123" t="s">
        <v>3602</v>
      </c>
      <c r="D164" s="124">
        <v>4</v>
      </c>
      <c r="E164" s="124" t="s">
        <v>9</v>
      </c>
      <c r="F164" s="125">
        <v>1500000</v>
      </c>
      <c r="G164" s="125">
        <f>ROUNDDOWN(D164*F164,-3)</f>
        <v>6000000</v>
      </c>
      <c r="H164" s="154" t="b">
        <f t="shared" si="3"/>
        <v>1</v>
      </c>
    </row>
    <row r="165" spans="1:8" ht="14.25" x14ac:dyDescent="0.2">
      <c r="A165" s="7" t="s">
        <v>1424</v>
      </c>
      <c r="B165" s="124"/>
      <c r="C165" s="123" t="s">
        <v>3588</v>
      </c>
      <c r="D165" s="124">
        <v>4</v>
      </c>
      <c r="E165" s="124" t="s">
        <v>9</v>
      </c>
      <c r="F165" s="125">
        <v>1000000</v>
      </c>
      <c r="G165" s="125">
        <f>ROUNDDOWN(D165*F165,-3)</f>
        <v>4000000</v>
      </c>
      <c r="H165" s="154" t="b">
        <f t="shared" si="3"/>
        <v>1</v>
      </c>
    </row>
    <row r="166" spans="1:8" ht="14.25" x14ac:dyDescent="0.2">
      <c r="A166" s="7" t="s">
        <v>1425</v>
      </c>
      <c r="B166" s="124"/>
      <c r="C166" s="123" t="s">
        <v>3589</v>
      </c>
      <c r="D166" s="124">
        <v>4</v>
      </c>
      <c r="E166" s="124" t="s">
        <v>9</v>
      </c>
      <c r="F166" s="125">
        <v>1500000</v>
      </c>
      <c r="G166" s="125">
        <f>ROUNDDOWN(D166*F166,-3)</f>
        <v>6000000</v>
      </c>
      <c r="H166" s="154" t="b">
        <f t="shared" si="3"/>
        <v>1</v>
      </c>
    </row>
    <row r="167" spans="1:8" ht="14.25" x14ac:dyDescent="0.2">
      <c r="A167" s="7" t="s">
        <v>1426</v>
      </c>
      <c r="B167" s="124"/>
      <c r="C167" s="123" t="s">
        <v>3640</v>
      </c>
      <c r="D167" s="124">
        <v>24</v>
      </c>
      <c r="E167" s="124" t="s">
        <v>176</v>
      </c>
      <c r="F167" s="125">
        <v>500000</v>
      </c>
      <c r="G167" s="125">
        <f>ROUNDDOWN(D167*F167,-3)</f>
        <v>12000000</v>
      </c>
      <c r="H167" s="154" t="b">
        <f t="shared" si="3"/>
        <v>1</v>
      </c>
    </row>
    <row r="168" spans="1:8" ht="14.25" x14ac:dyDescent="0.2">
      <c r="A168" s="7" t="s">
        <v>1428</v>
      </c>
      <c r="B168" s="60">
        <v>522141</v>
      </c>
      <c r="C168" s="41" t="s">
        <v>95</v>
      </c>
      <c r="D168" s="60"/>
      <c r="E168" s="60"/>
      <c r="F168" s="42"/>
      <c r="G168" s="42">
        <f>G169</f>
        <v>6000000</v>
      </c>
      <c r="H168" s="154" t="b">
        <f t="shared" si="3"/>
        <v>1</v>
      </c>
    </row>
    <row r="169" spans="1:8" ht="14.25" x14ac:dyDescent="0.2">
      <c r="A169" s="7" t="s">
        <v>1429</v>
      </c>
      <c r="B169" s="124"/>
      <c r="C169" s="123" t="s">
        <v>3641</v>
      </c>
      <c r="D169" s="124">
        <v>4</v>
      </c>
      <c r="E169" s="124" t="s">
        <v>149</v>
      </c>
      <c r="F169" s="125">
        <v>1500000</v>
      </c>
      <c r="G169" s="125">
        <f>ROUNDDOWN(D169*F169,-3)</f>
        <v>6000000</v>
      </c>
      <c r="H169" s="154" t="b">
        <f t="shared" si="3"/>
        <v>1</v>
      </c>
    </row>
    <row r="170" spans="1:8" ht="14.25" x14ac:dyDescent="0.2">
      <c r="A170" s="7" t="s">
        <v>1431</v>
      </c>
      <c r="B170" s="60">
        <v>524111</v>
      </c>
      <c r="C170" s="41" t="s">
        <v>19</v>
      </c>
      <c r="D170" s="60"/>
      <c r="E170" s="60"/>
      <c r="F170" s="42"/>
      <c r="G170" s="42">
        <f>G171</f>
        <v>27000000</v>
      </c>
      <c r="H170" s="154" t="b">
        <f t="shared" si="3"/>
        <v>1</v>
      </c>
    </row>
    <row r="171" spans="1:8" ht="25.5" x14ac:dyDescent="0.2">
      <c r="A171" s="7" t="s">
        <v>1432</v>
      </c>
      <c r="B171" s="124"/>
      <c r="C171" s="123" t="s">
        <v>3642</v>
      </c>
      <c r="D171" s="124">
        <v>9</v>
      </c>
      <c r="E171" s="124" t="s">
        <v>10</v>
      </c>
      <c r="F171" s="125">
        <v>3000000</v>
      </c>
      <c r="G171" s="125">
        <f>ROUNDDOWN(D171*F171,-3)</f>
        <v>27000000</v>
      </c>
      <c r="H171" s="154" t="b">
        <f t="shared" si="3"/>
        <v>1</v>
      </c>
    </row>
    <row r="172" spans="1:8" ht="14.25" x14ac:dyDescent="0.2">
      <c r="A172" s="7" t="s">
        <v>1434</v>
      </c>
      <c r="B172" s="60">
        <v>524113</v>
      </c>
      <c r="C172" s="41" t="s">
        <v>13</v>
      </c>
      <c r="D172" s="60"/>
      <c r="E172" s="60"/>
      <c r="F172" s="42"/>
      <c r="G172" s="42">
        <f>G173</f>
        <v>4500000</v>
      </c>
      <c r="H172" s="154" t="b">
        <f t="shared" si="3"/>
        <v>1</v>
      </c>
    </row>
    <row r="173" spans="1:8" ht="14.25" x14ac:dyDescent="0.2">
      <c r="A173" s="7" t="s">
        <v>1435</v>
      </c>
      <c r="B173" s="124"/>
      <c r="C173" s="123" t="s">
        <v>3643</v>
      </c>
      <c r="D173" s="124">
        <v>30</v>
      </c>
      <c r="E173" s="124" t="s">
        <v>10</v>
      </c>
      <c r="F173" s="125">
        <v>150000</v>
      </c>
      <c r="G173" s="125">
        <f>ROUNDDOWN(D173*F173,-3)</f>
        <v>4500000</v>
      </c>
      <c r="H173" s="154" t="b">
        <f t="shared" si="3"/>
        <v>1</v>
      </c>
    </row>
    <row r="174" spans="1:8" ht="25.5" x14ac:dyDescent="0.2">
      <c r="A174" s="7" t="s">
        <v>1437</v>
      </c>
      <c r="B174" s="59" t="s">
        <v>514</v>
      </c>
      <c r="C174" s="38" t="s">
        <v>151</v>
      </c>
      <c r="D174" s="59"/>
      <c r="E174" s="59"/>
      <c r="F174" s="39"/>
      <c r="G174" s="39">
        <f>SUM(G175,G180,G182)</f>
        <v>101050000</v>
      </c>
      <c r="H174" s="154" t="b">
        <f t="shared" si="3"/>
        <v>1</v>
      </c>
    </row>
    <row r="175" spans="1:8" ht="14.25" x14ac:dyDescent="0.2">
      <c r="A175" s="7" t="s">
        <v>1438</v>
      </c>
      <c r="B175" s="60">
        <v>521211</v>
      </c>
      <c r="C175" s="41" t="s">
        <v>7</v>
      </c>
      <c r="D175" s="60"/>
      <c r="E175" s="60"/>
      <c r="F175" s="42"/>
      <c r="G175" s="42">
        <f>SUM(G176:G179)</f>
        <v>28000000</v>
      </c>
      <c r="H175" s="154" t="b">
        <f t="shared" si="3"/>
        <v>1</v>
      </c>
    </row>
    <row r="176" spans="1:8" ht="14.25" x14ac:dyDescent="0.2">
      <c r="A176" s="7" t="s">
        <v>1439</v>
      </c>
      <c r="B176" s="124"/>
      <c r="C176" s="123" t="s">
        <v>3595</v>
      </c>
      <c r="D176" s="124">
        <v>4</v>
      </c>
      <c r="E176" s="124" t="s">
        <v>9</v>
      </c>
      <c r="F176" s="125">
        <v>1000000</v>
      </c>
      <c r="G176" s="125">
        <f>ROUNDDOWN(D176*F176,-3)</f>
        <v>4000000</v>
      </c>
      <c r="H176" s="154" t="b">
        <f t="shared" si="3"/>
        <v>1</v>
      </c>
    </row>
    <row r="177" spans="1:8" ht="14.25" x14ac:dyDescent="0.2">
      <c r="A177" s="7" t="s">
        <v>1440</v>
      </c>
      <c r="B177" s="124"/>
      <c r="C177" s="123" t="s">
        <v>3596</v>
      </c>
      <c r="D177" s="124">
        <v>4</v>
      </c>
      <c r="E177" s="124" t="s">
        <v>9</v>
      </c>
      <c r="F177" s="125">
        <v>1500000</v>
      </c>
      <c r="G177" s="125">
        <f>ROUNDDOWN(D177*F177,-3)</f>
        <v>6000000</v>
      </c>
      <c r="H177" s="154" t="b">
        <f t="shared" si="3"/>
        <v>1</v>
      </c>
    </row>
    <row r="178" spans="1:8" ht="14.25" x14ac:dyDescent="0.2">
      <c r="A178" s="7" t="s">
        <v>1441</v>
      </c>
      <c r="B178" s="124"/>
      <c r="C178" s="123" t="s">
        <v>3597</v>
      </c>
      <c r="D178" s="124">
        <v>4</v>
      </c>
      <c r="E178" s="124" t="s">
        <v>9</v>
      </c>
      <c r="F178" s="125">
        <v>1500000</v>
      </c>
      <c r="G178" s="125">
        <f>ROUNDDOWN(D178*F178,-3)</f>
        <v>6000000</v>
      </c>
      <c r="H178" s="154" t="b">
        <f t="shared" si="3"/>
        <v>1</v>
      </c>
    </row>
    <row r="179" spans="1:8" ht="14.25" x14ac:dyDescent="0.2">
      <c r="A179" s="7" t="s">
        <v>1442</v>
      </c>
      <c r="B179" s="124"/>
      <c r="C179" s="123" t="s">
        <v>3644</v>
      </c>
      <c r="D179" s="124">
        <v>24</v>
      </c>
      <c r="E179" s="124" t="s">
        <v>176</v>
      </c>
      <c r="F179" s="125">
        <v>500000</v>
      </c>
      <c r="G179" s="125">
        <f>ROUNDDOWN(D179*F179,-3)</f>
        <v>12000000</v>
      </c>
      <c r="H179" s="154" t="b">
        <f t="shared" si="3"/>
        <v>1</v>
      </c>
    </row>
    <row r="180" spans="1:8" ht="14.25" x14ac:dyDescent="0.2">
      <c r="A180" s="7" t="s">
        <v>1443</v>
      </c>
      <c r="B180" s="60">
        <v>524111</v>
      </c>
      <c r="C180" s="41" t="s">
        <v>19</v>
      </c>
      <c r="D180" s="60"/>
      <c r="E180" s="60"/>
      <c r="F180" s="42"/>
      <c r="G180" s="42">
        <f>G181</f>
        <v>71250000</v>
      </c>
      <c r="H180" s="154" t="b">
        <f t="shared" si="3"/>
        <v>1</v>
      </c>
    </row>
    <row r="181" spans="1:8" ht="25.5" x14ac:dyDescent="0.2">
      <c r="A181" s="7" t="s">
        <v>1444</v>
      </c>
      <c r="B181" s="124"/>
      <c r="C181" s="123" t="s">
        <v>3645</v>
      </c>
      <c r="D181" s="124">
        <v>15</v>
      </c>
      <c r="E181" s="124" t="s">
        <v>10</v>
      </c>
      <c r="F181" s="125">
        <v>4750000</v>
      </c>
      <c r="G181" s="125">
        <f>ROUNDDOWN(D181*F181,-3)</f>
        <v>71250000</v>
      </c>
      <c r="H181" s="154" t="b">
        <f t="shared" si="3"/>
        <v>1</v>
      </c>
    </row>
    <row r="182" spans="1:8" ht="14.25" x14ac:dyDescent="0.2">
      <c r="A182" s="7" t="s">
        <v>1446</v>
      </c>
      <c r="B182" s="60">
        <v>524113</v>
      </c>
      <c r="C182" s="41" t="s">
        <v>13</v>
      </c>
      <c r="D182" s="60"/>
      <c r="E182" s="60"/>
      <c r="F182" s="42"/>
      <c r="G182" s="42">
        <f>G183</f>
        <v>1800000</v>
      </c>
      <c r="H182" s="154" t="b">
        <f t="shared" si="3"/>
        <v>1</v>
      </c>
    </row>
    <row r="183" spans="1:8" ht="14.25" x14ac:dyDescent="0.2">
      <c r="A183" s="7" t="s">
        <v>1447</v>
      </c>
      <c r="B183" s="124"/>
      <c r="C183" s="123" t="s">
        <v>3643</v>
      </c>
      <c r="D183" s="124">
        <v>12</v>
      </c>
      <c r="E183" s="124" t="s">
        <v>10</v>
      </c>
      <c r="F183" s="125">
        <v>150000</v>
      </c>
      <c r="G183" s="125">
        <f>ROUNDDOWN(D183*F183,-3)</f>
        <v>1800000</v>
      </c>
      <c r="H183" s="154" t="b">
        <f t="shared" si="3"/>
        <v>1</v>
      </c>
    </row>
    <row r="184" spans="1:8" ht="14.25" x14ac:dyDescent="0.2">
      <c r="A184" s="7" t="s">
        <v>1448</v>
      </c>
      <c r="B184" s="59" t="s">
        <v>519</v>
      </c>
      <c r="C184" s="38" t="s">
        <v>152</v>
      </c>
      <c r="D184" s="59"/>
      <c r="E184" s="59"/>
      <c r="F184" s="39"/>
      <c r="G184" s="39">
        <f>SUM(G185,G190,G194,G196,G198)</f>
        <v>388472000</v>
      </c>
      <c r="H184" s="154" t="b">
        <f t="shared" si="3"/>
        <v>1</v>
      </c>
    </row>
    <row r="185" spans="1:8" ht="14.25" x14ac:dyDescent="0.2">
      <c r="A185" s="7" t="s">
        <v>1449</v>
      </c>
      <c r="B185" s="60">
        <v>521211</v>
      </c>
      <c r="C185" s="41" t="s">
        <v>7</v>
      </c>
      <c r="D185" s="60"/>
      <c r="E185" s="60"/>
      <c r="F185" s="42"/>
      <c r="G185" s="42">
        <f>SUM(G186:G189)</f>
        <v>46000000</v>
      </c>
      <c r="H185" s="154" t="b">
        <f t="shared" si="3"/>
        <v>1</v>
      </c>
    </row>
    <row r="186" spans="1:8" ht="14.25" x14ac:dyDescent="0.2">
      <c r="A186" s="7" t="s">
        <v>1450</v>
      </c>
      <c r="B186" s="124"/>
      <c r="C186" s="123" t="s">
        <v>3587</v>
      </c>
      <c r="D186" s="124">
        <v>4</v>
      </c>
      <c r="E186" s="124" t="s">
        <v>9</v>
      </c>
      <c r="F186" s="125">
        <v>1500000</v>
      </c>
      <c r="G186" s="125">
        <f>ROUNDDOWN(D186*F186,-3)</f>
        <v>6000000</v>
      </c>
      <c r="H186" s="154" t="b">
        <f t="shared" si="3"/>
        <v>1</v>
      </c>
    </row>
    <row r="187" spans="1:8" ht="14.25" x14ac:dyDescent="0.2">
      <c r="A187" s="7" t="s">
        <v>1451</v>
      </c>
      <c r="B187" s="124"/>
      <c r="C187" s="123" t="s">
        <v>3598</v>
      </c>
      <c r="D187" s="124">
        <v>4</v>
      </c>
      <c r="E187" s="124" t="s">
        <v>9</v>
      </c>
      <c r="F187" s="125">
        <v>1000000</v>
      </c>
      <c r="G187" s="125">
        <f>ROUNDDOWN(D187*F187,-3)</f>
        <v>4000000</v>
      </c>
      <c r="H187" s="154" t="b">
        <f t="shared" si="3"/>
        <v>1</v>
      </c>
    </row>
    <row r="188" spans="1:8" ht="14.25" x14ac:dyDescent="0.2">
      <c r="A188" s="7" t="s">
        <v>1452</v>
      </c>
      <c r="B188" s="124"/>
      <c r="C188" s="123" t="s">
        <v>3599</v>
      </c>
      <c r="D188" s="124">
        <v>4</v>
      </c>
      <c r="E188" s="124" t="s">
        <v>9</v>
      </c>
      <c r="F188" s="125">
        <v>1500000</v>
      </c>
      <c r="G188" s="125">
        <f>ROUNDDOWN(D188*F188,-3)</f>
        <v>6000000</v>
      </c>
      <c r="H188" s="154" t="b">
        <f t="shared" si="3"/>
        <v>1</v>
      </c>
    </row>
    <row r="189" spans="1:8" ht="25.5" x14ac:dyDescent="0.2">
      <c r="A189" s="7" t="s">
        <v>1453</v>
      </c>
      <c r="B189" s="124"/>
      <c r="C189" s="123" t="s">
        <v>3646</v>
      </c>
      <c r="D189" s="124">
        <v>60</v>
      </c>
      <c r="E189" s="124" t="s">
        <v>176</v>
      </c>
      <c r="F189" s="125">
        <v>500000</v>
      </c>
      <c r="G189" s="125">
        <f>ROUNDDOWN(D189*F189,-3)</f>
        <v>30000000</v>
      </c>
      <c r="H189" s="154" t="b">
        <f t="shared" si="3"/>
        <v>1</v>
      </c>
    </row>
    <row r="190" spans="1:8" ht="25.5" x14ac:dyDescent="0.2">
      <c r="A190" s="7" t="s">
        <v>1455</v>
      </c>
      <c r="B190" s="60">
        <v>521241</v>
      </c>
      <c r="C190" s="41" t="s">
        <v>642</v>
      </c>
      <c r="D190" s="60"/>
      <c r="E190" s="60"/>
      <c r="F190" s="42"/>
      <c r="G190" s="42">
        <f>SUM(G191:G193)</f>
        <v>249600000</v>
      </c>
      <c r="H190" s="154" t="b">
        <f t="shared" si="3"/>
        <v>1</v>
      </c>
    </row>
    <row r="191" spans="1:8" ht="14.25" x14ac:dyDescent="0.2">
      <c r="A191" s="7" t="s">
        <v>1456</v>
      </c>
      <c r="B191" s="124"/>
      <c r="C191" s="123" t="s">
        <v>3647</v>
      </c>
      <c r="D191" s="124">
        <v>720</v>
      </c>
      <c r="E191" s="124" t="s">
        <v>32</v>
      </c>
      <c r="F191" s="125">
        <v>200000</v>
      </c>
      <c r="G191" s="125">
        <f>ROUNDDOWN(D191*F191,-3)</f>
        <v>144000000</v>
      </c>
      <c r="H191" s="154" t="b">
        <f t="shared" si="3"/>
        <v>1</v>
      </c>
    </row>
    <row r="192" spans="1:8" ht="25.5" x14ac:dyDescent="0.2">
      <c r="A192" s="7" t="s">
        <v>1458</v>
      </c>
      <c r="B192" s="124"/>
      <c r="C192" s="123" t="s">
        <v>3648</v>
      </c>
      <c r="D192" s="124">
        <v>360</v>
      </c>
      <c r="E192" s="124" t="s">
        <v>776</v>
      </c>
      <c r="F192" s="125">
        <v>280000</v>
      </c>
      <c r="G192" s="125">
        <f>ROUNDDOWN(D192*F192,-3)</f>
        <v>100800000</v>
      </c>
      <c r="H192" s="154" t="b">
        <f t="shared" si="3"/>
        <v>1</v>
      </c>
    </row>
    <row r="193" spans="1:8" ht="14.25" x14ac:dyDescent="0.2">
      <c r="A193" s="7" t="s">
        <v>1460</v>
      </c>
      <c r="B193" s="124"/>
      <c r="C193" s="123" t="s">
        <v>3649</v>
      </c>
      <c r="D193" s="124">
        <v>12</v>
      </c>
      <c r="E193" s="124" t="s">
        <v>32</v>
      </c>
      <c r="F193" s="125">
        <v>400000</v>
      </c>
      <c r="G193" s="125">
        <f>ROUNDDOWN(D193*F193,-3)</f>
        <v>4800000</v>
      </c>
      <c r="H193" s="154" t="b">
        <f t="shared" si="3"/>
        <v>1</v>
      </c>
    </row>
    <row r="194" spans="1:8" ht="14.25" x14ac:dyDescent="0.2">
      <c r="A194" s="7" t="s">
        <v>1462</v>
      </c>
      <c r="B194" s="60">
        <v>522192</v>
      </c>
      <c r="C194" s="41" t="s">
        <v>24</v>
      </c>
      <c r="D194" s="60"/>
      <c r="E194" s="60"/>
      <c r="F194" s="42"/>
      <c r="G194" s="42">
        <f>G195</f>
        <v>48000000</v>
      </c>
      <c r="H194" s="154" t="b">
        <f t="shared" si="3"/>
        <v>1</v>
      </c>
    </row>
    <row r="195" spans="1:8" ht="14.25" x14ac:dyDescent="0.2">
      <c r="A195" s="7" t="s">
        <v>1463</v>
      </c>
      <c r="B195" s="124"/>
      <c r="C195" s="123" t="s">
        <v>3636</v>
      </c>
      <c r="D195" s="124">
        <v>480</v>
      </c>
      <c r="E195" s="124" t="s">
        <v>25</v>
      </c>
      <c r="F195" s="125">
        <v>100000</v>
      </c>
      <c r="G195" s="125">
        <f>ROUNDDOWN(D195*F195,-3)</f>
        <v>48000000</v>
      </c>
      <c r="H195" s="154" t="b">
        <f t="shared" si="3"/>
        <v>1</v>
      </c>
    </row>
    <row r="196" spans="1:8" ht="14.25" x14ac:dyDescent="0.2">
      <c r="A196" s="7" t="s">
        <v>1464</v>
      </c>
      <c r="B196" s="60">
        <v>524111</v>
      </c>
      <c r="C196" s="41" t="s">
        <v>19</v>
      </c>
      <c r="D196" s="60"/>
      <c r="E196" s="60"/>
      <c r="F196" s="42"/>
      <c r="G196" s="42">
        <f>G197</f>
        <v>42772000</v>
      </c>
      <c r="H196" s="154" t="b">
        <f t="shared" si="3"/>
        <v>1</v>
      </c>
    </row>
    <row r="197" spans="1:8" ht="14.25" x14ac:dyDescent="0.2">
      <c r="A197" s="7" t="s">
        <v>1465</v>
      </c>
      <c r="B197" s="124"/>
      <c r="C197" s="123" t="s">
        <v>3650</v>
      </c>
      <c r="D197" s="124">
        <v>10</v>
      </c>
      <c r="E197" s="124" t="s">
        <v>10</v>
      </c>
      <c r="F197" s="125">
        <v>4277200</v>
      </c>
      <c r="G197" s="125">
        <f>ROUNDDOWN(D197*F197,-3)</f>
        <v>42772000</v>
      </c>
      <c r="H197" s="154" t="b">
        <f t="shared" si="3"/>
        <v>1</v>
      </c>
    </row>
    <row r="198" spans="1:8" ht="14.25" x14ac:dyDescent="0.2">
      <c r="A198" s="7" t="s">
        <v>1467</v>
      </c>
      <c r="B198" s="60">
        <v>524113</v>
      </c>
      <c r="C198" s="41" t="s">
        <v>13</v>
      </c>
      <c r="D198" s="60"/>
      <c r="E198" s="60"/>
      <c r="F198" s="42"/>
      <c r="G198" s="42">
        <f>G199</f>
        <v>2100000</v>
      </c>
      <c r="H198" s="154" t="b">
        <f t="shared" si="3"/>
        <v>1</v>
      </c>
    </row>
    <row r="199" spans="1:8" ht="14.25" x14ac:dyDescent="0.2">
      <c r="A199" s="7" t="s">
        <v>1468</v>
      </c>
      <c r="B199" s="124"/>
      <c r="C199" s="123" t="s">
        <v>3643</v>
      </c>
      <c r="D199" s="124">
        <v>14</v>
      </c>
      <c r="E199" s="124" t="s">
        <v>10</v>
      </c>
      <c r="F199" s="125">
        <v>150000</v>
      </c>
      <c r="G199" s="125">
        <f>ROUNDDOWN(D199*F199,-3)</f>
        <v>2100000</v>
      </c>
      <c r="H199" s="154" t="b">
        <f t="shared" si="3"/>
        <v>1</v>
      </c>
    </row>
    <row r="200" spans="1:8" ht="25.5" x14ac:dyDescent="0.2">
      <c r="A200" s="7" t="s">
        <v>1469</v>
      </c>
      <c r="B200" s="59" t="s">
        <v>578</v>
      </c>
      <c r="C200" s="38" t="s">
        <v>154</v>
      </c>
      <c r="D200" s="59"/>
      <c r="E200" s="59"/>
      <c r="F200" s="39"/>
      <c r="G200" s="39">
        <f>SUM(G201,G205,G210,G212,G214)</f>
        <v>450000000</v>
      </c>
      <c r="H200" s="154" t="b">
        <f t="shared" si="3"/>
        <v>1</v>
      </c>
    </row>
    <row r="201" spans="1:8" ht="14.25" x14ac:dyDescent="0.2">
      <c r="A201" s="7" t="s">
        <v>1470</v>
      </c>
      <c r="B201" s="60">
        <v>521211</v>
      </c>
      <c r="C201" s="41" t="s">
        <v>7</v>
      </c>
      <c r="D201" s="60"/>
      <c r="E201" s="60"/>
      <c r="F201" s="42"/>
      <c r="G201" s="42">
        <f>SUM(G202:G204)</f>
        <v>32000000</v>
      </c>
      <c r="H201" s="154" t="b">
        <f t="shared" si="3"/>
        <v>1</v>
      </c>
    </row>
    <row r="202" spans="1:8" ht="14.25" x14ac:dyDescent="0.2">
      <c r="A202" s="7" t="s">
        <v>1471</v>
      </c>
      <c r="B202" s="124"/>
      <c r="C202" s="123" t="s">
        <v>3587</v>
      </c>
      <c r="D202" s="124">
        <v>8</v>
      </c>
      <c r="E202" s="124" t="s">
        <v>9</v>
      </c>
      <c r="F202" s="125">
        <v>1500000</v>
      </c>
      <c r="G202" s="125">
        <f>ROUNDDOWN(D202*F202,-3)</f>
        <v>12000000</v>
      </c>
      <c r="H202" s="154" t="b">
        <f t="shared" si="3"/>
        <v>1</v>
      </c>
    </row>
    <row r="203" spans="1:8" ht="14.25" x14ac:dyDescent="0.2">
      <c r="A203" s="7" t="s">
        <v>1472</v>
      </c>
      <c r="B203" s="124"/>
      <c r="C203" s="123" t="s">
        <v>3598</v>
      </c>
      <c r="D203" s="124">
        <v>8</v>
      </c>
      <c r="E203" s="124" t="s">
        <v>9</v>
      </c>
      <c r="F203" s="125">
        <v>1000000</v>
      </c>
      <c r="G203" s="125">
        <f>ROUNDDOWN(D203*F203,-3)</f>
        <v>8000000</v>
      </c>
      <c r="H203" s="154" t="b">
        <f t="shared" si="3"/>
        <v>1</v>
      </c>
    </row>
    <row r="204" spans="1:8" ht="14.25" x14ac:dyDescent="0.2">
      <c r="A204" s="7" t="s">
        <v>1473</v>
      </c>
      <c r="B204" s="124"/>
      <c r="C204" s="123" t="s">
        <v>3599</v>
      </c>
      <c r="D204" s="124">
        <v>8</v>
      </c>
      <c r="E204" s="124" t="s">
        <v>9</v>
      </c>
      <c r="F204" s="125">
        <v>1500000</v>
      </c>
      <c r="G204" s="125">
        <f>ROUNDDOWN(D204*F204,-3)</f>
        <v>12000000</v>
      </c>
      <c r="H204" s="154" t="b">
        <f t="shared" si="3"/>
        <v>1</v>
      </c>
    </row>
    <row r="205" spans="1:8" ht="14.25" x14ac:dyDescent="0.2">
      <c r="A205" s="7" t="s">
        <v>1474</v>
      </c>
      <c r="B205" s="60">
        <v>521219</v>
      </c>
      <c r="C205" s="41" t="s">
        <v>53</v>
      </c>
      <c r="D205" s="60"/>
      <c r="E205" s="60"/>
      <c r="F205" s="42"/>
      <c r="G205" s="42">
        <f>SUM(G206:G209)</f>
        <v>298141000</v>
      </c>
      <c r="H205" s="154" t="b">
        <f t="shared" ref="H205:H268" si="4">_xlfn.ISFORMULA(G205)</f>
        <v>1</v>
      </c>
    </row>
    <row r="206" spans="1:8" ht="14.25" x14ac:dyDescent="0.2">
      <c r="A206" s="7" t="s">
        <v>1475</v>
      </c>
      <c r="B206" s="124"/>
      <c r="C206" s="123" t="s">
        <v>3651</v>
      </c>
      <c r="D206" s="124">
        <v>40</v>
      </c>
      <c r="E206" s="124" t="s">
        <v>10</v>
      </c>
      <c r="F206" s="125">
        <v>1000000</v>
      </c>
      <c r="G206" s="125">
        <f>ROUNDDOWN(D206*F206,-3)</f>
        <v>40000000</v>
      </c>
      <c r="H206" s="154" t="b">
        <f t="shared" si="4"/>
        <v>1</v>
      </c>
    </row>
    <row r="207" spans="1:8" ht="14.25" x14ac:dyDescent="0.2">
      <c r="A207" s="7" t="s">
        <v>1477</v>
      </c>
      <c r="B207" s="124"/>
      <c r="C207" s="123" t="s">
        <v>3652</v>
      </c>
      <c r="D207" s="124">
        <v>30</v>
      </c>
      <c r="E207" s="124" t="s">
        <v>776</v>
      </c>
      <c r="F207" s="125">
        <v>8000000</v>
      </c>
      <c r="G207" s="125">
        <f>ROUNDDOWN(D207*F207,-3)</f>
        <v>240000000</v>
      </c>
      <c r="H207" s="154" t="b">
        <f t="shared" si="4"/>
        <v>1</v>
      </c>
    </row>
    <row r="208" spans="1:8" ht="25.5" x14ac:dyDescent="0.2">
      <c r="A208" s="7" t="s">
        <v>1479</v>
      </c>
      <c r="B208" s="124"/>
      <c r="C208" s="123" t="s">
        <v>3653</v>
      </c>
      <c r="D208" s="124">
        <v>400</v>
      </c>
      <c r="E208" s="124" t="s">
        <v>10</v>
      </c>
      <c r="F208" s="125">
        <v>15000</v>
      </c>
      <c r="G208" s="125">
        <f>ROUNDDOWN(D208*F208,-3)</f>
        <v>6000000</v>
      </c>
      <c r="H208" s="154" t="b">
        <f t="shared" si="4"/>
        <v>1</v>
      </c>
    </row>
    <row r="209" spans="1:8" ht="14.25" x14ac:dyDescent="0.2">
      <c r="A209" s="7" t="s">
        <v>1481</v>
      </c>
      <c r="B209" s="124"/>
      <c r="C209" s="123" t="s">
        <v>3654</v>
      </c>
      <c r="D209" s="124">
        <v>1</v>
      </c>
      <c r="E209" s="124" t="s">
        <v>60</v>
      </c>
      <c r="F209" s="125">
        <v>12141000</v>
      </c>
      <c r="G209" s="125">
        <f>ROUNDDOWN(D209*F209,-3)</f>
        <v>12141000</v>
      </c>
      <c r="H209" s="154" t="b">
        <f t="shared" si="4"/>
        <v>1</v>
      </c>
    </row>
    <row r="210" spans="1:8" ht="14.25" x14ac:dyDescent="0.2">
      <c r="A210" s="7" t="s">
        <v>1483</v>
      </c>
      <c r="B210" s="60">
        <v>522151</v>
      </c>
      <c r="C210" s="41" t="s">
        <v>11</v>
      </c>
      <c r="D210" s="60"/>
      <c r="E210" s="60"/>
      <c r="F210" s="42"/>
      <c r="G210" s="42">
        <f>G211</f>
        <v>30000000</v>
      </c>
      <c r="H210" s="154" t="b">
        <f t="shared" si="4"/>
        <v>1</v>
      </c>
    </row>
    <row r="211" spans="1:8" ht="14.25" x14ac:dyDescent="0.2">
      <c r="A211" s="7" t="s">
        <v>1484</v>
      </c>
      <c r="B211" s="124"/>
      <c r="C211" s="123" t="s">
        <v>3603</v>
      </c>
      <c r="D211" s="124">
        <v>30</v>
      </c>
      <c r="E211" s="124" t="s">
        <v>54</v>
      </c>
      <c r="F211" s="125">
        <v>1000000</v>
      </c>
      <c r="G211" s="125">
        <f>ROUNDDOWN(D211*F211,-3)</f>
        <v>30000000</v>
      </c>
      <c r="H211" s="154" t="b">
        <f t="shared" si="4"/>
        <v>1</v>
      </c>
    </row>
    <row r="212" spans="1:8" ht="14.25" x14ac:dyDescent="0.2">
      <c r="A212" s="7" t="s">
        <v>1485</v>
      </c>
      <c r="B212" s="60">
        <v>522192</v>
      </c>
      <c r="C212" s="41" t="s">
        <v>24</v>
      </c>
      <c r="D212" s="60"/>
      <c r="E212" s="60"/>
      <c r="F212" s="42"/>
      <c r="G212" s="42">
        <f>G213</f>
        <v>8000000</v>
      </c>
      <c r="H212" s="154" t="b">
        <f t="shared" si="4"/>
        <v>1</v>
      </c>
    </row>
    <row r="213" spans="1:8" ht="14.25" x14ac:dyDescent="0.2">
      <c r="A213" s="7" t="s">
        <v>1486</v>
      </c>
      <c r="B213" s="124"/>
      <c r="C213" s="123" t="s">
        <v>3623</v>
      </c>
      <c r="D213" s="124">
        <v>1</v>
      </c>
      <c r="E213" s="124" t="s">
        <v>60</v>
      </c>
      <c r="F213" s="125">
        <v>8000000</v>
      </c>
      <c r="G213" s="125">
        <f>ROUNDDOWN(D213*F213,-3)</f>
        <v>8000000</v>
      </c>
      <c r="H213" s="154" t="b">
        <f t="shared" si="4"/>
        <v>1</v>
      </c>
    </row>
    <row r="214" spans="1:8" ht="14.25" x14ac:dyDescent="0.2">
      <c r="A214" s="7" t="s">
        <v>1487</v>
      </c>
      <c r="B214" s="60">
        <v>524111</v>
      </c>
      <c r="C214" s="41" t="s">
        <v>19</v>
      </c>
      <c r="D214" s="60"/>
      <c r="E214" s="60"/>
      <c r="F214" s="42"/>
      <c r="G214" s="42">
        <f>G215</f>
        <v>81859000</v>
      </c>
      <c r="H214" s="154" t="b">
        <f t="shared" si="4"/>
        <v>1</v>
      </c>
    </row>
    <row r="215" spans="1:8" ht="25.5" x14ac:dyDescent="0.2">
      <c r="A215" s="7" t="s">
        <v>1488</v>
      </c>
      <c r="B215" s="124"/>
      <c r="C215" s="123" t="s">
        <v>3655</v>
      </c>
      <c r="D215" s="124">
        <v>32</v>
      </c>
      <c r="E215" s="124" t="s">
        <v>10</v>
      </c>
      <c r="F215" s="125">
        <v>2558095</v>
      </c>
      <c r="G215" s="125">
        <f>ROUNDDOWN(D215*F215,-3)</f>
        <v>81859000</v>
      </c>
      <c r="H215" s="154" t="b">
        <f t="shared" si="4"/>
        <v>1</v>
      </c>
    </row>
    <row r="216" spans="1:8" ht="14.25" x14ac:dyDescent="0.2">
      <c r="A216" s="7" t="s">
        <v>1490</v>
      </c>
      <c r="B216" s="59" t="s">
        <v>579</v>
      </c>
      <c r="C216" s="38" t="s">
        <v>56</v>
      </c>
      <c r="D216" s="59"/>
      <c r="E216" s="59"/>
      <c r="F216" s="39"/>
      <c r="G216" s="39">
        <f>SUM(G217,G222,G224,G226)</f>
        <v>350000000</v>
      </c>
      <c r="H216" s="154" t="b">
        <f t="shared" si="4"/>
        <v>1</v>
      </c>
    </row>
    <row r="217" spans="1:8" ht="14.25" x14ac:dyDescent="0.2">
      <c r="A217" s="7" t="s">
        <v>1491</v>
      </c>
      <c r="B217" s="60">
        <v>521211</v>
      </c>
      <c r="C217" s="41" t="s">
        <v>7</v>
      </c>
      <c r="D217" s="60"/>
      <c r="E217" s="60"/>
      <c r="F217" s="42"/>
      <c r="G217" s="42">
        <f>SUM(G218:G221)</f>
        <v>31000000</v>
      </c>
      <c r="H217" s="154" t="b">
        <f t="shared" si="4"/>
        <v>1</v>
      </c>
    </row>
    <row r="218" spans="1:8" ht="14.25" x14ac:dyDescent="0.2">
      <c r="A218" s="7" t="s">
        <v>1492</v>
      </c>
      <c r="B218" s="124"/>
      <c r="C218" s="123" t="s">
        <v>3601</v>
      </c>
      <c r="D218" s="124">
        <v>300</v>
      </c>
      <c r="E218" s="124" t="s">
        <v>10</v>
      </c>
      <c r="F218" s="125">
        <v>75000</v>
      </c>
      <c r="G218" s="125">
        <f>ROUNDDOWN(D218*F218,-3)</f>
        <v>22500000</v>
      </c>
      <c r="H218" s="154" t="b">
        <f t="shared" si="4"/>
        <v>1</v>
      </c>
    </row>
    <row r="219" spans="1:8" ht="14.25" x14ac:dyDescent="0.2">
      <c r="A219" s="7" t="s">
        <v>1493</v>
      </c>
      <c r="B219" s="124"/>
      <c r="C219" s="123" t="s">
        <v>3602</v>
      </c>
      <c r="D219" s="124">
        <v>1</v>
      </c>
      <c r="E219" s="124" t="s">
        <v>9</v>
      </c>
      <c r="F219" s="125">
        <v>1000000</v>
      </c>
      <c r="G219" s="125">
        <f>ROUNDDOWN(D219*F219,-3)</f>
        <v>1000000</v>
      </c>
      <c r="H219" s="154" t="b">
        <f t="shared" si="4"/>
        <v>1</v>
      </c>
    </row>
    <row r="220" spans="1:8" ht="14.25" x14ac:dyDescent="0.2">
      <c r="A220" s="7" t="s">
        <v>1494</v>
      </c>
      <c r="B220" s="124"/>
      <c r="C220" s="123" t="s">
        <v>3588</v>
      </c>
      <c r="D220" s="124">
        <v>3</v>
      </c>
      <c r="E220" s="124" t="s">
        <v>9</v>
      </c>
      <c r="F220" s="125">
        <v>1000000</v>
      </c>
      <c r="G220" s="125">
        <f>ROUNDDOWN(D220*F220,-3)</f>
        <v>3000000</v>
      </c>
      <c r="H220" s="154" t="b">
        <f t="shared" si="4"/>
        <v>1</v>
      </c>
    </row>
    <row r="221" spans="1:8" ht="14.25" x14ac:dyDescent="0.2">
      <c r="A221" s="7" t="s">
        <v>1495</v>
      </c>
      <c r="B221" s="124"/>
      <c r="C221" s="123" t="s">
        <v>3589</v>
      </c>
      <c r="D221" s="124">
        <v>3</v>
      </c>
      <c r="E221" s="124" t="s">
        <v>9</v>
      </c>
      <c r="F221" s="125">
        <v>1500000</v>
      </c>
      <c r="G221" s="125">
        <f>ROUNDDOWN(D221*F221,-3)</f>
        <v>4500000</v>
      </c>
      <c r="H221" s="154" t="b">
        <f t="shared" si="4"/>
        <v>1</v>
      </c>
    </row>
    <row r="222" spans="1:8" ht="14.25" x14ac:dyDescent="0.2">
      <c r="A222" s="7" t="s">
        <v>1496</v>
      </c>
      <c r="B222" s="60">
        <v>521219</v>
      </c>
      <c r="C222" s="41" t="s">
        <v>53</v>
      </c>
      <c r="D222" s="60"/>
      <c r="E222" s="60"/>
      <c r="F222" s="42"/>
      <c r="G222" s="42">
        <f>G223</f>
        <v>3000000</v>
      </c>
      <c r="H222" s="154" t="b">
        <f t="shared" si="4"/>
        <v>1</v>
      </c>
    </row>
    <row r="223" spans="1:8" ht="14.25" x14ac:dyDescent="0.2">
      <c r="A223" s="7" t="s">
        <v>1497</v>
      </c>
      <c r="B223" s="124"/>
      <c r="C223" s="123" t="s">
        <v>3610</v>
      </c>
      <c r="D223" s="124">
        <v>12</v>
      </c>
      <c r="E223" s="124" t="s">
        <v>78</v>
      </c>
      <c r="F223" s="125">
        <v>250000</v>
      </c>
      <c r="G223" s="125">
        <f>ROUNDDOWN(D223*F223,-3)</f>
        <v>3000000</v>
      </c>
      <c r="H223" s="154" t="b">
        <f t="shared" si="4"/>
        <v>1</v>
      </c>
    </row>
    <row r="224" spans="1:8" ht="14.25" x14ac:dyDescent="0.2">
      <c r="A224" s="7" t="s">
        <v>1498</v>
      </c>
      <c r="B224" s="60">
        <v>522151</v>
      </c>
      <c r="C224" s="41" t="s">
        <v>11</v>
      </c>
      <c r="D224" s="60"/>
      <c r="E224" s="60"/>
      <c r="F224" s="42"/>
      <c r="G224" s="42">
        <f>G225</f>
        <v>70000000</v>
      </c>
      <c r="H224" s="154" t="b">
        <f t="shared" si="4"/>
        <v>1</v>
      </c>
    </row>
    <row r="225" spans="1:8" ht="14.25" x14ac:dyDescent="0.2">
      <c r="A225" s="7" t="s">
        <v>1499</v>
      </c>
      <c r="B225" s="124"/>
      <c r="C225" s="123" t="s">
        <v>3656</v>
      </c>
      <c r="D225" s="124">
        <v>70</v>
      </c>
      <c r="E225" s="124" t="s">
        <v>12</v>
      </c>
      <c r="F225" s="125">
        <v>1000000</v>
      </c>
      <c r="G225" s="125">
        <f>ROUNDDOWN(D225*F225,-3)</f>
        <v>70000000</v>
      </c>
      <c r="H225" s="154" t="b">
        <f t="shared" si="4"/>
        <v>1</v>
      </c>
    </row>
    <row r="226" spans="1:8" ht="14.25" x14ac:dyDescent="0.2">
      <c r="A226" s="7" t="s">
        <v>1501</v>
      </c>
      <c r="B226" s="60">
        <v>524111</v>
      </c>
      <c r="C226" s="41" t="s">
        <v>19</v>
      </c>
      <c r="D226" s="60"/>
      <c r="E226" s="60"/>
      <c r="F226" s="42"/>
      <c r="G226" s="42">
        <f>G227</f>
        <v>246000000</v>
      </c>
      <c r="H226" s="154" t="b">
        <f t="shared" si="4"/>
        <v>1</v>
      </c>
    </row>
    <row r="227" spans="1:8" ht="14.25" x14ac:dyDescent="0.2">
      <c r="A227" s="7" t="s">
        <v>1502</v>
      </c>
      <c r="B227" s="124"/>
      <c r="C227" s="123" t="s">
        <v>3657</v>
      </c>
      <c r="D227" s="124">
        <v>39</v>
      </c>
      <c r="E227" s="124" t="s">
        <v>10</v>
      </c>
      <c r="F227" s="125">
        <v>6307694</v>
      </c>
      <c r="G227" s="125">
        <f>ROUNDDOWN(D227*F227,-3)</f>
        <v>246000000</v>
      </c>
      <c r="H227" s="154" t="b">
        <f t="shared" si="4"/>
        <v>1</v>
      </c>
    </row>
    <row r="228" spans="1:8" ht="25.5" x14ac:dyDescent="0.2">
      <c r="A228" s="7" t="s">
        <v>1504</v>
      </c>
      <c r="B228" s="59" t="s">
        <v>580</v>
      </c>
      <c r="C228" s="38" t="s">
        <v>1505</v>
      </c>
      <c r="D228" s="59"/>
      <c r="E228" s="59"/>
      <c r="F228" s="39"/>
      <c r="G228" s="39">
        <f>SUM(G229,G239,G242,G246)</f>
        <v>668000000</v>
      </c>
      <c r="H228" s="154" t="b">
        <f t="shared" si="4"/>
        <v>1</v>
      </c>
    </row>
    <row r="229" spans="1:8" ht="14.25" x14ac:dyDescent="0.2">
      <c r="A229" s="7" t="s">
        <v>1506</v>
      </c>
      <c r="B229" s="60">
        <v>521211</v>
      </c>
      <c r="C229" s="41" t="s">
        <v>7</v>
      </c>
      <c r="D229" s="60"/>
      <c r="E229" s="60"/>
      <c r="F229" s="42"/>
      <c r="G229" s="42">
        <f>SUM(G230:G238)</f>
        <v>84800000</v>
      </c>
      <c r="H229" s="154" t="b">
        <f t="shared" si="4"/>
        <v>1</v>
      </c>
    </row>
    <row r="230" spans="1:8" ht="14.25" x14ac:dyDescent="0.2">
      <c r="A230" s="7" t="s">
        <v>1507</v>
      </c>
      <c r="B230" s="124"/>
      <c r="C230" s="123" t="s">
        <v>3601</v>
      </c>
      <c r="D230" s="124">
        <v>50</v>
      </c>
      <c r="E230" s="124" t="s">
        <v>10</v>
      </c>
      <c r="F230" s="125">
        <v>75000</v>
      </c>
      <c r="G230" s="125">
        <f t="shared" ref="G230:G238" si="5">ROUNDDOWN(D230*F230,-3)</f>
        <v>3750000</v>
      </c>
      <c r="H230" s="154" t="b">
        <f t="shared" si="4"/>
        <v>1</v>
      </c>
    </row>
    <row r="231" spans="1:8" ht="14.25" x14ac:dyDescent="0.2">
      <c r="A231" s="7" t="s">
        <v>1508</v>
      </c>
      <c r="B231" s="124"/>
      <c r="C231" s="123" t="s">
        <v>3602</v>
      </c>
      <c r="D231" s="124">
        <v>2</v>
      </c>
      <c r="E231" s="124" t="s">
        <v>9</v>
      </c>
      <c r="F231" s="125">
        <v>1000000</v>
      </c>
      <c r="G231" s="125">
        <f t="shared" si="5"/>
        <v>2000000</v>
      </c>
      <c r="H231" s="154" t="b">
        <f t="shared" si="4"/>
        <v>1</v>
      </c>
    </row>
    <row r="232" spans="1:8" ht="14.25" x14ac:dyDescent="0.2">
      <c r="A232" s="7" t="s">
        <v>1509</v>
      </c>
      <c r="B232" s="124"/>
      <c r="C232" s="123" t="s">
        <v>3588</v>
      </c>
      <c r="D232" s="124">
        <v>2</v>
      </c>
      <c r="E232" s="124" t="s">
        <v>9</v>
      </c>
      <c r="F232" s="125">
        <v>1000000</v>
      </c>
      <c r="G232" s="125">
        <f t="shared" si="5"/>
        <v>2000000</v>
      </c>
      <c r="H232" s="154" t="b">
        <f t="shared" si="4"/>
        <v>1</v>
      </c>
    </row>
    <row r="233" spans="1:8" ht="14.25" x14ac:dyDescent="0.2">
      <c r="A233" s="7" t="s">
        <v>1510</v>
      </c>
      <c r="B233" s="124"/>
      <c r="C233" s="123" t="s">
        <v>3589</v>
      </c>
      <c r="D233" s="124">
        <v>2</v>
      </c>
      <c r="E233" s="124" t="s">
        <v>9</v>
      </c>
      <c r="F233" s="125">
        <v>1500000</v>
      </c>
      <c r="G233" s="125">
        <f t="shared" si="5"/>
        <v>3000000</v>
      </c>
      <c r="H233" s="154" t="b">
        <f t="shared" si="4"/>
        <v>1</v>
      </c>
    </row>
    <row r="234" spans="1:8" ht="14.25" x14ac:dyDescent="0.2">
      <c r="A234" s="7" t="s">
        <v>1511</v>
      </c>
      <c r="B234" s="124"/>
      <c r="C234" s="123" t="s">
        <v>3658</v>
      </c>
      <c r="D234" s="124">
        <v>20</v>
      </c>
      <c r="E234" s="124" t="s">
        <v>58</v>
      </c>
      <c r="F234" s="125">
        <v>450000</v>
      </c>
      <c r="G234" s="125">
        <f t="shared" si="5"/>
        <v>9000000</v>
      </c>
      <c r="H234" s="154" t="b">
        <f t="shared" si="4"/>
        <v>1</v>
      </c>
    </row>
    <row r="235" spans="1:8" ht="14.25" x14ac:dyDescent="0.2">
      <c r="A235" s="7" t="s">
        <v>1513</v>
      </c>
      <c r="B235" s="124"/>
      <c r="C235" s="123" t="s">
        <v>3659</v>
      </c>
      <c r="D235" s="124">
        <v>20</v>
      </c>
      <c r="E235" s="124" t="s">
        <v>58</v>
      </c>
      <c r="F235" s="125">
        <v>450000</v>
      </c>
      <c r="G235" s="125">
        <f t="shared" si="5"/>
        <v>9000000</v>
      </c>
      <c r="H235" s="154" t="b">
        <f t="shared" si="4"/>
        <v>1</v>
      </c>
    </row>
    <row r="236" spans="1:8" ht="14.25" x14ac:dyDescent="0.2">
      <c r="A236" s="7" t="s">
        <v>1515</v>
      </c>
      <c r="B236" s="124"/>
      <c r="C236" s="123" t="s">
        <v>3660</v>
      </c>
      <c r="D236" s="124">
        <v>1</v>
      </c>
      <c r="E236" s="124" t="s">
        <v>23</v>
      </c>
      <c r="F236" s="125">
        <v>27575000</v>
      </c>
      <c r="G236" s="125">
        <f t="shared" si="5"/>
        <v>27575000</v>
      </c>
      <c r="H236" s="154" t="b">
        <f t="shared" si="4"/>
        <v>1</v>
      </c>
    </row>
    <row r="237" spans="1:8" ht="14.25" x14ac:dyDescent="0.2">
      <c r="A237" s="7" t="s">
        <v>1517</v>
      </c>
      <c r="B237" s="124"/>
      <c r="C237" s="123" t="s">
        <v>3661</v>
      </c>
      <c r="D237" s="124">
        <v>1</v>
      </c>
      <c r="E237" s="124" t="s">
        <v>23</v>
      </c>
      <c r="F237" s="125">
        <v>27575000</v>
      </c>
      <c r="G237" s="125">
        <f t="shared" si="5"/>
        <v>27575000</v>
      </c>
      <c r="H237" s="154" t="b">
        <f t="shared" si="4"/>
        <v>1</v>
      </c>
    </row>
    <row r="238" spans="1:8" ht="14.25" x14ac:dyDescent="0.2">
      <c r="A238" s="7" t="s">
        <v>1519</v>
      </c>
      <c r="B238" s="124"/>
      <c r="C238" s="123" t="s">
        <v>3662</v>
      </c>
      <c r="D238" s="124">
        <v>3</v>
      </c>
      <c r="E238" s="124" t="s">
        <v>58</v>
      </c>
      <c r="F238" s="125">
        <v>300000</v>
      </c>
      <c r="G238" s="125">
        <f t="shared" si="5"/>
        <v>900000</v>
      </c>
      <c r="H238" s="154" t="b">
        <f t="shared" si="4"/>
        <v>1</v>
      </c>
    </row>
    <row r="239" spans="1:8" ht="14.25" x14ac:dyDescent="0.2">
      <c r="A239" s="7" t="s">
        <v>1521</v>
      </c>
      <c r="B239" s="60">
        <v>521219</v>
      </c>
      <c r="C239" s="41" t="s">
        <v>53</v>
      </c>
      <c r="D239" s="60"/>
      <c r="E239" s="60"/>
      <c r="F239" s="42"/>
      <c r="G239" s="42">
        <f>SUM(G240:G241)</f>
        <v>393200000</v>
      </c>
      <c r="H239" s="154" t="b">
        <f t="shared" si="4"/>
        <v>1</v>
      </c>
    </row>
    <row r="240" spans="1:8" ht="14.25" x14ac:dyDescent="0.2">
      <c r="A240" s="7" t="s">
        <v>1522</v>
      </c>
      <c r="B240" s="124"/>
      <c r="C240" s="123" t="s">
        <v>3663</v>
      </c>
      <c r="D240" s="124">
        <v>1</v>
      </c>
      <c r="E240" s="124" t="s">
        <v>66</v>
      </c>
      <c r="F240" s="125">
        <v>196600000</v>
      </c>
      <c r="G240" s="125">
        <f>ROUNDDOWN(D240*F240,-3)</f>
        <v>196600000</v>
      </c>
      <c r="H240" s="154" t="b">
        <f t="shared" si="4"/>
        <v>1</v>
      </c>
    </row>
    <row r="241" spans="1:8" ht="14.25" x14ac:dyDescent="0.2">
      <c r="A241" s="7" t="s">
        <v>1524</v>
      </c>
      <c r="B241" s="124"/>
      <c r="C241" s="123" t="s">
        <v>3664</v>
      </c>
      <c r="D241" s="124">
        <v>1</v>
      </c>
      <c r="E241" s="124" t="s">
        <v>66</v>
      </c>
      <c r="F241" s="125">
        <v>196600000</v>
      </c>
      <c r="G241" s="125">
        <f>ROUNDDOWN(D241*F241,-3)</f>
        <v>196600000</v>
      </c>
      <c r="H241" s="154" t="b">
        <f t="shared" si="4"/>
        <v>1</v>
      </c>
    </row>
    <row r="242" spans="1:8" ht="14.25" x14ac:dyDescent="0.2">
      <c r="A242" s="7" t="s">
        <v>1526</v>
      </c>
      <c r="B242" s="60">
        <v>522141</v>
      </c>
      <c r="C242" s="41" t="s">
        <v>95</v>
      </c>
      <c r="D242" s="60"/>
      <c r="E242" s="60"/>
      <c r="F242" s="42"/>
      <c r="G242" s="42">
        <f>SUM(G243:G245)</f>
        <v>160000000</v>
      </c>
      <c r="H242" s="154" t="b">
        <f t="shared" si="4"/>
        <v>1</v>
      </c>
    </row>
    <row r="243" spans="1:8" ht="14.25" x14ac:dyDescent="0.2">
      <c r="A243" s="7" t="s">
        <v>1527</v>
      </c>
      <c r="B243" s="124"/>
      <c r="C243" s="123" t="s">
        <v>3665</v>
      </c>
      <c r="D243" s="124">
        <v>2</v>
      </c>
      <c r="E243" s="124" t="s">
        <v>23</v>
      </c>
      <c r="F243" s="125">
        <v>50000000</v>
      </c>
      <c r="G243" s="125">
        <f>ROUNDDOWN(D243*F243,-3)</f>
        <v>100000000</v>
      </c>
      <c r="H243" s="154" t="b">
        <f t="shared" si="4"/>
        <v>1</v>
      </c>
    </row>
    <row r="244" spans="1:8" ht="14.25" x14ac:dyDescent="0.2">
      <c r="A244" s="7" t="s">
        <v>1529</v>
      </c>
      <c r="B244" s="124"/>
      <c r="C244" s="123" t="s">
        <v>3666</v>
      </c>
      <c r="D244" s="124">
        <v>2</v>
      </c>
      <c r="E244" s="124" t="s">
        <v>23</v>
      </c>
      <c r="F244" s="125">
        <v>10000000</v>
      </c>
      <c r="G244" s="125">
        <f>ROUNDDOWN(D244*F244,-3)</f>
        <v>20000000</v>
      </c>
      <c r="H244" s="154" t="b">
        <f t="shared" si="4"/>
        <v>1</v>
      </c>
    </row>
    <row r="245" spans="1:8" ht="14.25" x14ac:dyDescent="0.2">
      <c r="A245" s="7" t="s">
        <v>1531</v>
      </c>
      <c r="B245" s="124"/>
      <c r="C245" s="123" t="s">
        <v>3667</v>
      </c>
      <c r="D245" s="124">
        <v>4</v>
      </c>
      <c r="E245" s="124" t="s">
        <v>23</v>
      </c>
      <c r="F245" s="125">
        <v>10000000</v>
      </c>
      <c r="G245" s="125">
        <f>ROUNDDOWN(D245*F245,-3)</f>
        <v>40000000</v>
      </c>
      <c r="H245" s="154" t="b">
        <f t="shared" si="4"/>
        <v>1</v>
      </c>
    </row>
    <row r="246" spans="1:8" ht="14.25" x14ac:dyDescent="0.2">
      <c r="A246" s="7" t="s">
        <v>1533</v>
      </c>
      <c r="B246" s="60">
        <v>524111</v>
      </c>
      <c r="C246" s="41" t="s">
        <v>19</v>
      </c>
      <c r="D246" s="60"/>
      <c r="E246" s="60"/>
      <c r="F246" s="42"/>
      <c r="G246" s="42">
        <f>G247</f>
        <v>30000000</v>
      </c>
      <c r="H246" s="154" t="b">
        <f t="shared" si="4"/>
        <v>1</v>
      </c>
    </row>
    <row r="247" spans="1:8" ht="25.5" x14ac:dyDescent="0.2">
      <c r="A247" s="7" t="s">
        <v>1534</v>
      </c>
      <c r="B247" s="124"/>
      <c r="C247" s="123" t="s">
        <v>3668</v>
      </c>
      <c r="D247" s="124">
        <v>12</v>
      </c>
      <c r="E247" s="124" t="s">
        <v>10</v>
      </c>
      <c r="F247" s="125">
        <v>2500000</v>
      </c>
      <c r="G247" s="125">
        <f>ROUNDDOWN(D247*F247,-3)</f>
        <v>30000000</v>
      </c>
      <c r="H247" s="154" t="b">
        <f t="shared" si="4"/>
        <v>1</v>
      </c>
    </row>
    <row r="248" spans="1:8" ht="25.5" x14ac:dyDescent="0.2">
      <c r="A248" s="7" t="s">
        <v>1536</v>
      </c>
      <c r="B248" s="59" t="s">
        <v>581</v>
      </c>
      <c r="C248" s="38" t="s">
        <v>1537</v>
      </c>
      <c r="D248" s="59"/>
      <c r="E248" s="59"/>
      <c r="F248" s="39"/>
      <c r="G248" s="39">
        <f>SUM(G249,G257,G259,G261)</f>
        <v>82000000</v>
      </c>
      <c r="H248" s="154" t="b">
        <f t="shared" si="4"/>
        <v>1</v>
      </c>
    </row>
    <row r="249" spans="1:8" ht="14.25" x14ac:dyDescent="0.2">
      <c r="A249" s="7" t="s">
        <v>1538</v>
      </c>
      <c r="B249" s="60">
        <v>521211</v>
      </c>
      <c r="C249" s="41" t="s">
        <v>7</v>
      </c>
      <c r="D249" s="60"/>
      <c r="E249" s="60"/>
      <c r="F249" s="42"/>
      <c r="G249" s="42">
        <f>SUM(G250:G256)</f>
        <v>17550000</v>
      </c>
      <c r="H249" s="154" t="b">
        <f t="shared" si="4"/>
        <v>1</v>
      </c>
    </row>
    <row r="250" spans="1:8" ht="14.25" x14ac:dyDescent="0.2">
      <c r="A250" s="7" t="s">
        <v>1539</v>
      </c>
      <c r="B250" s="124"/>
      <c r="C250" s="123" t="s">
        <v>3601</v>
      </c>
      <c r="D250" s="124">
        <v>20</v>
      </c>
      <c r="E250" s="124" t="s">
        <v>10</v>
      </c>
      <c r="F250" s="125">
        <v>75000</v>
      </c>
      <c r="G250" s="125">
        <f t="shared" ref="G250:G256" si="6">ROUNDDOWN(D250*F250,-3)</f>
        <v>1500000</v>
      </c>
      <c r="H250" s="154" t="b">
        <f t="shared" si="4"/>
        <v>1</v>
      </c>
    </row>
    <row r="251" spans="1:8" ht="14.25" x14ac:dyDescent="0.2">
      <c r="A251" s="7" t="s">
        <v>1540</v>
      </c>
      <c r="B251" s="124"/>
      <c r="C251" s="123" t="s">
        <v>3602</v>
      </c>
      <c r="D251" s="124">
        <v>2</v>
      </c>
      <c r="E251" s="124" t="s">
        <v>9</v>
      </c>
      <c r="F251" s="125">
        <v>1000000</v>
      </c>
      <c r="G251" s="125">
        <f t="shared" si="6"/>
        <v>2000000</v>
      </c>
      <c r="H251" s="154" t="b">
        <f t="shared" si="4"/>
        <v>1</v>
      </c>
    </row>
    <row r="252" spans="1:8" ht="14.25" x14ac:dyDescent="0.2">
      <c r="A252" s="7" t="s">
        <v>1541</v>
      </c>
      <c r="B252" s="124"/>
      <c r="C252" s="123" t="s">
        <v>3588</v>
      </c>
      <c r="D252" s="124">
        <v>2</v>
      </c>
      <c r="E252" s="124" t="s">
        <v>9</v>
      </c>
      <c r="F252" s="125">
        <v>1000000</v>
      </c>
      <c r="G252" s="125">
        <f t="shared" si="6"/>
        <v>2000000</v>
      </c>
      <c r="H252" s="154" t="b">
        <f t="shared" si="4"/>
        <v>1</v>
      </c>
    </row>
    <row r="253" spans="1:8" ht="14.25" x14ac:dyDescent="0.2">
      <c r="A253" s="7" t="s">
        <v>1542</v>
      </c>
      <c r="B253" s="124"/>
      <c r="C253" s="123" t="s">
        <v>3589</v>
      </c>
      <c r="D253" s="124">
        <v>2</v>
      </c>
      <c r="E253" s="124" t="s">
        <v>9</v>
      </c>
      <c r="F253" s="125">
        <v>1500000</v>
      </c>
      <c r="G253" s="125">
        <f t="shared" si="6"/>
        <v>3000000</v>
      </c>
      <c r="H253" s="154" t="b">
        <f t="shared" si="4"/>
        <v>1</v>
      </c>
    </row>
    <row r="254" spans="1:8" ht="14.25" x14ac:dyDescent="0.2">
      <c r="A254" s="7" t="s">
        <v>1543</v>
      </c>
      <c r="B254" s="124"/>
      <c r="C254" s="123" t="s">
        <v>3669</v>
      </c>
      <c r="D254" s="124">
        <v>10</v>
      </c>
      <c r="E254" s="124" t="s">
        <v>58</v>
      </c>
      <c r="F254" s="125">
        <v>250000</v>
      </c>
      <c r="G254" s="125">
        <f t="shared" si="6"/>
        <v>2500000</v>
      </c>
      <c r="H254" s="154" t="b">
        <f t="shared" si="4"/>
        <v>1</v>
      </c>
    </row>
    <row r="255" spans="1:8" ht="14.25" x14ac:dyDescent="0.2">
      <c r="A255" s="7" t="s">
        <v>1545</v>
      </c>
      <c r="B255" s="124"/>
      <c r="C255" s="123" t="s">
        <v>3670</v>
      </c>
      <c r="D255" s="124">
        <v>500</v>
      </c>
      <c r="E255" s="124" t="s">
        <v>58</v>
      </c>
      <c r="F255" s="125">
        <v>6000</v>
      </c>
      <c r="G255" s="125">
        <f t="shared" si="6"/>
        <v>3000000</v>
      </c>
      <c r="H255" s="154" t="b">
        <f t="shared" si="4"/>
        <v>1</v>
      </c>
    </row>
    <row r="256" spans="1:8" ht="14.25" x14ac:dyDescent="0.2">
      <c r="A256" s="7" t="s">
        <v>1547</v>
      </c>
      <c r="B256" s="124"/>
      <c r="C256" s="123" t="s">
        <v>3671</v>
      </c>
      <c r="D256" s="124">
        <v>100</v>
      </c>
      <c r="E256" s="124" t="s">
        <v>58</v>
      </c>
      <c r="F256" s="125">
        <v>35500</v>
      </c>
      <c r="G256" s="125">
        <f t="shared" si="6"/>
        <v>3550000</v>
      </c>
      <c r="H256" s="154" t="b">
        <f t="shared" si="4"/>
        <v>1</v>
      </c>
    </row>
    <row r="257" spans="1:8" ht="14.25" x14ac:dyDescent="0.2">
      <c r="A257" s="7" t="s">
        <v>1549</v>
      </c>
      <c r="B257" s="60">
        <v>521219</v>
      </c>
      <c r="C257" s="41" t="s">
        <v>53</v>
      </c>
      <c r="D257" s="60"/>
      <c r="E257" s="60"/>
      <c r="F257" s="42"/>
      <c r="G257" s="42">
        <f>G258</f>
        <v>3000000</v>
      </c>
      <c r="H257" s="154" t="b">
        <f t="shared" si="4"/>
        <v>1</v>
      </c>
    </row>
    <row r="258" spans="1:8" ht="14.25" x14ac:dyDescent="0.2">
      <c r="A258" s="7" t="s">
        <v>1550</v>
      </c>
      <c r="B258" s="124"/>
      <c r="C258" s="123" t="s">
        <v>3610</v>
      </c>
      <c r="D258" s="124">
        <v>12</v>
      </c>
      <c r="E258" s="124" t="s">
        <v>66</v>
      </c>
      <c r="F258" s="125">
        <v>250000</v>
      </c>
      <c r="G258" s="125">
        <f>ROUNDDOWN(D258*F258,-3)</f>
        <v>3000000</v>
      </c>
      <c r="H258" s="154" t="b">
        <f t="shared" si="4"/>
        <v>1</v>
      </c>
    </row>
    <row r="259" spans="1:8" ht="14.25" x14ac:dyDescent="0.2">
      <c r="A259" s="7" t="s">
        <v>1551</v>
      </c>
      <c r="B259" s="60">
        <v>522151</v>
      </c>
      <c r="C259" s="41" t="s">
        <v>11</v>
      </c>
      <c r="D259" s="60"/>
      <c r="E259" s="60"/>
      <c r="F259" s="42"/>
      <c r="G259" s="42">
        <f>G260</f>
        <v>40000000</v>
      </c>
      <c r="H259" s="154" t="b">
        <f t="shared" si="4"/>
        <v>1</v>
      </c>
    </row>
    <row r="260" spans="1:8" ht="14.25" x14ac:dyDescent="0.2">
      <c r="A260" s="7" t="s">
        <v>1552</v>
      </c>
      <c r="B260" s="124"/>
      <c r="C260" s="123" t="s">
        <v>3656</v>
      </c>
      <c r="D260" s="124">
        <v>40</v>
      </c>
      <c r="E260" s="124" t="s">
        <v>54</v>
      </c>
      <c r="F260" s="125">
        <v>1000000</v>
      </c>
      <c r="G260" s="125">
        <f>ROUNDDOWN(D260*F260,-3)</f>
        <v>40000000</v>
      </c>
      <c r="H260" s="154" t="b">
        <f t="shared" si="4"/>
        <v>1</v>
      </c>
    </row>
    <row r="261" spans="1:8" ht="14.25" x14ac:dyDescent="0.2">
      <c r="A261" s="7" t="s">
        <v>1553</v>
      </c>
      <c r="B261" s="60">
        <v>524111</v>
      </c>
      <c r="C261" s="41" t="s">
        <v>19</v>
      </c>
      <c r="D261" s="60"/>
      <c r="E261" s="60"/>
      <c r="F261" s="42"/>
      <c r="G261" s="42">
        <f>G262</f>
        <v>21450000</v>
      </c>
      <c r="H261" s="154" t="b">
        <f t="shared" si="4"/>
        <v>1</v>
      </c>
    </row>
    <row r="262" spans="1:8" ht="25.5" x14ac:dyDescent="0.2">
      <c r="A262" s="7" t="s">
        <v>1554</v>
      </c>
      <c r="B262" s="124"/>
      <c r="C262" s="123" t="s">
        <v>3672</v>
      </c>
      <c r="D262" s="124">
        <v>10</v>
      </c>
      <c r="E262" s="124" t="s">
        <v>10</v>
      </c>
      <c r="F262" s="125">
        <v>2145000</v>
      </c>
      <c r="G262" s="125">
        <f>ROUNDDOWN(D262*F262,-3)</f>
        <v>21450000</v>
      </c>
      <c r="H262" s="154" t="b">
        <f t="shared" si="4"/>
        <v>1</v>
      </c>
    </row>
    <row r="263" spans="1:8" ht="14.25" x14ac:dyDescent="0.2">
      <c r="A263" s="7" t="s">
        <v>1699</v>
      </c>
      <c r="B263" s="119" t="s">
        <v>3673</v>
      </c>
      <c r="C263" s="118" t="s">
        <v>1701</v>
      </c>
      <c r="D263" s="119">
        <v>1</v>
      </c>
      <c r="E263" s="119" t="s">
        <v>3627</v>
      </c>
      <c r="F263" s="120"/>
      <c r="G263" s="120">
        <f>SUM(G264,G307)</f>
        <v>8674654000</v>
      </c>
      <c r="H263" s="154" t="b">
        <f t="shared" si="4"/>
        <v>1</v>
      </c>
    </row>
    <row r="264" spans="1:8" ht="14.25" x14ac:dyDescent="0.2">
      <c r="A264" s="7" t="s">
        <v>1702</v>
      </c>
      <c r="B264" s="58" t="s">
        <v>501</v>
      </c>
      <c r="C264" s="35" t="s">
        <v>76</v>
      </c>
      <c r="D264" s="58"/>
      <c r="E264" s="58"/>
      <c r="F264" s="36"/>
      <c r="G264" s="36">
        <f>SUM(G265,G304)</f>
        <v>6478996000</v>
      </c>
      <c r="H264" s="154" t="b">
        <f t="shared" si="4"/>
        <v>1</v>
      </c>
    </row>
    <row r="265" spans="1:8" ht="14.25" x14ac:dyDescent="0.2">
      <c r="A265" s="7" t="s">
        <v>1806</v>
      </c>
      <c r="B265" s="59" t="s">
        <v>1807</v>
      </c>
      <c r="C265" s="38" t="s">
        <v>1808</v>
      </c>
      <c r="D265" s="59"/>
      <c r="E265" s="59"/>
      <c r="F265" s="39"/>
      <c r="G265" s="39">
        <f>SUM(G266,G270,G274,G278,G282,G286,G290,G294,G296,G298,G302)</f>
        <v>6155047000</v>
      </c>
      <c r="H265" s="154" t="b">
        <f t="shared" si="4"/>
        <v>1</v>
      </c>
    </row>
    <row r="266" spans="1:8" ht="14.25" x14ac:dyDescent="0.2">
      <c r="A266" s="7" t="s">
        <v>1809</v>
      </c>
      <c r="B266" s="60">
        <v>511111</v>
      </c>
      <c r="C266" s="41" t="s">
        <v>77</v>
      </c>
      <c r="D266" s="60"/>
      <c r="E266" s="60"/>
      <c r="F266" s="42"/>
      <c r="G266" s="42">
        <f>SUM(G267:G269)</f>
        <v>2483477000</v>
      </c>
      <c r="H266" s="154" t="b">
        <f t="shared" si="4"/>
        <v>1</v>
      </c>
    </row>
    <row r="267" spans="1:8" ht="14.25" x14ac:dyDescent="0.2">
      <c r="A267" s="7" t="s">
        <v>1810</v>
      </c>
      <c r="B267" s="124"/>
      <c r="C267" s="123" t="s">
        <v>3674</v>
      </c>
      <c r="D267" s="124">
        <v>1</v>
      </c>
      <c r="E267" s="124" t="s">
        <v>97</v>
      </c>
      <c r="F267" s="125">
        <v>180000000</v>
      </c>
      <c r="G267" s="125">
        <f>ROUNDDOWN(D267*F267,-3)</f>
        <v>180000000</v>
      </c>
      <c r="H267" s="154" t="b">
        <f t="shared" si="4"/>
        <v>1</v>
      </c>
    </row>
    <row r="268" spans="1:8" ht="14.25" x14ac:dyDescent="0.2">
      <c r="A268" s="7" t="s">
        <v>1811</v>
      </c>
      <c r="B268" s="124"/>
      <c r="C268" s="123" t="s">
        <v>3675</v>
      </c>
      <c r="D268" s="124">
        <v>1</v>
      </c>
      <c r="E268" s="124" t="s">
        <v>60</v>
      </c>
      <c r="F268" s="125">
        <v>2123477000</v>
      </c>
      <c r="G268" s="125">
        <f>ROUNDDOWN(D268*F268,-3)</f>
        <v>2123477000</v>
      </c>
      <c r="H268" s="154" t="b">
        <f t="shared" si="4"/>
        <v>1</v>
      </c>
    </row>
    <row r="269" spans="1:8" ht="14.25" x14ac:dyDescent="0.2">
      <c r="A269" s="7" t="s">
        <v>1812</v>
      </c>
      <c r="B269" s="124"/>
      <c r="C269" s="123" t="s">
        <v>3676</v>
      </c>
      <c r="D269" s="124">
        <v>1</v>
      </c>
      <c r="E269" s="124" t="s">
        <v>97</v>
      </c>
      <c r="F269" s="125">
        <v>180000000</v>
      </c>
      <c r="G269" s="125">
        <f>ROUNDDOWN(D269*F269,-3)</f>
        <v>180000000</v>
      </c>
      <c r="H269" s="154" t="b">
        <f t="shared" ref="H269:H332" si="7">_xlfn.ISFORMULA(G269)</f>
        <v>1</v>
      </c>
    </row>
    <row r="270" spans="1:8" ht="14.25" x14ac:dyDescent="0.2">
      <c r="A270" s="7" t="s">
        <v>1813</v>
      </c>
      <c r="B270" s="60">
        <v>511119</v>
      </c>
      <c r="C270" s="41" t="s">
        <v>79</v>
      </c>
      <c r="D270" s="60"/>
      <c r="E270" s="60"/>
      <c r="F270" s="42"/>
      <c r="G270" s="42">
        <f>SUM(G271:G273)</f>
        <v>38000</v>
      </c>
      <c r="H270" s="154" t="b">
        <f t="shared" si="7"/>
        <v>1</v>
      </c>
    </row>
    <row r="271" spans="1:8" ht="14.25" x14ac:dyDescent="0.2">
      <c r="A271" s="7" t="s">
        <v>1814</v>
      </c>
      <c r="B271" s="124"/>
      <c r="C271" s="123" t="s">
        <v>3677</v>
      </c>
      <c r="D271" s="124">
        <v>1</v>
      </c>
      <c r="E271" s="124" t="s">
        <v>97</v>
      </c>
      <c r="F271" s="125">
        <v>3000</v>
      </c>
      <c r="G271" s="125">
        <f>ROUNDDOWN(D271*F271,-3)</f>
        <v>3000</v>
      </c>
      <c r="H271" s="154" t="b">
        <f t="shared" si="7"/>
        <v>1</v>
      </c>
    </row>
    <row r="272" spans="1:8" ht="14.25" x14ac:dyDescent="0.2">
      <c r="A272" s="7" t="s">
        <v>1815</v>
      </c>
      <c r="B272" s="124"/>
      <c r="C272" s="123" t="s">
        <v>3678</v>
      </c>
      <c r="D272" s="124">
        <v>1</v>
      </c>
      <c r="E272" s="124" t="s">
        <v>153</v>
      </c>
      <c r="F272" s="125">
        <v>32000</v>
      </c>
      <c r="G272" s="125">
        <f>ROUNDDOWN(D272*F272,-3)</f>
        <v>32000</v>
      </c>
      <c r="H272" s="154" t="b">
        <f t="shared" si="7"/>
        <v>1</v>
      </c>
    </row>
    <row r="273" spans="1:8" ht="14.25" x14ac:dyDescent="0.2">
      <c r="A273" s="7" t="s">
        <v>1816</v>
      </c>
      <c r="B273" s="124"/>
      <c r="C273" s="123" t="s">
        <v>3679</v>
      </c>
      <c r="D273" s="124">
        <v>1</v>
      </c>
      <c r="E273" s="124" t="s">
        <v>97</v>
      </c>
      <c r="F273" s="125">
        <v>3000</v>
      </c>
      <c r="G273" s="125">
        <f>ROUNDDOWN(D273*F273,-3)</f>
        <v>3000</v>
      </c>
      <c r="H273" s="154" t="b">
        <f t="shared" si="7"/>
        <v>1</v>
      </c>
    </row>
    <row r="274" spans="1:8" ht="14.25" x14ac:dyDescent="0.2">
      <c r="A274" s="7" t="s">
        <v>1817</v>
      </c>
      <c r="B274" s="60">
        <v>511121</v>
      </c>
      <c r="C274" s="41" t="s">
        <v>80</v>
      </c>
      <c r="D274" s="60"/>
      <c r="E274" s="60"/>
      <c r="F274" s="42"/>
      <c r="G274" s="42">
        <f>SUM(G275:G277)</f>
        <v>171959000</v>
      </c>
      <c r="H274" s="154" t="b">
        <f t="shared" si="7"/>
        <v>1</v>
      </c>
    </row>
    <row r="275" spans="1:8" ht="14.25" x14ac:dyDescent="0.2">
      <c r="A275" s="7" t="s">
        <v>1818</v>
      </c>
      <c r="B275" s="124"/>
      <c r="C275" s="123" t="s">
        <v>3680</v>
      </c>
      <c r="D275" s="124">
        <v>1</v>
      </c>
      <c r="E275" s="124" t="s">
        <v>153</v>
      </c>
      <c r="F275" s="125">
        <v>147267000</v>
      </c>
      <c r="G275" s="125">
        <f>ROUNDDOWN(D275*F275,-3)</f>
        <v>147267000</v>
      </c>
      <c r="H275" s="154" t="b">
        <f t="shared" si="7"/>
        <v>1</v>
      </c>
    </row>
    <row r="276" spans="1:8" ht="14.25" x14ac:dyDescent="0.2">
      <c r="A276" s="7" t="s">
        <v>1819</v>
      </c>
      <c r="B276" s="124"/>
      <c r="C276" s="123" t="s">
        <v>3681</v>
      </c>
      <c r="D276" s="124">
        <v>1</v>
      </c>
      <c r="E276" s="124" t="s">
        <v>97</v>
      </c>
      <c r="F276" s="125">
        <v>12494000</v>
      </c>
      <c r="G276" s="125">
        <f>ROUNDDOWN(D276*F276,-3)</f>
        <v>12494000</v>
      </c>
      <c r="H276" s="154" t="b">
        <f t="shared" si="7"/>
        <v>1</v>
      </c>
    </row>
    <row r="277" spans="1:8" ht="14.25" x14ac:dyDescent="0.2">
      <c r="A277" s="7" t="s">
        <v>1820</v>
      </c>
      <c r="B277" s="124"/>
      <c r="C277" s="123" t="s">
        <v>3682</v>
      </c>
      <c r="D277" s="124">
        <v>1</v>
      </c>
      <c r="E277" s="124" t="s">
        <v>97</v>
      </c>
      <c r="F277" s="125">
        <v>12198000</v>
      </c>
      <c r="G277" s="125">
        <f>ROUNDDOWN(D277*F277,-3)</f>
        <v>12198000</v>
      </c>
      <c r="H277" s="154" t="b">
        <f t="shared" si="7"/>
        <v>1</v>
      </c>
    </row>
    <row r="278" spans="1:8" ht="14.25" x14ac:dyDescent="0.2">
      <c r="A278" s="7" t="s">
        <v>1821</v>
      </c>
      <c r="B278" s="60">
        <v>511122</v>
      </c>
      <c r="C278" s="41" t="s">
        <v>81</v>
      </c>
      <c r="D278" s="60"/>
      <c r="E278" s="60"/>
      <c r="F278" s="42"/>
      <c r="G278" s="42">
        <f>SUM(G279:G281)</f>
        <v>46700000</v>
      </c>
      <c r="H278" s="154" t="b">
        <f t="shared" si="7"/>
        <v>1</v>
      </c>
    </row>
    <row r="279" spans="1:8" ht="14.25" x14ac:dyDescent="0.2">
      <c r="A279" s="7" t="s">
        <v>1822</v>
      </c>
      <c r="B279" s="124"/>
      <c r="C279" s="123" t="s">
        <v>3683</v>
      </c>
      <c r="D279" s="124">
        <v>1</v>
      </c>
      <c r="E279" s="124" t="s">
        <v>97</v>
      </c>
      <c r="F279" s="125">
        <v>3282000</v>
      </c>
      <c r="G279" s="125">
        <f>ROUNDDOWN(D279*F279,-3)</f>
        <v>3282000</v>
      </c>
      <c r="H279" s="154" t="b">
        <f t="shared" si="7"/>
        <v>1</v>
      </c>
    </row>
    <row r="280" spans="1:8" ht="14.25" x14ac:dyDescent="0.2">
      <c r="A280" s="7" t="s">
        <v>1823</v>
      </c>
      <c r="B280" s="124"/>
      <c r="C280" s="123" t="s">
        <v>3684</v>
      </c>
      <c r="D280" s="124">
        <v>1</v>
      </c>
      <c r="E280" s="124" t="s">
        <v>153</v>
      </c>
      <c r="F280" s="125">
        <v>40080000</v>
      </c>
      <c r="G280" s="125">
        <f>ROUNDDOWN(D280*F280,-3)</f>
        <v>40080000</v>
      </c>
      <c r="H280" s="154" t="b">
        <f t="shared" si="7"/>
        <v>1</v>
      </c>
    </row>
    <row r="281" spans="1:8" ht="14.25" x14ac:dyDescent="0.2">
      <c r="A281" s="7" t="s">
        <v>1824</v>
      </c>
      <c r="B281" s="124"/>
      <c r="C281" s="123" t="s">
        <v>3685</v>
      </c>
      <c r="D281" s="124">
        <v>1</v>
      </c>
      <c r="E281" s="124" t="s">
        <v>97</v>
      </c>
      <c r="F281" s="125">
        <v>3338000</v>
      </c>
      <c r="G281" s="125">
        <f>ROUNDDOWN(D281*F281,-3)</f>
        <v>3338000</v>
      </c>
      <c r="H281" s="154" t="b">
        <f t="shared" si="7"/>
        <v>1</v>
      </c>
    </row>
    <row r="282" spans="1:8" ht="14.25" x14ac:dyDescent="0.2">
      <c r="A282" s="7" t="s">
        <v>1825</v>
      </c>
      <c r="B282" s="60">
        <v>511123</v>
      </c>
      <c r="C282" s="41" t="s">
        <v>82</v>
      </c>
      <c r="D282" s="60"/>
      <c r="E282" s="60"/>
      <c r="F282" s="42"/>
      <c r="G282" s="42">
        <f>SUM(G283:G285)</f>
        <v>158000000</v>
      </c>
      <c r="H282" s="154" t="b">
        <f t="shared" si="7"/>
        <v>1</v>
      </c>
    </row>
    <row r="283" spans="1:8" ht="14.25" x14ac:dyDescent="0.2">
      <c r="A283" s="7" t="s">
        <v>1826</v>
      </c>
      <c r="B283" s="124"/>
      <c r="C283" s="123" t="s">
        <v>3686</v>
      </c>
      <c r="D283" s="124">
        <v>1</v>
      </c>
      <c r="E283" s="124" t="s">
        <v>97</v>
      </c>
      <c r="F283" s="125">
        <v>12070000</v>
      </c>
      <c r="G283" s="125">
        <f>ROUNDDOWN(D283*F283,-3)</f>
        <v>12070000</v>
      </c>
      <c r="H283" s="154" t="b">
        <f t="shared" si="7"/>
        <v>1</v>
      </c>
    </row>
    <row r="284" spans="1:8" ht="14.25" x14ac:dyDescent="0.2">
      <c r="A284" s="7" t="s">
        <v>1827</v>
      </c>
      <c r="B284" s="124"/>
      <c r="C284" s="123" t="s">
        <v>3687</v>
      </c>
      <c r="D284" s="124">
        <v>1</v>
      </c>
      <c r="E284" s="124" t="s">
        <v>60</v>
      </c>
      <c r="F284" s="125">
        <v>133860000</v>
      </c>
      <c r="G284" s="125">
        <f>ROUNDDOWN(D284*F284,-3)</f>
        <v>133860000</v>
      </c>
      <c r="H284" s="154" t="b">
        <f t="shared" si="7"/>
        <v>1</v>
      </c>
    </row>
    <row r="285" spans="1:8" ht="14.25" x14ac:dyDescent="0.2">
      <c r="A285" s="7" t="s">
        <v>1828</v>
      </c>
      <c r="B285" s="124"/>
      <c r="C285" s="123" t="s">
        <v>3688</v>
      </c>
      <c r="D285" s="124">
        <v>1</v>
      </c>
      <c r="E285" s="124" t="s">
        <v>97</v>
      </c>
      <c r="F285" s="125">
        <v>12070000</v>
      </c>
      <c r="G285" s="125">
        <f>ROUNDDOWN(D285*F285,-3)</f>
        <v>12070000</v>
      </c>
      <c r="H285" s="154" t="b">
        <f t="shared" si="7"/>
        <v>1</v>
      </c>
    </row>
    <row r="286" spans="1:8" ht="14.25" x14ac:dyDescent="0.2">
      <c r="A286" s="7" t="s">
        <v>1829</v>
      </c>
      <c r="B286" s="60">
        <v>511124</v>
      </c>
      <c r="C286" s="41" t="s">
        <v>83</v>
      </c>
      <c r="D286" s="60"/>
      <c r="E286" s="60"/>
      <c r="F286" s="42"/>
      <c r="G286" s="42">
        <f>SUM(G287:G289)</f>
        <v>48180000</v>
      </c>
      <c r="H286" s="154" t="b">
        <f t="shared" si="7"/>
        <v>1</v>
      </c>
    </row>
    <row r="287" spans="1:8" ht="14.25" x14ac:dyDescent="0.2">
      <c r="A287" s="7" t="s">
        <v>1830</v>
      </c>
      <c r="B287" s="124"/>
      <c r="C287" s="123" t="s">
        <v>3689</v>
      </c>
      <c r="D287" s="124">
        <v>1</v>
      </c>
      <c r="E287" s="124" t="s">
        <v>97</v>
      </c>
      <c r="F287" s="125">
        <v>2000000</v>
      </c>
      <c r="G287" s="125">
        <f>ROUNDDOWN(D287*F287,-3)</f>
        <v>2000000</v>
      </c>
      <c r="H287" s="154" t="b">
        <f t="shared" si="7"/>
        <v>1</v>
      </c>
    </row>
    <row r="288" spans="1:8" ht="14.25" x14ac:dyDescent="0.2">
      <c r="A288" s="7" t="s">
        <v>1831</v>
      </c>
      <c r="B288" s="124"/>
      <c r="C288" s="123" t="s">
        <v>3690</v>
      </c>
      <c r="D288" s="124">
        <v>1</v>
      </c>
      <c r="E288" s="124" t="s">
        <v>60</v>
      </c>
      <c r="F288" s="125">
        <v>44180000</v>
      </c>
      <c r="G288" s="125">
        <f>ROUNDDOWN(D288*F288,-3)</f>
        <v>44180000</v>
      </c>
      <c r="H288" s="154" t="b">
        <f t="shared" si="7"/>
        <v>1</v>
      </c>
    </row>
    <row r="289" spans="1:8" ht="14.25" x14ac:dyDescent="0.2">
      <c r="A289" s="7" t="s">
        <v>1832</v>
      </c>
      <c r="B289" s="124"/>
      <c r="C289" s="123" t="s">
        <v>3691</v>
      </c>
      <c r="D289" s="124">
        <v>1</v>
      </c>
      <c r="E289" s="124" t="s">
        <v>97</v>
      </c>
      <c r="F289" s="125">
        <v>2000000</v>
      </c>
      <c r="G289" s="125">
        <f>ROUNDDOWN(D289*F289,-3)</f>
        <v>2000000</v>
      </c>
      <c r="H289" s="154" t="b">
        <f t="shared" si="7"/>
        <v>1</v>
      </c>
    </row>
    <row r="290" spans="1:8" ht="14.25" x14ac:dyDescent="0.2">
      <c r="A290" s="7" t="s">
        <v>1833</v>
      </c>
      <c r="B290" s="60">
        <v>511125</v>
      </c>
      <c r="C290" s="41" t="s">
        <v>84</v>
      </c>
      <c r="D290" s="60"/>
      <c r="E290" s="60"/>
      <c r="F290" s="42"/>
      <c r="G290" s="42">
        <f>SUM(G291:G293)</f>
        <v>13133000</v>
      </c>
      <c r="H290" s="154" t="b">
        <f t="shared" si="7"/>
        <v>1</v>
      </c>
    </row>
    <row r="291" spans="1:8" ht="14.25" x14ac:dyDescent="0.2">
      <c r="A291" s="7" t="s">
        <v>1834</v>
      </c>
      <c r="B291" s="124"/>
      <c r="C291" s="123" t="s">
        <v>3692</v>
      </c>
      <c r="D291" s="124">
        <v>1</v>
      </c>
      <c r="E291" s="124" t="s">
        <v>97</v>
      </c>
      <c r="F291" s="125">
        <v>3360000</v>
      </c>
      <c r="G291" s="125">
        <f>ROUNDDOWN(D291*F291,-3)</f>
        <v>3360000</v>
      </c>
      <c r="H291" s="154" t="b">
        <f t="shared" si="7"/>
        <v>1</v>
      </c>
    </row>
    <row r="292" spans="1:8" ht="14.25" x14ac:dyDescent="0.2">
      <c r="A292" s="7" t="s">
        <v>1835</v>
      </c>
      <c r="B292" s="124"/>
      <c r="C292" s="123" t="s">
        <v>3693</v>
      </c>
      <c r="D292" s="124">
        <v>1</v>
      </c>
      <c r="E292" s="124" t="s">
        <v>153</v>
      </c>
      <c r="F292" s="125">
        <v>6407000</v>
      </c>
      <c r="G292" s="125">
        <f>ROUNDDOWN(D292*F292,-3)</f>
        <v>6407000</v>
      </c>
      <c r="H292" s="154" t="b">
        <f t="shared" si="7"/>
        <v>1</v>
      </c>
    </row>
    <row r="293" spans="1:8" ht="14.25" x14ac:dyDescent="0.2">
      <c r="A293" s="7" t="s">
        <v>1836</v>
      </c>
      <c r="B293" s="124"/>
      <c r="C293" s="123" t="s">
        <v>3694</v>
      </c>
      <c r="D293" s="124">
        <v>1</v>
      </c>
      <c r="E293" s="124" t="s">
        <v>97</v>
      </c>
      <c r="F293" s="125">
        <v>3366000</v>
      </c>
      <c r="G293" s="125">
        <f>ROUNDDOWN(D293*F293,-3)</f>
        <v>3366000</v>
      </c>
      <c r="H293" s="154" t="b">
        <f t="shared" si="7"/>
        <v>1</v>
      </c>
    </row>
    <row r="294" spans="1:8" ht="14.25" x14ac:dyDescent="0.2">
      <c r="A294" s="7" t="s">
        <v>1837</v>
      </c>
      <c r="B294" s="60">
        <v>511126</v>
      </c>
      <c r="C294" s="41" t="s">
        <v>85</v>
      </c>
      <c r="D294" s="60"/>
      <c r="E294" s="60"/>
      <c r="F294" s="42"/>
      <c r="G294" s="42">
        <f>G295</f>
        <v>130333000</v>
      </c>
      <c r="H294" s="154" t="b">
        <f t="shared" si="7"/>
        <v>1</v>
      </c>
    </row>
    <row r="295" spans="1:8" ht="14.25" x14ac:dyDescent="0.2">
      <c r="A295" s="7" t="s">
        <v>1838</v>
      </c>
      <c r="B295" s="124"/>
      <c r="C295" s="123" t="s">
        <v>3695</v>
      </c>
      <c r="D295" s="124">
        <v>1</v>
      </c>
      <c r="E295" s="124" t="s">
        <v>60</v>
      </c>
      <c r="F295" s="125">
        <v>130333000</v>
      </c>
      <c r="G295" s="125">
        <f>ROUNDDOWN(D295*F295,-3)</f>
        <v>130333000</v>
      </c>
      <c r="H295" s="154" t="b">
        <f t="shared" si="7"/>
        <v>1</v>
      </c>
    </row>
    <row r="296" spans="1:8" ht="14.25" x14ac:dyDescent="0.2">
      <c r="A296" s="7" t="s">
        <v>1839</v>
      </c>
      <c r="B296" s="60">
        <v>511129</v>
      </c>
      <c r="C296" s="41" t="s">
        <v>86</v>
      </c>
      <c r="D296" s="60"/>
      <c r="E296" s="60"/>
      <c r="F296" s="42"/>
      <c r="G296" s="42">
        <f>G297</f>
        <v>379379000</v>
      </c>
      <c r="H296" s="154" t="b">
        <f t="shared" si="7"/>
        <v>1</v>
      </c>
    </row>
    <row r="297" spans="1:8" ht="14.25" x14ac:dyDescent="0.2">
      <c r="A297" s="7" t="s">
        <v>1840</v>
      </c>
      <c r="B297" s="124"/>
      <c r="C297" s="123" t="s">
        <v>3696</v>
      </c>
      <c r="D297" s="124">
        <v>1</v>
      </c>
      <c r="E297" s="124" t="s">
        <v>153</v>
      </c>
      <c r="F297" s="125">
        <v>379379000</v>
      </c>
      <c r="G297" s="125">
        <f>ROUNDDOWN(D297*F297,-3)</f>
        <v>379379000</v>
      </c>
      <c r="H297" s="154" t="b">
        <f t="shared" si="7"/>
        <v>1</v>
      </c>
    </row>
    <row r="298" spans="1:8" ht="14.25" x14ac:dyDescent="0.2">
      <c r="A298" s="7" t="s">
        <v>1841</v>
      </c>
      <c r="B298" s="60">
        <v>511151</v>
      </c>
      <c r="C298" s="41" t="s">
        <v>87</v>
      </c>
      <c r="D298" s="60"/>
      <c r="E298" s="60"/>
      <c r="F298" s="42"/>
      <c r="G298" s="42">
        <f>SUM(G299:G301)</f>
        <v>88360000</v>
      </c>
      <c r="H298" s="154" t="b">
        <f t="shared" si="7"/>
        <v>1</v>
      </c>
    </row>
    <row r="299" spans="1:8" ht="14.25" x14ac:dyDescent="0.2">
      <c r="A299" s="7" t="s">
        <v>1842</v>
      </c>
      <c r="B299" s="124"/>
      <c r="C299" s="123" t="s">
        <v>3697</v>
      </c>
      <c r="D299" s="124">
        <v>1</v>
      </c>
      <c r="E299" s="124" t="s">
        <v>97</v>
      </c>
      <c r="F299" s="125">
        <v>6655000</v>
      </c>
      <c r="G299" s="125">
        <f>ROUNDDOWN(D299*F299,-3)</f>
        <v>6655000</v>
      </c>
      <c r="H299" s="154" t="b">
        <f t="shared" si="7"/>
        <v>1</v>
      </c>
    </row>
    <row r="300" spans="1:8" ht="14.25" x14ac:dyDescent="0.2">
      <c r="A300" s="7" t="s">
        <v>1843</v>
      </c>
      <c r="B300" s="124"/>
      <c r="C300" s="123" t="s">
        <v>3698</v>
      </c>
      <c r="D300" s="124">
        <v>1</v>
      </c>
      <c r="E300" s="124" t="s">
        <v>60</v>
      </c>
      <c r="F300" s="125">
        <v>75605000</v>
      </c>
      <c r="G300" s="125">
        <f>ROUNDDOWN(D300*F300,-3)</f>
        <v>75605000</v>
      </c>
      <c r="H300" s="154" t="b">
        <f t="shared" si="7"/>
        <v>1</v>
      </c>
    </row>
    <row r="301" spans="1:8" ht="14.25" x14ac:dyDescent="0.2">
      <c r="A301" s="7" t="s">
        <v>1844</v>
      </c>
      <c r="B301" s="124"/>
      <c r="C301" s="123" t="s">
        <v>3699</v>
      </c>
      <c r="D301" s="124">
        <v>1</v>
      </c>
      <c r="E301" s="124" t="s">
        <v>97</v>
      </c>
      <c r="F301" s="125">
        <v>6100000</v>
      </c>
      <c r="G301" s="125">
        <f>ROUNDDOWN(D301*F301,-3)</f>
        <v>6100000</v>
      </c>
      <c r="H301" s="154" t="b">
        <f t="shared" si="7"/>
        <v>1</v>
      </c>
    </row>
    <row r="302" spans="1:8" ht="14.25" x14ac:dyDescent="0.2">
      <c r="A302" s="7" t="s">
        <v>1845</v>
      </c>
      <c r="B302" s="60">
        <v>512411</v>
      </c>
      <c r="C302" s="41" t="s">
        <v>88</v>
      </c>
      <c r="D302" s="60"/>
      <c r="E302" s="60"/>
      <c r="F302" s="42"/>
      <c r="G302" s="42">
        <f>G303</f>
        <v>2635488000</v>
      </c>
      <c r="H302" s="154" t="b">
        <f t="shared" si="7"/>
        <v>1</v>
      </c>
    </row>
    <row r="303" spans="1:8" ht="14.25" x14ac:dyDescent="0.2">
      <c r="A303" s="7" t="s">
        <v>1846</v>
      </c>
      <c r="B303" s="124"/>
      <c r="C303" s="123" t="s">
        <v>3700</v>
      </c>
      <c r="D303" s="124">
        <v>1</v>
      </c>
      <c r="E303" s="124" t="s">
        <v>153</v>
      </c>
      <c r="F303" s="125">
        <v>2635488000</v>
      </c>
      <c r="G303" s="125">
        <f>ROUNDDOWN(D303*F303,-3)</f>
        <v>2635488000</v>
      </c>
      <c r="H303" s="154" t="b">
        <f t="shared" si="7"/>
        <v>1</v>
      </c>
    </row>
    <row r="304" spans="1:8" ht="14.25" x14ac:dyDescent="0.2">
      <c r="A304" s="7" t="s">
        <v>3701</v>
      </c>
      <c r="B304" s="59" t="s">
        <v>2208</v>
      </c>
      <c r="C304" s="38" t="s">
        <v>3702</v>
      </c>
      <c r="D304" s="59"/>
      <c r="E304" s="59"/>
      <c r="F304" s="39"/>
      <c r="G304" s="39">
        <f>G305</f>
        <v>323949000</v>
      </c>
      <c r="H304" s="154" t="b">
        <f t="shared" si="7"/>
        <v>1</v>
      </c>
    </row>
    <row r="305" spans="1:8" ht="14.25" x14ac:dyDescent="0.2">
      <c r="A305" s="7" t="s">
        <v>3703</v>
      </c>
      <c r="B305" s="60">
        <v>512411</v>
      </c>
      <c r="C305" s="41" t="s">
        <v>88</v>
      </c>
      <c r="D305" s="60"/>
      <c r="E305" s="60"/>
      <c r="F305" s="42"/>
      <c r="G305" s="42">
        <f>G306</f>
        <v>323949000</v>
      </c>
      <c r="H305" s="154" t="b">
        <f t="shared" si="7"/>
        <v>1</v>
      </c>
    </row>
    <row r="306" spans="1:8" ht="14.25" x14ac:dyDescent="0.2">
      <c r="A306" s="7" t="s">
        <v>3704</v>
      </c>
      <c r="B306" s="124"/>
      <c r="C306" s="123" t="s">
        <v>3705</v>
      </c>
      <c r="D306" s="124">
        <v>1</v>
      </c>
      <c r="E306" s="124" t="s">
        <v>3706</v>
      </c>
      <c r="F306" s="125">
        <v>323949000</v>
      </c>
      <c r="G306" s="125">
        <f>ROUNDDOWN(D306*F306,-3)</f>
        <v>323949000</v>
      </c>
      <c r="H306" s="154" t="b">
        <f t="shared" si="7"/>
        <v>1</v>
      </c>
    </row>
    <row r="307" spans="1:8" ht="14.25" x14ac:dyDescent="0.2">
      <c r="A307" s="7" t="s">
        <v>1847</v>
      </c>
      <c r="B307" s="58" t="s">
        <v>557</v>
      </c>
      <c r="C307" s="35" t="s">
        <v>89</v>
      </c>
      <c r="D307" s="58"/>
      <c r="E307" s="58"/>
      <c r="F307" s="36"/>
      <c r="G307" s="36">
        <f>SUM(G308,G329,G335,G348,G363)</f>
        <v>2195658000</v>
      </c>
      <c r="H307" s="154" t="b">
        <f t="shared" si="7"/>
        <v>1</v>
      </c>
    </row>
    <row r="308" spans="1:8" ht="25.5" x14ac:dyDescent="0.2">
      <c r="A308" s="7" t="s">
        <v>2170</v>
      </c>
      <c r="B308" s="59" t="s">
        <v>1807</v>
      </c>
      <c r="C308" s="38" t="s">
        <v>2171</v>
      </c>
      <c r="D308" s="59"/>
      <c r="E308" s="59"/>
      <c r="F308" s="39"/>
      <c r="G308" s="39">
        <f>SUM(G309,G319)</f>
        <v>1254380000</v>
      </c>
      <c r="H308" s="154" t="b">
        <f t="shared" si="7"/>
        <v>1</v>
      </c>
    </row>
    <row r="309" spans="1:8" ht="14.25" x14ac:dyDescent="0.2">
      <c r="A309" s="7" t="s">
        <v>2172</v>
      </c>
      <c r="B309" s="60">
        <v>521111</v>
      </c>
      <c r="C309" s="41" t="s">
        <v>90</v>
      </c>
      <c r="D309" s="60"/>
      <c r="E309" s="60"/>
      <c r="F309" s="42"/>
      <c r="G309" s="42">
        <f>SUM(G310:G318)</f>
        <v>1076220000</v>
      </c>
      <c r="H309" s="154" t="b">
        <f t="shared" si="7"/>
        <v>1</v>
      </c>
    </row>
    <row r="310" spans="1:8" ht="14.25" x14ac:dyDescent="0.2">
      <c r="A310" s="7" t="s">
        <v>2173</v>
      </c>
      <c r="B310" s="124"/>
      <c r="C310" s="123" t="s">
        <v>3707</v>
      </c>
      <c r="D310" s="124">
        <v>60</v>
      </c>
      <c r="E310" s="124" t="s">
        <v>116</v>
      </c>
      <c r="F310" s="125">
        <v>1300000</v>
      </c>
      <c r="G310" s="125">
        <f t="shared" ref="G310:G318" si="8">ROUNDDOWN(D310*F310,-3)</f>
        <v>78000000</v>
      </c>
      <c r="H310" s="154" t="b">
        <f t="shared" si="7"/>
        <v>1</v>
      </c>
    </row>
    <row r="311" spans="1:8" ht="14.25" x14ac:dyDescent="0.2">
      <c r="A311" s="7" t="s">
        <v>2174</v>
      </c>
      <c r="B311" s="124"/>
      <c r="C311" s="123" t="s">
        <v>3708</v>
      </c>
      <c r="D311" s="124">
        <v>1</v>
      </c>
      <c r="E311" s="124" t="s">
        <v>60</v>
      </c>
      <c r="F311" s="125">
        <v>60000000</v>
      </c>
      <c r="G311" s="125">
        <f t="shared" si="8"/>
        <v>60000000</v>
      </c>
      <c r="H311" s="154" t="b">
        <f t="shared" si="7"/>
        <v>1</v>
      </c>
    </row>
    <row r="312" spans="1:8" ht="14.25" x14ac:dyDescent="0.2">
      <c r="A312" s="7" t="s">
        <v>2176</v>
      </c>
      <c r="B312" s="124"/>
      <c r="C312" s="123" t="s">
        <v>3709</v>
      </c>
      <c r="D312" s="124">
        <v>156</v>
      </c>
      <c r="E312" s="124" t="s">
        <v>21</v>
      </c>
      <c r="F312" s="125">
        <v>4858000</v>
      </c>
      <c r="G312" s="125">
        <f t="shared" si="8"/>
        <v>757848000</v>
      </c>
      <c r="H312" s="154" t="b">
        <f t="shared" si="7"/>
        <v>1</v>
      </c>
    </row>
    <row r="313" spans="1:8" ht="14.25" x14ac:dyDescent="0.2">
      <c r="A313" s="7" t="s">
        <v>2178</v>
      </c>
      <c r="B313" s="124"/>
      <c r="C313" s="123" t="s">
        <v>3710</v>
      </c>
      <c r="D313" s="124">
        <v>13</v>
      </c>
      <c r="E313" s="124" t="s">
        <v>32</v>
      </c>
      <c r="F313" s="125">
        <v>5344000</v>
      </c>
      <c r="G313" s="125">
        <f t="shared" si="8"/>
        <v>69472000</v>
      </c>
      <c r="H313" s="154" t="b">
        <f t="shared" si="7"/>
        <v>1</v>
      </c>
    </row>
    <row r="314" spans="1:8" ht="25.5" x14ac:dyDescent="0.2">
      <c r="A314" s="7" t="s">
        <v>2179</v>
      </c>
      <c r="B314" s="124"/>
      <c r="C314" s="123" t="s">
        <v>3711</v>
      </c>
      <c r="D314" s="124">
        <v>12</v>
      </c>
      <c r="E314" s="124" t="s">
        <v>78</v>
      </c>
      <c r="F314" s="125">
        <v>500000</v>
      </c>
      <c r="G314" s="125">
        <f t="shared" si="8"/>
        <v>6000000</v>
      </c>
      <c r="H314" s="154" t="b">
        <f t="shared" si="7"/>
        <v>1</v>
      </c>
    </row>
    <row r="315" spans="1:8" ht="14.25" x14ac:dyDescent="0.2">
      <c r="A315" s="7" t="s">
        <v>2181</v>
      </c>
      <c r="B315" s="124"/>
      <c r="C315" s="123" t="s">
        <v>3712</v>
      </c>
      <c r="D315" s="124">
        <v>100</v>
      </c>
      <c r="E315" s="124" t="s">
        <v>58</v>
      </c>
      <c r="F315" s="125">
        <v>500000</v>
      </c>
      <c r="G315" s="125">
        <f t="shared" si="8"/>
        <v>50000000</v>
      </c>
      <c r="H315" s="154" t="b">
        <f t="shared" si="7"/>
        <v>1</v>
      </c>
    </row>
    <row r="316" spans="1:8" ht="14.25" x14ac:dyDescent="0.2">
      <c r="A316" s="7" t="s">
        <v>2183</v>
      </c>
      <c r="B316" s="124"/>
      <c r="C316" s="123" t="s">
        <v>3713</v>
      </c>
      <c r="D316" s="124">
        <v>12</v>
      </c>
      <c r="E316" s="124" t="s">
        <v>115</v>
      </c>
      <c r="F316" s="125">
        <v>750000</v>
      </c>
      <c r="G316" s="125">
        <f t="shared" si="8"/>
        <v>9000000</v>
      </c>
      <c r="H316" s="154" t="b">
        <f t="shared" si="7"/>
        <v>1</v>
      </c>
    </row>
    <row r="317" spans="1:8" ht="14.25" x14ac:dyDescent="0.2">
      <c r="A317" s="7" t="s">
        <v>2185</v>
      </c>
      <c r="B317" s="124"/>
      <c r="C317" s="123" t="s">
        <v>3714</v>
      </c>
      <c r="D317" s="124">
        <v>12</v>
      </c>
      <c r="E317" s="124" t="s">
        <v>115</v>
      </c>
      <c r="F317" s="125">
        <v>1325000</v>
      </c>
      <c r="G317" s="125">
        <f t="shared" si="8"/>
        <v>15900000</v>
      </c>
      <c r="H317" s="154" t="b">
        <f t="shared" si="7"/>
        <v>1</v>
      </c>
    </row>
    <row r="318" spans="1:8" ht="14.25" x14ac:dyDescent="0.2">
      <c r="A318" s="7" t="s">
        <v>2187</v>
      </c>
      <c r="B318" s="124"/>
      <c r="C318" s="123" t="s">
        <v>3715</v>
      </c>
      <c r="D318" s="124">
        <v>12</v>
      </c>
      <c r="E318" s="124" t="s">
        <v>78</v>
      </c>
      <c r="F318" s="125">
        <v>2500000</v>
      </c>
      <c r="G318" s="125">
        <f t="shared" si="8"/>
        <v>30000000</v>
      </c>
      <c r="H318" s="154" t="b">
        <f t="shared" si="7"/>
        <v>1</v>
      </c>
    </row>
    <row r="319" spans="1:8" ht="14.25" x14ac:dyDescent="0.2">
      <c r="A319" s="7" t="s">
        <v>2189</v>
      </c>
      <c r="B319" s="60">
        <v>521811</v>
      </c>
      <c r="C319" s="41" t="s">
        <v>64</v>
      </c>
      <c r="D319" s="60"/>
      <c r="E319" s="60"/>
      <c r="F319" s="42"/>
      <c r="G319" s="42">
        <f>SUM(G320:G328)</f>
        <v>178160000</v>
      </c>
      <c r="H319" s="154" t="b">
        <f t="shared" si="7"/>
        <v>1</v>
      </c>
    </row>
    <row r="320" spans="1:8" ht="14.25" x14ac:dyDescent="0.2">
      <c r="A320" s="7" t="s">
        <v>2190</v>
      </c>
      <c r="B320" s="124"/>
      <c r="C320" s="123" t="s">
        <v>3595</v>
      </c>
      <c r="D320" s="124">
        <v>40</v>
      </c>
      <c r="E320" s="124" t="s">
        <v>9</v>
      </c>
      <c r="F320" s="125">
        <v>1000000</v>
      </c>
      <c r="G320" s="125">
        <f t="shared" ref="G320:G328" si="9">ROUNDDOWN(D320*F320,-3)</f>
        <v>40000000</v>
      </c>
      <c r="H320" s="154" t="b">
        <f t="shared" si="7"/>
        <v>1</v>
      </c>
    </row>
    <row r="321" spans="1:8" ht="14.25" x14ac:dyDescent="0.2">
      <c r="A321" s="7" t="s">
        <v>2191</v>
      </c>
      <c r="B321" s="124"/>
      <c r="C321" s="123" t="s">
        <v>3596</v>
      </c>
      <c r="D321" s="124">
        <v>40</v>
      </c>
      <c r="E321" s="124" t="s">
        <v>9</v>
      </c>
      <c r="F321" s="125">
        <v>1500000</v>
      </c>
      <c r="G321" s="125">
        <f t="shared" si="9"/>
        <v>60000000</v>
      </c>
      <c r="H321" s="154" t="b">
        <f t="shared" si="7"/>
        <v>1</v>
      </c>
    </row>
    <row r="322" spans="1:8" ht="14.25" x14ac:dyDescent="0.2">
      <c r="A322" s="7" t="s">
        <v>2192</v>
      </c>
      <c r="B322" s="124"/>
      <c r="C322" s="123" t="s">
        <v>3716</v>
      </c>
      <c r="D322" s="124">
        <v>192</v>
      </c>
      <c r="E322" s="124" t="s">
        <v>9</v>
      </c>
      <c r="F322" s="125">
        <v>50000</v>
      </c>
      <c r="G322" s="125">
        <f t="shared" si="9"/>
        <v>9600000</v>
      </c>
      <c r="H322" s="154" t="b">
        <f t="shared" si="7"/>
        <v>1</v>
      </c>
    </row>
    <row r="323" spans="1:8" ht="14.25" x14ac:dyDescent="0.2">
      <c r="A323" s="7" t="s">
        <v>2194</v>
      </c>
      <c r="B323" s="124"/>
      <c r="C323" s="123" t="s">
        <v>3717</v>
      </c>
      <c r="D323" s="124">
        <v>192</v>
      </c>
      <c r="E323" s="124" t="s">
        <v>9</v>
      </c>
      <c r="F323" s="125">
        <v>55000</v>
      </c>
      <c r="G323" s="125">
        <f t="shared" si="9"/>
        <v>10560000</v>
      </c>
      <c r="H323" s="154" t="b">
        <f t="shared" si="7"/>
        <v>1</v>
      </c>
    </row>
    <row r="324" spans="1:8" ht="14.25" x14ac:dyDescent="0.2">
      <c r="A324" s="7" t="s">
        <v>2196</v>
      </c>
      <c r="B324" s="124"/>
      <c r="C324" s="123" t="s">
        <v>3718</v>
      </c>
      <c r="D324" s="124">
        <v>50</v>
      </c>
      <c r="E324" s="124" t="s">
        <v>2198</v>
      </c>
      <c r="F324" s="125">
        <v>220000</v>
      </c>
      <c r="G324" s="125">
        <f t="shared" si="9"/>
        <v>11000000</v>
      </c>
      <c r="H324" s="154" t="b">
        <f t="shared" si="7"/>
        <v>1</v>
      </c>
    </row>
    <row r="325" spans="1:8" ht="14.25" x14ac:dyDescent="0.2">
      <c r="A325" s="7" t="s">
        <v>2199</v>
      </c>
      <c r="B325" s="124"/>
      <c r="C325" s="123" t="s">
        <v>3719</v>
      </c>
      <c r="D325" s="124">
        <v>50</v>
      </c>
      <c r="E325" s="124" t="s">
        <v>2198</v>
      </c>
      <c r="F325" s="125">
        <v>240000</v>
      </c>
      <c r="G325" s="125">
        <f t="shared" si="9"/>
        <v>12000000</v>
      </c>
      <c r="H325" s="154" t="b">
        <f t="shared" si="7"/>
        <v>1</v>
      </c>
    </row>
    <row r="326" spans="1:8" ht="14.25" x14ac:dyDescent="0.2">
      <c r="A326" s="7" t="s">
        <v>2201</v>
      </c>
      <c r="B326" s="124"/>
      <c r="C326" s="123" t="s">
        <v>3720</v>
      </c>
      <c r="D326" s="124">
        <v>800</v>
      </c>
      <c r="E326" s="124" t="s">
        <v>120</v>
      </c>
      <c r="F326" s="125">
        <v>5000</v>
      </c>
      <c r="G326" s="125">
        <f t="shared" si="9"/>
        <v>4000000</v>
      </c>
      <c r="H326" s="154" t="b">
        <f t="shared" si="7"/>
        <v>1</v>
      </c>
    </row>
    <row r="327" spans="1:8" ht="14.25" x14ac:dyDescent="0.2">
      <c r="A327" s="7" t="s">
        <v>2203</v>
      </c>
      <c r="B327" s="124"/>
      <c r="C327" s="123" t="s">
        <v>3721</v>
      </c>
      <c r="D327" s="124">
        <v>50</v>
      </c>
      <c r="E327" s="124" t="s">
        <v>1422</v>
      </c>
      <c r="F327" s="125">
        <v>220000</v>
      </c>
      <c r="G327" s="125">
        <f t="shared" si="9"/>
        <v>11000000</v>
      </c>
      <c r="H327" s="154" t="b">
        <f t="shared" si="7"/>
        <v>1</v>
      </c>
    </row>
    <row r="328" spans="1:8" ht="14.25" x14ac:dyDescent="0.2">
      <c r="A328" s="7" t="s">
        <v>2205</v>
      </c>
      <c r="B328" s="124"/>
      <c r="C328" s="123" t="s">
        <v>3722</v>
      </c>
      <c r="D328" s="124">
        <v>800</v>
      </c>
      <c r="E328" s="124" t="s">
        <v>120</v>
      </c>
      <c r="F328" s="125">
        <v>25000</v>
      </c>
      <c r="G328" s="125">
        <f t="shared" si="9"/>
        <v>20000000</v>
      </c>
      <c r="H328" s="154" t="b">
        <f t="shared" si="7"/>
        <v>1</v>
      </c>
    </row>
    <row r="329" spans="1:8" ht="14.25" x14ac:dyDescent="0.2">
      <c r="A329" s="7" t="s">
        <v>2207</v>
      </c>
      <c r="B329" s="59" t="s">
        <v>2208</v>
      </c>
      <c r="C329" s="38" t="s">
        <v>2209</v>
      </c>
      <c r="D329" s="59"/>
      <c r="E329" s="59"/>
      <c r="F329" s="39"/>
      <c r="G329" s="39">
        <f>SUM(G330,G332)</f>
        <v>148852000</v>
      </c>
      <c r="H329" s="154" t="b">
        <f t="shared" si="7"/>
        <v>1</v>
      </c>
    </row>
    <row r="330" spans="1:8" ht="14.25" x14ac:dyDescent="0.2">
      <c r="A330" s="7" t="s">
        <v>2210</v>
      </c>
      <c r="B330" s="60">
        <v>521114</v>
      </c>
      <c r="C330" s="41" t="s">
        <v>94</v>
      </c>
      <c r="D330" s="60"/>
      <c r="E330" s="60"/>
      <c r="F330" s="42"/>
      <c r="G330" s="42">
        <f>G331</f>
        <v>30000000</v>
      </c>
      <c r="H330" s="154" t="b">
        <f t="shared" si="7"/>
        <v>1</v>
      </c>
    </row>
    <row r="331" spans="1:8" ht="14.25" x14ac:dyDescent="0.2">
      <c r="A331" s="7" t="s">
        <v>2211</v>
      </c>
      <c r="B331" s="124"/>
      <c r="C331" s="123" t="s">
        <v>3723</v>
      </c>
      <c r="D331" s="124">
        <v>12</v>
      </c>
      <c r="E331" s="124" t="s">
        <v>78</v>
      </c>
      <c r="F331" s="125">
        <v>2500000</v>
      </c>
      <c r="G331" s="125">
        <f>ROUNDDOWN(D331*F331,-3)</f>
        <v>30000000</v>
      </c>
      <c r="H331" s="154" t="b">
        <f t="shared" si="7"/>
        <v>1</v>
      </c>
    </row>
    <row r="332" spans="1:8" ht="14.25" x14ac:dyDescent="0.2">
      <c r="A332" s="7" t="s">
        <v>2213</v>
      </c>
      <c r="B332" s="60">
        <v>522141</v>
      </c>
      <c r="C332" s="41" t="s">
        <v>95</v>
      </c>
      <c r="D332" s="60"/>
      <c r="E332" s="60"/>
      <c r="F332" s="42"/>
      <c r="G332" s="42">
        <f>SUM(G333:G334)</f>
        <v>118852000</v>
      </c>
      <c r="H332" s="154" t="b">
        <f t="shared" si="7"/>
        <v>1</v>
      </c>
    </row>
    <row r="333" spans="1:8" ht="14.25" x14ac:dyDescent="0.2">
      <c r="A333" s="7" t="s">
        <v>2214</v>
      </c>
      <c r="B333" s="124"/>
      <c r="C333" s="123" t="s">
        <v>3724</v>
      </c>
      <c r="D333" s="124">
        <v>12</v>
      </c>
      <c r="E333" s="124" t="s">
        <v>78</v>
      </c>
      <c r="F333" s="125">
        <v>5000000</v>
      </c>
      <c r="G333" s="125">
        <f>ROUNDDOWN(D333*F333,-3)</f>
        <v>60000000</v>
      </c>
      <c r="H333" s="154" t="b">
        <f t="shared" ref="H333:H396" si="10">_xlfn.ISFORMULA(G333)</f>
        <v>1</v>
      </c>
    </row>
    <row r="334" spans="1:8" ht="14.25" x14ac:dyDescent="0.2">
      <c r="A334" s="7" t="s">
        <v>2216</v>
      </c>
      <c r="B334" s="124"/>
      <c r="C334" s="123" t="s">
        <v>3725</v>
      </c>
      <c r="D334" s="124">
        <v>1</v>
      </c>
      <c r="E334" s="124" t="s">
        <v>60</v>
      </c>
      <c r="F334" s="125">
        <v>58852000</v>
      </c>
      <c r="G334" s="125">
        <f>ROUNDDOWN(D334*F334,-3)</f>
        <v>58852000</v>
      </c>
      <c r="H334" s="154" t="b">
        <f t="shared" si="10"/>
        <v>1</v>
      </c>
    </row>
    <row r="335" spans="1:8" ht="14.25" x14ac:dyDescent="0.2">
      <c r="A335" s="7" t="s">
        <v>2218</v>
      </c>
      <c r="B335" s="59" t="s">
        <v>2219</v>
      </c>
      <c r="C335" s="38" t="s">
        <v>2220</v>
      </c>
      <c r="D335" s="59"/>
      <c r="E335" s="59"/>
      <c r="F335" s="39"/>
      <c r="G335" s="39">
        <f>SUM(G336,G346)</f>
        <v>533050000</v>
      </c>
      <c r="H335" s="154" t="b">
        <f t="shared" si="10"/>
        <v>1</v>
      </c>
    </row>
    <row r="336" spans="1:8" ht="14.25" x14ac:dyDescent="0.2">
      <c r="A336" s="7" t="s">
        <v>2221</v>
      </c>
      <c r="B336" s="60">
        <v>523121</v>
      </c>
      <c r="C336" s="41" t="s">
        <v>99</v>
      </c>
      <c r="D336" s="60"/>
      <c r="E336" s="60"/>
      <c r="F336" s="42"/>
      <c r="G336" s="42">
        <f>SUM(G337:G345)</f>
        <v>497050000</v>
      </c>
      <c r="H336" s="154" t="b">
        <f t="shared" si="10"/>
        <v>1</v>
      </c>
    </row>
    <row r="337" spans="1:8" ht="25.5" x14ac:dyDescent="0.2">
      <c r="A337" s="7" t="s">
        <v>2222</v>
      </c>
      <c r="B337" s="124"/>
      <c r="C337" s="123" t="s">
        <v>3726</v>
      </c>
      <c r="D337" s="124">
        <v>1</v>
      </c>
      <c r="E337" s="124" t="s">
        <v>44</v>
      </c>
      <c r="F337" s="125">
        <v>38730000</v>
      </c>
      <c r="G337" s="125">
        <f t="shared" ref="G337:G345" si="11">ROUNDDOWN(D337*F337,-3)</f>
        <v>38730000</v>
      </c>
      <c r="H337" s="154" t="b">
        <f t="shared" si="10"/>
        <v>1</v>
      </c>
    </row>
    <row r="338" spans="1:8" ht="14.25" x14ac:dyDescent="0.2">
      <c r="A338" s="7" t="s">
        <v>2224</v>
      </c>
      <c r="B338" s="124"/>
      <c r="C338" s="123" t="s">
        <v>3727</v>
      </c>
      <c r="D338" s="124">
        <v>9</v>
      </c>
      <c r="E338" s="124" t="s">
        <v>3728</v>
      </c>
      <c r="F338" s="125">
        <v>32850000</v>
      </c>
      <c r="G338" s="125">
        <f t="shared" si="11"/>
        <v>295650000</v>
      </c>
      <c r="H338" s="154" t="b">
        <f t="shared" si="10"/>
        <v>1</v>
      </c>
    </row>
    <row r="339" spans="1:8" ht="14.25" x14ac:dyDescent="0.2">
      <c r="A339" s="7" t="s">
        <v>2226</v>
      </c>
      <c r="B339" s="124"/>
      <c r="C339" s="123" t="s">
        <v>3729</v>
      </c>
      <c r="D339" s="124">
        <v>5</v>
      </c>
      <c r="E339" s="124" t="s">
        <v>42</v>
      </c>
      <c r="F339" s="125">
        <v>3640000</v>
      </c>
      <c r="G339" s="125">
        <f t="shared" si="11"/>
        <v>18200000</v>
      </c>
      <c r="H339" s="154" t="b">
        <f t="shared" si="10"/>
        <v>1</v>
      </c>
    </row>
    <row r="340" spans="1:8" ht="14.25" x14ac:dyDescent="0.2">
      <c r="A340" s="7" t="s">
        <v>2228</v>
      </c>
      <c r="B340" s="124"/>
      <c r="C340" s="123" t="s">
        <v>3730</v>
      </c>
      <c r="D340" s="124">
        <v>40</v>
      </c>
      <c r="E340" s="124" t="s">
        <v>42</v>
      </c>
      <c r="F340" s="125">
        <v>730000</v>
      </c>
      <c r="G340" s="125">
        <f t="shared" si="11"/>
        <v>29200000</v>
      </c>
      <c r="H340" s="154" t="b">
        <f t="shared" si="10"/>
        <v>1</v>
      </c>
    </row>
    <row r="341" spans="1:8" ht="14.25" x14ac:dyDescent="0.2">
      <c r="A341" s="7" t="s">
        <v>2229</v>
      </c>
      <c r="B341" s="124"/>
      <c r="C341" s="123" t="s">
        <v>3731</v>
      </c>
      <c r="D341" s="124">
        <v>35</v>
      </c>
      <c r="E341" s="124" t="s">
        <v>44</v>
      </c>
      <c r="F341" s="125">
        <v>730000</v>
      </c>
      <c r="G341" s="125">
        <f t="shared" si="11"/>
        <v>25550000</v>
      </c>
      <c r="H341" s="154" t="b">
        <f t="shared" si="10"/>
        <v>1</v>
      </c>
    </row>
    <row r="342" spans="1:8" ht="14.25" x14ac:dyDescent="0.2">
      <c r="A342" s="7" t="s">
        <v>2230</v>
      </c>
      <c r="B342" s="124"/>
      <c r="C342" s="123" t="s">
        <v>3732</v>
      </c>
      <c r="D342" s="124">
        <v>35</v>
      </c>
      <c r="E342" s="124" t="s">
        <v>44</v>
      </c>
      <c r="F342" s="125">
        <v>690000</v>
      </c>
      <c r="G342" s="125">
        <f t="shared" si="11"/>
        <v>24150000</v>
      </c>
      <c r="H342" s="154" t="b">
        <f t="shared" si="10"/>
        <v>1</v>
      </c>
    </row>
    <row r="343" spans="1:8" ht="14.25" x14ac:dyDescent="0.2">
      <c r="A343" s="7" t="s">
        <v>2231</v>
      </c>
      <c r="B343" s="124"/>
      <c r="C343" s="123" t="s">
        <v>3733</v>
      </c>
      <c r="D343" s="124">
        <v>3</v>
      </c>
      <c r="E343" s="124" t="s">
        <v>44</v>
      </c>
      <c r="F343" s="125">
        <v>3500000</v>
      </c>
      <c r="G343" s="125">
        <f t="shared" si="11"/>
        <v>10500000</v>
      </c>
      <c r="H343" s="154" t="b">
        <f t="shared" si="10"/>
        <v>1</v>
      </c>
    </row>
    <row r="344" spans="1:8" ht="14.25" x14ac:dyDescent="0.2">
      <c r="A344" s="7" t="s">
        <v>2232</v>
      </c>
      <c r="B344" s="124"/>
      <c r="C344" s="123" t="s">
        <v>3734</v>
      </c>
      <c r="D344" s="124">
        <v>6</v>
      </c>
      <c r="E344" s="124" t="s">
        <v>44</v>
      </c>
      <c r="F344" s="125">
        <v>470000</v>
      </c>
      <c r="G344" s="125">
        <f t="shared" si="11"/>
        <v>2820000</v>
      </c>
      <c r="H344" s="154" t="b">
        <f t="shared" si="10"/>
        <v>1</v>
      </c>
    </row>
    <row r="345" spans="1:8" ht="14.25" x14ac:dyDescent="0.2">
      <c r="A345" s="7" t="s">
        <v>2234</v>
      </c>
      <c r="B345" s="124"/>
      <c r="C345" s="123" t="s">
        <v>3735</v>
      </c>
      <c r="D345" s="124">
        <v>1</v>
      </c>
      <c r="E345" s="124" t="s">
        <v>60</v>
      </c>
      <c r="F345" s="125">
        <v>52250000</v>
      </c>
      <c r="G345" s="125">
        <f t="shared" si="11"/>
        <v>52250000</v>
      </c>
      <c r="H345" s="154" t="b">
        <f t="shared" si="10"/>
        <v>1</v>
      </c>
    </row>
    <row r="346" spans="1:8" ht="14.25" x14ac:dyDescent="0.2">
      <c r="A346" s="7" t="s">
        <v>2235</v>
      </c>
      <c r="B346" s="60">
        <v>523199</v>
      </c>
      <c r="C346" s="41" t="s">
        <v>102</v>
      </c>
      <c r="D346" s="60"/>
      <c r="E346" s="60"/>
      <c r="F346" s="42"/>
      <c r="G346" s="42">
        <f>G347</f>
        <v>36000000</v>
      </c>
      <c r="H346" s="154" t="b">
        <f t="shared" si="10"/>
        <v>1</v>
      </c>
    </row>
    <row r="347" spans="1:8" ht="14.25" x14ac:dyDescent="0.2">
      <c r="A347" s="7" t="s">
        <v>2236</v>
      </c>
      <c r="B347" s="124"/>
      <c r="C347" s="123" t="s">
        <v>3736</v>
      </c>
      <c r="D347" s="124">
        <v>24</v>
      </c>
      <c r="E347" s="124" t="s">
        <v>96</v>
      </c>
      <c r="F347" s="125">
        <v>1500000</v>
      </c>
      <c r="G347" s="125">
        <f>ROUNDDOWN(D347*F347,-3)</f>
        <v>36000000</v>
      </c>
      <c r="H347" s="154" t="b">
        <f t="shared" si="10"/>
        <v>1</v>
      </c>
    </row>
    <row r="348" spans="1:8" ht="25.5" x14ac:dyDescent="0.2">
      <c r="A348" s="7" t="s">
        <v>2238</v>
      </c>
      <c r="B348" s="59" t="s">
        <v>2239</v>
      </c>
      <c r="C348" s="38" t="s">
        <v>2240</v>
      </c>
      <c r="D348" s="59"/>
      <c r="E348" s="59"/>
      <c r="F348" s="39"/>
      <c r="G348" s="39">
        <f>SUM(G349,G352)</f>
        <v>159376000</v>
      </c>
      <c r="H348" s="154" t="b">
        <f t="shared" si="10"/>
        <v>1</v>
      </c>
    </row>
    <row r="349" spans="1:8" ht="14.25" x14ac:dyDescent="0.2">
      <c r="A349" s="7" t="s">
        <v>2241</v>
      </c>
      <c r="B349" s="60">
        <v>521111</v>
      </c>
      <c r="C349" s="41" t="s">
        <v>90</v>
      </c>
      <c r="D349" s="60"/>
      <c r="E349" s="60"/>
      <c r="F349" s="42"/>
      <c r="G349" s="42">
        <f>SUM(G350:G351)</f>
        <v>101040000</v>
      </c>
      <c r="H349" s="154" t="b">
        <f t="shared" si="10"/>
        <v>1</v>
      </c>
    </row>
    <row r="350" spans="1:8" s="156" customFormat="1" ht="14.25" x14ac:dyDescent="0.2">
      <c r="A350" s="155" t="s">
        <v>2242</v>
      </c>
      <c r="B350" s="124"/>
      <c r="C350" s="123" t="s">
        <v>3737</v>
      </c>
      <c r="D350" s="124">
        <v>100</v>
      </c>
      <c r="E350" s="124" t="s">
        <v>2244</v>
      </c>
      <c r="F350" s="125">
        <v>857000</v>
      </c>
      <c r="G350" s="125">
        <f>ROUNDDOWN(D350*F350,-3)</f>
        <v>85700000</v>
      </c>
      <c r="H350" s="154" t="b">
        <f t="shared" si="10"/>
        <v>1</v>
      </c>
    </row>
    <row r="351" spans="1:8" ht="14.25" x14ac:dyDescent="0.2">
      <c r="A351" s="7" t="s">
        <v>2245</v>
      </c>
      <c r="B351" s="124"/>
      <c r="C351" s="123" t="s">
        <v>3738</v>
      </c>
      <c r="D351" s="124">
        <v>26</v>
      </c>
      <c r="E351" s="124" t="s">
        <v>121</v>
      </c>
      <c r="F351" s="125">
        <v>590000</v>
      </c>
      <c r="G351" s="125">
        <f>ROUNDDOWN(D351*F351,-3)</f>
        <v>15340000</v>
      </c>
      <c r="H351" s="154" t="b">
        <f t="shared" si="10"/>
        <v>1</v>
      </c>
    </row>
    <row r="352" spans="1:8" ht="14.25" x14ac:dyDescent="0.2">
      <c r="A352" s="7" t="s">
        <v>2247</v>
      </c>
      <c r="B352" s="60">
        <v>521115</v>
      </c>
      <c r="C352" s="41" t="s">
        <v>104</v>
      </c>
      <c r="D352" s="60"/>
      <c r="E352" s="60"/>
      <c r="F352" s="42"/>
      <c r="G352" s="42">
        <f>SUM(G353:G362)</f>
        <v>58336000</v>
      </c>
      <c r="H352" s="154" t="b">
        <f t="shared" si="10"/>
        <v>1</v>
      </c>
    </row>
    <row r="353" spans="1:8" ht="14.25" x14ac:dyDescent="0.2">
      <c r="A353" s="7" t="s">
        <v>2248</v>
      </c>
      <c r="B353" s="124"/>
      <c r="C353" s="123" t="s">
        <v>3739</v>
      </c>
      <c r="D353" s="124">
        <v>12</v>
      </c>
      <c r="E353" s="124" t="s">
        <v>32</v>
      </c>
      <c r="F353" s="125">
        <v>2920000</v>
      </c>
      <c r="G353" s="125">
        <f t="shared" ref="G353:G362" si="12">ROUNDDOWN(D353*F353,-3)</f>
        <v>35040000</v>
      </c>
      <c r="H353" s="154" t="b">
        <f t="shared" si="10"/>
        <v>1</v>
      </c>
    </row>
    <row r="354" spans="1:8" ht="25.5" x14ac:dyDescent="0.2">
      <c r="A354" s="7" t="s">
        <v>2250</v>
      </c>
      <c r="B354" s="124"/>
      <c r="C354" s="123" t="s">
        <v>3740</v>
      </c>
      <c r="D354" s="124">
        <v>12</v>
      </c>
      <c r="E354" s="124" t="s">
        <v>32</v>
      </c>
      <c r="F354" s="125">
        <v>324000</v>
      </c>
      <c r="G354" s="125">
        <f t="shared" si="12"/>
        <v>3888000</v>
      </c>
      <c r="H354" s="154" t="b">
        <f t="shared" si="10"/>
        <v>1</v>
      </c>
    </row>
    <row r="355" spans="1:8" ht="14.25" x14ac:dyDescent="0.2">
      <c r="A355" s="7" t="s">
        <v>2252</v>
      </c>
      <c r="B355" s="124"/>
      <c r="C355" s="123" t="s">
        <v>3741</v>
      </c>
      <c r="D355" s="124">
        <v>12</v>
      </c>
      <c r="E355" s="124" t="s">
        <v>32</v>
      </c>
      <c r="F355" s="125">
        <v>324000</v>
      </c>
      <c r="G355" s="125">
        <f t="shared" si="12"/>
        <v>3888000</v>
      </c>
      <c r="H355" s="154" t="b">
        <f t="shared" si="10"/>
        <v>1</v>
      </c>
    </row>
    <row r="356" spans="1:8" s="156" customFormat="1" ht="25.5" x14ac:dyDescent="0.2">
      <c r="A356" s="155" t="s">
        <v>2254</v>
      </c>
      <c r="B356" s="124"/>
      <c r="C356" s="123" t="s">
        <v>3742</v>
      </c>
      <c r="D356" s="124">
        <v>12</v>
      </c>
      <c r="E356" s="124" t="s">
        <v>32</v>
      </c>
      <c r="F356" s="125">
        <v>680000</v>
      </c>
      <c r="G356" s="125">
        <f t="shared" si="12"/>
        <v>8160000</v>
      </c>
      <c r="H356" s="154" t="b">
        <f t="shared" si="10"/>
        <v>1</v>
      </c>
    </row>
    <row r="357" spans="1:8" ht="14.25" x14ac:dyDescent="0.2">
      <c r="A357" s="7" t="s">
        <v>2256</v>
      </c>
      <c r="B357" s="124"/>
      <c r="C357" s="123" t="s">
        <v>3743</v>
      </c>
      <c r="D357" s="124">
        <v>12</v>
      </c>
      <c r="E357" s="124" t="s">
        <v>32</v>
      </c>
      <c r="F357" s="125">
        <v>200000</v>
      </c>
      <c r="G357" s="125">
        <f t="shared" si="12"/>
        <v>2400000</v>
      </c>
      <c r="H357" s="154" t="b">
        <f t="shared" si="10"/>
        <v>1</v>
      </c>
    </row>
    <row r="358" spans="1:8" ht="14.25" x14ac:dyDescent="0.2">
      <c r="A358" s="7" t="s">
        <v>2258</v>
      </c>
      <c r="B358" s="124"/>
      <c r="C358" s="123" t="s">
        <v>3744</v>
      </c>
      <c r="D358" s="124">
        <v>12</v>
      </c>
      <c r="E358" s="124" t="s">
        <v>32</v>
      </c>
      <c r="F358" s="125">
        <v>80000</v>
      </c>
      <c r="G358" s="125">
        <f t="shared" si="12"/>
        <v>960000</v>
      </c>
      <c r="H358" s="154" t="b">
        <f t="shared" si="10"/>
        <v>1</v>
      </c>
    </row>
    <row r="359" spans="1:8" ht="14.25" x14ac:dyDescent="0.2">
      <c r="A359" s="7" t="s">
        <v>2260</v>
      </c>
      <c r="B359" s="124"/>
      <c r="C359" s="123" t="s">
        <v>3745</v>
      </c>
      <c r="D359" s="124">
        <v>12</v>
      </c>
      <c r="E359" s="124" t="s">
        <v>32</v>
      </c>
      <c r="F359" s="125">
        <v>200000</v>
      </c>
      <c r="G359" s="125">
        <f t="shared" si="12"/>
        <v>2400000</v>
      </c>
      <c r="H359" s="154" t="b">
        <f t="shared" si="10"/>
        <v>1</v>
      </c>
    </row>
    <row r="360" spans="1:8" ht="14.25" x14ac:dyDescent="0.2">
      <c r="A360" s="7" t="s">
        <v>2262</v>
      </c>
      <c r="B360" s="124"/>
      <c r="C360" s="123" t="s">
        <v>3746</v>
      </c>
      <c r="D360" s="124">
        <v>1</v>
      </c>
      <c r="E360" s="124" t="s">
        <v>776</v>
      </c>
      <c r="F360" s="125">
        <v>400000</v>
      </c>
      <c r="G360" s="125">
        <f t="shared" si="12"/>
        <v>400000</v>
      </c>
      <c r="H360" s="154" t="b">
        <f t="shared" si="10"/>
        <v>1</v>
      </c>
    </row>
    <row r="361" spans="1:8" s="156" customFormat="1" ht="14.25" x14ac:dyDescent="0.2">
      <c r="A361" s="155" t="s">
        <v>2264</v>
      </c>
      <c r="B361" s="124"/>
      <c r="C361" s="123" t="s">
        <v>3747</v>
      </c>
      <c r="D361" s="124">
        <v>1</v>
      </c>
      <c r="E361" s="124" t="s">
        <v>25</v>
      </c>
      <c r="F361" s="125">
        <v>300000</v>
      </c>
      <c r="G361" s="125">
        <f t="shared" si="12"/>
        <v>300000</v>
      </c>
      <c r="H361" s="154" t="b">
        <f t="shared" si="10"/>
        <v>1</v>
      </c>
    </row>
    <row r="362" spans="1:8" ht="25.5" x14ac:dyDescent="0.2">
      <c r="A362" s="7" t="s">
        <v>2266</v>
      </c>
      <c r="B362" s="124"/>
      <c r="C362" s="123" t="s">
        <v>3748</v>
      </c>
      <c r="D362" s="124">
        <v>3</v>
      </c>
      <c r="E362" s="124" t="s">
        <v>25</v>
      </c>
      <c r="F362" s="125">
        <v>300000</v>
      </c>
      <c r="G362" s="125">
        <f t="shared" si="12"/>
        <v>900000</v>
      </c>
      <c r="H362" s="154" t="b">
        <f t="shared" si="10"/>
        <v>1</v>
      </c>
    </row>
    <row r="363" spans="1:8" ht="14.25" x14ac:dyDescent="0.2">
      <c r="A363" s="7" t="s">
        <v>3749</v>
      </c>
      <c r="B363" s="59" t="s">
        <v>3750</v>
      </c>
      <c r="C363" s="38" t="s">
        <v>3751</v>
      </c>
      <c r="D363" s="59"/>
      <c r="E363" s="59"/>
      <c r="F363" s="39"/>
      <c r="G363" s="39">
        <f>SUM(G364,G369,G374)</f>
        <v>100000000</v>
      </c>
      <c r="H363" s="154" t="b">
        <f t="shared" si="10"/>
        <v>1</v>
      </c>
    </row>
    <row r="364" spans="1:8" ht="14.25" x14ac:dyDescent="0.2">
      <c r="A364" s="7" t="s">
        <v>3752</v>
      </c>
      <c r="B364" s="60">
        <v>521111</v>
      </c>
      <c r="C364" s="41" t="s">
        <v>90</v>
      </c>
      <c r="D364" s="60"/>
      <c r="E364" s="60"/>
      <c r="F364" s="42"/>
      <c r="G364" s="42">
        <f>SUM(G365:G368)</f>
        <v>45000000</v>
      </c>
      <c r="H364" s="154" t="b">
        <f t="shared" si="10"/>
        <v>1</v>
      </c>
    </row>
    <row r="365" spans="1:8" ht="14.25" x14ac:dyDescent="0.2">
      <c r="A365" s="7" t="s">
        <v>3753</v>
      </c>
      <c r="B365" s="124"/>
      <c r="C365" s="123" t="s">
        <v>3754</v>
      </c>
      <c r="D365" s="124">
        <v>1</v>
      </c>
      <c r="E365" s="124" t="s">
        <v>60</v>
      </c>
      <c r="F365" s="125">
        <v>3000000</v>
      </c>
      <c r="G365" s="125">
        <f>ROUNDDOWN(D365*F365,-3)</f>
        <v>3000000</v>
      </c>
      <c r="H365" s="154" t="b">
        <f t="shared" si="10"/>
        <v>1</v>
      </c>
    </row>
    <row r="366" spans="1:8" s="156" customFormat="1" ht="14.25" x14ac:dyDescent="0.2">
      <c r="A366" s="155" t="s">
        <v>3755</v>
      </c>
      <c r="B366" s="124"/>
      <c r="C366" s="123" t="s">
        <v>3756</v>
      </c>
      <c r="D366" s="124">
        <v>48</v>
      </c>
      <c r="E366" s="124" t="s">
        <v>58</v>
      </c>
      <c r="F366" s="125">
        <v>500000</v>
      </c>
      <c r="G366" s="125">
        <f>ROUNDDOWN(D366*F366,-3)</f>
        <v>24000000</v>
      </c>
      <c r="H366" s="154" t="b">
        <f t="shared" si="10"/>
        <v>1</v>
      </c>
    </row>
    <row r="367" spans="1:8" ht="14.25" x14ac:dyDescent="0.2">
      <c r="A367" s="7" t="s">
        <v>3757</v>
      </c>
      <c r="B367" s="124"/>
      <c r="C367" s="123" t="s">
        <v>3758</v>
      </c>
      <c r="D367" s="124">
        <v>12</v>
      </c>
      <c r="E367" s="124" t="s">
        <v>78</v>
      </c>
      <c r="F367" s="125">
        <v>500000</v>
      </c>
      <c r="G367" s="125">
        <f>ROUNDDOWN(D367*F367,-3)</f>
        <v>6000000</v>
      </c>
      <c r="H367" s="154" t="b">
        <f t="shared" si="10"/>
        <v>1</v>
      </c>
    </row>
    <row r="368" spans="1:8" ht="14.25" x14ac:dyDescent="0.2">
      <c r="A368" s="7" t="s">
        <v>3759</v>
      </c>
      <c r="B368" s="124"/>
      <c r="C368" s="123" t="s">
        <v>3760</v>
      </c>
      <c r="D368" s="124">
        <v>60</v>
      </c>
      <c r="E368" s="124" t="s">
        <v>116</v>
      </c>
      <c r="F368" s="125">
        <v>200000</v>
      </c>
      <c r="G368" s="125">
        <f>ROUNDDOWN(D368*F368,-3)</f>
        <v>12000000</v>
      </c>
      <c r="H368" s="154" t="b">
        <f t="shared" si="10"/>
        <v>1</v>
      </c>
    </row>
    <row r="369" spans="1:8" ht="14.25" x14ac:dyDescent="0.2">
      <c r="A369" s="7" t="s">
        <v>3761</v>
      </c>
      <c r="B369" s="60">
        <v>521811</v>
      </c>
      <c r="C369" s="41" t="s">
        <v>64</v>
      </c>
      <c r="D369" s="60"/>
      <c r="E369" s="60"/>
      <c r="F369" s="42"/>
      <c r="G369" s="42">
        <f>SUM(G370:G373)</f>
        <v>26000000</v>
      </c>
      <c r="H369" s="154" t="b">
        <f t="shared" si="10"/>
        <v>1</v>
      </c>
    </row>
    <row r="370" spans="1:8" ht="14.25" x14ac:dyDescent="0.2">
      <c r="A370" s="7" t="s">
        <v>3762</v>
      </c>
      <c r="B370" s="124"/>
      <c r="C370" s="123" t="s">
        <v>3595</v>
      </c>
      <c r="D370" s="124">
        <v>8</v>
      </c>
      <c r="E370" s="124" t="s">
        <v>9</v>
      </c>
      <c r="F370" s="125">
        <v>1000000</v>
      </c>
      <c r="G370" s="125">
        <f>ROUNDDOWN(D370*F370,-3)</f>
        <v>8000000</v>
      </c>
      <c r="H370" s="154" t="b">
        <f t="shared" si="10"/>
        <v>1</v>
      </c>
    </row>
    <row r="371" spans="1:8" ht="14.25" x14ac:dyDescent="0.2">
      <c r="A371" s="7" t="s">
        <v>3763</v>
      </c>
      <c r="B371" s="124"/>
      <c r="C371" s="123" t="s">
        <v>3596</v>
      </c>
      <c r="D371" s="124">
        <v>8</v>
      </c>
      <c r="E371" s="124" t="s">
        <v>9</v>
      </c>
      <c r="F371" s="125">
        <v>1500000</v>
      </c>
      <c r="G371" s="125">
        <f>ROUNDDOWN(D371*F371,-3)</f>
        <v>12000000</v>
      </c>
      <c r="H371" s="154" t="b">
        <f t="shared" si="10"/>
        <v>1</v>
      </c>
    </row>
    <row r="372" spans="1:8" ht="14.25" x14ac:dyDescent="0.2">
      <c r="A372" s="7" t="s">
        <v>3764</v>
      </c>
      <c r="B372" s="124"/>
      <c r="C372" s="123" t="s">
        <v>3765</v>
      </c>
      <c r="D372" s="124">
        <v>200</v>
      </c>
      <c r="E372" s="124" t="s">
        <v>120</v>
      </c>
      <c r="F372" s="125">
        <v>5000</v>
      </c>
      <c r="G372" s="125">
        <f>ROUNDDOWN(D372*F372,-3)</f>
        <v>1000000</v>
      </c>
      <c r="H372" s="154" t="b">
        <f t="shared" si="10"/>
        <v>1</v>
      </c>
    </row>
    <row r="373" spans="1:8" s="156" customFormat="1" ht="14.25" x14ac:dyDescent="0.2">
      <c r="A373" s="155" t="s">
        <v>3766</v>
      </c>
      <c r="B373" s="124"/>
      <c r="C373" s="123" t="s">
        <v>3767</v>
      </c>
      <c r="D373" s="124">
        <v>200</v>
      </c>
      <c r="E373" s="124" t="s">
        <v>120</v>
      </c>
      <c r="F373" s="125">
        <v>25000</v>
      </c>
      <c r="G373" s="125">
        <f>ROUNDDOWN(D373*F373,-3)</f>
        <v>5000000</v>
      </c>
      <c r="H373" s="154" t="b">
        <f t="shared" si="10"/>
        <v>1</v>
      </c>
    </row>
    <row r="374" spans="1:8" ht="14.25" x14ac:dyDescent="0.2">
      <c r="A374" s="7" t="s">
        <v>3768</v>
      </c>
      <c r="B374" s="60">
        <v>523121</v>
      </c>
      <c r="C374" s="41" t="s">
        <v>99</v>
      </c>
      <c r="D374" s="60"/>
      <c r="E374" s="60"/>
      <c r="F374" s="42"/>
      <c r="G374" s="42">
        <f>SUM(G375:G379)</f>
        <v>29000000</v>
      </c>
      <c r="H374" s="154" t="b">
        <f t="shared" si="10"/>
        <v>1</v>
      </c>
    </row>
    <row r="375" spans="1:8" s="156" customFormat="1" ht="14.25" x14ac:dyDescent="0.2">
      <c r="A375" s="155" t="s">
        <v>3769</v>
      </c>
      <c r="B375" s="124"/>
      <c r="C375" s="123" t="s">
        <v>3770</v>
      </c>
      <c r="D375" s="124">
        <v>1</v>
      </c>
      <c r="E375" s="124" t="s">
        <v>42</v>
      </c>
      <c r="F375" s="125">
        <v>7200000</v>
      </c>
      <c r="G375" s="125">
        <f>ROUNDDOWN(D375*F375,-3)</f>
        <v>7200000</v>
      </c>
      <c r="H375" s="154" t="b">
        <f t="shared" si="10"/>
        <v>1</v>
      </c>
    </row>
    <row r="376" spans="1:8" ht="14.25" x14ac:dyDescent="0.2">
      <c r="A376" s="7" t="s">
        <v>3771</v>
      </c>
      <c r="B376" s="124"/>
      <c r="C376" s="123" t="s">
        <v>3772</v>
      </c>
      <c r="D376" s="124">
        <v>10</v>
      </c>
      <c r="E376" s="124" t="s">
        <v>42</v>
      </c>
      <c r="F376" s="125">
        <v>730000</v>
      </c>
      <c r="G376" s="125">
        <f>ROUNDDOWN(D376*F376,-3)</f>
        <v>7300000</v>
      </c>
      <c r="H376" s="154" t="b">
        <f t="shared" si="10"/>
        <v>1</v>
      </c>
    </row>
    <row r="377" spans="1:8" ht="14.25" x14ac:dyDescent="0.2">
      <c r="A377" s="7" t="s">
        <v>3773</v>
      </c>
      <c r="B377" s="124"/>
      <c r="C377" s="123" t="s">
        <v>3774</v>
      </c>
      <c r="D377" s="124">
        <v>10</v>
      </c>
      <c r="E377" s="124" t="s">
        <v>44</v>
      </c>
      <c r="F377" s="125">
        <v>730000</v>
      </c>
      <c r="G377" s="125">
        <f>ROUNDDOWN(D377*F377,-3)</f>
        <v>7300000</v>
      </c>
      <c r="H377" s="154" t="b">
        <f t="shared" si="10"/>
        <v>1</v>
      </c>
    </row>
    <row r="378" spans="1:8" ht="14.25" x14ac:dyDescent="0.2">
      <c r="A378" s="7" t="s">
        <v>3775</v>
      </c>
      <c r="B378" s="124"/>
      <c r="C378" s="123" t="s">
        <v>3776</v>
      </c>
      <c r="D378" s="124">
        <v>10</v>
      </c>
      <c r="E378" s="124" t="s">
        <v>44</v>
      </c>
      <c r="F378" s="125">
        <v>690000</v>
      </c>
      <c r="G378" s="125">
        <f>ROUNDDOWN(D378*F378,-3)</f>
        <v>6900000</v>
      </c>
      <c r="H378" s="154" t="b">
        <f t="shared" si="10"/>
        <v>1</v>
      </c>
    </row>
    <row r="379" spans="1:8" ht="14.25" x14ac:dyDescent="0.2">
      <c r="A379" s="7" t="s">
        <v>3777</v>
      </c>
      <c r="B379" s="124"/>
      <c r="C379" s="123" t="s">
        <v>3778</v>
      </c>
      <c r="D379" s="124">
        <v>1</v>
      </c>
      <c r="E379" s="124" t="s">
        <v>60</v>
      </c>
      <c r="F379" s="125">
        <v>300000</v>
      </c>
      <c r="G379" s="125">
        <f>ROUNDDOWN(D379*F379,-3)</f>
        <v>300000</v>
      </c>
      <c r="H379" s="154" t="b">
        <f t="shared" si="10"/>
        <v>1</v>
      </c>
    </row>
    <row r="380" spans="1:8" ht="14.25" x14ac:dyDescent="0.2">
      <c r="A380" s="7" t="s">
        <v>2268</v>
      </c>
      <c r="B380" s="116" t="s">
        <v>2269</v>
      </c>
      <c r="C380" s="114" t="s">
        <v>2270</v>
      </c>
      <c r="D380" s="116">
        <v>2</v>
      </c>
      <c r="E380" s="116" t="s">
        <v>42</v>
      </c>
      <c r="F380" s="117"/>
      <c r="G380" s="117">
        <f>G381</f>
        <v>540934000</v>
      </c>
      <c r="H380" s="154" t="b">
        <f t="shared" si="10"/>
        <v>1</v>
      </c>
    </row>
    <row r="381" spans="1:8" ht="14.25" x14ac:dyDescent="0.2">
      <c r="A381" s="7" t="s">
        <v>2271</v>
      </c>
      <c r="B381" s="119" t="s">
        <v>3779</v>
      </c>
      <c r="C381" s="118" t="s">
        <v>2273</v>
      </c>
      <c r="D381" s="119">
        <v>1</v>
      </c>
      <c r="E381" s="119" t="s">
        <v>42</v>
      </c>
      <c r="F381" s="120"/>
      <c r="G381" s="120">
        <f>G382</f>
        <v>540934000</v>
      </c>
      <c r="H381" s="154" t="b">
        <f t="shared" si="10"/>
        <v>1</v>
      </c>
    </row>
    <row r="382" spans="1:8" ht="25.5" x14ac:dyDescent="0.2">
      <c r="A382" s="7" t="s">
        <v>2289</v>
      </c>
      <c r="B382" s="58">
        <v>301</v>
      </c>
      <c r="C382" s="35" t="s">
        <v>2290</v>
      </c>
      <c r="D382" s="58"/>
      <c r="E382" s="58"/>
      <c r="F382" s="36"/>
      <c r="G382" s="36">
        <f>G383</f>
        <v>540934000</v>
      </c>
      <c r="H382" s="154" t="b">
        <f t="shared" si="10"/>
        <v>1</v>
      </c>
    </row>
    <row r="383" spans="1:8" ht="14.25" x14ac:dyDescent="0.2">
      <c r="A383" s="7" t="s">
        <v>2291</v>
      </c>
      <c r="B383" s="59" t="s">
        <v>8</v>
      </c>
      <c r="C383" s="38" t="s">
        <v>2292</v>
      </c>
      <c r="D383" s="59"/>
      <c r="E383" s="59"/>
      <c r="F383" s="39"/>
      <c r="G383" s="39">
        <f>G384</f>
        <v>540934000</v>
      </c>
      <c r="H383" s="154" t="b">
        <f t="shared" si="10"/>
        <v>1</v>
      </c>
    </row>
    <row r="384" spans="1:8" ht="14.25" x14ac:dyDescent="0.2">
      <c r="A384" s="7" t="s">
        <v>2293</v>
      </c>
      <c r="B384" s="60">
        <v>532111</v>
      </c>
      <c r="C384" s="41" t="s">
        <v>43</v>
      </c>
      <c r="D384" s="60"/>
      <c r="E384" s="60"/>
      <c r="F384" s="42"/>
      <c r="G384" s="42">
        <f>G385</f>
        <v>540934000</v>
      </c>
      <c r="H384" s="154" t="b">
        <f t="shared" si="10"/>
        <v>1</v>
      </c>
    </row>
    <row r="385" spans="1:8" ht="14.25" x14ac:dyDescent="0.2">
      <c r="A385" s="7" t="s">
        <v>2294</v>
      </c>
      <c r="B385" s="124"/>
      <c r="C385" s="123" t="s">
        <v>3780</v>
      </c>
      <c r="D385" s="124">
        <v>1</v>
      </c>
      <c r="E385" s="124" t="s">
        <v>42</v>
      </c>
      <c r="F385" s="125">
        <v>540934000</v>
      </c>
      <c r="G385" s="125">
        <f>ROUNDDOWN(D385*F385,-3)</f>
        <v>540934000</v>
      </c>
      <c r="H385" s="154" t="b">
        <f t="shared" si="10"/>
        <v>1</v>
      </c>
    </row>
    <row r="386" spans="1:8" ht="14.25" x14ac:dyDescent="0.2">
      <c r="A386" s="7" t="s">
        <v>2465</v>
      </c>
      <c r="B386" s="116" t="s">
        <v>2466</v>
      </c>
      <c r="C386" s="114" t="s">
        <v>2467</v>
      </c>
      <c r="D386" s="116">
        <v>5</v>
      </c>
      <c r="E386" s="116" t="s">
        <v>3782</v>
      </c>
      <c r="F386" s="117"/>
      <c r="G386" s="117">
        <f>SUM(G387,G427,G469)</f>
        <v>1538790000</v>
      </c>
      <c r="H386" s="154" t="b">
        <f t="shared" si="10"/>
        <v>1</v>
      </c>
    </row>
    <row r="387" spans="1:8" ht="14.25" x14ac:dyDescent="0.2">
      <c r="A387" s="7" t="s">
        <v>2468</v>
      </c>
      <c r="B387" s="119" t="s">
        <v>3783</v>
      </c>
      <c r="C387" s="118" t="s">
        <v>2470</v>
      </c>
      <c r="D387" s="119">
        <v>1</v>
      </c>
      <c r="E387" s="119" t="s">
        <v>3782</v>
      </c>
      <c r="F387" s="120"/>
      <c r="G387" s="120">
        <f>G388</f>
        <v>615138000</v>
      </c>
      <c r="H387" s="154" t="b">
        <f t="shared" si="10"/>
        <v>1</v>
      </c>
    </row>
    <row r="388" spans="1:8" ht="25.5" x14ac:dyDescent="0.2">
      <c r="A388" s="7" t="s">
        <v>2739</v>
      </c>
      <c r="B388" s="58">
        <v>301</v>
      </c>
      <c r="C388" s="35" t="s">
        <v>2740</v>
      </c>
      <c r="D388" s="58"/>
      <c r="E388" s="58"/>
      <c r="F388" s="36"/>
      <c r="G388" s="36">
        <f>SUM(G389,G401,G415)</f>
        <v>615138000</v>
      </c>
      <c r="H388" s="154" t="b">
        <f t="shared" si="10"/>
        <v>1</v>
      </c>
    </row>
    <row r="389" spans="1:8" ht="14.25" x14ac:dyDescent="0.2">
      <c r="A389" s="7" t="s">
        <v>2741</v>
      </c>
      <c r="B389" s="59" t="s">
        <v>8</v>
      </c>
      <c r="C389" s="38" t="s">
        <v>129</v>
      </c>
      <c r="D389" s="59"/>
      <c r="E389" s="59"/>
      <c r="F389" s="39"/>
      <c r="G389" s="39">
        <f>SUM(G390,G394,G396,G399)</f>
        <v>101050000</v>
      </c>
      <c r="H389" s="154" t="b">
        <f t="shared" si="10"/>
        <v>1</v>
      </c>
    </row>
    <row r="390" spans="1:8" ht="14.25" x14ac:dyDescent="0.2">
      <c r="A390" s="7" t="s">
        <v>2742</v>
      </c>
      <c r="B390" s="60">
        <v>521211</v>
      </c>
      <c r="C390" s="41" t="s">
        <v>7</v>
      </c>
      <c r="D390" s="60"/>
      <c r="E390" s="60"/>
      <c r="F390" s="42"/>
      <c r="G390" s="42">
        <f>SUM(G391:G393)</f>
        <v>22650000</v>
      </c>
      <c r="H390" s="154" t="b">
        <f t="shared" si="10"/>
        <v>1</v>
      </c>
    </row>
    <row r="391" spans="1:8" ht="14.25" x14ac:dyDescent="0.2">
      <c r="A391" s="7" t="s">
        <v>2743</v>
      </c>
      <c r="B391" s="124"/>
      <c r="C391" s="123" t="s">
        <v>3587</v>
      </c>
      <c r="D391" s="124">
        <v>6</v>
      </c>
      <c r="E391" s="124" t="s">
        <v>9</v>
      </c>
      <c r="F391" s="125">
        <v>1500000</v>
      </c>
      <c r="G391" s="125">
        <f>ROUNDDOWN(D391*F391,-3)</f>
        <v>9000000</v>
      </c>
      <c r="H391" s="154" t="b">
        <f t="shared" si="10"/>
        <v>1</v>
      </c>
    </row>
    <row r="392" spans="1:8" ht="14.25" x14ac:dyDescent="0.2">
      <c r="A392" s="7" t="s">
        <v>2744</v>
      </c>
      <c r="B392" s="124"/>
      <c r="C392" s="123" t="s">
        <v>3784</v>
      </c>
      <c r="D392" s="124">
        <v>70</v>
      </c>
      <c r="E392" s="124" t="s">
        <v>10</v>
      </c>
      <c r="F392" s="125">
        <v>70000</v>
      </c>
      <c r="G392" s="125">
        <f>ROUNDDOWN(D392*F392,-3)</f>
        <v>4900000</v>
      </c>
      <c r="H392" s="154" t="b">
        <f t="shared" si="10"/>
        <v>1</v>
      </c>
    </row>
    <row r="393" spans="1:8" ht="14.25" x14ac:dyDescent="0.2">
      <c r="A393" s="7" t="s">
        <v>2746</v>
      </c>
      <c r="B393" s="124"/>
      <c r="C393" s="123" t="s">
        <v>3785</v>
      </c>
      <c r="D393" s="124">
        <v>25</v>
      </c>
      <c r="E393" s="124" t="s">
        <v>176</v>
      </c>
      <c r="F393" s="125">
        <v>350000</v>
      </c>
      <c r="G393" s="125">
        <f>ROUNDDOWN(D393*F393,-3)</f>
        <v>8750000</v>
      </c>
      <c r="H393" s="154" t="b">
        <f t="shared" si="10"/>
        <v>1</v>
      </c>
    </row>
    <row r="394" spans="1:8" ht="14.25" x14ac:dyDescent="0.2">
      <c r="A394" s="7" t="s">
        <v>2747</v>
      </c>
      <c r="B394" s="60">
        <v>521219</v>
      </c>
      <c r="C394" s="41" t="s">
        <v>53</v>
      </c>
      <c r="D394" s="60"/>
      <c r="E394" s="60"/>
      <c r="F394" s="42"/>
      <c r="G394" s="42">
        <f>G395</f>
        <v>1000000</v>
      </c>
      <c r="H394" s="154" t="b">
        <f t="shared" si="10"/>
        <v>1</v>
      </c>
    </row>
    <row r="395" spans="1:8" ht="14.25" x14ac:dyDescent="0.2">
      <c r="A395" s="7" t="s">
        <v>2748</v>
      </c>
      <c r="B395" s="124"/>
      <c r="C395" s="123" t="s">
        <v>3610</v>
      </c>
      <c r="D395" s="124">
        <v>4</v>
      </c>
      <c r="E395" s="124" t="s">
        <v>2749</v>
      </c>
      <c r="F395" s="125">
        <v>250000</v>
      </c>
      <c r="G395" s="125">
        <f>ROUNDDOWN(D395*F395,-3)</f>
        <v>1000000</v>
      </c>
      <c r="H395" s="154" t="b">
        <f t="shared" si="10"/>
        <v>1</v>
      </c>
    </row>
    <row r="396" spans="1:8" ht="14.25" x14ac:dyDescent="0.2">
      <c r="A396" s="7" t="s">
        <v>2750</v>
      </c>
      <c r="B396" s="60">
        <v>521811</v>
      </c>
      <c r="C396" s="41" t="s">
        <v>64</v>
      </c>
      <c r="D396" s="60"/>
      <c r="E396" s="60"/>
      <c r="F396" s="42"/>
      <c r="G396" s="42">
        <f>SUM(G397:G398)</f>
        <v>15000000</v>
      </c>
      <c r="H396" s="154" t="b">
        <f t="shared" si="10"/>
        <v>1</v>
      </c>
    </row>
    <row r="397" spans="1:8" ht="14.25" x14ac:dyDescent="0.2">
      <c r="A397" s="7" t="s">
        <v>2751</v>
      </c>
      <c r="B397" s="124"/>
      <c r="C397" s="123" t="s">
        <v>3595</v>
      </c>
      <c r="D397" s="124">
        <v>6</v>
      </c>
      <c r="E397" s="124" t="s">
        <v>106</v>
      </c>
      <c r="F397" s="125">
        <v>1000000</v>
      </c>
      <c r="G397" s="125">
        <f>ROUNDDOWN(D397*F397,-3)</f>
        <v>6000000</v>
      </c>
      <c r="H397" s="154" t="b">
        <f t="shared" ref="H397:H460" si="13">_xlfn.ISFORMULA(G397)</f>
        <v>1</v>
      </c>
    </row>
    <row r="398" spans="1:8" ht="14.25" x14ac:dyDescent="0.2">
      <c r="A398" s="7" t="s">
        <v>2752</v>
      </c>
      <c r="B398" s="124"/>
      <c r="C398" s="123" t="s">
        <v>3596</v>
      </c>
      <c r="D398" s="124">
        <v>6</v>
      </c>
      <c r="E398" s="124" t="s">
        <v>106</v>
      </c>
      <c r="F398" s="125">
        <v>1500000</v>
      </c>
      <c r="G398" s="125">
        <f>ROUNDDOWN(D398*F398,-3)</f>
        <v>9000000</v>
      </c>
      <c r="H398" s="154" t="b">
        <f t="shared" si="13"/>
        <v>1</v>
      </c>
    </row>
    <row r="399" spans="1:8" ht="14.25" x14ac:dyDescent="0.2">
      <c r="A399" s="7" t="s">
        <v>2753</v>
      </c>
      <c r="B399" s="60">
        <v>524111</v>
      </c>
      <c r="C399" s="41" t="s">
        <v>19</v>
      </c>
      <c r="D399" s="60"/>
      <c r="E399" s="60"/>
      <c r="F399" s="42"/>
      <c r="G399" s="42">
        <f>G400</f>
        <v>62400000</v>
      </c>
      <c r="H399" s="154" t="b">
        <f t="shared" si="13"/>
        <v>1</v>
      </c>
    </row>
    <row r="400" spans="1:8" ht="25.5" x14ac:dyDescent="0.2">
      <c r="A400" s="7" t="s">
        <v>2754</v>
      </c>
      <c r="B400" s="124"/>
      <c r="C400" s="123" t="s">
        <v>3786</v>
      </c>
      <c r="D400" s="124">
        <v>12</v>
      </c>
      <c r="E400" s="124" t="s">
        <v>10</v>
      </c>
      <c r="F400" s="125">
        <v>5200000</v>
      </c>
      <c r="G400" s="125">
        <f>ROUNDDOWN(D400*F400,-3)</f>
        <v>62400000</v>
      </c>
      <c r="H400" s="154" t="b">
        <f t="shared" si="13"/>
        <v>1</v>
      </c>
    </row>
    <row r="401" spans="1:8" ht="14.25" x14ac:dyDescent="0.2">
      <c r="A401" s="7" t="s">
        <v>2756</v>
      </c>
      <c r="B401" s="59" t="s">
        <v>511</v>
      </c>
      <c r="C401" s="38" t="s">
        <v>130</v>
      </c>
      <c r="D401" s="59"/>
      <c r="E401" s="59"/>
      <c r="F401" s="39"/>
      <c r="G401" s="39">
        <f>SUM(G402,G406,G408,G411,G413)</f>
        <v>345988000</v>
      </c>
      <c r="H401" s="154" t="b">
        <f t="shared" si="13"/>
        <v>1</v>
      </c>
    </row>
    <row r="402" spans="1:8" ht="14.25" x14ac:dyDescent="0.2">
      <c r="A402" s="7" t="s">
        <v>2757</v>
      </c>
      <c r="B402" s="60">
        <v>521211</v>
      </c>
      <c r="C402" s="41" t="s">
        <v>7</v>
      </c>
      <c r="D402" s="60"/>
      <c r="E402" s="60"/>
      <c r="F402" s="42"/>
      <c r="G402" s="42">
        <f>SUM(G403:G405)</f>
        <v>49300000</v>
      </c>
      <c r="H402" s="154" t="b">
        <f t="shared" si="13"/>
        <v>1</v>
      </c>
    </row>
    <row r="403" spans="1:8" ht="14.25" x14ac:dyDescent="0.2">
      <c r="A403" s="7" t="s">
        <v>2758</v>
      </c>
      <c r="B403" s="124"/>
      <c r="C403" s="123" t="s">
        <v>3587</v>
      </c>
      <c r="D403" s="124">
        <v>10</v>
      </c>
      <c r="E403" s="124" t="s">
        <v>9</v>
      </c>
      <c r="F403" s="125">
        <v>1500000</v>
      </c>
      <c r="G403" s="125">
        <f>ROUNDDOWN(D403*F403,-3)</f>
        <v>15000000</v>
      </c>
      <c r="H403" s="154" t="b">
        <f t="shared" si="13"/>
        <v>1</v>
      </c>
    </row>
    <row r="404" spans="1:8" ht="14.25" x14ac:dyDescent="0.2">
      <c r="A404" s="7" t="s">
        <v>2759</v>
      </c>
      <c r="B404" s="124"/>
      <c r="C404" s="123" t="s">
        <v>3784</v>
      </c>
      <c r="D404" s="124">
        <v>290</v>
      </c>
      <c r="E404" s="124" t="s">
        <v>10</v>
      </c>
      <c r="F404" s="125">
        <v>70000</v>
      </c>
      <c r="G404" s="125">
        <f>ROUNDDOWN(D404*F404,-3)</f>
        <v>20300000</v>
      </c>
      <c r="H404" s="154" t="b">
        <f t="shared" si="13"/>
        <v>1</v>
      </c>
    </row>
    <row r="405" spans="1:8" ht="14.25" x14ac:dyDescent="0.2">
      <c r="A405" s="7" t="s">
        <v>2760</v>
      </c>
      <c r="B405" s="124"/>
      <c r="C405" s="123" t="s">
        <v>3785</v>
      </c>
      <c r="D405" s="124">
        <v>40</v>
      </c>
      <c r="E405" s="124" t="s">
        <v>176</v>
      </c>
      <c r="F405" s="125">
        <v>350000</v>
      </c>
      <c r="G405" s="125">
        <f>ROUNDDOWN(D405*F405,-3)</f>
        <v>14000000</v>
      </c>
      <c r="H405" s="154" t="b">
        <f t="shared" si="13"/>
        <v>1</v>
      </c>
    </row>
    <row r="406" spans="1:8" ht="14.25" x14ac:dyDescent="0.2">
      <c r="A406" s="7" t="s">
        <v>2761</v>
      </c>
      <c r="B406" s="60">
        <v>521219</v>
      </c>
      <c r="C406" s="41" t="s">
        <v>53</v>
      </c>
      <c r="D406" s="60"/>
      <c r="E406" s="60"/>
      <c r="F406" s="42"/>
      <c r="G406" s="42">
        <f>G407</f>
        <v>1000000</v>
      </c>
      <c r="H406" s="154" t="b">
        <f t="shared" si="13"/>
        <v>1</v>
      </c>
    </row>
    <row r="407" spans="1:8" ht="14.25" x14ac:dyDescent="0.2">
      <c r="A407" s="7" t="s">
        <v>2762</v>
      </c>
      <c r="B407" s="124"/>
      <c r="C407" s="123" t="s">
        <v>3610</v>
      </c>
      <c r="D407" s="124">
        <v>4</v>
      </c>
      <c r="E407" s="124" t="s">
        <v>9</v>
      </c>
      <c r="F407" s="125">
        <v>250000</v>
      </c>
      <c r="G407" s="125">
        <f>ROUNDDOWN(D407*F407,-3)</f>
        <v>1000000</v>
      </c>
      <c r="H407" s="154" t="b">
        <f t="shared" si="13"/>
        <v>1</v>
      </c>
    </row>
    <row r="408" spans="1:8" ht="14.25" x14ac:dyDescent="0.2">
      <c r="A408" s="7" t="s">
        <v>2763</v>
      </c>
      <c r="B408" s="60">
        <v>521811</v>
      </c>
      <c r="C408" s="41" t="s">
        <v>64</v>
      </c>
      <c r="D408" s="60"/>
      <c r="E408" s="60"/>
      <c r="F408" s="42"/>
      <c r="G408" s="42">
        <f>SUM(G409:G410)</f>
        <v>25000000</v>
      </c>
      <c r="H408" s="154" t="b">
        <f t="shared" si="13"/>
        <v>1</v>
      </c>
    </row>
    <row r="409" spans="1:8" ht="14.25" x14ac:dyDescent="0.2">
      <c r="A409" s="7" t="s">
        <v>2764</v>
      </c>
      <c r="B409" s="124"/>
      <c r="C409" s="123" t="s">
        <v>3595</v>
      </c>
      <c r="D409" s="124">
        <v>10</v>
      </c>
      <c r="E409" s="124" t="s">
        <v>106</v>
      </c>
      <c r="F409" s="125">
        <v>1000000</v>
      </c>
      <c r="G409" s="125">
        <f>ROUNDDOWN(D409*F409,-3)</f>
        <v>10000000</v>
      </c>
      <c r="H409" s="154" t="b">
        <f t="shared" si="13"/>
        <v>1</v>
      </c>
    </row>
    <row r="410" spans="1:8" ht="14.25" x14ac:dyDescent="0.2">
      <c r="A410" s="7" t="s">
        <v>2765</v>
      </c>
      <c r="B410" s="124"/>
      <c r="C410" s="123" t="s">
        <v>3596</v>
      </c>
      <c r="D410" s="124">
        <v>10</v>
      </c>
      <c r="E410" s="124" t="s">
        <v>106</v>
      </c>
      <c r="F410" s="125">
        <v>1500000</v>
      </c>
      <c r="G410" s="125">
        <f>ROUNDDOWN(D410*F410,-3)</f>
        <v>15000000</v>
      </c>
      <c r="H410" s="154" t="b">
        <f t="shared" si="13"/>
        <v>1</v>
      </c>
    </row>
    <row r="411" spans="1:8" ht="14.25" x14ac:dyDescent="0.2">
      <c r="A411" s="7" t="s">
        <v>2766</v>
      </c>
      <c r="B411" s="60">
        <v>522151</v>
      </c>
      <c r="C411" s="41" t="s">
        <v>11</v>
      </c>
      <c r="D411" s="60"/>
      <c r="E411" s="60"/>
      <c r="F411" s="42"/>
      <c r="G411" s="42">
        <f>G412</f>
        <v>12000000</v>
      </c>
      <c r="H411" s="154" t="b">
        <f t="shared" si="13"/>
        <v>1</v>
      </c>
    </row>
    <row r="412" spans="1:8" ht="14.25" x14ac:dyDescent="0.2">
      <c r="A412" s="7" t="s">
        <v>2767</v>
      </c>
      <c r="B412" s="124"/>
      <c r="C412" s="123" t="s">
        <v>3603</v>
      </c>
      <c r="D412" s="124">
        <v>12</v>
      </c>
      <c r="E412" s="124" t="s">
        <v>54</v>
      </c>
      <c r="F412" s="125">
        <v>1000000</v>
      </c>
      <c r="G412" s="125">
        <f>ROUNDDOWN(D412*F412,-3)</f>
        <v>12000000</v>
      </c>
      <c r="H412" s="154" t="b">
        <f t="shared" si="13"/>
        <v>1</v>
      </c>
    </row>
    <row r="413" spans="1:8" ht="14.25" x14ac:dyDescent="0.2">
      <c r="A413" s="7" t="s">
        <v>2768</v>
      </c>
      <c r="B413" s="60">
        <v>524111</v>
      </c>
      <c r="C413" s="41" t="s">
        <v>19</v>
      </c>
      <c r="D413" s="60"/>
      <c r="E413" s="60"/>
      <c r="F413" s="42"/>
      <c r="G413" s="42">
        <f>G414</f>
        <v>258688000</v>
      </c>
      <c r="H413" s="154" t="b">
        <f t="shared" si="13"/>
        <v>1</v>
      </c>
    </row>
    <row r="414" spans="1:8" ht="14.25" x14ac:dyDescent="0.2">
      <c r="A414" s="7" t="s">
        <v>2769</v>
      </c>
      <c r="B414" s="124"/>
      <c r="C414" s="123" t="s">
        <v>3787</v>
      </c>
      <c r="D414" s="124">
        <v>40</v>
      </c>
      <c r="E414" s="124" t="s">
        <v>10</v>
      </c>
      <c r="F414" s="125">
        <v>6467200</v>
      </c>
      <c r="G414" s="125">
        <f>ROUNDDOWN(D414*F414,-3)</f>
        <v>258688000</v>
      </c>
      <c r="H414" s="154" t="b">
        <f t="shared" si="13"/>
        <v>1</v>
      </c>
    </row>
    <row r="415" spans="1:8" ht="14.25" x14ac:dyDescent="0.2">
      <c r="A415" s="7" t="s">
        <v>2771</v>
      </c>
      <c r="B415" s="59" t="s">
        <v>512</v>
      </c>
      <c r="C415" s="38" t="s">
        <v>131</v>
      </c>
      <c r="D415" s="59"/>
      <c r="E415" s="59"/>
      <c r="F415" s="39"/>
      <c r="G415" s="39">
        <f>SUM(G416,G420,G423,G425)</f>
        <v>168100000</v>
      </c>
      <c r="H415" s="154" t="b">
        <f t="shared" si="13"/>
        <v>1</v>
      </c>
    </row>
    <row r="416" spans="1:8" ht="14.25" x14ac:dyDescent="0.2">
      <c r="A416" s="7" t="s">
        <v>2772</v>
      </c>
      <c r="B416" s="60">
        <v>521211</v>
      </c>
      <c r="C416" s="41" t="s">
        <v>7</v>
      </c>
      <c r="D416" s="60"/>
      <c r="E416" s="60"/>
      <c r="F416" s="42"/>
      <c r="G416" s="42">
        <f>SUM(G417:G419)</f>
        <v>39500000</v>
      </c>
      <c r="H416" s="154" t="b">
        <f t="shared" si="13"/>
        <v>1</v>
      </c>
    </row>
    <row r="417" spans="1:8" ht="14.25" x14ac:dyDescent="0.2">
      <c r="A417" s="7" t="s">
        <v>2773</v>
      </c>
      <c r="B417" s="124"/>
      <c r="C417" s="123" t="s">
        <v>3587</v>
      </c>
      <c r="D417" s="124">
        <v>10</v>
      </c>
      <c r="E417" s="124" t="s">
        <v>9</v>
      </c>
      <c r="F417" s="125">
        <v>1500000</v>
      </c>
      <c r="G417" s="125">
        <f>ROUNDDOWN(D417*F417,-3)</f>
        <v>15000000</v>
      </c>
      <c r="H417" s="154" t="b">
        <f t="shared" si="13"/>
        <v>1</v>
      </c>
    </row>
    <row r="418" spans="1:8" ht="14.25" x14ac:dyDescent="0.2">
      <c r="A418" s="7" t="s">
        <v>2774</v>
      </c>
      <c r="B418" s="124"/>
      <c r="C418" s="123" t="s">
        <v>3784</v>
      </c>
      <c r="D418" s="124">
        <v>150</v>
      </c>
      <c r="E418" s="124" t="s">
        <v>10</v>
      </c>
      <c r="F418" s="125">
        <v>70000</v>
      </c>
      <c r="G418" s="125">
        <f>ROUNDDOWN(D418*F418,-3)</f>
        <v>10500000</v>
      </c>
      <c r="H418" s="154" t="b">
        <f t="shared" si="13"/>
        <v>1</v>
      </c>
    </row>
    <row r="419" spans="1:8" ht="14.25" x14ac:dyDescent="0.2">
      <c r="A419" s="7" t="s">
        <v>2775</v>
      </c>
      <c r="B419" s="124"/>
      <c r="C419" s="123" t="s">
        <v>3785</v>
      </c>
      <c r="D419" s="124">
        <v>40</v>
      </c>
      <c r="E419" s="124" t="s">
        <v>176</v>
      </c>
      <c r="F419" s="125">
        <v>350000</v>
      </c>
      <c r="G419" s="125">
        <f>ROUNDDOWN(D419*F419,-3)</f>
        <v>14000000</v>
      </c>
      <c r="H419" s="154" t="b">
        <f t="shared" si="13"/>
        <v>1</v>
      </c>
    </row>
    <row r="420" spans="1:8" ht="14.25" x14ac:dyDescent="0.2">
      <c r="A420" s="7" t="s">
        <v>2776</v>
      </c>
      <c r="B420" s="60">
        <v>521811</v>
      </c>
      <c r="C420" s="41" t="s">
        <v>64</v>
      </c>
      <c r="D420" s="60"/>
      <c r="E420" s="60"/>
      <c r="F420" s="42"/>
      <c r="G420" s="42">
        <f>SUM(G421:G422)</f>
        <v>25000000</v>
      </c>
      <c r="H420" s="154" t="b">
        <f t="shared" si="13"/>
        <v>1</v>
      </c>
    </row>
    <row r="421" spans="1:8" ht="14.25" x14ac:dyDescent="0.2">
      <c r="A421" s="7" t="s">
        <v>2777</v>
      </c>
      <c r="B421" s="124"/>
      <c r="C421" s="123" t="s">
        <v>3595</v>
      </c>
      <c r="D421" s="124">
        <v>10</v>
      </c>
      <c r="E421" s="124" t="s">
        <v>106</v>
      </c>
      <c r="F421" s="125">
        <v>1000000</v>
      </c>
      <c r="G421" s="125">
        <f>ROUNDDOWN(D421*F421,-3)</f>
        <v>10000000</v>
      </c>
      <c r="H421" s="154" t="b">
        <f t="shared" si="13"/>
        <v>1</v>
      </c>
    </row>
    <row r="422" spans="1:8" ht="14.25" x14ac:dyDescent="0.2">
      <c r="A422" s="7" t="s">
        <v>2778</v>
      </c>
      <c r="B422" s="124"/>
      <c r="C422" s="123" t="s">
        <v>3596</v>
      </c>
      <c r="D422" s="124">
        <v>10</v>
      </c>
      <c r="E422" s="124" t="s">
        <v>106</v>
      </c>
      <c r="F422" s="125">
        <v>1500000</v>
      </c>
      <c r="G422" s="125">
        <f>ROUNDDOWN(D422*F422,-3)</f>
        <v>15000000</v>
      </c>
      <c r="H422" s="154" t="b">
        <f t="shared" si="13"/>
        <v>1</v>
      </c>
    </row>
    <row r="423" spans="1:8" ht="14.25" x14ac:dyDescent="0.2">
      <c r="A423" s="7" t="s">
        <v>2779</v>
      </c>
      <c r="B423" s="60">
        <v>522151</v>
      </c>
      <c r="C423" s="41" t="s">
        <v>11</v>
      </c>
      <c r="D423" s="60"/>
      <c r="E423" s="60"/>
      <c r="F423" s="42"/>
      <c r="G423" s="42">
        <f>G424</f>
        <v>10000000</v>
      </c>
      <c r="H423" s="154" t="b">
        <f t="shared" si="13"/>
        <v>1</v>
      </c>
    </row>
    <row r="424" spans="1:8" ht="14.25" x14ac:dyDescent="0.2">
      <c r="A424" s="7" t="s">
        <v>2780</v>
      </c>
      <c r="B424" s="124"/>
      <c r="C424" s="123" t="s">
        <v>3603</v>
      </c>
      <c r="D424" s="124">
        <v>10</v>
      </c>
      <c r="E424" s="124" t="s">
        <v>54</v>
      </c>
      <c r="F424" s="125">
        <v>1000000</v>
      </c>
      <c r="G424" s="125">
        <f>ROUNDDOWN(D424*F424,-3)</f>
        <v>10000000</v>
      </c>
      <c r="H424" s="154" t="b">
        <f t="shared" si="13"/>
        <v>1</v>
      </c>
    </row>
    <row r="425" spans="1:8" ht="14.25" x14ac:dyDescent="0.2">
      <c r="A425" s="7" t="s">
        <v>2781</v>
      </c>
      <c r="B425" s="60">
        <v>524111</v>
      </c>
      <c r="C425" s="41" t="s">
        <v>19</v>
      </c>
      <c r="D425" s="60"/>
      <c r="E425" s="60"/>
      <c r="F425" s="42"/>
      <c r="G425" s="42">
        <f>G426</f>
        <v>93600000</v>
      </c>
      <c r="H425" s="154" t="b">
        <f t="shared" si="13"/>
        <v>1</v>
      </c>
    </row>
    <row r="426" spans="1:8" ht="25.5" x14ac:dyDescent="0.2">
      <c r="A426" s="7" t="s">
        <v>2782</v>
      </c>
      <c r="B426" s="124"/>
      <c r="C426" s="123" t="s">
        <v>3788</v>
      </c>
      <c r="D426" s="124">
        <v>18</v>
      </c>
      <c r="E426" s="124" t="s">
        <v>10</v>
      </c>
      <c r="F426" s="125">
        <v>5200000</v>
      </c>
      <c r="G426" s="125">
        <f>ROUNDDOWN(D426*F426,-3)</f>
        <v>93600000</v>
      </c>
      <c r="H426" s="154" t="b">
        <f t="shared" si="13"/>
        <v>1</v>
      </c>
    </row>
    <row r="427" spans="1:8" ht="14.25" x14ac:dyDescent="0.2">
      <c r="A427" s="7" t="s">
        <v>2784</v>
      </c>
      <c r="B427" s="119" t="s">
        <v>3789</v>
      </c>
      <c r="C427" s="118" t="s">
        <v>2786</v>
      </c>
      <c r="D427" s="119">
        <v>2</v>
      </c>
      <c r="E427" s="119" t="s">
        <v>3782</v>
      </c>
      <c r="F427" s="120"/>
      <c r="G427" s="120">
        <f>SUM(G428,G457)</f>
        <v>633732000</v>
      </c>
      <c r="H427" s="154" t="b">
        <f t="shared" si="13"/>
        <v>1</v>
      </c>
    </row>
    <row r="428" spans="1:8" ht="25.5" x14ac:dyDescent="0.2">
      <c r="A428" s="7" t="s">
        <v>3052</v>
      </c>
      <c r="B428" s="58">
        <v>301</v>
      </c>
      <c r="C428" s="35" t="s">
        <v>3053</v>
      </c>
      <c r="D428" s="58"/>
      <c r="E428" s="58"/>
      <c r="F428" s="36"/>
      <c r="G428" s="36">
        <f>SUM(G429,G440)</f>
        <v>507200000</v>
      </c>
      <c r="H428" s="154" t="b">
        <f t="shared" si="13"/>
        <v>1</v>
      </c>
    </row>
    <row r="429" spans="1:8" ht="25.5" x14ac:dyDescent="0.2">
      <c r="A429" s="7" t="s">
        <v>3054</v>
      </c>
      <c r="B429" s="59" t="s">
        <v>8</v>
      </c>
      <c r="C429" s="38" t="s">
        <v>174</v>
      </c>
      <c r="D429" s="59"/>
      <c r="E429" s="59"/>
      <c r="F429" s="39"/>
      <c r="G429" s="39">
        <f>SUM(G430,G436,G438)</f>
        <v>295200000</v>
      </c>
      <c r="H429" s="154" t="b">
        <f t="shared" si="13"/>
        <v>1</v>
      </c>
    </row>
    <row r="430" spans="1:8" ht="14.25" x14ac:dyDescent="0.2">
      <c r="A430" s="7" t="s">
        <v>3055</v>
      </c>
      <c r="B430" s="60">
        <v>521211</v>
      </c>
      <c r="C430" s="41" t="s">
        <v>7</v>
      </c>
      <c r="D430" s="60"/>
      <c r="E430" s="60"/>
      <c r="F430" s="42"/>
      <c r="G430" s="42">
        <f>SUM(G431:G435)</f>
        <v>46000000</v>
      </c>
      <c r="H430" s="154" t="b">
        <f t="shared" si="13"/>
        <v>1</v>
      </c>
    </row>
    <row r="431" spans="1:8" ht="14.25" x14ac:dyDescent="0.2">
      <c r="A431" s="7" t="s">
        <v>3056</v>
      </c>
      <c r="B431" s="124"/>
      <c r="C431" s="123" t="s">
        <v>3587</v>
      </c>
      <c r="D431" s="124">
        <v>5</v>
      </c>
      <c r="E431" s="124" t="s">
        <v>9</v>
      </c>
      <c r="F431" s="125">
        <v>1500000</v>
      </c>
      <c r="G431" s="125">
        <f>ROUNDDOWN(D431*F431,-3)</f>
        <v>7500000</v>
      </c>
      <c r="H431" s="154" t="b">
        <f t="shared" si="13"/>
        <v>1</v>
      </c>
    </row>
    <row r="432" spans="1:8" ht="14.25" x14ac:dyDescent="0.2">
      <c r="A432" s="7" t="s">
        <v>3057</v>
      </c>
      <c r="B432" s="124"/>
      <c r="C432" s="123" t="s">
        <v>3784</v>
      </c>
      <c r="D432" s="124">
        <v>280</v>
      </c>
      <c r="E432" s="124" t="s">
        <v>10</v>
      </c>
      <c r="F432" s="125">
        <v>75000</v>
      </c>
      <c r="G432" s="125">
        <f>ROUNDDOWN(D432*F432,-3)</f>
        <v>21000000</v>
      </c>
      <c r="H432" s="154" t="b">
        <f t="shared" si="13"/>
        <v>1</v>
      </c>
    </row>
    <row r="433" spans="1:8" ht="14.25" x14ac:dyDescent="0.2">
      <c r="A433" s="7" t="s">
        <v>3058</v>
      </c>
      <c r="B433" s="124"/>
      <c r="C433" s="123" t="s">
        <v>3785</v>
      </c>
      <c r="D433" s="124">
        <v>30</v>
      </c>
      <c r="E433" s="124" t="s">
        <v>176</v>
      </c>
      <c r="F433" s="125">
        <v>250000</v>
      </c>
      <c r="G433" s="125">
        <f>ROUNDDOWN(D433*F433,-3)</f>
        <v>7500000</v>
      </c>
      <c r="H433" s="154" t="b">
        <f t="shared" si="13"/>
        <v>1</v>
      </c>
    </row>
    <row r="434" spans="1:8" ht="14.25" x14ac:dyDescent="0.2">
      <c r="A434" s="7" t="s">
        <v>3059</v>
      </c>
      <c r="B434" s="124"/>
      <c r="C434" s="123" t="s">
        <v>3591</v>
      </c>
      <c r="D434" s="124">
        <v>4</v>
      </c>
      <c r="E434" s="124" t="s">
        <v>106</v>
      </c>
      <c r="F434" s="125">
        <v>1000000</v>
      </c>
      <c r="G434" s="125">
        <f>ROUNDDOWN(D434*F434,-3)</f>
        <v>4000000</v>
      </c>
      <c r="H434" s="154" t="b">
        <f t="shared" si="13"/>
        <v>1</v>
      </c>
    </row>
    <row r="435" spans="1:8" ht="14.25" x14ac:dyDescent="0.2">
      <c r="A435" s="7" t="s">
        <v>3060</v>
      </c>
      <c r="B435" s="124"/>
      <c r="C435" s="123" t="s">
        <v>3592</v>
      </c>
      <c r="D435" s="124">
        <v>4</v>
      </c>
      <c r="E435" s="124" t="s">
        <v>106</v>
      </c>
      <c r="F435" s="125">
        <v>1500000</v>
      </c>
      <c r="G435" s="125">
        <f>ROUNDDOWN(D435*F435,-3)</f>
        <v>6000000</v>
      </c>
      <c r="H435" s="154" t="b">
        <f t="shared" si="13"/>
        <v>1</v>
      </c>
    </row>
    <row r="436" spans="1:8" ht="14.25" x14ac:dyDescent="0.2">
      <c r="A436" s="7" t="s">
        <v>3061</v>
      </c>
      <c r="B436" s="60">
        <v>521219</v>
      </c>
      <c r="C436" s="41" t="s">
        <v>53</v>
      </c>
      <c r="D436" s="60"/>
      <c r="E436" s="60"/>
      <c r="F436" s="42"/>
      <c r="G436" s="42">
        <f>G437</f>
        <v>2000000</v>
      </c>
      <c r="H436" s="154" t="b">
        <f t="shared" si="13"/>
        <v>1</v>
      </c>
    </row>
    <row r="437" spans="1:8" ht="25.5" x14ac:dyDescent="0.2">
      <c r="A437" s="7" t="s">
        <v>3062</v>
      </c>
      <c r="B437" s="124"/>
      <c r="C437" s="123" t="s">
        <v>3790</v>
      </c>
      <c r="D437" s="124">
        <v>1</v>
      </c>
      <c r="E437" s="124" t="s">
        <v>153</v>
      </c>
      <c r="F437" s="125">
        <v>2000000</v>
      </c>
      <c r="G437" s="125">
        <f>ROUNDDOWN(D437*F437,-3)</f>
        <v>2000000</v>
      </c>
      <c r="H437" s="154" t="b">
        <f t="shared" si="13"/>
        <v>1</v>
      </c>
    </row>
    <row r="438" spans="1:8" ht="14.25" x14ac:dyDescent="0.2">
      <c r="A438" s="7" t="s">
        <v>3064</v>
      </c>
      <c r="B438" s="60">
        <v>524111</v>
      </c>
      <c r="C438" s="41" t="s">
        <v>19</v>
      </c>
      <c r="D438" s="60"/>
      <c r="E438" s="60"/>
      <c r="F438" s="42"/>
      <c r="G438" s="42">
        <f>G439</f>
        <v>247200000</v>
      </c>
      <c r="H438" s="154" t="b">
        <f t="shared" si="13"/>
        <v>1</v>
      </c>
    </row>
    <row r="439" spans="1:8" ht="14.25" x14ac:dyDescent="0.2">
      <c r="A439" s="7" t="s">
        <v>3065</v>
      </c>
      <c r="B439" s="124"/>
      <c r="C439" s="123" t="s">
        <v>3791</v>
      </c>
      <c r="D439" s="124">
        <v>40</v>
      </c>
      <c r="E439" s="124" t="s">
        <v>10</v>
      </c>
      <c r="F439" s="125">
        <v>6180000</v>
      </c>
      <c r="G439" s="125">
        <f>ROUNDDOWN(D439*F439,-3)</f>
        <v>247200000</v>
      </c>
      <c r="H439" s="154" t="b">
        <f t="shared" si="13"/>
        <v>1</v>
      </c>
    </row>
    <row r="440" spans="1:8" ht="14.25" x14ac:dyDescent="0.2">
      <c r="A440" s="7" t="s">
        <v>3067</v>
      </c>
      <c r="B440" s="59" t="s">
        <v>511</v>
      </c>
      <c r="C440" s="38" t="s">
        <v>175</v>
      </c>
      <c r="D440" s="59"/>
      <c r="E440" s="59"/>
      <c r="F440" s="39"/>
      <c r="G440" s="39">
        <f>SUM(G441,G448,G451,G453,G455)</f>
        <v>212000000</v>
      </c>
      <c r="H440" s="154" t="b">
        <f t="shared" si="13"/>
        <v>1</v>
      </c>
    </row>
    <row r="441" spans="1:8" ht="14.25" x14ac:dyDescent="0.2">
      <c r="A441" s="7" t="s">
        <v>3068</v>
      </c>
      <c r="B441" s="60">
        <v>521211</v>
      </c>
      <c r="C441" s="41" t="s">
        <v>7</v>
      </c>
      <c r="D441" s="60"/>
      <c r="E441" s="60"/>
      <c r="F441" s="42"/>
      <c r="G441" s="42">
        <f>SUM(G442:G447)</f>
        <v>41000000</v>
      </c>
      <c r="H441" s="154" t="b">
        <f t="shared" si="13"/>
        <v>1</v>
      </c>
    </row>
    <row r="442" spans="1:8" ht="14.25" x14ac:dyDescent="0.2">
      <c r="A442" s="7" t="s">
        <v>3069</v>
      </c>
      <c r="B442" s="124"/>
      <c r="C442" s="123" t="s">
        <v>3587</v>
      </c>
      <c r="D442" s="124">
        <v>4</v>
      </c>
      <c r="E442" s="124" t="s">
        <v>9</v>
      </c>
      <c r="F442" s="125">
        <v>1500000</v>
      </c>
      <c r="G442" s="125">
        <f t="shared" ref="G442:G447" si="14">ROUNDDOWN(D442*F442,-3)</f>
        <v>6000000</v>
      </c>
      <c r="H442" s="154" t="b">
        <f t="shared" si="13"/>
        <v>1</v>
      </c>
    </row>
    <row r="443" spans="1:8" ht="14.25" x14ac:dyDescent="0.2">
      <c r="A443" s="7" t="s">
        <v>3070</v>
      </c>
      <c r="B443" s="124"/>
      <c r="C443" s="123" t="s">
        <v>3784</v>
      </c>
      <c r="D443" s="124">
        <v>180</v>
      </c>
      <c r="E443" s="124" t="s">
        <v>10</v>
      </c>
      <c r="F443" s="125">
        <v>75000</v>
      </c>
      <c r="G443" s="125">
        <f t="shared" si="14"/>
        <v>13500000</v>
      </c>
      <c r="H443" s="154" t="b">
        <f t="shared" si="13"/>
        <v>1</v>
      </c>
    </row>
    <row r="444" spans="1:8" ht="14.25" x14ac:dyDescent="0.2">
      <c r="A444" s="7" t="s">
        <v>3071</v>
      </c>
      <c r="B444" s="124"/>
      <c r="C444" s="123" t="s">
        <v>3792</v>
      </c>
      <c r="D444" s="124">
        <v>15</v>
      </c>
      <c r="E444" s="124" t="s">
        <v>176</v>
      </c>
      <c r="F444" s="125">
        <v>500000</v>
      </c>
      <c r="G444" s="125">
        <f t="shared" si="14"/>
        <v>7500000</v>
      </c>
      <c r="H444" s="154" t="b">
        <f t="shared" si="13"/>
        <v>1</v>
      </c>
    </row>
    <row r="445" spans="1:8" ht="14.25" x14ac:dyDescent="0.2">
      <c r="A445" s="7" t="s">
        <v>3073</v>
      </c>
      <c r="B445" s="124"/>
      <c r="C445" s="123" t="s">
        <v>3591</v>
      </c>
      <c r="D445" s="124">
        <v>4</v>
      </c>
      <c r="E445" s="124" t="s">
        <v>106</v>
      </c>
      <c r="F445" s="125">
        <v>1000000</v>
      </c>
      <c r="G445" s="125">
        <f t="shared" si="14"/>
        <v>4000000</v>
      </c>
      <c r="H445" s="154" t="b">
        <f t="shared" si="13"/>
        <v>1</v>
      </c>
    </row>
    <row r="446" spans="1:8" ht="14.25" x14ac:dyDescent="0.2">
      <c r="A446" s="7" t="s">
        <v>3074</v>
      </c>
      <c r="B446" s="124"/>
      <c r="C446" s="123" t="s">
        <v>3592</v>
      </c>
      <c r="D446" s="124">
        <v>4</v>
      </c>
      <c r="E446" s="124" t="s">
        <v>106</v>
      </c>
      <c r="F446" s="125">
        <v>1500000</v>
      </c>
      <c r="G446" s="125">
        <f t="shared" si="14"/>
        <v>6000000</v>
      </c>
      <c r="H446" s="154" t="b">
        <f t="shared" si="13"/>
        <v>1</v>
      </c>
    </row>
    <row r="447" spans="1:8" ht="14.25" x14ac:dyDescent="0.2">
      <c r="A447" s="7" t="s">
        <v>3075</v>
      </c>
      <c r="B447" s="124"/>
      <c r="C447" s="123" t="s">
        <v>3793</v>
      </c>
      <c r="D447" s="124">
        <v>8</v>
      </c>
      <c r="E447" s="124" t="s">
        <v>58</v>
      </c>
      <c r="F447" s="125">
        <v>500000</v>
      </c>
      <c r="G447" s="125">
        <f t="shared" si="14"/>
        <v>4000000</v>
      </c>
      <c r="H447" s="154" t="b">
        <f t="shared" si="13"/>
        <v>1</v>
      </c>
    </row>
    <row r="448" spans="1:8" ht="14.25" x14ac:dyDescent="0.2">
      <c r="A448" s="7" t="s">
        <v>3077</v>
      </c>
      <c r="B448" s="60">
        <v>521219</v>
      </c>
      <c r="C448" s="41" t="s">
        <v>53</v>
      </c>
      <c r="D448" s="60"/>
      <c r="E448" s="60"/>
      <c r="F448" s="42"/>
      <c r="G448" s="42">
        <f>SUM(G449:G450)</f>
        <v>32000000</v>
      </c>
      <c r="H448" s="154" t="b">
        <f t="shared" si="13"/>
        <v>1</v>
      </c>
    </row>
    <row r="449" spans="1:8" ht="25.5" x14ac:dyDescent="0.2">
      <c r="A449" s="7" t="s">
        <v>3078</v>
      </c>
      <c r="B449" s="124"/>
      <c r="C449" s="123" t="s">
        <v>3794</v>
      </c>
      <c r="D449" s="124">
        <v>2</v>
      </c>
      <c r="E449" s="124" t="s">
        <v>177</v>
      </c>
      <c r="F449" s="125">
        <v>15000000</v>
      </c>
      <c r="G449" s="125">
        <f>ROUNDDOWN(D449*F449,-3)</f>
        <v>30000000</v>
      </c>
      <c r="H449" s="154" t="b">
        <f t="shared" si="13"/>
        <v>1</v>
      </c>
    </row>
    <row r="450" spans="1:8" ht="25.5" x14ac:dyDescent="0.2">
      <c r="A450" s="7" t="s">
        <v>3080</v>
      </c>
      <c r="B450" s="124"/>
      <c r="C450" s="123" t="s">
        <v>3795</v>
      </c>
      <c r="D450" s="124">
        <v>1</v>
      </c>
      <c r="E450" s="124" t="s">
        <v>60</v>
      </c>
      <c r="F450" s="125">
        <v>2000000</v>
      </c>
      <c r="G450" s="125">
        <f>ROUNDDOWN(D450*F450,-3)</f>
        <v>2000000</v>
      </c>
      <c r="H450" s="154" t="b">
        <f t="shared" si="13"/>
        <v>1</v>
      </c>
    </row>
    <row r="451" spans="1:8" ht="14.25" x14ac:dyDescent="0.2">
      <c r="A451" s="7" t="s">
        <v>3082</v>
      </c>
      <c r="B451" s="60">
        <v>522151</v>
      </c>
      <c r="C451" s="41" t="s">
        <v>11</v>
      </c>
      <c r="D451" s="60"/>
      <c r="E451" s="60"/>
      <c r="F451" s="42"/>
      <c r="G451" s="42">
        <f>G452</f>
        <v>10000000</v>
      </c>
      <c r="H451" s="154" t="b">
        <f t="shared" si="13"/>
        <v>1</v>
      </c>
    </row>
    <row r="452" spans="1:8" ht="14.25" x14ac:dyDescent="0.2">
      <c r="A452" s="7" t="s">
        <v>3083</v>
      </c>
      <c r="B452" s="124"/>
      <c r="C452" s="123" t="s">
        <v>3603</v>
      </c>
      <c r="D452" s="124">
        <v>10</v>
      </c>
      <c r="E452" s="124" t="s">
        <v>54</v>
      </c>
      <c r="F452" s="125">
        <v>1000000</v>
      </c>
      <c r="G452" s="125">
        <f>ROUNDDOWN(D452*F452,-3)</f>
        <v>10000000</v>
      </c>
      <c r="H452" s="154" t="b">
        <f t="shared" si="13"/>
        <v>1</v>
      </c>
    </row>
    <row r="453" spans="1:8" ht="14.25" x14ac:dyDescent="0.2">
      <c r="A453" s="7" t="s">
        <v>3084</v>
      </c>
      <c r="B453" s="60">
        <v>524111</v>
      </c>
      <c r="C453" s="41" t="s">
        <v>19</v>
      </c>
      <c r="D453" s="60"/>
      <c r="E453" s="60"/>
      <c r="F453" s="42"/>
      <c r="G453" s="42">
        <f>G454</f>
        <v>120000000</v>
      </c>
      <c r="H453" s="154" t="b">
        <f t="shared" si="13"/>
        <v>1</v>
      </c>
    </row>
    <row r="454" spans="1:8" ht="14.25" x14ac:dyDescent="0.2">
      <c r="A454" s="7" t="s">
        <v>3085</v>
      </c>
      <c r="B454" s="124"/>
      <c r="C454" s="123" t="s">
        <v>3796</v>
      </c>
      <c r="D454" s="124">
        <v>30</v>
      </c>
      <c r="E454" s="124" t="s">
        <v>10</v>
      </c>
      <c r="F454" s="125">
        <v>4000000</v>
      </c>
      <c r="G454" s="125">
        <f>ROUNDDOWN(D454*F454,-3)</f>
        <v>120000000</v>
      </c>
      <c r="H454" s="154" t="b">
        <f t="shared" si="13"/>
        <v>1</v>
      </c>
    </row>
    <row r="455" spans="1:8" ht="14.25" x14ac:dyDescent="0.2">
      <c r="A455" s="7" t="s">
        <v>3087</v>
      </c>
      <c r="B455" s="60">
        <v>524113</v>
      </c>
      <c r="C455" s="41" t="s">
        <v>13</v>
      </c>
      <c r="D455" s="60"/>
      <c r="E455" s="60"/>
      <c r="F455" s="42"/>
      <c r="G455" s="42">
        <f>G456</f>
        <v>9000000</v>
      </c>
      <c r="H455" s="154" t="b">
        <f t="shared" si="13"/>
        <v>1</v>
      </c>
    </row>
    <row r="456" spans="1:8" ht="14.25" x14ac:dyDescent="0.2">
      <c r="A456" s="7" t="s">
        <v>3088</v>
      </c>
      <c r="B456" s="124"/>
      <c r="C456" s="123" t="s">
        <v>3593</v>
      </c>
      <c r="D456" s="124">
        <v>60</v>
      </c>
      <c r="E456" s="124" t="s">
        <v>25</v>
      </c>
      <c r="F456" s="125">
        <v>150000</v>
      </c>
      <c r="G456" s="125">
        <f>ROUNDDOWN(D456*F456,-3)</f>
        <v>9000000</v>
      </c>
      <c r="H456" s="154" t="b">
        <f t="shared" si="13"/>
        <v>1</v>
      </c>
    </row>
    <row r="457" spans="1:8" ht="25.5" x14ac:dyDescent="0.2">
      <c r="A457" s="7" t="s">
        <v>3089</v>
      </c>
      <c r="B457" s="58">
        <v>302</v>
      </c>
      <c r="C457" s="35" t="s">
        <v>3091</v>
      </c>
      <c r="D457" s="58"/>
      <c r="E457" s="58"/>
      <c r="F457" s="36"/>
      <c r="G457" s="36">
        <f>G458</f>
        <v>126532000</v>
      </c>
      <c r="H457" s="154" t="b">
        <f t="shared" si="13"/>
        <v>1</v>
      </c>
    </row>
    <row r="458" spans="1:8" ht="14.25" x14ac:dyDescent="0.2">
      <c r="A458" s="7" t="s">
        <v>3092</v>
      </c>
      <c r="B458" s="59" t="s">
        <v>8</v>
      </c>
      <c r="C458" s="38" t="s">
        <v>178</v>
      </c>
      <c r="D458" s="59"/>
      <c r="E458" s="59"/>
      <c r="F458" s="39"/>
      <c r="G458" s="39">
        <f>SUM(G459,G465,G467)</f>
        <v>126532000</v>
      </c>
      <c r="H458" s="154" t="b">
        <f t="shared" si="13"/>
        <v>1</v>
      </c>
    </row>
    <row r="459" spans="1:8" ht="14.25" x14ac:dyDescent="0.2">
      <c r="A459" s="7" t="s">
        <v>3093</v>
      </c>
      <c r="B459" s="60">
        <v>521211</v>
      </c>
      <c r="C459" s="41" t="s">
        <v>7</v>
      </c>
      <c r="D459" s="60"/>
      <c r="E459" s="60"/>
      <c r="F459" s="42"/>
      <c r="G459" s="42">
        <f>SUM(G460:G464)</f>
        <v>35500000</v>
      </c>
      <c r="H459" s="154" t="b">
        <f t="shared" si="13"/>
        <v>1</v>
      </c>
    </row>
    <row r="460" spans="1:8" ht="14.25" x14ac:dyDescent="0.2">
      <c r="A460" s="7" t="s">
        <v>3094</v>
      </c>
      <c r="B460" s="124"/>
      <c r="C460" s="123" t="s">
        <v>3587</v>
      </c>
      <c r="D460" s="124">
        <v>4</v>
      </c>
      <c r="E460" s="124" t="s">
        <v>9</v>
      </c>
      <c r="F460" s="125">
        <v>1500000</v>
      </c>
      <c r="G460" s="125">
        <f>ROUNDDOWN(D460*F460,-3)</f>
        <v>6000000</v>
      </c>
      <c r="H460" s="154" t="b">
        <f t="shared" si="13"/>
        <v>1</v>
      </c>
    </row>
    <row r="461" spans="1:8" ht="14.25" x14ac:dyDescent="0.2">
      <c r="A461" s="7" t="s">
        <v>3095</v>
      </c>
      <c r="B461" s="124"/>
      <c r="C461" s="123" t="s">
        <v>3784</v>
      </c>
      <c r="D461" s="124">
        <v>180</v>
      </c>
      <c r="E461" s="124" t="s">
        <v>10</v>
      </c>
      <c r="F461" s="125">
        <v>75000</v>
      </c>
      <c r="G461" s="125">
        <f>ROUNDDOWN(D461*F461,-3)</f>
        <v>13500000</v>
      </c>
      <c r="H461" s="154" t="b">
        <f t="shared" ref="H461:H524" si="15">_xlfn.ISFORMULA(G461)</f>
        <v>1</v>
      </c>
    </row>
    <row r="462" spans="1:8" ht="14.25" x14ac:dyDescent="0.2">
      <c r="A462" s="7" t="s">
        <v>3096</v>
      </c>
      <c r="B462" s="124"/>
      <c r="C462" s="123" t="s">
        <v>3588</v>
      </c>
      <c r="D462" s="124">
        <v>4</v>
      </c>
      <c r="E462" s="124" t="s">
        <v>106</v>
      </c>
      <c r="F462" s="125">
        <v>1000000</v>
      </c>
      <c r="G462" s="125">
        <f>ROUNDDOWN(D462*F462,-3)</f>
        <v>4000000</v>
      </c>
      <c r="H462" s="154" t="b">
        <f t="shared" si="15"/>
        <v>1</v>
      </c>
    </row>
    <row r="463" spans="1:8" ht="14.25" x14ac:dyDescent="0.2">
      <c r="A463" s="7" t="s">
        <v>3097</v>
      </c>
      <c r="B463" s="124"/>
      <c r="C463" s="123" t="s">
        <v>3589</v>
      </c>
      <c r="D463" s="124">
        <v>4</v>
      </c>
      <c r="E463" s="124" t="s">
        <v>106</v>
      </c>
      <c r="F463" s="125">
        <v>1500000</v>
      </c>
      <c r="G463" s="125">
        <f>ROUNDDOWN(D463*F463,-3)</f>
        <v>6000000</v>
      </c>
      <c r="H463" s="154" t="b">
        <f t="shared" si="15"/>
        <v>1</v>
      </c>
    </row>
    <row r="464" spans="1:8" ht="14.25" x14ac:dyDescent="0.2">
      <c r="A464" s="7" t="s">
        <v>3098</v>
      </c>
      <c r="B464" s="124"/>
      <c r="C464" s="123" t="s">
        <v>3797</v>
      </c>
      <c r="D464" s="124">
        <v>12</v>
      </c>
      <c r="E464" s="124" t="s">
        <v>176</v>
      </c>
      <c r="F464" s="125">
        <v>500000</v>
      </c>
      <c r="G464" s="125">
        <f>ROUNDDOWN(D464*F464,-3)</f>
        <v>6000000</v>
      </c>
      <c r="H464" s="154" t="b">
        <f t="shared" si="15"/>
        <v>1</v>
      </c>
    </row>
    <row r="465" spans="1:8" ht="14.25" x14ac:dyDescent="0.2">
      <c r="A465" s="7" t="s">
        <v>3100</v>
      </c>
      <c r="B465" s="60">
        <v>521219</v>
      </c>
      <c r="C465" s="41" t="s">
        <v>53</v>
      </c>
      <c r="D465" s="60"/>
      <c r="E465" s="60"/>
      <c r="F465" s="42"/>
      <c r="G465" s="42">
        <f>G466</f>
        <v>2000000</v>
      </c>
      <c r="H465" s="154" t="b">
        <f t="shared" si="15"/>
        <v>1</v>
      </c>
    </row>
    <row r="466" spans="1:8" ht="25.5" x14ac:dyDescent="0.2">
      <c r="A466" s="7" t="s">
        <v>3101</v>
      </c>
      <c r="B466" s="124"/>
      <c r="C466" s="123" t="s">
        <v>3790</v>
      </c>
      <c r="D466" s="124">
        <v>1</v>
      </c>
      <c r="E466" s="124" t="s">
        <v>153</v>
      </c>
      <c r="F466" s="125">
        <v>2000000</v>
      </c>
      <c r="G466" s="125">
        <f>ROUNDDOWN(D466*F466,-3)</f>
        <v>2000000</v>
      </c>
      <c r="H466" s="154" t="b">
        <f t="shared" si="15"/>
        <v>1</v>
      </c>
    </row>
    <row r="467" spans="1:8" ht="14.25" x14ac:dyDescent="0.2">
      <c r="A467" s="7" t="s">
        <v>3102</v>
      </c>
      <c r="B467" s="60">
        <v>524111</v>
      </c>
      <c r="C467" s="41" t="s">
        <v>19</v>
      </c>
      <c r="D467" s="60"/>
      <c r="E467" s="60"/>
      <c r="F467" s="42"/>
      <c r="G467" s="42">
        <f>G468</f>
        <v>89032000</v>
      </c>
      <c r="H467" s="154" t="b">
        <f t="shared" si="15"/>
        <v>1</v>
      </c>
    </row>
    <row r="468" spans="1:8" ht="14.25" x14ac:dyDescent="0.2">
      <c r="A468" s="7" t="s">
        <v>3103</v>
      </c>
      <c r="B468" s="124"/>
      <c r="C468" s="123" t="s">
        <v>3796</v>
      </c>
      <c r="D468" s="124">
        <v>22</v>
      </c>
      <c r="E468" s="124" t="s">
        <v>10</v>
      </c>
      <c r="F468" s="125">
        <v>4046950</v>
      </c>
      <c r="G468" s="125">
        <f>ROUNDDOWN(D468*F468,-3)</f>
        <v>89032000</v>
      </c>
      <c r="H468" s="154" t="b">
        <f t="shared" si="15"/>
        <v>1</v>
      </c>
    </row>
    <row r="469" spans="1:8" ht="14.25" x14ac:dyDescent="0.2">
      <c r="A469" s="7" t="s">
        <v>3104</v>
      </c>
      <c r="B469" s="119" t="s">
        <v>3798</v>
      </c>
      <c r="C469" s="118" t="s">
        <v>3106</v>
      </c>
      <c r="D469" s="119">
        <v>1</v>
      </c>
      <c r="E469" s="119" t="s">
        <v>3782</v>
      </c>
      <c r="F469" s="120"/>
      <c r="G469" s="120">
        <f>G470</f>
        <v>289920000</v>
      </c>
      <c r="H469" s="154" t="b">
        <f t="shared" si="15"/>
        <v>1</v>
      </c>
    </row>
    <row r="470" spans="1:8" ht="25.5" x14ac:dyDescent="0.2">
      <c r="A470" s="7" t="s">
        <v>3318</v>
      </c>
      <c r="B470" s="58">
        <v>301</v>
      </c>
      <c r="C470" s="35" t="s">
        <v>3319</v>
      </c>
      <c r="D470" s="58"/>
      <c r="E470" s="58"/>
      <c r="F470" s="36"/>
      <c r="G470" s="36">
        <f>SUM(G471,G481,G490,G498,G511,G519)</f>
        <v>289920000</v>
      </c>
      <c r="H470" s="154" t="b">
        <f t="shared" si="15"/>
        <v>1</v>
      </c>
    </row>
    <row r="471" spans="1:8" ht="14.25" x14ac:dyDescent="0.2">
      <c r="A471" s="7" t="s">
        <v>3320</v>
      </c>
      <c r="B471" s="59" t="s">
        <v>8</v>
      </c>
      <c r="C471" s="38" t="s">
        <v>143</v>
      </c>
      <c r="D471" s="59"/>
      <c r="E471" s="59"/>
      <c r="F471" s="39"/>
      <c r="G471" s="39">
        <f>SUM(G472,G477,G479)</f>
        <v>40700000</v>
      </c>
      <c r="H471" s="154" t="b">
        <f t="shared" si="15"/>
        <v>1</v>
      </c>
    </row>
    <row r="472" spans="1:8" ht="14.25" x14ac:dyDescent="0.2">
      <c r="A472" s="7" t="s">
        <v>3321</v>
      </c>
      <c r="B472" s="60">
        <v>521211</v>
      </c>
      <c r="C472" s="41" t="s">
        <v>7</v>
      </c>
      <c r="D472" s="60"/>
      <c r="E472" s="60"/>
      <c r="F472" s="42"/>
      <c r="G472" s="42">
        <f>SUM(G473:G476)</f>
        <v>23900000</v>
      </c>
      <c r="H472" s="154" t="b">
        <f t="shared" si="15"/>
        <v>1</v>
      </c>
    </row>
    <row r="473" spans="1:8" ht="14.25" x14ac:dyDescent="0.2">
      <c r="A473" s="7" t="s">
        <v>3322</v>
      </c>
      <c r="B473" s="124"/>
      <c r="C473" s="123" t="s">
        <v>3587</v>
      </c>
      <c r="D473" s="124">
        <v>5</v>
      </c>
      <c r="E473" s="124" t="s">
        <v>9</v>
      </c>
      <c r="F473" s="125">
        <v>1500000</v>
      </c>
      <c r="G473" s="125">
        <f>ROUNDDOWN(D473*F473,-3)</f>
        <v>7500000</v>
      </c>
      <c r="H473" s="154" t="b">
        <f t="shared" si="15"/>
        <v>1</v>
      </c>
    </row>
    <row r="474" spans="1:8" ht="14.25" x14ac:dyDescent="0.2">
      <c r="A474" s="7" t="s">
        <v>3323</v>
      </c>
      <c r="B474" s="124"/>
      <c r="C474" s="123" t="s">
        <v>3784</v>
      </c>
      <c r="D474" s="124">
        <v>20</v>
      </c>
      <c r="E474" s="124" t="s">
        <v>10</v>
      </c>
      <c r="F474" s="125">
        <v>70000</v>
      </c>
      <c r="G474" s="125">
        <f>ROUNDDOWN(D474*F474,-3)</f>
        <v>1400000</v>
      </c>
      <c r="H474" s="154" t="b">
        <f t="shared" si="15"/>
        <v>1</v>
      </c>
    </row>
    <row r="475" spans="1:8" ht="14.25" x14ac:dyDescent="0.2">
      <c r="A475" s="7" t="s">
        <v>3324</v>
      </c>
      <c r="B475" s="124"/>
      <c r="C475" s="123" t="s">
        <v>3588</v>
      </c>
      <c r="D475" s="124">
        <v>6</v>
      </c>
      <c r="E475" s="124" t="s">
        <v>106</v>
      </c>
      <c r="F475" s="125">
        <v>1000000</v>
      </c>
      <c r="G475" s="125">
        <f>ROUNDDOWN(D475*F475,-3)</f>
        <v>6000000</v>
      </c>
      <c r="H475" s="154" t="b">
        <f t="shared" si="15"/>
        <v>1</v>
      </c>
    </row>
    <row r="476" spans="1:8" ht="14.25" x14ac:dyDescent="0.2">
      <c r="A476" s="7" t="s">
        <v>3325</v>
      </c>
      <c r="B476" s="124"/>
      <c r="C476" s="123" t="s">
        <v>3589</v>
      </c>
      <c r="D476" s="124">
        <v>6</v>
      </c>
      <c r="E476" s="124" t="s">
        <v>106</v>
      </c>
      <c r="F476" s="125">
        <v>1500000</v>
      </c>
      <c r="G476" s="125">
        <f>ROUNDDOWN(D476*F476,-3)</f>
        <v>9000000</v>
      </c>
      <c r="H476" s="154" t="b">
        <f t="shared" si="15"/>
        <v>1</v>
      </c>
    </row>
    <row r="477" spans="1:8" ht="14.25" x14ac:dyDescent="0.2">
      <c r="A477" s="7" t="s">
        <v>3326</v>
      </c>
      <c r="B477" s="60">
        <v>524111</v>
      </c>
      <c r="C477" s="41" t="s">
        <v>19</v>
      </c>
      <c r="D477" s="60"/>
      <c r="E477" s="60"/>
      <c r="F477" s="42"/>
      <c r="G477" s="42">
        <f>G478</f>
        <v>15000000</v>
      </c>
      <c r="H477" s="154" t="b">
        <f t="shared" si="15"/>
        <v>1</v>
      </c>
    </row>
    <row r="478" spans="1:8" ht="14.25" x14ac:dyDescent="0.2">
      <c r="A478" s="7" t="s">
        <v>3327</v>
      </c>
      <c r="B478" s="124"/>
      <c r="C478" s="123" t="s">
        <v>3800</v>
      </c>
      <c r="D478" s="124">
        <v>5</v>
      </c>
      <c r="E478" s="124" t="s">
        <v>10</v>
      </c>
      <c r="F478" s="125">
        <v>3000000</v>
      </c>
      <c r="G478" s="125">
        <f>ROUNDDOWN(D478*F478,-3)</f>
        <v>15000000</v>
      </c>
      <c r="H478" s="154" t="b">
        <f t="shared" si="15"/>
        <v>1</v>
      </c>
    </row>
    <row r="479" spans="1:8" ht="14.25" x14ac:dyDescent="0.2">
      <c r="A479" s="7" t="s">
        <v>3329</v>
      </c>
      <c r="B479" s="60">
        <v>524113</v>
      </c>
      <c r="C479" s="41" t="s">
        <v>13</v>
      </c>
      <c r="D479" s="60"/>
      <c r="E479" s="60"/>
      <c r="F479" s="42"/>
      <c r="G479" s="42">
        <f>G480</f>
        <v>1800000</v>
      </c>
      <c r="H479" s="154" t="b">
        <f t="shared" si="15"/>
        <v>1</v>
      </c>
    </row>
    <row r="480" spans="1:8" ht="14.25" x14ac:dyDescent="0.2">
      <c r="A480" s="7" t="s">
        <v>3330</v>
      </c>
      <c r="B480" s="124"/>
      <c r="C480" s="123" t="s">
        <v>3590</v>
      </c>
      <c r="D480" s="124">
        <v>12</v>
      </c>
      <c r="E480" s="124" t="s">
        <v>10</v>
      </c>
      <c r="F480" s="125">
        <v>150000</v>
      </c>
      <c r="G480" s="125">
        <f>ROUNDDOWN(D480*F480,-3)</f>
        <v>1800000</v>
      </c>
      <c r="H480" s="154" t="b">
        <f t="shared" si="15"/>
        <v>1</v>
      </c>
    </row>
    <row r="481" spans="1:8" ht="14.25" x14ac:dyDescent="0.2">
      <c r="A481" s="7" t="s">
        <v>3331</v>
      </c>
      <c r="B481" s="59" t="s">
        <v>511</v>
      </c>
      <c r="C481" s="38" t="s">
        <v>144</v>
      </c>
      <c r="D481" s="59"/>
      <c r="E481" s="59"/>
      <c r="F481" s="39"/>
      <c r="G481" s="39">
        <f>SUM(G482,G486,G488)</f>
        <v>30900000</v>
      </c>
      <c r="H481" s="154" t="b">
        <f t="shared" si="15"/>
        <v>1</v>
      </c>
    </row>
    <row r="482" spans="1:8" ht="14.25" x14ac:dyDescent="0.2">
      <c r="A482" s="7" t="s">
        <v>3332</v>
      </c>
      <c r="B482" s="60">
        <v>521211</v>
      </c>
      <c r="C482" s="41" t="s">
        <v>7</v>
      </c>
      <c r="D482" s="60"/>
      <c r="E482" s="60"/>
      <c r="F482" s="42"/>
      <c r="G482" s="42">
        <f>SUM(G483:G485)</f>
        <v>11400000</v>
      </c>
      <c r="H482" s="154" t="b">
        <f t="shared" si="15"/>
        <v>1</v>
      </c>
    </row>
    <row r="483" spans="1:8" ht="14.25" x14ac:dyDescent="0.2">
      <c r="A483" s="7" t="s">
        <v>3333</v>
      </c>
      <c r="B483" s="124"/>
      <c r="C483" s="123" t="s">
        <v>3781</v>
      </c>
      <c r="D483" s="124">
        <v>4</v>
      </c>
      <c r="E483" s="124" t="s">
        <v>9</v>
      </c>
      <c r="F483" s="125">
        <v>1500000</v>
      </c>
      <c r="G483" s="125">
        <f>ROUNDDOWN(D483*F483,-3)</f>
        <v>6000000</v>
      </c>
      <c r="H483" s="154" t="b">
        <f t="shared" si="15"/>
        <v>1</v>
      </c>
    </row>
    <row r="484" spans="1:8" ht="14.25" x14ac:dyDescent="0.2">
      <c r="A484" s="7" t="s">
        <v>3334</v>
      </c>
      <c r="B484" s="124"/>
      <c r="C484" s="123" t="s">
        <v>3784</v>
      </c>
      <c r="D484" s="124">
        <v>20</v>
      </c>
      <c r="E484" s="124" t="s">
        <v>10</v>
      </c>
      <c r="F484" s="125">
        <v>70000</v>
      </c>
      <c r="G484" s="125">
        <f>ROUNDDOWN(D484*F484,-3)</f>
        <v>1400000</v>
      </c>
      <c r="H484" s="154" t="b">
        <f t="shared" si="15"/>
        <v>1</v>
      </c>
    </row>
    <row r="485" spans="1:8" ht="14.25" x14ac:dyDescent="0.2">
      <c r="A485" s="7" t="s">
        <v>3335</v>
      </c>
      <c r="B485" s="124"/>
      <c r="C485" s="123" t="s">
        <v>3588</v>
      </c>
      <c r="D485" s="124">
        <v>4</v>
      </c>
      <c r="E485" s="124" t="s">
        <v>106</v>
      </c>
      <c r="F485" s="125">
        <v>1000000</v>
      </c>
      <c r="G485" s="125">
        <f>ROUNDDOWN(D485*F485,-3)</f>
        <v>4000000</v>
      </c>
      <c r="H485" s="154" t="b">
        <f t="shared" si="15"/>
        <v>1</v>
      </c>
    </row>
    <row r="486" spans="1:8" ht="14.25" x14ac:dyDescent="0.2">
      <c r="A486" s="7" t="s">
        <v>3336</v>
      </c>
      <c r="B486" s="60">
        <v>524111</v>
      </c>
      <c r="C486" s="41" t="s">
        <v>19</v>
      </c>
      <c r="D486" s="60"/>
      <c r="E486" s="60"/>
      <c r="F486" s="42"/>
      <c r="G486" s="42">
        <f>G487</f>
        <v>18000000</v>
      </c>
      <c r="H486" s="154" t="b">
        <f t="shared" si="15"/>
        <v>1</v>
      </c>
    </row>
    <row r="487" spans="1:8" ht="14.25" x14ac:dyDescent="0.2">
      <c r="A487" s="7" t="s">
        <v>3337</v>
      </c>
      <c r="B487" s="124"/>
      <c r="C487" s="123" t="s">
        <v>3800</v>
      </c>
      <c r="D487" s="124">
        <v>6</v>
      </c>
      <c r="E487" s="124" t="s">
        <v>10</v>
      </c>
      <c r="F487" s="125">
        <v>3000000</v>
      </c>
      <c r="G487" s="125">
        <f>ROUNDDOWN(D487*F487,-3)</f>
        <v>18000000</v>
      </c>
      <c r="H487" s="154" t="b">
        <f t="shared" si="15"/>
        <v>1</v>
      </c>
    </row>
    <row r="488" spans="1:8" ht="14.25" x14ac:dyDescent="0.2">
      <c r="A488" s="7" t="s">
        <v>3338</v>
      </c>
      <c r="B488" s="60">
        <v>524113</v>
      </c>
      <c r="C488" s="41" t="s">
        <v>13</v>
      </c>
      <c r="D488" s="60"/>
      <c r="E488" s="60"/>
      <c r="F488" s="42"/>
      <c r="G488" s="42">
        <f>G489</f>
        <v>1500000</v>
      </c>
      <c r="H488" s="154" t="b">
        <f t="shared" si="15"/>
        <v>1</v>
      </c>
    </row>
    <row r="489" spans="1:8" ht="14.25" x14ac:dyDescent="0.2">
      <c r="A489" s="7" t="s">
        <v>3339</v>
      </c>
      <c r="B489" s="124"/>
      <c r="C489" s="123" t="s">
        <v>3593</v>
      </c>
      <c r="D489" s="124">
        <v>10</v>
      </c>
      <c r="E489" s="124" t="s">
        <v>10</v>
      </c>
      <c r="F489" s="125">
        <v>150000</v>
      </c>
      <c r="G489" s="125">
        <f>ROUNDDOWN(D489*F489,-3)</f>
        <v>1500000</v>
      </c>
      <c r="H489" s="154" t="b">
        <f t="shared" si="15"/>
        <v>1</v>
      </c>
    </row>
    <row r="490" spans="1:8" ht="14.25" x14ac:dyDescent="0.2">
      <c r="A490" s="7" t="s">
        <v>3340</v>
      </c>
      <c r="B490" s="59" t="s">
        <v>512</v>
      </c>
      <c r="C490" s="38" t="s">
        <v>145</v>
      </c>
      <c r="D490" s="59"/>
      <c r="E490" s="59"/>
      <c r="F490" s="39"/>
      <c r="G490" s="39">
        <f>SUM(G491,G494,G496)</f>
        <v>26500000</v>
      </c>
      <c r="H490" s="154" t="b">
        <f t="shared" si="15"/>
        <v>1</v>
      </c>
    </row>
    <row r="491" spans="1:8" ht="14.25" x14ac:dyDescent="0.2">
      <c r="A491" s="7" t="s">
        <v>3341</v>
      </c>
      <c r="B491" s="60">
        <v>521211</v>
      </c>
      <c r="C491" s="41" t="s">
        <v>7</v>
      </c>
      <c r="D491" s="60"/>
      <c r="E491" s="60"/>
      <c r="F491" s="42"/>
      <c r="G491" s="42">
        <f>SUM(G492:G493)</f>
        <v>10000000</v>
      </c>
      <c r="H491" s="154" t="b">
        <f t="shared" si="15"/>
        <v>1</v>
      </c>
    </row>
    <row r="492" spans="1:8" ht="14.25" x14ac:dyDescent="0.2">
      <c r="A492" s="7" t="s">
        <v>3342</v>
      </c>
      <c r="B492" s="124"/>
      <c r="C492" s="123" t="s">
        <v>3781</v>
      </c>
      <c r="D492" s="124">
        <v>4</v>
      </c>
      <c r="E492" s="124" t="s">
        <v>9</v>
      </c>
      <c r="F492" s="125">
        <v>1500000</v>
      </c>
      <c r="G492" s="125">
        <f>ROUNDDOWN(D492*F492,-3)</f>
        <v>6000000</v>
      </c>
      <c r="H492" s="154" t="b">
        <f t="shared" si="15"/>
        <v>1</v>
      </c>
    </row>
    <row r="493" spans="1:8" ht="14.25" x14ac:dyDescent="0.2">
      <c r="A493" s="7" t="s">
        <v>3343</v>
      </c>
      <c r="B493" s="124"/>
      <c r="C493" s="123" t="s">
        <v>3598</v>
      </c>
      <c r="D493" s="124">
        <v>4</v>
      </c>
      <c r="E493" s="124" t="s">
        <v>106</v>
      </c>
      <c r="F493" s="125">
        <v>1000000</v>
      </c>
      <c r="G493" s="125">
        <f>ROUNDDOWN(D493*F493,-3)</f>
        <v>4000000</v>
      </c>
      <c r="H493" s="154" t="b">
        <f t="shared" si="15"/>
        <v>1</v>
      </c>
    </row>
    <row r="494" spans="1:8" ht="14.25" x14ac:dyDescent="0.2">
      <c r="A494" s="7" t="s">
        <v>3344</v>
      </c>
      <c r="B494" s="60">
        <v>524111</v>
      </c>
      <c r="C494" s="41" t="s">
        <v>19</v>
      </c>
      <c r="D494" s="60"/>
      <c r="E494" s="60"/>
      <c r="F494" s="42"/>
      <c r="G494" s="42">
        <f>G495</f>
        <v>15000000</v>
      </c>
      <c r="H494" s="154" t="b">
        <f t="shared" si="15"/>
        <v>1</v>
      </c>
    </row>
    <row r="495" spans="1:8" ht="14.25" x14ac:dyDescent="0.2">
      <c r="A495" s="7" t="s">
        <v>3345</v>
      </c>
      <c r="B495" s="124"/>
      <c r="C495" s="123" t="s">
        <v>3801</v>
      </c>
      <c r="D495" s="124">
        <v>5</v>
      </c>
      <c r="E495" s="124" t="s">
        <v>10</v>
      </c>
      <c r="F495" s="125">
        <v>3000000</v>
      </c>
      <c r="G495" s="125">
        <f>ROUNDDOWN(D495*F495,-3)</f>
        <v>15000000</v>
      </c>
      <c r="H495" s="154" t="b">
        <f t="shared" si="15"/>
        <v>1</v>
      </c>
    </row>
    <row r="496" spans="1:8" ht="14.25" x14ac:dyDescent="0.2">
      <c r="A496" s="7" t="s">
        <v>3347</v>
      </c>
      <c r="B496" s="60">
        <v>524113</v>
      </c>
      <c r="C496" s="41" t="s">
        <v>13</v>
      </c>
      <c r="D496" s="60"/>
      <c r="E496" s="60"/>
      <c r="F496" s="42"/>
      <c r="G496" s="42">
        <f>G497</f>
        <v>1500000</v>
      </c>
      <c r="H496" s="154" t="b">
        <f t="shared" si="15"/>
        <v>1</v>
      </c>
    </row>
    <row r="497" spans="1:8" ht="14.25" x14ac:dyDescent="0.2">
      <c r="A497" s="7" t="s">
        <v>3348</v>
      </c>
      <c r="B497" s="124"/>
      <c r="C497" s="123" t="s">
        <v>3593</v>
      </c>
      <c r="D497" s="124">
        <v>10</v>
      </c>
      <c r="E497" s="124" t="s">
        <v>10</v>
      </c>
      <c r="F497" s="125">
        <v>150000</v>
      </c>
      <c r="G497" s="125">
        <f>ROUNDDOWN(D497*F497,-3)</f>
        <v>1500000</v>
      </c>
      <c r="H497" s="154" t="b">
        <f t="shared" si="15"/>
        <v>1</v>
      </c>
    </row>
    <row r="498" spans="1:8" ht="14.25" x14ac:dyDescent="0.2">
      <c r="A498" s="7" t="s">
        <v>3349</v>
      </c>
      <c r="B498" s="59" t="s">
        <v>514</v>
      </c>
      <c r="C498" s="38" t="s">
        <v>3350</v>
      </c>
      <c r="D498" s="59"/>
      <c r="E498" s="59"/>
      <c r="F498" s="39"/>
      <c r="G498" s="39">
        <f>SUM(G499,G505,G507,G509)</f>
        <v>86700000</v>
      </c>
      <c r="H498" s="154" t="b">
        <f t="shared" si="15"/>
        <v>1</v>
      </c>
    </row>
    <row r="499" spans="1:8" ht="14.25" x14ac:dyDescent="0.2">
      <c r="A499" s="7" t="s">
        <v>3351</v>
      </c>
      <c r="B499" s="60">
        <v>521211</v>
      </c>
      <c r="C499" s="41" t="s">
        <v>7</v>
      </c>
      <c r="D499" s="60"/>
      <c r="E499" s="60"/>
      <c r="F499" s="42"/>
      <c r="G499" s="42">
        <f>SUM(G500:G504)</f>
        <v>32400000</v>
      </c>
      <c r="H499" s="154" t="b">
        <f t="shared" si="15"/>
        <v>1</v>
      </c>
    </row>
    <row r="500" spans="1:8" ht="14.25" x14ac:dyDescent="0.2">
      <c r="A500" s="7" t="s">
        <v>3352</v>
      </c>
      <c r="B500" s="124"/>
      <c r="C500" s="123" t="s">
        <v>3781</v>
      </c>
      <c r="D500" s="124">
        <v>6</v>
      </c>
      <c r="E500" s="124" t="s">
        <v>9</v>
      </c>
      <c r="F500" s="125">
        <v>1500000</v>
      </c>
      <c r="G500" s="125">
        <f>ROUNDDOWN(D500*F500,-3)</f>
        <v>9000000</v>
      </c>
      <c r="H500" s="154" t="b">
        <f t="shared" si="15"/>
        <v>1</v>
      </c>
    </row>
    <row r="501" spans="1:8" ht="14.25" x14ac:dyDescent="0.2">
      <c r="A501" s="7" t="s">
        <v>3353</v>
      </c>
      <c r="B501" s="124"/>
      <c r="C501" s="123" t="s">
        <v>3784</v>
      </c>
      <c r="D501" s="124">
        <v>20</v>
      </c>
      <c r="E501" s="124" t="s">
        <v>10</v>
      </c>
      <c r="F501" s="125">
        <v>70000</v>
      </c>
      <c r="G501" s="125">
        <f>ROUNDDOWN(D501*F501,-3)</f>
        <v>1400000</v>
      </c>
      <c r="H501" s="154" t="b">
        <f t="shared" si="15"/>
        <v>1</v>
      </c>
    </row>
    <row r="502" spans="1:8" s="156" customFormat="1" ht="14.25" x14ac:dyDescent="0.2">
      <c r="A502" s="155" t="s">
        <v>3354</v>
      </c>
      <c r="B502" s="124"/>
      <c r="C502" s="123" t="s">
        <v>3802</v>
      </c>
      <c r="D502" s="124">
        <v>28</v>
      </c>
      <c r="E502" s="124" t="s">
        <v>176</v>
      </c>
      <c r="F502" s="125">
        <v>500000</v>
      </c>
      <c r="G502" s="125">
        <f>ROUNDDOWN(D502*F502,-3)</f>
        <v>14000000</v>
      </c>
      <c r="H502" s="154" t="b">
        <f t="shared" si="15"/>
        <v>1</v>
      </c>
    </row>
    <row r="503" spans="1:8" ht="14.25" x14ac:dyDescent="0.2">
      <c r="A503" s="7" t="s">
        <v>3356</v>
      </c>
      <c r="B503" s="124"/>
      <c r="C503" s="123" t="s">
        <v>3803</v>
      </c>
      <c r="D503" s="124">
        <v>4</v>
      </c>
      <c r="E503" s="124" t="s">
        <v>58</v>
      </c>
      <c r="F503" s="125">
        <v>500000</v>
      </c>
      <c r="G503" s="125">
        <f>ROUNDDOWN(D503*F503,-3)</f>
        <v>2000000</v>
      </c>
      <c r="H503" s="154" t="b">
        <f t="shared" si="15"/>
        <v>1</v>
      </c>
    </row>
    <row r="504" spans="1:8" ht="14.25" x14ac:dyDescent="0.2">
      <c r="A504" s="7" t="s">
        <v>3358</v>
      </c>
      <c r="B504" s="124"/>
      <c r="C504" s="123" t="s">
        <v>3799</v>
      </c>
      <c r="D504" s="124">
        <v>6</v>
      </c>
      <c r="E504" s="124" t="s">
        <v>106</v>
      </c>
      <c r="F504" s="125">
        <v>1000000</v>
      </c>
      <c r="G504" s="125">
        <f>ROUNDDOWN(D504*F504,-3)</f>
        <v>6000000</v>
      </c>
      <c r="H504" s="154" t="b">
        <f t="shared" si="15"/>
        <v>1</v>
      </c>
    </row>
    <row r="505" spans="1:8" ht="14.25" x14ac:dyDescent="0.2">
      <c r="A505" s="7" t="s">
        <v>3359</v>
      </c>
      <c r="B505" s="60">
        <v>522151</v>
      </c>
      <c r="C505" s="41" t="s">
        <v>11</v>
      </c>
      <c r="D505" s="60"/>
      <c r="E505" s="60"/>
      <c r="F505" s="42"/>
      <c r="G505" s="42">
        <f>G506</f>
        <v>9000000</v>
      </c>
      <c r="H505" s="154" t="b">
        <f t="shared" si="15"/>
        <v>1</v>
      </c>
    </row>
    <row r="506" spans="1:8" ht="14.25" x14ac:dyDescent="0.2">
      <c r="A506" s="7" t="s">
        <v>3360</v>
      </c>
      <c r="B506" s="124"/>
      <c r="C506" s="123" t="s">
        <v>3603</v>
      </c>
      <c r="D506" s="124">
        <v>10</v>
      </c>
      <c r="E506" s="124" t="s">
        <v>12</v>
      </c>
      <c r="F506" s="125">
        <v>900000</v>
      </c>
      <c r="G506" s="125">
        <f>ROUNDDOWN(D506*F506,-3)</f>
        <v>9000000</v>
      </c>
      <c r="H506" s="154" t="b">
        <f t="shared" si="15"/>
        <v>1</v>
      </c>
    </row>
    <row r="507" spans="1:8" ht="14.25" x14ac:dyDescent="0.2">
      <c r="A507" s="7" t="s">
        <v>3361</v>
      </c>
      <c r="B507" s="60">
        <v>524111</v>
      </c>
      <c r="C507" s="41" t="s">
        <v>19</v>
      </c>
      <c r="D507" s="60"/>
      <c r="E507" s="60"/>
      <c r="F507" s="42"/>
      <c r="G507" s="42">
        <f>G508</f>
        <v>42000000</v>
      </c>
      <c r="H507" s="154" t="b">
        <f t="shared" si="15"/>
        <v>1</v>
      </c>
    </row>
    <row r="508" spans="1:8" ht="25.5" x14ac:dyDescent="0.2">
      <c r="A508" s="7" t="s">
        <v>3362</v>
      </c>
      <c r="B508" s="124"/>
      <c r="C508" s="123" t="s">
        <v>3804</v>
      </c>
      <c r="D508" s="124">
        <v>14</v>
      </c>
      <c r="E508" s="124" t="s">
        <v>10</v>
      </c>
      <c r="F508" s="125">
        <v>3000000</v>
      </c>
      <c r="G508" s="125">
        <f>ROUNDDOWN(D508*F508,-3)</f>
        <v>42000000</v>
      </c>
      <c r="H508" s="154" t="b">
        <f t="shared" si="15"/>
        <v>1</v>
      </c>
    </row>
    <row r="509" spans="1:8" ht="14.25" x14ac:dyDescent="0.2">
      <c r="A509" s="7" t="s">
        <v>3364</v>
      </c>
      <c r="B509" s="60">
        <v>524113</v>
      </c>
      <c r="C509" s="41" t="s">
        <v>13</v>
      </c>
      <c r="D509" s="60"/>
      <c r="E509" s="60"/>
      <c r="F509" s="42"/>
      <c r="G509" s="42">
        <f>G510</f>
        <v>3300000</v>
      </c>
      <c r="H509" s="154" t="b">
        <f t="shared" si="15"/>
        <v>1</v>
      </c>
    </row>
    <row r="510" spans="1:8" ht="25.5" x14ac:dyDescent="0.2">
      <c r="A510" s="7" t="s">
        <v>3365</v>
      </c>
      <c r="B510" s="124"/>
      <c r="C510" s="123" t="s">
        <v>3805</v>
      </c>
      <c r="D510" s="124">
        <v>22</v>
      </c>
      <c r="E510" s="124" t="s">
        <v>10</v>
      </c>
      <c r="F510" s="125">
        <v>150000</v>
      </c>
      <c r="G510" s="125">
        <f>ROUNDDOWN(D510*F510,-3)</f>
        <v>3300000</v>
      </c>
      <c r="H510" s="154" t="b">
        <f t="shared" si="15"/>
        <v>1</v>
      </c>
    </row>
    <row r="511" spans="1:8" ht="14.25" x14ac:dyDescent="0.2">
      <c r="A511" s="7" t="s">
        <v>3367</v>
      </c>
      <c r="B511" s="59" t="s">
        <v>519</v>
      </c>
      <c r="C511" s="38" t="s">
        <v>146</v>
      </c>
      <c r="D511" s="59"/>
      <c r="E511" s="59"/>
      <c r="F511" s="39"/>
      <c r="G511" s="39">
        <f>SUM(G512,G515,G517)</f>
        <v>28800000</v>
      </c>
      <c r="H511" s="154" t="b">
        <f>_xlfn.ISFORMULA(G511)</f>
        <v>1</v>
      </c>
    </row>
    <row r="512" spans="1:8" ht="14.25" x14ac:dyDescent="0.2">
      <c r="A512" s="7" t="s">
        <v>3368</v>
      </c>
      <c r="B512" s="60">
        <v>521211</v>
      </c>
      <c r="C512" s="41" t="s">
        <v>7</v>
      </c>
      <c r="D512" s="60"/>
      <c r="E512" s="60"/>
      <c r="F512" s="42"/>
      <c r="G512" s="42">
        <f>SUM(G513:G514)</f>
        <v>15000000</v>
      </c>
      <c r="H512" s="154" t="b">
        <f t="shared" si="15"/>
        <v>1</v>
      </c>
    </row>
    <row r="513" spans="1:8" ht="14.25" x14ac:dyDescent="0.2">
      <c r="A513" s="7" t="s">
        <v>3369</v>
      </c>
      <c r="B513" s="124"/>
      <c r="C513" s="123" t="s">
        <v>3781</v>
      </c>
      <c r="D513" s="124">
        <v>6</v>
      </c>
      <c r="E513" s="124" t="s">
        <v>9</v>
      </c>
      <c r="F513" s="125">
        <v>1500000</v>
      </c>
      <c r="G513" s="125">
        <f>ROUNDDOWN(D513*F513,-3)</f>
        <v>9000000</v>
      </c>
      <c r="H513" s="154" t="b">
        <f t="shared" si="15"/>
        <v>1</v>
      </c>
    </row>
    <row r="514" spans="1:8" ht="14.25" x14ac:dyDescent="0.2">
      <c r="A514" s="7" t="s">
        <v>3370</v>
      </c>
      <c r="B514" s="124"/>
      <c r="C514" s="123" t="s">
        <v>3598</v>
      </c>
      <c r="D514" s="124">
        <v>6</v>
      </c>
      <c r="E514" s="124" t="s">
        <v>106</v>
      </c>
      <c r="F514" s="125">
        <v>1000000</v>
      </c>
      <c r="G514" s="125">
        <f>ROUNDDOWN(D514*F514,-3)</f>
        <v>6000000</v>
      </c>
      <c r="H514" s="154" t="b">
        <f t="shared" si="15"/>
        <v>1</v>
      </c>
    </row>
    <row r="515" spans="1:8" ht="14.25" x14ac:dyDescent="0.2">
      <c r="A515" s="7" t="s">
        <v>3371</v>
      </c>
      <c r="B515" s="60">
        <v>524111</v>
      </c>
      <c r="C515" s="41" t="s">
        <v>19</v>
      </c>
      <c r="D515" s="60"/>
      <c r="E515" s="60"/>
      <c r="F515" s="42"/>
      <c r="G515" s="42">
        <f>G516</f>
        <v>12000000</v>
      </c>
      <c r="H515" s="154" t="b">
        <f t="shared" si="15"/>
        <v>1</v>
      </c>
    </row>
    <row r="516" spans="1:8" ht="14.25" x14ac:dyDescent="0.2">
      <c r="A516" s="7" t="s">
        <v>3372</v>
      </c>
      <c r="B516" s="124"/>
      <c r="C516" s="123" t="s">
        <v>3806</v>
      </c>
      <c r="D516" s="124">
        <v>4</v>
      </c>
      <c r="E516" s="124" t="s">
        <v>10</v>
      </c>
      <c r="F516" s="125">
        <v>3000000</v>
      </c>
      <c r="G516" s="125">
        <f>ROUNDDOWN(D516*F516,-3)</f>
        <v>12000000</v>
      </c>
      <c r="H516" s="154" t="b">
        <f t="shared" si="15"/>
        <v>1</v>
      </c>
    </row>
    <row r="517" spans="1:8" ht="14.25" x14ac:dyDescent="0.2">
      <c r="A517" s="7" t="s">
        <v>3374</v>
      </c>
      <c r="B517" s="60">
        <v>524113</v>
      </c>
      <c r="C517" s="41" t="s">
        <v>13</v>
      </c>
      <c r="D517" s="60"/>
      <c r="E517" s="60"/>
      <c r="F517" s="42"/>
      <c r="G517" s="42">
        <f>G518</f>
        <v>1800000</v>
      </c>
      <c r="H517" s="154" t="b">
        <f t="shared" si="15"/>
        <v>1</v>
      </c>
    </row>
    <row r="518" spans="1:8" ht="14.25" x14ac:dyDescent="0.2">
      <c r="A518" s="7" t="s">
        <v>3375</v>
      </c>
      <c r="B518" s="124"/>
      <c r="C518" s="123" t="s">
        <v>3807</v>
      </c>
      <c r="D518" s="124">
        <v>12</v>
      </c>
      <c r="E518" s="124" t="s">
        <v>10</v>
      </c>
      <c r="F518" s="125">
        <v>150000</v>
      </c>
      <c r="G518" s="125">
        <f>ROUNDDOWN(D518*F518,-3)</f>
        <v>1800000</v>
      </c>
      <c r="H518" s="154" t="b">
        <f t="shared" si="15"/>
        <v>1</v>
      </c>
    </row>
    <row r="519" spans="1:8" ht="14.25" x14ac:dyDescent="0.2">
      <c r="A519" s="7" t="s">
        <v>3377</v>
      </c>
      <c r="B519" s="59" t="s">
        <v>578</v>
      </c>
      <c r="C519" s="38" t="s">
        <v>147</v>
      </c>
      <c r="D519" s="59"/>
      <c r="E519" s="59"/>
      <c r="F519" s="39"/>
      <c r="G519" s="39">
        <f>SUM(G520,G522,G525,G527)</f>
        <v>76320000</v>
      </c>
      <c r="H519" s="154" t="b">
        <f t="shared" si="15"/>
        <v>1</v>
      </c>
    </row>
    <row r="520" spans="1:8" ht="14.25" x14ac:dyDescent="0.2">
      <c r="A520" s="7" t="s">
        <v>3378</v>
      </c>
      <c r="B520" s="60">
        <v>521211</v>
      </c>
      <c r="C520" s="41" t="s">
        <v>7</v>
      </c>
      <c r="D520" s="60"/>
      <c r="E520" s="60"/>
      <c r="F520" s="42"/>
      <c r="G520" s="42">
        <f>G521</f>
        <v>4800000</v>
      </c>
      <c r="H520" s="154" t="b">
        <f t="shared" si="15"/>
        <v>1</v>
      </c>
    </row>
    <row r="521" spans="1:8" ht="14.25" x14ac:dyDescent="0.2">
      <c r="A521" s="7" t="s">
        <v>3379</v>
      </c>
      <c r="B521" s="124"/>
      <c r="C521" s="123" t="s">
        <v>3808</v>
      </c>
      <c r="D521" s="124">
        <v>24</v>
      </c>
      <c r="E521" s="124" t="s">
        <v>176</v>
      </c>
      <c r="F521" s="125">
        <v>200000</v>
      </c>
      <c r="G521" s="125">
        <f>ROUNDDOWN(D521*F521,-3)</f>
        <v>4800000</v>
      </c>
      <c r="H521" s="154" t="b">
        <f t="shared" si="15"/>
        <v>1</v>
      </c>
    </row>
    <row r="522" spans="1:8" ht="14.25" x14ac:dyDescent="0.2">
      <c r="A522" s="7" t="s">
        <v>3381</v>
      </c>
      <c r="B522" s="60">
        <v>521811</v>
      </c>
      <c r="C522" s="41" t="s">
        <v>64</v>
      </c>
      <c r="D522" s="60"/>
      <c r="E522" s="60"/>
      <c r="F522" s="42"/>
      <c r="G522" s="42">
        <f>SUM(G523:G524)</f>
        <v>25000000</v>
      </c>
      <c r="H522" s="154" t="b">
        <f t="shared" si="15"/>
        <v>1</v>
      </c>
    </row>
    <row r="523" spans="1:8" ht="14.25" x14ac:dyDescent="0.2">
      <c r="A523" s="7" t="s">
        <v>3382</v>
      </c>
      <c r="B523" s="124"/>
      <c r="C523" s="123" t="s">
        <v>3781</v>
      </c>
      <c r="D523" s="124">
        <v>10</v>
      </c>
      <c r="E523" s="124" t="s">
        <v>9</v>
      </c>
      <c r="F523" s="125">
        <v>1500000</v>
      </c>
      <c r="G523" s="125">
        <f>ROUNDDOWN(D523*F523,-3)</f>
        <v>15000000</v>
      </c>
      <c r="H523" s="154" t="b">
        <f t="shared" si="15"/>
        <v>1</v>
      </c>
    </row>
    <row r="524" spans="1:8" ht="14.25" x14ac:dyDescent="0.2">
      <c r="A524" s="7" t="s">
        <v>3383</v>
      </c>
      <c r="B524" s="124"/>
      <c r="C524" s="123" t="s">
        <v>3598</v>
      </c>
      <c r="D524" s="124">
        <v>10</v>
      </c>
      <c r="E524" s="124" t="s">
        <v>2749</v>
      </c>
      <c r="F524" s="125">
        <v>1000000</v>
      </c>
      <c r="G524" s="125">
        <f>ROUNDDOWN(D524*F524,-3)</f>
        <v>10000000</v>
      </c>
      <c r="H524" s="154" t="b">
        <f t="shared" si="15"/>
        <v>1</v>
      </c>
    </row>
    <row r="525" spans="1:8" ht="14.25" x14ac:dyDescent="0.2">
      <c r="A525" s="7" t="s">
        <v>3384</v>
      </c>
      <c r="B525" s="60">
        <v>524111</v>
      </c>
      <c r="C525" s="41" t="s">
        <v>19</v>
      </c>
      <c r="D525" s="60"/>
      <c r="E525" s="60"/>
      <c r="F525" s="42"/>
      <c r="G525" s="42">
        <f>G526</f>
        <v>42770000</v>
      </c>
      <c r="H525" s="154" t="b">
        <f t="shared" ref="H525:H588" si="16">_xlfn.ISFORMULA(G525)</f>
        <v>1</v>
      </c>
    </row>
    <row r="526" spans="1:8" ht="14.25" x14ac:dyDescent="0.2">
      <c r="A526" s="7" t="s">
        <v>3385</v>
      </c>
      <c r="B526" s="124"/>
      <c r="C526" s="123" t="s">
        <v>3809</v>
      </c>
      <c r="D526" s="124">
        <v>14</v>
      </c>
      <c r="E526" s="124" t="s">
        <v>10</v>
      </c>
      <c r="F526" s="125">
        <v>3055000</v>
      </c>
      <c r="G526" s="125">
        <f>ROUNDDOWN(D526*F526,-3)</f>
        <v>42770000</v>
      </c>
      <c r="H526" s="154" t="b">
        <f t="shared" si="16"/>
        <v>1</v>
      </c>
    </row>
    <row r="527" spans="1:8" ht="14.25" x14ac:dyDescent="0.2">
      <c r="A527" s="7" t="s">
        <v>3387</v>
      </c>
      <c r="B527" s="60">
        <v>524113</v>
      </c>
      <c r="C527" s="41" t="s">
        <v>13</v>
      </c>
      <c r="D527" s="60"/>
      <c r="E527" s="60"/>
      <c r="F527" s="42"/>
      <c r="G527" s="42">
        <f>G528</f>
        <v>3750000</v>
      </c>
      <c r="H527" s="154" t="b">
        <f t="shared" si="16"/>
        <v>1</v>
      </c>
    </row>
    <row r="528" spans="1:8" ht="14.25" x14ac:dyDescent="0.2">
      <c r="A528" s="7" t="s">
        <v>3388</v>
      </c>
      <c r="B528" s="124"/>
      <c r="C528" s="123" t="s">
        <v>3594</v>
      </c>
      <c r="D528" s="124">
        <v>25</v>
      </c>
      <c r="E528" s="124" t="s">
        <v>10</v>
      </c>
      <c r="F528" s="125">
        <v>150000</v>
      </c>
      <c r="G528" s="125">
        <f>ROUNDDOWN(D528*F528,-3)</f>
        <v>3750000</v>
      </c>
      <c r="H528" s="154" t="b">
        <f t="shared" si="16"/>
        <v>1</v>
      </c>
    </row>
    <row r="529" spans="1:8" ht="14.25" x14ac:dyDescent="0.2">
      <c r="A529" s="7" t="s">
        <v>495</v>
      </c>
      <c r="B529" s="55">
        <v>4345</v>
      </c>
      <c r="C529" s="26" t="s">
        <v>188</v>
      </c>
      <c r="D529" s="55"/>
      <c r="E529" s="55"/>
      <c r="F529" s="27"/>
      <c r="G529" s="27">
        <f>G530</f>
        <v>8582500000</v>
      </c>
      <c r="H529" s="154" t="b">
        <f t="shared" si="16"/>
        <v>1</v>
      </c>
    </row>
    <row r="530" spans="1:8" ht="14.25" x14ac:dyDescent="0.2">
      <c r="A530" s="7" t="s">
        <v>3473</v>
      </c>
      <c r="B530" s="116" t="s">
        <v>3474</v>
      </c>
      <c r="C530" s="114" t="s">
        <v>2312</v>
      </c>
      <c r="D530" s="116">
        <v>4725</v>
      </c>
      <c r="E530" s="116" t="s">
        <v>155</v>
      </c>
      <c r="F530" s="117"/>
      <c r="G530" s="117">
        <f>G531</f>
        <v>8582500000</v>
      </c>
      <c r="H530" s="154" t="b">
        <f t="shared" si="16"/>
        <v>1</v>
      </c>
    </row>
    <row r="531" spans="1:8" ht="14.25" x14ac:dyDescent="0.2">
      <c r="A531" s="7" t="s">
        <v>3475</v>
      </c>
      <c r="B531" s="119" t="s">
        <v>3810</v>
      </c>
      <c r="C531" s="118" t="s">
        <v>3477</v>
      </c>
      <c r="D531" s="119">
        <v>4725</v>
      </c>
      <c r="E531" s="119" t="s">
        <v>155</v>
      </c>
      <c r="F531" s="120"/>
      <c r="G531" s="120">
        <f>SUM(G532,G580)</f>
        <v>8582500000</v>
      </c>
      <c r="H531" s="154" t="b">
        <f t="shared" si="16"/>
        <v>1</v>
      </c>
    </row>
    <row r="532" spans="1:8" ht="14.25" x14ac:dyDescent="0.2">
      <c r="A532" s="7" t="s">
        <v>3478</v>
      </c>
      <c r="B532" s="58">
        <v>301</v>
      </c>
      <c r="C532" s="35" t="s">
        <v>189</v>
      </c>
      <c r="D532" s="58"/>
      <c r="E532" s="58"/>
      <c r="F532" s="36"/>
      <c r="G532" s="36">
        <f>SUM(G533,G552,G568,G577)</f>
        <v>8473300000</v>
      </c>
      <c r="H532" s="154" t="b">
        <f t="shared" si="16"/>
        <v>1</v>
      </c>
    </row>
    <row r="533" spans="1:8" ht="14.25" x14ac:dyDescent="0.2">
      <c r="A533" s="7" t="s">
        <v>3479</v>
      </c>
      <c r="B533" s="59" t="s">
        <v>8</v>
      </c>
      <c r="C533" s="38" t="s">
        <v>190</v>
      </c>
      <c r="D533" s="59"/>
      <c r="E533" s="59"/>
      <c r="F533" s="39"/>
      <c r="G533" s="39">
        <f>SUM(G534,G539,G542,G545,G547,G549)</f>
        <v>1713564000</v>
      </c>
      <c r="H533" s="154" t="b">
        <f t="shared" si="16"/>
        <v>1</v>
      </c>
    </row>
    <row r="534" spans="1:8" ht="14.25" x14ac:dyDescent="0.2">
      <c r="A534" s="7" t="s">
        <v>3480</v>
      </c>
      <c r="B534" s="60">
        <v>521211</v>
      </c>
      <c r="C534" s="41" t="s">
        <v>7</v>
      </c>
      <c r="D534" s="60"/>
      <c r="E534" s="60"/>
      <c r="F534" s="42"/>
      <c r="G534" s="42">
        <f>SUM(G535:G538)</f>
        <v>99100000</v>
      </c>
      <c r="H534" s="154" t="b">
        <f t="shared" si="16"/>
        <v>1</v>
      </c>
    </row>
    <row r="535" spans="1:8" ht="14.25" x14ac:dyDescent="0.2">
      <c r="A535" s="7" t="s">
        <v>3481</v>
      </c>
      <c r="B535" s="124"/>
      <c r="C535" s="123" t="s">
        <v>3811</v>
      </c>
      <c r="D535" s="124">
        <v>400</v>
      </c>
      <c r="E535" s="124" t="s">
        <v>10</v>
      </c>
      <c r="F535" s="125">
        <v>70000</v>
      </c>
      <c r="G535" s="125">
        <f>ROUNDDOWN(D535*F535,-3)</f>
        <v>28000000</v>
      </c>
      <c r="H535" s="154" t="b">
        <f t="shared" si="16"/>
        <v>1</v>
      </c>
    </row>
    <row r="536" spans="1:8" ht="14.25" x14ac:dyDescent="0.2">
      <c r="A536" s="7" t="s">
        <v>3482</v>
      </c>
      <c r="B536" s="124"/>
      <c r="C536" s="123" t="s">
        <v>3812</v>
      </c>
      <c r="D536" s="124">
        <v>10</v>
      </c>
      <c r="E536" s="124" t="s">
        <v>9</v>
      </c>
      <c r="F536" s="125">
        <v>1500000</v>
      </c>
      <c r="G536" s="125">
        <f>ROUNDDOWN(D536*F536,-3)</f>
        <v>15000000</v>
      </c>
      <c r="H536" s="154" t="b">
        <f t="shared" si="16"/>
        <v>1</v>
      </c>
    </row>
    <row r="537" spans="1:8" ht="14.25" x14ac:dyDescent="0.2">
      <c r="A537" s="7" t="s">
        <v>3484</v>
      </c>
      <c r="B537" s="124"/>
      <c r="C537" s="123" t="s">
        <v>3813</v>
      </c>
      <c r="D537" s="124">
        <v>120</v>
      </c>
      <c r="E537" s="124" t="s">
        <v>25</v>
      </c>
      <c r="F537" s="125">
        <v>280000</v>
      </c>
      <c r="G537" s="125">
        <f>ROUNDDOWN(D537*F537,-3)</f>
        <v>33600000</v>
      </c>
      <c r="H537" s="154" t="b">
        <f t="shared" si="16"/>
        <v>1</v>
      </c>
    </row>
    <row r="538" spans="1:8" ht="14.25" x14ac:dyDescent="0.2">
      <c r="A538" s="7" t="s">
        <v>3486</v>
      </c>
      <c r="B538" s="124"/>
      <c r="C538" s="123" t="s">
        <v>3814</v>
      </c>
      <c r="D538" s="124">
        <v>150</v>
      </c>
      <c r="E538" s="124" t="s">
        <v>25</v>
      </c>
      <c r="F538" s="125">
        <v>150000</v>
      </c>
      <c r="G538" s="125">
        <f>ROUNDDOWN(D538*F538,-3)</f>
        <v>22500000</v>
      </c>
      <c r="H538" s="154" t="b">
        <f t="shared" si="16"/>
        <v>1</v>
      </c>
    </row>
    <row r="539" spans="1:8" ht="14.25" x14ac:dyDescent="0.2">
      <c r="A539" s="7" t="s">
        <v>3488</v>
      </c>
      <c r="B539" s="60">
        <v>521219</v>
      </c>
      <c r="C539" s="41" t="s">
        <v>53</v>
      </c>
      <c r="D539" s="60"/>
      <c r="E539" s="60"/>
      <c r="F539" s="42"/>
      <c r="G539" s="42">
        <f>SUM(G540:G541)</f>
        <v>1333864000</v>
      </c>
      <c r="H539" s="154" t="b">
        <f t="shared" si="16"/>
        <v>1</v>
      </c>
    </row>
    <row r="540" spans="1:8" ht="14.25" x14ac:dyDescent="0.2">
      <c r="A540" s="7" t="s">
        <v>3489</v>
      </c>
      <c r="B540" s="124"/>
      <c r="C540" s="123" t="s">
        <v>3815</v>
      </c>
      <c r="D540" s="124">
        <v>33</v>
      </c>
      <c r="E540" s="124" t="s">
        <v>155</v>
      </c>
      <c r="F540" s="125">
        <v>40412550</v>
      </c>
      <c r="G540" s="125">
        <f>ROUNDDOWN(D540*F540,-3)</f>
        <v>1333614000</v>
      </c>
      <c r="H540" s="154" t="b">
        <f t="shared" si="16"/>
        <v>1</v>
      </c>
    </row>
    <row r="541" spans="1:8" ht="14.25" x14ac:dyDescent="0.2">
      <c r="A541" s="7" t="s">
        <v>3491</v>
      </c>
      <c r="B541" s="124"/>
      <c r="C541" s="123" t="s">
        <v>3816</v>
      </c>
      <c r="D541" s="124">
        <v>1</v>
      </c>
      <c r="E541" s="124" t="s">
        <v>9</v>
      </c>
      <c r="F541" s="125">
        <v>250000</v>
      </c>
      <c r="G541" s="125">
        <f>ROUNDDOWN(D541*F541,-3)</f>
        <v>250000</v>
      </c>
      <c r="H541" s="154" t="b">
        <f t="shared" si="16"/>
        <v>1</v>
      </c>
    </row>
    <row r="542" spans="1:8" ht="14.25" x14ac:dyDescent="0.2">
      <c r="A542" s="7" t="s">
        <v>3492</v>
      </c>
      <c r="B542" s="60">
        <v>521811</v>
      </c>
      <c r="C542" s="41" t="s">
        <v>64</v>
      </c>
      <c r="D542" s="60"/>
      <c r="E542" s="60"/>
      <c r="F542" s="42"/>
      <c r="G542" s="42">
        <f>SUM(G543:G544)</f>
        <v>25000000</v>
      </c>
      <c r="H542" s="154" t="b">
        <f t="shared" si="16"/>
        <v>1</v>
      </c>
    </row>
    <row r="543" spans="1:8" ht="14.25" x14ac:dyDescent="0.2">
      <c r="A543" s="7" t="s">
        <v>3493</v>
      </c>
      <c r="B543" s="124"/>
      <c r="C543" s="123" t="s">
        <v>3781</v>
      </c>
      <c r="D543" s="124">
        <v>10</v>
      </c>
      <c r="E543" s="124" t="s">
        <v>9</v>
      </c>
      <c r="F543" s="125">
        <v>1000000</v>
      </c>
      <c r="G543" s="125">
        <f>ROUNDDOWN(D543*F543,-3)</f>
        <v>10000000</v>
      </c>
      <c r="H543" s="154" t="b">
        <f t="shared" si="16"/>
        <v>1</v>
      </c>
    </row>
    <row r="544" spans="1:8" ht="14.25" x14ac:dyDescent="0.2">
      <c r="A544" s="7" t="s">
        <v>3494</v>
      </c>
      <c r="B544" s="124"/>
      <c r="C544" s="123" t="s">
        <v>3598</v>
      </c>
      <c r="D544" s="124">
        <v>10</v>
      </c>
      <c r="E544" s="124" t="s">
        <v>9</v>
      </c>
      <c r="F544" s="125">
        <v>1500000</v>
      </c>
      <c r="G544" s="125">
        <f>ROUNDDOWN(D544*F544,-3)</f>
        <v>15000000</v>
      </c>
      <c r="H544" s="154" t="b">
        <f t="shared" si="16"/>
        <v>1</v>
      </c>
    </row>
    <row r="545" spans="1:8" ht="14.25" x14ac:dyDescent="0.2">
      <c r="A545" s="7" t="s">
        <v>3495</v>
      </c>
      <c r="B545" s="60">
        <v>522151</v>
      </c>
      <c r="C545" s="41" t="s">
        <v>11</v>
      </c>
      <c r="D545" s="60"/>
      <c r="E545" s="60"/>
      <c r="F545" s="42"/>
      <c r="G545" s="42">
        <f>G546</f>
        <v>15000000</v>
      </c>
      <c r="H545" s="154" t="b">
        <f t="shared" si="16"/>
        <v>1</v>
      </c>
    </row>
    <row r="546" spans="1:8" ht="14.25" x14ac:dyDescent="0.2">
      <c r="A546" s="7" t="s">
        <v>3496</v>
      </c>
      <c r="B546" s="124"/>
      <c r="C546" s="123" t="s">
        <v>3603</v>
      </c>
      <c r="D546" s="124">
        <v>15</v>
      </c>
      <c r="E546" s="124" t="s">
        <v>12</v>
      </c>
      <c r="F546" s="125">
        <v>1000000</v>
      </c>
      <c r="G546" s="125">
        <f>ROUNDDOWN(D546*F546,-3)</f>
        <v>15000000</v>
      </c>
      <c r="H546" s="154" t="b">
        <f t="shared" si="16"/>
        <v>1</v>
      </c>
    </row>
    <row r="547" spans="1:8" ht="14.25" x14ac:dyDescent="0.2">
      <c r="A547" s="7" t="s">
        <v>3497</v>
      </c>
      <c r="B547" s="60">
        <v>522191</v>
      </c>
      <c r="C547" s="41" t="s">
        <v>22</v>
      </c>
      <c r="D547" s="60"/>
      <c r="E547" s="60"/>
      <c r="F547" s="42"/>
      <c r="G547" s="42">
        <f>G548</f>
        <v>102600000</v>
      </c>
      <c r="H547" s="154" t="b">
        <f t="shared" si="16"/>
        <v>1</v>
      </c>
    </row>
    <row r="548" spans="1:8" ht="14.25" x14ac:dyDescent="0.2">
      <c r="A548" s="7" t="s">
        <v>3498</v>
      </c>
      <c r="B548" s="124"/>
      <c r="C548" s="123" t="s">
        <v>3817</v>
      </c>
      <c r="D548" s="124">
        <v>120</v>
      </c>
      <c r="E548" s="124" t="s">
        <v>155</v>
      </c>
      <c r="F548" s="125">
        <v>855000</v>
      </c>
      <c r="G548" s="125">
        <f>ROUNDDOWN(D548*F548,-3)</f>
        <v>102600000</v>
      </c>
      <c r="H548" s="154" t="b">
        <f t="shared" si="16"/>
        <v>1</v>
      </c>
    </row>
    <row r="549" spans="1:8" ht="14.25" x14ac:dyDescent="0.2">
      <c r="A549" s="7" t="s">
        <v>3500</v>
      </c>
      <c r="B549" s="60">
        <v>524111</v>
      </c>
      <c r="C549" s="41" t="s">
        <v>19</v>
      </c>
      <c r="D549" s="60"/>
      <c r="E549" s="60"/>
      <c r="F549" s="42"/>
      <c r="G549" s="42">
        <f>SUM(G550:G551)</f>
        <v>138000000</v>
      </c>
      <c r="H549" s="154" t="b">
        <f t="shared" si="16"/>
        <v>1</v>
      </c>
    </row>
    <row r="550" spans="1:8" ht="14.25" x14ac:dyDescent="0.2">
      <c r="A550" s="7" t="s">
        <v>3501</v>
      </c>
      <c r="B550" s="124"/>
      <c r="C550" s="123" t="s">
        <v>3818</v>
      </c>
      <c r="D550" s="124">
        <v>50</v>
      </c>
      <c r="E550" s="124" t="s">
        <v>10</v>
      </c>
      <c r="F550" s="125">
        <v>1200000</v>
      </c>
      <c r="G550" s="125">
        <f>ROUNDDOWN(D550*F550,-3)</f>
        <v>60000000</v>
      </c>
      <c r="H550" s="154" t="b">
        <f t="shared" si="16"/>
        <v>1</v>
      </c>
    </row>
    <row r="551" spans="1:8" ht="25.5" x14ac:dyDescent="0.2">
      <c r="A551" s="7" t="s">
        <v>3503</v>
      </c>
      <c r="B551" s="124"/>
      <c r="C551" s="123" t="s">
        <v>3819</v>
      </c>
      <c r="D551" s="124">
        <v>12</v>
      </c>
      <c r="E551" s="124" t="s">
        <v>10</v>
      </c>
      <c r="F551" s="125">
        <v>6500000</v>
      </c>
      <c r="G551" s="125">
        <f>ROUNDDOWN(D551*F551,-3)</f>
        <v>78000000</v>
      </c>
      <c r="H551" s="154" t="b">
        <f t="shared" si="16"/>
        <v>1</v>
      </c>
    </row>
    <row r="552" spans="1:8" ht="14.25" x14ac:dyDescent="0.2">
      <c r="A552" s="7" t="s">
        <v>3505</v>
      </c>
      <c r="B552" s="59" t="s">
        <v>511</v>
      </c>
      <c r="C552" s="38" t="s">
        <v>191</v>
      </c>
      <c r="D552" s="59"/>
      <c r="E552" s="59"/>
      <c r="F552" s="39"/>
      <c r="G552" s="39">
        <f>SUM(G553,G556,G560,G563,G565)</f>
        <v>6555695000</v>
      </c>
      <c r="H552" s="154" t="b">
        <f t="shared" si="16"/>
        <v>1</v>
      </c>
    </row>
    <row r="553" spans="1:8" ht="14.25" x14ac:dyDescent="0.2">
      <c r="A553" s="7" t="s">
        <v>3506</v>
      </c>
      <c r="B553" s="60">
        <v>521211</v>
      </c>
      <c r="C553" s="41" t="s">
        <v>7</v>
      </c>
      <c r="D553" s="60"/>
      <c r="E553" s="60"/>
      <c r="F553" s="42"/>
      <c r="G553" s="42">
        <f>SUM(G554:G555)</f>
        <v>25000000</v>
      </c>
      <c r="H553" s="154" t="b">
        <f t="shared" si="16"/>
        <v>1</v>
      </c>
    </row>
    <row r="554" spans="1:8" ht="14.25" x14ac:dyDescent="0.2">
      <c r="A554" s="7" t="s">
        <v>3507</v>
      </c>
      <c r="B554" s="124"/>
      <c r="C554" s="123" t="s">
        <v>3811</v>
      </c>
      <c r="D554" s="124">
        <v>100</v>
      </c>
      <c r="E554" s="124" t="s">
        <v>10</v>
      </c>
      <c r="F554" s="125">
        <v>70000</v>
      </c>
      <c r="G554" s="125">
        <f>ROUNDDOWN(D554*F554,-3)</f>
        <v>7000000</v>
      </c>
      <c r="H554" s="154" t="b">
        <f t="shared" si="16"/>
        <v>1</v>
      </c>
    </row>
    <row r="555" spans="1:8" ht="14.25" x14ac:dyDescent="0.2">
      <c r="A555" s="7" t="s">
        <v>3508</v>
      </c>
      <c r="B555" s="124"/>
      <c r="C555" s="123" t="s">
        <v>3812</v>
      </c>
      <c r="D555" s="124">
        <v>12</v>
      </c>
      <c r="E555" s="124" t="s">
        <v>9</v>
      </c>
      <c r="F555" s="125">
        <v>1500000</v>
      </c>
      <c r="G555" s="125">
        <f>ROUNDDOWN(D555*F555,-3)</f>
        <v>18000000</v>
      </c>
      <c r="H555" s="154" t="b">
        <f t="shared" si="16"/>
        <v>1</v>
      </c>
    </row>
    <row r="556" spans="1:8" ht="14.25" x14ac:dyDescent="0.2">
      <c r="A556" s="7" t="s">
        <v>3509</v>
      </c>
      <c r="B556" s="60">
        <v>521219</v>
      </c>
      <c r="C556" s="41" t="s">
        <v>53</v>
      </c>
      <c r="D556" s="60"/>
      <c r="E556" s="60"/>
      <c r="F556" s="42"/>
      <c r="G556" s="42">
        <f>SUM(G557:G559)</f>
        <v>6308695000</v>
      </c>
      <c r="H556" s="154" t="b">
        <f t="shared" si="16"/>
        <v>1</v>
      </c>
    </row>
    <row r="557" spans="1:8" ht="14.25" x14ac:dyDescent="0.2">
      <c r="A557" s="7" t="s">
        <v>3510</v>
      </c>
      <c r="B557" s="124"/>
      <c r="C557" s="123" t="s">
        <v>3815</v>
      </c>
      <c r="D557" s="124">
        <v>157</v>
      </c>
      <c r="E557" s="124" t="s">
        <v>155</v>
      </c>
      <c r="F557" s="125">
        <v>40130229</v>
      </c>
      <c r="G557" s="125">
        <f>ROUNDDOWN(D557*F557,-3)</f>
        <v>6300445000</v>
      </c>
      <c r="H557" s="154" t="b">
        <f t="shared" si="16"/>
        <v>1</v>
      </c>
    </row>
    <row r="558" spans="1:8" ht="14.25" x14ac:dyDescent="0.2">
      <c r="A558" s="7" t="s">
        <v>3511</v>
      </c>
      <c r="B558" s="124"/>
      <c r="C558" s="123" t="s">
        <v>3816</v>
      </c>
      <c r="D558" s="124">
        <v>3</v>
      </c>
      <c r="E558" s="124" t="s">
        <v>9</v>
      </c>
      <c r="F558" s="125">
        <v>250000</v>
      </c>
      <c r="G558" s="125">
        <f>ROUNDDOWN(D558*F558,-3)</f>
        <v>750000</v>
      </c>
      <c r="H558" s="154" t="b">
        <f t="shared" si="16"/>
        <v>1</v>
      </c>
    </row>
    <row r="559" spans="1:8" ht="14.25" x14ac:dyDescent="0.2">
      <c r="A559" s="7" t="s">
        <v>3512</v>
      </c>
      <c r="B559" s="124"/>
      <c r="C559" s="123" t="s">
        <v>3820</v>
      </c>
      <c r="D559" s="124">
        <v>15</v>
      </c>
      <c r="E559" s="124" t="s">
        <v>106</v>
      </c>
      <c r="F559" s="125">
        <v>500000</v>
      </c>
      <c r="G559" s="125">
        <f>ROUNDDOWN(D559*F559,-3)</f>
        <v>7500000</v>
      </c>
      <c r="H559" s="154" t="b">
        <f t="shared" si="16"/>
        <v>1</v>
      </c>
    </row>
    <row r="560" spans="1:8" ht="14.25" x14ac:dyDescent="0.2">
      <c r="A560" s="7" t="s">
        <v>3514</v>
      </c>
      <c r="B560" s="60">
        <v>521811</v>
      </c>
      <c r="C560" s="41" t="s">
        <v>64</v>
      </c>
      <c r="D560" s="60"/>
      <c r="E560" s="60"/>
      <c r="F560" s="42"/>
      <c r="G560" s="42">
        <f>SUM(G561:G562)</f>
        <v>30000000</v>
      </c>
      <c r="H560" s="154" t="b">
        <f t="shared" si="16"/>
        <v>1</v>
      </c>
    </row>
    <row r="561" spans="1:8" ht="14.25" x14ac:dyDescent="0.2">
      <c r="A561" s="7" t="s">
        <v>3515</v>
      </c>
      <c r="B561" s="124"/>
      <c r="C561" s="123" t="s">
        <v>3781</v>
      </c>
      <c r="D561" s="124">
        <v>12</v>
      </c>
      <c r="E561" s="124" t="s">
        <v>9</v>
      </c>
      <c r="F561" s="125">
        <v>1000000</v>
      </c>
      <c r="G561" s="125">
        <f>ROUNDDOWN(D561*F561,-3)</f>
        <v>12000000</v>
      </c>
      <c r="H561" s="154" t="b">
        <f t="shared" si="16"/>
        <v>1</v>
      </c>
    </row>
    <row r="562" spans="1:8" ht="14.25" x14ac:dyDescent="0.2">
      <c r="A562" s="7" t="s">
        <v>3516</v>
      </c>
      <c r="B562" s="124"/>
      <c r="C562" s="123" t="s">
        <v>3598</v>
      </c>
      <c r="D562" s="124">
        <v>12</v>
      </c>
      <c r="E562" s="124" t="s">
        <v>9</v>
      </c>
      <c r="F562" s="125">
        <v>1500000</v>
      </c>
      <c r="G562" s="125">
        <f>ROUNDDOWN(D562*F562,-3)</f>
        <v>18000000</v>
      </c>
      <c r="H562" s="154" t="b">
        <f t="shared" si="16"/>
        <v>1</v>
      </c>
    </row>
    <row r="563" spans="1:8" ht="14.25" x14ac:dyDescent="0.2">
      <c r="A563" s="7" t="s">
        <v>3517</v>
      </c>
      <c r="B563" s="60">
        <v>522151</v>
      </c>
      <c r="C563" s="41" t="s">
        <v>11</v>
      </c>
      <c r="D563" s="60"/>
      <c r="E563" s="60"/>
      <c r="F563" s="42"/>
      <c r="G563" s="42">
        <f>G564</f>
        <v>6000000</v>
      </c>
      <c r="H563" s="154" t="b">
        <f t="shared" si="16"/>
        <v>1</v>
      </c>
    </row>
    <row r="564" spans="1:8" ht="14.25" x14ac:dyDescent="0.2">
      <c r="A564" s="7" t="s">
        <v>3518</v>
      </c>
      <c r="B564" s="124"/>
      <c r="C564" s="123" t="s">
        <v>3603</v>
      </c>
      <c r="D564" s="124">
        <v>6</v>
      </c>
      <c r="E564" s="124" t="s">
        <v>12</v>
      </c>
      <c r="F564" s="125">
        <v>1000000</v>
      </c>
      <c r="G564" s="125">
        <f>ROUNDDOWN(D564*F564,-3)</f>
        <v>6000000</v>
      </c>
      <c r="H564" s="154" t="b">
        <f t="shared" si="16"/>
        <v>1</v>
      </c>
    </row>
    <row r="565" spans="1:8" ht="14.25" x14ac:dyDescent="0.2">
      <c r="A565" s="7" t="s">
        <v>3519</v>
      </c>
      <c r="B565" s="60">
        <v>524111</v>
      </c>
      <c r="C565" s="41" t="s">
        <v>19</v>
      </c>
      <c r="D565" s="60"/>
      <c r="E565" s="60"/>
      <c r="F565" s="42"/>
      <c r="G565" s="42">
        <f>SUM(G566:G567)</f>
        <v>186000000</v>
      </c>
      <c r="H565" s="154" t="b">
        <f t="shared" si="16"/>
        <v>1</v>
      </c>
    </row>
    <row r="566" spans="1:8" ht="14.25" x14ac:dyDescent="0.2">
      <c r="A566" s="7" t="s">
        <v>3520</v>
      </c>
      <c r="B566" s="124"/>
      <c r="C566" s="123" t="s">
        <v>3818</v>
      </c>
      <c r="D566" s="124">
        <v>20</v>
      </c>
      <c r="E566" s="124" t="s">
        <v>10</v>
      </c>
      <c r="F566" s="125">
        <v>1500000</v>
      </c>
      <c r="G566" s="125">
        <f>ROUNDDOWN(D566*F566,-3)</f>
        <v>30000000</v>
      </c>
      <c r="H566" s="154" t="b">
        <f t="shared" si="16"/>
        <v>1</v>
      </c>
    </row>
    <row r="567" spans="1:8" ht="25.5" x14ac:dyDescent="0.2">
      <c r="A567" s="7" t="s">
        <v>3521</v>
      </c>
      <c r="B567" s="124"/>
      <c r="C567" s="123" t="s">
        <v>3819</v>
      </c>
      <c r="D567" s="124">
        <v>24</v>
      </c>
      <c r="E567" s="124" t="s">
        <v>10</v>
      </c>
      <c r="F567" s="125">
        <v>6500000</v>
      </c>
      <c r="G567" s="125">
        <f>ROUNDDOWN(D567*F567,-3)</f>
        <v>156000000</v>
      </c>
      <c r="H567" s="154" t="b">
        <f t="shared" si="16"/>
        <v>1</v>
      </c>
    </row>
    <row r="568" spans="1:8" ht="14.25" x14ac:dyDescent="0.2">
      <c r="A568" s="7" t="s">
        <v>3522</v>
      </c>
      <c r="B568" s="59" t="s">
        <v>512</v>
      </c>
      <c r="C568" s="38" t="s">
        <v>192</v>
      </c>
      <c r="D568" s="59"/>
      <c r="E568" s="59"/>
      <c r="F568" s="39"/>
      <c r="G568" s="39">
        <f>SUM(G569,G573,G575)</f>
        <v>174041000</v>
      </c>
      <c r="H568" s="154" t="b">
        <f t="shared" si="16"/>
        <v>1</v>
      </c>
    </row>
    <row r="569" spans="1:8" ht="14.25" x14ac:dyDescent="0.2">
      <c r="A569" s="7" t="s">
        <v>3523</v>
      </c>
      <c r="B569" s="60">
        <v>521211</v>
      </c>
      <c r="C569" s="41" t="s">
        <v>7</v>
      </c>
      <c r="D569" s="60"/>
      <c r="E569" s="60"/>
      <c r="F569" s="42"/>
      <c r="G569" s="42">
        <f>SUM(G570:G572)</f>
        <v>12000000</v>
      </c>
      <c r="H569" s="154" t="b">
        <f t="shared" si="16"/>
        <v>1</v>
      </c>
    </row>
    <row r="570" spans="1:8" ht="14.25" x14ac:dyDescent="0.2">
      <c r="A570" s="7" t="s">
        <v>3524</v>
      </c>
      <c r="B570" s="124"/>
      <c r="C570" s="123" t="s">
        <v>3821</v>
      </c>
      <c r="D570" s="124">
        <v>3</v>
      </c>
      <c r="E570" s="124" t="s">
        <v>9</v>
      </c>
      <c r="F570" s="125">
        <v>1500000</v>
      </c>
      <c r="G570" s="125">
        <f>ROUNDDOWN(D570*F570,-3)</f>
        <v>4500000</v>
      </c>
      <c r="H570" s="154" t="b">
        <f t="shared" si="16"/>
        <v>1</v>
      </c>
    </row>
    <row r="571" spans="1:8" ht="14.25" x14ac:dyDescent="0.2">
      <c r="A571" s="7" t="s">
        <v>3525</v>
      </c>
      <c r="B571" s="124"/>
      <c r="C571" s="123" t="s">
        <v>3596</v>
      </c>
      <c r="D571" s="124">
        <v>3</v>
      </c>
      <c r="E571" s="124" t="s">
        <v>9</v>
      </c>
      <c r="F571" s="125">
        <v>1000000</v>
      </c>
      <c r="G571" s="125">
        <f>ROUNDDOWN(D571*F571,-3)</f>
        <v>3000000</v>
      </c>
      <c r="H571" s="154" t="b">
        <f t="shared" si="16"/>
        <v>1</v>
      </c>
    </row>
    <row r="572" spans="1:8" ht="14.25" x14ac:dyDescent="0.2">
      <c r="A572" s="7" t="s">
        <v>3526</v>
      </c>
      <c r="B572" s="124"/>
      <c r="C572" s="123" t="s">
        <v>3588</v>
      </c>
      <c r="D572" s="124">
        <v>3</v>
      </c>
      <c r="E572" s="124" t="s">
        <v>9</v>
      </c>
      <c r="F572" s="125">
        <v>1500000</v>
      </c>
      <c r="G572" s="125">
        <f>ROUNDDOWN(D572*F572,-3)</f>
        <v>4500000</v>
      </c>
      <c r="H572" s="154" t="b">
        <f t="shared" si="16"/>
        <v>1</v>
      </c>
    </row>
    <row r="573" spans="1:8" ht="14.25" x14ac:dyDescent="0.2">
      <c r="A573" s="7" t="s">
        <v>3527</v>
      </c>
      <c r="B573" s="60">
        <v>521219</v>
      </c>
      <c r="C573" s="41" t="s">
        <v>53</v>
      </c>
      <c r="D573" s="60"/>
      <c r="E573" s="60"/>
      <c r="F573" s="42"/>
      <c r="G573" s="42">
        <f>G574</f>
        <v>20000000</v>
      </c>
      <c r="H573" s="154" t="b">
        <f t="shared" si="16"/>
        <v>1</v>
      </c>
    </row>
    <row r="574" spans="1:8" ht="25.5" x14ac:dyDescent="0.2">
      <c r="A574" s="7" t="s">
        <v>3528</v>
      </c>
      <c r="B574" s="124"/>
      <c r="C574" s="123" t="s">
        <v>3822</v>
      </c>
      <c r="D574" s="124">
        <v>2</v>
      </c>
      <c r="E574" s="124" t="s">
        <v>155</v>
      </c>
      <c r="F574" s="125">
        <v>10000000</v>
      </c>
      <c r="G574" s="125">
        <f>ROUNDDOWN(D574*F574,-3)</f>
        <v>20000000</v>
      </c>
      <c r="H574" s="154" t="b">
        <f t="shared" si="16"/>
        <v>1</v>
      </c>
    </row>
    <row r="575" spans="1:8" ht="14.25" x14ac:dyDescent="0.2">
      <c r="A575" s="7" t="s">
        <v>3530</v>
      </c>
      <c r="B575" s="60">
        <v>524211</v>
      </c>
      <c r="C575" s="41" t="s">
        <v>1151</v>
      </c>
      <c r="D575" s="60"/>
      <c r="E575" s="60"/>
      <c r="F575" s="42"/>
      <c r="G575" s="42">
        <f>G576</f>
        <v>142041000</v>
      </c>
      <c r="H575" s="154" t="b">
        <f t="shared" si="16"/>
        <v>1</v>
      </c>
    </row>
    <row r="576" spans="1:8" ht="25.5" x14ac:dyDescent="0.2">
      <c r="A576" s="7" t="s">
        <v>3531</v>
      </c>
      <c r="B576" s="124"/>
      <c r="C576" s="123" t="s">
        <v>3823</v>
      </c>
      <c r="D576" s="124">
        <v>3</v>
      </c>
      <c r="E576" s="124" t="s">
        <v>10</v>
      </c>
      <c r="F576" s="125">
        <v>47347000</v>
      </c>
      <c r="G576" s="125">
        <f>ROUNDDOWN(D576*F576,-3)</f>
        <v>142041000</v>
      </c>
      <c r="H576" s="154" t="b">
        <f t="shared" si="16"/>
        <v>1</v>
      </c>
    </row>
    <row r="577" spans="1:8" ht="14.25" x14ac:dyDescent="0.2">
      <c r="A577" s="7" t="s">
        <v>3533</v>
      </c>
      <c r="B577" s="59" t="s">
        <v>514</v>
      </c>
      <c r="C577" s="38" t="s">
        <v>3534</v>
      </c>
      <c r="D577" s="59"/>
      <c r="E577" s="59"/>
      <c r="F577" s="39"/>
      <c r="G577" s="39">
        <f>G578</f>
        <v>30000000</v>
      </c>
      <c r="H577" s="154" t="b">
        <f t="shared" si="16"/>
        <v>1</v>
      </c>
    </row>
    <row r="578" spans="1:8" ht="14.25" x14ac:dyDescent="0.2">
      <c r="A578" s="7" t="s">
        <v>3535</v>
      </c>
      <c r="B578" s="60">
        <v>522192</v>
      </c>
      <c r="C578" s="41" t="s">
        <v>24</v>
      </c>
      <c r="D578" s="60"/>
      <c r="E578" s="60"/>
      <c r="F578" s="42"/>
      <c r="G578" s="42">
        <f>G579</f>
        <v>30000000</v>
      </c>
      <c r="H578" s="154" t="b">
        <f t="shared" si="16"/>
        <v>1</v>
      </c>
    </row>
    <row r="579" spans="1:8" ht="14.25" x14ac:dyDescent="0.2">
      <c r="A579" s="7" t="s">
        <v>3536</v>
      </c>
      <c r="B579" s="124"/>
      <c r="C579" s="123" t="s">
        <v>3824</v>
      </c>
      <c r="D579" s="124">
        <v>120</v>
      </c>
      <c r="E579" s="124" t="s">
        <v>776</v>
      </c>
      <c r="F579" s="125">
        <v>250000</v>
      </c>
      <c r="G579" s="125">
        <f>ROUNDDOWN(D579*F579,-3)</f>
        <v>30000000</v>
      </c>
      <c r="H579" s="154" t="b">
        <f t="shared" si="16"/>
        <v>1</v>
      </c>
    </row>
    <row r="580" spans="1:8" ht="14.25" x14ac:dyDescent="0.2">
      <c r="A580" s="7" t="s">
        <v>3538</v>
      </c>
      <c r="B580" s="58">
        <v>302</v>
      </c>
      <c r="C580" s="35" t="s">
        <v>193</v>
      </c>
      <c r="D580" s="58"/>
      <c r="E580" s="58"/>
      <c r="F580" s="36"/>
      <c r="G580" s="36">
        <f>G581</f>
        <v>109200000</v>
      </c>
      <c r="H580" s="154" t="b">
        <f t="shared" si="16"/>
        <v>1</v>
      </c>
    </row>
    <row r="581" spans="1:8" ht="14.25" x14ac:dyDescent="0.2">
      <c r="A581" s="7" t="s">
        <v>3539</v>
      </c>
      <c r="B581" s="59" t="s">
        <v>8</v>
      </c>
      <c r="C581" s="38" t="s">
        <v>193</v>
      </c>
      <c r="D581" s="59"/>
      <c r="E581" s="59"/>
      <c r="F581" s="39"/>
      <c r="G581" s="39">
        <f>SUM(G582,G585,G588)</f>
        <v>109200000</v>
      </c>
      <c r="H581" s="154" t="b">
        <f t="shared" si="16"/>
        <v>1</v>
      </c>
    </row>
    <row r="582" spans="1:8" ht="14.25" x14ac:dyDescent="0.2">
      <c r="A582" s="7" t="s">
        <v>3540</v>
      </c>
      <c r="B582" s="60">
        <v>521211</v>
      </c>
      <c r="C582" s="41" t="s">
        <v>7</v>
      </c>
      <c r="D582" s="60"/>
      <c r="E582" s="60"/>
      <c r="F582" s="42"/>
      <c r="G582" s="42">
        <f>SUM(G583:G584)</f>
        <v>25000000</v>
      </c>
      <c r="H582" s="154" t="b">
        <f t="shared" si="16"/>
        <v>1</v>
      </c>
    </row>
    <row r="583" spans="1:8" ht="14.25" x14ac:dyDescent="0.2">
      <c r="A583" s="7" t="s">
        <v>3541</v>
      </c>
      <c r="B583" s="124"/>
      <c r="C583" s="123" t="s">
        <v>3811</v>
      </c>
      <c r="D583" s="124">
        <v>100</v>
      </c>
      <c r="E583" s="124" t="s">
        <v>10</v>
      </c>
      <c r="F583" s="125">
        <v>70000</v>
      </c>
      <c r="G583" s="125">
        <f>ROUNDDOWN(D583*F583,-3)</f>
        <v>7000000</v>
      </c>
      <c r="H583" s="154" t="b">
        <f t="shared" si="16"/>
        <v>1</v>
      </c>
    </row>
    <row r="584" spans="1:8" ht="14.25" x14ac:dyDescent="0.2">
      <c r="A584" s="7" t="s">
        <v>3542</v>
      </c>
      <c r="B584" s="124"/>
      <c r="C584" s="123" t="s">
        <v>3812</v>
      </c>
      <c r="D584" s="124">
        <v>12</v>
      </c>
      <c r="E584" s="124" t="s">
        <v>9</v>
      </c>
      <c r="F584" s="125">
        <v>1500000</v>
      </c>
      <c r="G584" s="125">
        <f>ROUNDDOWN(D584*F584,-3)</f>
        <v>18000000</v>
      </c>
      <c r="H584" s="154" t="b">
        <f t="shared" si="16"/>
        <v>1</v>
      </c>
    </row>
    <row r="585" spans="1:8" ht="14.25" x14ac:dyDescent="0.2">
      <c r="A585" s="7" t="s">
        <v>3543</v>
      </c>
      <c r="B585" s="60">
        <v>521811</v>
      </c>
      <c r="C585" s="41" t="s">
        <v>64</v>
      </c>
      <c r="D585" s="60"/>
      <c r="E585" s="60"/>
      <c r="F585" s="42"/>
      <c r="G585" s="42">
        <f>SUM(G586:G587)</f>
        <v>30000000</v>
      </c>
      <c r="H585" s="154" t="b">
        <f t="shared" si="16"/>
        <v>1</v>
      </c>
    </row>
    <row r="586" spans="1:8" ht="14.25" x14ac:dyDescent="0.2">
      <c r="A586" s="7" t="s">
        <v>3544</v>
      </c>
      <c r="B586" s="124"/>
      <c r="C586" s="123" t="s">
        <v>3781</v>
      </c>
      <c r="D586" s="124">
        <v>12</v>
      </c>
      <c r="E586" s="124" t="s">
        <v>9</v>
      </c>
      <c r="F586" s="125">
        <v>1000000</v>
      </c>
      <c r="G586" s="125">
        <f>ROUNDDOWN(D586*F586,-3)</f>
        <v>12000000</v>
      </c>
      <c r="H586" s="154" t="b">
        <f t="shared" si="16"/>
        <v>1</v>
      </c>
    </row>
    <row r="587" spans="1:8" ht="14.25" x14ac:dyDescent="0.2">
      <c r="A587" s="7" t="s">
        <v>3545</v>
      </c>
      <c r="B587" s="124"/>
      <c r="C587" s="123" t="s">
        <v>3598</v>
      </c>
      <c r="D587" s="124">
        <v>12</v>
      </c>
      <c r="E587" s="124" t="s">
        <v>9</v>
      </c>
      <c r="F587" s="125">
        <v>1500000</v>
      </c>
      <c r="G587" s="125">
        <f>ROUNDDOWN(D587*F587,-3)</f>
        <v>18000000</v>
      </c>
      <c r="H587" s="154" t="b">
        <f t="shared" si="16"/>
        <v>1</v>
      </c>
    </row>
    <row r="588" spans="1:8" ht="14.25" x14ac:dyDescent="0.2">
      <c r="A588" s="7" t="s">
        <v>3546</v>
      </c>
      <c r="B588" s="60">
        <v>524111</v>
      </c>
      <c r="C588" s="41" t="s">
        <v>19</v>
      </c>
      <c r="D588" s="60"/>
      <c r="E588" s="60"/>
      <c r="F588" s="42"/>
      <c r="G588" s="42">
        <f>G589</f>
        <v>54200000</v>
      </c>
      <c r="H588" s="154" t="b">
        <f t="shared" si="16"/>
        <v>1</v>
      </c>
    </row>
    <row r="589" spans="1:8" ht="25.5" x14ac:dyDescent="0.2">
      <c r="A589" s="7" t="s">
        <v>3547</v>
      </c>
      <c r="B589" s="124"/>
      <c r="C589" s="123" t="s">
        <v>3825</v>
      </c>
      <c r="D589" s="124">
        <v>10</v>
      </c>
      <c r="E589" s="124" t="s">
        <v>10</v>
      </c>
      <c r="F589" s="125">
        <v>5420000</v>
      </c>
      <c r="G589" s="125">
        <f>ROUNDDOWN(D589*F589,-3)</f>
        <v>54200000</v>
      </c>
      <c r="H589" s="154" t="b">
        <f>_xlfn.ISFORMULA(G589)</f>
        <v>1</v>
      </c>
    </row>
  </sheetData>
  <autoFilter ref="A11:H589" xr:uid="{5F23D4AB-6461-4F6C-ABE4-63EB0BAA35CF}"/>
  <mergeCells count="9">
    <mergeCell ref="I9:K9"/>
    <mergeCell ref="B1:G1"/>
    <mergeCell ref="B2:G2"/>
    <mergeCell ref="B9:B10"/>
    <mergeCell ref="C9:C10"/>
    <mergeCell ref="D9:D10"/>
    <mergeCell ref="E9:E10"/>
    <mergeCell ref="F9:F10"/>
    <mergeCell ref="G9:G10"/>
  </mergeCells>
  <phoneticPr fontId="26" type="noConversion"/>
  <conditionalFormatting sqref="G12:H12 G13:G560 H13:H589">
    <cfRule type="expression" dxfId="515" priority="15">
      <formula>NOT(_xlfn.ISFORMULA(G12))</formula>
    </cfRule>
  </conditionalFormatting>
  <conditionalFormatting sqref="B11:H12 H13:H589">
    <cfRule type="expression" dxfId="514" priority="17">
      <formula>AND(#REF!="Ya",#REF!=ROW())</formula>
    </cfRule>
  </conditionalFormatting>
  <conditionalFormatting sqref="B561:F561 G586:G587 G583:G584 G579 G576 G574 G570:G572 G566:G567 G564 G561:G562 B13:G560">
    <cfRule type="expression" dxfId="513" priority="14">
      <formula>AND($P$4="Ya",$O$2=ROW())</formula>
    </cfRule>
  </conditionalFormatting>
  <conditionalFormatting sqref="G589">
    <cfRule type="expression" dxfId="512" priority="12">
      <formula>AND($P$4="Ya",$O$2=ROW())</formula>
    </cfRule>
  </conditionalFormatting>
  <conditionalFormatting sqref="G589 G586:G587 G583:G584 G579 G576 G574 G570:G572 G566:G567 G564 G561:G562">
    <cfRule type="expression" dxfId="511" priority="11">
      <formula>NOT(_xlfn.ISFORMULA(G561))</formula>
    </cfRule>
  </conditionalFormatting>
  <conditionalFormatting sqref="G573">
    <cfRule type="expression" dxfId="510" priority="10">
      <formula>NOT(_xlfn.ISFORMULA(G573))</formula>
    </cfRule>
  </conditionalFormatting>
  <conditionalFormatting sqref="G573">
    <cfRule type="expression" dxfId="509" priority="9">
      <formula>AND($P$4="Ya",$O$2=ROW())</formula>
    </cfRule>
  </conditionalFormatting>
  <conditionalFormatting sqref="G563">
    <cfRule type="expression" dxfId="508" priority="8">
      <formula>NOT(_xlfn.ISFORMULA(G563))</formula>
    </cfRule>
  </conditionalFormatting>
  <conditionalFormatting sqref="G563">
    <cfRule type="expression" dxfId="507" priority="7">
      <formula>AND($P$4="Ya",$O$2=ROW())</formula>
    </cfRule>
  </conditionalFormatting>
  <conditionalFormatting sqref="G588">
    <cfRule type="expression" dxfId="506" priority="6">
      <formula>NOT(_xlfn.ISFORMULA(G588))</formula>
    </cfRule>
  </conditionalFormatting>
  <conditionalFormatting sqref="G588">
    <cfRule type="expression" dxfId="505" priority="5">
      <formula>AND($P$4="Ya",$O$2=ROW())</formula>
    </cfRule>
  </conditionalFormatting>
  <conditionalFormatting sqref="G585">
    <cfRule type="expression" dxfId="504" priority="4">
      <formula>NOT(_xlfn.ISFORMULA(G585))</formula>
    </cfRule>
  </conditionalFormatting>
  <conditionalFormatting sqref="G585">
    <cfRule type="expression" dxfId="503" priority="3">
      <formula>AND($P$4="Ya",$O$2=ROW())</formula>
    </cfRule>
  </conditionalFormatting>
  <conditionalFormatting sqref="G582">
    <cfRule type="expression" dxfId="502" priority="2">
      <formula>NOT(_xlfn.ISFORMULA(G582))</formula>
    </cfRule>
  </conditionalFormatting>
  <conditionalFormatting sqref="G582">
    <cfRule type="expression" dxfId="501" priority="1">
      <formula>AND($P$4="Ya",$O$2=ROW())</formula>
    </cfRule>
  </conditionalFormatting>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D133-CEBC-4E05-BA3C-39B402432C44}">
  <sheetPr codeName="Sheet1"/>
  <dimension ref="A1:T29"/>
  <sheetViews>
    <sheetView topLeftCell="E1" workbookViewId="0">
      <selection activeCell="P29" sqref="P29"/>
    </sheetView>
  </sheetViews>
  <sheetFormatPr defaultRowHeight="15" x14ac:dyDescent="0.25"/>
  <cols>
    <col min="1" max="1" width="4.7109375" bestFit="1" customWidth="1"/>
    <col min="2" max="2" width="30.5703125" bestFit="1" customWidth="1"/>
    <col min="3" max="3" width="8.7109375" bestFit="1" customWidth="1"/>
    <col min="4" max="4" width="35.28515625" bestFit="1" customWidth="1"/>
    <col min="6" max="6" width="4.7109375" bestFit="1" customWidth="1"/>
    <col min="7" max="7" width="5.7109375" bestFit="1" customWidth="1"/>
    <col min="8" max="8" width="25.7109375" bestFit="1" customWidth="1"/>
    <col min="9" max="9" width="8.7109375" bestFit="1" customWidth="1"/>
    <col min="10" max="10" width="29.28515625" bestFit="1" customWidth="1"/>
    <col min="13" max="13" width="4.7109375" bestFit="1" customWidth="1"/>
    <col min="14" max="15" width="5.7109375" bestFit="1" customWidth="1"/>
    <col min="16" max="16" width="33.7109375" bestFit="1" customWidth="1"/>
    <col min="17" max="17" width="9.42578125" bestFit="1" customWidth="1"/>
    <col min="18" max="18" width="37.28515625" bestFit="1" customWidth="1"/>
    <col min="19" max="19" width="29.28515625" bestFit="1" customWidth="1"/>
    <col min="20" max="20" width="35.28515625" bestFit="1" customWidth="1"/>
  </cols>
  <sheetData>
    <row r="1" spans="1:20" x14ac:dyDescent="0.25">
      <c r="A1" t="s">
        <v>3549</v>
      </c>
      <c r="B1" t="s">
        <v>3550</v>
      </c>
      <c r="C1" t="s">
        <v>3551</v>
      </c>
      <c r="D1" t="s">
        <v>3585</v>
      </c>
      <c r="F1" t="s">
        <v>3549</v>
      </c>
      <c r="G1" t="s">
        <v>3554</v>
      </c>
      <c r="H1" t="s">
        <v>3555</v>
      </c>
      <c r="I1" t="s">
        <v>3556</v>
      </c>
      <c r="J1" t="s">
        <v>592</v>
      </c>
      <c r="M1" t="s">
        <v>3549</v>
      </c>
      <c r="N1" t="s">
        <v>3567</v>
      </c>
      <c r="O1" t="s">
        <v>3554</v>
      </c>
      <c r="P1" t="s">
        <v>3568</v>
      </c>
      <c r="Q1" t="s">
        <v>3569</v>
      </c>
      <c r="R1" t="s">
        <v>500</v>
      </c>
      <c r="S1" t="s">
        <v>592</v>
      </c>
      <c r="T1" t="s">
        <v>3585</v>
      </c>
    </row>
    <row r="2" spans="1:20" x14ac:dyDescent="0.25">
      <c r="A2" t="s">
        <v>3552</v>
      </c>
      <c r="B2" t="s">
        <v>539</v>
      </c>
      <c r="D2" t="str">
        <f>_xlfn.TEXTJOIN(" - ",TRUE,eselon2[[#This Row],[id]],eselon2[[#This Row],[nmes2]])</f>
        <v>000 - Sekretariat Badan Riset dan SDM KP</v>
      </c>
      <c r="F2" t="s">
        <v>3557</v>
      </c>
      <c r="G2" t="s">
        <v>557</v>
      </c>
      <c r="H2" t="s">
        <v>531</v>
      </c>
      <c r="J2" t="str">
        <f>_xlfn.TEXTJOIN(" - ",TRUE,Koord[[#This Row],[id]],Koord[[#This Row],[krdklpk]])</f>
        <v>PP - Penyelenggaraan Pendidikan</v>
      </c>
      <c r="M2" t="s">
        <v>3570</v>
      </c>
      <c r="N2" t="s">
        <v>3558</v>
      </c>
      <c r="O2" t="s">
        <v>557</v>
      </c>
      <c r="P2" t="s">
        <v>560</v>
      </c>
      <c r="R2" t="str">
        <f>_xlfn.TEXTJOIN(" - ",TRUE,Subkoord[[#This Row],[id]],Subkoord[[#This Row],[skrdklpk]])</f>
        <v>UM - Umum</v>
      </c>
      <c r="S2" t="str" cm="1">
        <f t="array" ref="S2">INDEX(Koord[Koordinator],MATCH(1,(Subkoord[[#This Row],[id2]]=Koord[id2])*(Subkoord[[#This Row],[id3]]=Koord[id]),0))</f>
        <v>TU - Tata Usaha</v>
      </c>
      <c r="T2" t="str">
        <f>INDEX(eselon2[Eselon2],MATCH(Subkoord[[#This Row],[id2]],eselon2[id],0))</f>
        <v>002 - Pusat Pendidikan KP</v>
      </c>
    </row>
    <row r="3" spans="1:20" x14ac:dyDescent="0.25">
      <c r="A3" t="s">
        <v>557</v>
      </c>
      <c r="B3" t="s">
        <v>530</v>
      </c>
      <c r="D3" t="str">
        <f>_xlfn.TEXTJOIN(" - ",TRUE,eselon2[[#This Row],[id]],eselon2[[#This Row],[nmes2]])</f>
        <v>002 - Pusat Pendidikan KP</v>
      </c>
      <c r="F3" t="s">
        <v>3558</v>
      </c>
      <c r="G3" t="s">
        <v>557</v>
      </c>
      <c r="H3" t="s">
        <v>576</v>
      </c>
      <c r="J3" t="str">
        <f>_xlfn.TEXTJOIN(" - ",TRUE,Koord[[#This Row],[id]],Koord[[#This Row],[krdklpk]])</f>
        <v>TU - Tata Usaha</v>
      </c>
      <c r="M3" t="s">
        <v>3564</v>
      </c>
      <c r="N3" t="s">
        <v>3558</v>
      </c>
      <c r="O3" t="s">
        <v>557</v>
      </c>
      <c r="P3" t="s">
        <v>546</v>
      </c>
      <c r="R3" t="str">
        <f>_xlfn.TEXTJOIN(" - ",TRUE,Subkoord[[#This Row],[id]],Subkoord[[#This Row],[skrdklpk]])</f>
        <v>KU - Keuangan</v>
      </c>
      <c r="S3" t="str" cm="1">
        <f t="array" ref="S3">INDEX(Koord[Koordinator],MATCH(1,(Subkoord[[#This Row],[id2]]=Koord[id2])*(Subkoord[[#This Row],[id3]]=Koord[id]),0))</f>
        <v>TU - Tata Usaha</v>
      </c>
      <c r="T3" t="str">
        <f>INDEX(eselon2[Eselon2],MATCH(Subkoord[[#This Row],[id2]],eselon2[id],0))</f>
        <v>002 - Pusat Pendidikan KP</v>
      </c>
    </row>
    <row r="4" spans="1:20" x14ac:dyDescent="0.25">
      <c r="A4" t="s">
        <v>3553</v>
      </c>
      <c r="B4" t="s">
        <v>504</v>
      </c>
      <c r="D4" t="str">
        <f>_xlfn.TEXTJOIN(" - ",TRUE,eselon2[[#This Row],[id]],eselon2[[#This Row],[nmes2]])</f>
        <v>003 - Pusat Pelatihan dan Penyuluhan</v>
      </c>
      <c r="F4" t="s">
        <v>3559</v>
      </c>
      <c r="G4" t="s">
        <v>557</v>
      </c>
      <c r="H4" t="s">
        <v>542</v>
      </c>
      <c r="J4" t="str">
        <f>_xlfn.TEXTJOIN(" - ",TRUE,Koord[[#This Row],[id]],Koord[[#This Row],[krdklpk]])</f>
        <v>PE - Perencanaan dan Evaluasi</v>
      </c>
      <c r="M4" t="s">
        <v>3571</v>
      </c>
      <c r="N4" t="s">
        <v>3559</v>
      </c>
      <c r="O4" t="s">
        <v>557</v>
      </c>
      <c r="P4" t="s">
        <v>543</v>
      </c>
      <c r="R4" t="str">
        <f>_xlfn.TEXTJOIN(" - ",TRUE,Subkoord[[#This Row],[id]],Subkoord[[#This Row],[skrdklpk]])</f>
        <v>PR - Perencanaan</v>
      </c>
      <c r="S4" t="str" cm="1">
        <f t="array" ref="S4">INDEX(Koord[Koordinator],MATCH(1,(Subkoord[[#This Row],[id2]]=Koord[id2])*(Subkoord[[#This Row],[id3]]=Koord[id]),0))</f>
        <v>PE - Perencanaan dan Evaluasi</v>
      </c>
      <c r="T4" t="str">
        <f>INDEX(eselon2[Eselon2],MATCH(Subkoord[[#This Row],[id2]],eselon2[id],0))</f>
        <v>002 - Pusat Pendidikan KP</v>
      </c>
    </row>
    <row r="5" spans="1:20" x14ac:dyDescent="0.25">
      <c r="F5" t="s">
        <v>3560</v>
      </c>
      <c r="G5" t="s">
        <v>557</v>
      </c>
      <c r="H5" t="s">
        <v>535</v>
      </c>
      <c r="J5" t="str">
        <f>_xlfn.TEXTJOIN(" - ",TRUE,Koord[[#This Row],[id]],Koord[[#This Row],[krdklpk]])</f>
        <v>KK - Kelembagaan dan Ketenagaan</v>
      </c>
      <c r="M5" t="s">
        <v>3572</v>
      </c>
      <c r="N5" t="s">
        <v>3559</v>
      </c>
      <c r="O5" t="s">
        <v>557</v>
      </c>
      <c r="P5" t="s">
        <v>591</v>
      </c>
      <c r="R5" t="str">
        <f>_xlfn.TEXTJOIN(" - ",TRUE,Subkoord[[#This Row],[id]],Subkoord[[#This Row],[skrdklpk]])</f>
        <v>EV - Evaluasi</v>
      </c>
      <c r="S5" t="str" cm="1">
        <f t="array" ref="S5">INDEX(Koord[Koordinator],MATCH(1,(Subkoord[[#This Row],[id2]]=Koord[id2])*(Subkoord[[#This Row],[id3]]=Koord[id]),0))</f>
        <v>PE - Perencanaan dan Evaluasi</v>
      </c>
      <c r="T5" t="str">
        <f>INDEX(eselon2[Eselon2],MATCH(Subkoord[[#This Row],[id2]],eselon2[id],0))</f>
        <v>002 - Pusat Pendidikan KP</v>
      </c>
    </row>
    <row r="6" spans="1:20" x14ac:dyDescent="0.25">
      <c r="F6" t="s">
        <v>3561</v>
      </c>
      <c r="G6" t="s">
        <v>3552</v>
      </c>
      <c r="H6" t="s">
        <v>496</v>
      </c>
      <c r="J6" t="str">
        <f>_xlfn.TEXTJOIN(" - ",TRUE,Koord[[#This Row],[id]],Koord[[#This Row],[krdklpk]])</f>
        <v>PG - Program</v>
      </c>
      <c r="M6" t="s">
        <v>3573</v>
      </c>
      <c r="N6" t="s">
        <v>3557</v>
      </c>
      <c r="O6" t="s">
        <v>557</v>
      </c>
      <c r="P6" t="s">
        <v>534</v>
      </c>
      <c r="R6" t="str">
        <f>_xlfn.TEXTJOIN(" - ",TRUE,Subkoord[[#This Row],[id]],Subkoord[[#This Row],[skrdklpk]])</f>
        <v>SP - Peserta Didik dan Sarana Prasarana</v>
      </c>
      <c r="S6" t="str" cm="1">
        <f t="array" ref="S6">INDEX(Koord[Koordinator],MATCH(1,(Subkoord[[#This Row],[id2]]=Koord[id2])*(Subkoord[[#This Row],[id3]]=Koord[id]),0))</f>
        <v>PP - Penyelenggaraan Pendidikan</v>
      </c>
      <c r="T6" t="str">
        <f>INDEX(eselon2[Eselon2],MATCH(Subkoord[[#This Row],[id2]],eselon2[id],0))</f>
        <v>002 - Pusat Pendidikan KP</v>
      </c>
    </row>
    <row r="7" spans="1:20" x14ac:dyDescent="0.25">
      <c r="F7" t="s">
        <v>3562</v>
      </c>
      <c r="G7" t="s">
        <v>3552</v>
      </c>
      <c r="H7" t="s">
        <v>583</v>
      </c>
      <c r="J7" t="str">
        <f>_xlfn.TEXTJOIN(" - ",TRUE,Koord[[#This Row],[id]],Koord[[#This Row],[krdklpk]])</f>
        <v>SD - SDMA dan HO</v>
      </c>
      <c r="M7" t="s">
        <v>3574</v>
      </c>
      <c r="N7" t="s">
        <v>3557</v>
      </c>
      <c r="O7" t="s">
        <v>557</v>
      </c>
      <c r="P7" t="s">
        <v>532</v>
      </c>
      <c r="R7" t="str">
        <f>_xlfn.TEXTJOIN(" - ",TRUE,Subkoord[[#This Row],[id]],Subkoord[[#This Row],[skrdklpk]])</f>
        <v>MK - Metode dan Kurikulum</v>
      </c>
      <c r="S7" t="str" cm="1">
        <f t="array" ref="S7">INDEX(Koord[Koordinator],MATCH(1,(Subkoord[[#This Row],[id2]]=Koord[id2])*(Subkoord[[#This Row],[id3]]=Koord[id]),0))</f>
        <v>PP - Penyelenggaraan Pendidikan</v>
      </c>
      <c r="T7" t="str">
        <f>INDEX(eselon2[Eselon2],MATCH(Subkoord[[#This Row],[id2]],eselon2[id],0))</f>
        <v>002 - Pusat Pendidikan KP</v>
      </c>
    </row>
    <row r="8" spans="1:20" x14ac:dyDescent="0.25">
      <c r="F8" t="s">
        <v>3563</v>
      </c>
      <c r="G8" t="s">
        <v>3552</v>
      </c>
      <c r="H8" t="s">
        <v>540</v>
      </c>
      <c r="J8" t="str">
        <f>_xlfn.TEXTJOIN(" - ",TRUE,Koord[[#This Row],[id]],Koord[[#This Row],[krdklpk]])</f>
        <v>KS - Kerjasama, Humas dan Data</v>
      </c>
      <c r="M8" t="s">
        <v>3575</v>
      </c>
      <c r="N8" t="s">
        <v>3560</v>
      </c>
      <c r="O8" t="s">
        <v>557</v>
      </c>
      <c r="P8" t="s">
        <v>538</v>
      </c>
      <c r="R8" t="str">
        <f>_xlfn.TEXTJOIN(" - ",TRUE,Subkoord[[#This Row],[id]],Subkoord[[#This Row],[skrdklpk]])</f>
        <v>KE - Ketenagaan</v>
      </c>
      <c r="S8" t="str" cm="1">
        <f t="array" ref="S8">INDEX(Koord[Koordinator],MATCH(1,(Subkoord[[#This Row],[id2]]=Koord[id2])*(Subkoord[[#This Row],[id3]]=Koord[id]),0))</f>
        <v>KK - Kelembagaan dan Ketenagaan</v>
      </c>
      <c r="T8" t="str">
        <f>INDEX(eselon2[Eselon2],MATCH(Subkoord[[#This Row],[id2]],eselon2[id],0))</f>
        <v>002 - Pusat Pendidikan KP</v>
      </c>
    </row>
    <row r="9" spans="1:20" x14ac:dyDescent="0.25">
      <c r="F9" t="s">
        <v>3564</v>
      </c>
      <c r="G9" t="s">
        <v>3552</v>
      </c>
      <c r="H9" t="s">
        <v>545</v>
      </c>
      <c r="J9" t="str">
        <f>_xlfn.TEXTJOIN(" - ",TRUE,Koord[[#This Row],[id]],Koord[[#This Row],[krdklpk]])</f>
        <v>KU - Keuangan dan Umum</v>
      </c>
      <c r="M9" t="s">
        <v>3576</v>
      </c>
      <c r="N9" t="s">
        <v>3560</v>
      </c>
      <c r="O9" t="s">
        <v>557</v>
      </c>
      <c r="P9" t="s">
        <v>536</v>
      </c>
      <c r="R9" t="str">
        <f>_xlfn.TEXTJOIN(" - ",TRUE,Subkoord[[#This Row],[id]],Subkoord[[#This Row],[skrdklpk]])</f>
        <v>KL - Kelembagaan</v>
      </c>
      <c r="S9" t="str" cm="1">
        <f t="array" ref="S9">INDEX(Koord[Koordinator],MATCH(1,(Subkoord[[#This Row],[id2]]=Koord[id2])*(Subkoord[[#This Row],[id3]]=Koord[id]),0))</f>
        <v>KK - Kelembagaan dan Ketenagaan</v>
      </c>
      <c r="T9" t="str">
        <f>INDEX(eselon2[Eselon2],MATCH(Subkoord[[#This Row],[id2]],eselon2[id],0))</f>
        <v>002 - Pusat Pendidikan KP</v>
      </c>
    </row>
    <row r="10" spans="1:20" x14ac:dyDescent="0.25">
      <c r="F10" t="s">
        <v>3565</v>
      </c>
      <c r="G10" t="s">
        <v>3553</v>
      </c>
      <c r="H10" t="s">
        <v>505</v>
      </c>
      <c r="J10" t="str">
        <f>_xlfn.TEXTJOIN(" - ",TRUE,Koord[[#This Row],[id]],Koord[[#This Row],[krdklpk]])</f>
        <v>PL - Pelatihan</v>
      </c>
      <c r="M10" t="s">
        <v>3565</v>
      </c>
      <c r="N10" t="s">
        <v>3565</v>
      </c>
      <c r="O10" t="s">
        <v>3553</v>
      </c>
      <c r="P10" t="s">
        <v>521</v>
      </c>
      <c r="R10" t="str">
        <f>_xlfn.TEXTJOIN(" - ",TRUE,Subkoord[[#This Row],[id]],Subkoord[[#This Row],[skrdklpk]])</f>
        <v>PL - Penyelenggaraan Pelatihan</v>
      </c>
      <c r="S10" t="str" cm="1">
        <f t="array" ref="S10">INDEX(Koord[Koordinator],MATCH(1,(Subkoord[[#This Row],[id2]]=Koord[id2])*(Subkoord[[#This Row],[id3]]=Koord[id]),0))</f>
        <v>PL - Pelatihan</v>
      </c>
      <c r="T10" t="str">
        <f>INDEX(eselon2[Eselon2],MATCH(Subkoord[[#This Row],[id2]],eselon2[id],0))</f>
        <v>003 - Pusat Pelatihan dan Penyuluhan</v>
      </c>
    </row>
    <row r="11" spans="1:20" x14ac:dyDescent="0.25">
      <c r="F11" t="s">
        <v>3566</v>
      </c>
      <c r="G11" t="s">
        <v>3553</v>
      </c>
      <c r="H11" t="s">
        <v>524</v>
      </c>
      <c r="J11" t="str">
        <f>_xlfn.TEXTJOIN(" - ",TRUE,Koord[[#This Row],[id]],Koord[[#This Row],[krdklpk]])</f>
        <v>PY - Penyuluhan</v>
      </c>
      <c r="M11" t="s">
        <v>3557</v>
      </c>
      <c r="N11" t="s">
        <v>3566</v>
      </c>
      <c r="O11" t="s">
        <v>3553</v>
      </c>
      <c r="P11" t="s">
        <v>527</v>
      </c>
      <c r="R11" t="str">
        <f>_xlfn.TEXTJOIN(" - ",TRUE,Subkoord[[#This Row],[id]],Subkoord[[#This Row],[skrdklpk]])</f>
        <v>PP - Penyelenggaraan Penyuluhan</v>
      </c>
      <c r="S11" t="str" cm="1">
        <f t="array" ref="S11">INDEX(Koord[Koordinator],MATCH(1,(Subkoord[[#This Row],[id2]]=Koord[id2])*(Subkoord[[#This Row],[id3]]=Koord[id]),0))</f>
        <v>PY - Penyuluhan</v>
      </c>
      <c r="T11" t="str">
        <f>INDEX(eselon2[Eselon2],MATCH(Subkoord[[#This Row],[id2]],eselon2[id],0))</f>
        <v>003 - Pusat Pelatihan dan Penyuluhan</v>
      </c>
    </row>
    <row r="12" spans="1:20" x14ac:dyDescent="0.25">
      <c r="F12" t="s">
        <v>3559</v>
      </c>
      <c r="G12" t="s">
        <v>3553</v>
      </c>
      <c r="H12" t="s">
        <v>542</v>
      </c>
      <c r="J12" t="str">
        <f>_xlfn.TEXTJOIN(" - ",TRUE,Koord[[#This Row],[id]],Koord[[#This Row],[krdklpk]])</f>
        <v>PE - Perencanaan dan Evaluasi</v>
      </c>
      <c r="M12" t="s">
        <v>3577</v>
      </c>
      <c r="N12" t="s">
        <v>3565</v>
      </c>
      <c r="O12" t="s">
        <v>3553</v>
      </c>
      <c r="P12" t="s">
        <v>506</v>
      </c>
      <c r="R12" t="str">
        <f>_xlfn.TEXTJOIN(" - ",TRUE,Subkoord[[#This Row],[id]],Subkoord[[#This Row],[skrdklpk]])</f>
        <v>SS - Standardisasi dan Sertifikasi</v>
      </c>
      <c r="S12" t="str" cm="1">
        <f t="array" ref="S12">INDEX(Koord[Koordinator],MATCH(1,(Subkoord[[#This Row],[id2]]=Koord[id2])*(Subkoord[[#This Row],[id3]]=Koord[id]),0))</f>
        <v>PL - Pelatihan</v>
      </c>
      <c r="T12" t="str">
        <f>INDEX(eselon2[Eselon2],MATCH(Subkoord[[#This Row],[id2]],eselon2[id],0))</f>
        <v>003 - Pusat Pelatihan dan Penyuluhan</v>
      </c>
    </row>
    <row r="13" spans="1:20" x14ac:dyDescent="0.25">
      <c r="F13" t="s">
        <v>3558</v>
      </c>
      <c r="G13" t="s">
        <v>3553</v>
      </c>
      <c r="H13" t="s">
        <v>576</v>
      </c>
      <c r="J13" t="str">
        <f>_xlfn.TEXTJOIN(" - ",TRUE,Koord[[#This Row],[id]],Koord[[#This Row],[krdklpk]])</f>
        <v>TU - Tata Usaha</v>
      </c>
      <c r="M13" t="s">
        <v>3578</v>
      </c>
      <c r="N13" t="s">
        <v>3566</v>
      </c>
      <c r="O13" t="s">
        <v>3553</v>
      </c>
      <c r="P13" t="s">
        <v>525</v>
      </c>
      <c r="R13" t="str">
        <f>_xlfn.TEXTJOIN(" - ",TRUE,Subkoord[[#This Row],[id]],Subkoord[[#This Row],[skrdklpk]])</f>
        <v>SK - Sarana, Prasarana dan Kelembagaan</v>
      </c>
      <c r="S13" t="str" cm="1">
        <f t="array" ref="S13">INDEX(Koord[Koordinator],MATCH(1,(Subkoord[[#This Row],[id2]]=Koord[id2])*(Subkoord[[#This Row],[id3]]=Koord[id]),0))</f>
        <v>PY - Penyuluhan</v>
      </c>
      <c r="T13" t="str">
        <f>INDEX(eselon2[Eselon2],MATCH(Subkoord[[#This Row],[id2]],eselon2[id],0))</f>
        <v>003 - Pusat Pelatihan dan Penyuluhan</v>
      </c>
    </row>
    <row r="14" spans="1:20" x14ac:dyDescent="0.25">
      <c r="M14" t="s">
        <v>3571</v>
      </c>
      <c r="N14" t="s">
        <v>3559</v>
      </c>
      <c r="O14" t="s">
        <v>3553</v>
      </c>
      <c r="P14" t="s">
        <v>543</v>
      </c>
      <c r="R14" t="str">
        <f>_xlfn.TEXTJOIN(" - ",TRUE,Subkoord[[#This Row],[id]],Subkoord[[#This Row],[skrdklpk]])</f>
        <v>PR - Perencanaan</v>
      </c>
      <c r="S14" t="str" cm="1">
        <f t="array" ref="S14">INDEX(Koord[Koordinator],MATCH(1,(Subkoord[[#This Row],[id2]]=Koord[id2])*(Subkoord[[#This Row],[id3]]=Koord[id]),0))</f>
        <v>PE - Perencanaan dan Evaluasi</v>
      </c>
      <c r="T14" t="str">
        <f>INDEX(eselon2[Eselon2],MATCH(Subkoord[[#This Row],[id2]],eselon2[id],0))</f>
        <v>003 - Pusat Pelatihan dan Penyuluhan</v>
      </c>
    </row>
    <row r="15" spans="1:20" x14ac:dyDescent="0.25">
      <c r="M15" t="s">
        <v>3572</v>
      </c>
      <c r="N15" t="s">
        <v>3559</v>
      </c>
      <c r="O15" t="s">
        <v>3553</v>
      </c>
      <c r="P15" t="s">
        <v>591</v>
      </c>
      <c r="R15" t="str">
        <f>_xlfn.TEXTJOIN(" - ",TRUE,Subkoord[[#This Row],[id]],Subkoord[[#This Row],[skrdklpk]])</f>
        <v>EV - Evaluasi</v>
      </c>
      <c r="S15" t="str" cm="1">
        <f t="array" ref="S15">INDEX(Koord[Koordinator],MATCH(1,(Subkoord[[#This Row],[id2]]=Koord[id2])*(Subkoord[[#This Row],[id3]]=Koord[id]),0))</f>
        <v>PE - Perencanaan dan Evaluasi</v>
      </c>
      <c r="T15" t="str">
        <f>INDEX(eselon2[Eselon2],MATCH(Subkoord[[#This Row],[id2]],eselon2[id],0))</f>
        <v>003 - Pusat Pelatihan dan Penyuluhan</v>
      </c>
    </row>
    <row r="16" spans="1:20" x14ac:dyDescent="0.25">
      <c r="M16" t="s">
        <v>3564</v>
      </c>
      <c r="N16" t="s">
        <v>3558</v>
      </c>
      <c r="O16" t="s">
        <v>3553</v>
      </c>
      <c r="P16" t="s">
        <v>546</v>
      </c>
      <c r="R16" t="str">
        <f>_xlfn.TEXTJOIN(" - ",TRUE,Subkoord[[#This Row],[id]],Subkoord[[#This Row],[skrdklpk]])</f>
        <v>KU - Keuangan</v>
      </c>
      <c r="S16" t="str" cm="1">
        <f t="array" ref="S16">INDEX(Koord[Koordinator],MATCH(1,(Subkoord[[#This Row],[id2]]=Koord[id2])*(Subkoord[[#This Row],[id3]]=Koord[id]),0))</f>
        <v>TU - Tata Usaha</v>
      </c>
      <c r="T16" t="str">
        <f>INDEX(eselon2[Eselon2],MATCH(Subkoord[[#This Row],[id2]],eselon2[id],0))</f>
        <v>003 - Pusat Pelatihan dan Penyuluhan</v>
      </c>
    </row>
    <row r="17" spans="13:20" x14ac:dyDescent="0.25">
      <c r="M17" t="s">
        <v>3570</v>
      </c>
      <c r="N17" t="s">
        <v>3558</v>
      </c>
      <c r="O17" t="s">
        <v>3553</v>
      </c>
      <c r="P17" t="s">
        <v>560</v>
      </c>
      <c r="R17" t="str">
        <f>_xlfn.TEXTJOIN(" - ",TRUE,Subkoord[[#This Row],[id]],Subkoord[[#This Row],[skrdklpk]])</f>
        <v>UM - Umum</v>
      </c>
      <c r="S17" t="str" cm="1">
        <f t="array" ref="S17">INDEX(Koord[Koordinator],MATCH(1,(Subkoord[[#This Row],[id2]]=Koord[id2])*(Subkoord[[#This Row],[id3]]=Koord[id]),0))</f>
        <v>TU - Tata Usaha</v>
      </c>
      <c r="T17" t="str">
        <f>INDEX(eselon2[Eselon2],MATCH(Subkoord[[#This Row],[id2]],eselon2[id],0))</f>
        <v>003 - Pusat Pelatihan dan Penyuluhan</v>
      </c>
    </row>
    <row r="18" spans="13:20" x14ac:dyDescent="0.25">
      <c r="M18" t="s">
        <v>3579</v>
      </c>
      <c r="N18" t="s">
        <v>3561</v>
      </c>
      <c r="O18" t="s">
        <v>3552</v>
      </c>
      <c r="P18" t="s">
        <v>577</v>
      </c>
      <c r="R18" t="str">
        <f>_xlfn.TEXTJOIN(" - ",TRUE,Subkoord[[#This Row],[id]],Subkoord[[#This Row],[skrdklpk]])</f>
        <v>PA - Perencanaan dan Penganggaran</v>
      </c>
      <c r="S18" t="str" cm="1">
        <f t="array" ref="S18">INDEX(Koord[Koordinator],MATCH(1,(Subkoord[[#This Row],[id2]]=Koord[id2])*(Subkoord[[#This Row],[id3]]=Koord[id]),0))</f>
        <v>PG - Program</v>
      </c>
      <c r="T18" t="str">
        <f>INDEX(eselon2[Eselon2],MATCH(Subkoord[[#This Row],[id2]],eselon2[id],0))</f>
        <v>000 - Sekretariat Badan Riset dan SDM KP</v>
      </c>
    </row>
    <row r="19" spans="13:20" x14ac:dyDescent="0.25">
      <c r="M19" t="s">
        <v>3572</v>
      </c>
      <c r="N19" t="s">
        <v>3561</v>
      </c>
      <c r="O19" t="s">
        <v>3552</v>
      </c>
      <c r="P19" t="s">
        <v>589</v>
      </c>
      <c r="R19" t="str">
        <f>_xlfn.TEXTJOIN(" - ",TRUE,Subkoord[[#This Row],[id]],Subkoord[[#This Row],[skrdklpk]])</f>
        <v>EV - Monitoring dan Evaluasi</v>
      </c>
      <c r="S19" t="str" cm="1">
        <f t="array" ref="S19">INDEX(Koord[Koordinator],MATCH(1,(Subkoord[[#This Row],[id2]]=Koord[id2])*(Subkoord[[#This Row],[id3]]=Koord[id]),0))</f>
        <v>PG - Program</v>
      </c>
      <c r="T19" t="str">
        <f>INDEX(eselon2[Eselon2],MATCH(Subkoord[[#This Row],[id2]],eselon2[id],0))</f>
        <v>000 - Sekretariat Badan Riset dan SDM KP</v>
      </c>
    </row>
    <row r="20" spans="13:20" x14ac:dyDescent="0.25">
      <c r="M20" t="s">
        <v>3565</v>
      </c>
      <c r="N20" t="s">
        <v>3561</v>
      </c>
      <c r="O20" t="s">
        <v>3552</v>
      </c>
      <c r="P20" t="s">
        <v>590</v>
      </c>
      <c r="R20" t="str">
        <f>_xlfn.TEXTJOIN(" - ",TRUE,Subkoord[[#This Row],[id]],Subkoord[[#This Row],[skrdklpk]])</f>
        <v>PL - Pelaporan</v>
      </c>
      <c r="S20" t="str" cm="1">
        <f t="array" ref="S20">INDEX(Koord[Koordinator],MATCH(1,(Subkoord[[#This Row],[id2]]=Koord[id2])*(Subkoord[[#This Row],[id3]]=Koord[id]),0))</f>
        <v>PG - Program</v>
      </c>
      <c r="T20" t="str">
        <f>INDEX(eselon2[Eselon2],MATCH(Subkoord[[#This Row],[id2]],eselon2[id],0))</f>
        <v>000 - Sekretariat Badan Riset dan SDM KP</v>
      </c>
    </row>
    <row r="21" spans="13:20" x14ac:dyDescent="0.25">
      <c r="M21" t="s">
        <v>3557</v>
      </c>
      <c r="N21" t="s">
        <v>3562</v>
      </c>
      <c r="O21" t="s">
        <v>3552</v>
      </c>
      <c r="P21" t="s">
        <v>584</v>
      </c>
      <c r="R21" t="str">
        <f>_xlfn.TEXTJOIN(" - ",TRUE,Subkoord[[#This Row],[id]],Subkoord[[#This Row],[skrdklpk]])</f>
        <v>PP - Perencanaan dan Pengembangan SDMA</v>
      </c>
      <c r="S21" t="str" cm="1">
        <f t="array" ref="S21">INDEX(Koord[Koordinator],MATCH(1,(Subkoord[[#This Row],[id2]]=Koord[id2])*(Subkoord[[#This Row],[id3]]=Koord[id]),0))</f>
        <v>SD - SDMA dan HO</v>
      </c>
      <c r="T21" t="str">
        <f>INDEX(eselon2[Eselon2],MATCH(Subkoord[[#This Row],[id2]],eselon2[id],0))</f>
        <v>000 - Sekretariat Badan Riset dan SDM KP</v>
      </c>
    </row>
    <row r="22" spans="13:20" x14ac:dyDescent="0.25">
      <c r="M22" t="s">
        <v>3580</v>
      </c>
      <c r="N22" t="s">
        <v>3562</v>
      </c>
      <c r="O22" t="s">
        <v>3552</v>
      </c>
      <c r="P22" t="s">
        <v>585</v>
      </c>
      <c r="R22" t="str">
        <f>_xlfn.TEXTJOIN(" - ",TRUE,Subkoord[[#This Row],[id]],Subkoord[[#This Row],[skrdklpk]])</f>
        <v>JF - Jabatan Fungsional</v>
      </c>
      <c r="S22" t="str" cm="1">
        <f t="array" ref="S22">INDEX(Koord[Koordinator],MATCH(1,(Subkoord[[#This Row],[id2]]=Koord[id2])*(Subkoord[[#This Row],[id3]]=Koord[id]),0))</f>
        <v>SD - SDMA dan HO</v>
      </c>
      <c r="T22" t="str">
        <f>INDEX(eselon2[Eselon2],MATCH(Subkoord[[#This Row],[id2]],eselon2[id],0))</f>
        <v>000 - Sekretariat Badan Riset dan SDM KP</v>
      </c>
    </row>
    <row r="23" spans="13:20" x14ac:dyDescent="0.25">
      <c r="M23" t="s">
        <v>3581</v>
      </c>
      <c r="N23" t="s">
        <v>3562</v>
      </c>
      <c r="O23" t="s">
        <v>3552</v>
      </c>
      <c r="P23" t="s">
        <v>586</v>
      </c>
      <c r="R23" t="str">
        <f>_xlfn.TEXTJOIN(" - ",TRUE,Subkoord[[#This Row],[id]],Subkoord[[#This Row],[skrdklpk]])</f>
        <v>HO - Hukum dan Organisasi</v>
      </c>
      <c r="S23" t="str" cm="1">
        <f t="array" ref="S23">INDEX(Koord[Koordinator],MATCH(1,(Subkoord[[#This Row],[id2]]=Koord[id2])*(Subkoord[[#This Row],[id3]]=Koord[id]),0))</f>
        <v>SD - SDMA dan HO</v>
      </c>
      <c r="T23" t="str">
        <f>INDEX(eselon2[Eselon2],MATCH(Subkoord[[#This Row],[id2]],eselon2[id],0))</f>
        <v>000 - Sekretariat Badan Riset dan SDM KP</v>
      </c>
    </row>
    <row r="24" spans="13:20" x14ac:dyDescent="0.25">
      <c r="M24" t="s">
        <v>3563</v>
      </c>
      <c r="N24" t="s">
        <v>3563</v>
      </c>
      <c r="O24" t="s">
        <v>3552</v>
      </c>
      <c r="P24" t="s">
        <v>541</v>
      </c>
      <c r="R24" t="str">
        <f>_xlfn.TEXTJOIN(" - ",TRUE,Subkoord[[#This Row],[id]],Subkoord[[#This Row],[skrdklpk]])</f>
        <v>KS - Kerjasama</v>
      </c>
      <c r="S24" t="str" cm="1">
        <f t="array" ref="S24">INDEX(Koord[Koordinator],MATCH(1,(Subkoord[[#This Row],[id2]]=Koord[id2])*(Subkoord[[#This Row],[id3]]=Koord[id]),0))</f>
        <v>KS - Kerjasama, Humas dan Data</v>
      </c>
      <c r="T24" t="str">
        <f>INDEX(eselon2[Eselon2],MATCH(Subkoord[[#This Row],[id2]],eselon2[id],0))</f>
        <v>000 - Sekretariat Badan Riset dan SDM KP</v>
      </c>
    </row>
    <row r="25" spans="13:20" x14ac:dyDescent="0.25">
      <c r="M25" t="s">
        <v>3582</v>
      </c>
      <c r="N25" t="s">
        <v>3563</v>
      </c>
      <c r="O25" t="s">
        <v>3552</v>
      </c>
      <c r="P25" t="s">
        <v>587</v>
      </c>
      <c r="R25" t="str">
        <f>_xlfn.TEXTJOIN(" - ",TRUE,Subkoord[[#This Row],[id]],Subkoord[[#This Row],[skrdklpk]])</f>
        <v>HM - Hubungan Masyarakat</v>
      </c>
      <c r="S25" t="str" cm="1">
        <f t="array" ref="S25">INDEX(Koord[Koordinator],MATCH(1,(Subkoord[[#This Row],[id2]]=Koord[id2])*(Subkoord[[#This Row],[id3]]=Koord[id]),0))</f>
        <v>KS - Kerjasama, Humas dan Data</v>
      </c>
      <c r="T25" t="str">
        <f>INDEX(eselon2[Eselon2],MATCH(Subkoord[[#This Row],[id2]],eselon2[id],0))</f>
        <v>000 - Sekretariat Badan Riset dan SDM KP</v>
      </c>
    </row>
    <row r="26" spans="13:20" x14ac:dyDescent="0.25">
      <c r="M26" t="s">
        <v>3583</v>
      </c>
      <c r="N26" t="s">
        <v>3563</v>
      </c>
      <c r="O26" t="s">
        <v>3552</v>
      </c>
      <c r="P26" t="s">
        <v>588</v>
      </c>
      <c r="R26" t="str">
        <f>_xlfn.TEXTJOIN(" - ",TRUE,Subkoord[[#This Row],[id]],Subkoord[[#This Row],[skrdklpk]])</f>
        <v>DT - Data</v>
      </c>
      <c r="S26" t="str" cm="1">
        <f t="array" ref="S26">INDEX(Koord[Koordinator],MATCH(1,(Subkoord[[#This Row],[id2]]=Koord[id2])*(Subkoord[[#This Row],[id3]]=Koord[id]),0))</f>
        <v>KS - Kerjasama, Humas dan Data</v>
      </c>
      <c r="T26" t="str">
        <f>INDEX(eselon2[Eselon2],MATCH(Subkoord[[#This Row],[id2]],eselon2[id],0))</f>
        <v>000 - Sekretariat Badan Riset dan SDM KP</v>
      </c>
    </row>
    <row r="27" spans="13:20" x14ac:dyDescent="0.25">
      <c r="M27" t="s">
        <v>3564</v>
      </c>
      <c r="N27" t="s">
        <v>3564</v>
      </c>
      <c r="O27" t="s">
        <v>3552</v>
      </c>
      <c r="P27" t="s">
        <v>546</v>
      </c>
      <c r="R27" t="str">
        <f>_xlfn.TEXTJOIN(" - ",TRUE,Subkoord[[#This Row],[id]],Subkoord[[#This Row],[skrdklpk]])</f>
        <v>KU - Keuangan</v>
      </c>
      <c r="S27" t="str" cm="1">
        <f t="array" ref="S27">INDEX(Koord[Koordinator],MATCH(1,(Subkoord[[#This Row],[id2]]=Koord[id2])*(Subkoord[[#This Row],[id3]]=Koord[id]),0))</f>
        <v>KU - Keuangan dan Umum</v>
      </c>
      <c r="T27" t="str">
        <f>INDEX(eselon2[Eselon2],MATCH(Subkoord[[#This Row],[id2]],eselon2[id],0))</f>
        <v>000 - Sekretariat Badan Riset dan SDM KP</v>
      </c>
    </row>
    <row r="28" spans="13:20" x14ac:dyDescent="0.25">
      <c r="M28" t="s">
        <v>3584</v>
      </c>
      <c r="N28" t="s">
        <v>3564</v>
      </c>
      <c r="O28" t="s">
        <v>3552</v>
      </c>
      <c r="P28" t="s">
        <v>582</v>
      </c>
      <c r="R28" t="str">
        <f>_xlfn.TEXTJOIN(" - ",TRUE,Subkoord[[#This Row],[id]],Subkoord[[#This Row],[skrdklpk]])</f>
        <v>PB - Pengelolaan BMN</v>
      </c>
      <c r="S28" t="str" cm="1">
        <f t="array" ref="S28">INDEX(Koord[Koordinator],MATCH(1,(Subkoord[[#This Row],[id2]]=Koord[id2])*(Subkoord[[#This Row],[id3]]=Koord[id]),0))</f>
        <v>KU - Keuangan dan Umum</v>
      </c>
      <c r="T28" t="str">
        <f>INDEX(eselon2[Eselon2],MATCH(Subkoord[[#This Row],[id2]],eselon2[id],0))</f>
        <v>000 - Sekretariat Badan Riset dan SDM KP</v>
      </c>
    </row>
    <row r="29" spans="13:20" x14ac:dyDescent="0.25">
      <c r="M29" t="s">
        <v>3570</v>
      </c>
      <c r="N29" t="s">
        <v>3564</v>
      </c>
      <c r="O29" t="s">
        <v>3552</v>
      </c>
      <c r="P29" t="s">
        <v>560</v>
      </c>
      <c r="R29" t="str">
        <f>_xlfn.TEXTJOIN(" - ",TRUE,Subkoord[[#This Row],[id]],Subkoord[[#This Row],[skrdklpk]])</f>
        <v>UM - Umum</v>
      </c>
      <c r="S29" t="str" cm="1">
        <f t="array" ref="S29">INDEX(Koord[Koordinator],MATCH(1,(Subkoord[[#This Row],[id2]]=Koord[id2])*(Subkoord[[#This Row],[id3]]=Koord[id]),0))</f>
        <v>KU - Keuangan dan Umum</v>
      </c>
      <c r="T29" t="str">
        <f>INDEX(eselon2[Eselon2],MATCH(Subkoord[[#This Row],[id2]],eselon2[id],0))</f>
        <v>000 - Sekretariat Badan Riset dan SDM KP</v>
      </c>
    </row>
  </sheetData>
  <phoneticPr fontId="26" type="noConversion"/>
  <pageMargins left="0.7" right="0.7" top="0.75" bottom="0.75" header="0.3" footer="0.3"/>
  <tableParts count="3">
    <tablePart r:id="rId1"/>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dimension ref="B1:T172"/>
  <sheetViews>
    <sheetView tabSelected="1" zoomScale="70" zoomScaleNormal="70" workbookViewId="0">
      <pane ySplit="10" topLeftCell="A74" activePane="bottomLeft" state="frozen"/>
      <selection pane="bottomLeft" activeCell="F82" activeCellId="2" sqref="F74 F83 F82"/>
    </sheetView>
  </sheetViews>
  <sheetFormatPr defaultColWidth="9.140625" defaultRowHeight="69.95" customHeight="1" x14ac:dyDescent="0.2"/>
  <cols>
    <col min="1" max="1" width="9.140625" style="282"/>
    <col min="2" max="2" width="7.5703125" style="281" customWidth="1"/>
    <col min="3" max="3" width="5.42578125" style="281" customWidth="1"/>
    <col min="4" max="4" width="22.85546875" style="282" customWidth="1"/>
    <col min="5" max="5" width="18.140625" style="282" customWidth="1"/>
    <col min="6" max="6" width="19.42578125" style="284" customWidth="1"/>
    <col min="7" max="7" width="19.7109375" style="285" customWidth="1"/>
    <col min="8" max="8" width="26.140625" style="285" customWidth="1"/>
    <col min="9" max="9" width="20.5703125" style="282" customWidth="1"/>
    <col min="10" max="10" width="15.5703125" style="282" customWidth="1"/>
    <col min="11" max="11" width="104.7109375" style="290" customWidth="1"/>
    <col min="12" max="12" width="33.85546875" style="285" customWidth="1"/>
    <col min="13" max="13" width="34.140625" style="285" customWidth="1"/>
    <col min="14" max="14" width="25.28515625" style="331" customWidth="1"/>
    <col min="15" max="15" width="19.140625" style="282" bestFit="1" customWidth="1"/>
    <col min="16" max="19" width="9.140625" style="282"/>
    <col min="20" max="20" width="125" style="282" customWidth="1"/>
    <col min="21" max="16384" width="9.140625" style="282"/>
  </cols>
  <sheetData>
    <row r="1" spans="2:20" ht="15" x14ac:dyDescent="0.2">
      <c r="E1" s="283"/>
      <c r="K1" s="285"/>
    </row>
    <row r="2" spans="2:20" ht="15" x14ac:dyDescent="0.2">
      <c r="E2" s="283"/>
      <c r="K2" s="285"/>
      <c r="N2" s="331" t="s">
        <v>4530</v>
      </c>
      <c r="O2" s="330">
        <f>SUMIF(Table1[Status Realisasi],N2,Table1[Nilai SP2D])</f>
        <v>381840000</v>
      </c>
    </row>
    <row r="3" spans="2:20" ht="15" x14ac:dyDescent="0.2">
      <c r="E3" s="283"/>
      <c r="K3" s="285"/>
      <c r="N3" s="331" t="s">
        <v>4528</v>
      </c>
      <c r="O3" s="330">
        <f>SUMIF(Table1[Status Realisasi],N3,Table1[Nilai SP2D])</f>
        <v>3393066206</v>
      </c>
      <c r="T3" s="282" t="s">
        <v>4595</v>
      </c>
    </row>
    <row r="4" spans="2:20" ht="15" x14ac:dyDescent="0.2">
      <c r="E4" s="283"/>
      <c r="K4" s="285"/>
      <c r="N4" s="331" t="s">
        <v>4529</v>
      </c>
      <c r="O4" s="330">
        <f>SUMIF(Table1[Status Realisasi],N4,Table1[Nilai SP2D])</f>
        <v>2939763957</v>
      </c>
    </row>
    <row r="5" spans="2:20" ht="15" x14ac:dyDescent="0.2">
      <c r="E5" s="283"/>
      <c r="K5" s="285"/>
      <c r="N5" s="331" t="s">
        <v>4531</v>
      </c>
      <c r="O5" s="330">
        <f>SUMIF(Table1[Status Realisasi],N5,Table1[Nilai SP2D])</f>
        <v>654200000</v>
      </c>
    </row>
    <row r="6" spans="2:20" ht="15" x14ac:dyDescent="0.2">
      <c r="E6" s="283"/>
      <c r="K6" s="285"/>
      <c r="N6" s="331" t="s">
        <v>4532</v>
      </c>
    </row>
    <row r="7" spans="2:20" ht="15" x14ac:dyDescent="0.2">
      <c r="E7" s="283"/>
      <c r="K7" s="285"/>
      <c r="N7" s="331">
        <v>51</v>
      </c>
      <c r="O7" s="330">
        <f>SUMIF(Table1[all],N7,Table1[Nilai SP2D])</f>
        <v>2939763957</v>
      </c>
    </row>
    <row r="8" spans="2:20" ht="15" x14ac:dyDescent="0.2">
      <c r="E8" s="283"/>
      <c r="F8" s="282"/>
      <c r="K8" s="285"/>
      <c r="N8" s="331">
        <v>52</v>
      </c>
      <c r="O8" s="330">
        <f>SUMIF(Table1[all],N8,Table1[Nilai SP2D])</f>
        <v>5413122932</v>
      </c>
    </row>
    <row r="9" spans="2:20" ht="15" x14ac:dyDescent="0.2">
      <c r="E9" s="283"/>
      <c r="F9" s="282"/>
      <c r="K9" s="285"/>
      <c r="N9" s="331">
        <v>53</v>
      </c>
      <c r="O9" s="330">
        <f>SUMIF(Table1[all],N9,Table1[Nilai SP2D])</f>
        <v>654200000</v>
      </c>
    </row>
    <row r="10" spans="2:20" s="312" customFormat="1" ht="38.25" customHeight="1" x14ac:dyDescent="0.25">
      <c r="B10" s="328" t="s">
        <v>4025</v>
      </c>
      <c r="C10" s="328" t="s">
        <v>4556</v>
      </c>
      <c r="D10" s="329" t="s">
        <v>4026</v>
      </c>
      <c r="E10" s="329" t="s">
        <v>4027</v>
      </c>
      <c r="F10" s="329" t="s">
        <v>4028</v>
      </c>
      <c r="G10" s="329" t="s">
        <v>4029</v>
      </c>
      <c r="H10" s="329" t="s">
        <v>4030</v>
      </c>
      <c r="I10" s="329" t="s">
        <v>4031</v>
      </c>
      <c r="J10" s="329" t="s">
        <v>4032</v>
      </c>
      <c r="K10" s="329" t="s">
        <v>4033</v>
      </c>
      <c r="L10" s="312" t="s">
        <v>4370</v>
      </c>
      <c r="M10" s="312" t="s">
        <v>4371</v>
      </c>
      <c r="N10" s="312" t="s">
        <v>3883</v>
      </c>
      <c r="O10" s="312" t="s">
        <v>4555</v>
      </c>
      <c r="T10" s="312" t="str" cm="1">
        <f t="array" ref="T10">_xlfn.TEXTJOIN(",",TRUE,MID(_xlfn._xlws.FILTER(Table1[Nomor Invoice],Table1[Status Realisasi]="Gaji"),1,5))</f>
        <v>00003,00007,00027,00044,00050,00049,00065,00074,00077,00114,00115,00116,00117,00097,00164,00169,00174,00178,00184,00234,00235,00237,00209,00327,00357,00360,00362,00399,00343,00347,00448,00477,00488</v>
      </c>
    </row>
    <row r="11" spans="2:20" ht="69.95" hidden="1" customHeight="1" x14ac:dyDescent="0.2">
      <c r="B11" s="260">
        <v>1</v>
      </c>
      <c r="C11" s="260">
        <v>1</v>
      </c>
      <c r="D11" s="256" t="s">
        <v>4274</v>
      </c>
      <c r="E11" s="292" t="s">
        <v>4275</v>
      </c>
      <c r="F11" s="257">
        <v>208949299</v>
      </c>
      <c r="G11" s="305" t="s">
        <v>4191</v>
      </c>
      <c r="H11" s="287" t="s">
        <v>4276</v>
      </c>
      <c r="I11" s="256" t="s">
        <v>4275</v>
      </c>
      <c r="J11" s="256" t="s">
        <v>4053</v>
      </c>
      <c r="K11" s="259" t="s">
        <v>4277</v>
      </c>
      <c r="L11" s="322" t="s">
        <v>576</v>
      </c>
      <c r="M11" s="322" t="s">
        <v>4340</v>
      </c>
      <c r="N11" s="336" t="s">
        <v>4529</v>
      </c>
      <c r="O11" s="260">
        <v>51</v>
      </c>
    </row>
    <row r="12" spans="2:20" ht="69.95" hidden="1" customHeight="1" x14ac:dyDescent="0.2">
      <c r="B12" s="260">
        <v>2</v>
      </c>
      <c r="C12" s="260">
        <v>2</v>
      </c>
      <c r="D12" s="256" t="s">
        <v>4269</v>
      </c>
      <c r="E12" s="292" t="s">
        <v>4270</v>
      </c>
      <c r="F12" s="257">
        <v>203627955</v>
      </c>
      <c r="G12" s="305" t="s">
        <v>4191</v>
      </c>
      <c r="H12" s="287" t="s">
        <v>4271</v>
      </c>
      <c r="I12" s="256" t="s">
        <v>4272</v>
      </c>
      <c r="J12" s="256" t="s">
        <v>4053</v>
      </c>
      <c r="K12" s="259" t="s">
        <v>4273</v>
      </c>
      <c r="L12" s="322" t="s">
        <v>576</v>
      </c>
      <c r="M12" s="322" t="s">
        <v>4340</v>
      </c>
      <c r="N12" s="336" t="s">
        <v>4529</v>
      </c>
      <c r="O12" s="260">
        <v>51</v>
      </c>
    </row>
    <row r="13" spans="2:20" ht="69.95" hidden="1" customHeight="1" x14ac:dyDescent="0.2">
      <c r="B13" s="260">
        <v>3</v>
      </c>
      <c r="C13" s="260">
        <v>2</v>
      </c>
      <c r="D13" s="256" t="s">
        <v>4265</v>
      </c>
      <c r="E13" s="292" t="s">
        <v>4266</v>
      </c>
      <c r="F13" s="257">
        <v>233065910</v>
      </c>
      <c r="G13" s="305" t="s">
        <v>4039</v>
      </c>
      <c r="H13" s="287" t="s">
        <v>4267</v>
      </c>
      <c r="I13" s="256" t="s">
        <v>4266</v>
      </c>
      <c r="J13" s="256" t="s">
        <v>4039</v>
      </c>
      <c r="K13" s="259" t="s">
        <v>4268</v>
      </c>
      <c r="L13" s="322" t="s">
        <v>576</v>
      </c>
      <c r="M13" s="322" t="s">
        <v>4340</v>
      </c>
      <c r="N13" s="336" t="s">
        <v>4529</v>
      </c>
      <c r="O13" s="260">
        <v>51</v>
      </c>
    </row>
    <row r="14" spans="2:20" ht="69.95" hidden="1" customHeight="1" x14ac:dyDescent="0.2">
      <c r="B14" s="260">
        <v>4</v>
      </c>
      <c r="C14" s="260">
        <v>2</v>
      </c>
      <c r="D14" s="256" t="s">
        <v>4259</v>
      </c>
      <c r="E14" s="292" t="s">
        <v>4255</v>
      </c>
      <c r="F14" s="257">
        <v>3208063</v>
      </c>
      <c r="G14" s="305" t="s">
        <v>4223</v>
      </c>
      <c r="H14" s="287" t="s">
        <v>4260</v>
      </c>
      <c r="I14" s="256" t="s">
        <v>4257</v>
      </c>
      <c r="J14" s="256" t="s">
        <v>4039</v>
      </c>
      <c r="K14" s="259" t="s">
        <v>4261</v>
      </c>
      <c r="L14" s="322" t="s">
        <v>576</v>
      </c>
      <c r="M14" s="322" t="s">
        <v>4340</v>
      </c>
      <c r="N14" s="336" t="s">
        <v>4529</v>
      </c>
      <c r="O14" s="260">
        <v>51</v>
      </c>
    </row>
    <row r="15" spans="2:20" ht="69.95" hidden="1" customHeight="1" x14ac:dyDescent="0.2">
      <c r="B15" s="260">
        <v>5</v>
      </c>
      <c r="C15" s="260">
        <v>2</v>
      </c>
      <c r="D15" s="256" t="s">
        <v>4262</v>
      </c>
      <c r="E15" s="292" t="s">
        <v>4255</v>
      </c>
      <c r="F15" s="257">
        <v>31515000</v>
      </c>
      <c r="G15" s="305" t="s">
        <v>4207</v>
      </c>
      <c r="H15" s="287" t="s">
        <v>4263</v>
      </c>
      <c r="I15" s="256" t="s">
        <v>4257</v>
      </c>
      <c r="J15" s="256" t="s">
        <v>4039</v>
      </c>
      <c r="K15" s="259" t="s">
        <v>4264</v>
      </c>
      <c r="L15" s="322" t="s">
        <v>576</v>
      </c>
      <c r="M15" s="322" t="s">
        <v>4340</v>
      </c>
      <c r="N15" s="336" t="s">
        <v>4529</v>
      </c>
      <c r="O15" s="260">
        <v>51</v>
      </c>
    </row>
    <row r="16" spans="2:20" ht="69.95" customHeight="1" x14ac:dyDescent="0.2">
      <c r="B16" s="260">
        <v>6</v>
      </c>
      <c r="C16" s="260">
        <v>2</v>
      </c>
      <c r="D16" s="260" t="s">
        <v>4034</v>
      </c>
      <c r="E16" s="291" t="s">
        <v>4035</v>
      </c>
      <c r="F16" s="288">
        <v>63640000</v>
      </c>
      <c r="G16" s="300" t="s">
        <v>4036</v>
      </c>
      <c r="H16" s="261" t="s">
        <v>4037</v>
      </c>
      <c r="I16" s="260" t="s">
        <v>4038</v>
      </c>
      <c r="J16" s="260" t="s">
        <v>4039</v>
      </c>
      <c r="K16" s="262" t="s">
        <v>4040</v>
      </c>
      <c r="L16" s="322" t="s">
        <v>576</v>
      </c>
      <c r="M16" s="322" t="s">
        <v>4338</v>
      </c>
      <c r="N16" s="336" t="s">
        <v>4530</v>
      </c>
      <c r="O16" s="260">
        <v>52</v>
      </c>
    </row>
    <row r="17" spans="2:15" ht="69.95" hidden="1" customHeight="1" x14ac:dyDescent="0.2">
      <c r="B17" s="260">
        <v>7</v>
      </c>
      <c r="C17" s="260">
        <v>2</v>
      </c>
      <c r="D17" s="260" t="s">
        <v>4041</v>
      </c>
      <c r="E17" s="291" t="s">
        <v>4043</v>
      </c>
      <c r="F17" s="288">
        <v>9587800</v>
      </c>
      <c r="G17" s="301" t="s">
        <v>4039</v>
      </c>
      <c r="H17" s="260" t="s">
        <v>4044</v>
      </c>
      <c r="I17" s="260" t="s">
        <v>4042</v>
      </c>
      <c r="J17" s="260" t="s">
        <v>4039</v>
      </c>
      <c r="K17" s="262" t="s">
        <v>4045</v>
      </c>
      <c r="L17" s="322" t="s">
        <v>542</v>
      </c>
      <c r="M17" s="322" t="s">
        <v>4339</v>
      </c>
      <c r="N17" s="336"/>
      <c r="O17" s="260">
        <v>52</v>
      </c>
    </row>
    <row r="18" spans="2:15" ht="69.95" hidden="1" customHeight="1" x14ac:dyDescent="0.2">
      <c r="B18" s="260">
        <v>8</v>
      </c>
      <c r="C18" s="260">
        <v>2</v>
      </c>
      <c r="D18" s="260" t="s">
        <v>4046</v>
      </c>
      <c r="E18" s="291" t="s">
        <v>4043</v>
      </c>
      <c r="F18" s="288">
        <v>1010000</v>
      </c>
      <c r="G18" s="301" t="s">
        <v>4039</v>
      </c>
      <c r="H18" s="260" t="s">
        <v>4047</v>
      </c>
      <c r="I18" s="260" t="s">
        <v>4042</v>
      </c>
      <c r="J18" s="260" t="s">
        <v>4039</v>
      </c>
      <c r="K18" s="262" t="s">
        <v>4048</v>
      </c>
      <c r="L18" s="322" t="s">
        <v>542</v>
      </c>
      <c r="M18" s="322" t="s">
        <v>4339</v>
      </c>
      <c r="N18" s="336"/>
      <c r="O18" s="260">
        <v>52</v>
      </c>
    </row>
    <row r="19" spans="2:15" ht="69.95" hidden="1" customHeight="1" x14ac:dyDescent="0.2">
      <c r="B19" s="260">
        <v>9</v>
      </c>
      <c r="C19" s="260">
        <v>3</v>
      </c>
      <c r="D19" s="256" t="s">
        <v>4254</v>
      </c>
      <c r="E19" s="292" t="s">
        <v>4049</v>
      </c>
      <c r="F19" s="257">
        <v>211929456</v>
      </c>
      <c r="G19" s="305" t="s">
        <v>4191</v>
      </c>
      <c r="H19" s="287" t="s">
        <v>4256</v>
      </c>
      <c r="I19" s="256" t="s">
        <v>4257</v>
      </c>
      <c r="J19" s="256" t="s">
        <v>4053</v>
      </c>
      <c r="K19" s="259" t="s">
        <v>4258</v>
      </c>
      <c r="L19" s="322" t="s">
        <v>576</v>
      </c>
      <c r="M19" s="322" t="s">
        <v>4340</v>
      </c>
      <c r="N19" s="336" t="s">
        <v>4529</v>
      </c>
      <c r="O19" s="260">
        <v>51</v>
      </c>
    </row>
    <row r="20" spans="2:15" ht="69.95" hidden="1" customHeight="1" x14ac:dyDescent="0.2">
      <c r="B20" s="260">
        <v>10</v>
      </c>
      <c r="C20" s="260">
        <v>3</v>
      </c>
      <c r="D20" s="256" t="s">
        <v>4251</v>
      </c>
      <c r="E20" s="292" t="s">
        <v>4056</v>
      </c>
      <c r="F20" s="257">
        <v>8028903</v>
      </c>
      <c r="G20" s="305" t="s">
        <v>4039</v>
      </c>
      <c r="H20" s="287" t="s">
        <v>4252</v>
      </c>
      <c r="I20" s="256" t="s">
        <v>4059</v>
      </c>
      <c r="J20" s="256" t="s">
        <v>4039</v>
      </c>
      <c r="K20" s="259" t="s">
        <v>4253</v>
      </c>
      <c r="L20" s="322" t="s">
        <v>576</v>
      </c>
      <c r="M20" s="322" t="s">
        <v>4340</v>
      </c>
      <c r="N20" s="336" t="s">
        <v>4529</v>
      </c>
      <c r="O20" s="260">
        <v>51</v>
      </c>
    </row>
    <row r="21" spans="2:15" ht="69.95" hidden="1" customHeight="1" x14ac:dyDescent="0.2">
      <c r="B21" s="260">
        <v>11</v>
      </c>
      <c r="C21" s="260">
        <v>3</v>
      </c>
      <c r="D21" s="256" t="s">
        <v>4243</v>
      </c>
      <c r="E21" s="292" t="s">
        <v>4244</v>
      </c>
      <c r="F21" s="257">
        <v>237145862</v>
      </c>
      <c r="G21" s="305" t="s">
        <v>4039</v>
      </c>
      <c r="H21" s="287" t="s">
        <v>4245</v>
      </c>
      <c r="I21" s="256" t="s">
        <v>4246</v>
      </c>
      <c r="J21" s="256" t="s">
        <v>4039</v>
      </c>
      <c r="K21" s="259" t="s">
        <v>4247</v>
      </c>
      <c r="L21" s="322" t="s">
        <v>576</v>
      </c>
      <c r="M21" s="322" t="s">
        <v>4340</v>
      </c>
      <c r="N21" s="336" t="s">
        <v>4529</v>
      </c>
      <c r="O21" s="260">
        <v>51</v>
      </c>
    </row>
    <row r="22" spans="2:15" ht="69.95" hidden="1" customHeight="1" x14ac:dyDescent="0.2">
      <c r="B22" s="260">
        <v>12</v>
      </c>
      <c r="C22" s="260">
        <v>3</v>
      </c>
      <c r="D22" s="256" t="s">
        <v>4248</v>
      </c>
      <c r="E22" s="292" t="s">
        <v>4244</v>
      </c>
      <c r="F22" s="257">
        <v>24572000</v>
      </c>
      <c r="G22" s="305" t="s">
        <v>4207</v>
      </c>
      <c r="H22" s="287" t="s">
        <v>4249</v>
      </c>
      <c r="I22" s="256" t="s">
        <v>4246</v>
      </c>
      <c r="J22" s="256" t="s">
        <v>4039</v>
      </c>
      <c r="K22" s="259" t="s">
        <v>4250</v>
      </c>
      <c r="L22" s="322" t="s">
        <v>576</v>
      </c>
      <c r="M22" s="322" t="s">
        <v>4340</v>
      </c>
      <c r="N22" s="336" t="s">
        <v>4529</v>
      </c>
      <c r="O22" s="260">
        <v>51</v>
      </c>
    </row>
    <row r="23" spans="2:15" ht="69.95" hidden="1" customHeight="1" x14ac:dyDescent="0.2">
      <c r="B23" s="260">
        <v>13</v>
      </c>
      <c r="C23" s="260">
        <v>3</v>
      </c>
      <c r="D23" s="256" t="s">
        <v>4233</v>
      </c>
      <c r="E23" s="292" t="s">
        <v>4069</v>
      </c>
      <c r="F23" s="257">
        <v>7294465</v>
      </c>
      <c r="G23" s="305" t="s">
        <v>4223</v>
      </c>
      <c r="H23" s="287" t="s">
        <v>4234</v>
      </c>
      <c r="I23" s="256" t="s">
        <v>4228</v>
      </c>
      <c r="J23" s="256" t="s">
        <v>4039</v>
      </c>
      <c r="K23" s="259" t="s">
        <v>4235</v>
      </c>
      <c r="L23" s="322" t="s">
        <v>576</v>
      </c>
      <c r="M23" s="322" t="s">
        <v>4340</v>
      </c>
      <c r="N23" s="336" t="s">
        <v>4529</v>
      </c>
      <c r="O23" s="260">
        <v>51</v>
      </c>
    </row>
    <row r="24" spans="2:15" ht="69.95" hidden="1" customHeight="1" x14ac:dyDescent="0.2">
      <c r="B24" s="260">
        <v>14</v>
      </c>
      <c r="C24" s="260">
        <v>3</v>
      </c>
      <c r="D24" s="256" t="s">
        <v>4230</v>
      </c>
      <c r="E24" s="292" t="s">
        <v>4069</v>
      </c>
      <c r="F24" s="257">
        <v>257904</v>
      </c>
      <c r="G24" s="305" t="s">
        <v>4219</v>
      </c>
      <c r="H24" s="287" t="s">
        <v>4231</v>
      </c>
      <c r="I24" s="256" t="s">
        <v>4228</v>
      </c>
      <c r="J24" s="256" t="s">
        <v>4039</v>
      </c>
      <c r="K24" s="259" t="s">
        <v>4232</v>
      </c>
      <c r="L24" s="322" t="s">
        <v>576</v>
      </c>
      <c r="M24" s="322" t="s">
        <v>4340</v>
      </c>
      <c r="N24" s="336" t="s">
        <v>4529</v>
      </c>
      <c r="O24" s="260">
        <v>51</v>
      </c>
    </row>
    <row r="25" spans="2:15" ht="69.95" hidden="1" customHeight="1" x14ac:dyDescent="0.2">
      <c r="B25" s="260">
        <v>15</v>
      </c>
      <c r="C25" s="260">
        <v>3</v>
      </c>
      <c r="D25" s="256" t="s">
        <v>4236</v>
      </c>
      <c r="E25" s="292" t="s">
        <v>4069</v>
      </c>
      <c r="F25" s="257">
        <v>595396</v>
      </c>
      <c r="G25" s="305" t="s">
        <v>4219</v>
      </c>
      <c r="H25" s="287" t="s">
        <v>4237</v>
      </c>
      <c r="I25" s="256" t="s">
        <v>4228</v>
      </c>
      <c r="J25" s="256" t="s">
        <v>4039</v>
      </c>
      <c r="K25" s="259" t="s">
        <v>4238</v>
      </c>
      <c r="L25" s="322" t="s">
        <v>576</v>
      </c>
      <c r="M25" s="322" t="s">
        <v>4340</v>
      </c>
      <c r="N25" s="336" t="s">
        <v>4529</v>
      </c>
      <c r="O25" s="260">
        <v>51</v>
      </c>
    </row>
    <row r="26" spans="2:15" ht="69.95" hidden="1" customHeight="1" x14ac:dyDescent="0.2">
      <c r="B26" s="260">
        <v>16</v>
      </c>
      <c r="C26" s="260">
        <v>3</v>
      </c>
      <c r="D26" s="256" t="s">
        <v>4226</v>
      </c>
      <c r="E26" s="292" t="s">
        <v>4069</v>
      </c>
      <c r="F26" s="257">
        <v>3422128</v>
      </c>
      <c r="G26" s="305" t="s">
        <v>4219</v>
      </c>
      <c r="H26" s="287" t="s">
        <v>4227</v>
      </c>
      <c r="I26" s="256" t="s">
        <v>4228</v>
      </c>
      <c r="J26" s="256" t="s">
        <v>4039</v>
      </c>
      <c r="K26" s="259" t="s">
        <v>4229</v>
      </c>
      <c r="L26" s="322" t="s">
        <v>576</v>
      </c>
      <c r="M26" s="322" t="s">
        <v>4340</v>
      </c>
      <c r="N26" s="336" t="s">
        <v>4529</v>
      </c>
      <c r="O26" s="260">
        <v>51</v>
      </c>
    </row>
    <row r="27" spans="2:15" ht="69.95" customHeight="1" x14ac:dyDescent="0.2">
      <c r="B27" s="260">
        <v>17</v>
      </c>
      <c r="C27" s="260">
        <v>3</v>
      </c>
      <c r="D27" s="286" t="s">
        <v>4168</v>
      </c>
      <c r="E27" s="291" t="s">
        <v>4049</v>
      </c>
      <c r="F27" s="288">
        <v>63640000</v>
      </c>
      <c r="G27" s="300" t="s">
        <v>4050</v>
      </c>
      <c r="H27" s="261" t="s">
        <v>4051</v>
      </c>
      <c r="I27" s="260" t="s">
        <v>4052</v>
      </c>
      <c r="J27" s="260" t="s">
        <v>4053</v>
      </c>
      <c r="K27" s="262" t="s">
        <v>4054</v>
      </c>
      <c r="L27" s="322" t="s">
        <v>576</v>
      </c>
      <c r="M27" s="322" t="s">
        <v>4338</v>
      </c>
      <c r="N27" s="336" t="s">
        <v>4530</v>
      </c>
      <c r="O27" s="260">
        <v>52</v>
      </c>
    </row>
    <row r="28" spans="2:15" ht="69.95" hidden="1" customHeight="1" x14ac:dyDescent="0.2">
      <c r="B28" s="260">
        <v>18</v>
      </c>
      <c r="C28" s="260">
        <v>3</v>
      </c>
      <c r="D28" s="260" t="s">
        <v>4055</v>
      </c>
      <c r="E28" s="291" t="s">
        <v>4057</v>
      </c>
      <c r="F28" s="288">
        <v>99961115</v>
      </c>
      <c r="G28" s="302" t="s">
        <v>3839</v>
      </c>
      <c r="H28" s="260" t="s">
        <v>4058</v>
      </c>
      <c r="I28" s="260" t="s">
        <v>4059</v>
      </c>
      <c r="J28" s="260" t="s">
        <v>4039</v>
      </c>
      <c r="K28" s="262" t="s">
        <v>4060</v>
      </c>
      <c r="L28" s="322"/>
      <c r="M28" s="322"/>
      <c r="N28" s="336"/>
      <c r="O28" s="260">
        <v>52</v>
      </c>
    </row>
    <row r="29" spans="2:15" ht="69.95" hidden="1" customHeight="1" x14ac:dyDescent="0.2">
      <c r="B29" s="260">
        <v>19</v>
      </c>
      <c r="C29" s="260">
        <v>3</v>
      </c>
      <c r="D29" s="260" t="s">
        <v>4061</v>
      </c>
      <c r="E29" s="291" t="s">
        <v>4062</v>
      </c>
      <c r="F29" s="288">
        <v>21912994</v>
      </c>
      <c r="G29" s="303" t="s">
        <v>4063</v>
      </c>
      <c r="H29" s="260" t="s">
        <v>4064</v>
      </c>
      <c r="I29" s="260" t="s">
        <v>4065</v>
      </c>
      <c r="J29" s="260" t="s">
        <v>4066</v>
      </c>
      <c r="K29" s="262" t="s">
        <v>4067</v>
      </c>
      <c r="L29" s="322"/>
      <c r="M29" s="322"/>
      <c r="N29" s="336"/>
      <c r="O29" s="260">
        <v>52</v>
      </c>
    </row>
    <row r="30" spans="2:15" ht="69.95" hidden="1" customHeight="1" x14ac:dyDescent="0.2">
      <c r="B30" s="260">
        <v>20</v>
      </c>
      <c r="C30" s="260">
        <v>3</v>
      </c>
      <c r="D30" s="260" t="s">
        <v>4068</v>
      </c>
      <c r="E30" s="291" t="s">
        <v>4069</v>
      </c>
      <c r="F30" s="288">
        <v>31765000</v>
      </c>
      <c r="G30" s="303" t="s">
        <v>4063</v>
      </c>
      <c r="H30" s="260" t="s">
        <v>4070</v>
      </c>
      <c r="I30" s="260" t="s">
        <v>4065</v>
      </c>
      <c r="J30" s="260" t="s">
        <v>4066</v>
      </c>
      <c r="K30" s="262" t="s">
        <v>4067</v>
      </c>
      <c r="L30" s="322"/>
      <c r="M30" s="322"/>
      <c r="N30" s="336"/>
      <c r="O30" s="260">
        <v>52</v>
      </c>
    </row>
    <row r="31" spans="2:15" ht="69.95" hidden="1" customHeight="1" x14ac:dyDescent="0.2">
      <c r="B31" s="260">
        <v>21</v>
      </c>
      <c r="C31" s="260">
        <v>3</v>
      </c>
      <c r="D31" s="260" t="s">
        <v>4071</v>
      </c>
      <c r="E31" s="291" t="s">
        <v>4062</v>
      </c>
      <c r="F31" s="288">
        <v>2949500</v>
      </c>
      <c r="G31" s="303" t="s">
        <v>4063</v>
      </c>
      <c r="H31" s="260" t="s">
        <v>4072</v>
      </c>
      <c r="I31" s="260" t="s">
        <v>4065</v>
      </c>
      <c r="J31" s="260" t="s">
        <v>4066</v>
      </c>
      <c r="K31" s="262" t="s">
        <v>4067</v>
      </c>
      <c r="L31" s="322"/>
      <c r="M31" s="322"/>
      <c r="N31" s="336"/>
      <c r="O31" s="260">
        <v>52</v>
      </c>
    </row>
    <row r="32" spans="2:15" ht="69.95" hidden="1" customHeight="1" x14ac:dyDescent="0.2">
      <c r="B32" s="260">
        <v>22</v>
      </c>
      <c r="C32" s="260">
        <v>3</v>
      </c>
      <c r="D32" s="260" t="s">
        <v>4073</v>
      </c>
      <c r="E32" s="291" t="s">
        <v>4062</v>
      </c>
      <c r="F32" s="288">
        <v>58197700</v>
      </c>
      <c r="G32" s="303" t="s">
        <v>4063</v>
      </c>
      <c r="H32" s="260" t="s">
        <v>4074</v>
      </c>
      <c r="I32" s="260" t="s">
        <v>4065</v>
      </c>
      <c r="J32" s="260" t="s">
        <v>4066</v>
      </c>
      <c r="K32" s="262" t="s">
        <v>4067</v>
      </c>
      <c r="L32" s="322"/>
      <c r="M32" s="322"/>
      <c r="N32" s="336"/>
      <c r="O32" s="260">
        <v>52</v>
      </c>
    </row>
    <row r="33" spans="2:15" ht="69.95" hidden="1" customHeight="1" x14ac:dyDescent="0.2">
      <c r="B33" s="260">
        <v>23</v>
      </c>
      <c r="C33" s="260">
        <v>3</v>
      </c>
      <c r="D33" s="260" t="s">
        <v>4075</v>
      </c>
      <c r="E33" s="291" t="s">
        <v>4062</v>
      </c>
      <c r="F33" s="288">
        <v>42927193</v>
      </c>
      <c r="G33" s="303" t="s">
        <v>4063</v>
      </c>
      <c r="H33" s="260" t="s">
        <v>4076</v>
      </c>
      <c r="I33" s="260" t="s">
        <v>4065</v>
      </c>
      <c r="J33" s="260" t="s">
        <v>4066</v>
      </c>
      <c r="K33" s="262" t="s">
        <v>4067</v>
      </c>
      <c r="L33" s="322"/>
      <c r="M33" s="322"/>
      <c r="N33" s="336"/>
      <c r="O33" s="260">
        <v>52</v>
      </c>
    </row>
    <row r="34" spans="2:15" ht="69.95" hidden="1" customHeight="1" x14ac:dyDescent="0.2">
      <c r="B34" s="260">
        <v>24</v>
      </c>
      <c r="C34" s="260">
        <v>3</v>
      </c>
      <c r="D34" s="260" t="s">
        <v>4077</v>
      </c>
      <c r="E34" s="291" t="s">
        <v>4062</v>
      </c>
      <c r="F34" s="288">
        <v>3436750</v>
      </c>
      <c r="G34" s="303" t="s">
        <v>4063</v>
      </c>
      <c r="H34" s="260" t="s">
        <v>4078</v>
      </c>
      <c r="I34" s="260" t="s">
        <v>4065</v>
      </c>
      <c r="J34" s="260" t="s">
        <v>4066</v>
      </c>
      <c r="K34" s="262" t="s">
        <v>4067</v>
      </c>
      <c r="L34" s="322"/>
      <c r="M34" s="322"/>
      <c r="N34" s="336"/>
      <c r="O34" s="260">
        <v>52</v>
      </c>
    </row>
    <row r="35" spans="2:15" ht="69.95" hidden="1" customHeight="1" x14ac:dyDescent="0.2">
      <c r="B35" s="260">
        <v>25</v>
      </c>
      <c r="C35" s="260">
        <v>3</v>
      </c>
      <c r="D35" s="260" t="s">
        <v>4079</v>
      </c>
      <c r="E35" s="291" t="s">
        <v>4062</v>
      </c>
      <c r="F35" s="288">
        <v>50674500</v>
      </c>
      <c r="G35" s="303" t="s">
        <v>4063</v>
      </c>
      <c r="H35" s="260" t="s">
        <v>4080</v>
      </c>
      <c r="I35" s="260" t="s">
        <v>4065</v>
      </c>
      <c r="J35" s="260" t="s">
        <v>4066</v>
      </c>
      <c r="K35" s="262" t="s">
        <v>4067</v>
      </c>
      <c r="L35" s="322"/>
      <c r="M35" s="322"/>
      <c r="N35" s="336"/>
      <c r="O35" s="260">
        <v>52</v>
      </c>
    </row>
    <row r="36" spans="2:15" ht="69.95" hidden="1" customHeight="1" x14ac:dyDescent="0.2">
      <c r="B36" s="260">
        <v>26</v>
      </c>
      <c r="C36" s="260">
        <v>3</v>
      </c>
      <c r="D36" s="260" t="s">
        <v>4081</v>
      </c>
      <c r="E36" s="291" t="s">
        <v>4062</v>
      </c>
      <c r="F36" s="288">
        <v>198636550</v>
      </c>
      <c r="G36" s="303" t="s">
        <v>4063</v>
      </c>
      <c r="H36" s="260" t="s">
        <v>4082</v>
      </c>
      <c r="I36" s="260" t="s">
        <v>4065</v>
      </c>
      <c r="J36" s="260" t="s">
        <v>4066</v>
      </c>
      <c r="K36" s="262" t="s">
        <v>4067</v>
      </c>
      <c r="L36" s="322"/>
      <c r="M36" s="322"/>
      <c r="N36" s="336"/>
      <c r="O36" s="260">
        <v>52</v>
      </c>
    </row>
    <row r="37" spans="2:15" ht="69.95" hidden="1" customHeight="1" x14ac:dyDescent="0.2">
      <c r="B37" s="260">
        <v>27</v>
      </c>
      <c r="C37" s="260">
        <v>3</v>
      </c>
      <c r="D37" s="260" t="s">
        <v>4087</v>
      </c>
      <c r="E37" s="291" t="s">
        <v>4088</v>
      </c>
      <c r="F37" s="288">
        <v>1743940</v>
      </c>
      <c r="G37" s="302" t="s">
        <v>3839</v>
      </c>
      <c r="H37" s="260" t="s">
        <v>4089</v>
      </c>
      <c r="I37" s="260" t="s">
        <v>4090</v>
      </c>
      <c r="J37" s="260" t="s">
        <v>4039</v>
      </c>
      <c r="K37" s="262" t="s">
        <v>4091</v>
      </c>
      <c r="L37" s="322"/>
      <c r="M37" s="322"/>
      <c r="N37" s="336"/>
      <c r="O37" s="260">
        <v>52</v>
      </c>
    </row>
    <row r="38" spans="2:15" ht="69.95" hidden="1" customHeight="1" x14ac:dyDescent="0.2">
      <c r="B38" s="260">
        <v>28</v>
      </c>
      <c r="C38" s="260">
        <v>3</v>
      </c>
      <c r="D38" s="260" t="s">
        <v>4092</v>
      </c>
      <c r="E38" s="291" t="s">
        <v>4088</v>
      </c>
      <c r="F38" s="288">
        <v>21906300</v>
      </c>
      <c r="G38" s="302" t="s">
        <v>3839</v>
      </c>
      <c r="H38" s="260" t="s">
        <v>4093</v>
      </c>
      <c r="I38" s="260" t="s">
        <v>4090</v>
      </c>
      <c r="J38" s="260" t="s">
        <v>4039</v>
      </c>
      <c r="K38" s="262" t="s">
        <v>4091</v>
      </c>
      <c r="L38" s="322"/>
      <c r="M38" s="322"/>
      <c r="N38" s="336"/>
      <c r="O38" s="260">
        <v>52</v>
      </c>
    </row>
    <row r="39" spans="2:15" ht="69.95" hidden="1" customHeight="1" x14ac:dyDescent="0.2">
      <c r="B39" s="260">
        <v>29</v>
      </c>
      <c r="C39" s="260">
        <v>3</v>
      </c>
      <c r="D39" s="260" t="s">
        <v>4094</v>
      </c>
      <c r="E39" s="291" t="s">
        <v>4088</v>
      </c>
      <c r="F39" s="288">
        <v>12373213</v>
      </c>
      <c r="G39" s="302" t="s">
        <v>3839</v>
      </c>
      <c r="H39" s="260" t="s">
        <v>4095</v>
      </c>
      <c r="I39" s="260" t="s">
        <v>4090</v>
      </c>
      <c r="J39" s="260" t="s">
        <v>4039</v>
      </c>
      <c r="K39" s="262" t="s">
        <v>4091</v>
      </c>
      <c r="L39" s="322"/>
      <c r="M39" s="322"/>
      <c r="N39" s="336"/>
      <c r="O39" s="260">
        <v>52</v>
      </c>
    </row>
    <row r="40" spans="2:15" ht="69.95" hidden="1" customHeight="1" x14ac:dyDescent="0.2">
      <c r="B40" s="260">
        <v>30</v>
      </c>
      <c r="C40" s="260">
        <v>3</v>
      </c>
      <c r="D40" s="260" t="s">
        <v>4096</v>
      </c>
      <c r="E40" s="291" t="s">
        <v>4088</v>
      </c>
      <c r="F40" s="288">
        <v>8896000</v>
      </c>
      <c r="G40" s="302" t="s">
        <v>3839</v>
      </c>
      <c r="H40" s="260" t="s">
        <v>4097</v>
      </c>
      <c r="I40" s="260" t="s">
        <v>4090</v>
      </c>
      <c r="J40" s="260" t="s">
        <v>4039</v>
      </c>
      <c r="K40" s="262" t="s">
        <v>4091</v>
      </c>
      <c r="L40" s="322"/>
      <c r="M40" s="322"/>
      <c r="N40" s="336"/>
      <c r="O40" s="260">
        <v>52</v>
      </c>
    </row>
    <row r="41" spans="2:15" ht="69.95" hidden="1" customHeight="1" x14ac:dyDescent="0.2">
      <c r="B41" s="260">
        <v>31</v>
      </c>
      <c r="C41" s="260">
        <v>3</v>
      </c>
      <c r="D41" s="260" t="s">
        <v>4098</v>
      </c>
      <c r="E41" s="291" t="s">
        <v>4088</v>
      </c>
      <c r="F41" s="288">
        <v>12075000</v>
      </c>
      <c r="G41" s="302" t="s">
        <v>3839</v>
      </c>
      <c r="H41" s="260" t="s">
        <v>4099</v>
      </c>
      <c r="I41" s="260" t="s">
        <v>4090</v>
      </c>
      <c r="J41" s="260" t="s">
        <v>4039</v>
      </c>
      <c r="K41" s="262" t="s">
        <v>4091</v>
      </c>
      <c r="L41" s="322"/>
      <c r="M41" s="322"/>
      <c r="N41" s="336"/>
      <c r="O41" s="260">
        <v>52</v>
      </c>
    </row>
    <row r="42" spans="2:15" ht="69.95" hidden="1" customHeight="1" x14ac:dyDescent="0.2">
      <c r="B42" s="260">
        <v>32</v>
      </c>
      <c r="C42" s="260">
        <v>3</v>
      </c>
      <c r="D42" s="260" t="s">
        <v>4100</v>
      </c>
      <c r="E42" s="291" t="s">
        <v>4088</v>
      </c>
      <c r="F42" s="288">
        <v>1890000</v>
      </c>
      <c r="G42" s="302" t="s">
        <v>3839</v>
      </c>
      <c r="H42" s="260" t="s">
        <v>4101</v>
      </c>
      <c r="I42" s="260" t="s">
        <v>4090</v>
      </c>
      <c r="J42" s="260" t="s">
        <v>4039</v>
      </c>
      <c r="K42" s="262" t="s">
        <v>4091</v>
      </c>
      <c r="L42" s="322"/>
      <c r="M42" s="322"/>
      <c r="N42" s="336"/>
      <c r="O42" s="260">
        <v>52</v>
      </c>
    </row>
    <row r="43" spans="2:15" ht="69.95" hidden="1" customHeight="1" x14ac:dyDescent="0.2">
      <c r="B43" s="260">
        <v>33</v>
      </c>
      <c r="C43" s="260">
        <v>3</v>
      </c>
      <c r="D43" s="260" t="s">
        <v>4102</v>
      </c>
      <c r="E43" s="291" t="s">
        <v>4088</v>
      </c>
      <c r="F43" s="288">
        <v>18269500</v>
      </c>
      <c r="G43" s="302" t="s">
        <v>3839</v>
      </c>
      <c r="H43" s="260" t="s">
        <v>4103</v>
      </c>
      <c r="I43" s="260" t="s">
        <v>4090</v>
      </c>
      <c r="J43" s="260" t="s">
        <v>4039</v>
      </c>
      <c r="K43" s="262" t="s">
        <v>4091</v>
      </c>
      <c r="L43" s="322"/>
      <c r="M43" s="322"/>
      <c r="N43" s="336"/>
      <c r="O43" s="260">
        <v>52</v>
      </c>
    </row>
    <row r="44" spans="2:15" ht="69.95" hidden="1" customHeight="1" x14ac:dyDescent="0.2">
      <c r="B44" s="260">
        <v>34</v>
      </c>
      <c r="C44" s="260">
        <v>3</v>
      </c>
      <c r="D44" s="260" t="s">
        <v>4104</v>
      </c>
      <c r="E44" s="291" t="s">
        <v>4088</v>
      </c>
      <c r="F44" s="288">
        <v>21022422</v>
      </c>
      <c r="G44" s="302" t="s">
        <v>3839</v>
      </c>
      <c r="H44" s="260" t="s">
        <v>4105</v>
      </c>
      <c r="I44" s="260" t="s">
        <v>4090</v>
      </c>
      <c r="J44" s="260" t="s">
        <v>4039</v>
      </c>
      <c r="K44" s="262" t="s">
        <v>4091</v>
      </c>
      <c r="L44" s="322"/>
      <c r="M44" s="322"/>
      <c r="N44" s="336"/>
      <c r="O44" s="260">
        <v>52</v>
      </c>
    </row>
    <row r="45" spans="2:15" ht="69.95" hidden="1" customHeight="1" x14ac:dyDescent="0.2">
      <c r="B45" s="260">
        <v>44</v>
      </c>
      <c r="C45" s="260">
        <v>4</v>
      </c>
      <c r="D45" s="260" t="s">
        <v>4109</v>
      </c>
      <c r="E45" s="291" t="s">
        <v>4110</v>
      </c>
      <c r="F45" s="288">
        <v>830060208</v>
      </c>
      <c r="G45" s="304" t="s">
        <v>4039</v>
      </c>
      <c r="H45" s="261" t="s">
        <v>4111</v>
      </c>
      <c r="I45" s="260" t="s">
        <v>4112</v>
      </c>
      <c r="J45" s="260" t="s">
        <v>4039</v>
      </c>
      <c r="K45" s="262" t="s">
        <v>4113</v>
      </c>
      <c r="L45" s="322" t="s">
        <v>542</v>
      </c>
      <c r="M45" s="322" t="s">
        <v>4339</v>
      </c>
      <c r="N45" s="336" t="s">
        <v>4528</v>
      </c>
      <c r="O45" s="260">
        <v>52</v>
      </c>
    </row>
    <row r="46" spans="2:15" ht="69.95" hidden="1" customHeight="1" x14ac:dyDescent="0.2">
      <c r="B46" s="260">
        <v>45</v>
      </c>
      <c r="C46" s="260">
        <v>4</v>
      </c>
      <c r="D46" s="260" t="s">
        <v>4114</v>
      </c>
      <c r="E46" s="291" t="s">
        <v>4115</v>
      </c>
      <c r="F46" s="288">
        <v>5925000</v>
      </c>
      <c r="G46" s="304" t="s">
        <v>4039</v>
      </c>
      <c r="H46" s="261" t="s">
        <v>4116</v>
      </c>
      <c r="I46" s="260" t="s">
        <v>4110</v>
      </c>
      <c r="J46" s="260" t="s">
        <v>4039</v>
      </c>
      <c r="K46" s="262" t="s">
        <v>4117</v>
      </c>
      <c r="L46" s="322" t="s">
        <v>542</v>
      </c>
      <c r="M46" s="322" t="s">
        <v>4339</v>
      </c>
      <c r="N46" s="336" t="s">
        <v>4528</v>
      </c>
      <c r="O46" s="260">
        <v>52</v>
      </c>
    </row>
    <row r="47" spans="2:15" ht="69.95" hidden="1" customHeight="1" x14ac:dyDescent="0.2">
      <c r="B47" s="260">
        <v>46</v>
      </c>
      <c r="C47" s="260">
        <v>4</v>
      </c>
      <c r="D47" s="260" t="s">
        <v>4118</v>
      </c>
      <c r="E47" s="291" t="s">
        <v>4115</v>
      </c>
      <c r="F47" s="288">
        <v>5925000</v>
      </c>
      <c r="G47" s="304" t="s">
        <v>4039</v>
      </c>
      <c r="H47" s="261" t="s">
        <v>4119</v>
      </c>
      <c r="I47" s="260" t="s">
        <v>4110</v>
      </c>
      <c r="J47" s="260" t="s">
        <v>4039</v>
      </c>
      <c r="K47" s="262" t="s">
        <v>4120</v>
      </c>
      <c r="L47" s="322" t="s">
        <v>542</v>
      </c>
      <c r="M47" s="322" t="s">
        <v>4339</v>
      </c>
      <c r="N47" s="336" t="s">
        <v>4528</v>
      </c>
      <c r="O47" s="260">
        <v>52</v>
      </c>
    </row>
    <row r="48" spans="2:15" ht="69.95" hidden="1" customHeight="1" x14ac:dyDescent="0.2">
      <c r="B48" s="260">
        <v>47</v>
      </c>
      <c r="C48" s="260">
        <v>4</v>
      </c>
      <c r="D48" s="256" t="s">
        <v>4139</v>
      </c>
      <c r="E48" s="292" t="s">
        <v>4138</v>
      </c>
      <c r="F48" s="257">
        <v>577980144</v>
      </c>
      <c r="G48" s="304" t="s">
        <v>4039</v>
      </c>
      <c r="H48" s="256" t="s">
        <v>4148</v>
      </c>
      <c r="I48" s="256" t="s">
        <v>4137</v>
      </c>
      <c r="J48" s="256" t="s">
        <v>4039</v>
      </c>
      <c r="K48" s="259" t="s">
        <v>4149</v>
      </c>
      <c r="L48" s="322" t="s">
        <v>542</v>
      </c>
      <c r="M48" s="322" t="s">
        <v>4339</v>
      </c>
      <c r="N48" s="336" t="s">
        <v>4528</v>
      </c>
      <c r="O48" s="260">
        <v>52</v>
      </c>
    </row>
    <row r="49" spans="2:15" ht="69.95" hidden="1" customHeight="1" x14ac:dyDescent="0.2">
      <c r="B49" s="260">
        <v>48</v>
      </c>
      <c r="C49" s="260">
        <v>4</v>
      </c>
      <c r="D49" s="287" t="s">
        <v>4169</v>
      </c>
      <c r="E49" s="293" t="s">
        <v>4170</v>
      </c>
      <c r="F49" s="288">
        <v>11850000</v>
      </c>
      <c r="G49" s="304" t="s">
        <v>4039</v>
      </c>
      <c r="H49" s="287" t="s">
        <v>4171</v>
      </c>
      <c r="I49" s="287" t="s">
        <v>4172</v>
      </c>
      <c r="J49" s="287" t="s">
        <v>4039</v>
      </c>
      <c r="K49" s="289" t="s">
        <v>4173</v>
      </c>
      <c r="L49" s="322" t="s">
        <v>542</v>
      </c>
      <c r="M49" s="322" t="s">
        <v>4339</v>
      </c>
      <c r="N49" s="336" t="s">
        <v>4528</v>
      </c>
      <c r="O49" s="260">
        <v>52</v>
      </c>
    </row>
    <row r="50" spans="2:15" ht="69.95" hidden="1" customHeight="1" x14ac:dyDescent="0.2">
      <c r="B50" s="260">
        <v>49</v>
      </c>
      <c r="C50" s="260">
        <v>4</v>
      </c>
      <c r="D50" s="287" t="s">
        <v>4180</v>
      </c>
      <c r="E50" s="293" t="s">
        <v>4170</v>
      </c>
      <c r="F50" s="288">
        <v>11850000</v>
      </c>
      <c r="G50" s="304" t="s">
        <v>4039</v>
      </c>
      <c r="H50" s="287" t="s">
        <v>4181</v>
      </c>
      <c r="I50" s="287" t="s">
        <v>4172</v>
      </c>
      <c r="J50" s="287" t="s">
        <v>4039</v>
      </c>
      <c r="K50" s="289" t="s">
        <v>4182</v>
      </c>
      <c r="L50" s="322" t="s">
        <v>542</v>
      </c>
      <c r="M50" s="322" t="s">
        <v>4339</v>
      </c>
      <c r="N50" s="336" t="s">
        <v>4528</v>
      </c>
      <c r="O50" s="260">
        <v>52</v>
      </c>
    </row>
    <row r="51" spans="2:15" ht="69.95" hidden="1" customHeight="1" x14ac:dyDescent="0.2">
      <c r="B51" s="260">
        <v>50</v>
      </c>
      <c r="C51" s="260">
        <v>4</v>
      </c>
      <c r="D51" s="256" t="s">
        <v>4292</v>
      </c>
      <c r="E51" s="292" t="s">
        <v>4279</v>
      </c>
      <c r="F51" s="257">
        <v>5925000</v>
      </c>
      <c r="G51" s="304" t="s">
        <v>4039</v>
      </c>
      <c r="H51" s="256" t="s">
        <v>4293</v>
      </c>
      <c r="I51" s="256" t="s">
        <v>4281</v>
      </c>
      <c r="J51" s="256" t="s">
        <v>4039</v>
      </c>
      <c r="K51" s="259" t="s">
        <v>4294</v>
      </c>
      <c r="L51" s="322" t="s">
        <v>542</v>
      </c>
      <c r="M51" s="322" t="s">
        <v>4339</v>
      </c>
      <c r="N51" s="336" t="s">
        <v>4528</v>
      </c>
      <c r="O51" s="260">
        <v>52</v>
      </c>
    </row>
    <row r="52" spans="2:15" ht="69.95" hidden="1" customHeight="1" x14ac:dyDescent="0.2">
      <c r="B52" s="260">
        <v>51</v>
      </c>
      <c r="C52" s="260">
        <v>4</v>
      </c>
      <c r="D52" s="287" t="s">
        <v>4177</v>
      </c>
      <c r="E52" s="293" t="s">
        <v>4170</v>
      </c>
      <c r="F52" s="288">
        <v>17775000</v>
      </c>
      <c r="G52" s="304" t="s">
        <v>4039</v>
      </c>
      <c r="H52" s="287" t="s">
        <v>4178</v>
      </c>
      <c r="I52" s="287" t="s">
        <v>4172</v>
      </c>
      <c r="J52" s="287" t="s">
        <v>4039</v>
      </c>
      <c r="K52" s="289" t="s">
        <v>4179</v>
      </c>
      <c r="L52" s="322" t="s">
        <v>542</v>
      </c>
      <c r="M52" s="322" t="s">
        <v>4339</v>
      </c>
      <c r="N52" s="336" t="s">
        <v>4528</v>
      </c>
      <c r="O52" s="260">
        <v>52</v>
      </c>
    </row>
    <row r="53" spans="2:15" ht="69.95" hidden="1" customHeight="1" x14ac:dyDescent="0.2">
      <c r="B53" s="260">
        <v>52</v>
      </c>
      <c r="C53" s="260">
        <v>4</v>
      </c>
      <c r="D53" s="287" t="s">
        <v>4174</v>
      </c>
      <c r="E53" s="293" t="s">
        <v>4170</v>
      </c>
      <c r="F53" s="288">
        <v>11850000</v>
      </c>
      <c r="G53" s="304" t="s">
        <v>4039</v>
      </c>
      <c r="H53" s="287" t="s">
        <v>4175</v>
      </c>
      <c r="I53" s="287" t="s">
        <v>4172</v>
      </c>
      <c r="J53" s="287" t="s">
        <v>4039</v>
      </c>
      <c r="K53" s="289" t="s">
        <v>4176</v>
      </c>
      <c r="L53" s="322" t="s">
        <v>542</v>
      </c>
      <c r="M53" s="322" t="s">
        <v>4339</v>
      </c>
      <c r="N53" s="336" t="s">
        <v>4528</v>
      </c>
      <c r="O53" s="260">
        <v>52</v>
      </c>
    </row>
    <row r="54" spans="2:15" ht="69.95" hidden="1" customHeight="1" x14ac:dyDescent="0.2">
      <c r="B54" s="260">
        <v>53</v>
      </c>
      <c r="C54" s="260">
        <v>4</v>
      </c>
      <c r="D54" s="287" t="s">
        <v>4183</v>
      </c>
      <c r="E54" s="293" t="s">
        <v>4170</v>
      </c>
      <c r="F54" s="288">
        <v>58805004</v>
      </c>
      <c r="G54" s="304" t="s">
        <v>4039</v>
      </c>
      <c r="H54" s="287" t="s">
        <v>4184</v>
      </c>
      <c r="I54" s="287" t="s">
        <v>4172</v>
      </c>
      <c r="J54" s="287" t="s">
        <v>4039</v>
      </c>
      <c r="K54" s="289" t="s">
        <v>4185</v>
      </c>
      <c r="L54" s="322" t="s">
        <v>542</v>
      </c>
      <c r="M54" s="322" t="s">
        <v>4339</v>
      </c>
      <c r="N54" s="336" t="s">
        <v>4528</v>
      </c>
      <c r="O54" s="260">
        <v>52</v>
      </c>
    </row>
    <row r="55" spans="2:15" ht="69.95" hidden="1" customHeight="1" x14ac:dyDescent="0.2">
      <c r="B55" s="260">
        <v>54</v>
      </c>
      <c r="C55" s="260">
        <v>4</v>
      </c>
      <c r="D55" s="256" t="s">
        <v>4295</v>
      </c>
      <c r="E55" s="292" t="s">
        <v>4279</v>
      </c>
      <c r="F55" s="257">
        <v>11850000</v>
      </c>
      <c r="G55" s="304" t="s">
        <v>4039</v>
      </c>
      <c r="H55" s="256" t="s">
        <v>4296</v>
      </c>
      <c r="I55" s="256" t="s">
        <v>4281</v>
      </c>
      <c r="J55" s="256" t="s">
        <v>4039</v>
      </c>
      <c r="K55" s="259" t="s">
        <v>4297</v>
      </c>
      <c r="L55" s="322" t="s">
        <v>542</v>
      </c>
      <c r="M55" s="322" t="s">
        <v>4339</v>
      </c>
      <c r="N55" s="336" t="s">
        <v>4528</v>
      </c>
      <c r="O55" s="260">
        <v>52</v>
      </c>
    </row>
    <row r="56" spans="2:15" ht="69.95" hidden="1" customHeight="1" x14ac:dyDescent="0.2">
      <c r="B56" s="260">
        <v>35</v>
      </c>
      <c r="C56" s="260">
        <v>4</v>
      </c>
      <c r="D56" s="256" t="s">
        <v>4239</v>
      </c>
      <c r="E56" s="292" t="s">
        <v>4240</v>
      </c>
      <c r="F56" s="257">
        <v>206653906</v>
      </c>
      <c r="G56" s="305" t="s">
        <v>4191</v>
      </c>
      <c r="H56" s="287" t="s">
        <v>4241</v>
      </c>
      <c r="I56" s="256" t="s">
        <v>4065</v>
      </c>
      <c r="J56" s="256" t="s">
        <v>4053</v>
      </c>
      <c r="K56" s="259" t="s">
        <v>4242</v>
      </c>
      <c r="L56" s="322" t="s">
        <v>576</v>
      </c>
      <c r="M56" s="322" t="s">
        <v>4340</v>
      </c>
      <c r="N56" s="336" t="s">
        <v>4529</v>
      </c>
      <c r="O56" s="260">
        <v>51</v>
      </c>
    </row>
    <row r="57" spans="2:15" ht="69.95" hidden="1" customHeight="1" x14ac:dyDescent="0.2">
      <c r="B57" s="260">
        <v>36</v>
      </c>
      <c r="C57" s="260">
        <v>4</v>
      </c>
      <c r="D57" s="256" t="s">
        <v>4217</v>
      </c>
      <c r="E57" s="292" t="s">
        <v>4218</v>
      </c>
      <c r="F57" s="257">
        <v>633328</v>
      </c>
      <c r="G57" s="305" t="s">
        <v>4219</v>
      </c>
      <c r="H57" s="287" t="s">
        <v>4220</v>
      </c>
      <c r="I57" s="256" t="s">
        <v>4218</v>
      </c>
      <c r="J57" s="256" t="s">
        <v>4039</v>
      </c>
      <c r="K57" s="259" t="s">
        <v>4221</v>
      </c>
      <c r="L57" s="322" t="s">
        <v>576</v>
      </c>
      <c r="M57" s="322" t="s">
        <v>4340</v>
      </c>
      <c r="N57" s="336" t="s">
        <v>4529</v>
      </c>
      <c r="O57" s="260">
        <v>51</v>
      </c>
    </row>
    <row r="58" spans="2:15" ht="69.95" hidden="1" customHeight="1" x14ac:dyDescent="0.2">
      <c r="B58" s="260">
        <v>37</v>
      </c>
      <c r="C58" s="260">
        <v>4</v>
      </c>
      <c r="D58" s="256" t="s">
        <v>4222</v>
      </c>
      <c r="E58" s="292" t="s">
        <v>4218</v>
      </c>
      <c r="F58" s="257">
        <v>3233276</v>
      </c>
      <c r="G58" s="305" t="s">
        <v>4223</v>
      </c>
      <c r="H58" s="287" t="s">
        <v>4224</v>
      </c>
      <c r="I58" s="256" t="s">
        <v>4218</v>
      </c>
      <c r="J58" s="256" t="s">
        <v>4039</v>
      </c>
      <c r="K58" s="259" t="s">
        <v>4225</v>
      </c>
      <c r="L58" s="322" t="s">
        <v>576</v>
      </c>
      <c r="M58" s="322" t="s">
        <v>4340</v>
      </c>
      <c r="N58" s="336" t="s">
        <v>4529</v>
      </c>
      <c r="O58" s="260">
        <v>51</v>
      </c>
    </row>
    <row r="59" spans="2:15" ht="69.95" hidden="1" customHeight="1" x14ac:dyDescent="0.2">
      <c r="B59" s="260">
        <v>38</v>
      </c>
      <c r="C59" s="260">
        <v>4</v>
      </c>
      <c r="D59" s="256" t="s">
        <v>4211</v>
      </c>
      <c r="E59" s="292" t="s">
        <v>4206</v>
      </c>
      <c r="F59" s="257">
        <v>595000</v>
      </c>
      <c r="G59" s="305" t="s">
        <v>4207</v>
      </c>
      <c r="H59" s="287" t="s">
        <v>4212</v>
      </c>
      <c r="I59" s="256" t="s">
        <v>4209</v>
      </c>
      <c r="J59" s="256" t="s">
        <v>4039</v>
      </c>
      <c r="K59" s="259" t="s">
        <v>4213</v>
      </c>
      <c r="L59" s="322" t="s">
        <v>576</v>
      </c>
      <c r="M59" s="322" t="s">
        <v>4340</v>
      </c>
      <c r="N59" s="336" t="s">
        <v>4529</v>
      </c>
      <c r="O59" s="260">
        <v>51</v>
      </c>
    </row>
    <row r="60" spans="2:15" ht="69.95" hidden="1" customHeight="1" x14ac:dyDescent="0.2">
      <c r="B60" s="260">
        <v>39</v>
      </c>
      <c r="C60" s="260">
        <v>4</v>
      </c>
      <c r="D60" s="256" t="s">
        <v>4214</v>
      </c>
      <c r="E60" s="292" t="s">
        <v>4206</v>
      </c>
      <c r="F60" s="257">
        <v>239665141</v>
      </c>
      <c r="G60" s="305" t="s">
        <v>4039</v>
      </c>
      <c r="H60" s="287" t="s">
        <v>4215</v>
      </c>
      <c r="I60" s="256" t="s">
        <v>4209</v>
      </c>
      <c r="J60" s="256" t="s">
        <v>4039</v>
      </c>
      <c r="K60" s="259" t="s">
        <v>4216</v>
      </c>
      <c r="L60" s="322" t="s">
        <v>576</v>
      </c>
      <c r="M60" s="322" t="s">
        <v>4340</v>
      </c>
      <c r="N60" s="336" t="s">
        <v>4529</v>
      </c>
      <c r="O60" s="260">
        <v>51</v>
      </c>
    </row>
    <row r="61" spans="2:15" ht="69.95" hidden="1" customHeight="1" x14ac:dyDescent="0.2">
      <c r="B61" s="260">
        <v>40</v>
      </c>
      <c r="C61" s="260">
        <v>4</v>
      </c>
      <c r="D61" s="256" t="s">
        <v>4205</v>
      </c>
      <c r="E61" s="292" t="s">
        <v>4206</v>
      </c>
      <c r="F61" s="257">
        <v>26735000</v>
      </c>
      <c r="G61" s="305" t="s">
        <v>4207</v>
      </c>
      <c r="H61" s="287" t="s">
        <v>4208</v>
      </c>
      <c r="I61" s="256" t="s">
        <v>4209</v>
      </c>
      <c r="J61" s="256" t="s">
        <v>4039</v>
      </c>
      <c r="K61" s="259" t="s">
        <v>4210</v>
      </c>
      <c r="L61" s="322" t="s">
        <v>576</v>
      </c>
      <c r="M61" s="322" t="s">
        <v>4340</v>
      </c>
      <c r="N61" s="336" t="s">
        <v>4529</v>
      </c>
      <c r="O61" s="260">
        <v>51</v>
      </c>
    </row>
    <row r="62" spans="2:15" ht="69.95" hidden="1" customHeight="1" x14ac:dyDescent="0.2">
      <c r="B62" s="260">
        <v>41</v>
      </c>
      <c r="C62" s="260">
        <v>4</v>
      </c>
      <c r="D62" s="256" t="s">
        <v>4202</v>
      </c>
      <c r="E62" s="292" t="s">
        <v>4138</v>
      </c>
      <c r="F62" s="257">
        <v>208979992</v>
      </c>
      <c r="G62" s="305" t="s">
        <v>4199</v>
      </c>
      <c r="H62" s="287" t="s">
        <v>4203</v>
      </c>
      <c r="I62" s="256" t="s">
        <v>4137</v>
      </c>
      <c r="J62" s="256" t="s">
        <v>4053</v>
      </c>
      <c r="K62" s="259" t="s">
        <v>4204</v>
      </c>
      <c r="L62" s="322" t="s">
        <v>576</v>
      </c>
      <c r="M62" s="322" t="s">
        <v>4340</v>
      </c>
      <c r="N62" s="336" t="s">
        <v>4529</v>
      </c>
      <c r="O62" s="260">
        <v>51</v>
      </c>
    </row>
    <row r="63" spans="2:15" ht="69.95" hidden="1" customHeight="1" x14ac:dyDescent="0.2">
      <c r="B63" s="260">
        <v>42</v>
      </c>
      <c r="C63" s="260">
        <v>4</v>
      </c>
      <c r="D63" s="256" t="s">
        <v>4198</v>
      </c>
      <c r="E63" s="292" t="s">
        <v>4138</v>
      </c>
      <c r="F63" s="257">
        <v>3233300</v>
      </c>
      <c r="G63" s="305" t="s">
        <v>4199</v>
      </c>
      <c r="H63" s="287" t="s">
        <v>4200</v>
      </c>
      <c r="I63" s="256" t="s">
        <v>4137</v>
      </c>
      <c r="J63" s="256" t="s">
        <v>4053</v>
      </c>
      <c r="K63" s="259" t="s">
        <v>4201</v>
      </c>
      <c r="L63" s="322" t="s">
        <v>576</v>
      </c>
      <c r="M63" s="322" t="s">
        <v>4340</v>
      </c>
      <c r="N63" s="336" t="s">
        <v>4529</v>
      </c>
      <c r="O63" s="260">
        <v>51</v>
      </c>
    </row>
    <row r="64" spans="2:15" ht="69.95" hidden="1" customHeight="1" x14ac:dyDescent="0.2">
      <c r="B64" s="260">
        <v>43</v>
      </c>
      <c r="C64" s="260">
        <v>4</v>
      </c>
      <c r="D64" s="256" t="s">
        <v>4194</v>
      </c>
      <c r="E64" s="292" t="s">
        <v>4172</v>
      </c>
      <c r="F64" s="257">
        <v>121465086</v>
      </c>
      <c r="G64" s="305" t="s">
        <v>4195</v>
      </c>
      <c r="H64" s="287" t="s">
        <v>4196</v>
      </c>
      <c r="I64" s="256" t="s">
        <v>4138</v>
      </c>
      <c r="J64" s="256" t="s">
        <v>4039</v>
      </c>
      <c r="K64" s="259" t="s">
        <v>4197</v>
      </c>
      <c r="L64" s="322" t="s">
        <v>576</v>
      </c>
      <c r="M64" s="322" t="s">
        <v>4340</v>
      </c>
      <c r="N64" s="336" t="s">
        <v>4529</v>
      </c>
      <c r="O64" s="260">
        <v>51</v>
      </c>
    </row>
    <row r="65" spans="2:15" ht="69.95" hidden="1" customHeight="1" x14ac:dyDescent="0.2">
      <c r="B65" s="260">
        <v>55</v>
      </c>
      <c r="C65" s="260">
        <v>4</v>
      </c>
      <c r="D65" s="260" t="s">
        <v>4083</v>
      </c>
      <c r="E65" s="291" t="s">
        <v>4084</v>
      </c>
      <c r="F65" s="288">
        <f>6840000+360000</f>
        <v>7200000</v>
      </c>
      <c r="G65" s="301" t="s">
        <v>4039</v>
      </c>
      <c r="H65" s="260" t="s">
        <v>4085</v>
      </c>
      <c r="I65" s="260" t="s">
        <v>4084</v>
      </c>
      <c r="J65" s="260" t="s">
        <v>4039</v>
      </c>
      <c r="K65" s="262" t="s">
        <v>4086</v>
      </c>
      <c r="L65" s="322" t="s">
        <v>535</v>
      </c>
      <c r="M65" s="322" t="s">
        <v>4372</v>
      </c>
      <c r="N65" s="336"/>
      <c r="O65" s="260">
        <v>52</v>
      </c>
    </row>
    <row r="66" spans="2:15" ht="69.95" customHeight="1" x14ac:dyDescent="0.2">
      <c r="B66" s="260">
        <v>56</v>
      </c>
      <c r="C66" s="260">
        <v>4</v>
      </c>
      <c r="D66" s="260" t="s">
        <v>4106</v>
      </c>
      <c r="E66" s="291" t="s">
        <v>4084</v>
      </c>
      <c r="F66" s="288">
        <v>63640000</v>
      </c>
      <c r="G66" s="300" t="s">
        <v>4036</v>
      </c>
      <c r="H66" s="261" t="s">
        <v>4107</v>
      </c>
      <c r="I66" s="260" t="s">
        <v>4084</v>
      </c>
      <c r="J66" s="260" t="s">
        <v>4039</v>
      </c>
      <c r="K66" s="262" t="s">
        <v>4108</v>
      </c>
      <c r="L66" s="322" t="s">
        <v>576</v>
      </c>
      <c r="M66" s="322" t="s">
        <v>4338</v>
      </c>
      <c r="N66" s="336" t="s">
        <v>4530</v>
      </c>
      <c r="O66" s="260">
        <v>52</v>
      </c>
    </row>
    <row r="67" spans="2:15" ht="69.95" hidden="1" customHeight="1" x14ac:dyDescent="0.2">
      <c r="B67" s="260">
        <v>57</v>
      </c>
      <c r="C67" s="260">
        <v>4</v>
      </c>
      <c r="D67" s="260" t="s">
        <v>4121</v>
      </c>
      <c r="E67" s="291" t="s">
        <v>4115</v>
      </c>
      <c r="F67" s="288">
        <v>6060000</v>
      </c>
      <c r="G67" s="301" t="s">
        <v>4039</v>
      </c>
      <c r="H67" s="261" t="s">
        <v>4122</v>
      </c>
      <c r="I67" s="260" t="s">
        <v>4110</v>
      </c>
      <c r="J67" s="260" t="s">
        <v>4039</v>
      </c>
      <c r="K67" s="262" t="s">
        <v>4123</v>
      </c>
      <c r="L67" s="322" t="s">
        <v>531</v>
      </c>
      <c r="M67" s="322" t="s">
        <v>4373</v>
      </c>
      <c r="N67" s="336"/>
      <c r="O67" s="260">
        <v>52</v>
      </c>
    </row>
    <row r="68" spans="2:15" ht="69.95" hidden="1" customHeight="1" x14ac:dyDescent="0.2">
      <c r="B68" s="260">
        <v>58</v>
      </c>
      <c r="C68" s="260">
        <v>4</v>
      </c>
      <c r="D68" s="260" t="s">
        <v>4124</v>
      </c>
      <c r="E68" s="291" t="s">
        <v>4115</v>
      </c>
      <c r="F68" s="288">
        <v>1800000</v>
      </c>
      <c r="G68" s="301" t="s">
        <v>4039</v>
      </c>
      <c r="H68" s="261" t="s">
        <v>4125</v>
      </c>
      <c r="I68" s="260" t="s">
        <v>4110</v>
      </c>
      <c r="J68" s="260" t="s">
        <v>4039</v>
      </c>
      <c r="K68" s="262" t="s">
        <v>4126</v>
      </c>
      <c r="L68" s="322" t="s">
        <v>531</v>
      </c>
      <c r="M68" s="322" t="s">
        <v>4374</v>
      </c>
      <c r="N68" s="336"/>
      <c r="O68" s="260">
        <v>52</v>
      </c>
    </row>
    <row r="69" spans="2:15" ht="69.95" hidden="1" customHeight="1" x14ac:dyDescent="0.2">
      <c r="B69" s="260">
        <v>59</v>
      </c>
      <c r="C69" s="260">
        <v>4</v>
      </c>
      <c r="D69" s="260" t="s">
        <v>4127</v>
      </c>
      <c r="E69" s="291" t="s">
        <v>4115</v>
      </c>
      <c r="F69" s="288">
        <v>6320000</v>
      </c>
      <c r="G69" s="301" t="s">
        <v>4039</v>
      </c>
      <c r="H69" s="261" t="s">
        <v>4128</v>
      </c>
      <c r="I69" s="260" t="s">
        <v>4110</v>
      </c>
      <c r="J69" s="260" t="s">
        <v>4039</v>
      </c>
      <c r="K69" s="262" t="s">
        <v>4129</v>
      </c>
      <c r="L69" s="322" t="s">
        <v>535</v>
      </c>
      <c r="M69" s="322" t="s">
        <v>4375</v>
      </c>
      <c r="N69" s="336"/>
      <c r="O69" s="260">
        <v>52</v>
      </c>
    </row>
    <row r="70" spans="2:15" ht="69.95" hidden="1" customHeight="1" x14ac:dyDescent="0.2">
      <c r="B70" s="260">
        <v>60</v>
      </c>
      <c r="C70" s="260">
        <v>4</v>
      </c>
      <c r="D70" s="260" t="s">
        <v>4130</v>
      </c>
      <c r="E70" s="291" t="s">
        <v>4115</v>
      </c>
      <c r="F70" s="288">
        <v>3570000</v>
      </c>
      <c r="G70" s="301" t="s">
        <v>4039</v>
      </c>
      <c r="H70" s="261" t="s">
        <v>4131</v>
      </c>
      <c r="I70" s="260" t="s">
        <v>4110</v>
      </c>
      <c r="J70" s="260" t="s">
        <v>4039</v>
      </c>
      <c r="K70" s="262" t="s">
        <v>4132</v>
      </c>
      <c r="L70" s="322" t="s">
        <v>542</v>
      </c>
      <c r="M70" s="322" t="s">
        <v>4339</v>
      </c>
      <c r="N70" s="336"/>
      <c r="O70" s="260">
        <v>52</v>
      </c>
    </row>
    <row r="71" spans="2:15" ht="69.95" hidden="1" customHeight="1" x14ac:dyDescent="0.2">
      <c r="B71" s="260">
        <v>61</v>
      </c>
      <c r="C71" s="260">
        <v>4</v>
      </c>
      <c r="D71" s="260" t="s">
        <v>4133</v>
      </c>
      <c r="E71" s="291" t="s">
        <v>4115</v>
      </c>
      <c r="F71" s="288">
        <v>1040000</v>
      </c>
      <c r="G71" s="301" t="s">
        <v>4039</v>
      </c>
      <c r="H71" s="261" t="s">
        <v>4134</v>
      </c>
      <c r="I71" s="260" t="s">
        <v>4110</v>
      </c>
      <c r="J71" s="260" t="s">
        <v>4039</v>
      </c>
      <c r="K71" s="262" t="s">
        <v>4135</v>
      </c>
      <c r="L71" s="322" t="s">
        <v>531</v>
      </c>
      <c r="M71" s="322" t="s">
        <v>4374</v>
      </c>
      <c r="N71" s="336"/>
      <c r="O71" s="260">
        <v>52</v>
      </c>
    </row>
    <row r="72" spans="2:15" ht="69.95" hidden="1" customHeight="1" x14ac:dyDescent="0.2">
      <c r="B72" s="260">
        <v>62</v>
      </c>
      <c r="C72" s="260">
        <v>4</v>
      </c>
      <c r="D72" s="256" t="s">
        <v>4136</v>
      </c>
      <c r="E72" s="292" t="s">
        <v>4138</v>
      </c>
      <c r="F72" s="257">
        <v>8760000</v>
      </c>
      <c r="G72" s="301" t="s">
        <v>4039</v>
      </c>
      <c r="H72" s="256" t="s">
        <v>4146</v>
      </c>
      <c r="I72" s="256" t="s">
        <v>4137</v>
      </c>
      <c r="J72" s="256" t="s">
        <v>4039</v>
      </c>
      <c r="K72" s="259" t="s">
        <v>4147</v>
      </c>
      <c r="L72" s="322" t="s">
        <v>542</v>
      </c>
      <c r="M72" s="322" t="s">
        <v>4376</v>
      </c>
      <c r="N72" s="336"/>
      <c r="O72" s="260">
        <v>52</v>
      </c>
    </row>
    <row r="73" spans="2:15" ht="69.95" hidden="1" customHeight="1" x14ac:dyDescent="0.2">
      <c r="B73" s="260">
        <v>63</v>
      </c>
      <c r="C73" s="260">
        <v>4</v>
      </c>
      <c r="D73" s="256" t="s">
        <v>4143</v>
      </c>
      <c r="E73" s="292" t="s">
        <v>4138</v>
      </c>
      <c r="F73" s="257">
        <v>4980000</v>
      </c>
      <c r="G73" s="301" t="s">
        <v>4039</v>
      </c>
      <c r="H73" s="256" t="s">
        <v>4156</v>
      </c>
      <c r="I73" s="256" t="s">
        <v>4137</v>
      </c>
      <c r="J73" s="256" t="s">
        <v>4039</v>
      </c>
      <c r="K73" s="259" t="s">
        <v>4157</v>
      </c>
      <c r="L73" s="322" t="s">
        <v>542</v>
      </c>
      <c r="M73" s="322" t="s">
        <v>4376</v>
      </c>
      <c r="N73" s="336"/>
      <c r="O73" s="260">
        <v>52</v>
      </c>
    </row>
    <row r="74" spans="2:15" ht="69.95" customHeight="1" x14ac:dyDescent="0.2">
      <c r="B74" s="260">
        <v>64</v>
      </c>
      <c r="C74" s="260">
        <v>4</v>
      </c>
      <c r="D74" s="256" t="s">
        <v>4140</v>
      </c>
      <c r="E74" s="292" t="s">
        <v>4138</v>
      </c>
      <c r="F74" s="257">
        <v>34977460</v>
      </c>
      <c r="G74" s="301" t="s">
        <v>4039</v>
      </c>
      <c r="H74" s="256" t="s">
        <v>4150</v>
      </c>
      <c r="I74" s="256" t="s">
        <v>4137</v>
      </c>
      <c r="J74" s="256" t="s">
        <v>4039</v>
      </c>
      <c r="K74" s="259" t="s">
        <v>4151</v>
      </c>
      <c r="L74" s="322" t="s">
        <v>576</v>
      </c>
      <c r="M74" s="322" t="s">
        <v>4338</v>
      </c>
      <c r="N74" s="336"/>
      <c r="O74" s="260">
        <v>52</v>
      </c>
    </row>
    <row r="75" spans="2:15" ht="69.95" hidden="1" customHeight="1" x14ac:dyDescent="0.2">
      <c r="B75" s="260">
        <v>65</v>
      </c>
      <c r="C75" s="260">
        <v>4</v>
      </c>
      <c r="D75" s="256" t="s">
        <v>4141</v>
      </c>
      <c r="E75" s="292" t="s">
        <v>4138</v>
      </c>
      <c r="F75" s="257">
        <v>5656000</v>
      </c>
      <c r="G75" s="301" t="s">
        <v>4039</v>
      </c>
      <c r="H75" s="256" t="s">
        <v>4152</v>
      </c>
      <c r="I75" s="256" t="s">
        <v>4137</v>
      </c>
      <c r="J75" s="256" t="s">
        <v>4039</v>
      </c>
      <c r="K75" s="259" t="s">
        <v>4153</v>
      </c>
      <c r="L75" s="322" t="s">
        <v>531</v>
      </c>
      <c r="M75" s="322" t="s">
        <v>4373</v>
      </c>
      <c r="N75" s="336"/>
      <c r="O75" s="260">
        <v>52</v>
      </c>
    </row>
    <row r="76" spans="2:15" ht="69.95" hidden="1" customHeight="1" x14ac:dyDescent="0.2">
      <c r="B76" s="260">
        <v>66</v>
      </c>
      <c r="C76" s="260">
        <v>4</v>
      </c>
      <c r="D76" s="256" t="s">
        <v>4162</v>
      </c>
      <c r="E76" s="292" t="s">
        <v>4138</v>
      </c>
      <c r="F76" s="257">
        <v>6180000</v>
      </c>
      <c r="G76" s="301" t="s">
        <v>4039</v>
      </c>
      <c r="H76" s="256" t="s">
        <v>4164</v>
      </c>
      <c r="I76" s="256" t="s">
        <v>4137</v>
      </c>
      <c r="J76" s="256" t="s">
        <v>4039</v>
      </c>
      <c r="K76" s="259" t="s">
        <v>4165</v>
      </c>
      <c r="L76" s="322" t="s">
        <v>535</v>
      </c>
      <c r="M76" s="322" t="s">
        <v>4372</v>
      </c>
      <c r="N76" s="336"/>
      <c r="O76" s="260">
        <v>52</v>
      </c>
    </row>
    <row r="77" spans="2:15" ht="69.95" hidden="1" customHeight="1" x14ac:dyDescent="0.2">
      <c r="B77" s="260">
        <v>67</v>
      </c>
      <c r="C77" s="260">
        <v>4</v>
      </c>
      <c r="D77" s="256" t="s">
        <v>4142</v>
      </c>
      <c r="E77" s="292" t="s">
        <v>4138</v>
      </c>
      <c r="F77" s="257">
        <v>5900000</v>
      </c>
      <c r="G77" s="301" t="s">
        <v>4039</v>
      </c>
      <c r="H77" s="256" t="s">
        <v>4154</v>
      </c>
      <c r="I77" s="256" t="s">
        <v>4137</v>
      </c>
      <c r="J77" s="256" t="s">
        <v>4039</v>
      </c>
      <c r="K77" s="259" t="s">
        <v>4155</v>
      </c>
      <c r="L77" s="322" t="s">
        <v>542</v>
      </c>
      <c r="M77" s="322" t="s">
        <v>4339</v>
      </c>
      <c r="N77" s="336"/>
      <c r="O77" s="260">
        <v>52</v>
      </c>
    </row>
    <row r="78" spans="2:15" ht="69.95" hidden="1" customHeight="1" x14ac:dyDescent="0.2">
      <c r="B78" s="260">
        <v>68</v>
      </c>
      <c r="C78" s="260">
        <v>4</v>
      </c>
      <c r="D78" s="256" t="s">
        <v>4144</v>
      </c>
      <c r="E78" s="292" t="s">
        <v>4138</v>
      </c>
      <c r="F78" s="257">
        <v>6330000</v>
      </c>
      <c r="G78" s="301" t="s">
        <v>4039</v>
      </c>
      <c r="H78" s="256" t="s">
        <v>4158</v>
      </c>
      <c r="I78" s="256" t="s">
        <v>4137</v>
      </c>
      <c r="J78" s="256" t="s">
        <v>4039</v>
      </c>
      <c r="K78" s="259" t="s">
        <v>4159</v>
      </c>
      <c r="L78" s="322" t="s">
        <v>542</v>
      </c>
      <c r="M78" s="322" t="s">
        <v>4339</v>
      </c>
      <c r="N78" s="336"/>
      <c r="O78" s="260">
        <v>52</v>
      </c>
    </row>
    <row r="79" spans="2:15" ht="69.95" hidden="1" customHeight="1" x14ac:dyDescent="0.2">
      <c r="B79" s="260">
        <v>69</v>
      </c>
      <c r="C79" s="260">
        <v>4</v>
      </c>
      <c r="D79" s="256" t="s">
        <v>4145</v>
      </c>
      <c r="E79" s="292" t="s">
        <v>4138</v>
      </c>
      <c r="F79" s="257">
        <v>75325796</v>
      </c>
      <c r="G79" s="302" t="s">
        <v>3839</v>
      </c>
      <c r="H79" s="256" t="s">
        <v>4160</v>
      </c>
      <c r="I79" s="256" t="s">
        <v>4137</v>
      </c>
      <c r="J79" s="256" t="s">
        <v>4039</v>
      </c>
      <c r="K79" s="259" t="s">
        <v>4161</v>
      </c>
      <c r="L79" s="322"/>
      <c r="M79" s="322"/>
      <c r="N79" s="336"/>
      <c r="O79" s="260">
        <v>52</v>
      </c>
    </row>
    <row r="80" spans="2:15" ht="69.95" hidden="1" customHeight="1" x14ac:dyDescent="0.2">
      <c r="B80" s="260">
        <v>70</v>
      </c>
      <c r="C80" s="260">
        <v>4</v>
      </c>
      <c r="D80" s="256" t="s">
        <v>4163</v>
      </c>
      <c r="E80" s="292" t="s">
        <v>4138</v>
      </c>
      <c r="F80" s="257">
        <v>19929200</v>
      </c>
      <c r="G80" s="302" t="s">
        <v>3839</v>
      </c>
      <c r="H80" s="256" t="s">
        <v>4166</v>
      </c>
      <c r="I80" s="256" t="s">
        <v>4137</v>
      </c>
      <c r="J80" s="256" t="s">
        <v>4039</v>
      </c>
      <c r="K80" s="259" t="s">
        <v>4167</v>
      </c>
      <c r="L80" s="322"/>
      <c r="M80" s="322"/>
      <c r="N80" s="336"/>
      <c r="O80" s="260">
        <v>52</v>
      </c>
    </row>
    <row r="81" spans="2:15" ht="69.95" customHeight="1" x14ac:dyDescent="0.2">
      <c r="B81" s="260">
        <v>71</v>
      </c>
      <c r="C81" s="260">
        <v>4</v>
      </c>
      <c r="D81" s="256" t="s">
        <v>4330</v>
      </c>
      <c r="E81" s="292" t="s">
        <v>4300</v>
      </c>
      <c r="F81" s="288">
        <v>63640000</v>
      </c>
      <c r="G81" s="300" t="s">
        <v>4331</v>
      </c>
      <c r="H81" s="256" t="s">
        <v>4332</v>
      </c>
      <c r="I81" s="256" t="s">
        <v>4172</v>
      </c>
      <c r="J81" s="256" t="s">
        <v>4053</v>
      </c>
      <c r="K81" s="259" t="s">
        <v>4333</v>
      </c>
      <c r="L81" s="322" t="s">
        <v>576</v>
      </c>
      <c r="M81" s="322" t="s">
        <v>4338</v>
      </c>
      <c r="N81" s="336" t="s">
        <v>4530</v>
      </c>
      <c r="O81" s="260">
        <v>52</v>
      </c>
    </row>
    <row r="82" spans="2:15" ht="69.95" customHeight="1" x14ac:dyDescent="0.2">
      <c r="B82" s="260">
        <v>72</v>
      </c>
      <c r="C82" s="260">
        <v>4</v>
      </c>
      <c r="D82" s="256" t="s">
        <v>4298</v>
      </c>
      <c r="E82" s="292" t="s">
        <v>4279</v>
      </c>
      <c r="F82" s="257">
        <v>14352838</v>
      </c>
      <c r="G82" s="301" t="s">
        <v>4039</v>
      </c>
      <c r="H82" s="256" t="s">
        <v>4299</v>
      </c>
      <c r="I82" s="256" t="s">
        <v>4300</v>
      </c>
      <c r="J82" s="256" t="s">
        <v>4039</v>
      </c>
      <c r="K82" s="259" t="s">
        <v>4301</v>
      </c>
      <c r="L82" s="322" t="s">
        <v>576</v>
      </c>
      <c r="M82" s="322" t="s">
        <v>4338</v>
      </c>
      <c r="N82" s="336"/>
      <c r="O82" s="260">
        <v>52</v>
      </c>
    </row>
    <row r="83" spans="2:15" ht="69.95" customHeight="1" x14ac:dyDescent="0.2">
      <c r="B83" s="260">
        <v>73</v>
      </c>
      <c r="C83" s="260">
        <v>4</v>
      </c>
      <c r="D83" s="256" t="s">
        <v>4302</v>
      </c>
      <c r="E83" s="292" t="s">
        <v>4279</v>
      </c>
      <c r="F83" s="257">
        <v>3712700</v>
      </c>
      <c r="G83" s="301" t="s">
        <v>4039</v>
      </c>
      <c r="H83" s="256" t="s">
        <v>4303</v>
      </c>
      <c r="I83" s="256" t="s">
        <v>4281</v>
      </c>
      <c r="J83" s="256" t="s">
        <v>4039</v>
      </c>
      <c r="K83" s="259" t="s">
        <v>4304</v>
      </c>
      <c r="L83" s="322" t="s">
        <v>576</v>
      </c>
      <c r="M83" s="322" t="s">
        <v>4338</v>
      </c>
      <c r="N83" s="336"/>
      <c r="O83" s="260">
        <v>52</v>
      </c>
    </row>
    <row r="84" spans="2:15" ht="69.95" hidden="1" customHeight="1" x14ac:dyDescent="0.2">
      <c r="B84" s="260">
        <v>74</v>
      </c>
      <c r="C84" s="260">
        <v>4</v>
      </c>
      <c r="D84" s="256" t="s">
        <v>4286</v>
      </c>
      <c r="E84" s="292" t="s">
        <v>4279</v>
      </c>
      <c r="F84" s="257">
        <v>205000</v>
      </c>
      <c r="G84" s="301" t="s">
        <v>4039</v>
      </c>
      <c r="H84" s="256" t="s">
        <v>4287</v>
      </c>
      <c r="I84" s="256" t="s">
        <v>4281</v>
      </c>
      <c r="J84" s="256" t="s">
        <v>4039</v>
      </c>
      <c r="K84" s="259" t="s">
        <v>4288</v>
      </c>
      <c r="L84" s="322" t="s">
        <v>542</v>
      </c>
      <c r="M84" s="322" t="s">
        <v>4339</v>
      </c>
      <c r="N84" s="336"/>
      <c r="O84" s="260">
        <v>52</v>
      </c>
    </row>
    <row r="85" spans="2:15" ht="69.95" hidden="1" customHeight="1" x14ac:dyDescent="0.2">
      <c r="B85" s="260">
        <v>75</v>
      </c>
      <c r="C85" s="260">
        <v>4</v>
      </c>
      <c r="D85" s="256" t="s">
        <v>4283</v>
      </c>
      <c r="E85" s="292" t="s">
        <v>4279</v>
      </c>
      <c r="F85" s="257">
        <v>524500</v>
      </c>
      <c r="G85" s="301" t="s">
        <v>4039</v>
      </c>
      <c r="H85" s="256" t="s">
        <v>4284</v>
      </c>
      <c r="I85" s="256" t="s">
        <v>4281</v>
      </c>
      <c r="J85" s="256" t="s">
        <v>4039</v>
      </c>
      <c r="K85" s="259" t="s">
        <v>4285</v>
      </c>
      <c r="L85" s="322" t="s">
        <v>542</v>
      </c>
      <c r="M85" s="322" t="s">
        <v>4376</v>
      </c>
      <c r="N85" s="336"/>
      <c r="O85" s="260">
        <v>52</v>
      </c>
    </row>
    <row r="86" spans="2:15" ht="69.95" hidden="1" customHeight="1" x14ac:dyDescent="0.2">
      <c r="B86" s="260">
        <v>76</v>
      </c>
      <c r="C86" s="260">
        <v>4</v>
      </c>
      <c r="D86" s="256" t="s">
        <v>4278</v>
      </c>
      <c r="E86" s="292" t="s">
        <v>4279</v>
      </c>
      <c r="F86" s="257">
        <v>1790000</v>
      </c>
      <c r="G86" s="301" t="s">
        <v>4039</v>
      </c>
      <c r="H86" s="256" t="s">
        <v>4280</v>
      </c>
      <c r="I86" s="256" t="s">
        <v>4281</v>
      </c>
      <c r="J86" s="256" t="s">
        <v>4039</v>
      </c>
      <c r="K86" s="259" t="s">
        <v>4282</v>
      </c>
      <c r="L86" s="322" t="s">
        <v>542</v>
      </c>
      <c r="M86" s="322" t="s">
        <v>4376</v>
      </c>
      <c r="N86" s="336"/>
      <c r="O86" s="260">
        <v>52</v>
      </c>
    </row>
    <row r="87" spans="2:15" ht="69.95" hidden="1" customHeight="1" x14ac:dyDescent="0.2">
      <c r="B87" s="260">
        <v>77</v>
      </c>
      <c r="C87" s="260">
        <v>4</v>
      </c>
      <c r="D87" s="256" t="s">
        <v>4289</v>
      </c>
      <c r="E87" s="292" t="s">
        <v>4279</v>
      </c>
      <c r="F87" s="257">
        <v>1000000</v>
      </c>
      <c r="G87" s="301" t="s">
        <v>4039</v>
      </c>
      <c r="H87" s="256" t="s">
        <v>4290</v>
      </c>
      <c r="I87" s="256" t="s">
        <v>4281</v>
      </c>
      <c r="J87" s="256" t="s">
        <v>4039</v>
      </c>
      <c r="K87" s="259" t="s">
        <v>4291</v>
      </c>
      <c r="L87" s="322" t="s">
        <v>531</v>
      </c>
      <c r="M87" s="322" t="s">
        <v>4373</v>
      </c>
      <c r="N87" s="336"/>
      <c r="O87" s="260">
        <v>52</v>
      </c>
    </row>
    <row r="88" spans="2:15" ht="69.95" hidden="1" customHeight="1" x14ac:dyDescent="0.2">
      <c r="B88" s="260">
        <v>78</v>
      </c>
      <c r="C88" s="260">
        <v>5</v>
      </c>
      <c r="D88" s="256" t="s">
        <v>4189</v>
      </c>
      <c r="E88" s="292" t="s">
        <v>4190</v>
      </c>
      <c r="F88" s="257">
        <v>210863345</v>
      </c>
      <c r="G88" s="305" t="s">
        <v>4191</v>
      </c>
      <c r="H88" s="287" t="s">
        <v>4192</v>
      </c>
      <c r="I88" s="256" t="s">
        <v>4110</v>
      </c>
      <c r="J88" s="256" t="s">
        <v>4053</v>
      </c>
      <c r="K88" s="259" t="s">
        <v>4193</v>
      </c>
      <c r="L88" s="322" t="s">
        <v>576</v>
      </c>
      <c r="M88" s="322" t="s">
        <v>4340</v>
      </c>
      <c r="N88" s="336" t="s">
        <v>4529</v>
      </c>
      <c r="O88" s="260">
        <v>51</v>
      </c>
    </row>
    <row r="89" spans="2:15" ht="69.95" hidden="1" customHeight="1" x14ac:dyDescent="0.2">
      <c r="B89" s="260">
        <v>79</v>
      </c>
      <c r="C89" s="260">
        <v>5</v>
      </c>
      <c r="D89" s="256" t="s">
        <v>4335</v>
      </c>
      <c r="E89" s="292" t="s">
        <v>4334</v>
      </c>
      <c r="F89" s="257">
        <v>236089382</v>
      </c>
      <c r="G89" s="305" t="s">
        <v>4039</v>
      </c>
      <c r="H89" s="317" t="s">
        <v>4336</v>
      </c>
      <c r="I89" s="256" t="s">
        <v>4306</v>
      </c>
      <c r="J89" s="256" t="s">
        <v>4039</v>
      </c>
      <c r="K89" s="259" t="s">
        <v>4337</v>
      </c>
      <c r="L89" s="322" t="s">
        <v>576</v>
      </c>
      <c r="M89" s="322" t="s">
        <v>4340</v>
      </c>
      <c r="N89" s="336" t="s">
        <v>4529</v>
      </c>
      <c r="O89" s="260">
        <v>51</v>
      </c>
    </row>
    <row r="90" spans="2:15" ht="69.95" hidden="1" customHeight="1" x14ac:dyDescent="0.2">
      <c r="B90" s="260">
        <v>80</v>
      </c>
      <c r="C90" s="260">
        <v>5</v>
      </c>
      <c r="D90" s="256" t="s">
        <v>4358</v>
      </c>
      <c r="E90" s="292" t="s">
        <v>4359</v>
      </c>
      <c r="F90" s="257">
        <v>26312000</v>
      </c>
      <c r="G90" s="305" t="s">
        <v>4207</v>
      </c>
      <c r="H90" s="287" t="s">
        <v>4360</v>
      </c>
      <c r="I90" s="256" t="s">
        <v>4359</v>
      </c>
      <c r="J90" s="256" t="s">
        <v>4039</v>
      </c>
      <c r="K90" s="259" t="s">
        <v>4361</v>
      </c>
      <c r="L90" s="322" t="s">
        <v>576</v>
      </c>
      <c r="M90" s="322" t="s">
        <v>4340</v>
      </c>
      <c r="N90" s="336" t="s">
        <v>4529</v>
      </c>
      <c r="O90" s="260">
        <v>51</v>
      </c>
    </row>
    <row r="91" spans="2:15" ht="69.95" hidden="1" customHeight="1" x14ac:dyDescent="0.2">
      <c r="B91" s="260">
        <v>81</v>
      </c>
      <c r="C91" s="260">
        <v>5</v>
      </c>
      <c r="D91" s="256" t="s">
        <v>4362</v>
      </c>
      <c r="E91" s="292" t="s">
        <v>4363</v>
      </c>
      <c r="F91" s="257">
        <v>4745975</v>
      </c>
      <c r="G91" s="305" t="s">
        <v>4039</v>
      </c>
      <c r="H91" s="256" t="s">
        <v>4364</v>
      </c>
      <c r="I91" s="256" t="s">
        <v>4365</v>
      </c>
      <c r="J91" s="256" t="s">
        <v>4039</v>
      </c>
      <c r="K91" s="259" t="s">
        <v>4366</v>
      </c>
      <c r="L91" s="322" t="s">
        <v>576</v>
      </c>
      <c r="M91" s="322" t="s">
        <v>4340</v>
      </c>
      <c r="N91" s="336" t="s">
        <v>4529</v>
      </c>
      <c r="O91" s="260">
        <v>51</v>
      </c>
    </row>
    <row r="92" spans="2:15" ht="69.95" hidden="1" customHeight="1" x14ac:dyDescent="0.2">
      <c r="B92" s="260">
        <v>82</v>
      </c>
      <c r="C92" s="260">
        <v>5</v>
      </c>
      <c r="D92" s="256" t="s">
        <v>4367</v>
      </c>
      <c r="E92" s="292" t="s">
        <v>4363</v>
      </c>
      <c r="F92" s="257">
        <v>221543</v>
      </c>
      <c r="G92" s="305" t="s">
        <v>4219</v>
      </c>
      <c r="H92" s="256" t="s">
        <v>4368</v>
      </c>
      <c r="I92" s="256" t="s">
        <v>4365</v>
      </c>
      <c r="J92" s="256" t="s">
        <v>4039</v>
      </c>
      <c r="K92" s="259" t="s">
        <v>4369</v>
      </c>
      <c r="L92" s="322" t="s">
        <v>576</v>
      </c>
      <c r="M92" s="322" t="s">
        <v>4340</v>
      </c>
      <c r="N92" s="336" t="s">
        <v>4529</v>
      </c>
      <c r="O92" s="260">
        <v>51</v>
      </c>
    </row>
    <row r="93" spans="2:15" ht="69.95" hidden="1" customHeight="1" x14ac:dyDescent="0.2">
      <c r="B93" s="260">
        <v>83</v>
      </c>
      <c r="C93" s="260">
        <v>5</v>
      </c>
      <c r="D93" s="256" t="s">
        <v>4401</v>
      </c>
      <c r="E93" s="292" t="s">
        <v>4380</v>
      </c>
      <c r="F93" s="257">
        <v>2372988</v>
      </c>
      <c r="G93" s="305" t="s">
        <v>4195</v>
      </c>
      <c r="H93" s="256" t="s">
        <v>4402</v>
      </c>
      <c r="I93" s="256" t="s">
        <v>4382</v>
      </c>
      <c r="J93" s="256" t="s">
        <v>4039</v>
      </c>
      <c r="K93" s="259" t="s">
        <v>4201</v>
      </c>
      <c r="L93" s="313" t="s">
        <v>576</v>
      </c>
      <c r="M93" s="313" t="s">
        <v>4340</v>
      </c>
      <c r="N93" s="336" t="s">
        <v>4529</v>
      </c>
      <c r="O93" s="260">
        <v>51</v>
      </c>
    </row>
    <row r="94" spans="2:15" ht="69.95" customHeight="1" x14ac:dyDescent="0.2">
      <c r="B94" s="260">
        <v>84</v>
      </c>
      <c r="C94" s="260">
        <v>5</v>
      </c>
      <c r="D94" s="256" t="s">
        <v>4327</v>
      </c>
      <c r="E94" s="292" t="s">
        <v>4190</v>
      </c>
      <c r="F94" s="288">
        <v>63640000</v>
      </c>
      <c r="G94" s="300" t="s">
        <v>4050</v>
      </c>
      <c r="H94" s="256" t="s">
        <v>4328</v>
      </c>
      <c r="I94" s="256" t="s">
        <v>4172</v>
      </c>
      <c r="J94" s="256" t="s">
        <v>4053</v>
      </c>
      <c r="K94" s="259" t="s">
        <v>4329</v>
      </c>
      <c r="L94" s="322" t="s">
        <v>576</v>
      </c>
      <c r="M94" s="322" t="s">
        <v>4338</v>
      </c>
      <c r="N94" s="336" t="s">
        <v>4530</v>
      </c>
      <c r="O94" s="260">
        <v>52</v>
      </c>
    </row>
    <row r="95" spans="2:15" ht="69.95" customHeight="1" x14ac:dyDescent="0.2">
      <c r="B95" s="260">
        <v>85</v>
      </c>
      <c r="C95" s="260">
        <v>5</v>
      </c>
      <c r="D95" s="256" t="s">
        <v>4305</v>
      </c>
      <c r="E95" s="292" t="s">
        <v>4306</v>
      </c>
      <c r="F95" s="257">
        <v>540000000</v>
      </c>
      <c r="G95" s="332" t="s">
        <v>4307</v>
      </c>
      <c r="H95" s="256" t="s">
        <v>4308</v>
      </c>
      <c r="I95" s="256" t="s">
        <v>4309</v>
      </c>
      <c r="J95" s="256" t="s">
        <v>4039</v>
      </c>
      <c r="K95" s="259" t="s">
        <v>4310</v>
      </c>
      <c r="L95" s="322" t="s">
        <v>576</v>
      </c>
      <c r="M95" s="322" t="s">
        <v>4338</v>
      </c>
      <c r="N95" s="336" t="s">
        <v>4531</v>
      </c>
      <c r="O95" s="260">
        <v>53</v>
      </c>
    </row>
    <row r="96" spans="2:15" ht="69.95" hidden="1" customHeight="1" x14ac:dyDescent="0.2">
      <c r="B96" s="260">
        <v>86</v>
      </c>
      <c r="C96" s="260">
        <v>5</v>
      </c>
      <c r="D96" s="256" t="s">
        <v>4311</v>
      </c>
      <c r="E96" s="292" t="s">
        <v>4309</v>
      </c>
      <c r="F96" s="257">
        <v>900500</v>
      </c>
      <c r="G96" s="301" t="s">
        <v>4039</v>
      </c>
      <c r="H96" s="256" t="s">
        <v>4312</v>
      </c>
      <c r="I96" s="256" t="s">
        <v>4313</v>
      </c>
      <c r="J96" s="256" t="s">
        <v>4039</v>
      </c>
      <c r="K96" s="259" t="s">
        <v>4314</v>
      </c>
      <c r="L96" s="322" t="s">
        <v>542</v>
      </c>
      <c r="M96" s="322" t="s">
        <v>4339</v>
      </c>
      <c r="N96" s="336"/>
      <c r="O96" s="260">
        <v>52</v>
      </c>
    </row>
    <row r="97" spans="2:15" ht="69.95" hidden="1" customHeight="1" x14ac:dyDescent="0.2">
      <c r="B97" s="260">
        <v>87</v>
      </c>
      <c r="C97" s="260">
        <v>5</v>
      </c>
      <c r="D97" s="256" t="s">
        <v>4318</v>
      </c>
      <c r="E97" s="292" t="s">
        <v>4309</v>
      </c>
      <c r="F97" s="257">
        <v>3600000</v>
      </c>
      <c r="G97" s="301" t="s">
        <v>4039</v>
      </c>
      <c r="H97" s="256" t="s">
        <v>4319</v>
      </c>
      <c r="I97" s="256" t="s">
        <v>4313</v>
      </c>
      <c r="J97" s="256" t="s">
        <v>4039</v>
      </c>
      <c r="K97" s="259" t="s">
        <v>4320</v>
      </c>
      <c r="L97" s="322" t="s">
        <v>542</v>
      </c>
      <c r="M97" s="322" t="s">
        <v>4339</v>
      </c>
      <c r="N97" s="336"/>
      <c r="O97" s="260">
        <v>52</v>
      </c>
    </row>
    <row r="98" spans="2:15" ht="69.95" hidden="1" customHeight="1" x14ac:dyDescent="0.2">
      <c r="B98" s="260">
        <v>88</v>
      </c>
      <c r="C98" s="260">
        <v>5</v>
      </c>
      <c r="D98" s="256" t="s">
        <v>4321</v>
      </c>
      <c r="E98" s="292" t="s">
        <v>4309</v>
      </c>
      <c r="F98" s="257">
        <v>10960600</v>
      </c>
      <c r="G98" s="301" t="s">
        <v>4039</v>
      </c>
      <c r="H98" s="256" t="s">
        <v>4322</v>
      </c>
      <c r="I98" s="256" t="s">
        <v>4313</v>
      </c>
      <c r="J98" s="256" t="s">
        <v>4039</v>
      </c>
      <c r="K98" s="259" t="s">
        <v>4323</v>
      </c>
      <c r="L98" s="322" t="s">
        <v>542</v>
      </c>
      <c r="M98" s="322" t="s">
        <v>4339</v>
      </c>
      <c r="N98" s="336"/>
      <c r="O98" s="260">
        <v>52</v>
      </c>
    </row>
    <row r="99" spans="2:15" ht="69.95" hidden="1" customHeight="1" x14ac:dyDescent="0.2">
      <c r="B99" s="260">
        <v>89</v>
      </c>
      <c r="C99" s="260">
        <v>5</v>
      </c>
      <c r="D99" s="256" t="s">
        <v>4324</v>
      </c>
      <c r="E99" s="292" t="s">
        <v>4309</v>
      </c>
      <c r="F99" s="257">
        <v>930000</v>
      </c>
      <c r="G99" s="301" t="s">
        <v>4039</v>
      </c>
      <c r="H99" s="256" t="s">
        <v>4325</v>
      </c>
      <c r="I99" s="256" t="s">
        <v>4313</v>
      </c>
      <c r="J99" s="256" t="s">
        <v>4039</v>
      </c>
      <c r="K99" s="259" t="s">
        <v>4326</v>
      </c>
      <c r="L99" s="322" t="s">
        <v>535</v>
      </c>
      <c r="M99" s="322" t="s">
        <v>4372</v>
      </c>
      <c r="N99" s="336"/>
      <c r="O99" s="260">
        <v>52</v>
      </c>
    </row>
    <row r="100" spans="2:15" ht="69.95" hidden="1" customHeight="1" x14ac:dyDescent="0.2">
      <c r="B100" s="260">
        <v>90</v>
      </c>
      <c r="C100" s="260">
        <v>5</v>
      </c>
      <c r="D100" s="256" t="s">
        <v>4315</v>
      </c>
      <c r="E100" s="292" t="s">
        <v>4309</v>
      </c>
      <c r="F100" s="257">
        <v>872000</v>
      </c>
      <c r="G100" s="301" t="s">
        <v>4039</v>
      </c>
      <c r="H100" s="256" t="s">
        <v>4316</v>
      </c>
      <c r="I100" s="256" t="s">
        <v>4313</v>
      </c>
      <c r="J100" s="256" t="s">
        <v>4039</v>
      </c>
      <c r="K100" s="259" t="s">
        <v>4317</v>
      </c>
      <c r="L100" s="322" t="s">
        <v>531</v>
      </c>
      <c r="M100" s="322" t="s">
        <v>4373</v>
      </c>
      <c r="N100" s="336"/>
      <c r="O100" s="260">
        <v>52</v>
      </c>
    </row>
    <row r="101" spans="2:15" ht="69.95" customHeight="1" x14ac:dyDescent="0.2">
      <c r="B101" s="260">
        <v>91</v>
      </c>
      <c r="C101" s="260">
        <v>5</v>
      </c>
      <c r="D101" s="258" t="s">
        <v>4355</v>
      </c>
      <c r="E101" s="334" t="s">
        <v>4349</v>
      </c>
      <c r="F101" s="299">
        <v>114200000</v>
      </c>
      <c r="G101" s="332" t="s">
        <v>4307</v>
      </c>
      <c r="H101" s="258" t="s">
        <v>4356</v>
      </c>
      <c r="I101" s="258" t="s">
        <v>4334</v>
      </c>
      <c r="J101" s="258" t="s">
        <v>4039</v>
      </c>
      <c r="K101" s="259" t="s">
        <v>4357</v>
      </c>
      <c r="L101" s="322" t="s">
        <v>576</v>
      </c>
      <c r="M101" s="322" t="s">
        <v>4338</v>
      </c>
      <c r="N101" s="336" t="s">
        <v>4531</v>
      </c>
      <c r="O101" s="260">
        <v>53</v>
      </c>
    </row>
    <row r="102" spans="2:15" ht="69.95" hidden="1" customHeight="1" x14ac:dyDescent="0.2">
      <c r="B102" s="260">
        <v>92</v>
      </c>
      <c r="C102" s="260">
        <v>5</v>
      </c>
      <c r="D102" s="258" t="s">
        <v>4348</v>
      </c>
      <c r="E102" s="334" t="s">
        <v>4349</v>
      </c>
      <c r="F102" s="299">
        <v>93939616</v>
      </c>
      <c r="G102" s="302" t="s">
        <v>3839</v>
      </c>
      <c r="H102" s="258" t="s">
        <v>4350</v>
      </c>
      <c r="I102" s="258" t="s">
        <v>4351</v>
      </c>
      <c r="J102" s="258" t="s">
        <v>4039</v>
      </c>
      <c r="K102" s="259" t="s">
        <v>4352</v>
      </c>
      <c r="L102" s="322"/>
      <c r="M102" s="322"/>
      <c r="N102" s="336"/>
      <c r="O102" s="260">
        <v>52</v>
      </c>
    </row>
    <row r="103" spans="2:15" ht="69.95" hidden="1" customHeight="1" x14ac:dyDescent="0.2">
      <c r="B103" s="260">
        <v>93</v>
      </c>
      <c r="C103" s="260">
        <v>5</v>
      </c>
      <c r="D103" s="258" t="s">
        <v>4353</v>
      </c>
      <c r="E103" s="334" t="s">
        <v>4349</v>
      </c>
      <c r="F103" s="299">
        <v>1500000</v>
      </c>
      <c r="G103" s="302" t="s">
        <v>3839</v>
      </c>
      <c r="H103" s="258" t="s">
        <v>4354</v>
      </c>
      <c r="I103" s="258" t="s">
        <v>4351</v>
      </c>
      <c r="J103" s="258" t="s">
        <v>4039</v>
      </c>
      <c r="K103" s="259" t="s">
        <v>4352</v>
      </c>
      <c r="L103" s="322"/>
      <c r="M103" s="322"/>
      <c r="N103" s="336"/>
      <c r="O103" s="260">
        <v>52</v>
      </c>
    </row>
    <row r="104" spans="2:15" ht="69.95" hidden="1" customHeight="1" x14ac:dyDescent="0.2">
      <c r="B104" s="260">
        <v>94</v>
      </c>
      <c r="C104" s="260">
        <v>5</v>
      </c>
      <c r="D104" s="256" t="s">
        <v>4395</v>
      </c>
      <c r="E104" s="292" t="s">
        <v>4380</v>
      </c>
      <c r="F104" s="257">
        <v>448000</v>
      </c>
      <c r="G104" s="301" t="s">
        <v>4039</v>
      </c>
      <c r="H104" s="256" t="s">
        <v>4396</v>
      </c>
      <c r="I104" s="256" t="s">
        <v>4382</v>
      </c>
      <c r="J104" s="256" t="s">
        <v>4039</v>
      </c>
      <c r="K104" s="259" t="s">
        <v>4397</v>
      </c>
      <c r="L104" s="313" t="s">
        <v>542</v>
      </c>
      <c r="M104" s="313" t="s">
        <v>4339</v>
      </c>
      <c r="N104" s="336"/>
      <c r="O104" s="260">
        <v>52</v>
      </c>
    </row>
    <row r="105" spans="2:15" ht="69.95" hidden="1" customHeight="1" x14ac:dyDescent="0.2">
      <c r="B105" s="260">
        <v>95</v>
      </c>
      <c r="C105" s="260">
        <v>5</v>
      </c>
      <c r="D105" s="256" t="s">
        <v>4408</v>
      </c>
      <c r="E105" s="292" t="s">
        <v>4380</v>
      </c>
      <c r="F105" s="257">
        <v>1040000</v>
      </c>
      <c r="G105" s="301" t="s">
        <v>4039</v>
      </c>
      <c r="H105" s="256" t="s">
        <v>4409</v>
      </c>
      <c r="I105" s="256" t="s">
        <v>4382</v>
      </c>
      <c r="J105" s="256" t="s">
        <v>4039</v>
      </c>
      <c r="K105" s="259" t="s">
        <v>4410</v>
      </c>
      <c r="L105" s="313" t="s">
        <v>531</v>
      </c>
      <c r="M105" s="313" t="s">
        <v>4374</v>
      </c>
      <c r="N105" s="336"/>
      <c r="O105" s="260">
        <v>52</v>
      </c>
    </row>
    <row r="106" spans="2:15" ht="69.95" hidden="1" customHeight="1" x14ac:dyDescent="0.2">
      <c r="B106" s="260">
        <v>96</v>
      </c>
      <c r="C106" s="260">
        <v>5</v>
      </c>
      <c r="D106" s="256" t="s">
        <v>4392</v>
      </c>
      <c r="E106" s="292" t="s">
        <v>4380</v>
      </c>
      <c r="F106" s="257">
        <v>14922000</v>
      </c>
      <c r="G106" s="301" t="s">
        <v>4039</v>
      </c>
      <c r="H106" s="256" t="s">
        <v>4393</v>
      </c>
      <c r="I106" s="256" t="s">
        <v>4382</v>
      </c>
      <c r="J106" s="256" t="s">
        <v>4039</v>
      </c>
      <c r="K106" s="259" t="s">
        <v>4394</v>
      </c>
      <c r="L106" s="313" t="s">
        <v>531</v>
      </c>
      <c r="M106" s="313" t="s">
        <v>4373</v>
      </c>
      <c r="N106" s="336"/>
      <c r="O106" s="260">
        <v>52</v>
      </c>
    </row>
    <row r="107" spans="2:15" ht="69.95" hidden="1" customHeight="1" x14ac:dyDescent="0.2">
      <c r="B107" s="260">
        <v>97</v>
      </c>
      <c r="C107" s="260">
        <v>5</v>
      </c>
      <c r="D107" s="256" t="s">
        <v>4398</v>
      </c>
      <c r="E107" s="292" t="s">
        <v>4380</v>
      </c>
      <c r="F107" s="257">
        <v>3184000</v>
      </c>
      <c r="G107" s="301" t="s">
        <v>4039</v>
      </c>
      <c r="H107" s="256" t="s">
        <v>4399</v>
      </c>
      <c r="I107" s="256" t="s">
        <v>4382</v>
      </c>
      <c r="J107" s="256" t="s">
        <v>4039</v>
      </c>
      <c r="K107" s="259" t="s">
        <v>4400</v>
      </c>
      <c r="L107" s="313" t="s">
        <v>542</v>
      </c>
      <c r="M107" s="313" t="s">
        <v>4339</v>
      </c>
      <c r="N107" s="336"/>
      <c r="O107" s="260">
        <v>52</v>
      </c>
    </row>
    <row r="108" spans="2:15" ht="69.95" hidden="1" customHeight="1" x14ac:dyDescent="0.2">
      <c r="B108" s="260">
        <v>98</v>
      </c>
      <c r="C108" s="260">
        <v>5</v>
      </c>
      <c r="D108" s="256" t="s">
        <v>4403</v>
      </c>
      <c r="E108" s="292" t="s">
        <v>4380</v>
      </c>
      <c r="F108" s="257">
        <v>3620000</v>
      </c>
      <c r="G108" s="301" t="s">
        <v>4039</v>
      </c>
      <c r="H108" s="256" t="s">
        <v>4404</v>
      </c>
      <c r="I108" s="256" t="s">
        <v>4382</v>
      </c>
      <c r="J108" s="256" t="s">
        <v>4039</v>
      </c>
      <c r="K108" s="259" t="s">
        <v>4405</v>
      </c>
      <c r="L108" s="313" t="s">
        <v>531</v>
      </c>
      <c r="M108" s="313" t="s">
        <v>4373</v>
      </c>
      <c r="N108" s="336"/>
      <c r="O108" s="260">
        <v>52</v>
      </c>
    </row>
    <row r="109" spans="2:15" ht="69.95" hidden="1" customHeight="1" x14ac:dyDescent="0.2">
      <c r="B109" s="260">
        <v>99</v>
      </c>
      <c r="C109" s="260">
        <v>5</v>
      </c>
      <c r="D109" s="256" t="s">
        <v>4389</v>
      </c>
      <c r="E109" s="292" t="s">
        <v>4380</v>
      </c>
      <c r="F109" s="257">
        <v>1250000</v>
      </c>
      <c r="G109" s="301" t="s">
        <v>4039</v>
      </c>
      <c r="H109" s="256" t="s">
        <v>4390</v>
      </c>
      <c r="I109" s="256" t="s">
        <v>4382</v>
      </c>
      <c r="J109" s="256" t="s">
        <v>4039</v>
      </c>
      <c r="K109" s="259" t="s">
        <v>4391</v>
      </c>
      <c r="L109" s="313" t="s">
        <v>531</v>
      </c>
      <c r="M109" s="313" t="s">
        <v>4374</v>
      </c>
      <c r="N109" s="336"/>
      <c r="O109" s="260">
        <v>52</v>
      </c>
    </row>
    <row r="110" spans="2:15" ht="69.95" hidden="1" customHeight="1" x14ac:dyDescent="0.2">
      <c r="B110" s="260">
        <v>100</v>
      </c>
      <c r="C110" s="260">
        <v>5</v>
      </c>
      <c r="D110" s="256" t="s">
        <v>4406</v>
      </c>
      <c r="E110" s="292" t="s">
        <v>4380</v>
      </c>
      <c r="F110" s="257">
        <v>74895594</v>
      </c>
      <c r="G110" s="302" t="s">
        <v>3839</v>
      </c>
      <c r="H110" s="256" t="s">
        <v>4407</v>
      </c>
      <c r="I110" s="256" t="s">
        <v>4382</v>
      </c>
      <c r="J110" s="256" t="s">
        <v>4039</v>
      </c>
      <c r="K110" s="259" t="s">
        <v>4386</v>
      </c>
      <c r="L110" s="313"/>
      <c r="M110" s="313"/>
      <c r="N110" s="336"/>
      <c r="O110" s="260">
        <v>52</v>
      </c>
    </row>
    <row r="111" spans="2:15" ht="69.95" hidden="1" customHeight="1" x14ac:dyDescent="0.2">
      <c r="B111" s="260">
        <v>101</v>
      </c>
      <c r="C111" s="260">
        <v>5</v>
      </c>
      <c r="D111" s="256" t="s">
        <v>4384</v>
      </c>
      <c r="E111" s="292" t="s">
        <v>4380</v>
      </c>
      <c r="F111" s="257">
        <v>10182883</v>
      </c>
      <c r="G111" s="302" t="s">
        <v>3839</v>
      </c>
      <c r="H111" s="256" t="s">
        <v>4385</v>
      </c>
      <c r="I111" s="256" t="s">
        <v>4382</v>
      </c>
      <c r="J111" s="256" t="s">
        <v>4039</v>
      </c>
      <c r="K111" s="259" t="s">
        <v>4386</v>
      </c>
      <c r="L111" s="313"/>
      <c r="M111" s="313"/>
      <c r="N111" s="336"/>
      <c r="O111" s="260">
        <v>52</v>
      </c>
    </row>
    <row r="112" spans="2:15" ht="69.95" hidden="1" customHeight="1" x14ac:dyDescent="0.2">
      <c r="B112" s="260">
        <v>102</v>
      </c>
      <c r="C112" s="260">
        <v>5</v>
      </c>
      <c r="D112" s="256" t="s">
        <v>4387</v>
      </c>
      <c r="E112" s="292" t="s">
        <v>4380</v>
      </c>
      <c r="F112" s="257">
        <v>8760100</v>
      </c>
      <c r="G112" s="302" t="s">
        <v>3839</v>
      </c>
      <c r="H112" s="256" t="s">
        <v>4388</v>
      </c>
      <c r="I112" s="256" t="s">
        <v>4382</v>
      </c>
      <c r="J112" s="256" t="s">
        <v>4039</v>
      </c>
      <c r="K112" s="259" t="s">
        <v>4386</v>
      </c>
      <c r="L112" s="313"/>
      <c r="M112" s="313"/>
      <c r="N112" s="336"/>
      <c r="O112" s="260">
        <v>52</v>
      </c>
    </row>
    <row r="113" spans="2:15" ht="69.95" hidden="1" customHeight="1" x14ac:dyDescent="0.2">
      <c r="B113" s="260">
        <v>103</v>
      </c>
      <c r="C113" s="260">
        <v>5</v>
      </c>
      <c r="D113" s="256" t="s">
        <v>4379</v>
      </c>
      <c r="E113" s="292" t="s">
        <v>4380</v>
      </c>
      <c r="F113" s="257">
        <v>312088731</v>
      </c>
      <c r="G113" s="303" t="s">
        <v>4063</v>
      </c>
      <c r="H113" s="256" t="s">
        <v>4381</v>
      </c>
      <c r="I113" s="256" t="s">
        <v>4382</v>
      </c>
      <c r="J113" s="256" t="s">
        <v>4066</v>
      </c>
      <c r="K113" s="259" t="s">
        <v>4383</v>
      </c>
      <c r="L113" s="313"/>
      <c r="M113" s="313"/>
      <c r="N113" s="336"/>
      <c r="O113" s="260">
        <v>52</v>
      </c>
    </row>
    <row r="114" spans="2:15" ht="69.95" hidden="1" customHeight="1" x14ac:dyDescent="0.2">
      <c r="B114" s="260">
        <v>107</v>
      </c>
      <c r="C114" s="260">
        <v>6</v>
      </c>
      <c r="D114" s="256" t="s">
        <v>4425</v>
      </c>
      <c r="E114" s="292" t="s">
        <v>4427</v>
      </c>
      <c r="F114" s="257">
        <v>11850000</v>
      </c>
      <c r="G114" s="320" t="s">
        <v>4039</v>
      </c>
      <c r="H114" s="258" t="s">
        <v>4428</v>
      </c>
      <c r="I114" s="256" t="s">
        <v>4426</v>
      </c>
      <c r="J114" s="256" t="s">
        <v>4039</v>
      </c>
      <c r="K114" s="259" t="s">
        <v>4429</v>
      </c>
      <c r="L114" s="313" t="s">
        <v>542</v>
      </c>
      <c r="M114" s="313" t="s">
        <v>4339</v>
      </c>
      <c r="N114" s="336" t="s">
        <v>4528</v>
      </c>
      <c r="O114" s="260">
        <v>52</v>
      </c>
    </row>
    <row r="115" spans="2:15" ht="69.95" hidden="1" customHeight="1" x14ac:dyDescent="0.2">
      <c r="B115" s="260">
        <v>108</v>
      </c>
      <c r="C115" s="260">
        <v>6</v>
      </c>
      <c r="D115" s="256" t="s">
        <v>4445</v>
      </c>
      <c r="E115" s="292" t="s">
        <v>4427</v>
      </c>
      <c r="F115" s="257">
        <v>8750000</v>
      </c>
      <c r="G115" s="320" t="s">
        <v>4307</v>
      </c>
      <c r="H115" s="258" t="s">
        <v>4446</v>
      </c>
      <c r="I115" s="256" t="s">
        <v>4426</v>
      </c>
      <c r="J115" s="256" t="s">
        <v>4039</v>
      </c>
      <c r="K115" s="259" t="s">
        <v>4447</v>
      </c>
      <c r="L115" s="313" t="s">
        <v>542</v>
      </c>
      <c r="M115" s="313" t="s">
        <v>4339</v>
      </c>
      <c r="N115" s="336" t="s">
        <v>4528</v>
      </c>
      <c r="O115" s="260">
        <v>52</v>
      </c>
    </row>
    <row r="116" spans="2:15" ht="69.95" hidden="1" customHeight="1" x14ac:dyDescent="0.2">
      <c r="B116" s="260">
        <v>109</v>
      </c>
      <c r="C116" s="260">
        <v>6</v>
      </c>
      <c r="D116" s="256" t="s">
        <v>4442</v>
      </c>
      <c r="E116" s="292" t="s">
        <v>4427</v>
      </c>
      <c r="F116" s="257">
        <v>136000000</v>
      </c>
      <c r="G116" s="320" t="s">
        <v>4307</v>
      </c>
      <c r="H116" s="258" t="s">
        <v>4443</v>
      </c>
      <c r="I116" s="256" t="s">
        <v>4426</v>
      </c>
      <c r="J116" s="256" t="s">
        <v>4039</v>
      </c>
      <c r="K116" s="259" t="s">
        <v>4444</v>
      </c>
      <c r="L116" s="313" t="s">
        <v>542</v>
      </c>
      <c r="M116" s="313" t="s">
        <v>4339</v>
      </c>
      <c r="N116" s="336" t="s">
        <v>4528</v>
      </c>
      <c r="O116" s="260">
        <v>52</v>
      </c>
    </row>
    <row r="117" spans="2:15" ht="69.95" hidden="1" customHeight="1" x14ac:dyDescent="0.2">
      <c r="B117" s="260">
        <v>110</v>
      </c>
      <c r="C117" s="260">
        <v>6</v>
      </c>
      <c r="D117" s="256" t="s">
        <v>4457</v>
      </c>
      <c r="E117" s="292" t="s">
        <v>4427</v>
      </c>
      <c r="F117" s="257">
        <v>202275000</v>
      </c>
      <c r="G117" s="320" t="s">
        <v>4307</v>
      </c>
      <c r="H117" s="258" t="s">
        <v>4458</v>
      </c>
      <c r="I117" s="256" t="s">
        <v>4426</v>
      </c>
      <c r="J117" s="256" t="s">
        <v>4039</v>
      </c>
      <c r="K117" s="259" t="s">
        <v>4459</v>
      </c>
      <c r="L117" s="313" t="s">
        <v>542</v>
      </c>
      <c r="M117" s="313" t="s">
        <v>4339</v>
      </c>
      <c r="N117" s="336" t="s">
        <v>4528</v>
      </c>
      <c r="O117" s="260">
        <v>52</v>
      </c>
    </row>
    <row r="118" spans="2:15" ht="69.95" hidden="1" customHeight="1" x14ac:dyDescent="0.2">
      <c r="B118" s="260">
        <v>111</v>
      </c>
      <c r="C118" s="260">
        <v>6</v>
      </c>
      <c r="D118" s="256" t="s">
        <v>4430</v>
      </c>
      <c r="E118" s="292" t="s">
        <v>4427</v>
      </c>
      <c r="F118" s="257">
        <v>32800000</v>
      </c>
      <c r="G118" s="320" t="s">
        <v>4307</v>
      </c>
      <c r="H118" s="258" t="s">
        <v>4431</v>
      </c>
      <c r="I118" s="256" t="s">
        <v>4426</v>
      </c>
      <c r="J118" s="256" t="s">
        <v>4039</v>
      </c>
      <c r="K118" s="259" t="s">
        <v>4432</v>
      </c>
      <c r="L118" s="313" t="s">
        <v>542</v>
      </c>
      <c r="M118" s="313" t="s">
        <v>4339</v>
      </c>
      <c r="N118" s="336" t="s">
        <v>4528</v>
      </c>
      <c r="O118" s="260">
        <v>52</v>
      </c>
    </row>
    <row r="119" spans="2:15" ht="69.95" hidden="1" customHeight="1" x14ac:dyDescent="0.2">
      <c r="B119" s="260">
        <v>112</v>
      </c>
      <c r="C119" s="260">
        <v>6</v>
      </c>
      <c r="D119" s="256" t="s">
        <v>4448</v>
      </c>
      <c r="E119" s="292" t="s">
        <v>4427</v>
      </c>
      <c r="F119" s="257">
        <v>39150000</v>
      </c>
      <c r="G119" s="320" t="s">
        <v>4307</v>
      </c>
      <c r="H119" s="258" t="s">
        <v>4449</v>
      </c>
      <c r="I119" s="256" t="s">
        <v>4426</v>
      </c>
      <c r="J119" s="256" t="s">
        <v>4039</v>
      </c>
      <c r="K119" s="259" t="s">
        <v>4450</v>
      </c>
      <c r="L119" s="313" t="s">
        <v>542</v>
      </c>
      <c r="M119" s="313" t="s">
        <v>4339</v>
      </c>
      <c r="N119" s="336" t="s">
        <v>4528</v>
      </c>
      <c r="O119" s="260">
        <v>52</v>
      </c>
    </row>
    <row r="120" spans="2:15" ht="69.95" hidden="1" customHeight="1" x14ac:dyDescent="0.2">
      <c r="B120" s="260">
        <v>113</v>
      </c>
      <c r="C120" s="260">
        <v>6</v>
      </c>
      <c r="D120" s="287" t="s">
        <v>4463</v>
      </c>
      <c r="E120" s="293" t="s">
        <v>4464</v>
      </c>
      <c r="F120" s="288">
        <v>180000000</v>
      </c>
      <c r="G120" s="324" t="s">
        <v>4039</v>
      </c>
      <c r="H120" s="287" t="s">
        <v>4465</v>
      </c>
      <c r="I120" s="287" t="s">
        <v>4427</v>
      </c>
      <c r="J120" s="287" t="s">
        <v>4039</v>
      </c>
      <c r="K120" s="289" t="s">
        <v>4466</v>
      </c>
      <c r="L120" s="313" t="s">
        <v>542</v>
      </c>
      <c r="M120" s="313" t="s">
        <v>4339</v>
      </c>
      <c r="N120" s="336" t="s">
        <v>4528</v>
      </c>
      <c r="O120" s="260">
        <v>52</v>
      </c>
    </row>
    <row r="121" spans="2:15" ht="69.95" hidden="1" customHeight="1" x14ac:dyDescent="0.2">
      <c r="B121" s="260">
        <v>114</v>
      </c>
      <c r="C121" s="260">
        <v>6</v>
      </c>
      <c r="D121" s="287" t="s">
        <v>4485</v>
      </c>
      <c r="E121" s="293" t="s">
        <v>4464</v>
      </c>
      <c r="F121" s="288">
        <v>30000000</v>
      </c>
      <c r="G121" s="320" t="s">
        <v>4039</v>
      </c>
      <c r="H121" s="287" t="s">
        <v>4486</v>
      </c>
      <c r="I121" s="287" t="s">
        <v>4427</v>
      </c>
      <c r="J121" s="287" t="s">
        <v>4039</v>
      </c>
      <c r="K121" s="289" t="s">
        <v>4487</v>
      </c>
      <c r="L121" s="313" t="s">
        <v>542</v>
      </c>
      <c r="M121" s="313" t="s">
        <v>4339</v>
      </c>
      <c r="N121" s="336" t="s">
        <v>4528</v>
      </c>
      <c r="O121" s="260">
        <v>52</v>
      </c>
    </row>
    <row r="122" spans="2:15" ht="69.95" hidden="1" customHeight="1" x14ac:dyDescent="0.2">
      <c r="B122" s="260">
        <v>115</v>
      </c>
      <c r="C122" s="260">
        <v>6</v>
      </c>
      <c r="D122" s="256" t="s">
        <v>4494</v>
      </c>
      <c r="E122" s="292" t="s">
        <v>4495</v>
      </c>
      <c r="F122" s="257">
        <v>6750000</v>
      </c>
      <c r="G122" s="320" t="s">
        <v>4307</v>
      </c>
      <c r="H122" s="256" t="s">
        <v>4496</v>
      </c>
      <c r="I122" s="256" t="s">
        <v>4427</v>
      </c>
      <c r="J122" s="256" t="s">
        <v>4039</v>
      </c>
      <c r="K122" s="289" t="s">
        <v>4497</v>
      </c>
      <c r="L122" s="313" t="s">
        <v>542</v>
      </c>
      <c r="M122" s="313" t="s">
        <v>4339</v>
      </c>
      <c r="N122" s="336" t="s">
        <v>4528</v>
      </c>
      <c r="O122" s="260">
        <v>52</v>
      </c>
    </row>
    <row r="123" spans="2:15" ht="69.95" hidden="1" customHeight="1" x14ac:dyDescent="0.2">
      <c r="B123" s="260">
        <v>116</v>
      </c>
      <c r="C123" s="260">
        <v>6</v>
      </c>
      <c r="D123" s="256" t="s">
        <v>4498</v>
      </c>
      <c r="E123" s="292" t="s">
        <v>4495</v>
      </c>
      <c r="F123" s="257">
        <v>14000000</v>
      </c>
      <c r="G123" s="320" t="s">
        <v>4307</v>
      </c>
      <c r="H123" s="256" t="s">
        <v>4499</v>
      </c>
      <c r="I123" s="256" t="s">
        <v>4427</v>
      </c>
      <c r="J123" s="256" t="s">
        <v>4039</v>
      </c>
      <c r="K123" s="289" t="s">
        <v>4500</v>
      </c>
      <c r="L123" s="313" t="s">
        <v>542</v>
      </c>
      <c r="M123" s="313" t="s">
        <v>4339</v>
      </c>
      <c r="N123" s="336" t="s">
        <v>4528</v>
      </c>
      <c r="O123" s="260">
        <v>52</v>
      </c>
    </row>
    <row r="124" spans="2:15" ht="69.95" hidden="1" customHeight="1" x14ac:dyDescent="0.2">
      <c r="B124" s="260">
        <v>117</v>
      </c>
      <c r="C124" s="260">
        <v>6</v>
      </c>
      <c r="D124" s="256" t="s">
        <v>4510</v>
      </c>
      <c r="E124" s="292" t="s">
        <v>4495</v>
      </c>
      <c r="F124" s="257">
        <v>185225000</v>
      </c>
      <c r="G124" s="320" t="s">
        <v>4307</v>
      </c>
      <c r="H124" s="256" t="s">
        <v>4511</v>
      </c>
      <c r="I124" s="256" t="s">
        <v>4427</v>
      </c>
      <c r="J124" s="256" t="s">
        <v>4039</v>
      </c>
      <c r="K124" s="289" t="s">
        <v>4512</v>
      </c>
      <c r="L124" s="313" t="s">
        <v>542</v>
      </c>
      <c r="M124" s="313" t="s">
        <v>4339</v>
      </c>
      <c r="N124" s="336" t="s">
        <v>4528</v>
      </c>
      <c r="O124" s="260">
        <v>52</v>
      </c>
    </row>
    <row r="125" spans="2:15" ht="69.95" hidden="1" customHeight="1" x14ac:dyDescent="0.2">
      <c r="B125" s="260">
        <v>118</v>
      </c>
      <c r="C125" s="260">
        <v>6</v>
      </c>
      <c r="D125" s="256" t="s">
        <v>4504</v>
      </c>
      <c r="E125" s="292" t="s">
        <v>4495</v>
      </c>
      <c r="F125" s="257">
        <v>436225000</v>
      </c>
      <c r="G125" s="320" t="s">
        <v>4307</v>
      </c>
      <c r="H125" s="256" t="s">
        <v>4505</v>
      </c>
      <c r="I125" s="256" t="s">
        <v>4427</v>
      </c>
      <c r="J125" s="256" t="s">
        <v>4039</v>
      </c>
      <c r="K125" s="289" t="s">
        <v>4506</v>
      </c>
      <c r="L125" s="313" t="s">
        <v>542</v>
      </c>
      <c r="M125" s="313" t="s">
        <v>4339</v>
      </c>
      <c r="N125" s="336" t="s">
        <v>4528</v>
      </c>
      <c r="O125" s="260">
        <v>52</v>
      </c>
    </row>
    <row r="126" spans="2:15" ht="69.95" hidden="1" customHeight="1" x14ac:dyDescent="0.2">
      <c r="B126" s="260">
        <v>119</v>
      </c>
      <c r="C126" s="260">
        <v>6</v>
      </c>
      <c r="D126" s="256" t="s">
        <v>4525</v>
      </c>
      <c r="E126" s="292" t="s">
        <v>4495</v>
      </c>
      <c r="F126" s="257">
        <v>9000000</v>
      </c>
      <c r="G126" s="320" t="s">
        <v>4307</v>
      </c>
      <c r="H126" s="256" t="s">
        <v>4526</v>
      </c>
      <c r="I126" s="256" t="s">
        <v>4464</v>
      </c>
      <c r="J126" s="256" t="s">
        <v>4039</v>
      </c>
      <c r="K126" s="289" t="s">
        <v>4527</v>
      </c>
      <c r="L126" s="313" t="s">
        <v>542</v>
      </c>
      <c r="M126" s="313" t="s">
        <v>4339</v>
      </c>
      <c r="N126" s="336" t="s">
        <v>4528</v>
      </c>
      <c r="O126" s="260">
        <v>52</v>
      </c>
    </row>
    <row r="127" spans="2:15" ht="69.95" hidden="1" customHeight="1" x14ac:dyDescent="0.2">
      <c r="B127" s="260">
        <v>120</v>
      </c>
      <c r="C127" s="260">
        <v>6</v>
      </c>
      <c r="D127" s="256" t="s">
        <v>4516</v>
      </c>
      <c r="E127" s="292" t="s">
        <v>4495</v>
      </c>
      <c r="F127" s="257">
        <v>36000000</v>
      </c>
      <c r="G127" s="320" t="s">
        <v>4307</v>
      </c>
      <c r="H127" s="256" t="s">
        <v>4517</v>
      </c>
      <c r="I127" s="256" t="s">
        <v>4464</v>
      </c>
      <c r="J127" s="256" t="s">
        <v>4039</v>
      </c>
      <c r="K127" s="289" t="s">
        <v>4518</v>
      </c>
      <c r="L127" s="313" t="s">
        <v>542</v>
      </c>
      <c r="M127" s="313" t="s">
        <v>4339</v>
      </c>
      <c r="N127" s="336" t="s">
        <v>4528</v>
      </c>
      <c r="O127" s="260">
        <v>52</v>
      </c>
    </row>
    <row r="128" spans="2:15" ht="69.95" hidden="1" customHeight="1" x14ac:dyDescent="0.2">
      <c r="B128" s="260">
        <v>121</v>
      </c>
      <c r="C128" s="260">
        <v>6</v>
      </c>
      <c r="D128" s="256" t="s">
        <v>4513</v>
      </c>
      <c r="E128" s="292" t="s">
        <v>4495</v>
      </c>
      <c r="F128" s="257">
        <v>46500000</v>
      </c>
      <c r="G128" s="320" t="s">
        <v>4307</v>
      </c>
      <c r="H128" s="256" t="s">
        <v>4514</v>
      </c>
      <c r="I128" s="256" t="s">
        <v>4464</v>
      </c>
      <c r="J128" s="256" t="s">
        <v>4039</v>
      </c>
      <c r="K128" s="289" t="s">
        <v>4515</v>
      </c>
      <c r="L128" s="313" t="s">
        <v>542</v>
      </c>
      <c r="M128" s="313" t="s">
        <v>4339</v>
      </c>
      <c r="N128" s="336" t="s">
        <v>4528</v>
      </c>
      <c r="O128" s="260">
        <v>52</v>
      </c>
    </row>
    <row r="129" spans="2:15" ht="69.95" hidden="1" customHeight="1" x14ac:dyDescent="0.2">
      <c r="B129" s="260">
        <v>122</v>
      </c>
      <c r="C129" s="260">
        <v>6</v>
      </c>
      <c r="D129" s="256" t="s">
        <v>4507</v>
      </c>
      <c r="E129" s="292" t="s">
        <v>4495</v>
      </c>
      <c r="F129" s="257">
        <v>10000000</v>
      </c>
      <c r="G129" s="320" t="s">
        <v>4307</v>
      </c>
      <c r="H129" s="256" t="s">
        <v>4508</v>
      </c>
      <c r="I129" s="256" t="s">
        <v>4464</v>
      </c>
      <c r="J129" s="256" t="s">
        <v>4039</v>
      </c>
      <c r="K129" s="289" t="s">
        <v>4509</v>
      </c>
      <c r="L129" s="313" t="s">
        <v>542</v>
      </c>
      <c r="M129" s="313" t="s">
        <v>4339</v>
      </c>
      <c r="N129" s="336" t="s">
        <v>4528</v>
      </c>
      <c r="O129" s="260">
        <v>52</v>
      </c>
    </row>
    <row r="130" spans="2:15" ht="69.95" hidden="1" customHeight="1" x14ac:dyDescent="0.2">
      <c r="B130" s="260">
        <v>123</v>
      </c>
      <c r="C130" s="260">
        <v>6</v>
      </c>
      <c r="D130" s="256" t="s">
        <v>4522</v>
      </c>
      <c r="E130" s="292" t="s">
        <v>4495</v>
      </c>
      <c r="F130" s="257">
        <v>15500000</v>
      </c>
      <c r="G130" s="320" t="s">
        <v>4307</v>
      </c>
      <c r="H130" s="256" t="s">
        <v>4523</v>
      </c>
      <c r="I130" s="256" t="s">
        <v>4464</v>
      </c>
      <c r="J130" s="256" t="s">
        <v>4039</v>
      </c>
      <c r="K130" s="289" t="s">
        <v>4524</v>
      </c>
      <c r="L130" s="313" t="s">
        <v>542</v>
      </c>
      <c r="M130" s="313" t="s">
        <v>4339</v>
      </c>
      <c r="N130" s="336" t="s">
        <v>4528</v>
      </c>
      <c r="O130" s="260">
        <v>52</v>
      </c>
    </row>
    <row r="131" spans="2:15" ht="69.95" hidden="1" customHeight="1" x14ac:dyDescent="0.2">
      <c r="B131" s="260">
        <v>124</v>
      </c>
      <c r="C131" s="260">
        <v>6</v>
      </c>
      <c r="D131" s="256" t="s">
        <v>4501</v>
      </c>
      <c r="E131" s="292" t="s">
        <v>4495</v>
      </c>
      <c r="F131" s="257">
        <v>25000000</v>
      </c>
      <c r="G131" s="320" t="s">
        <v>4307</v>
      </c>
      <c r="H131" s="256" t="s">
        <v>4502</v>
      </c>
      <c r="I131" s="256" t="s">
        <v>4464</v>
      </c>
      <c r="J131" s="256" t="s">
        <v>4039</v>
      </c>
      <c r="K131" s="289" t="s">
        <v>4503</v>
      </c>
      <c r="L131" s="313" t="s">
        <v>542</v>
      </c>
      <c r="M131" s="313" t="s">
        <v>4339</v>
      </c>
      <c r="N131" s="336" t="s">
        <v>4528</v>
      </c>
      <c r="O131" s="260">
        <v>52</v>
      </c>
    </row>
    <row r="132" spans="2:15" ht="69.95" hidden="1" customHeight="1" x14ac:dyDescent="0.2">
      <c r="B132" s="260">
        <v>125</v>
      </c>
      <c r="C132" s="260">
        <v>6</v>
      </c>
      <c r="D132" s="256" t="s">
        <v>4538</v>
      </c>
      <c r="E132" s="292" t="s">
        <v>4535</v>
      </c>
      <c r="F132" s="257">
        <v>30000000</v>
      </c>
      <c r="G132" s="320" t="s">
        <v>4039</v>
      </c>
      <c r="H132" s="256" t="s">
        <v>4539</v>
      </c>
      <c r="I132" s="256" t="s">
        <v>4427</v>
      </c>
      <c r="J132" s="256" t="s">
        <v>4039</v>
      </c>
      <c r="K132" s="259" t="s">
        <v>4540</v>
      </c>
      <c r="L132" s="313" t="s">
        <v>542</v>
      </c>
      <c r="M132" s="313" t="s">
        <v>4339</v>
      </c>
      <c r="N132" s="336" t="s">
        <v>4528</v>
      </c>
      <c r="O132" s="260">
        <v>52</v>
      </c>
    </row>
    <row r="133" spans="2:15" ht="69.95" hidden="1" customHeight="1" x14ac:dyDescent="0.2">
      <c r="B133" s="260">
        <v>126</v>
      </c>
      <c r="C133" s="260">
        <v>6</v>
      </c>
      <c r="D133" s="256" t="s">
        <v>4543</v>
      </c>
      <c r="E133" s="292" t="s">
        <v>4535</v>
      </c>
      <c r="F133" s="257">
        <v>55500000</v>
      </c>
      <c r="G133" s="320" t="s">
        <v>4307</v>
      </c>
      <c r="H133" s="256" t="s">
        <v>4544</v>
      </c>
      <c r="I133" s="256" t="s">
        <v>4427</v>
      </c>
      <c r="J133" s="256" t="s">
        <v>4039</v>
      </c>
      <c r="K133" s="259" t="s">
        <v>4545</v>
      </c>
      <c r="L133" s="313" t="s">
        <v>542</v>
      </c>
      <c r="M133" s="313" t="s">
        <v>4339</v>
      </c>
      <c r="N133" s="336" t="s">
        <v>4528</v>
      </c>
      <c r="O133" s="260">
        <v>52</v>
      </c>
    </row>
    <row r="134" spans="2:15" ht="69.95" hidden="1" customHeight="1" x14ac:dyDescent="0.2">
      <c r="B134" s="260">
        <v>127</v>
      </c>
      <c r="C134" s="260">
        <v>6</v>
      </c>
      <c r="D134" s="256" t="s">
        <v>4546</v>
      </c>
      <c r="E134" s="292" t="s">
        <v>4535</v>
      </c>
      <c r="F134" s="257">
        <v>152000000</v>
      </c>
      <c r="G134" s="320" t="s">
        <v>4307</v>
      </c>
      <c r="H134" s="256" t="s">
        <v>4547</v>
      </c>
      <c r="I134" s="256" t="s">
        <v>4427</v>
      </c>
      <c r="J134" s="256" t="s">
        <v>4039</v>
      </c>
      <c r="K134" s="259" t="s">
        <v>4548</v>
      </c>
      <c r="L134" s="313" t="s">
        <v>542</v>
      </c>
      <c r="M134" s="313" t="s">
        <v>4339</v>
      </c>
      <c r="N134" s="336" t="s">
        <v>4528</v>
      </c>
      <c r="O134" s="260">
        <v>52</v>
      </c>
    </row>
    <row r="135" spans="2:15" ht="69.95" hidden="1" customHeight="1" x14ac:dyDescent="0.2">
      <c r="B135" s="260">
        <v>128</v>
      </c>
      <c r="C135" s="260">
        <v>6</v>
      </c>
      <c r="D135" s="256" t="s">
        <v>4549</v>
      </c>
      <c r="E135" s="292" t="s">
        <v>4535</v>
      </c>
      <c r="F135" s="257">
        <v>16250000</v>
      </c>
      <c r="G135" s="320" t="s">
        <v>4307</v>
      </c>
      <c r="H135" s="256" t="s">
        <v>4550</v>
      </c>
      <c r="I135" s="256" t="s">
        <v>4427</v>
      </c>
      <c r="J135" s="256" t="s">
        <v>4039</v>
      </c>
      <c r="K135" s="259" t="s">
        <v>4551</v>
      </c>
      <c r="L135" s="313" t="s">
        <v>542</v>
      </c>
      <c r="M135" s="313" t="s">
        <v>4339</v>
      </c>
      <c r="N135" s="336" t="s">
        <v>4528</v>
      </c>
      <c r="O135" s="260">
        <v>52</v>
      </c>
    </row>
    <row r="136" spans="2:15" ht="69.95" hidden="1" customHeight="1" x14ac:dyDescent="0.2">
      <c r="B136" s="260">
        <v>104</v>
      </c>
      <c r="C136" s="260">
        <v>6</v>
      </c>
      <c r="D136" s="256" t="s">
        <v>4415</v>
      </c>
      <c r="E136" s="292" t="s">
        <v>4416</v>
      </c>
      <c r="F136" s="288">
        <v>210863345</v>
      </c>
      <c r="G136" s="305" t="s">
        <v>4191</v>
      </c>
      <c r="H136" s="333" t="s">
        <v>4417</v>
      </c>
      <c r="I136" s="256" t="s">
        <v>4351</v>
      </c>
      <c r="J136" s="256" t="s">
        <v>4053</v>
      </c>
      <c r="K136" s="259" t="s">
        <v>4418</v>
      </c>
      <c r="L136" s="313" t="s">
        <v>576</v>
      </c>
      <c r="M136" s="313" t="s">
        <v>4340</v>
      </c>
      <c r="N136" s="336" t="s">
        <v>4529</v>
      </c>
      <c r="O136" s="260">
        <v>51</v>
      </c>
    </row>
    <row r="137" spans="2:15" ht="69.95" hidden="1" customHeight="1" x14ac:dyDescent="0.2">
      <c r="B137" s="260">
        <v>105</v>
      </c>
      <c r="C137" s="260">
        <v>6</v>
      </c>
      <c r="D137" s="256" t="s">
        <v>4419</v>
      </c>
      <c r="E137" s="292" t="s">
        <v>4416</v>
      </c>
      <c r="F137" s="288">
        <v>4697567</v>
      </c>
      <c r="G137" s="305" t="s">
        <v>4191</v>
      </c>
      <c r="H137" s="333" t="s">
        <v>4420</v>
      </c>
      <c r="I137" s="256" t="s">
        <v>4351</v>
      </c>
      <c r="J137" s="256" t="s">
        <v>4053</v>
      </c>
      <c r="K137" s="259" t="s">
        <v>4421</v>
      </c>
      <c r="L137" s="313" t="s">
        <v>576</v>
      </c>
      <c r="M137" s="313" t="s">
        <v>4340</v>
      </c>
      <c r="N137" s="336" t="s">
        <v>4529</v>
      </c>
      <c r="O137" s="260">
        <v>51</v>
      </c>
    </row>
    <row r="138" spans="2:15" ht="69.95" hidden="1" customHeight="1" x14ac:dyDescent="0.2">
      <c r="B138" s="260">
        <v>106</v>
      </c>
      <c r="C138" s="260">
        <v>6</v>
      </c>
      <c r="D138" s="256" t="s">
        <v>4534</v>
      </c>
      <c r="E138" s="292" t="s">
        <v>4535</v>
      </c>
      <c r="F138" s="257">
        <v>241668914</v>
      </c>
      <c r="G138" s="305" t="s">
        <v>4039</v>
      </c>
      <c r="H138" s="256" t="s">
        <v>4536</v>
      </c>
      <c r="I138" s="256" t="s">
        <v>4495</v>
      </c>
      <c r="J138" s="256" t="s">
        <v>4039</v>
      </c>
      <c r="K138" s="259" t="s">
        <v>4537</v>
      </c>
      <c r="L138" s="313" t="s">
        <v>576</v>
      </c>
      <c r="M138" s="313" t="s">
        <v>4340</v>
      </c>
      <c r="N138" s="335" t="s">
        <v>4529</v>
      </c>
      <c r="O138" s="260">
        <v>51</v>
      </c>
    </row>
    <row r="139" spans="2:15" ht="69.95" customHeight="1" x14ac:dyDescent="0.2">
      <c r="B139" s="260">
        <v>129</v>
      </c>
      <c r="C139" s="260">
        <v>6</v>
      </c>
      <c r="D139" s="256" t="s">
        <v>4422</v>
      </c>
      <c r="E139" s="292" t="s">
        <v>4416</v>
      </c>
      <c r="F139" s="288">
        <v>63640000</v>
      </c>
      <c r="G139" s="300" t="s">
        <v>4050</v>
      </c>
      <c r="H139" s="333" t="s">
        <v>4423</v>
      </c>
      <c r="I139" s="256" t="s">
        <v>4365</v>
      </c>
      <c r="J139" s="256" t="s">
        <v>4053</v>
      </c>
      <c r="K139" s="259" t="s">
        <v>4424</v>
      </c>
      <c r="L139" s="313" t="s">
        <v>576</v>
      </c>
      <c r="M139" s="313" t="s">
        <v>4338</v>
      </c>
      <c r="N139" s="336" t="s">
        <v>4530</v>
      </c>
      <c r="O139" s="260">
        <v>52</v>
      </c>
    </row>
    <row r="140" spans="2:15" ht="69.95" hidden="1" customHeight="1" x14ac:dyDescent="0.2">
      <c r="B140" s="260">
        <v>130</v>
      </c>
      <c r="C140" s="260">
        <v>6</v>
      </c>
      <c r="D140" s="256" t="s">
        <v>4460</v>
      </c>
      <c r="E140" s="292" t="s">
        <v>4427</v>
      </c>
      <c r="F140" s="257">
        <v>3000000</v>
      </c>
      <c r="G140" s="321" t="s">
        <v>4039</v>
      </c>
      <c r="H140" s="258" t="s">
        <v>4461</v>
      </c>
      <c r="I140" s="256" t="s">
        <v>4382</v>
      </c>
      <c r="J140" s="256" t="s">
        <v>4039</v>
      </c>
      <c r="K140" s="259" t="s">
        <v>4462</v>
      </c>
      <c r="L140" s="323" t="s">
        <v>531</v>
      </c>
      <c r="M140" s="323" t="s">
        <v>4373</v>
      </c>
      <c r="N140" s="336"/>
      <c r="O140" s="260">
        <v>52</v>
      </c>
    </row>
    <row r="141" spans="2:15" ht="69.95" hidden="1" customHeight="1" x14ac:dyDescent="0.2">
      <c r="B141" s="260">
        <v>131</v>
      </c>
      <c r="C141" s="260">
        <v>6</v>
      </c>
      <c r="D141" s="287" t="s">
        <v>4479</v>
      </c>
      <c r="E141" s="293" t="s">
        <v>4464</v>
      </c>
      <c r="F141" s="288">
        <v>6450000</v>
      </c>
      <c r="G141" s="321" t="s">
        <v>4039</v>
      </c>
      <c r="H141" s="287" t="s">
        <v>4480</v>
      </c>
      <c r="I141" s="287" t="s">
        <v>4427</v>
      </c>
      <c r="J141" s="287" t="s">
        <v>4039</v>
      </c>
      <c r="K141" s="289" t="s">
        <v>4481</v>
      </c>
      <c r="L141" s="313" t="s">
        <v>542</v>
      </c>
      <c r="M141" s="313" t="s">
        <v>4339</v>
      </c>
      <c r="N141" s="336"/>
      <c r="O141" s="260">
        <v>52</v>
      </c>
    </row>
    <row r="142" spans="2:15" ht="69.95" hidden="1" customHeight="1" x14ac:dyDescent="0.2">
      <c r="B142" s="260">
        <v>132</v>
      </c>
      <c r="C142" s="260">
        <v>6</v>
      </c>
      <c r="D142" s="256" t="s">
        <v>4451</v>
      </c>
      <c r="E142" s="292" t="s">
        <v>4427</v>
      </c>
      <c r="F142" s="257">
        <v>11343740</v>
      </c>
      <c r="G142" s="321" t="s">
        <v>4039</v>
      </c>
      <c r="H142" s="258" t="s">
        <v>4452</v>
      </c>
      <c r="I142" s="256" t="s">
        <v>4426</v>
      </c>
      <c r="J142" s="256" t="s">
        <v>4039</v>
      </c>
      <c r="K142" s="259" t="s">
        <v>4453</v>
      </c>
      <c r="L142" s="313" t="s">
        <v>535</v>
      </c>
      <c r="M142" s="313" t="s">
        <v>4375</v>
      </c>
      <c r="N142" s="336"/>
      <c r="O142" s="260">
        <v>52</v>
      </c>
    </row>
    <row r="143" spans="2:15" ht="69.95" hidden="1" customHeight="1" x14ac:dyDescent="0.2">
      <c r="B143" s="260">
        <v>133</v>
      </c>
      <c r="C143" s="260">
        <v>6</v>
      </c>
      <c r="D143" s="256" t="s">
        <v>4436</v>
      </c>
      <c r="E143" s="292" t="s">
        <v>4427</v>
      </c>
      <c r="F143" s="257">
        <v>2118000</v>
      </c>
      <c r="G143" s="321" t="s">
        <v>4039</v>
      </c>
      <c r="H143" s="258" t="s">
        <v>4437</v>
      </c>
      <c r="I143" s="256" t="s">
        <v>4426</v>
      </c>
      <c r="J143" s="256" t="s">
        <v>4039</v>
      </c>
      <c r="K143" s="259" t="s">
        <v>4438</v>
      </c>
      <c r="L143" s="313" t="s">
        <v>542</v>
      </c>
      <c r="M143" s="313" t="s">
        <v>4376</v>
      </c>
      <c r="N143" s="336"/>
      <c r="O143" s="260">
        <v>52</v>
      </c>
    </row>
    <row r="144" spans="2:15" ht="69.95" hidden="1" customHeight="1" x14ac:dyDescent="0.2">
      <c r="B144" s="260">
        <v>134</v>
      </c>
      <c r="C144" s="260">
        <v>6</v>
      </c>
      <c r="D144" s="256" t="s">
        <v>4454</v>
      </c>
      <c r="E144" s="292" t="s">
        <v>4427</v>
      </c>
      <c r="F144" s="257">
        <v>11404870</v>
      </c>
      <c r="G144" s="321" t="s">
        <v>4039</v>
      </c>
      <c r="H144" s="258" t="s">
        <v>4455</v>
      </c>
      <c r="I144" s="256" t="s">
        <v>4426</v>
      </c>
      <c r="J144" s="256" t="s">
        <v>4039</v>
      </c>
      <c r="K144" s="259" t="s">
        <v>4456</v>
      </c>
      <c r="L144" s="313" t="s">
        <v>535</v>
      </c>
      <c r="M144" s="313" t="s">
        <v>4375</v>
      </c>
      <c r="N144" s="336"/>
      <c r="O144" s="260">
        <v>52</v>
      </c>
    </row>
    <row r="145" spans="2:15" ht="69.95" hidden="1" customHeight="1" x14ac:dyDescent="0.2">
      <c r="B145" s="260">
        <v>135</v>
      </c>
      <c r="C145" s="260">
        <v>6</v>
      </c>
      <c r="D145" s="256" t="s">
        <v>4439</v>
      </c>
      <c r="E145" s="292" t="s">
        <v>4427</v>
      </c>
      <c r="F145" s="257">
        <v>7200000</v>
      </c>
      <c r="G145" s="321" t="s">
        <v>4039</v>
      </c>
      <c r="H145" s="258" t="s">
        <v>4440</v>
      </c>
      <c r="I145" s="256" t="s">
        <v>4426</v>
      </c>
      <c r="J145" s="256" t="s">
        <v>4039</v>
      </c>
      <c r="K145" s="259" t="s">
        <v>4441</v>
      </c>
      <c r="L145" s="313" t="s">
        <v>535</v>
      </c>
      <c r="M145" s="313" t="s">
        <v>4372</v>
      </c>
      <c r="N145" s="336"/>
      <c r="O145" s="260">
        <v>52</v>
      </c>
    </row>
    <row r="146" spans="2:15" ht="69.95" hidden="1" customHeight="1" x14ac:dyDescent="0.2">
      <c r="B146" s="260">
        <v>136</v>
      </c>
      <c r="C146" s="260">
        <v>6</v>
      </c>
      <c r="D146" s="256" t="s">
        <v>4433</v>
      </c>
      <c r="E146" s="292" t="s">
        <v>4427</v>
      </c>
      <c r="F146" s="257">
        <v>10500000</v>
      </c>
      <c r="G146" s="321" t="s">
        <v>4039</v>
      </c>
      <c r="H146" s="258" t="s">
        <v>4434</v>
      </c>
      <c r="I146" s="256" t="s">
        <v>4426</v>
      </c>
      <c r="J146" s="256" t="s">
        <v>4039</v>
      </c>
      <c r="K146" s="259" t="s">
        <v>4435</v>
      </c>
      <c r="L146" s="313" t="s">
        <v>542</v>
      </c>
      <c r="M146" s="313" t="s">
        <v>4339</v>
      </c>
      <c r="N146" s="336"/>
      <c r="O146" s="260">
        <v>52</v>
      </c>
    </row>
    <row r="147" spans="2:15" ht="69.95" hidden="1" customHeight="1" x14ac:dyDescent="0.2">
      <c r="B147" s="260">
        <v>137</v>
      </c>
      <c r="C147" s="260">
        <v>6</v>
      </c>
      <c r="D147" s="287" t="s">
        <v>4488</v>
      </c>
      <c r="E147" s="293" t="s">
        <v>4464</v>
      </c>
      <c r="F147" s="288">
        <v>1650000</v>
      </c>
      <c r="G147" s="321" t="s">
        <v>4039</v>
      </c>
      <c r="H147" s="287" t="s">
        <v>4489</v>
      </c>
      <c r="I147" s="287" t="s">
        <v>4427</v>
      </c>
      <c r="J147" s="287" t="s">
        <v>4039</v>
      </c>
      <c r="K147" s="289" t="s">
        <v>4490</v>
      </c>
      <c r="L147" s="313" t="s">
        <v>535</v>
      </c>
      <c r="M147" s="313" t="s">
        <v>4375</v>
      </c>
      <c r="N147" s="260"/>
      <c r="O147" s="260">
        <v>52</v>
      </c>
    </row>
    <row r="148" spans="2:15" ht="69.95" hidden="1" customHeight="1" x14ac:dyDescent="0.2">
      <c r="B148" s="260">
        <v>138</v>
      </c>
      <c r="C148" s="260">
        <v>6</v>
      </c>
      <c r="D148" s="287" t="s">
        <v>4491</v>
      </c>
      <c r="E148" s="293" t="s">
        <v>4464</v>
      </c>
      <c r="F148" s="288">
        <v>4074431</v>
      </c>
      <c r="G148" s="321" t="s">
        <v>4039</v>
      </c>
      <c r="H148" s="287" t="s">
        <v>4492</v>
      </c>
      <c r="I148" s="287" t="s">
        <v>4427</v>
      </c>
      <c r="J148" s="287" t="s">
        <v>4039</v>
      </c>
      <c r="K148" s="289" t="s">
        <v>4493</v>
      </c>
      <c r="L148" s="313" t="s">
        <v>542</v>
      </c>
      <c r="M148" s="313" t="s">
        <v>4376</v>
      </c>
      <c r="N148" s="260"/>
      <c r="O148" s="260">
        <v>52</v>
      </c>
    </row>
    <row r="149" spans="2:15" ht="69.95" hidden="1" customHeight="1" x14ac:dyDescent="0.2">
      <c r="B149" s="260">
        <v>139</v>
      </c>
      <c r="C149" s="260">
        <v>6</v>
      </c>
      <c r="D149" s="287" t="s">
        <v>4470</v>
      </c>
      <c r="E149" s="293" t="s">
        <v>4464</v>
      </c>
      <c r="F149" s="288">
        <v>15880573</v>
      </c>
      <c r="G149" s="325" t="s">
        <v>4039</v>
      </c>
      <c r="H149" s="287" t="s">
        <v>4471</v>
      </c>
      <c r="I149" s="287" t="s">
        <v>4427</v>
      </c>
      <c r="J149" s="287" t="s">
        <v>4039</v>
      </c>
      <c r="K149" s="289" t="s">
        <v>4472</v>
      </c>
      <c r="L149" s="313" t="s">
        <v>542</v>
      </c>
      <c r="M149" s="313" t="s">
        <v>4339</v>
      </c>
      <c r="N149" s="260"/>
      <c r="O149" s="260">
        <v>52</v>
      </c>
    </row>
    <row r="150" spans="2:15" ht="69.95" hidden="1" customHeight="1" x14ac:dyDescent="0.2">
      <c r="B150" s="260">
        <v>140</v>
      </c>
      <c r="C150" s="260">
        <v>6</v>
      </c>
      <c r="D150" s="256" t="s">
        <v>4519</v>
      </c>
      <c r="E150" s="292" t="s">
        <v>4495</v>
      </c>
      <c r="F150" s="257">
        <v>3700700</v>
      </c>
      <c r="G150" s="321" t="s">
        <v>4039</v>
      </c>
      <c r="H150" s="256" t="s">
        <v>4520</v>
      </c>
      <c r="I150" s="256" t="s">
        <v>4427</v>
      </c>
      <c r="J150" s="256" t="s">
        <v>4039</v>
      </c>
      <c r="K150" s="289" t="s">
        <v>4521</v>
      </c>
      <c r="L150" s="313" t="s">
        <v>535</v>
      </c>
      <c r="M150" s="313" t="s">
        <v>4375</v>
      </c>
      <c r="N150" s="260"/>
      <c r="O150" s="260">
        <v>52</v>
      </c>
    </row>
    <row r="151" spans="2:15" ht="69.95" hidden="1" customHeight="1" x14ac:dyDescent="0.2">
      <c r="B151" s="260">
        <v>141</v>
      </c>
      <c r="C151" s="260">
        <v>6</v>
      </c>
      <c r="D151" s="287" t="s">
        <v>4467</v>
      </c>
      <c r="E151" s="293" t="s">
        <v>4464</v>
      </c>
      <c r="F151" s="288">
        <v>3840000</v>
      </c>
      <c r="G151" s="325" t="s">
        <v>4039</v>
      </c>
      <c r="H151" s="287" t="s">
        <v>4468</v>
      </c>
      <c r="I151" s="287" t="s">
        <v>4427</v>
      </c>
      <c r="J151" s="287" t="s">
        <v>4039</v>
      </c>
      <c r="K151" s="289" t="s">
        <v>4469</v>
      </c>
      <c r="L151" s="313" t="s">
        <v>542</v>
      </c>
      <c r="M151" s="313" t="s">
        <v>4339</v>
      </c>
      <c r="N151" s="260"/>
      <c r="O151" s="260">
        <v>52</v>
      </c>
    </row>
    <row r="152" spans="2:15" ht="69.95" hidden="1" customHeight="1" x14ac:dyDescent="0.2">
      <c r="B152" s="260">
        <v>142</v>
      </c>
      <c r="C152" s="260">
        <v>6</v>
      </c>
      <c r="D152" s="287" t="s">
        <v>4476</v>
      </c>
      <c r="E152" s="293" t="s">
        <v>4464</v>
      </c>
      <c r="F152" s="288">
        <v>25425327</v>
      </c>
      <c r="G152" s="325" t="s">
        <v>4039</v>
      </c>
      <c r="H152" s="287" t="s">
        <v>4477</v>
      </c>
      <c r="I152" s="287" t="s">
        <v>4427</v>
      </c>
      <c r="J152" s="287" t="s">
        <v>4039</v>
      </c>
      <c r="K152" s="289" t="s">
        <v>4478</v>
      </c>
      <c r="L152" s="313" t="s">
        <v>531</v>
      </c>
      <c r="M152" s="313" t="s">
        <v>4373</v>
      </c>
      <c r="N152" s="260"/>
      <c r="O152" s="260">
        <v>52</v>
      </c>
    </row>
    <row r="153" spans="2:15" ht="69.95" hidden="1" customHeight="1" x14ac:dyDescent="0.2">
      <c r="B153" s="260">
        <v>143</v>
      </c>
      <c r="C153" s="260">
        <v>6</v>
      </c>
      <c r="D153" s="287" t="s">
        <v>4473</v>
      </c>
      <c r="E153" s="293" t="s">
        <v>4464</v>
      </c>
      <c r="F153" s="288">
        <v>15508650</v>
      </c>
      <c r="G153" s="325" t="s">
        <v>4039</v>
      </c>
      <c r="H153" s="287" t="s">
        <v>4474</v>
      </c>
      <c r="I153" s="287" t="s">
        <v>4427</v>
      </c>
      <c r="J153" s="287" t="s">
        <v>4039</v>
      </c>
      <c r="K153" s="289" t="s">
        <v>4475</v>
      </c>
      <c r="L153" s="313" t="s">
        <v>535</v>
      </c>
      <c r="M153" s="313" t="s">
        <v>4372</v>
      </c>
      <c r="N153" s="260"/>
      <c r="O153" s="260">
        <v>52</v>
      </c>
    </row>
    <row r="154" spans="2:15" ht="69.95" hidden="1" customHeight="1" x14ac:dyDescent="0.2">
      <c r="B154" s="260">
        <v>144</v>
      </c>
      <c r="C154" s="260">
        <v>6</v>
      </c>
      <c r="D154" s="287" t="s">
        <v>4482</v>
      </c>
      <c r="E154" s="293" t="s">
        <v>4464</v>
      </c>
      <c r="F154" s="288">
        <v>27294800</v>
      </c>
      <c r="G154" s="321" t="s">
        <v>4039</v>
      </c>
      <c r="H154" s="287" t="s">
        <v>4483</v>
      </c>
      <c r="I154" s="287" t="s">
        <v>4427</v>
      </c>
      <c r="J154" s="287" t="s">
        <v>4039</v>
      </c>
      <c r="K154" s="289" t="s">
        <v>4484</v>
      </c>
      <c r="L154" s="313" t="s">
        <v>535</v>
      </c>
      <c r="M154" s="313" t="s">
        <v>4372</v>
      </c>
      <c r="N154" s="260"/>
      <c r="O154" s="260">
        <v>52</v>
      </c>
    </row>
    <row r="155" spans="2:15" ht="69.95" hidden="1" customHeight="1" x14ac:dyDescent="0.2">
      <c r="B155" s="260">
        <v>145</v>
      </c>
      <c r="C155" s="260">
        <v>6</v>
      </c>
      <c r="D155" s="256" t="s">
        <v>4541</v>
      </c>
      <c r="E155" s="292" t="s">
        <v>4535</v>
      </c>
      <c r="F155" s="257">
        <v>7559500</v>
      </c>
      <c r="G155" s="303" t="s">
        <v>4063</v>
      </c>
      <c r="H155" s="256" t="s">
        <v>4542</v>
      </c>
      <c r="I155" s="256" t="s">
        <v>4495</v>
      </c>
      <c r="J155" s="256" t="s">
        <v>4066</v>
      </c>
      <c r="K155" s="259" t="s">
        <v>4383</v>
      </c>
      <c r="L155" s="313"/>
      <c r="M155" s="313"/>
      <c r="N155" s="335"/>
      <c r="O155" s="260">
        <v>52</v>
      </c>
    </row>
    <row r="156" spans="2:15" ht="69.95" hidden="1" customHeight="1" x14ac:dyDescent="0.2">
      <c r="B156" s="260">
        <v>146</v>
      </c>
      <c r="C156" s="260">
        <v>6</v>
      </c>
      <c r="D156" s="338" t="s">
        <v>4557</v>
      </c>
      <c r="E156" s="339" t="s">
        <v>4558</v>
      </c>
      <c r="F156" s="340">
        <v>136770850</v>
      </c>
      <c r="G156" s="320" t="s">
        <v>4039</v>
      </c>
      <c r="H156" s="338" t="s">
        <v>4559</v>
      </c>
      <c r="I156" s="338" t="s">
        <v>4560</v>
      </c>
      <c r="J156" s="338" t="s">
        <v>4039</v>
      </c>
      <c r="K156" s="342" t="s">
        <v>4561</v>
      </c>
      <c r="L156" s="313" t="s">
        <v>542</v>
      </c>
      <c r="M156" s="313" t="s">
        <v>4339</v>
      </c>
      <c r="N156" s="336" t="s">
        <v>4528</v>
      </c>
      <c r="O156" s="260">
        <v>52</v>
      </c>
    </row>
    <row r="157" spans="2:15" ht="69.95" hidden="1" customHeight="1" x14ac:dyDescent="0.2">
      <c r="B157" s="260">
        <v>147</v>
      </c>
      <c r="C157" s="260">
        <v>6</v>
      </c>
      <c r="D157" s="256" t="s">
        <v>4562</v>
      </c>
      <c r="E157" s="292" t="s">
        <v>4558</v>
      </c>
      <c r="F157" s="257">
        <v>48815040</v>
      </c>
      <c r="G157" s="321" t="s">
        <v>4039</v>
      </c>
      <c r="H157" s="256" t="s">
        <v>4563</v>
      </c>
      <c r="I157" s="256" t="s">
        <v>4560</v>
      </c>
      <c r="J157" s="256" t="s">
        <v>4039</v>
      </c>
      <c r="K157" s="289" t="s">
        <v>4564</v>
      </c>
      <c r="L157" s="313" t="s">
        <v>535</v>
      </c>
      <c r="M157" s="313" t="s">
        <v>4372</v>
      </c>
      <c r="N157" s="335"/>
      <c r="O157" s="260">
        <v>52</v>
      </c>
    </row>
    <row r="158" spans="2:15" ht="69.95" hidden="1" customHeight="1" x14ac:dyDescent="0.2">
      <c r="B158" s="260">
        <v>148</v>
      </c>
      <c r="C158" s="260">
        <v>6</v>
      </c>
      <c r="D158" s="256" t="s">
        <v>4565</v>
      </c>
      <c r="E158" s="292" t="s">
        <v>4558</v>
      </c>
      <c r="F158" s="257">
        <v>360000</v>
      </c>
      <c r="G158" s="321" t="s">
        <v>4039</v>
      </c>
      <c r="H158" s="256" t="s">
        <v>4566</v>
      </c>
      <c r="I158" s="256" t="s">
        <v>4560</v>
      </c>
      <c r="J158" s="256" t="s">
        <v>4039</v>
      </c>
      <c r="K158" s="289" t="s">
        <v>4567</v>
      </c>
      <c r="L158" s="313" t="s">
        <v>531</v>
      </c>
      <c r="M158" s="313" t="s">
        <v>4374</v>
      </c>
      <c r="N158" s="335"/>
      <c r="O158" s="260">
        <v>52</v>
      </c>
    </row>
    <row r="159" spans="2:15" ht="69.95" hidden="1" customHeight="1" x14ac:dyDescent="0.2">
      <c r="B159" s="260">
        <v>149</v>
      </c>
      <c r="C159" s="260">
        <v>6</v>
      </c>
      <c r="D159" s="338" t="s">
        <v>4568</v>
      </c>
      <c r="E159" s="339" t="s">
        <v>4558</v>
      </c>
      <c r="F159" s="340">
        <v>2110000</v>
      </c>
      <c r="G159" s="321" t="s">
        <v>4039</v>
      </c>
      <c r="H159" s="338" t="s">
        <v>4569</v>
      </c>
      <c r="I159" s="338" t="s">
        <v>4560</v>
      </c>
      <c r="J159" s="338" t="s">
        <v>4039</v>
      </c>
      <c r="K159" s="342" t="s">
        <v>4570</v>
      </c>
      <c r="L159" s="341" t="s">
        <v>531</v>
      </c>
      <c r="M159" s="341" t="s">
        <v>4373</v>
      </c>
      <c r="N159" s="337"/>
      <c r="O159" s="260">
        <v>52</v>
      </c>
    </row>
    <row r="160" spans="2:15" ht="69.95" hidden="1" customHeight="1" x14ac:dyDescent="0.2">
      <c r="B160" s="260">
        <v>150</v>
      </c>
      <c r="C160" s="260">
        <v>6</v>
      </c>
      <c r="D160" s="256" t="s">
        <v>4571</v>
      </c>
      <c r="E160" s="292" t="s">
        <v>4558</v>
      </c>
      <c r="F160" s="257">
        <v>9185000</v>
      </c>
      <c r="G160" s="321" t="s">
        <v>4039</v>
      </c>
      <c r="H160" s="256" t="s">
        <v>4572</v>
      </c>
      <c r="I160" s="256" t="s">
        <v>4560</v>
      </c>
      <c r="J160" s="256" t="s">
        <v>4039</v>
      </c>
      <c r="K160" s="289" t="s">
        <v>4573</v>
      </c>
      <c r="L160" s="313" t="s">
        <v>542</v>
      </c>
      <c r="M160" s="313" t="s">
        <v>4376</v>
      </c>
      <c r="N160" s="335"/>
      <c r="O160" s="260">
        <v>52</v>
      </c>
    </row>
    <row r="161" spans="2:15" ht="69.95" hidden="1" customHeight="1" x14ac:dyDescent="0.2">
      <c r="B161" s="260">
        <v>151</v>
      </c>
      <c r="C161" s="260">
        <v>6</v>
      </c>
      <c r="D161" s="256" t="s">
        <v>4574</v>
      </c>
      <c r="E161" s="292" t="s">
        <v>4558</v>
      </c>
      <c r="F161" s="257">
        <v>14635000</v>
      </c>
      <c r="G161" s="321" t="s">
        <v>4039</v>
      </c>
      <c r="H161" s="256" t="s">
        <v>4575</v>
      </c>
      <c r="I161" s="256" t="s">
        <v>4560</v>
      </c>
      <c r="J161" s="256" t="s">
        <v>4039</v>
      </c>
      <c r="K161" s="289" t="s">
        <v>4576</v>
      </c>
      <c r="L161" s="313" t="s">
        <v>542</v>
      </c>
      <c r="M161" s="313" t="s">
        <v>4339</v>
      </c>
      <c r="N161" s="335"/>
      <c r="O161" s="260">
        <v>52</v>
      </c>
    </row>
    <row r="162" spans="2:15" ht="69.95" hidden="1" customHeight="1" x14ac:dyDescent="0.2">
      <c r="B162" s="260">
        <v>152</v>
      </c>
      <c r="C162" s="260">
        <v>6</v>
      </c>
      <c r="D162" s="338" t="s">
        <v>4577</v>
      </c>
      <c r="E162" s="339" t="s">
        <v>4558</v>
      </c>
      <c r="F162" s="340">
        <v>25208100</v>
      </c>
      <c r="G162" s="321" t="s">
        <v>4039</v>
      </c>
      <c r="H162" s="338" t="s">
        <v>4578</v>
      </c>
      <c r="I162" s="338" t="s">
        <v>4560</v>
      </c>
      <c r="J162" s="338" t="s">
        <v>4039</v>
      </c>
      <c r="K162" s="342" t="s">
        <v>4579</v>
      </c>
      <c r="L162" s="341" t="s">
        <v>542</v>
      </c>
      <c r="M162" s="341" t="s">
        <v>4376</v>
      </c>
      <c r="N162" s="337"/>
      <c r="O162" s="260">
        <v>52</v>
      </c>
    </row>
    <row r="163" spans="2:15" ht="69.95" hidden="1" customHeight="1" x14ac:dyDescent="0.2">
      <c r="B163" s="260">
        <v>153</v>
      </c>
      <c r="C163" s="260">
        <v>6</v>
      </c>
      <c r="D163" s="256" t="s">
        <v>4580</v>
      </c>
      <c r="E163" s="292" t="s">
        <v>4558</v>
      </c>
      <c r="F163" s="257">
        <v>9875000</v>
      </c>
      <c r="G163" s="320" t="s">
        <v>4039</v>
      </c>
      <c r="H163" s="256" t="s">
        <v>4581</v>
      </c>
      <c r="I163" s="256" t="s">
        <v>4560</v>
      </c>
      <c r="J163" s="256" t="s">
        <v>4039</v>
      </c>
      <c r="K163" s="289" t="s">
        <v>4582</v>
      </c>
      <c r="L163" s="313" t="s">
        <v>542</v>
      </c>
      <c r="M163" s="313" t="s">
        <v>4339</v>
      </c>
      <c r="N163" s="336" t="s">
        <v>4528</v>
      </c>
      <c r="O163" s="260">
        <v>52</v>
      </c>
    </row>
    <row r="164" spans="2:15" ht="69.95" hidden="1" customHeight="1" x14ac:dyDescent="0.2">
      <c r="B164" s="260">
        <v>154</v>
      </c>
      <c r="C164" s="260">
        <v>6</v>
      </c>
      <c r="D164" s="256" t="s">
        <v>4583</v>
      </c>
      <c r="E164" s="292" t="s">
        <v>4558</v>
      </c>
      <c r="F164" s="257">
        <v>3950000</v>
      </c>
      <c r="G164" s="320" t="s">
        <v>4039</v>
      </c>
      <c r="H164" s="256" t="s">
        <v>4584</v>
      </c>
      <c r="I164" s="256" t="s">
        <v>4560</v>
      </c>
      <c r="J164" s="256" t="s">
        <v>4039</v>
      </c>
      <c r="K164" s="289" t="s">
        <v>4585</v>
      </c>
      <c r="L164" s="313" t="s">
        <v>542</v>
      </c>
      <c r="M164" s="313" t="s">
        <v>4339</v>
      </c>
      <c r="N164" s="336" t="s">
        <v>4528</v>
      </c>
      <c r="O164" s="260">
        <v>52</v>
      </c>
    </row>
    <row r="165" spans="2:15" ht="69.95" hidden="1" customHeight="1" x14ac:dyDescent="0.2">
      <c r="B165" s="260">
        <v>155</v>
      </c>
      <c r="C165" s="260">
        <v>6</v>
      </c>
      <c r="D165" s="338" t="s">
        <v>4586</v>
      </c>
      <c r="E165" s="339" t="s">
        <v>4558</v>
      </c>
      <c r="F165" s="340">
        <v>3950000</v>
      </c>
      <c r="G165" s="320" t="s">
        <v>4039</v>
      </c>
      <c r="H165" s="338" t="s">
        <v>4587</v>
      </c>
      <c r="I165" s="338" t="s">
        <v>4560</v>
      </c>
      <c r="J165" s="338" t="s">
        <v>4039</v>
      </c>
      <c r="K165" s="342" t="s">
        <v>4585</v>
      </c>
      <c r="L165" s="313" t="s">
        <v>542</v>
      </c>
      <c r="M165" s="313" t="s">
        <v>4339</v>
      </c>
      <c r="N165" s="336" t="s">
        <v>4528</v>
      </c>
      <c r="O165" s="260">
        <v>52</v>
      </c>
    </row>
    <row r="166" spans="2:15" ht="69.95" hidden="1" customHeight="1" x14ac:dyDescent="0.2">
      <c r="B166" s="260">
        <v>156</v>
      </c>
      <c r="C166" s="335">
        <v>6</v>
      </c>
      <c r="D166" s="256" t="s">
        <v>4588</v>
      </c>
      <c r="E166" s="292" t="s">
        <v>4589</v>
      </c>
      <c r="F166" s="257">
        <v>424528</v>
      </c>
      <c r="G166" s="305" t="s">
        <v>4039</v>
      </c>
      <c r="H166" s="256" t="s">
        <v>4590</v>
      </c>
      <c r="I166" s="256" t="s">
        <v>4560</v>
      </c>
      <c r="J166" s="256" t="s">
        <v>4039</v>
      </c>
      <c r="K166" s="289" t="s">
        <v>4591</v>
      </c>
      <c r="L166" s="313" t="s">
        <v>576</v>
      </c>
      <c r="M166" s="313" t="s">
        <v>4340</v>
      </c>
      <c r="N166" s="336" t="s">
        <v>4529</v>
      </c>
      <c r="O166" s="335">
        <v>51</v>
      </c>
    </row>
    <row r="167" spans="2:15" ht="69.95" hidden="1" customHeight="1" x14ac:dyDescent="0.2">
      <c r="B167" s="260">
        <v>157</v>
      </c>
      <c r="C167" s="337">
        <v>6</v>
      </c>
      <c r="D167" s="338" t="s">
        <v>4592</v>
      </c>
      <c r="E167" s="339" t="s">
        <v>4589</v>
      </c>
      <c r="F167" s="340">
        <v>16698000</v>
      </c>
      <c r="G167" s="305" t="s">
        <v>4207</v>
      </c>
      <c r="H167" s="338" t="s">
        <v>4593</v>
      </c>
      <c r="I167" s="338" t="s">
        <v>4560</v>
      </c>
      <c r="J167" s="338" t="s">
        <v>4039</v>
      </c>
      <c r="K167" s="342" t="s">
        <v>4594</v>
      </c>
      <c r="L167" s="313" t="s">
        <v>576</v>
      </c>
      <c r="M167" s="313" t="s">
        <v>4340</v>
      </c>
      <c r="N167" s="336" t="s">
        <v>4529</v>
      </c>
      <c r="O167" s="337">
        <v>51</v>
      </c>
    </row>
    <row r="168" spans="2:15" ht="69.95" hidden="1" customHeight="1" x14ac:dyDescent="0.2">
      <c r="B168" s="260">
        <v>158</v>
      </c>
      <c r="C168" s="337">
        <v>6</v>
      </c>
      <c r="D168" s="256" t="s">
        <v>4596</v>
      </c>
      <c r="E168" s="292" t="s">
        <v>4597</v>
      </c>
      <c r="F168" s="257">
        <v>1200000</v>
      </c>
      <c r="G168" s="321" t="s">
        <v>4039</v>
      </c>
      <c r="H168" s="256" t="s">
        <v>4598</v>
      </c>
      <c r="I168" s="256" t="s">
        <v>4599</v>
      </c>
      <c r="J168" s="256" t="s">
        <v>4039</v>
      </c>
      <c r="K168" s="259" t="s">
        <v>4600</v>
      </c>
      <c r="L168" s="341" t="s">
        <v>531</v>
      </c>
      <c r="M168" s="341" t="s">
        <v>4373</v>
      </c>
      <c r="N168" s="335"/>
      <c r="O168" s="335">
        <v>52</v>
      </c>
    </row>
    <row r="169" spans="2:15" ht="69.95" hidden="1" customHeight="1" x14ac:dyDescent="0.2">
      <c r="B169" s="260">
        <v>159</v>
      </c>
      <c r="C169" s="337">
        <v>6</v>
      </c>
      <c r="D169" s="338" t="s">
        <v>4601</v>
      </c>
      <c r="E169" s="339" t="s">
        <v>4597</v>
      </c>
      <c r="F169" s="340">
        <v>9950000</v>
      </c>
      <c r="G169" s="320" t="s">
        <v>4307</v>
      </c>
      <c r="H169" s="338" t="s">
        <v>4602</v>
      </c>
      <c r="I169" s="338" t="s">
        <v>4599</v>
      </c>
      <c r="J169" s="338" t="s">
        <v>4039</v>
      </c>
      <c r="K169" s="343" t="s">
        <v>4603</v>
      </c>
      <c r="L169" s="313" t="s">
        <v>542</v>
      </c>
      <c r="M169" s="313" t="s">
        <v>4339</v>
      </c>
      <c r="N169" s="336" t="s">
        <v>4528</v>
      </c>
      <c r="O169" s="337">
        <v>52</v>
      </c>
    </row>
    <row r="170" spans="2:15" ht="69.95" hidden="1" customHeight="1" x14ac:dyDescent="0.2">
      <c r="B170" s="260">
        <v>160</v>
      </c>
      <c r="C170" s="337">
        <v>6</v>
      </c>
      <c r="D170" s="338" t="s">
        <v>4604</v>
      </c>
      <c r="E170" s="339" t="s">
        <v>4597</v>
      </c>
      <c r="F170" s="340">
        <v>1810000</v>
      </c>
      <c r="G170" s="321" t="s">
        <v>4039</v>
      </c>
      <c r="H170" s="338" t="s">
        <v>4605</v>
      </c>
      <c r="I170" s="338" t="s">
        <v>4599</v>
      </c>
      <c r="J170" s="338" t="s">
        <v>4039</v>
      </c>
      <c r="K170" s="343" t="s">
        <v>4606</v>
      </c>
      <c r="L170" s="341" t="s">
        <v>531</v>
      </c>
      <c r="M170" s="341" t="s">
        <v>4373</v>
      </c>
      <c r="N170" s="337"/>
      <c r="O170" s="337">
        <v>52</v>
      </c>
    </row>
    <row r="172" spans="2:15" ht="69.95" customHeight="1" x14ac:dyDescent="0.2">
      <c r="N172" s="331" t="s">
        <v>3842</v>
      </c>
    </row>
  </sheetData>
  <sortState xmlns:xlrd2="http://schemas.microsoft.com/office/spreadsheetml/2017/richdata2" ref="B11:K51">
    <sortCondition ref="H11:H51"/>
  </sortState>
  <conditionalFormatting sqref="D113:D116">
    <cfRule type="duplicateValues" dxfId="500" priority="3"/>
  </conditionalFormatting>
  <conditionalFormatting sqref="D11:D170">
    <cfRule type="duplicateValues" dxfId="499" priority="28"/>
    <cfRule type="duplicateValues" dxfId="498" priority="29"/>
  </conditionalFormatting>
  <pageMargins left="0.7" right="0.7" top="0.75" bottom="0.75" header="0.3" footer="0.3"/>
  <pageSetup orientation="portrait" horizontalDpi="0" verticalDpi="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8DDB7010-4A22-4C04-8AC4-F6FB6B7050C1}">
          <x14:formula1>
            <xm:f>Eselon2!$H$2:$H$5</xm:f>
          </x14:formula1>
          <xm:sqref>L11:L170</xm:sqref>
        </x14:dataValidation>
        <x14:dataValidation type="list" allowBlank="1" showInputMessage="1" showErrorMessage="1" xr:uid="{1D7AA939-12B2-4A2A-99CA-5C400ED59A4C}">
          <x14:formula1>
            <xm:f>Eselon2!$R$2:$R$9</xm:f>
          </x14:formula1>
          <xm:sqref>M11:M170</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498"/>
  <sheetViews>
    <sheetView showGridLines="0" topLeftCell="A139" zoomScale="70" zoomScaleNormal="70" zoomScaleSheetLayoutView="70" workbookViewId="0">
      <selection activeCell="C15" sqref="C15"/>
    </sheetView>
  </sheetViews>
  <sheetFormatPr defaultRowHeight="15" x14ac:dyDescent="0.25"/>
  <cols>
    <col min="3" max="3" width="99.7109375" style="239" bestFit="1" customWidth="1"/>
    <col min="4" max="4" width="16.140625" bestFit="1" customWidth="1"/>
    <col min="5" max="5" width="15" bestFit="1" customWidth="1"/>
    <col min="6" max="6" width="7.7109375" bestFit="1" customWidth="1"/>
    <col min="7" max="7" width="15" bestFit="1" customWidth="1"/>
    <col min="8" max="8" width="7.28515625" bestFit="1" customWidth="1"/>
    <col min="9" max="9" width="18.5703125" bestFit="1" customWidth="1"/>
    <col min="10" max="10" width="21.42578125" customWidth="1"/>
    <col min="13" max="13" width="14.28515625" style="215" customWidth="1"/>
    <col min="18" max="18" width="19.28515625" customWidth="1"/>
    <col min="21" max="21" width="11.5703125" bestFit="1" customWidth="1"/>
  </cols>
  <sheetData>
    <row r="1" spans="3:18" ht="19.5" x14ac:dyDescent="0.4">
      <c r="C1" s="457" t="str">
        <f>'PERSUBBID - Gaji'!A1</f>
        <v>REALISASI TANPA GAJI (BERDASARKAN PAGU SETELAH BLOKIR)</v>
      </c>
      <c r="D1" s="457"/>
      <c r="E1" s="457"/>
      <c r="F1" s="457"/>
      <c r="G1" s="457"/>
      <c r="H1" s="457"/>
    </row>
    <row r="2" spans="3:18" ht="19.5" x14ac:dyDescent="0.4">
      <c r="C2" s="457" t="str">
        <f>'PERSUBBID - Gaji'!A2</f>
        <v>Berdasarkan DIPA Revisi 2, POK 2 TA. 2022 (Tanggal 9 Juni 2022)</v>
      </c>
      <c r="D2" s="457"/>
      <c r="E2" s="457"/>
      <c r="F2" s="457"/>
      <c r="G2" s="457"/>
      <c r="H2" s="457"/>
    </row>
    <row r="3" spans="3:18" ht="19.5" x14ac:dyDescent="0.4">
      <c r="C3" s="457" t="str">
        <f>'PERSUBBID - Gaji'!A3</f>
        <v>SAMPAI DENGAN 15 JUNI 2022</v>
      </c>
      <c r="D3" s="457"/>
      <c r="E3" s="457"/>
      <c r="F3" s="457"/>
      <c r="G3" s="457"/>
      <c r="H3" s="457"/>
    </row>
    <row r="4" spans="3:18" x14ac:dyDescent="0.25">
      <c r="C4" s="306"/>
      <c r="D4" s="306"/>
      <c r="E4" s="306"/>
      <c r="F4" s="306"/>
      <c r="G4" s="306"/>
      <c r="H4" s="306"/>
    </row>
    <row r="5" spans="3:18" ht="15.75" x14ac:dyDescent="0.25">
      <c r="C5" s="307" t="s">
        <v>4011</v>
      </c>
      <c r="D5" s="308" t="s">
        <v>4006</v>
      </c>
      <c r="E5" s="308" t="s">
        <v>4007</v>
      </c>
      <c r="F5" s="308" t="s">
        <v>4008</v>
      </c>
      <c r="G5" s="308" t="s">
        <v>4009</v>
      </c>
      <c r="H5" s="308" t="s">
        <v>4010</v>
      </c>
    </row>
    <row r="6" spans="3:18" ht="17.100000000000001" customHeight="1" x14ac:dyDescent="0.25">
      <c r="C6" s="247" t="s">
        <v>530</v>
      </c>
      <c r="D6" s="351">
        <v>11375804000</v>
      </c>
      <c r="E6" s="351">
        <v>6067322932</v>
      </c>
      <c r="F6" s="352">
        <v>53.33533288724032</v>
      </c>
      <c r="G6" s="351">
        <v>5308481068</v>
      </c>
      <c r="H6" s="352">
        <v>46.66466711275968</v>
      </c>
      <c r="R6" s="215"/>
    </row>
    <row r="7" spans="3:18" x14ac:dyDescent="0.25">
      <c r="C7" s="309" t="s">
        <v>3888</v>
      </c>
      <c r="D7" s="353">
        <v>1000000000</v>
      </c>
      <c r="E7" s="353">
        <v>368522100</v>
      </c>
      <c r="F7" s="354">
        <v>36.852209999999999</v>
      </c>
      <c r="G7" s="353">
        <v>631477900</v>
      </c>
      <c r="H7" s="354">
        <v>63.147790000000001</v>
      </c>
      <c r="R7" s="215"/>
    </row>
    <row r="8" spans="3:18" x14ac:dyDescent="0.25">
      <c r="C8" s="309" t="s">
        <v>3898</v>
      </c>
      <c r="D8" s="353">
        <v>1000000000</v>
      </c>
      <c r="E8" s="353">
        <v>368522100</v>
      </c>
      <c r="F8" s="354">
        <v>36.852209999999999</v>
      </c>
      <c r="G8" s="353">
        <v>631477900</v>
      </c>
      <c r="H8" s="354">
        <v>63.147790000000001</v>
      </c>
    </row>
    <row r="9" spans="3:18" x14ac:dyDescent="0.25">
      <c r="C9" s="310" t="s">
        <v>535</v>
      </c>
      <c r="D9" s="355">
        <v>821400000</v>
      </c>
      <c r="E9" s="355">
        <v>288789600</v>
      </c>
      <c r="F9" s="356">
        <v>35.158217677136591</v>
      </c>
      <c r="G9" s="355">
        <v>532610400</v>
      </c>
      <c r="H9" s="356">
        <v>64.841782322863409</v>
      </c>
    </row>
    <row r="10" spans="3:18" x14ac:dyDescent="0.25">
      <c r="C10" s="170" t="s">
        <v>536</v>
      </c>
      <c r="D10" s="357">
        <v>686300000</v>
      </c>
      <c r="E10" s="357">
        <v>214180240</v>
      </c>
      <c r="F10" s="358">
        <v>31.207961532857354</v>
      </c>
      <c r="G10" s="357">
        <v>472119760</v>
      </c>
      <c r="H10" s="358">
        <v>68.792038467142646</v>
      </c>
    </row>
    <row r="11" spans="3:18" x14ac:dyDescent="0.25">
      <c r="C11" s="309" t="s">
        <v>3900</v>
      </c>
      <c r="D11" s="353">
        <v>686300000</v>
      </c>
      <c r="E11" s="353">
        <v>214180240</v>
      </c>
      <c r="F11" s="354">
        <v>31.207961532857354</v>
      </c>
      <c r="G11" s="353">
        <v>472119760</v>
      </c>
      <c r="H11" s="354">
        <v>68.792038467142646</v>
      </c>
    </row>
    <row r="12" spans="3:18" x14ac:dyDescent="0.25">
      <c r="C12" s="326" t="s">
        <v>3906</v>
      </c>
      <c r="D12" s="359">
        <v>686300000</v>
      </c>
      <c r="E12" s="359">
        <v>214180240</v>
      </c>
      <c r="F12" s="360">
        <v>31.207961532857354</v>
      </c>
      <c r="G12" s="359">
        <v>472119760</v>
      </c>
      <c r="H12" s="360">
        <v>68.792038467142646</v>
      </c>
    </row>
    <row r="13" spans="3:18" x14ac:dyDescent="0.25">
      <c r="C13" s="311" t="s">
        <v>3907</v>
      </c>
      <c r="D13" s="361">
        <v>386924000</v>
      </c>
      <c r="E13" s="361">
        <v>58923650</v>
      </c>
      <c r="F13" s="362">
        <v>15.228740010958225</v>
      </c>
      <c r="G13" s="361">
        <v>328000350</v>
      </c>
      <c r="H13" s="362">
        <v>84.771259989041781</v>
      </c>
    </row>
    <row r="14" spans="3:18" x14ac:dyDescent="0.25">
      <c r="C14" s="315" t="s">
        <v>3890</v>
      </c>
      <c r="D14" s="353">
        <v>64900000</v>
      </c>
      <c r="E14" s="353">
        <v>6195000</v>
      </c>
      <c r="F14" s="354">
        <v>9.5454545454545467</v>
      </c>
      <c r="G14" s="353">
        <v>58705000</v>
      </c>
      <c r="H14" s="354">
        <v>90.454545454545453</v>
      </c>
    </row>
    <row r="15" spans="3:18" x14ac:dyDescent="0.25">
      <c r="C15" s="315" t="s">
        <v>3903</v>
      </c>
      <c r="D15" s="353">
        <v>6000000</v>
      </c>
      <c r="E15" s="353">
        <v>963000</v>
      </c>
      <c r="F15" s="354">
        <v>16.05</v>
      </c>
      <c r="G15" s="353">
        <v>5037000</v>
      </c>
      <c r="H15" s="354">
        <v>83.95</v>
      </c>
    </row>
    <row r="16" spans="3:18" x14ac:dyDescent="0.25">
      <c r="C16" s="315" t="s">
        <v>3908</v>
      </c>
      <c r="D16" s="353">
        <v>30000000</v>
      </c>
      <c r="E16" s="353">
        <v>9537000</v>
      </c>
      <c r="F16" s="354">
        <v>31.790000000000003</v>
      </c>
      <c r="G16" s="353">
        <v>20463000</v>
      </c>
      <c r="H16" s="354">
        <v>68.210000000000008</v>
      </c>
    </row>
    <row r="17" spans="3:21" x14ac:dyDescent="0.25">
      <c r="C17" s="315" t="s">
        <v>3893</v>
      </c>
      <c r="D17" s="353">
        <v>25200000</v>
      </c>
      <c r="E17" s="353">
        <v>9000000</v>
      </c>
      <c r="F17" s="354">
        <v>35.714285714285715</v>
      </c>
      <c r="G17" s="353">
        <v>16200000</v>
      </c>
      <c r="H17" s="354">
        <v>64.285714285714292</v>
      </c>
    </row>
    <row r="18" spans="3:21" x14ac:dyDescent="0.25">
      <c r="C18" s="315" t="s">
        <v>3895</v>
      </c>
      <c r="D18" s="353">
        <v>6000000</v>
      </c>
      <c r="E18" s="353">
        <v>0</v>
      </c>
      <c r="F18" s="354">
        <v>0</v>
      </c>
      <c r="G18" s="353">
        <v>6000000</v>
      </c>
      <c r="H18" s="354">
        <v>100</v>
      </c>
    </row>
    <row r="19" spans="3:21" x14ac:dyDescent="0.25">
      <c r="C19" s="315" t="s">
        <v>3894</v>
      </c>
      <c r="D19" s="353">
        <v>253324000</v>
      </c>
      <c r="E19" s="353">
        <v>33228650</v>
      </c>
      <c r="F19" s="354">
        <v>13.117055628365257</v>
      </c>
      <c r="G19" s="353">
        <v>220095350</v>
      </c>
      <c r="H19" s="354">
        <v>86.882944371634736</v>
      </c>
    </row>
    <row r="20" spans="3:21" x14ac:dyDescent="0.25">
      <c r="C20" s="315" t="s">
        <v>508</v>
      </c>
      <c r="D20" s="353">
        <v>1500000</v>
      </c>
      <c r="E20" s="353">
        <v>0</v>
      </c>
      <c r="F20" s="354">
        <v>0</v>
      </c>
      <c r="G20" s="353">
        <v>1500000</v>
      </c>
      <c r="H20" s="354">
        <v>100</v>
      </c>
    </row>
    <row r="21" spans="3:21" x14ac:dyDescent="0.25">
      <c r="C21" s="311" t="s">
        <v>3909</v>
      </c>
      <c r="D21" s="361">
        <v>247816000</v>
      </c>
      <c r="E21" s="361">
        <v>155256590</v>
      </c>
      <c r="F21" s="362">
        <v>62.649945927623719</v>
      </c>
      <c r="G21" s="361">
        <v>92559410</v>
      </c>
      <c r="H21" s="362">
        <v>37.350054072376281</v>
      </c>
    </row>
    <row r="22" spans="3:21" x14ac:dyDescent="0.25">
      <c r="C22" s="315" t="s">
        <v>3890</v>
      </c>
      <c r="D22" s="353">
        <v>71456000</v>
      </c>
      <c r="E22" s="353">
        <v>10438550</v>
      </c>
      <c r="F22" s="354">
        <v>14.60836038961039</v>
      </c>
      <c r="G22" s="353">
        <v>61017450</v>
      </c>
      <c r="H22" s="354">
        <v>85.391639610389618</v>
      </c>
      <c r="U22" s="217"/>
    </row>
    <row r="23" spans="3:21" x14ac:dyDescent="0.25">
      <c r="C23" s="315" t="s">
        <v>3903</v>
      </c>
      <c r="D23" s="353">
        <v>5000000</v>
      </c>
      <c r="E23" s="353">
        <v>4262850</v>
      </c>
      <c r="F23" s="354">
        <v>85.257000000000005</v>
      </c>
      <c r="G23" s="353">
        <v>737150</v>
      </c>
      <c r="H23" s="354">
        <v>14.743</v>
      </c>
      <c r="U23" s="217"/>
    </row>
    <row r="24" spans="3:21" x14ac:dyDescent="0.25">
      <c r="C24" s="315" t="s">
        <v>3908</v>
      </c>
      <c r="D24" s="353">
        <v>15000000</v>
      </c>
      <c r="E24" s="353">
        <v>2453500</v>
      </c>
      <c r="F24" s="354">
        <v>16.356666666666666</v>
      </c>
      <c r="G24" s="353">
        <v>12546500</v>
      </c>
      <c r="H24" s="354">
        <v>83.643333333333331</v>
      </c>
    </row>
    <row r="25" spans="3:21" x14ac:dyDescent="0.25">
      <c r="C25" s="315" t="s">
        <v>3893</v>
      </c>
      <c r="D25" s="353">
        <v>16200000</v>
      </c>
      <c r="E25" s="353">
        <v>6300000</v>
      </c>
      <c r="F25" s="354">
        <v>38.888888888888893</v>
      </c>
      <c r="G25" s="353">
        <v>9900000</v>
      </c>
      <c r="H25" s="354">
        <v>61.111111111111114</v>
      </c>
    </row>
    <row r="26" spans="3:21" x14ac:dyDescent="0.25">
      <c r="C26" s="315" t="s">
        <v>3895</v>
      </c>
      <c r="D26" s="353">
        <v>2000000</v>
      </c>
      <c r="E26" s="353">
        <v>365000</v>
      </c>
      <c r="F26" s="354">
        <v>18.25</v>
      </c>
      <c r="G26" s="353">
        <v>1635000</v>
      </c>
      <c r="H26" s="354">
        <v>81.75</v>
      </c>
    </row>
    <row r="27" spans="3:21" x14ac:dyDescent="0.25">
      <c r="C27" s="315" t="s">
        <v>3894</v>
      </c>
      <c r="D27" s="353">
        <v>138160000</v>
      </c>
      <c r="E27" s="353">
        <v>131436690</v>
      </c>
      <c r="F27" s="354">
        <v>95.133678343949043</v>
      </c>
      <c r="G27" s="353">
        <v>6723310</v>
      </c>
      <c r="H27" s="354">
        <v>4.866321656050955</v>
      </c>
    </row>
    <row r="28" spans="3:21" x14ac:dyDescent="0.25">
      <c r="C28" s="311" t="s">
        <v>3923</v>
      </c>
      <c r="D28" s="361">
        <v>51560000</v>
      </c>
      <c r="E28" s="361">
        <v>0</v>
      </c>
      <c r="F28" s="362">
        <v>0</v>
      </c>
      <c r="G28" s="361">
        <v>51560000</v>
      </c>
      <c r="H28" s="362">
        <v>100</v>
      </c>
    </row>
    <row r="29" spans="3:21" x14ac:dyDescent="0.25">
      <c r="C29" s="315" t="s">
        <v>3890</v>
      </c>
      <c r="D29" s="353">
        <v>20830000</v>
      </c>
      <c r="E29" s="353">
        <v>0</v>
      </c>
      <c r="F29" s="354">
        <v>0</v>
      </c>
      <c r="G29" s="353">
        <v>20830000</v>
      </c>
      <c r="H29" s="354">
        <v>100</v>
      </c>
    </row>
    <row r="30" spans="3:21" x14ac:dyDescent="0.25">
      <c r="C30" s="315" t="s">
        <v>3903</v>
      </c>
      <c r="D30" s="353">
        <v>500000</v>
      </c>
      <c r="E30" s="353">
        <v>0</v>
      </c>
      <c r="F30" s="354">
        <v>0</v>
      </c>
      <c r="G30" s="353">
        <v>500000</v>
      </c>
      <c r="H30" s="354">
        <v>100</v>
      </c>
    </row>
    <row r="31" spans="3:21" x14ac:dyDescent="0.25">
      <c r="C31" s="315" t="s">
        <v>3893</v>
      </c>
      <c r="D31" s="353">
        <v>7200000</v>
      </c>
      <c r="E31" s="353">
        <v>0</v>
      </c>
      <c r="F31" s="354">
        <v>0</v>
      </c>
      <c r="G31" s="353">
        <v>7200000</v>
      </c>
      <c r="H31" s="354">
        <v>100</v>
      </c>
    </row>
    <row r="32" spans="3:21" x14ac:dyDescent="0.25">
      <c r="C32" s="315" t="s">
        <v>3894</v>
      </c>
      <c r="D32" s="353">
        <v>23030000</v>
      </c>
      <c r="E32" s="353">
        <v>0</v>
      </c>
      <c r="F32" s="354">
        <v>0</v>
      </c>
      <c r="G32" s="353">
        <v>23030000</v>
      </c>
      <c r="H32" s="354">
        <v>100</v>
      </c>
    </row>
    <row r="33" spans="3:8" x14ac:dyDescent="0.25">
      <c r="C33" s="170" t="s">
        <v>538</v>
      </c>
      <c r="D33" s="357">
        <v>135100000</v>
      </c>
      <c r="E33" s="357">
        <v>74609360</v>
      </c>
      <c r="F33" s="358">
        <v>55.22528497409327</v>
      </c>
      <c r="G33" s="357">
        <v>60490640</v>
      </c>
      <c r="H33" s="358">
        <v>44.774715025906737</v>
      </c>
    </row>
    <row r="34" spans="3:8" x14ac:dyDescent="0.25">
      <c r="C34" s="309" t="s">
        <v>3900</v>
      </c>
      <c r="D34" s="353">
        <v>135100000</v>
      </c>
      <c r="E34" s="353">
        <v>74609360</v>
      </c>
      <c r="F34" s="354">
        <v>55.22528497409327</v>
      </c>
      <c r="G34" s="353">
        <v>60490640</v>
      </c>
      <c r="H34" s="354">
        <v>44.774715025906737</v>
      </c>
    </row>
    <row r="35" spans="3:8" x14ac:dyDescent="0.25">
      <c r="C35" s="326" t="s">
        <v>3910</v>
      </c>
      <c r="D35" s="359">
        <v>135100000</v>
      </c>
      <c r="E35" s="359">
        <v>74609360</v>
      </c>
      <c r="F35" s="360">
        <v>55.22528497409327</v>
      </c>
      <c r="G35" s="359">
        <v>60490640</v>
      </c>
      <c r="H35" s="360">
        <v>44.774715025906737</v>
      </c>
    </row>
    <row r="36" spans="3:8" x14ac:dyDescent="0.25">
      <c r="C36" s="311" t="s">
        <v>3911</v>
      </c>
      <c r="D36" s="361">
        <v>135100000</v>
      </c>
      <c r="E36" s="361">
        <v>74609360</v>
      </c>
      <c r="F36" s="362">
        <v>55.22528497409327</v>
      </c>
      <c r="G36" s="361">
        <v>60490640</v>
      </c>
      <c r="H36" s="362">
        <v>44.774715025906737</v>
      </c>
    </row>
    <row r="37" spans="3:8" x14ac:dyDescent="0.25">
      <c r="C37" s="315" t="s">
        <v>3890</v>
      </c>
      <c r="D37" s="353">
        <v>13900000</v>
      </c>
      <c r="E37" s="353">
        <v>9490750</v>
      </c>
      <c r="F37" s="354">
        <v>68.27877697841727</v>
      </c>
      <c r="G37" s="353">
        <v>4409250</v>
      </c>
      <c r="H37" s="354">
        <v>31.721223021582734</v>
      </c>
    </row>
    <row r="38" spans="3:8" x14ac:dyDescent="0.25">
      <c r="C38" s="315" t="s">
        <v>3903</v>
      </c>
      <c r="D38" s="353">
        <v>8784000</v>
      </c>
      <c r="E38" s="353">
        <v>0</v>
      </c>
      <c r="F38" s="354">
        <v>0</v>
      </c>
      <c r="G38" s="353">
        <v>8784000</v>
      </c>
      <c r="H38" s="354">
        <v>100</v>
      </c>
    </row>
    <row r="39" spans="3:8" x14ac:dyDescent="0.25">
      <c r="C39" s="315" t="s">
        <v>3893</v>
      </c>
      <c r="D39" s="353">
        <v>10000000</v>
      </c>
      <c r="E39" s="353">
        <v>7200000</v>
      </c>
      <c r="F39" s="354">
        <v>72</v>
      </c>
      <c r="G39" s="353">
        <v>2800000</v>
      </c>
      <c r="H39" s="354">
        <v>28.000000000000004</v>
      </c>
    </row>
    <row r="40" spans="3:8" x14ac:dyDescent="0.25">
      <c r="C40" s="315" t="s">
        <v>3895</v>
      </c>
      <c r="D40" s="353">
        <v>5000000</v>
      </c>
      <c r="E40" s="353">
        <v>0</v>
      </c>
      <c r="F40" s="354">
        <v>0</v>
      </c>
      <c r="G40" s="353">
        <v>5000000</v>
      </c>
      <c r="H40" s="354">
        <v>100</v>
      </c>
    </row>
    <row r="41" spans="3:8" x14ac:dyDescent="0.25">
      <c r="C41" s="315" t="s">
        <v>3894</v>
      </c>
      <c r="D41" s="353">
        <v>97416000</v>
      </c>
      <c r="E41" s="353">
        <v>57918610</v>
      </c>
      <c r="F41" s="354">
        <v>59.454925268949651</v>
      </c>
      <c r="G41" s="353">
        <v>39497390</v>
      </c>
      <c r="H41" s="354">
        <v>40.545074731050342</v>
      </c>
    </row>
    <row r="42" spans="3:8" x14ac:dyDescent="0.25">
      <c r="C42" s="310" t="s">
        <v>531</v>
      </c>
      <c r="D42" s="355">
        <v>178600000</v>
      </c>
      <c r="E42" s="355">
        <v>79732500</v>
      </c>
      <c r="F42" s="356">
        <v>44.643057110862259</v>
      </c>
      <c r="G42" s="355">
        <v>98867500</v>
      </c>
      <c r="H42" s="356">
        <v>55.356942889137741</v>
      </c>
    </row>
    <row r="43" spans="3:8" x14ac:dyDescent="0.25">
      <c r="C43" s="170" t="s">
        <v>532</v>
      </c>
      <c r="D43" s="357">
        <v>124100000</v>
      </c>
      <c r="E43" s="357">
        <v>55518000</v>
      </c>
      <c r="F43" s="358">
        <v>44.736502820306207</v>
      </c>
      <c r="G43" s="357">
        <v>68582000</v>
      </c>
      <c r="H43" s="358">
        <v>55.2634971796938</v>
      </c>
    </row>
    <row r="44" spans="3:8" x14ac:dyDescent="0.25">
      <c r="C44" s="309" t="s">
        <v>3900</v>
      </c>
      <c r="D44" s="353">
        <v>124100000</v>
      </c>
      <c r="E44" s="353">
        <v>55518000</v>
      </c>
      <c r="F44" s="354">
        <v>44.736502820306207</v>
      </c>
      <c r="G44" s="353">
        <v>68582000</v>
      </c>
      <c r="H44" s="354">
        <v>55.2634971796938</v>
      </c>
    </row>
    <row r="45" spans="3:8" x14ac:dyDescent="0.25">
      <c r="C45" s="326" t="s">
        <v>3901</v>
      </c>
      <c r="D45" s="359">
        <v>124100000</v>
      </c>
      <c r="E45" s="359">
        <v>55518000</v>
      </c>
      <c r="F45" s="360">
        <v>44.736502820306207</v>
      </c>
      <c r="G45" s="359">
        <v>68582000</v>
      </c>
      <c r="H45" s="360">
        <v>55.2634971796938</v>
      </c>
    </row>
    <row r="46" spans="3:8" x14ac:dyDescent="0.25">
      <c r="C46" s="311" t="s">
        <v>3902</v>
      </c>
      <c r="D46" s="361">
        <v>83135000</v>
      </c>
      <c r="E46" s="361">
        <v>33957000</v>
      </c>
      <c r="F46" s="362">
        <v>40.845612557887776</v>
      </c>
      <c r="G46" s="361">
        <v>49178000</v>
      </c>
      <c r="H46" s="362">
        <v>59.154387442112224</v>
      </c>
    </row>
    <row r="47" spans="3:8" x14ac:dyDescent="0.25">
      <c r="C47" s="315" t="s">
        <v>3890</v>
      </c>
      <c r="D47" s="353">
        <v>19875000</v>
      </c>
      <c r="E47" s="353">
        <v>5581000</v>
      </c>
      <c r="F47" s="354">
        <v>28.080503144654088</v>
      </c>
      <c r="G47" s="353">
        <v>14294000</v>
      </c>
      <c r="H47" s="354">
        <v>71.919496855345912</v>
      </c>
    </row>
    <row r="48" spans="3:8" x14ac:dyDescent="0.25">
      <c r="C48" s="315" t="s">
        <v>3893</v>
      </c>
      <c r="D48" s="353">
        <v>20000000</v>
      </c>
      <c r="E48" s="353">
        <v>2100000</v>
      </c>
      <c r="F48" s="354">
        <v>10.5</v>
      </c>
      <c r="G48" s="353">
        <v>17900000</v>
      </c>
      <c r="H48" s="354">
        <v>89.5</v>
      </c>
    </row>
    <row r="49" spans="3:8" x14ac:dyDescent="0.25">
      <c r="C49" s="315" t="s">
        <v>3894</v>
      </c>
      <c r="D49" s="353">
        <v>43260000</v>
      </c>
      <c r="E49" s="353">
        <v>26276000</v>
      </c>
      <c r="F49" s="354">
        <v>60.739713361072589</v>
      </c>
      <c r="G49" s="353">
        <v>16984000</v>
      </c>
      <c r="H49" s="354">
        <v>39.260286638927418</v>
      </c>
    </row>
    <row r="50" spans="3:8" x14ac:dyDescent="0.25">
      <c r="C50" s="311" t="s">
        <v>3904</v>
      </c>
      <c r="D50" s="361">
        <v>40965000</v>
      </c>
      <c r="E50" s="361">
        <v>21561000</v>
      </c>
      <c r="F50" s="362">
        <v>52.632735261808861</v>
      </c>
      <c r="G50" s="361">
        <v>19404000</v>
      </c>
      <c r="H50" s="362">
        <v>47.367264738191139</v>
      </c>
    </row>
    <row r="51" spans="3:8" x14ac:dyDescent="0.25">
      <c r="C51" s="315" t="s">
        <v>3890</v>
      </c>
      <c r="D51" s="353">
        <v>19500000</v>
      </c>
      <c r="E51" s="353">
        <v>4041000</v>
      </c>
      <c r="F51" s="354">
        <v>20.723076923076921</v>
      </c>
      <c r="G51" s="353">
        <v>15459000</v>
      </c>
      <c r="H51" s="354">
        <v>79.276923076923083</v>
      </c>
    </row>
    <row r="52" spans="3:8" x14ac:dyDescent="0.25">
      <c r="C52" s="315" t="s">
        <v>3893</v>
      </c>
      <c r="D52" s="353">
        <v>4000000</v>
      </c>
      <c r="E52" s="353">
        <v>900000</v>
      </c>
      <c r="F52" s="354">
        <v>22.5</v>
      </c>
      <c r="G52" s="353">
        <v>3100000</v>
      </c>
      <c r="H52" s="354">
        <v>77.5</v>
      </c>
    </row>
    <row r="53" spans="3:8" x14ac:dyDescent="0.25">
      <c r="C53" s="315" t="s">
        <v>3894</v>
      </c>
      <c r="D53" s="353">
        <v>17465000</v>
      </c>
      <c r="E53" s="353">
        <v>16620000</v>
      </c>
      <c r="F53" s="354">
        <v>95.161752075579727</v>
      </c>
      <c r="G53" s="353">
        <v>845000</v>
      </c>
      <c r="H53" s="354">
        <v>4.8382479244202692</v>
      </c>
    </row>
    <row r="54" spans="3:8" x14ac:dyDescent="0.25">
      <c r="C54" s="170" t="s">
        <v>534</v>
      </c>
      <c r="D54" s="357">
        <v>54500000</v>
      </c>
      <c r="E54" s="357">
        <v>24214500</v>
      </c>
      <c r="F54" s="358">
        <v>44.430275229357797</v>
      </c>
      <c r="G54" s="357">
        <v>30285500</v>
      </c>
      <c r="H54" s="358">
        <v>55.569724770642203</v>
      </c>
    </row>
    <row r="55" spans="3:8" x14ac:dyDescent="0.25">
      <c r="C55" s="309" t="s">
        <v>3900</v>
      </c>
      <c r="D55" s="353">
        <v>54500000</v>
      </c>
      <c r="E55" s="353">
        <v>24214500</v>
      </c>
      <c r="F55" s="354">
        <v>44.430275229357797</v>
      </c>
      <c r="G55" s="353">
        <v>30285500</v>
      </c>
      <c r="H55" s="354">
        <v>55.569724770642203</v>
      </c>
    </row>
    <row r="56" spans="3:8" x14ac:dyDescent="0.25">
      <c r="C56" s="326" t="s">
        <v>3905</v>
      </c>
      <c r="D56" s="359">
        <v>54500000</v>
      </c>
      <c r="E56" s="359">
        <v>24214500</v>
      </c>
      <c r="F56" s="360">
        <v>44.430275229357797</v>
      </c>
      <c r="G56" s="359">
        <v>30285500</v>
      </c>
      <c r="H56" s="360">
        <v>55.569724770642203</v>
      </c>
    </row>
    <row r="57" spans="3:8" x14ac:dyDescent="0.25">
      <c r="C57" s="311" t="s">
        <v>3922</v>
      </c>
      <c r="D57" s="361">
        <v>54500000</v>
      </c>
      <c r="E57" s="361">
        <v>24214500</v>
      </c>
      <c r="F57" s="362">
        <v>44.430275229357797</v>
      </c>
      <c r="G57" s="361">
        <v>30285500</v>
      </c>
      <c r="H57" s="362">
        <v>55.569724770642203</v>
      </c>
    </row>
    <row r="58" spans="3:8" x14ac:dyDescent="0.25">
      <c r="C58" s="315" t="s">
        <v>3890</v>
      </c>
      <c r="D58" s="353">
        <v>21250000</v>
      </c>
      <c r="E58" s="353">
        <v>3120000</v>
      </c>
      <c r="F58" s="354">
        <v>14.682352941176472</v>
      </c>
      <c r="G58" s="353">
        <v>18130000</v>
      </c>
      <c r="H58" s="354">
        <v>85.317647058823525</v>
      </c>
    </row>
    <row r="59" spans="3:8" x14ac:dyDescent="0.25">
      <c r="C59" s="315" t="s">
        <v>3894</v>
      </c>
      <c r="D59" s="353">
        <v>33250000</v>
      </c>
      <c r="E59" s="353">
        <v>21094500</v>
      </c>
      <c r="F59" s="354">
        <v>63.442105263157899</v>
      </c>
      <c r="G59" s="353">
        <v>12155500</v>
      </c>
      <c r="H59" s="354">
        <v>36.557894736842108</v>
      </c>
    </row>
    <row r="60" spans="3:8" x14ac:dyDescent="0.25">
      <c r="C60" s="309" t="s">
        <v>3913</v>
      </c>
      <c r="D60" s="353">
        <v>10375804000</v>
      </c>
      <c r="E60" s="353">
        <v>5698800832</v>
      </c>
      <c r="F60" s="354">
        <v>54.923944515528632</v>
      </c>
      <c r="G60" s="353">
        <v>4677003168</v>
      </c>
      <c r="H60" s="354">
        <v>45.076055484471375</v>
      </c>
    </row>
    <row r="61" spans="3:8" x14ac:dyDescent="0.25">
      <c r="C61" s="309" t="s">
        <v>3914</v>
      </c>
      <c r="D61" s="353">
        <v>4293304000</v>
      </c>
      <c r="E61" s="353">
        <v>2222086920</v>
      </c>
      <c r="F61" s="354">
        <v>51.75703653875896</v>
      </c>
      <c r="G61" s="353">
        <v>2071217080</v>
      </c>
      <c r="H61" s="354">
        <v>48.24296346124104</v>
      </c>
    </row>
    <row r="62" spans="3:8" x14ac:dyDescent="0.25">
      <c r="C62" s="310" t="s">
        <v>535</v>
      </c>
      <c r="D62" s="355">
        <v>17357000</v>
      </c>
      <c r="E62" s="355">
        <v>13647358</v>
      </c>
      <c r="F62" s="356">
        <v>78.627401048568302</v>
      </c>
      <c r="G62" s="355">
        <v>3709642</v>
      </c>
      <c r="H62" s="356">
        <v>21.372598951431698</v>
      </c>
    </row>
    <row r="63" spans="3:8" x14ac:dyDescent="0.25">
      <c r="C63" s="170" t="s">
        <v>538</v>
      </c>
      <c r="D63" s="357">
        <v>17357000</v>
      </c>
      <c r="E63" s="357">
        <v>13647358</v>
      </c>
      <c r="F63" s="358">
        <v>78.627401048568302</v>
      </c>
      <c r="G63" s="357">
        <v>3709642</v>
      </c>
      <c r="H63" s="358">
        <v>21.372598951431698</v>
      </c>
    </row>
    <row r="64" spans="3:8" x14ac:dyDescent="0.25">
      <c r="C64" s="309" t="s">
        <v>3935</v>
      </c>
      <c r="D64" s="353">
        <v>17357000</v>
      </c>
      <c r="E64" s="353">
        <v>13647358</v>
      </c>
      <c r="F64" s="354">
        <v>78.627401048568302</v>
      </c>
      <c r="G64" s="353">
        <v>3709642</v>
      </c>
      <c r="H64" s="354">
        <v>21.372598951431698</v>
      </c>
    </row>
    <row r="65" spans="3:8" x14ac:dyDescent="0.25">
      <c r="C65" s="326" t="s">
        <v>3934</v>
      </c>
      <c r="D65" s="359">
        <v>17357000</v>
      </c>
      <c r="E65" s="359">
        <v>13647358</v>
      </c>
      <c r="F65" s="360">
        <v>78.627401048568302</v>
      </c>
      <c r="G65" s="359">
        <v>3709642</v>
      </c>
      <c r="H65" s="360">
        <v>21.372598951431698</v>
      </c>
    </row>
    <row r="66" spans="3:8" x14ac:dyDescent="0.25">
      <c r="C66" s="311" t="s">
        <v>3939</v>
      </c>
      <c r="D66" s="361">
        <v>17357000</v>
      </c>
      <c r="E66" s="361">
        <v>13647358</v>
      </c>
      <c r="F66" s="362">
        <v>78.627401048568302</v>
      </c>
      <c r="G66" s="361">
        <v>3709642</v>
      </c>
      <c r="H66" s="362">
        <v>21.372598951431698</v>
      </c>
    </row>
    <row r="67" spans="3:8" x14ac:dyDescent="0.25">
      <c r="C67" s="315" t="s">
        <v>3890</v>
      </c>
      <c r="D67" s="353">
        <v>4000000</v>
      </c>
      <c r="E67" s="353">
        <v>3999200</v>
      </c>
      <c r="F67" s="354">
        <v>99.98</v>
      </c>
      <c r="G67" s="353">
        <v>800</v>
      </c>
      <c r="H67" s="354">
        <v>0.02</v>
      </c>
    </row>
    <row r="68" spans="3:8" x14ac:dyDescent="0.25">
      <c r="C68" s="315" t="s">
        <v>3903</v>
      </c>
      <c r="D68" s="353">
        <v>4298000</v>
      </c>
      <c r="E68" s="353">
        <v>4297458</v>
      </c>
      <c r="F68" s="354">
        <v>99.987389483480698</v>
      </c>
      <c r="G68" s="353">
        <v>542</v>
      </c>
      <c r="H68" s="354">
        <v>1.2610516519311306E-2</v>
      </c>
    </row>
    <row r="69" spans="3:8" x14ac:dyDescent="0.25">
      <c r="C69" s="315" t="s">
        <v>3894</v>
      </c>
      <c r="D69" s="353">
        <v>9059000</v>
      </c>
      <c r="E69" s="353">
        <v>5350700</v>
      </c>
      <c r="F69" s="354">
        <v>59.065018213930898</v>
      </c>
      <c r="G69" s="353">
        <v>3708300</v>
      </c>
      <c r="H69" s="354">
        <v>40.934981786069102</v>
      </c>
    </row>
    <row r="70" spans="3:8" x14ac:dyDescent="0.25">
      <c r="C70" s="310" t="s">
        <v>531</v>
      </c>
      <c r="D70" s="355">
        <v>193769000</v>
      </c>
      <c r="E70" s="355">
        <v>127448590</v>
      </c>
      <c r="F70" s="356">
        <v>65.773467376102474</v>
      </c>
      <c r="G70" s="355">
        <v>66320410</v>
      </c>
      <c r="H70" s="356">
        <v>34.226532623897526</v>
      </c>
    </row>
    <row r="71" spans="3:8" x14ac:dyDescent="0.25">
      <c r="C71" s="170" t="s">
        <v>532</v>
      </c>
      <c r="D71" s="357">
        <v>83506000</v>
      </c>
      <c r="E71" s="357">
        <v>78297590</v>
      </c>
      <c r="F71" s="358">
        <v>93.762831413311616</v>
      </c>
      <c r="G71" s="357">
        <v>5208410</v>
      </c>
      <c r="H71" s="358">
        <v>6.2371685866883819</v>
      </c>
    </row>
    <row r="72" spans="3:8" x14ac:dyDescent="0.25">
      <c r="C72" s="309" t="s">
        <v>3935</v>
      </c>
      <c r="D72" s="353">
        <v>83506000</v>
      </c>
      <c r="E72" s="353">
        <v>78297590</v>
      </c>
      <c r="F72" s="354">
        <v>93.762831413311616</v>
      </c>
      <c r="G72" s="353">
        <v>5208410</v>
      </c>
      <c r="H72" s="354">
        <v>6.2371685866883819</v>
      </c>
    </row>
    <row r="73" spans="3:8" x14ac:dyDescent="0.25">
      <c r="C73" s="326" t="s">
        <v>3934</v>
      </c>
      <c r="D73" s="359">
        <v>83506000</v>
      </c>
      <c r="E73" s="359">
        <v>78297590</v>
      </c>
      <c r="F73" s="360">
        <v>93.762831413311616</v>
      </c>
      <c r="G73" s="359">
        <v>5208410</v>
      </c>
      <c r="H73" s="360">
        <v>6.2371685866883819</v>
      </c>
    </row>
    <row r="74" spans="3:8" x14ac:dyDescent="0.25">
      <c r="C74" s="311" t="s">
        <v>3940</v>
      </c>
      <c r="D74" s="361">
        <v>83506000</v>
      </c>
      <c r="E74" s="361">
        <v>78297590</v>
      </c>
      <c r="F74" s="362">
        <v>93.762831413311616</v>
      </c>
      <c r="G74" s="361">
        <v>5208410</v>
      </c>
      <c r="H74" s="362">
        <v>6.2371685866883819</v>
      </c>
    </row>
    <row r="75" spans="3:8" x14ac:dyDescent="0.25">
      <c r="C75" s="315" t="s">
        <v>3890</v>
      </c>
      <c r="D75" s="353">
        <v>12550000</v>
      </c>
      <c r="E75" s="353">
        <v>11542500</v>
      </c>
      <c r="F75" s="354">
        <v>91.972111553784856</v>
      </c>
      <c r="G75" s="353">
        <v>1007500</v>
      </c>
      <c r="H75" s="354">
        <v>8.0278884462151403</v>
      </c>
    </row>
    <row r="76" spans="3:8" x14ac:dyDescent="0.25">
      <c r="C76" s="315" t="s">
        <v>3903</v>
      </c>
      <c r="D76" s="353">
        <v>1192000</v>
      </c>
      <c r="E76" s="353">
        <v>1191418</v>
      </c>
      <c r="F76" s="354">
        <v>99.951174496644285</v>
      </c>
      <c r="G76" s="353">
        <v>582</v>
      </c>
      <c r="H76" s="354">
        <v>4.8825503355704701E-2</v>
      </c>
    </row>
    <row r="77" spans="3:8" x14ac:dyDescent="0.25">
      <c r="C77" s="315" t="s">
        <v>3893</v>
      </c>
      <c r="D77" s="353">
        <v>9000000</v>
      </c>
      <c r="E77" s="353">
        <v>4800000</v>
      </c>
      <c r="F77" s="354">
        <v>53.333333333333336</v>
      </c>
      <c r="G77" s="353">
        <v>4200000</v>
      </c>
      <c r="H77" s="354">
        <v>46.666666666666664</v>
      </c>
    </row>
    <row r="78" spans="3:8" x14ac:dyDescent="0.25">
      <c r="C78" s="315" t="s">
        <v>3894</v>
      </c>
      <c r="D78" s="353">
        <v>60764000</v>
      </c>
      <c r="E78" s="353">
        <v>60763672</v>
      </c>
      <c r="F78" s="354">
        <v>99.999460206701343</v>
      </c>
      <c r="G78" s="353">
        <v>328</v>
      </c>
      <c r="H78" s="354">
        <v>5.3979329866368244E-4</v>
      </c>
    </row>
    <row r="79" spans="3:8" x14ac:dyDescent="0.25">
      <c r="C79" s="170" t="s">
        <v>534</v>
      </c>
      <c r="D79" s="357">
        <v>110263000</v>
      </c>
      <c r="E79" s="357">
        <v>49151000</v>
      </c>
      <c r="F79" s="358">
        <v>44.576149751049762</v>
      </c>
      <c r="G79" s="357">
        <v>61112000</v>
      </c>
      <c r="H79" s="358">
        <v>55.423850248950238</v>
      </c>
    </row>
    <row r="80" spans="3:8" x14ac:dyDescent="0.25">
      <c r="C80" s="309" t="s">
        <v>3935</v>
      </c>
      <c r="D80" s="353">
        <v>110263000</v>
      </c>
      <c r="E80" s="353">
        <v>49151000</v>
      </c>
      <c r="F80" s="354">
        <v>44.576149751049762</v>
      </c>
      <c r="G80" s="353">
        <v>61112000</v>
      </c>
      <c r="H80" s="354">
        <v>55.423850248950238</v>
      </c>
    </row>
    <row r="81" spans="3:8" x14ac:dyDescent="0.25">
      <c r="C81" s="326" t="s">
        <v>3934</v>
      </c>
      <c r="D81" s="359">
        <v>110263000</v>
      </c>
      <c r="E81" s="359">
        <v>49151000</v>
      </c>
      <c r="F81" s="360">
        <v>44.576149751049762</v>
      </c>
      <c r="G81" s="359">
        <v>61112000</v>
      </c>
      <c r="H81" s="360">
        <v>55.423850248950238</v>
      </c>
    </row>
    <row r="82" spans="3:8" x14ac:dyDescent="0.25">
      <c r="C82" s="311" t="s">
        <v>3942</v>
      </c>
      <c r="D82" s="361">
        <v>110263000</v>
      </c>
      <c r="E82" s="361">
        <v>49151000</v>
      </c>
      <c r="F82" s="362">
        <v>44.576149751049762</v>
      </c>
      <c r="G82" s="361">
        <v>61112000</v>
      </c>
      <c r="H82" s="362">
        <v>55.423850248950238</v>
      </c>
    </row>
    <row r="83" spans="3:8" x14ac:dyDescent="0.25">
      <c r="C83" s="315" t="s">
        <v>3890</v>
      </c>
      <c r="D83" s="353">
        <v>17550000</v>
      </c>
      <c r="E83" s="353">
        <v>9469000</v>
      </c>
      <c r="F83" s="354">
        <v>53.954415954415957</v>
      </c>
      <c r="G83" s="353">
        <v>8081000</v>
      </c>
      <c r="H83" s="354">
        <v>46.04558404558405</v>
      </c>
    </row>
    <row r="84" spans="3:8" x14ac:dyDescent="0.25">
      <c r="C84" s="315" t="s">
        <v>3903</v>
      </c>
      <c r="D84" s="353">
        <v>27651000</v>
      </c>
      <c r="E84" s="353">
        <v>620000</v>
      </c>
      <c r="F84" s="354">
        <v>2.2422335539401832</v>
      </c>
      <c r="G84" s="353">
        <v>27031000</v>
      </c>
      <c r="H84" s="354">
        <v>97.757766446059819</v>
      </c>
    </row>
    <row r="85" spans="3:8" x14ac:dyDescent="0.25">
      <c r="C85" s="315" t="s">
        <v>3893</v>
      </c>
      <c r="D85" s="353">
        <v>40000000</v>
      </c>
      <c r="E85" s="353">
        <v>14000000</v>
      </c>
      <c r="F85" s="354">
        <v>35</v>
      </c>
      <c r="G85" s="353">
        <v>26000000</v>
      </c>
      <c r="H85" s="354">
        <v>65</v>
      </c>
    </row>
    <row r="86" spans="3:8" x14ac:dyDescent="0.25">
      <c r="C86" s="315" t="s">
        <v>3894</v>
      </c>
      <c r="D86" s="353">
        <v>25062000</v>
      </c>
      <c r="E86" s="353">
        <v>25062000</v>
      </c>
      <c r="F86" s="354">
        <v>100</v>
      </c>
      <c r="G86" s="353">
        <v>0</v>
      </c>
      <c r="H86" s="354">
        <v>0</v>
      </c>
    </row>
    <row r="87" spans="3:8" x14ac:dyDescent="0.25">
      <c r="C87" s="310" t="s">
        <v>542</v>
      </c>
      <c r="D87" s="355">
        <v>463716000</v>
      </c>
      <c r="E87" s="355">
        <v>236473592</v>
      </c>
      <c r="F87" s="356">
        <v>50.995348877330095</v>
      </c>
      <c r="G87" s="355">
        <v>227242408</v>
      </c>
      <c r="H87" s="356">
        <v>49.004651122669912</v>
      </c>
    </row>
    <row r="88" spans="3:8" x14ac:dyDescent="0.25">
      <c r="C88" s="170" t="s">
        <v>591</v>
      </c>
      <c r="D88" s="357">
        <v>169798000</v>
      </c>
      <c r="E88" s="357">
        <v>105796297</v>
      </c>
      <c r="F88" s="358">
        <v>62.307151438768415</v>
      </c>
      <c r="G88" s="357">
        <v>64001703</v>
      </c>
      <c r="H88" s="358">
        <v>37.692848561231578</v>
      </c>
    </row>
    <row r="89" spans="3:8" x14ac:dyDescent="0.25">
      <c r="C89" s="309" t="s">
        <v>3967</v>
      </c>
      <c r="D89" s="353">
        <v>169798000</v>
      </c>
      <c r="E89" s="353">
        <v>105796297</v>
      </c>
      <c r="F89" s="354">
        <v>62.307151438768415</v>
      </c>
      <c r="G89" s="353">
        <v>64001703</v>
      </c>
      <c r="H89" s="354">
        <v>37.692848561231578</v>
      </c>
    </row>
    <row r="90" spans="3:8" x14ac:dyDescent="0.25">
      <c r="C90" s="326" t="s">
        <v>3966</v>
      </c>
      <c r="D90" s="359">
        <v>119729000</v>
      </c>
      <c r="E90" s="359">
        <v>77314297</v>
      </c>
      <c r="F90" s="360">
        <v>64.574411379030977</v>
      </c>
      <c r="G90" s="359">
        <v>42414703</v>
      </c>
      <c r="H90" s="360">
        <v>35.425588620969023</v>
      </c>
    </row>
    <row r="91" spans="3:8" x14ac:dyDescent="0.25">
      <c r="C91" s="311" t="s">
        <v>3918</v>
      </c>
      <c r="D91" s="361">
        <v>43789000</v>
      </c>
      <c r="E91" s="361">
        <v>6778028</v>
      </c>
      <c r="F91" s="362">
        <v>15.47883715088264</v>
      </c>
      <c r="G91" s="361">
        <v>37010972</v>
      </c>
      <c r="H91" s="362">
        <v>84.52116284911736</v>
      </c>
    </row>
    <row r="92" spans="3:8" x14ac:dyDescent="0.25">
      <c r="C92" s="315" t="s">
        <v>3890</v>
      </c>
      <c r="D92" s="353">
        <v>23250000</v>
      </c>
      <c r="E92" s="353">
        <v>6278500</v>
      </c>
      <c r="F92" s="354">
        <v>27.004301075268817</v>
      </c>
      <c r="G92" s="353">
        <v>16971500</v>
      </c>
      <c r="H92" s="354">
        <v>72.995698924731172</v>
      </c>
    </row>
    <row r="93" spans="3:8" x14ac:dyDescent="0.25">
      <c r="C93" s="315" t="s">
        <v>3903</v>
      </c>
      <c r="D93" s="353">
        <v>2000000</v>
      </c>
      <c r="E93" s="353">
        <v>499528</v>
      </c>
      <c r="F93" s="354">
        <v>24.976400000000002</v>
      </c>
      <c r="G93" s="353">
        <v>1500472</v>
      </c>
      <c r="H93" s="354">
        <v>75.023600000000002</v>
      </c>
    </row>
    <row r="94" spans="3:8" x14ac:dyDescent="0.25">
      <c r="C94" s="315" t="s">
        <v>3894</v>
      </c>
      <c r="D94" s="353">
        <v>18539000</v>
      </c>
      <c r="E94" s="353">
        <v>0</v>
      </c>
      <c r="F94" s="354">
        <v>0</v>
      </c>
      <c r="G94" s="353">
        <v>18539000</v>
      </c>
      <c r="H94" s="354">
        <v>100</v>
      </c>
    </row>
    <row r="95" spans="3:8" x14ac:dyDescent="0.25">
      <c r="C95" s="311" t="s">
        <v>3919</v>
      </c>
      <c r="D95" s="361">
        <v>75940000</v>
      </c>
      <c r="E95" s="361">
        <v>70536269</v>
      </c>
      <c r="F95" s="362">
        <v>92.884209902554645</v>
      </c>
      <c r="G95" s="361">
        <v>5403731</v>
      </c>
      <c r="H95" s="362">
        <v>7.1157900974453518</v>
      </c>
    </row>
    <row r="96" spans="3:8" x14ac:dyDescent="0.25">
      <c r="C96" s="315" t="s">
        <v>3890</v>
      </c>
      <c r="D96" s="353">
        <v>13525000</v>
      </c>
      <c r="E96" s="353">
        <v>9519000</v>
      </c>
      <c r="F96" s="354">
        <v>70.380776340110913</v>
      </c>
      <c r="G96" s="353">
        <v>4006000</v>
      </c>
      <c r="H96" s="354">
        <v>29.619223659889094</v>
      </c>
    </row>
    <row r="97" spans="3:8" x14ac:dyDescent="0.25">
      <c r="C97" s="315" t="s">
        <v>3903</v>
      </c>
      <c r="D97" s="353">
        <v>2000000</v>
      </c>
      <c r="E97" s="353">
        <v>603014</v>
      </c>
      <c r="F97" s="354">
        <v>30.150700000000004</v>
      </c>
      <c r="G97" s="353">
        <v>1396986</v>
      </c>
      <c r="H97" s="354">
        <v>69.849299999999999</v>
      </c>
    </row>
    <row r="98" spans="3:8" x14ac:dyDescent="0.25">
      <c r="C98" s="315" t="s">
        <v>3894</v>
      </c>
      <c r="D98" s="353">
        <v>60415000</v>
      </c>
      <c r="E98" s="353">
        <v>60414255</v>
      </c>
      <c r="F98" s="354">
        <v>99.99876686253414</v>
      </c>
      <c r="G98" s="353">
        <v>745</v>
      </c>
      <c r="H98" s="354">
        <v>1.2331374658611273E-3</v>
      </c>
    </row>
    <row r="99" spans="3:8" x14ac:dyDescent="0.25">
      <c r="C99" s="326" t="s">
        <v>3968</v>
      </c>
      <c r="D99" s="359">
        <v>50069000</v>
      </c>
      <c r="E99" s="359">
        <v>28482000</v>
      </c>
      <c r="F99" s="360">
        <v>56.885498012742417</v>
      </c>
      <c r="G99" s="359">
        <v>21587000</v>
      </c>
      <c r="H99" s="360">
        <v>43.114501987257583</v>
      </c>
    </row>
    <row r="100" spans="3:8" x14ac:dyDescent="0.25">
      <c r="C100" s="311" t="s">
        <v>3969</v>
      </c>
      <c r="D100" s="361">
        <v>50069000</v>
      </c>
      <c r="E100" s="361">
        <v>28482000</v>
      </c>
      <c r="F100" s="362">
        <v>56.885498012742417</v>
      </c>
      <c r="G100" s="361">
        <v>21587000</v>
      </c>
      <c r="H100" s="362">
        <v>43.114501987257583</v>
      </c>
    </row>
    <row r="101" spans="3:8" x14ac:dyDescent="0.25">
      <c r="C101" s="315" t="s">
        <v>3890</v>
      </c>
      <c r="D101" s="353">
        <v>17900000</v>
      </c>
      <c r="E101" s="353">
        <v>8344000</v>
      </c>
      <c r="F101" s="354">
        <v>46.614525139664806</v>
      </c>
      <c r="G101" s="353">
        <v>9556000</v>
      </c>
      <c r="H101" s="354">
        <v>53.385474860335194</v>
      </c>
    </row>
    <row r="102" spans="3:8" x14ac:dyDescent="0.25">
      <c r="C102" s="315" t="s">
        <v>3903</v>
      </c>
      <c r="D102" s="353">
        <v>2000000</v>
      </c>
      <c r="E102" s="353">
        <v>0</v>
      </c>
      <c r="F102" s="354">
        <v>0</v>
      </c>
      <c r="G102" s="353">
        <v>2000000</v>
      </c>
      <c r="H102" s="354">
        <v>100</v>
      </c>
    </row>
    <row r="103" spans="3:8" x14ac:dyDescent="0.25">
      <c r="C103" s="315" t="s">
        <v>3894</v>
      </c>
      <c r="D103" s="353">
        <v>30169000</v>
      </c>
      <c r="E103" s="353">
        <v>20138000</v>
      </c>
      <c r="F103" s="354">
        <v>66.750638072193311</v>
      </c>
      <c r="G103" s="353">
        <v>10031000</v>
      </c>
      <c r="H103" s="354">
        <v>33.249361927806689</v>
      </c>
    </row>
    <row r="104" spans="3:8" x14ac:dyDescent="0.25">
      <c r="C104" s="170" t="s">
        <v>543</v>
      </c>
      <c r="D104" s="357">
        <v>293918000</v>
      </c>
      <c r="E104" s="357">
        <v>130677295</v>
      </c>
      <c r="F104" s="358">
        <v>44.460460060288924</v>
      </c>
      <c r="G104" s="357">
        <v>163240705</v>
      </c>
      <c r="H104" s="358">
        <v>55.539539939711076</v>
      </c>
    </row>
    <row r="105" spans="3:8" x14ac:dyDescent="0.25">
      <c r="C105" s="309" t="s">
        <v>3933</v>
      </c>
      <c r="D105" s="353">
        <v>113346000</v>
      </c>
      <c r="E105" s="353">
        <v>28697850</v>
      </c>
      <c r="F105" s="354">
        <v>25.318802604414802</v>
      </c>
      <c r="G105" s="353">
        <v>84648150</v>
      </c>
      <c r="H105" s="354">
        <v>74.681197395585201</v>
      </c>
    </row>
    <row r="106" spans="3:8" x14ac:dyDescent="0.25">
      <c r="C106" s="326" t="s">
        <v>3932</v>
      </c>
      <c r="D106" s="359">
        <v>113346000</v>
      </c>
      <c r="E106" s="359">
        <v>28697850</v>
      </c>
      <c r="F106" s="360">
        <v>25.318802604414802</v>
      </c>
      <c r="G106" s="359">
        <v>84648150</v>
      </c>
      <c r="H106" s="360">
        <v>74.681197395585201</v>
      </c>
    </row>
    <row r="107" spans="3:8" x14ac:dyDescent="0.25">
      <c r="C107" s="311" t="s">
        <v>3931</v>
      </c>
      <c r="D107" s="361">
        <v>113346000</v>
      </c>
      <c r="E107" s="361">
        <v>28697850</v>
      </c>
      <c r="F107" s="362">
        <v>25.318802604414802</v>
      </c>
      <c r="G107" s="361">
        <v>84648150</v>
      </c>
      <c r="H107" s="362">
        <v>74.681197395585201</v>
      </c>
    </row>
    <row r="108" spans="3:8" x14ac:dyDescent="0.25">
      <c r="C108" s="315" t="s">
        <v>3890</v>
      </c>
      <c r="D108" s="353">
        <v>12400000</v>
      </c>
      <c r="E108" s="353">
        <v>5947500</v>
      </c>
      <c r="F108" s="354">
        <v>47.963709677419352</v>
      </c>
      <c r="G108" s="353">
        <v>6452500</v>
      </c>
      <c r="H108" s="354">
        <v>52.036290322580648</v>
      </c>
    </row>
    <row r="109" spans="3:8" x14ac:dyDescent="0.25">
      <c r="C109" s="315" t="s">
        <v>3908</v>
      </c>
      <c r="D109" s="353">
        <v>10000000</v>
      </c>
      <c r="E109" s="353">
        <v>4379750</v>
      </c>
      <c r="F109" s="354">
        <v>43.797499999999999</v>
      </c>
      <c r="G109" s="353">
        <v>5620250</v>
      </c>
      <c r="H109" s="354">
        <v>56.202500000000001</v>
      </c>
    </row>
    <row r="110" spans="3:8" ht="17.100000000000001" customHeight="1" x14ac:dyDescent="0.25">
      <c r="C110" s="315" t="s">
        <v>3894</v>
      </c>
      <c r="D110" s="353">
        <v>90946000</v>
      </c>
      <c r="E110" s="353">
        <v>18370600</v>
      </c>
      <c r="F110" s="354">
        <v>20.199459019638027</v>
      </c>
      <c r="G110" s="353">
        <v>72575400</v>
      </c>
      <c r="H110" s="354">
        <v>79.800540980361973</v>
      </c>
    </row>
    <row r="111" spans="3:8" x14ac:dyDescent="0.25">
      <c r="C111" s="309" t="s">
        <v>3961</v>
      </c>
      <c r="D111" s="353">
        <v>180572000</v>
      </c>
      <c r="E111" s="353">
        <v>101979445</v>
      </c>
      <c r="F111" s="354">
        <v>56.475779744367891</v>
      </c>
      <c r="G111" s="353">
        <v>78592555</v>
      </c>
      <c r="H111" s="354">
        <v>43.524220255632102</v>
      </c>
    </row>
    <row r="112" spans="3:8" x14ac:dyDescent="0.25">
      <c r="C112" s="326" t="s">
        <v>3962</v>
      </c>
      <c r="D112" s="359">
        <v>180572000</v>
      </c>
      <c r="E112" s="359">
        <v>101979445</v>
      </c>
      <c r="F112" s="360">
        <v>56.475779744367891</v>
      </c>
      <c r="G112" s="359">
        <v>78592555</v>
      </c>
      <c r="H112" s="360">
        <v>43.524220255632102</v>
      </c>
    </row>
    <row r="113" spans="3:8" x14ac:dyDescent="0.25">
      <c r="C113" s="311" t="s">
        <v>3963</v>
      </c>
      <c r="D113" s="361">
        <v>22164000</v>
      </c>
      <c r="E113" s="361">
        <v>13706395</v>
      </c>
      <c r="F113" s="362">
        <v>61.84080039704024</v>
      </c>
      <c r="G113" s="361">
        <v>8457605</v>
      </c>
      <c r="H113" s="362">
        <v>38.159199602959752</v>
      </c>
    </row>
    <row r="114" spans="3:8" x14ac:dyDescent="0.25">
      <c r="C114" s="315" t="s">
        <v>3890</v>
      </c>
      <c r="D114" s="353">
        <v>6000000</v>
      </c>
      <c r="E114" s="353">
        <v>2991000</v>
      </c>
      <c r="F114" s="354">
        <v>49.85</v>
      </c>
      <c r="G114" s="353">
        <v>3009000</v>
      </c>
      <c r="H114" s="354">
        <v>50.149999999999991</v>
      </c>
    </row>
    <row r="115" spans="3:8" x14ac:dyDescent="0.25">
      <c r="C115" s="315" t="s">
        <v>3903</v>
      </c>
      <c r="D115" s="353">
        <v>1000000</v>
      </c>
      <c r="E115" s="353">
        <v>702895</v>
      </c>
      <c r="F115" s="354">
        <v>70.289500000000004</v>
      </c>
      <c r="G115" s="353">
        <v>297105</v>
      </c>
      <c r="H115" s="354">
        <v>29.7105</v>
      </c>
    </row>
    <row r="116" spans="3:8" x14ac:dyDescent="0.25">
      <c r="C116" s="315" t="s">
        <v>3908</v>
      </c>
      <c r="D116" s="353">
        <v>10000000</v>
      </c>
      <c r="E116" s="353">
        <v>4849000</v>
      </c>
      <c r="F116" s="354">
        <v>48.49</v>
      </c>
      <c r="G116" s="353">
        <v>5151000</v>
      </c>
      <c r="H116" s="354">
        <v>51.51</v>
      </c>
    </row>
    <row r="117" spans="3:8" ht="17.100000000000001" customHeight="1" x14ac:dyDescent="0.25">
      <c r="C117" s="315" t="s">
        <v>3894</v>
      </c>
      <c r="D117" s="353">
        <v>5164000</v>
      </c>
      <c r="E117" s="353">
        <v>5163500</v>
      </c>
      <c r="F117" s="354">
        <v>99.990317583268791</v>
      </c>
      <c r="G117" s="353">
        <v>500</v>
      </c>
      <c r="H117" s="354">
        <v>9.6824167312161129E-3</v>
      </c>
    </row>
    <row r="118" spans="3:8" x14ac:dyDescent="0.25">
      <c r="C118" s="311" t="s">
        <v>3964</v>
      </c>
      <c r="D118" s="361">
        <v>78000000</v>
      </c>
      <c r="E118" s="361">
        <v>20151000</v>
      </c>
      <c r="F118" s="362">
        <v>25.834615384615383</v>
      </c>
      <c r="G118" s="361">
        <v>57849000</v>
      </c>
      <c r="H118" s="362">
        <v>74.16538461538461</v>
      </c>
    </row>
    <row r="119" spans="3:8" ht="17.100000000000001" customHeight="1" x14ac:dyDescent="0.25">
      <c r="C119" s="315" t="s">
        <v>3890</v>
      </c>
      <c r="D119" s="353">
        <v>12000000</v>
      </c>
      <c r="E119" s="353">
        <v>5939000</v>
      </c>
      <c r="F119" s="354">
        <v>49.491666666666667</v>
      </c>
      <c r="G119" s="353">
        <v>6061000</v>
      </c>
      <c r="H119" s="354">
        <v>50.508333333333333</v>
      </c>
    </row>
    <row r="120" spans="3:8" ht="17.100000000000001" customHeight="1" x14ac:dyDescent="0.25">
      <c r="C120" s="315" t="s">
        <v>3903</v>
      </c>
      <c r="D120" s="353">
        <v>1000000</v>
      </c>
      <c r="E120" s="353">
        <v>0</v>
      </c>
      <c r="F120" s="354">
        <v>0</v>
      </c>
      <c r="G120" s="353">
        <v>1000000</v>
      </c>
      <c r="H120" s="354">
        <v>100</v>
      </c>
    </row>
    <row r="121" spans="3:8" ht="17.100000000000001" customHeight="1" x14ac:dyDescent="0.25">
      <c r="C121" s="315" t="s">
        <v>3908</v>
      </c>
      <c r="D121" s="353">
        <v>20000000</v>
      </c>
      <c r="E121" s="353">
        <v>9783000</v>
      </c>
      <c r="F121" s="354">
        <v>48.914999999999999</v>
      </c>
      <c r="G121" s="353">
        <v>10217000</v>
      </c>
      <c r="H121" s="354">
        <v>51.085000000000001</v>
      </c>
    </row>
    <row r="122" spans="3:8" x14ac:dyDescent="0.25">
      <c r="C122" s="315" t="s">
        <v>3894</v>
      </c>
      <c r="D122" s="353">
        <v>45000000</v>
      </c>
      <c r="E122" s="353">
        <v>4429000</v>
      </c>
      <c r="F122" s="354">
        <v>9.8422222222222224</v>
      </c>
      <c r="G122" s="353">
        <v>40571000</v>
      </c>
      <c r="H122" s="354">
        <v>90.157777777777781</v>
      </c>
    </row>
    <row r="123" spans="3:8" x14ac:dyDescent="0.25">
      <c r="C123" s="311" t="s">
        <v>3965</v>
      </c>
      <c r="D123" s="361">
        <v>80408000</v>
      </c>
      <c r="E123" s="361">
        <v>68122050</v>
      </c>
      <c r="F123" s="362">
        <v>84.720488011143175</v>
      </c>
      <c r="G123" s="361">
        <v>12285950</v>
      </c>
      <c r="H123" s="362">
        <v>15.27951198885683</v>
      </c>
    </row>
    <row r="124" spans="3:8" x14ac:dyDescent="0.25">
      <c r="C124" s="315" t="s">
        <v>3890</v>
      </c>
      <c r="D124" s="353">
        <v>21000000</v>
      </c>
      <c r="E124" s="353">
        <v>16388500</v>
      </c>
      <c r="F124" s="354">
        <v>78.040476190476198</v>
      </c>
      <c r="G124" s="353">
        <v>4611500</v>
      </c>
      <c r="H124" s="354">
        <v>21.959523809523809</v>
      </c>
    </row>
    <row r="125" spans="3:8" ht="17.100000000000001" customHeight="1" x14ac:dyDescent="0.25">
      <c r="C125" s="315" t="s">
        <v>3908</v>
      </c>
      <c r="D125" s="353">
        <v>17500000</v>
      </c>
      <c r="E125" s="353">
        <v>9825750</v>
      </c>
      <c r="F125" s="354">
        <v>56.14714285714286</v>
      </c>
      <c r="G125" s="353">
        <v>7674250</v>
      </c>
      <c r="H125" s="354">
        <v>43.852857142857147</v>
      </c>
    </row>
    <row r="126" spans="3:8" x14ac:dyDescent="0.25">
      <c r="C126" s="315" t="s">
        <v>3894</v>
      </c>
      <c r="D126" s="353">
        <v>41908000</v>
      </c>
      <c r="E126" s="353">
        <v>41907800</v>
      </c>
      <c r="F126" s="354">
        <v>99.999522764150043</v>
      </c>
      <c r="G126" s="353">
        <v>200</v>
      </c>
      <c r="H126" s="354">
        <v>4.7723584995704876E-4</v>
      </c>
    </row>
    <row r="127" spans="3:8" ht="17.100000000000001" customHeight="1" x14ac:dyDescent="0.25">
      <c r="C127" s="310" t="s">
        <v>576</v>
      </c>
      <c r="D127" s="355">
        <v>3618462000</v>
      </c>
      <c r="E127" s="355">
        <v>1844517380</v>
      </c>
      <c r="F127" s="356">
        <v>50.97517619364249</v>
      </c>
      <c r="G127" s="355">
        <v>1773944620</v>
      </c>
      <c r="H127" s="356">
        <v>49.02482380635751</v>
      </c>
    </row>
    <row r="128" spans="3:8" x14ac:dyDescent="0.25">
      <c r="C128" s="170" t="s">
        <v>546</v>
      </c>
      <c r="D128" s="357">
        <v>197920000</v>
      </c>
      <c r="E128" s="357">
        <v>136548520</v>
      </c>
      <c r="F128" s="358">
        <v>68.991774454324982</v>
      </c>
      <c r="G128" s="357">
        <v>61371480</v>
      </c>
      <c r="H128" s="358">
        <v>31.008225545675021</v>
      </c>
    </row>
    <row r="129" spans="3:8" x14ac:dyDescent="0.25">
      <c r="C129" s="309" t="s">
        <v>3970</v>
      </c>
      <c r="D129" s="353">
        <v>197920000</v>
      </c>
      <c r="E129" s="353">
        <v>136548520</v>
      </c>
      <c r="F129" s="354">
        <v>68.991774454324982</v>
      </c>
      <c r="G129" s="353">
        <v>61371480</v>
      </c>
      <c r="H129" s="354">
        <v>31.008225545675021</v>
      </c>
    </row>
    <row r="130" spans="3:8" x14ac:dyDescent="0.25">
      <c r="C130" s="326" t="s">
        <v>3971</v>
      </c>
      <c r="D130" s="359">
        <v>197920000</v>
      </c>
      <c r="E130" s="359">
        <v>136548520</v>
      </c>
      <c r="F130" s="360">
        <v>68.991774454324982</v>
      </c>
      <c r="G130" s="359">
        <v>61371480</v>
      </c>
      <c r="H130" s="360">
        <v>31.008225545675021</v>
      </c>
    </row>
    <row r="131" spans="3:8" x14ac:dyDescent="0.25">
      <c r="C131" s="311" t="s">
        <v>3972</v>
      </c>
      <c r="D131" s="361">
        <v>27102000</v>
      </c>
      <c r="E131" s="361">
        <v>22532552</v>
      </c>
      <c r="F131" s="362">
        <v>83.139812559958671</v>
      </c>
      <c r="G131" s="361">
        <v>4569448</v>
      </c>
      <c r="H131" s="362">
        <v>16.860187440041326</v>
      </c>
    </row>
    <row r="132" spans="3:8" x14ac:dyDescent="0.25">
      <c r="C132" s="315" t="s">
        <v>3890</v>
      </c>
      <c r="D132" s="353">
        <v>18400000</v>
      </c>
      <c r="E132" s="353">
        <v>13831000</v>
      </c>
      <c r="F132" s="354">
        <v>75.168478260869563</v>
      </c>
      <c r="G132" s="353">
        <v>4569000</v>
      </c>
      <c r="H132" s="354">
        <v>24.831521739130437</v>
      </c>
    </row>
    <row r="133" spans="3:8" ht="17.100000000000001" customHeight="1" x14ac:dyDescent="0.25">
      <c r="C133" s="315" t="s">
        <v>3894</v>
      </c>
      <c r="D133" s="353">
        <v>8702000</v>
      </c>
      <c r="E133" s="353">
        <v>8701552</v>
      </c>
      <c r="F133" s="354">
        <v>99.994851758216498</v>
      </c>
      <c r="G133" s="353">
        <v>448</v>
      </c>
      <c r="H133" s="354">
        <v>5.1482417834980464E-3</v>
      </c>
    </row>
    <row r="134" spans="3:8" x14ac:dyDescent="0.25">
      <c r="C134" s="311" t="s">
        <v>3973</v>
      </c>
      <c r="D134" s="361">
        <v>12850000</v>
      </c>
      <c r="E134" s="361">
        <v>7794000</v>
      </c>
      <c r="F134" s="362">
        <v>60.653696498054479</v>
      </c>
      <c r="G134" s="361">
        <v>5056000</v>
      </c>
      <c r="H134" s="362">
        <v>39.346303501945521</v>
      </c>
    </row>
    <row r="135" spans="3:8" x14ac:dyDescent="0.25">
      <c r="C135" s="315" t="s">
        <v>3890</v>
      </c>
      <c r="D135" s="353">
        <v>7500000</v>
      </c>
      <c r="E135" s="353">
        <v>4944000</v>
      </c>
      <c r="F135" s="354">
        <v>65.92</v>
      </c>
      <c r="G135" s="353">
        <v>2556000</v>
      </c>
      <c r="H135" s="354">
        <v>34.08</v>
      </c>
    </row>
    <row r="136" spans="3:8" ht="17.100000000000001" customHeight="1" x14ac:dyDescent="0.25">
      <c r="C136" s="315" t="s">
        <v>3894</v>
      </c>
      <c r="D136" s="353">
        <v>5350000</v>
      </c>
      <c r="E136" s="353">
        <v>2850000</v>
      </c>
      <c r="F136" s="354">
        <v>53.271028037383175</v>
      </c>
      <c r="G136" s="353">
        <v>2500000</v>
      </c>
      <c r="H136" s="354">
        <v>46.728971962616825</v>
      </c>
    </row>
    <row r="137" spans="3:8" x14ac:dyDescent="0.25">
      <c r="C137" s="311" t="s">
        <v>3974</v>
      </c>
      <c r="D137" s="361">
        <v>7500000</v>
      </c>
      <c r="E137" s="361">
        <v>4968500</v>
      </c>
      <c r="F137" s="362">
        <v>66.24666666666667</v>
      </c>
      <c r="G137" s="361">
        <v>2531500</v>
      </c>
      <c r="H137" s="362">
        <v>33.753333333333337</v>
      </c>
    </row>
    <row r="138" spans="3:8" ht="17.100000000000001" customHeight="1" x14ac:dyDescent="0.25">
      <c r="C138" s="315" t="s">
        <v>3890</v>
      </c>
      <c r="D138" s="353">
        <v>7500000</v>
      </c>
      <c r="E138" s="353">
        <v>4968500</v>
      </c>
      <c r="F138" s="354">
        <v>66.24666666666667</v>
      </c>
      <c r="G138" s="353">
        <v>2531500</v>
      </c>
      <c r="H138" s="354">
        <v>33.753333333333337</v>
      </c>
    </row>
    <row r="139" spans="3:8" x14ac:dyDescent="0.25">
      <c r="C139" s="311" t="s">
        <v>3975</v>
      </c>
      <c r="D139" s="361">
        <v>34635000</v>
      </c>
      <c r="E139" s="361">
        <v>31619468</v>
      </c>
      <c r="F139" s="362">
        <v>91.293396852894475</v>
      </c>
      <c r="G139" s="361">
        <v>3015532</v>
      </c>
      <c r="H139" s="362">
        <v>8.706603147105529</v>
      </c>
    </row>
    <row r="140" spans="3:8" ht="17.100000000000001" customHeight="1" x14ac:dyDescent="0.25">
      <c r="C140" s="315" t="s">
        <v>3890</v>
      </c>
      <c r="D140" s="353">
        <v>14000000</v>
      </c>
      <c r="E140" s="353">
        <v>10985000</v>
      </c>
      <c r="F140" s="354">
        <v>78.464285714285722</v>
      </c>
      <c r="G140" s="353">
        <v>3015000</v>
      </c>
      <c r="H140" s="354">
        <v>21.535714285714285</v>
      </c>
    </row>
    <row r="141" spans="3:8" x14ac:dyDescent="0.25">
      <c r="C141" s="315" t="s">
        <v>3894</v>
      </c>
      <c r="D141" s="353">
        <v>20635000</v>
      </c>
      <c r="E141" s="353">
        <v>20634468</v>
      </c>
      <c r="F141" s="354">
        <v>99.997421856069778</v>
      </c>
      <c r="G141" s="353">
        <v>532</v>
      </c>
      <c r="H141" s="354">
        <v>2.578143930215653E-3</v>
      </c>
    </row>
    <row r="142" spans="3:8" x14ac:dyDescent="0.25">
      <c r="C142" s="311" t="s">
        <v>3976</v>
      </c>
      <c r="D142" s="361">
        <v>7500000</v>
      </c>
      <c r="E142" s="361">
        <v>4944000</v>
      </c>
      <c r="F142" s="362">
        <v>65.92</v>
      </c>
      <c r="G142" s="361">
        <v>2556000</v>
      </c>
      <c r="H142" s="362">
        <v>34.08</v>
      </c>
    </row>
    <row r="143" spans="3:8" x14ac:dyDescent="0.25">
      <c r="C143" s="315" t="s">
        <v>3890</v>
      </c>
      <c r="D143" s="353">
        <v>7500000</v>
      </c>
      <c r="E143" s="353">
        <v>4944000</v>
      </c>
      <c r="F143" s="354">
        <v>65.92</v>
      </c>
      <c r="G143" s="353">
        <v>2556000</v>
      </c>
      <c r="H143" s="354">
        <v>34.08</v>
      </c>
    </row>
    <row r="144" spans="3:8" x14ac:dyDescent="0.25">
      <c r="C144" s="311" t="s">
        <v>3977</v>
      </c>
      <c r="D144" s="361">
        <v>108333000</v>
      </c>
      <c r="E144" s="361">
        <v>64690000</v>
      </c>
      <c r="F144" s="362">
        <v>59.714029889322738</v>
      </c>
      <c r="G144" s="361">
        <v>43643000</v>
      </c>
      <c r="H144" s="362">
        <v>40.285970110677269</v>
      </c>
    </row>
    <row r="145" spans="3:8" ht="17.100000000000001" customHeight="1" x14ac:dyDescent="0.25">
      <c r="C145" s="315" t="s">
        <v>3890</v>
      </c>
      <c r="D145" s="353">
        <v>4800000</v>
      </c>
      <c r="E145" s="353">
        <v>0</v>
      </c>
      <c r="F145" s="354">
        <v>0</v>
      </c>
      <c r="G145" s="353">
        <v>4800000</v>
      </c>
      <c r="H145" s="354">
        <v>100</v>
      </c>
    </row>
    <row r="146" spans="3:8" x14ac:dyDescent="0.25">
      <c r="C146" s="315" t="s">
        <v>3908</v>
      </c>
      <c r="D146" s="353">
        <v>27500000</v>
      </c>
      <c r="E146" s="353">
        <v>9960000</v>
      </c>
      <c r="F146" s="354">
        <v>36.218181818181819</v>
      </c>
      <c r="G146" s="353">
        <v>17540000</v>
      </c>
      <c r="H146" s="354">
        <v>63.781818181818181</v>
      </c>
    </row>
    <row r="147" spans="3:8" x14ac:dyDescent="0.25">
      <c r="C147" s="315" t="s">
        <v>3894</v>
      </c>
      <c r="D147" s="353">
        <v>76033000</v>
      </c>
      <c r="E147" s="353">
        <v>54730000</v>
      </c>
      <c r="F147" s="354">
        <v>71.981902594925884</v>
      </c>
      <c r="G147" s="353">
        <v>21303000</v>
      </c>
      <c r="H147" s="354">
        <v>28.018097405074112</v>
      </c>
    </row>
    <row r="148" spans="3:8" x14ac:dyDescent="0.25">
      <c r="C148" s="170" t="s">
        <v>560</v>
      </c>
      <c r="D148" s="357">
        <v>3420542000</v>
      </c>
      <c r="E148" s="357">
        <v>1707968860</v>
      </c>
      <c r="F148" s="358">
        <v>49.932696631118695</v>
      </c>
      <c r="G148" s="357">
        <v>1712573140</v>
      </c>
      <c r="H148" s="358">
        <v>50.067303368881312</v>
      </c>
    </row>
    <row r="149" spans="3:8" ht="30" x14ac:dyDescent="0.25">
      <c r="C149" s="309" t="s">
        <v>3926</v>
      </c>
      <c r="D149" s="353">
        <v>114200000</v>
      </c>
      <c r="E149" s="353">
        <v>114200000</v>
      </c>
      <c r="F149" s="354">
        <v>100</v>
      </c>
      <c r="G149" s="353">
        <v>0</v>
      </c>
      <c r="H149" s="354">
        <v>0</v>
      </c>
    </row>
    <row r="150" spans="3:8" x14ac:dyDescent="0.25">
      <c r="C150" s="326" t="s">
        <v>3928</v>
      </c>
      <c r="D150" s="359">
        <v>114200000</v>
      </c>
      <c r="E150" s="359">
        <v>114200000</v>
      </c>
      <c r="F150" s="360">
        <v>100</v>
      </c>
      <c r="G150" s="359">
        <v>0</v>
      </c>
      <c r="H150" s="360">
        <v>0</v>
      </c>
    </row>
    <row r="151" spans="3:8" x14ac:dyDescent="0.25">
      <c r="C151" s="311" t="s">
        <v>3927</v>
      </c>
      <c r="D151" s="361">
        <v>114200000</v>
      </c>
      <c r="E151" s="361">
        <v>114200000</v>
      </c>
      <c r="F151" s="362">
        <v>100</v>
      </c>
      <c r="G151" s="361">
        <v>0</v>
      </c>
      <c r="H151" s="362">
        <v>0</v>
      </c>
    </row>
    <row r="152" spans="3:8" ht="17.100000000000001" customHeight="1" x14ac:dyDescent="0.25">
      <c r="C152" s="315" t="s">
        <v>3897</v>
      </c>
      <c r="D152" s="353">
        <v>114200000</v>
      </c>
      <c r="E152" s="353">
        <v>114200000</v>
      </c>
      <c r="F152" s="354">
        <v>100</v>
      </c>
      <c r="G152" s="353">
        <v>0</v>
      </c>
      <c r="H152" s="354">
        <v>0</v>
      </c>
    </row>
    <row r="153" spans="3:8" x14ac:dyDescent="0.25">
      <c r="C153" s="309" t="s">
        <v>3935</v>
      </c>
      <c r="D153" s="353">
        <v>670684000</v>
      </c>
      <c r="E153" s="353">
        <v>390447219</v>
      </c>
      <c r="F153" s="354">
        <v>58.216271597354343</v>
      </c>
      <c r="G153" s="353">
        <v>280236781</v>
      </c>
      <c r="H153" s="354">
        <v>41.783728402645657</v>
      </c>
    </row>
    <row r="154" spans="3:8" x14ac:dyDescent="0.25">
      <c r="C154" s="326" t="s">
        <v>3934</v>
      </c>
      <c r="D154" s="359">
        <v>670684000</v>
      </c>
      <c r="E154" s="359">
        <v>390447219</v>
      </c>
      <c r="F154" s="360">
        <v>58.216271597354343</v>
      </c>
      <c r="G154" s="359">
        <v>280236781</v>
      </c>
      <c r="H154" s="360">
        <v>41.783728402645657</v>
      </c>
    </row>
    <row r="155" spans="3:8" x14ac:dyDescent="0.25">
      <c r="C155" s="311" t="s">
        <v>3915</v>
      </c>
      <c r="D155" s="361">
        <v>18739000</v>
      </c>
      <c r="E155" s="361">
        <v>16087300</v>
      </c>
      <c r="F155" s="362">
        <v>85.849298254976247</v>
      </c>
      <c r="G155" s="361">
        <v>2651700</v>
      </c>
      <c r="H155" s="362">
        <v>14.150701745023747</v>
      </c>
    </row>
    <row r="156" spans="3:8" ht="17.100000000000001" customHeight="1" x14ac:dyDescent="0.25">
      <c r="C156" s="315" t="s">
        <v>3890</v>
      </c>
      <c r="D156" s="353">
        <v>5000000</v>
      </c>
      <c r="E156" s="353">
        <v>3998800</v>
      </c>
      <c r="F156" s="354">
        <v>79.975999999999999</v>
      </c>
      <c r="G156" s="353">
        <v>1001200</v>
      </c>
      <c r="H156" s="354">
        <v>20.024000000000001</v>
      </c>
    </row>
    <row r="157" spans="3:8" x14ac:dyDescent="0.25">
      <c r="C157" s="315" t="s">
        <v>3894</v>
      </c>
      <c r="D157" s="353">
        <v>12989000</v>
      </c>
      <c r="E157" s="353">
        <v>11338500</v>
      </c>
      <c r="F157" s="354">
        <v>87.293094156594037</v>
      </c>
      <c r="G157" s="353">
        <v>1650500</v>
      </c>
      <c r="H157" s="354">
        <v>12.706905843405957</v>
      </c>
    </row>
    <row r="158" spans="3:8" ht="17.100000000000001" customHeight="1" x14ac:dyDescent="0.25">
      <c r="C158" s="315" t="s">
        <v>508</v>
      </c>
      <c r="D158" s="353">
        <v>750000</v>
      </c>
      <c r="E158" s="353">
        <v>750000</v>
      </c>
      <c r="F158" s="354">
        <v>100</v>
      </c>
      <c r="G158" s="353">
        <v>0</v>
      </c>
      <c r="H158" s="354">
        <v>0</v>
      </c>
    </row>
    <row r="159" spans="3:8" x14ac:dyDescent="0.25">
      <c r="C159" s="311" t="s">
        <v>3916</v>
      </c>
      <c r="D159" s="361">
        <v>385665000</v>
      </c>
      <c r="E159" s="361">
        <v>167581461</v>
      </c>
      <c r="F159" s="362">
        <v>43.452597720819881</v>
      </c>
      <c r="G159" s="361">
        <v>218083539</v>
      </c>
      <c r="H159" s="362">
        <v>56.547402279180112</v>
      </c>
    </row>
    <row r="160" spans="3:8" x14ac:dyDescent="0.25">
      <c r="C160" s="315" t="s">
        <v>3890</v>
      </c>
      <c r="D160" s="353">
        <v>10000000</v>
      </c>
      <c r="E160" s="353">
        <v>4970000</v>
      </c>
      <c r="F160" s="354">
        <v>49.7</v>
      </c>
      <c r="G160" s="353">
        <v>5030000</v>
      </c>
      <c r="H160" s="354">
        <v>50.3</v>
      </c>
    </row>
    <row r="161" spans="3:8" ht="17.100000000000001" customHeight="1" x14ac:dyDescent="0.25">
      <c r="C161" s="315" t="s">
        <v>3895</v>
      </c>
      <c r="D161" s="353">
        <v>2031000</v>
      </c>
      <c r="E161" s="353">
        <v>2031000</v>
      </c>
      <c r="F161" s="354">
        <v>100</v>
      </c>
      <c r="G161" s="353">
        <v>0</v>
      </c>
      <c r="H161" s="354">
        <v>0</v>
      </c>
    </row>
    <row r="162" spans="3:8" ht="17.100000000000001" customHeight="1" x14ac:dyDescent="0.25">
      <c r="C162" s="315" t="s">
        <v>3894</v>
      </c>
      <c r="D162" s="353">
        <v>373634000</v>
      </c>
      <c r="E162" s="353">
        <v>160580461</v>
      </c>
      <c r="F162" s="354">
        <v>42.978010834131794</v>
      </c>
      <c r="G162" s="353">
        <v>213053539</v>
      </c>
      <c r="H162" s="354">
        <v>57.021989165868206</v>
      </c>
    </row>
    <row r="163" spans="3:8" x14ac:dyDescent="0.25">
      <c r="C163" s="311" t="s">
        <v>3936</v>
      </c>
      <c r="D163" s="361">
        <v>56750000</v>
      </c>
      <c r="E163" s="361">
        <v>42281740</v>
      </c>
      <c r="F163" s="362">
        <v>74.505268722466951</v>
      </c>
      <c r="G163" s="361">
        <v>14468260</v>
      </c>
      <c r="H163" s="362">
        <v>25.494731277533038</v>
      </c>
    </row>
    <row r="164" spans="3:8" x14ac:dyDescent="0.25">
      <c r="C164" s="315" t="s">
        <v>3890</v>
      </c>
      <c r="D164" s="353">
        <v>33500000</v>
      </c>
      <c r="E164" s="353">
        <v>33371740</v>
      </c>
      <c r="F164" s="354">
        <v>99.617134328358219</v>
      </c>
      <c r="G164" s="353">
        <v>128260</v>
      </c>
      <c r="H164" s="354">
        <v>0.38286567164179103</v>
      </c>
    </row>
    <row r="165" spans="3:8" x14ac:dyDescent="0.25">
      <c r="C165" s="315" t="s">
        <v>3896</v>
      </c>
      <c r="D165" s="353">
        <v>3000000</v>
      </c>
      <c r="E165" s="353">
        <v>0</v>
      </c>
      <c r="F165" s="354">
        <v>0</v>
      </c>
      <c r="G165" s="353">
        <v>3000000</v>
      </c>
      <c r="H165" s="354">
        <v>100</v>
      </c>
    </row>
    <row r="166" spans="3:8" x14ac:dyDescent="0.25">
      <c r="C166" s="315" t="s">
        <v>3894</v>
      </c>
      <c r="D166" s="353">
        <v>18000000</v>
      </c>
      <c r="E166" s="353">
        <v>8310000</v>
      </c>
      <c r="F166" s="354">
        <v>46.166666666666664</v>
      </c>
      <c r="G166" s="353">
        <v>9690000</v>
      </c>
      <c r="H166" s="354">
        <v>53.833333333333336</v>
      </c>
    </row>
    <row r="167" spans="3:8" x14ac:dyDescent="0.25">
      <c r="C167" s="315" t="s">
        <v>508</v>
      </c>
      <c r="D167" s="353">
        <v>2250000</v>
      </c>
      <c r="E167" s="353">
        <v>600000</v>
      </c>
      <c r="F167" s="354">
        <v>26.666666666666668</v>
      </c>
      <c r="G167" s="353">
        <v>1650000</v>
      </c>
      <c r="H167" s="354">
        <v>73.333333333333329</v>
      </c>
    </row>
    <row r="168" spans="3:8" x14ac:dyDescent="0.25">
      <c r="C168" s="311" t="s">
        <v>3917</v>
      </c>
      <c r="D168" s="361">
        <v>61193000</v>
      </c>
      <c r="E168" s="361">
        <v>33140738</v>
      </c>
      <c r="F168" s="362">
        <v>54.15772719101858</v>
      </c>
      <c r="G168" s="361">
        <v>28052262</v>
      </c>
      <c r="H168" s="362">
        <v>45.84227280898142</v>
      </c>
    </row>
    <row r="169" spans="3:8" x14ac:dyDescent="0.25">
      <c r="C169" s="315" t="s">
        <v>3890</v>
      </c>
      <c r="D169" s="353">
        <v>13500000</v>
      </c>
      <c r="E169" s="353">
        <v>5459000</v>
      </c>
      <c r="F169" s="354">
        <v>40.437037037037037</v>
      </c>
      <c r="G169" s="353">
        <v>8041000</v>
      </c>
      <c r="H169" s="354">
        <v>59.562962962962963</v>
      </c>
    </row>
    <row r="170" spans="3:8" x14ac:dyDescent="0.25">
      <c r="C170" s="315" t="s">
        <v>3894</v>
      </c>
      <c r="D170" s="353">
        <v>47693000</v>
      </c>
      <c r="E170" s="353">
        <v>27681738</v>
      </c>
      <c r="F170" s="354">
        <v>58.041511332900008</v>
      </c>
      <c r="G170" s="353">
        <v>20011262</v>
      </c>
      <c r="H170" s="354">
        <v>41.958488667099992</v>
      </c>
    </row>
    <row r="171" spans="3:8" x14ac:dyDescent="0.25">
      <c r="C171" s="311" t="s">
        <v>3937</v>
      </c>
      <c r="D171" s="361">
        <v>148337000</v>
      </c>
      <c r="E171" s="361">
        <v>131355980</v>
      </c>
      <c r="F171" s="362">
        <v>88.55240432258978</v>
      </c>
      <c r="G171" s="361">
        <v>16981020</v>
      </c>
      <c r="H171" s="362">
        <v>11.447595677410222</v>
      </c>
    </row>
    <row r="172" spans="3:8" ht="17.100000000000001" customHeight="1" x14ac:dyDescent="0.25">
      <c r="C172" s="315" t="s">
        <v>3890</v>
      </c>
      <c r="D172" s="353">
        <v>38100000</v>
      </c>
      <c r="E172" s="353">
        <v>38095000</v>
      </c>
      <c r="F172" s="354">
        <v>99.98687664041995</v>
      </c>
      <c r="G172" s="353">
        <v>5000</v>
      </c>
      <c r="H172" s="354">
        <v>1.3123359580052493E-2</v>
      </c>
    </row>
    <row r="173" spans="3:8" ht="17.100000000000001" customHeight="1" x14ac:dyDescent="0.25">
      <c r="C173" s="315" t="s">
        <v>3938</v>
      </c>
      <c r="D173" s="353">
        <v>82534000</v>
      </c>
      <c r="E173" s="353">
        <v>67164280</v>
      </c>
      <c r="F173" s="354">
        <v>81.377711003949884</v>
      </c>
      <c r="G173" s="353">
        <v>15369720</v>
      </c>
      <c r="H173" s="354">
        <v>18.622288996050113</v>
      </c>
    </row>
    <row r="174" spans="3:8" ht="17.100000000000001" customHeight="1" x14ac:dyDescent="0.25">
      <c r="C174" s="315" t="s">
        <v>3983</v>
      </c>
      <c r="D174" s="353">
        <v>1606000</v>
      </c>
      <c r="E174" s="353">
        <v>0</v>
      </c>
      <c r="F174" s="354">
        <v>0</v>
      </c>
      <c r="G174" s="353">
        <v>1606000</v>
      </c>
      <c r="H174" s="354">
        <v>100</v>
      </c>
    </row>
    <row r="175" spans="3:8" x14ac:dyDescent="0.25">
      <c r="C175" s="315" t="s">
        <v>3895</v>
      </c>
      <c r="D175" s="353">
        <v>4246000</v>
      </c>
      <c r="E175" s="353">
        <v>4246000</v>
      </c>
      <c r="F175" s="354">
        <v>100</v>
      </c>
      <c r="G175" s="353">
        <v>0</v>
      </c>
      <c r="H175" s="354">
        <v>0</v>
      </c>
    </row>
    <row r="176" spans="3:8" ht="17.100000000000001" customHeight="1" x14ac:dyDescent="0.25">
      <c r="C176" s="315" t="s">
        <v>3894</v>
      </c>
      <c r="D176" s="353">
        <v>21851000</v>
      </c>
      <c r="E176" s="353">
        <v>21850700</v>
      </c>
      <c r="F176" s="354">
        <v>99.998627065122875</v>
      </c>
      <c r="G176" s="353">
        <v>300</v>
      </c>
      <c r="H176" s="354">
        <v>1.3729348771223285E-3</v>
      </c>
    </row>
    <row r="177" spans="3:8" x14ac:dyDescent="0.25">
      <c r="C177" s="309" t="s">
        <v>3943</v>
      </c>
      <c r="D177" s="353">
        <v>2095658000</v>
      </c>
      <c r="E177" s="353">
        <v>663321641</v>
      </c>
      <c r="F177" s="354">
        <v>31.652189479390241</v>
      </c>
      <c r="G177" s="353">
        <v>1432336359</v>
      </c>
      <c r="H177" s="354">
        <v>68.347810520609755</v>
      </c>
    </row>
    <row r="178" spans="3:8" x14ac:dyDescent="0.25">
      <c r="C178" s="327" t="s">
        <v>3851</v>
      </c>
      <c r="D178" s="359">
        <v>2095658000</v>
      </c>
      <c r="E178" s="359">
        <v>663321641</v>
      </c>
      <c r="F178" s="360">
        <v>31.652189479390241</v>
      </c>
      <c r="G178" s="359">
        <v>1432336359</v>
      </c>
      <c r="H178" s="360">
        <v>68.347810520609755</v>
      </c>
    </row>
    <row r="179" spans="3:8" x14ac:dyDescent="0.25">
      <c r="C179" s="318" t="s">
        <v>3944</v>
      </c>
      <c r="D179" s="363">
        <v>1254380000</v>
      </c>
      <c r="E179" s="363">
        <v>487766151</v>
      </c>
      <c r="F179" s="364">
        <v>38.885038903681505</v>
      </c>
      <c r="G179" s="363">
        <v>766613849</v>
      </c>
      <c r="H179" s="364">
        <v>61.114961096318495</v>
      </c>
    </row>
    <row r="180" spans="3:8" ht="17.100000000000001" customHeight="1" x14ac:dyDescent="0.25">
      <c r="C180" s="315" t="s">
        <v>3945</v>
      </c>
      <c r="D180" s="353">
        <v>1076220000</v>
      </c>
      <c r="E180" s="353">
        <v>423058151</v>
      </c>
      <c r="F180" s="354">
        <v>39.309634740108898</v>
      </c>
      <c r="G180" s="353">
        <v>653161849</v>
      </c>
      <c r="H180" s="354">
        <v>60.690365259891102</v>
      </c>
    </row>
    <row r="181" spans="3:8" ht="17.100000000000001" customHeight="1" x14ac:dyDescent="0.25">
      <c r="C181" s="315" t="s">
        <v>3908</v>
      </c>
      <c r="D181" s="353">
        <v>178160000</v>
      </c>
      <c r="E181" s="353">
        <v>64708000</v>
      </c>
      <c r="F181" s="354">
        <v>36.320161652447233</v>
      </c>
      <c r="G181" s="353">
        <v>113452000</v>
      </c>
      <c r="H181" s="354">
        <v>63.679838347552767</v>
      </c>
    </row>
    <row r="182" spans="3:8" ht="17.100000000000001" customHeight="1" x14ac:dyDescent="0.25">
      <c r="C182" s="318" t="s">
        <v>3946</v>
      </c>
      <c r="D182" s="363">
        <v>148852000</v>
      </c>
      <c r="E182" s="363">
        <v>22086050</v>
      </c>
      <c r="F182" s="364">
        <v>14.837590358208153</v>
      </c>
      <c r="G182" s="363">
        <v>126765950</v>
      </c>
      <c r="H182" s="364">
        <v>85.162409641791854</v>
      </c>
    </row>
    <row r="183" spans="3:8" ht="17.100000000000001" customHeight="1" x14ac:dyDescent="0.25">
      <c r="C183" s="315" t="s">
        <v>3947</v>
      </c>
      <c r="D183" s="353">
        <v>30000000</v>
      </c>
      <c r="E183" s="353">
        <v>2286050</v>
      </c>
      <c r="F183" s="354">
        <v>7.620166666666667</v>
      </c>
      <c r="G183" s="353">
        <v>27713950</v>
      </c>
      <c r="H183" s="354">
        <v>92.379833333333337</v>
      </c>
    </row>
    <row r="184" spans="3:8" x14ac:dyDescent="0.25">
      <c r="C184" s="315" t="s">
        <v>3896</v>
      </c>
      <c r="D184" s="353">
        <v>118852000</v>
      </c>
      <c r="E184" s="353">
        <v>19800000</v>
      </c>
      <c r="F184" s="354">
        <v>16.659374684481541</v>
      </c>
      <c r="G184" s="353">
        <v>99052000</v>
      </c>
      <c r="H184" s="354">
        <v>83.340625315518452</v>
      </c>
    </row>
    <row r="185" spans="3:8" ht="17.100000000000001" customHeight="1" x14ac:dyDescent="0.25">
      <c r="C185" s="318" t="s">
        <v>3948</v>
      </c>
      <c r="D185" s="363">
        <v>533050000</v>
      </c>
      <c r="E185" s="363">
        <v>94875440</v>
      </c>
      <c r="F185" s="364">
        <v>17.798600506519087</v>
      </c>
      <c r="G185" s="363">
        <v>438174560</v>
      </c>
      <c r="H185" s="364">
        <v>82.201399493480906</v>
      </c>
    </row>
    <row r="186" spans="3:8" ht="17.100000000000001" customHeight="1" x14ac:dyDescent="0.25">
      <c r="C186" s="315" t="s">
        <v>3949</v>
      </c>
      <c r="D186" s="353">
        <v>497050000</v>
      </c>
      <c r="E186" s="353">
        <v>85875440</v>
      </c>
      <c r="F186" s="354">
        <v>17.277022432350869</v>
      </c>
      <c r="G186" s="353">
        <v>411174560</v>
      </c>
      <c r="H186" s="354">
        <v>82.722977567649124</v>
      </c>
    </row>
    <row r="187" spans="3:8" ht="17.100000000000001" customHeight="1" x14ac:dyDescent="0.25">
      <c r="C187" s="315" t="s">
        <v>3950</v>
      </c>
      <c r="D187" s="353">
        <v>36000000</v>
      </c>
      <c r="E187" s="353">
        <v>9000000</v>
      </c>
      <c r="F187" s="354">
        <v>25</v>
      </c>
      <c r="G187" s="353">
        <v>27000000</v>
      </c>
      <c r="H187" s="354">
        <v>75</v>
      </c>
    </row>
    <row r="188" spans="3:8" x14ac:dyDescent="0.25">
      <c r="C188" s="318" t="s">
        <v>3951</v>
      </c>
      <c r="D188" s="363">
        <v>159376000</v>
      </c>
      <c r="E188" s="363">
        <v>58594000</v>
      </c>
      <c r="F188" s="364">
        <v>36.764632065053711</v>
      </c>
      <c r="G188" s="363">
        <v>100782000</v>
      </c>
      <c r="H188" s="364">
        <v>63.235367934946296</v>
      </c>
    </row>
    <row r="189" spans="3:8" ht="17.100000000000001" customHeight="1" x14ac:dyDescent="0.25">
      <c r="C189" s="315" t="s">
        <v>3945</v>
      </c>
      <c r="D189" s="353">
        <v>101040000</v>
      </c>
      <c r="E189" s="353">
        <v>44410000</v>
      </c>
      <c r="F189" s="354">
        <v>43.952889944576405</v>
      </c>
      <c r="G189" s="353">
        <v>56630000</v>
      </c>
      <c r="H189" s="354">
        <v>56.047110055423602</v>
      </c>
    </row>
    <row r="190" spans="3:8" ht="17.100000000000001" customHeight="1" x14ac:dyDescent="0.25">
      <c r="C190" s="315" t="s">
        <v>3952</v>
      </c>
      <c r="D190" s="353">
        <v>58336000</v>
      </c>
      <c r="E190" s="353">
        <v>14184000</v>
      </c>
      <c r="F190" s="354">
        <v>24.314317059791552</v>
      </c>
      <c r="G190" s="353">
        <v>44152000</v>
      </c>
      <c r="H190" s="354">
        <v>75.685682940208437</v>
      </c>
    </row>
    <row r="191" spans="3:8" x14ac:dyDescent="0.25">
      <c r="C191" s="309" t="s">
        <v>3956</v>
      </c>
      <c r="D191" s="353">
        <v>540000000</v>
      </c>
      <c r="E191" s="353">
        <v>540000000</v>
      </c>
      <c r="F191" s="354">
        <v>100</v>
      </c>
      <c r="G191" s="353">
        <v>0</v>
      </c>
      <c r="H191" s="354">
        <v>0</v>
      </c>
    </row>
    <row r="192" spans="3:8" x14ac:dyDescent="0.25">
      <c r="C192" s="326" t="s">
        <v>3957</v>
      </c>
      <c r="D192" s="359">
        <v>540000000</v>
      </c>
      <c r="E192" s="359">
        <v>540000000</v>
      </c>
      <c r="F192" s="360">
        <v>100</v>
      </c>
      <c r="G192" s="359">
        <v>0</v>
      </c>
      <c r="H192" s="360">
        <v>0</v>
      </c>
    </row>
    <row r="193" spans="3:8" x14ac:dyDescent="0.25">
      <c r="C193" s="311" t="s">
        <v>3958</v>
      </c>
      <c r="D193" s="361">
        <v>540000000</v>
      </c>
      <c r="E193" s="361">
        <v>540000000</v>
      </c>
      <c r="F193" s="362">
        <v>100</v>
      </c>
      <c r="G193" s="361">
        <v>0</v>
      </c>
      <c r="H193" s="362">
        <v>0</v>
      </c>
    </row>
    <row r="194" spans="3:8" x14ac:dyDescent="0.25">
      <c r="C194" s="315" t="s">
        <v>3897</v>
      </c>
      <c r="D194" s="353">
        <v>540000000</v>
      </c>
      <c r="E194" s="353">
        <v>540000000</v>
      </c>
      <c r="F194" s="354">
        <v>100</v>
      </c>
      <c r="G194" s="353">
        <v>0</v>
      </c>
      <c r="H194" s="354">
        <v>0</v>
      </c>
    </row>
    <row r="195" spans="3:8" x14ac:dyDescent="0.25">
      <c r="C195" s="309" t="s">
        <v>3920</v>
      </c>
      <c r="D195" s="353">
        <v>6082500000</v>
      </c>
      <c r="E195" s="353">
        <v>3476713912</v>
      </c>
      <c r="F195" s="354">
        <v>57.159291607069463</v>
      </c>
      <c r="G195" s="353">
        <v>2605786088</v>
      </c>
      <c r="H195" s="354">
        <v>42.840708392930537</v>
      </c>
    </row>
    <row r="196" spans="3:8" x14ac:dyDescent="0.25">
      <c r="C196" s="310" t="s">
        <v>542</v>
      </c>
      <c r="D196" s="355">
        <v>6082500000</v>
      </c>
      <c r="E196" s="355">
        <v>3476713912</v>
      </c>
      <c r="F196" s="356">
        <v>57.159291607069463</v>
      </c>
      <c r="G196" s="355">
        <v>2605786088</v>
      </c>
      <c r="H196" s="356">
        <v>42.840708392930537</v>
      </c>
    </row>
    <row r="197" spans="3:8" x14ac:dyDescent="0.25">
      <c r="C197" s="170" t="s">
        <v>543</v>
      </c>
      <c r="D197" s="357">
        <v>6082500000</v>
      </c>
      <c r="E197" s="357">
        <v>3476713912</v>
      </c>
      <c r="F197" s="358">
        <v>57.159291607069463</v>
      </c>
      <c r="G197" s="357">
        <v>2605786088</v>
      </c>
      <c r="H197" s="358">
        <v>42.840708392930537</v>
      </c>
    </row>
    <row r="198" spans="3:8" x14ac:dyDescent="0.25">
      <c r="C198" s="309" t="s">
        <v>3980</v>
      </c>
      <c r="D198" s="353">
        <v>6082500000</v>
      </c>
      <c r="E198" s="353">
        <v>3476713912</v>
      </c>
      <c r="F198" s="354">
        <v>57.159291607069463</v>
      </c>
      <c r="G198" s="353">
        <v>2605786088</v>
      </c>
      <c r="H198" s="354">
        <v>42.840708392930537</v>
      </c>
    </row>
    <row r="199" spans="3:8" x14ac:dyDescent="0.25">
      <c r="C199" s="326" t="s">
        <v>3981</v>
      </c>
      <c r="D199" s="359">
        <v>5973300000</v>
      </c>
      <c r="E199" s="359">
        <v>3468907912</v>
      </c>
      <c r="F199" s="360">
        <v>58.073559205129484</v>
      </c>
      <c r="G199" s="359">
        <v>2504392088</v>
      </c>
      <c r="H199" s="360">
        <v>41.926440794870508</v>
      </c>
    </row>
    <row r="200" spans="3:8" x14ac:dyDescent="0.25">
      <c r="C200" s="311" t="s">
        <v>3982</v>
      </c>
      <c r="D200" s="361">
        <v>1713564000</v>
      </c>
      <c r="E200" s="361">
        <v>25390000</v>
      </c>
      <c r="F200" s="362">
        <v>1.4817071320359203</v>
      </c>
      <c r="G200" s="361">
        <v>1688174000</v>
      </c>
      <c r="H200" s="362">
        <v>98.518292867964078</v>
      </c>
    </row>
    <row r="201" spans="3:8" ht="17.100000000000001" customHeight="1" x14ac:dyDescent="0.25">
      <c r="C201" s="315" t="s">
        <v>3890</v>
      </c>
      <c r="D201" s="353">
        <v>99100000</v>
      </c>
      <c r="E201" s="353">
        <v>0</v>
      </c>
      <c r="F201" s="354">
        <v>0</v>
      </c>
      <c r="G201" s="353">
        <v>99100000</v>
      </c>
      <c r="H201" s="354">
        <v>100</v>
      </c>
    </row>
    <row r="202" spans="3:8" ht="17.100000000000001" customHeight="1" x14ac:dyDescent="0.25">
      <c r="C202" s="315" t="s">
        <v>3903</v>
      </c>
      <c r="D202" s="353">
        <v>1333864000</v>
      </c>
      <c r="E202" s="353">
        <v>0</v>
      </c>
      <c r="F202" s="354">
        <v>0</v>
      </c>
      <c r="G202" s="353">
        <v>1333864000</v>
      </c>
      <c r="H202" s="354">
        <v>100</v>
      </c>
    </row>
    <row r="203" spans="3:8" x14ac:dyDescent="0.25">
      <c r="C203" s="315" t="s">
        <v>3908</v>
      </c>
      <c r="D203" s="353">
        <v>25000000</v>
      </c>
      <c r="E203" s="353">
        <v>4855000</v>
      </c>
      <c r="F203" s="354">
        <v>19.420000000000002</v>
      </c>
      <c r="G203" s="353">
        <v>20145000</v>
      </c>
      <c r="H203" s="354">
        <v>80.58</v>
      </c>
    </row>
    <row r="204" spans="3:8" ht="17.100000000000001" customHeight="1" x14ac:dyDescent="0.25">
      <c r="C204" s="315" t="s">
        <v>3893</v>
      </c>
      <c r="D204" s="353">
        <v>15000000</v>
      </c>
      <c r="E204" s="353">
        <v>0</v>
      </c>
      <c r="F204" s="354">
        <v>0</v>
      </c>
      <c r="G204" s="353">
        <v>15000000</v>
      </c>
      <c r="H204" s="354">
        <v>100</v>
      </c>
    </row>
    <row r="205" spans="3:8" ht="17.100000000000001" customHeight="1" x14ac:dyDescent="0.25">
      <c r="C205" s="315" t="s">
        <v>3983</v>
      </c>
      <c r="D205" s="353">
        <v>102600000</v>
      </c>
      <c r="E205" s="353">
        <v>0</v>
      </c>
      <c r="F205" s="354">
        <v>0</v>
      </c>
      <c r="G205" s="353">
        <v>102600000</v>
      </c>
      <c r="H205" s="354">
        <v>100</v>
      </c>
    </row>
    <row r="206" spans="3:8" x14ac:dyDescent="0.25">
      <c r="C206" s="315" t="s">
        <v>3894</v>
      </c>
      <c r="D206" s="353">
        <v>138000000</v>
      </c>
      <c r="E206" s="353">
        <v>20535000</v>
      </c>
      <c r="F206" s="354">
        <v>14.880434782608695</v>
      </c>
      <c r="G206" s="353">
        <v>117465000</v>
      </c>
      <c r="H206" s="354">
        <v>85.119565217391298</v>
      </c>
    </row>
    <row r="207" spans="3:8" x14ac:dyDescent="0.25">
      <c r="C207" s="311" t="s">
        <v>3984</v>
      </c>
      <c r="D207" s="361">
        <v>4085695000</v>
      </c>
      <c r="E207" s="361">
        <v>3443517912</v>
      </c>
      <c r="F207" s="362">
        <v>84.282304773116934</v>
      </c>
      <c r="G207" s="361">
        <v>642177088</v>
      </c>
      <c r="H207" s="362">
        <v>15.717695226883063</v>
      </c>
    </row>
    <row r="208" spans="3:8" ht="17.100000000000001" customHeight="1" x14ac:dyDescent="0.25">
      <c r="C208" s="315" t="s">
        <v>3890</v>
      </c>
      <c r="D208" s="353">
        <v>25000000</v>
      </c>
      <c r="E208" s="353">
        <v>2917500</v>
      </c>
      <c r="F208" s="354">
        <v>11.67</v>
      </c>
      <c r="G208" s="353">
        <v>22082500</v>
      </c>
      <c r="H208" s="354">
        <v>88.33</v>
      </c>
    </row>
    <row r="209" spans="3:8" x14ac:dyDescent="0.25">
      <c r="C209" s="315" t="s">
        <v>3903</v>
      </c>
      <c r="D209" s="353">
        <v>3808695000</v>
      </c>
      <c r="E209" s="353">
        <v>3393066206</v>
      </c>
      <c r="F209" s="354">
        <v>89.087369978430928</v>
      </c>
      <c r="G209" s="353">
        <v>415628794</v>
      </c>
      <c r="H209" s="354">
        <v>10.912630021569068</v>
      </c>
    </row>
    <row r="210" spans="3:8" x14ac:dyDescent="0.25">
      <c r="C210" s="315" t="s">
        <v>3908</v>
      </c>
      <c r="D210" s="353">
        <v>30000000</v>
      </c>
      <c r="E210" s="353">
        <v>4811000</v>
      </c>
      <c r="F210" s="354">
        <v>16.036666666666665</v>
      </c>
      <c r="G210" s="353">
        <v>25189000</v>
      </c>
      <c r="H210" s="354">
        <v>83.963333333333338</v>
      </c>
    </row>
    <row r="211" spans="3:8" ht="17.100000000000001" customHeight="1" x14ac:dyDescent="0.25">
      <c r="C211" s="315" t="s">
        <v>3893</v>
      </c>
      <c r="D211" s="353">
        <v>6000000</v>
      </c>
      <c r="E211" s="353">
        <v>0</v>
      </c>
      <c r="F211" s="354">
        <v>0</v>
      </c>
      <c r="G211" s="353">
        <v>6000000</v>
      </c>
      <c r="H211" s="354">
        <v>100</v>
      </c>
    </row>
    <row r="212" spans="3:8" ht="17.100000000000001" customHeight="1" x14ac:dyDescent="0.25">
      <c r="C212" s="315" t="s">
        <v>3894</v>
      </c>
      <c r="D212" s="353">
        <v>216000000</v>
      </c>
      <c r="E212" s="353">
        <v>42723206</v>
      </c>
      <c r="F212" s="354">
        <v>19.779262037037036</v>
      </c>
      <c r="G212" s="353">
        <v>173276794</v>
      </c>
      <c r="H212" s="354">
        <v>80.220737962962957</v>
      </c>
    </row>
    <row r="213" spans="3:8" x14ac:dyDescent="0.25">
      <c r="C213" s="311" t="s">
        <v>3985</v>
      </c>
      <c r="D213" s="361">
        <v>174041000</v>
      </c>
      <c r="E213" s="361">
        <v>0</v>
      </c>
      <c r="F213" s="362">
        <v>0</v>
      </c>
      <c r="G213" s="361">
        <v>174041000</v>
      </c>
      <c r="H213" s="362">
        <v>100</v>
      </c>
    </row>
    <row r="214" spans="3:8" x14ac:dyDescent="0.25">
      <c r="C214" s="315" t="s">
        <v>3890</v>
      </c>
      <c r="D214" s="353">
        <v>12000000</v>
      </c>
      <c r="E214" s="353">
        <v>0</v>
      </c>
      <c r="F214" s="354">
        <v>0</v>
      </c>
      <c r="G214" s="353">
        <v>12000000</v>
      </c>
      <c r="H214" s="354">
        <v>100</v>
      </c>
    </row>
    <row r="215" spans="3:8" x14ac:dyDescent="0.25">
      <c r="C215" s="315" t="s">
        <v>3903</v>
      </c>
      <c r="D215" s="353">
        <v>20000000</v>
      </c>
      <c r="E215" s="353">
        <v>0</v>
      </c>
      <c r="F215" s="354">
        <v>0</v>
      </c>
      <c r="G215" s="353">
        <v>20000000</v>
      </c>
      <c r="H215" s="354">
        <v>100</v>
      </c>
    </row>
    <row r="216" spans="3:8" ht="17.100000000000001" customHeight="1" x14ac:dyDescent="0.25">
      <c r="C216" s="315" t="s">
        <v>3987</v>
      </c>
      <c r="D216" s="353">
        <v>142041000</v>
      </c>
      <c r="E216" s="353">
        <v>0</v>
      </c>
      <c r="F216" s="354">
        <v>0</v>
      </c>
      <c r="G216" s="353">
        <v>142041000</v>
      </c>
      <c r="H216" s="354">
        <v>100</v>
      </c>
    </row>
    <row r="217" spans="3:8" x14ac:dyDescent="0.25">
      <c r="C217" s="326" t="s">
        <v>3996</v>
      </c>
      <c r="D217" s="359">
        <v>109200000</v>
      </c>
      <c r="E217" s="359">
        <v>7806000</v>
      </c>
      <c r="F217" s="360">
        <v>7.1483516483516487</v>
      </c>
      <c r="G217" s="359">
        <v>101394000</v>
      </c>
      <c r="H217" s="360">
        <v>92.85164835164835</v>
      </c>
    </row>
    <row r="218" spans="3:8" x14ac:dyDescent="0.25">
      <c r="C218" s="311" t="s">
        <v>3997</v>
      </c>
      <c r="D218" s="361">
        <v>109200000</v>
      </c>
      <c r="E218" s="361">
        <v>7806000</v>
      </c>
      <c r="F218" s="362">
        <v>7.1483516483516487</v>
      </c>
      <c r="G218" s="361">
        <v>101394000</v>
      </c>
      <c r="H218" s="362">
        <v>92.85164835164835</v>
      </c>
    </row>
    <row r="219" spans="3:8" x14ac:dyDescent="0.25">
      <c r="C219" s="315" t="s">
        <v>3890</v>
      </c>
      <c r="D219" s="353">
        <v>25000000</v>
      </c>
      <c r="E219" s="353">
        <v>2961000</v>
      </c>
      <c r="F219" s="354">
        <v>11.844000000000001</v>
      </c>
      <c r="G219" s="353">
        <v>22039000</v>
      </c>
      <c r="H219" s="354">
        <v>88.156000000000006</v>
      </c>
    </row>
    <row r="220" spans="3:8" x14ac:dyDescent="0.25">
      <c r="C220" s="315" t="s">
        <v>3908</v>
      </c>
      <c r="D220" s="353">
        <v>30000000</v>
      </c>
      <c r="E220" s="353">
        <v>4845000</v>
      </c>
      <c r="F220" s="354">
        <v>16.150000000000002</v>
      </c>
      <c r="G220" s="353">
        <v>25155000</v>
      </c>
      <c r="H220" s="354">
        <v>83.850000000000009</v>
      </c>
    </row>
    <row r="221" spans="3:8" x14ac:dyDescent="0.25">
      <c r="C221" s="315" t="s">
        <v>3894</v>
      </c>
      <c r="D221" s="353">
        <v>54200000</v>
      </c>
      <c r="E221" s="353">
        <v>0</v>
      </c>
      <c r="F221" s="354">
        <v>0</v>
      </c>
      <c r="G221" s="353">
        <v>54200000</v>
      </c>
      <c r="H221" s="354">
        <v>100</v>
      </c>
    </row>
    <row r="222" spans="3:8" x14ac:dyDescent="0.25">
      <c r="C222" s="309" t="s">
        <v>4004</v>
      </c>
      <c r="D222" s="353">
        <v>11375804000</v>
      </c>
      <c r="E222" s="353">
        <v>6067322932</v>
      </c>
      <c r="F222" s="354">
        <v>53.33533288724032</v>
      </c>
      <c r="G222" s="353">
        <v>5308481068</v>
      </c>
      <c r="H222" s="354">
        <v>46.66466711275968</v>
      </c>
    </row>
    <row r="223" spans="3:8" ht="17.100000000000001" customHeight="1" x14ac:dyDescent="0.25">
      <c r="C223"/>
    </row>
    <row r="224" spans="3:8" ht="17.100000000000001" customHeight="1" x14ac:dyDescent="0.25">
      <c r="C224"/>
    </row>
    <row r="225" spans="3:3" ht="17.100000000000001" customHeight="1" x14ac:dyDescent="0.25">
      <c r="C225"/>
    </row>
    <row r="226" spans="3:3" ht="17.100000000000001" customHeight="1" x14ac:dyDescent="0.25">
      <c r="C226"/>
    </row>
    <row r="227" spans="3:3" ht="17.100000000000001" customHeight="1" x14ac:dyDescent="0.25">
      <c r="C227"/>
    </row>
    <row r="228" spans="3:3" ht="17.100000000000001" customHeight="1" x14ac:dyDescent="0.25">
      <c r="C228"/>
    </row>
    <row r="229" spans="3:3" x14ac:dyDescent="0.25">
      <c r="C229"/>
    </row>
    <row r="230" spans="3:3" ht="17.100000000000001" customHeight="1" x14ac:dyDescent="0.25">
      <c r="C230"/>
    </row>
    <row r="231" spans="3:3" ht="17.100000000000001" customHeight="1" x14ac:dyDescent="0.25">
      <c r="C231"/>
    </row>
    <row r="232" spans="3:3" ht="17.100000000000001" customHeight="1" x14ac:dyDescent="0.25">
      <c r="C232"/>
    </row>
    <row r="233" spans="3:3" ht="17.100000000000001" customHeight="1" x14ac:dyDescent="0.25">
      <c r="C233"/>
    </row>
    <row r="234" spans="3:3" ht="17.100000000000001" customHeight="1" x14ac:dyDescent="0.25">
      <c r="C234"/>
    </row>
    <row r="235" spans="3:3" x14ac:dyDescent="0.25">
      <c r="C235"/>
    </row>
    <row r="236" spans="3:3" ht="17.100000000000001" customHeight="1" x14ac:dyDescent="0.25">
      <c r="C236"/>
    </row>
    <row r="237" spans="3:3" ht="17.100000000000001" customHeight="1" x14ac:dyDescent="0.25">
      <c r="C237"/>
    </row>
    <row r="238" spans="3:3" ht="17.100000000000001" customHeight="1" x14ac:dyDescent="0.25">
      <c r="C238"/>
    </row>
    <row r="239" spans="3:3" x14ac:dyDescent="0.25">
      <c r="C239"/>
    </row>
    <row r="240" spans="3:3" ht="17.100000000000001" customHeight="1" x14ac:dyDescent="0.25">
      <c r="C240"/>
    </row>
    <row r="241" spans="3:10" x14ac:dyDescent="0.25">
      <c r="C241"/>
    </row>
    <row r="242" spans="3:10" x14ac:dyDescent="0.25">
      <c r="C242"/>
    </row>
    <row r="243" spans="3:10" ht="17.100000000000001" customHeight="1" x14ac:dyDescent="0.25">
      <c r="C243"/>
    </row>
    <row r="244" spans="3:10" ht="17.100000000000001" customHeight="1" x14ac:dyDescent="0.25">
      <c r="C244"/>
    </row>
    <row r="245" spans="3:10" ht="17.100000000000001" customHeight="1" x14ac:dyDescent="0.25">
      <c r="C245"/>
    </row>
    <row r="246" spans="3:10" x14ac:dyDescent="0.25">
      <c r="C246"/>
      <c r="J246" s="217">
        <f>SUM('SP2D ON'!F129:F138)</f>
        <v>761479826</v>
      </c>
    </row>
    <row r="247" spans="3:10" x14ac:dyDescent="0.25">
      <c r="C247"/>
      <c r="J247" s="217">
        <f>GETPIVOTDATA("Realisasi ",$C$5)-J246</f>
        <v>5305843106</v>
      </c>
    </row>
    <row r="248" spans="3:10" x14ac:dyDescent="0.25">
      <c r="C248"/>
    </row>
    <row r="249" spans="3:10" x14ac:dyDescent="0.25">
      <c r="C249"/>
    </row>
    <row r="250" spans="3:10" x14ac:dyDescent="0.25">
      <c r="C250"/>
    </row>
    <row r="251" spans="3:10" x14ac:dyDescent="0.25">
      <c r="C251"/>
    </row>
    <row r="252" spans="3:10" x14ac:dyDescent="0.25">
      <c r="C252"/>
    </row>
    <row r="253" spans="3:10" x14ac:dyDescent="0.25">
      <c r="C253"/>
    </row>
    <row r="254" spans="3:10" x14ac:dyDescent="0.25">
      <c r="C254"/>
    </row>
    <row r="255" spans="3:10" x14ac:dyDescent="0.25">
      <c r="C255"/>
    </row>
    <row r="256" spans="3:10" x14ac:dyDescent="0.25">
      <c r="C256"/>
    </row>
    <row r="257" spans="3:3" x14ac:dyDescent="0.25">
      <c r="C257"/>
    </row>
    <row r="258" spans="3:3" x14ac:dyDescent="0.25">
      <c r="C258"/>
    </row>
    <row r="259" spans="3:3" x14ac:dyDescent="0.25">
      <c r="C259"/>
    </row>
    <row r="260" spans="3:3" x14ac:dyDescent="0.25">
      <c r="C260"/>
    </row>
    <row r="261" spans="3:3" x14ac:dyDescent="0.25">
      <c r="C261"/>
    </row>
    <row r="262" spans="3:3" x14ac:dyDescent="0.25">
      <c r="C262"/>
    </row>
    <row r="263" spans="3:3" x14ac:dyDescent="0.25">
      <c r="C263"/>
    </row>
    <row r="264" spans="3:3" x14ac:dyDescent="0.25">
      <c r="C264"/>
    </row>
    <row r="265" spans="3:3" x14ac:dyDescent="0.25">
      <c r="C265"/>
    </row>
    <row r="266" spans="3:3" x14ac:dyDescent="0.25">
      <c r="C266"/>
    </row>
    <row r="267" spans="3:3" x14ac:dyDescent="0.25">
      <c r="C267"/>
    </row>
    <row r="268" spans="3:3" x14ac:dyDescent="0.25">
      <c r="C268"/>
    </row>
    <row r="269" spans="3:3" x14ac:dyDescent="0.25">
      <c r="C269"/>
    </row>
    <row r="270" spans="3:3" x14ac:dyDescent="0.25">
      <c r="C270"/>
    </row>
    <row r="271" spans="3:3" x14ac:dyDescent="0.25">
      <c r="C271"/>
    </row>
    <row r="272" spans="3:3" x14ac:dyDescent="0.25">
      <c r="C272"/>
    </row>
    <row r="273" spans="3:3" x14ac:dyDescent="0.25">
      <c r="C273"/>
    </row>
    <row r="274" spans="3:3" x14ac:dyDescent="0.25">
      <c r="C274"/>
    </row>
    <row r="275" spans="3:3" x14ac:dyDescent="0.25">
      <c r="C275"/>
    </row>
    <row r="276" spans="3:3" x14ac:dyDescent="0.25">
      <c r="C276"/>
    </row>
    <row r="277" spans="3:3" x14ac:dyDescent="0.25">
      <c r="C277"/>
    </row>
    <row r="278" spans="3:3" x14ac:dyDescent="0.25">
      <c r="C278"/>
    </row>
    <row r="279" spans="3:3" x14ac:dyDescent="0.25">
      <c r="C279"/>
    </row>
    <row r="280" spans="3:3" x14ac:dyDescent="0.25">
      <c r="C280"/>
    </row>
    <row r="281" spans="3:3" x14ac:dyDescent="0.25">
      <c r="C281"/>
    </row>
    <row r="282" spans="3:3" x14ac:dyDescent="0.25">
      <c r="C282"/>
    </row>
    <row r="283" spans="3:3" x14ac:dyDescent="0.25">
      <c r="C283"/>
    </row>
    <row r="284" spans="3:3" x14ac:dyDescent="0.25">
      <c r="C284"/>
    </row>
    <row r="285" spans="3:3" x14ac:dyDescent="0.25">
      <c r="C285"/>
    </row>
    <row r="286" spans="3:3" x14ac:dyDescent="0.25">
      <c r="C286"/>
    </row>
    <row r="287" spans="3:3" x14ac:dyDescent="0.25">
      <c r="C287"/>
    </row>
    <row r="288" spans="3:3" x14ac:dyDescent="0.25">
      <c r="C288"/>
    </row>
    <row r="289" spans="3:3" x14ac:dyDescent="0.25">
      <c r="C289"/>
    </row>
    <row r="290" spans="3:3" x14ac:dyDescent="0.25">
      <c r="C290"/>
    </row>
    <row r="291" spans="3:3" x14ac:dyDescent="0.25">
      <c r="C291"/>
    </row>
    <row r="292" spans="3:3" x14ac:dyDescent="0.25">
      <c r="C292"/>
    </row>
    <row r="293" spans="3:3" x14ac:dyDescent="0.25">
      <c r="C293"/>
    </row>
    <row r="294" spans="3:3" x14ac:dyDescent="0.25">
      <c r="C294"/>
    </row>
    <row r="295" spans="3:3" x14ac:dyDescent="0.25">
      <c r="C295"/>
    </row>
    <row r="296" spans="3:3" x14ac:dyDescent="0.25">
      <c r="C296"/>
    </row>
    <row r="297" spans="3:3" x14ac:dyDescent="0.25">
      <c r="C297"/>
    </row>
    <row r="298" spans="3:3" x14ac:dyDescent="0.25">
      <c r="C298"/>
    </row>
    <row r="299" spans="3:3" x14ac:dyDescent="0.25">
      <c r="C299"/>
    </row>
    <row r="300" spans="3:3" x14ac:dyDescent="0.25">
      <c r="C300"/>
    </row>
    <row r="301" spans="3:3" x14ac:dyDescent="0.25">
      <c r="C301"/>
    </row>
    <row r="302" spans="3:3" x14ac:dyDescent="0.25">
      <c r="C302"/>
    </row>
    <row r="303" spans="3:3" x14ac:dyDescent="0.25">
      <c r="C303"/>
    </row>
    <row r="304" spans="3:3" x14ac:dyDescent="0.25">
      <c r="C304"/>
    </row>
    <row r="305" spans="3:3" x14ac:dyDescent="0.25">
      <c r="C305"/>
    </row>
    <row r="306" spans="3:3" x14ac:dyDescent="0.25">
      <c r="C306"/>
    </row>
    <row r="307" spans="3:3" x14ac:dyDescent="0.25">
      <c r="C307"/>
    </row>
    <row r="308" spans="3:3" x14ac:dyDescent="0.25">
      <c r="C308"/>
    </row>
    <row r="309" spans="3:3" x14ac:dyDescent="0.25">
      <c r="C309"/>
    </row>
    <row r="310" spans="3:3" x14ac:dyDescent="0.25">
      <c r="C310"/>
    </row>
    <row r="311" spans="3:3" x14ac:dyDescent="0.25">
      <c r="C311"/>
    </row>
    <row r="312" spans="3:3" x14ac:dyDescent="0.25">
      <c r="C312"/>
    </row>
    <row r="313" spans="3:3" x14ac:dyDescent="0.25">
      <c r="C313"/>
    </row>
    <row r="314" spans="3:3" x14ac:dyDescent="0.25">
      <c r="C314"/>
    </row>
    <row r="315" spans="3:3" x14ac:dyDescent="0.25">
      <c r="C315"/>
    </row>
    <row r="316" spans="3:3" x14ac:dyDescent="0.25">
      <c r="C316"/>
    </row>
    <row r="317" spans="3:3" x14ac:dyDescent="0.25">
      <c r="C317"/>
    </row>
    <row r="318" spans="3:3" x14ac:dyDescent="0.25">
      <c r="C318"/>
    </row>
    <row r="319" spans="3:3" x14ac:dyDescent="0.25">
      <c r="C319"/>
    </row>
    <row r="320" spans="3:3" x14ac:dyDescent="0.25">
      <c r="C320"/>
    </row>
    <row r="321" spans="3:3" x14ac:dyDescent="0.25">
      <c r="C321"/>
    </row>
    <row r="322" spans="3:3" x14ac:dyDescent="0.25">
      <c r="C322"/>
    </row>
    <row r="323" spans="3:3" x14ac:dyDescent="0.25">
      <c r="C323"/>
    </row>
    <row r="324" spans="3:3" x14ac:dyDescent="0.25">
      <c r="C324"/>
    </row>
    <row r="325" spans="3:3" x14ac:dyDescent="0.25">
      <c r="C325"/>
    </row>
    <row r="326" spans="3:3" x14ac:dyDescent="0.25">
      <c r="C326"/>
    </row>
    <row r="327" spans="3:3" x14ac:dyDescent="0.25">
      <c r="C327"/>
    </row>
    <row r="328" spans="3:3" x14ac:dyDescent="0.25">
      <c r="C328"/>
    </row>
    <row r="329" spans="3:3" x14ac:dyDescent="0.25">
      <c r="C329"/>
    </row>
    <row r="330" spans="3:3" x14ac:dyDescent="0.25">
      <c r="C330"/>
    </row>
    <row r="331" spans="3:3" x14ac:dyDescent="0.25">
      <c r="C331"/>
    </row>
    <row r="332" spans="3:3" x14ac:dyDescent="0.25">
      <c r="C332"/>
    </row>
    <row r="333" spans="3:3" x14ac:dyDescent="0.25">
      <c r="C333"/>
    </row>
    <row r="334" spans="3:3" x14ac:dyDescent="0.25">
      <c r="C334"/>
    </row>
    <row r="335" spans="3:3" x14ac:dyDescent="0.25">
      <c r="C335"/>
    </row>
    <row r="336" spans="3:3" x14ac:dyDescent="0.25">
      <c r="C336"/>
    </row>
    <row r="337" spans="3:3" x14ac:dyDescent="0.25">
      <c r="C337"/>
    </row>
    <row r="338" spans="3:3" x14ac:dyDescent="0.25">
      <c r="C338"/>
    </row>
    <row r="339" spans="3:3" x14ac:dyDescent="0.25">
      <c r="C339"/>
    </row>
    <row r="340" spans="3:3" x14ac:dyDescent="0.25">
      <c r="C340"/>
    </row>
    <row r="341" spans="3:3" x14ac:dyDescent="0.25">
      <c r="C341"/>
    </row>
    <row r="342" spans="3:3" x14ac:dyDescent="0.25">
      <c r="C342"/>
    </row>
    <row r="343" spans="3:3" x14ac:dyDescent="0.25">
      <c r="C343"/>
    </row>
    <row r="344" spans="3:3" x14ac:dyDescent="0.25">
      <c r="C344"/>
    </row>
    <row r="345" spans="3:3" x14ac:dyDescent="0.25">
      <c r="C345"/>
    </row>
    <row r="346" spans="3:3" x14ac:dyDescent="0.25">
      <c r="C346"/>
    </row>
    <row r="347" spans="3:3" x14ac:dyDescent="0.25">
      <c r="C347"/>
    </row>
    <row r="348" spans="3:3" x14ac:dyDescent="0.25">
      <c r="C348"/>
    </row>
    <row r="349" spans="3:3" x14ac:dyDescent="0.25">
      <c r="C349"/>
    </row>
    <row r="350" spans="3:3" x14ac:dyDescent="0.25">
      <c r="C350"/>
    </row>
    <row r="351" spans="3:3" x14ac:dyDescent="0.25">
      <c r="C351"/>
    </row>
    <row r="352" spans="3:3" x14ac:dyDescent="0.25">
      <c r="C352"/>
    </row>
    <row r="353" spans="3:3" x14ac:dyDescent="0.25">
      <c r="C353"/>
    </row>
    <row r="354" spans="3:3" x14ac:dyDescent="0.25">
      <c r="C354"/>
    </row>
    <row r="355" spans="3:3" x14ac:dyDescent="0.25">
      <c r="C355"/>
    </row>
    <row r="356" spans="3:3" x14ac:dyDescent="0.25">
      <c r="C356"/>
    </row>
    <row r="357" spans="3:3" x14ac:dyDescent="0.25">
      <c r="C357"/>
    </row>
    <row r="358" spans="3:3" x14ac:dyDescent="0.25">
      <c r="C358"/>
    </row>
    <row r="359" spans="3:3" x14ac:dyDescent="0.25">
      <c r="C359"/>
    </row>
    <row r="360" spans="3:3" x14ac:dyDescent="0.25">
      <c r="C360"/>
    </row>
    <row r="361" spans="3:3" x14ac:dyDescent="0.25">
      <c r="C361"/>
    </row>
    <row r="362" spans="3:3" x14ac:dyDescent="0.25">
      <c r="C362"/>
    </row>
    <row r="363" spans="3:3" x14ac:dyDescent="0.25">
      <c r="C363"/>
    </row>
    <row r="364" spans="3:3" x14ac:dyDescent="0.25">
      <c r="C364"/>
    </row>
    <row r="365" spans="3:3" x14ac:dyDescent="0.25">
      <c r="C365"/>
    </row>
    <row r="366" spans="3:3" x14ac:dyDescent="0.25">
      <c r="C366"/>
    </row>
    <row r="367" spans="3:3" x14ac:dyDescent="0.25">
      <c r="C367"/>
    </row>
    <row r="368" spans="3:3" x14ac:dyDescent="0.25">
      <c r="C368"/>
    </row>
    <row r="369" spans="3:3" x14ac:dyDescent="0.25">
      <c r="C369"/>
    </row>
    <row r="370" spans="3:3" x14ac:dyDescent="0.25">
      <c r="C370"/>
    </row>
    <row r="371" spans="3:3" x14ac:dyDescent="0.25">
      <c r="C371"/>
    </row>
    <row r="372" spans="3:3" x14ac:dyDescent="0.25">
      <c r="C372"/>
    </row>
    <row r="373" spans="3:3" x14ac:dyDescent="0.25">
      <c r="C373"/>
    </row>
    <row r="374" spans="3:3" x14ac:dyDescent="0.25">
      <c r="C374"/>
    </row>
    <row r="375" spans="3:3" x14ac:dyDescent="0.25">
      <c r="C375"/>
    </row>
    <row r="376" spans="3:3" x14ac:dyDescent="0.25">
      <c r="C376"/>
    </row>
    <row r="377" spans="3:3" x14ac:dyDescent="0.25">
      <c r="C377"/>
    </row>
    <row r="378" spans="3:3" x14ac:dyDescent="0.25">
      <c r="C378"/>
    </row>
    <row r="379" spans="3:3" x14ac:dyDescent="0.25">
      <c r="C379"/>
    </row>
    <row r="380" spans="3:3" x14ac:dyDescent="0.25">
      <c r="C380"/>
    </row>
    <row r="381" spans="3:3" x14ac:dyDescent="0.25">
      <c r="C381"/>
    </row>
    <row r="382" spans="3:3" x14ac:dyDescent="0.25">
      <c r="C382"/>
    </row>
    <row r="383" spans="3:3" x14ac:dyDescent="0.25">
      <c r="C383"/>
    </row>
    <row r="384" spans="3:3" x14ac:dyDescent="0.25">
      <c r="C384"/>
    </row>
    <row r="385" spans="3:3" x14ac:dyDescent="0.25">
      <c r="C385"/>
    </row>
    <row r="386" spans="3:3" x14ac:dyDescent="0.25">
      <c r="C386"/>
    </row>
    <row r="387" spans="3:3" x14ac:dyDescent="0.25">
      <c r="C387"/>
    </row>
    <row r="388" spans="3:3" x14ac:dyDescent="0.25">
      <c r="C388"/>
    </row>
    <row r="389" spans="3:3" x14ac:dyDescent="0.25">
      <c r="C389"/>
    </row>
    <row r="390" spans="3:3" x14ac:dyDescent="0.25">
      <c r="C390"/>
    </row>
    <row r="391" spans="3:3" x14ac:dyDescent="0.25">
      <c r="C391"/>
    </row>
    <row r="392" spans="3:3" x14ac:dyDescent="0.25">
      <c r="C392"/>
    </row>
    <row r="393" spans="3:3" x14ac:dyDescent="0.25">
      <c r="C393"/>
    </row>
    <row r="394" spans="3:3" x14ac:dyDescent="0.25">
      <c r="C394"/>
    </row>
    <row r="395" spans="3:3" x14ac:dyDescent="0.25">
      <c r="C395"/>
    </row>
    <row r="396" spans="3:3" x14ac:dyDescent="0.25">
      <c r="C396"/>
    </row>
    <row r="397" spans="3:3" x14ac:dyDescent="0.25">
      <c r="C397"/>
    </row>
    <row r="398" spans="3:3" x14ac:dyDescent="0.25">
      <c r="C398"/>
    </row>
    <row r="399" spans="3:3" x14ac:dyDescent="0.25">
      <c r="C399"/>
    </row>
    <row r="400" spans="3:3" x14ac:dyDescent="0.25">
      <c r="C400"/>
    </row>
    <row r="401" spans="3:3" x14ac:dyDescent="0.25">
      <c r="C401"/>
    </row>
    <row r="402" spans="3:3" x14ac:dyDescent="0.25">
      <c r="C402"/>
    </row>
    <row r="403" spans="3:3" x14ac:dyDescent="0.25">
      <c r="C403"/>
    </row>
    <row r="404" spans="3:3" x14ac:dyDescent="0.25">
      <c r="C404"/>
    </row>
    <row r="405" spans="3:3" x14ac:dyDescent="0.25">
      <c r="C405"/>
    </row>
    <row r="406" spans="3:3" x14ac:dyDescent="0.25">
      <c r="C406"/>
    </row>
    <row r="407" spans="3:3" x14ac:dyDescent="0.25">
      <c r="C407"/>
    </row>
    <row r="408" spans="3:3" x14ac:dyDescent="0.25">
      <c r="C408"/>
    </row>
    <row r="409" spans="3:3" x14ac:dyDescent="0.25">
      <c r="C409"/>
    </row>
    <row r="410" spans="3:3" x14ac:dyDescent="0.25">
      <c r="C410"/>
    </row>
    <row r="411" spans="3:3" x14ac:dyDescent="0.25">
      <c r="C411"/>
    </row>
    <row r="412" spans="3:3" x14ac:dyDescent="0.25">
      <c r="C412"/>
    </row>
    <row r="413" spans="3:3" x14ac:dyDescent="0.25">
      <c r="C413"/>
    </row>
    <row r="414" spans="3:3" x14ac:dyDescent="0.25">
      <c r="C414"/>
    </row>
    <row r="415" spans="3:3" x14ac:dyDescent="0.25">
      <c r="C415"/>
    </row>
    <row r="416" spans="3:3" x14ac:dyDescent="0.25">
      <c r="C416"/>
    </row>
    <row r="417" spans="3:3" x14ac:dyDescent="0.25">
      <c r="C417"/>
    </row>
    <row r="418" spans="3:3" x14ac:dyDescent="0.25">
      <c r="C418"/>
    </row>
    <row r="419" spans="3:3" x14ac:dyDescent="0.25">
      <c r="C419"/>
    </row>
    <row r="420" spans="3:3" x14ac:dyDescent="0.25">
      <c r="C420"/>
    </row>
    <row r="421" spans="3:3" x14ac:dyDescent="0.25">
      <c r="C421"/>
    </row>
    <row r="422" spans="3:3" x14ac:dyDescent="0.25">
      <c r="C422"/>
    </row>
    <row r="423" spans="3:3" x14ac:dyDescent="0.25">
      <c r="C423"/>
    </row>
    <row r="424" spans="3:3" x14ac:dyDescent="0.25">
      <c r="C424"/>
    </row>
    <row r="425" spans="3:3" x14ac:dyDescent="0.25">
      <c r="C425"/>
    </row>
    <row r="426" spans="3:3" x14ac:dyDescent="0.25">
      <c r="C426"/>
    </row>
    <row r="427" spans="3:3" x14ac:dyDescent="0.25">
      <c r="C427"/>
    </row>
    <row r="428" spans="3:3" x14ac:dyDescent="0.25">
      <c r="C428"/>
    </row>
    <row r="429" spans="3:3" x14ac:dyDescent="0.25">
      <c r="C429"/>
    </row>
    <row r="430" spans="3:3" x14ac:dyDescent="0.25">
      <c r="C430"/>
    </row>
    <row r="431" spans="3:3" x14ac:dyDescent="0.25">
      <c r="C431"/>
    </row>
    <row r="432" spans="3:3" x14ac:dyDescent="0.25">
      <c r="C432"/>
    </row>
    <row r="433" spans="3:3" x14ac:dyDescent="0.25">
      <c r="C433"/>
    </row>
    <row r="434" spans="3:3" x14ac:dyDescent="0.25">
      <c r="C434"/>
    </row>
    <row r="435" spans="3:3" x14ac:dyDescent="0.25">
      <c r="C435"/>
    </row>
    <row r="436" spans="3:3" x14ac:dyDescent="0.25">
      <c r="C436"/>
    </row>
    <row r="437" spans="3:3" x14ac:dyDescent="0.25">
      <c r="C437"/>
    </row>
    <row r="438" spans="3:3" x14ac:dyDescent="0.25">
      <c r="C438"/>
    </row>
    <row r="439" spans="3:3" x14ac:dyDescent="0.25">
      <c r="C439"/>
    </row>
    <row r="440" spans="3:3" x14ac:dyDescent="0.25">
      <c r="C440"/>
    </row>
    <row r="441" spans="3:3" x14ac:dyDescent="0.25">
      <c r="C441"/>
    </row>
    <row r="442" spans="3:3" x14ac:dyDescent="0.25">
      <c r="C442"/>
    </row>
    <row r="443" spans="3:3" x14ac:dyDescent="0.25">
      <c r="C443"/>
    </row>
    <row r="444" spans="3:3" x14ac:dyDescent="0.25">
      <c r="C444"/>
    </row>
    <row r="445" spans="3:3" x14ac:dyDescent="0.25">
      <c r="C445"/>
    </row>
    <row r="446" spans="3:3" x14ac:dyDescent="0.25">
      <c r="C446"/>
    </row>
    <row r="447" spans="3:3" x14ac:dyDescent="0.25">
      <c r="C447"/>
    </row>
    <row r="448" spans="3:3" x14ac:dyDescent="0.25">
      <c r="C448"/>
    </row>
    <row r="449" spans="3:3" x14ac:dyDescent="0.25">
      <c r="C449"/>
    </row>
    <row r="450" spans="3:3" x14ac:dyDescent="0.25">
      <c r="C450"/>
    </row>
    <row r="451" spans="3:3" x14ac:dyDescent="0.25">
      <c r="C451"/>
    </row>
    <row r="452" spans="3:3" x14ac:dyDescent="0.25">
      <c r="C452"/>
    </row>
    <row r="453" spans="3:3" x14ac:dyDescent="0.25">
      <c r="C453"/>
    </row>
    <row r="454" spans="3:3" x14ac:dyDescent="0.25">
      <c r="C454"/>
    </row>
    <row r="455" spans="3:3" x14ac:dyDescent="0.25">
      <c r="C455"/>
    </row>
    <row r="456" spans="3:3" x14ac:dyDescent="0.25">
      <c r="C456"/>
    </row>
    <row r="457" spans="3:3" x14ac:dyDescent="0.25">
      <c r="C457"/>
    </row>
    <row r="458" spans="3:3" x14ac:dyDescent="0.25">
      <c r="C458"/>
    </row>
    <row r="459" spans="3:3" x14ac:dyDescent="0.25">
      <c r="C459"/>
    </row>
    <row r="460" spans="3:3" x14ac:dyDescent="0.25">
      <c r="C460"/>
    </row>
    <row r="461" spans="3:3" x14ac:dyDescent="0.25">
      <c r="C461"/>
    </row>
    <row r="462" spans="3:3" x14ac:dyDescent="0.25">
      <c r="C462"/>
    </row>
    <row r="463" spans="3:3" x14ac:dyDescent="0.25">
      <c r="C463"/>
    </row>
    <row r="464" spans="3:3" x14ac:dyDescent="0.25">
      <c r="C464"/>
    </row>
    <row r="465" spans="3:3" x14ac:dyDescent="0.25">
      <c r="C465"/>
    </row>
    <row r="466" spans="3:3" x14ac:dyDescent="0.25">
      <c r="C466"/>
    </row>
    <row r="467" spans="3:3" x14ac:dyDescent="0.25">
      <c r="C467"/>
    </row>
    <row r="468" spans="3:3" x14ac:dyDescent="0.25">
      <c r="C468"/>
    </row>
    <row r="469" spans="3:3" x14ac:dyDescent="0.25">
      <c r="C469"/>
    </row>
    <row r="470" spans="3:3" x14ac:dyDescent="0.25">
      <c r="C470"/>
    </row>
    <row r="471" spans="3:3" x14ac:dyDescent="0.25">
      <c r="C471"/>
    </row>
    <row r="472" spans="3:3" x14ac:dyDescent="0.25">
      <c r="C472"/>
    </row>
    <row r="473" spans="3:3" x14ac:dyDescent="0.25">
      <c r="C473"/>
    </row>
    <row r="474" spans="3:3" x14ac:dyDescent="0.25">
      <c r="C474"/>
    </row>
    <row r="475" spans="3:3" x14ac:dyDescent="0.25">
      <c r="C475"/>
    </row>
    <row r="476" spans="3:3" x14ac:dyDescent="0.25">
      <c r="C476"/>
    </row>
    <row r="477" spans="3:3" x14ac:dyDescent="0.25">
      <c r="C477"/>
    </row>
    <row r="478" spans="3:3" x14ac:dyDescent="0.25">
      <c r="C478"/>
    </row>
    <row r="479" spans="3:3" x14ac:dyDescent="0.25">
      <c r="C479"/>
    </row>
    <row r="480" spans="3:3" x14ac:dyDescent="0.25">
      <c r="C480"/>
    </row>
    <row r="481" spans="3:3" x14ac:dyDescent="0.25">
      <c r="C481"/>
    </row>
    <row r="482" spans="3:3" x14ac:dyDescent="0.25">
      <c r="C482"/>
    </row>
    <row r="483" spans="3:3" x14ac:dyDescent="0.25">
      <c r="C483"/>
    </row>
    <row r="484" spans="3:3" x14ac:dyDescent="0.25">
      <c r="C484"/>
    </row>
    <row r="485" spans="3:3" x14ac:dyDescent="0.25">
      <c r="C485"/>
    </row>
    <row r="486" spans="3:3" x14ac:dyDescent="0.25">
      <c r="C486"/>
    </row>
    <row r="487" spans="3:3" x14ac:dyDescent="0.25">
      <c r="C487"/>
    </row>
    <row r="488" spans="3:3" x14ac:dyDescent="0.25">
      <c r="C488"/>
    </row>
    <row r="489" spans="3:3" x14ac:dyDescent="0.25">
      <c r="C489"/>
    </row>
    <row r="490" spans="3:3" x14ac:dyDescent="0.25">
      <c r="C490"/>
    </row>
    <row r="491" spans="3:3" x14ac:dyDescent="0.25">
      <c r="C491"/>
    </row>
    <row r="492" spans="3:3" x14ac:dyDescent="0.25">
      <c r="C492"/>
    </row>
    <row r="493" spans="3:3" x14ac:dyDescent="0.25">
      <c r="C493"/>
    </row>
    <row r="494" spans="3:3" x14ac:dyDescent="0.25">
      <c r="C494"/>
    </row>
    <row r="495" spans="3:3" x14ac:dyDescent="0.25">
      <c r="C495"/>
    </row>
    <row r="496" spans="3:3" x14ac:dyDescent="0.25">
      <c r="C496"/>
    </row>
    <row r="497" spans="3:3" x14ac:dyDescent="0.25">
      <c r="C497"/>
    </row>
    <row r="498" spans="3:3" x14ac:dyDescent="0.25">
      <c r="C498"/>
    </row>
  </sheetData>
  <autoFilter ref="C1:H246" xr:uid="{30E38825-96BC-44C9-AC2B-F062FF3EF938}">
    <filterColumn colId="0" showButton="0"/>
    <filterColumn colId="1" showButton="0"/>
    <filterColumn colId="2" showButton="0"/>
    <filterColumn colId="3" showButton="0"/>
    <filterColumn colId="4" showButton="0"/>
  </autoFilter>
  <mergeCells count="3">
    <mergeCell ref="C1:H1"/>
    <mergeCell ref="C2:H2"/>
    <mergeCell ref="C3:H3"/>
  </mergeCells>
  <pageMargins left="0.34" right="0.22" top="0.31" bottom="0.31" header="0.18" footer="0.19"/>
  <pageSetup paperSize="9" scale="62" fitToHeight="0" orientation="portrait" horizontalDpi="0" verticalDpi="0" r:id="rId2"/>
  <drawing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5:J20"/>
  <sheetViews>
    <sheetView workbookViewId="0">
      <selection activeCell="J27" sqref="J27"/>
    </sheetView>
  </sheetViews>
  <sheetFormatPr defaultRowHeight="15" x14ac:dyDescent="0.25"/>
  <cols>
    <col min="2" max="2" width="36.28515625" bestFit="1" customWidth="1"/>
    <col min="3" max="3" width="13.140625" bestFit="1" customWidth="1"/>
    <col min="4" max="4" width="12.5703125" bestFit="1" customWidth="1"/>
    <col min="5" max="8" width="13.140625" bestFit="1" customWidth="1"/>
    <col min="9" max="10" width="15.5703125" bestFit="1" customWidth="1"/>
    <col min="11" max="12" width="30" bestFit="1" customWidth="1"/>
    <col min="13" max="13" width="33.140625" bestFit="1" customWidth="1"/>
    <col min="14" max="15" width="11.28515625" bestFit="1" customWidth="1"/>
    <col min="16" max="16" width="12.5703125" bestFit="1" customWidth="1"/>
    <col min="17" max="17" width="32.42578125" bestFit="1" customWidth="1"/>
    <col min="18" max="18" width="12.5703125" bestFit="1" customWidth="1"/>
    <col min="19" max="19" width="40.140625" bestFit="1" customWidth="1"/>
    <col min="20" max="20" width="39.7109375" bestFit="1" customWidth="1"/>
    <col min="21" max="21" width="30" bestFit="1" customWidth="1"/>
    <col min="22" max="22" width="12.5703125" bestFit="1" customWidth="1"/>
    <col min="23" max="23" width="13.140625" bestFit="1" customWidth="1"/>
    <col min="24" max="24" width="12.5703125" bestFit="1" customWidth="1"/>
    <col min="25" max="25" width="41" bestFit="1" customWidth="1"/>
    <col min="26" max="26" width="40.5703125" bestFit="1" customWidth="1"/>
    <col min="27" max="27" width="18.140625" bestFit="1" customWidth="1"/>
    <col min="28" max="28" width="17.7109375" bestFit="1" customWidth="1"/>
    <col min="29" max="34" width="30" bestFit="1" customWidth="1"/>
    <col min="35" max="35" width="41" bestFit="1" customWidth="1"/>
    <col min="36" max="36" width="40.5703125" bestFit="1" customWidth="1"/>
    <col min="37" max="37" width="41" bestFit="1" customWidth="1"/>
    <col min="38" max="38" width="18.140625" bestFit="1" customWidth="1"/>
    <col min="39" max="39" width="17.7109375" bestFit="1" customWidth="1"/>
    <col min="40" max="40" width="18.140625" bestFit="1" customWidth="1"/>
  </cols>
  <sheetData>
    <row r="5" spans="2:10" x14ac:dyDescent="0.25">
      <c r="B5" s="295" t="s">
        <v>4029</v>
      </c>
      <c r="C5" s="296" t="s">
        <v>4013</v>
      </c>
      <c r="D5" s="296" t="s">
        <v>4014</v>
      </c>
      <c r="E5" s="296" t="s">
        <v>4015</v>
      </c>
      <c r="F5" s="296" t="s">
        <v>4023</v>
      </c>
      <c r="G5" s="296" t="s">
        <v>4341</v>
      </c>
      <c r="H5" s="296" t="s">
        <v>4377</v>
      </c>
      <c r="I5" s="296" t="s">
        <v>4414</v>
      </c>
      <c r="J5" s="296" t="s">
        <v>4553</v>
      </c>
    </row>
    <row r="6" spans="2:10" x14ac:dyDescent="0.25">
      <c r="B6" s="295" t="s">
        <v>4027</v>
      </c>
      <c r="C6" s="297" t="s">
        <v>4346</v>
      </c>
      <c r="D6" s="297" t="s">
        <v>4347</v>
      </c>
      <c r="E6" s="297" t="s">
        <v>4345</v>
      </c>
      <c r="F6" s="297" t="s">
        <v>4344</v>
      </c>
      <c r="G6" s="298" t="s">
        <v>4343</v>
      </c>
      <c r="H6" s="298" t="s">
        <v>4413</v>
      </c>
      <c r="I6" s="298" t="s">
        <v>4413</v>
      </c>
      <c r="J6" s="298" t="s">
        <v>4554</v>
      </c>
    </row>
    <row r="7" spans="2:10" hidden="1" x14ac:dyDescent="0.25">
      <c r="B7" s="254" t="s">
        <v>4021</v>
      </c>
      <c r="C7" s="164" t="s">
        <v>4018</v>
      </c>
      <c r="D7" s="164" t="s">
        <v>4019</v>
      </c>
      <c r="E7" s="164" t="s">
        <v>4020</v>
      </c>
      <c r="F7" s="164" t="s">
        <v>4024</v>
      </c>
      <c r="G7" s="164" t="s">
        <v>4342</v>
      </c>
      <c r="H7" s="164" t="s">
        <v>4411</v>
      </c>
      <c r="I7" s="164" t="s">
        <v>4412</v>
      </c>
      <c r="J7" s="164" t="s">
        <v>4552</v>
      </c>
    </row>
    <row r="8" spans="2:10" x14ac:dyDescent="0.25">
      <c r="B8" s="316" t="s">
        <v>576</v>
      </c>
      <c r="C8" s="314">
        <v>99961115</v>
      </c>
      <c r="D8" s="314">
        <v>249311050</v>
      </c>
      <c r="E8" s="314">
        <v>39291922</v>
      </c>
      <c r="F8" s="314">
        <v>95254996</v>
      </c>
      <c r="G8" s="314">
        <v>90588412</v>
      </c>
      <c r="H8" s="314">
        <v>75905247</v>
      </c>
      <c r="I8" s="314">
        <v>103091640</v>
      </c>
      <c r="J8" s="314">
        <v>2030000</v>
      </c>
    </row>
    <row r="9" spans="2:10" x14ac:dyDescent="0.25">
      <c r="B9" s="268" t="s">
        <v>546</v>
      </c>
      <c r="C9" s="169">
        <v>0</v>
      </c>
      <c r="D9" s="169">
        <v>50674500</v>
      </c>
      <c r="E9" s="169">
        <v>18269500</v>
      </c>
      <c r="F9" s="169">
        <v>19929200</v>
      </c>
      <c r="G9" s="169">
        <v>10000000</v>
      </c>
      <c r="H9" s="169">
        <v>9882500</v>
      </c>
      <c r="I9" s="169">
        <v>25762820</v>
      </c>
      <c r="J9" s="169">
        <v>2030000</v>
      </c>
    </row>
    <row r="10" spans="2:10" x14ac:dyDescent="0.25">
      <c r="B10" s="268" t="s">
        <v>560</v>
      </c>
      <c r="C10" s="169">
        <v>99961115</v>
      </c>
      <c r="D10" s="169">
        <v>198636550</v>
      </c>
      <c r="E10" s="169">
        <v>21022422</v>
      </c>
      <c r="F10" s="169">
        <v>75325796</v>
      </c>
      <c r="G10" s="169">
        <v>80588412</v>
      </c>
      <c r="H10" s="169">
        <v>66022747</v>
      </c>
      <c r="I10" s="169">
        <v>77328820</v>
      </c>
      <c r="J10" s="169">
        <v>0</v>
      </c>
    </row>
    <row r="11" spans="2:10" x14ac:dyDescent="0.25">
      <c r="B11" s="316" t="s">
        <v>542</v>
      </c>
      <c r="C11" s="314">
        <v>0</v>
      </c>
      <c r="D11" s="314">
        <v>46363943</v>
      </c>
      <c r="E11" s="314">
        <v>13965000</v>
      </c>
      <c r="F11" s="314">
        <v>0</v>
      </c>
      <c r="G11" s="314">
        <v>0</v>
      </c>
      <c r="H11" s="314">
        <v>300383</v>
      </c>
      <c r="I11" s="314">
        <v>99280968</v>
      </c>
      <c r="J11" s="314">
        <v>5529500</v>
      </c>
    </row>
    <row r="12" spans="2:10" x14ac:dyDescent="0.25">
      <c r="B12" s="268" t="s">
        <v>591</v>
      </c>
      <c r="C12" s="169">
        <v>0</v>
      </c>
      <c r="D12" s="169">
        <v>5496528</v>
      </c>
      <c r="E12" s="169">
        <v>4230000</v>
      </c>
      <c r="F12" s="169">
        <v>0</v>
      </c>
      <c r="G12" s="169">
        <v>0</v>
      </c>
      <c r="H12" s="169">
        <v>300383</v>
      </c>
      <c r="I12" s="169">
        <v>36489355</v>
      </c>
      <c r="J12" s="169">
        <v>2640000</v>
      </c>
    </row>
    <row r="13" spans="2:10" x14ac:dyDescent="0.25">
      <c r="B13" s="268" t="s">
        <v>543</v>
      </c>
      <c r="C13" s="169">
        <v>0</v>
      </c>
      <c r="D13" s="169">
        <v>40867415</v>
      </c>
      <c r="E13" s="169">
        <v>9735000</v>
      </c>
      <c r="F13" s="169">
        <v>0</v>
      </c>
      <c r="G13" s="169">
        <v>0</v>
      </c>
      <c r="H13" s="169">
        <v>0</v>
      </c>
      <c r="I13" s="169">
        <v>62791613</v>
      </c>
      <c r="J13" s="169">
        <v>2889500</v>
      </c>
    </row>
    <row r="14" spans="2:10" x14ac:dyDescent="0.25">
      <c r="B14" s="316" t="s">
        <v>531</v>
      </c>
      <c r="C14" s="314">
        <v>0</v>
      </c>
      <c r="D14" s="314">
        <v>53677994</v>
      </c>
      <c r="E14" s="314">
        <v>21269213</v>
      </c>
      <c r="F14" s="314">
        <v>0</v>
      </c>
      <c r="G14" s="314">
        <v>0</v>
      </c>
      <c r="H14" s="314">
        <v>16306833</v>
      </c>
      <c r="I14" s="314">
        <v>45801723</v>
      </c>
      <c r="J14" s="314">
        <v>0</v>
      </c>
    </row>
    <row r="15" spans="2:10" x14ac:dyDescent="0.25">
      <c r="B15" s="268" t="s">
        <v>532</v>
      </c>
      <c r="C15" s="169">
        <v>0</v>
      </c>
      <c r="D15" s="169">
        <v>31461994</v>
      </c>
      <c r="E15" s="169">
        <v>9369213</v>
      </c>
      <c r="F15" s="169">
        <v>0</v>
      </c>
      <c r="G15" s="169">
        <v>0</v>
      </c>
      <c r="H15" s="169">
        <v>11498833</v>
      </c>
      <c r="I15" s="169">
        <v>15810223</v>
      </c>
      <c r="J15" s="169">
        <v>0</v>
      </c>
    </row>
    <row r="16" spans="2:10" x14ac:dyDescent="0.25">
      <c r="B16" s="268" t="s">
        <v>534</v>
      </c>
      <c r="C16" s="169">
        <v>0</v>
      </c>
      <c r="D16" s="169">
        <v>22216000</v>
      </c>
      <c r="E16" s="169">
        <v>11900000</v>
      </c>
      <c r="F16" s="169">
        <v>0</v>
      </c>
      <c r="G16" s="169">
        <v>0</v>
      </c>
      <c r="H16" s="169">
        <v>4808000</v>
      </c>
      <c r="I16" s="169">
        <v>29991500</v>
      </c>
      <c r="J16" s="169">
        <v>0</v>
      </c>
    </row>
    <row r="17" spans="2:10" x14ac:dyDescent="0.25">
      <c r="B17" s="316" t="s">
        <v>535</v>
      </c>
      <c r="C17" s="314">
        <v>0</v>
      </c>
      <c r="D17" s="314">
        <v>61147200</v>
      </c>
      <c r="E17" s="314">
        <v>23650240</v>
      </c>
      <c r="F17" s="314">
        <v>0</v>
      </c>
      <c r="G17" s="314">
        <v>4851204</v>
      </c>
      <c r="H17" s="314">
        <v>1326114</v>
      </c>
      <c r="I17" s="314">
        <v>63914400</v>
      </c>
      <c r="J17" s="314">
        <v>0</v>
      </c>
    </row>
    <row r="18" spans="2:10" x14ac:dyDescent="0.25">
      <c r="B18" s="268" t="s">
        <v>536</v>
      </c>
      <c r="C18" s="169">
        <v>0</v>
      </c>
      <c r="D18" s="169">
        <v>35690450</v>
      </c>
      <c r="E18" s="169">
        <v>7572800</v>
      </c>
      <c r="F18" s="169">
        <v>0</v>
      </c>
      <c r="G18" s="169">
        <v>0</v>
      </c>
      <c r="H18" s="169">
        <v>1074100</v>
      </c>
      <c r="I18" s="169">
        <v>63914400</v>
      </c>
      <c r="J18" s="169">
        <v>0</v>
      </c>
    </row>
    <row r="19" spans="2:10" x14ac:dyDescent="0.25">
      <c r="B19" s="268" t="s">
        <v>538</v>
      </c>
      <c r="C19" s="169">
        <v>0</v>
      </c>
      <c r="D19" s="169">
        <v>25456750</v>
      </c>
      <c r="E19" s="169">
        <v>16077440</v>
      </c>
      <c r="F19" s="169">
        <v>0</v>
      </c>
      <c r="G19" s="169">
        <v>4851204</v>
      </c>
      <c r="H19" s="169">
        <v>252014</v>
      </c>
      <c r="I19" s="169">
        <v>0</v>
      </c>
      <c r="J19" s="169">
        <v>0</v>
      </c>
    </row>
    <row r="20" spans="2:10" x14ac:dyDescent="0.25">
      <c r="B20" s="255" t="s">
        <v>4004</v>
      </c>
      <c r="C20" s="169">
        <v>99961115</v>
      </c>
      <c r="D20" s="169">
        <v>410500187</v>
      </c>
      <c r="E20" s="169">
        <v>98176375</v>
      </c>
      <c r="F20" s="169">
        <v>95254996</v>
      </c>
      <c r="G20" s="169">
        <v>95439616</v>
      </c>
      <c r="H20" s="169">
        <v>93838577</v>
      </c>
      <c r="I20" s="169">
        <v>312088731</v>
      </c>
      <c r="J20" s="169">
        <v>7559500</v>
      </c>
    </row>
  </sheetData>
  <pageMargins left="0.25" right="0.25" top="0.75" bottom="0.75" header="0.3" footer="0.3"/>
  <pageSetup paperSize="9" fitToHeight="0" orientation="portrait" horizontalDpi="0" verticalDpi="0"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BA145"/>
  <sheetViews>
    <sheetView showGridLines="0" topLeftCell="P1" zoomScale="85" zoomScaleNormal="85" workbookViewId="0">
      <pane ySplit="3" topLeftCell="A112" activePane="bottomLeft" state="frozen"/>
      <selection activeCell="N1" sqref="N1"/>
      <selection pane="bottomLeft" activeCell="W149" sqref="W149"/>
    </sheetView>
  </sheetViews>
  <sheetFormatPr defaultRowHeight="15" x14ac:dyDescent="0.2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216" customWidth="1"/>
    <col min="8" max="8" width="59.85546875" style="216" bestFit="1" customWidth="1"/>
    <col min="9" max="9" width="12.140625" style="216" customWidth="1"/>
    <col min="10" max="10" width="115.42578125" style="216" bestFit="1" customWidth="1"/>
    <col min="11" max="11" width="12.42578125" style="216" customWidth="1"/>
    <col min="12" max="12" width="86.85546875" style="216" bestFit="1" customWidth="1"/>
    <col min="13" max="13" width="13.28515625" style="216" customWidth="1"/>
    <col min="14" max="14" width="79" style="216" bestFit="1" customWidth="1"/>
    <col min="15" max="15" width="9.5703125" customWidth="1"/>
    <col min="16" max="16" width="49.85546875" style="216" customWidth="1"/>
    <col min="17" max="17" width="15.28515625" style="215" customWidth="1"/>
    <col min="18" max="20" width="15.7109375" style="215" customWidth="1"/>
    <col min="21" max="22" width="12.7109375" bestFit="1" customWidth="1"/>
    <col min="23" max="23" width="13.85546875" customWidth="1"/>
    <col min="24" max="25" width="14.28515625" customWidth="1"/>
    <col min="26" max="26" width="14.28515625" bestFit="1" customWidth="1"/>
    <col min="27" max="28" width="11.5703125" customWidth="1"/>
    <col min="29" max="32" width="10.7109375" customWidth="1"/>
    <col min="33" max="33" width="20" style="216" customWidth="1"/>
    <col min="34" max="34" width="29.85546875" style="216" customWidth="1"/>
    <col min="35" max="35" width="35.140625" style="216" customWidth="1"/>
    <col min="36" max="36" width="13.140625" style="216" customWidth="1"/>
    <col min="37" max="37" width="77.85546875" style="216" customWidth="1"/>
    <col min="38" max="38" width="14.28515625" style="349" customWidth="1"/>
    <col min="39" max="39" width="9.85546875" style="216" customWidth="1"/>
    <col min="40" max="40" width="15.28515625" style="349" customWidth="1"/>
    <col min="41" max="41" width="9.7109375" style="216" customWidth="1"/>
    <col min="42" max="42" width="29.42578125" style="216" customWidth="1"/>
    <col min="43" max="43" width="14" style="216" customWidth="1"/>
    <col min="44" max="44" width="22.140625" style="216" customWidth="1"/>
    <col min="45" max="45" width="32.140625" style="216" customWidth="1"/>
    <col min="46" max="46" width="13.7109375" style="216" customWidth="1"/>
    <col min="47" max="47" width="12.5703125" style="216" customWidth="1"/>
    <col min="48" max="48" width="11.5703125" style="216" customWidth="1"/>
    <col min="49" max="49" width="13.5703125" style="216" customWidth="1"/>
    <col min="50" max="51" width="11.5703125" bestFit="1" customWidth="1"/>
    <col min="52" max="52" width="12.5703125" bestFit="1" customWidth="1"/>
    <col min="53" max="53" width="11.28515625" customWidth="1"/>
    <col min="54" max="54" width="22.28515625" bestFit="1" customWidth="1"/>
  </cols>
  <sheetData>
    <row r="1" spans="1:53" x14ac:dyDescent="0.25">
      <c r="Y1" t="s">
        <v>3842</v>
      </c>
    </row>
    <row r="2" spans="1:53" x14ac:dyDescent="0.25">
      <c r="AD2" t="s">
        <v>3842</v>
      </c>
    </row>
    <row r="3" spans="1:53" s="216" customFormat="1" x14ac:dyDescent="0.25">
      <c r="A3" s="216" t="s">
        <v>3853</v>
      </c>
      <c r="B3" s="216" t="s">
        <v>3854</v>
      </c>
      <c r="C3" s="216" t="s">
        <v>3855</v>
      </c>
      <c r="D3" s="216" t="s">
        <v>496</v>
      </c>
      <c r="E3" s="216" t="s">
        <v>3856</v>
      </c>
      <c r="F3" s="216" t="s">
        <v>497</v>
      </c>
      <c r="G3" s="216" t="s">
        <v>3857</v>
      </c>
      <c r="H3" s="216" t="s">
        <v>3858</v>
      </c>
      <c r="I3" s="216" t="s">
        <v>3859</v>
      </c>
      <c r="J3" s="216" t="s">
        <v>3860</v>
      </c>
      <c r="K3" s="216" t="s">
        <v>3861</v>
      </c>
      <c r="L3" s="216" t="s">
        <v>498</v>
      </c>
      <c r="M3" s="216" t="s">
        <v>3862</v>
      </c>
      <c r="N3" s="216" t="s">
        <v>3863</v>
      </c>
      <c r="O3" s="216" t="s">
        <v>3864</v>
      </c>
      <c r="P3" s="216" t="s">
        <v>499</v>
      </c>
      <c r="Q3" s="349" t="s">
        <v>3848</v>
      </c>
      <c r="R3" s="349" t="s">
        <v>5415</v>
      </c>
      <c r="S3" s="349" t="s">
        <v>5544</v>
      </c>
      <c r="T3" s="349" t="s">
        <v>5545</v>
      </c>
      <c r="U3" s="216" t="s">
        <v>3865</v>
      </c>
      <c r="V3" s="216" t="s">
        <v>3866</v>
      </c>
      <c r="W3" s="216" t="s">
        <v>3867</v>
      </c>
      <c r="X3" s="216" t="s">
        <v>3868</v>
      </c>
      <c r="Y3" s="216" t="s">
        <v>3869</v>
      </c>
      <c r="Z3" s="216" t="s">
        <v>3870</v>
      </c>
      <c r="AA3" s="216" t="s">
        <v>3871</v>
      </c>
      <c r="AB3" s="216" t="s">
        <v>3872</v>
      </c>
      <c r="AC3" s="216" t="s">
        <v>3873</v>
      </c>
      <c r="AD3" s="216" t="s">
        <v>3874</v>
      </c>
      <c r="AE3" s="216" t="s">
        <v>3875</v>
      </c>
      <c r="AF3" s="216" t="s">
        <v>3876</v>
      </c>
      <c r="AG3" s="216" t="s">
        <v>3877</v>
      </c>
      <c r="AH3" s="216" t="s">
        <v>3878</v>
      </c>
      <c r="AI3" s="216" t="s">
        <v>500</v>
      </c>
      <c r="AJ3" s="216" t="s">
        <v>3879</v>
      </c>
      <c r="AK3" s="216" t="s">
        <v>3880</v>
      </c>
      <c r="AL3" s="349" t="s">
        <v>3849</v>
      </c>
      <c r="AM3" s="216" t="s">
        <v>4005</v>
      </c>
      <c r="AN3" s="349" t="s">
        <v>3850</v>
      </c>
      <c r="AO3" s="216" t="s">
        <v>5429</v>
      </c>
      <c r="AP3" s="216" t="s">
        <v>3881</v>
      </c>
      <c r="AQ3" s="216" t="s">
        <v>3882</v>
      </c>
      <c r="AR3" s="216" t="s">
        <v>3883</v>
      </c>
      <c r="AS3" s="216" t="s">
        <v>3884</v>
      </c>
      <c r="AT3" s="216" t="s">
        <v>4013</v>
      </c>
      <c r="AU3" s="216" t="s">
        <v>4014</v>
      </c>
      <c r="AV3" s="216" t="s">
        <v>4015</v>
      </c>
      <c r="AW3" s="216" t="s">
        <v>4023</v>
      </c>
      <c r="AX3" s="216" t="s">
        <v>4341</v>
      </c>
      <c r="AY3" s="216" t="s">
        <v>4377</v>
      </c>
      <c r="AZ3" s="216" t="s">
        <v>4378</v>
      </c>
      <c r="BA3" s="216" t="s">
        <v>4533</v>
      </c>
    </row>
    <row r="4" spans="1:53" s="219" customFormat="1" x14ac:dyDescent="0.25">
      <c r="A4" s="218" t="s">
        <v>3885</v>
      </c>
      <c r="B4" s="218" t="s">
        <v>3886</v>
      </c>
      <c r="C4" s="218" t="s">
        <v>3887</v>
      </c>
      <c r="D4" s="218" t="s">
        <v>3888</v>
      </c>
      <c r="E4" s="218" t="s">
        <v>196</v>
      </c>
      <c r="F4" s="218" t="s">
        <v>3898</v>
      </c>
      <c r="G4" s="218" t="s">
        <v>3889</v>
      </c>
      <c r="H4" s="218" t="s">
        <v>3899</v>
      </c>
      <c r="I4" s="218" t="s">
        <v>501</v>
      </c>
      <c r="J4" s="218" t="s">
        <v>3900</v>
      </c>
      <c r="K4" s="218" t="s">
        <v>502</v>
      </c>
      <c r="L4" s="218" t="s">
        <v>3901</v>
      </c>
      <c r="M4" s="218" t="s">
        <v>8</v>
      </c>
      <c r="N4" s="218" t="s">
        <v>3902</v>
      </c>
      <c r="O4" s="218" t="s">
        <v>503</v>
      </c>
      <c r="P4" s="218" t="s">
        <v>3890</v>
      </c>
      <c r="Q4" s="165" cm="1">
        <f t="array" ref="Q4">SUM(_xlfn._xlws.FILTER(DIPA2[PaguRevisi],DIPA2[Akun]=SP2D[[#This Row],[Kode Akun]],0))</f>
        <v>19875000</v>
      </c>
      <c r="R4" s="165">
        <v>19875000</v>
      </c>
      <c r="S4" s="407"/>
      <c r="T4" s="407">
        <f>SP2D[[#This Row],[Pagu Semula]]-SP2D[[#This Row],[Pagu]]</f>
        <v>0</v>
      </c>
      <c r="U4" s="232">
        <f>SUM('PER BULAN'!J21:L21)</f>
        <v>0</v>
      </c>
      <c r="V4" s="232">
        <f>SUM('PER BULAN'!M21:P21)</f>
        <v>0</v>
      </c>
      <c r="W4" s="232">
        <f>SUM('PER BULAN'!P21:R21)</f>
        <v>2490000</v>
      </c>
      <c r="X4" s="232">
        <f>SUM('PER BULAN'!S21:U21)</f>
        <v>0</v>
      </c>
      <c r="Y4" s="232">
        <f>SUM('PER BULAN'!V21:X21)</f>
        <v>3091000</v>
      </c>
      <c r="Z4" s="232">
        <f>SUM('PER BULAN'!Y21:AA21)</f>
        <v>0</v>
      </c>
      <c r="AA4" s="232">
        <f>SUM('PER BULAN'!AB21:AD21)</f>
        <v>0</v>
      </c>
      <c r="AB4" s="232">
        <f>SUM('PER BULAN'!AE21:AG21)</f>
        <v>0</v>
      </c>
      <c r="AC4" s="232">
        <f>SUM('PER BULAN'!AH21:AJ21)</f>
        <v>0</v>
      </c>
      <c r="AD4" s="232">
        <f>SUM('PER BULAN'!AK21:AM21)</f>
        <v>0</v>
      </c>
      <c r="AE4" s="232">
        <f>SUM('PER BULAN'!AN21:AP21)</f>
        <v>0</v>
      </c>
      <c r="AF4" s="232">
        <f>SUM('PER BULAN'!AQ21:AS21)</f>
        <v>0</v>
      </c>
      <c r="AG4" s="218" t="s">
        <v>530</v>
      </c>
      <c r="AH4" s="218" t="s">
        <v>531</v>
      </c>
      <c r="AI4" s="218" t="s">
        <v>532</v>
      </c>
      <c r="AJ4" s="218" t="s">
        <v>3891</v>
      </c>
      <c r="AK4" s="218" t="s">
        <v>3892</v>
      </c>
      <c r="AL4" s="384">
        <f>SUM(U4:AF4)</f>
        <v>5581000</v>
      </c>
      <c r="AM4" s="231">
        <f>IFERROR(AL4/Q4*100,0)</f>
        <v>28.080503144654088</v>
      </c>
      <c r="AN4" s="384">
        <f>Q4-AL4</f>
        <v>14294000</v>
      </c>
      <c r="AO4" s="231">
        <f>IFERROR(AN4/Q4*100,0)</f>
        <v>71.919496855345912</v>
      </c>
      <c r="AP4" s="218" t="str">
        <f>_xlfn.TEXTJOIN(".",TRUE,C4,E4,G4,I4,K4,M4,O4)</f>
        <v>DL.2376.AFA.001.051.A.521211</v>
      </c>
      <c r="AQ4" s="218" t="str">
        <f>IF(ISNUMBER(SEARCH("COVID",SP2D[[#This Row],[Akun]])),"COVID","Non COVID")</f>
        <v>Non COVID</v>
      </c>
      <c r="AR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 s="232">
        <f>SUM('PER BULAN'!BA21)</f>
        <v>0</v>
      </c>
      <c r="AU4" s="232">
        <f>SUM('PER BULAN'!BB21)</f>
        <v>990000</v>
      </c>
      <c r="AV4" s="232">
        <f>SUM('PER BULAN'!BC21)</f>
        <v>1500000</v>
      </c>
      <c r="AW4" s="232">
        <f>SUM('PER BULAN'!BD21)</f>
        <v>0</v>
      </c>
      <c r="AX4" s="232">
        <f>SUM('PER BULAN'!BE21)</f>
        <v>0</v>
      </c>
      <c r="AY4" s="232">
        <f>SUM('PER BULAN'!BF21)</f>
        <v>1606000</v>
      </c>
      <c r="AZ4" s="232">
        <f>SUM('PER BULAN'!BG21)</f>
        <v>1485000</v>
      </c>
      <c r="BA4" s="232">
        <f>SUM('PER BULAN'!BH21)</f>
        <v>0</v>
      </c>
    </row>
    <row r="5" spans="1:53" s="219" customFormat="1" x14ac:dyDescent="0.25">
      <c r="A5" s="218" t="s">
        <v>3885</v>
      </c>
      <c r="B5" s="218" t="s">
        <v>3886</v>
      </c>
      <c r="C5" s="218" t="s">
        <v>3887</v>
      </c>
      <c r="D5" s="218" t="s">
        <v>3888</v>
      </c>
      <c r="E5" s="218" t="s">
        <v>196</v>
      </c>
      <c r="F5" s="218" t="s">
        <v>3898</v>
      </c>
      <c r="G5" s="218" t="s">
        <v>3889</v>
      </c>
      <c r="H5" s="218" t="s">
        <v>3899</v>
      </c>
      <c r="I5" s="218" t="s">
        <v>501</v>
      </c>
      <c r="J5" s="218" t="s">
        <v>3900</v>
      </c>
      <c r="K5" s="218" t="s">
        <v>502</v>
      </c>
      <c r="L5" s="218" t="s">
        <v>3901</v>
      </c>
      <c r="M5" s="218" t="s">
        <v>8</v>
      </c>
      <c r="N5" s="218" t="s">
        <v>3902</v>
      </c>
      <c r="O5" s="218" t="s">
        <v>516</v>
      </c>
      <c r="P5" s="218" t="s">
        <v>3893</v>
      </c>
      <c r="Q5" s="165" cm="1">
        <f t="array" ref="Q5">SUM(_xlfn._xlws.FILTER(DIPA2[PaguRevisi],DIPA2[Akun]=SP2D[[#This Row],[Kode Akun]],0))</f>
        <v>20000000</v>
      </c>
      <c r="R5" s="350">
        <f>'PER BULAN'!G22</f>
        <v>20000000</v>
      </c>
      <c r="S5" s="350"/>
      <c r="T5" s="350">
        <f>SP2D[[#This Row],[Pagu Semula]]-SP2D[[#This Row],[Pagu]]</f>
        <v>0</v>
      </c>
      <c r="U5" s="232">
        <f>SUM('PER BULAN'!J22:L22)</f>
        <v>0</v>
      </c>
      <c r="V5" s="232">
        <f>SUM('PER BULAN'!M22:O22)</f>
        <v>0</v>
      </c>
      <c r="W5" s="232">
        <f>SUM('PER BULAN'!P22:R22)</f>
        <v>900000</v>
      </c>
      <c r="X5" s="232">
        <f>SUM('PER BULAN'!S22:U22)</f>
        <v>0</v>
      </c>
      <c r="Y5" s="232">
        <f>SUM('PER BULAN'!V22:X22)</f>
        <v>0</v>
      </c>
      <c r="Z5" s="232">
        <f>SUM('PER BULAN'!Y22:AA22)</f>
        <v>1200000</v>
      </c>
      <c r="AA5" s="232">
        <f>SUM('PER BULAN'!AB22:AD22)</f>
        <v>0</v>
      </c>
      <c r="AB5" s="232">
        <f>SUM('PER BULAN'!AE22:AG22)</f>
        <v>0</v>
      </c>
      <c r="AC5" s="232">
        <f>SUM('PER BULAN'!AH22:AJ22)</f>
        <v>0</v>
      </c>
      <c r="AD5" s="232">
        <f>SUM('PER BULAN'!AK22:AM22)</f>
        <v>0</v>
      </c>
      <c r="AE5" s="232">
        <f>SUM('PER BULAN'!AN22:AP22)</f>
        <v>0</v>
      </c>
      <c r="AF5" s="232">
        <f>SUM('PER BULAN'!AQ22:AS22)</f>
        <v>0</v>
      </c>
      <c r="AG5" s="218" t="s">
        <v>530</v>
      </c>
      <c r="AH5" s="218" t="s">
        <v>531</v>
      </c>
      <c r="AI5" s="218" t="s">
        <v>532</v>
      </c>
      <c r="AJ5" s="218" t="s">
        <v>3891</v>
      </c>
      <c r="AK5" s="218" t="s">
        <v>3892</v>
      </c>
      <c r="AL5" s="384">
        <f t="shared" ref="AL5:AL68" si="0">SUM(U5:AF5)</f>
        <v>2100000</v>
      </c>
      <c r="AM5" s="231">
        <f t="shared" ref="AM5:AM68" si="1">IFERROR(AL5/Q5*100,0)</f>
        <v>10.5</v>
      </c>
      <c r="AN5" s="384">
        <f t="shared" ref="AN5:AN68" si="2">Q5-AL5</f>
        <v>17900000</v>
      </c>
      <c r="AO5" s="231">
        <f t="shared" ref="AO5:AO68" si="3">IFERROR(AN5/Q5*100,0)</f>
        <v>89.5</v>
      </c>
      <c r="AP5" s="218" t="str">
        <f t="shared" ref="AP5:AP68" si="4">_xlfn.TEXTJOIN(".",TRUE,C5,E5,G5,I5,K5,M5,O5)</f>
        <v>DL.2376.AFA.001.051.A.522151</v>
      </c>
      <c r="AQ5" s="218" t="str">
        <f>IF(ISNUMBER(SEARCH("COVID",SP2D[[#This Row],[Akun]])),"COVID","Non COVID")</f>
        <v>Non COVID</v>
      </c>
      <c r="AR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 s="232">
        <f>SUM('PER BULAN'!BA22)</f>
        <v>0</v>
      </c>
      <c r="AU5" s="232">
        <f>SUM('PER BULAN'!BB22)</f>
        <v>900000</v>
      </c>
      <c r="AV5" s="232">
        <f>SUM('PER BULAN'!BC22)</f>
        <v>0</v>
      </c>
      <c r="AW5" s="232">
        <f>SUM('PER BULAN'!BD22)</f>
        <v>0</v>
      </c>
      <c r="AX5" s="232">
        <f>SUM('PER BULAN'!BE22)</f>
        <v>0</v>
      </c>
      <c r="AY5" s="232">
        <f>SUM('PER BULAN'!BF22)</f>
        <v>0</v>
      </c>
      <c r="AZ5" s="232">
        <f>SUM('PER BULAN'!BG22)</f>
        <v>0</v>
      </c>
      <c r="BA5" s="232">
        <f>SUM('PER BULAN'!BH22)</f>
        <v>0</v>
      </c>
    </row>
    <row r="6" spans="1:53" s="219" customFormat="1" x14ac:dyDescent="0.25">
      <c r="A6" s="218" t="s">
        <v>3885</v>
      </c>
      <c r="B6" s="218" t="s">
        <v>3886</v>
      </c>
      <c r="C6" s="218" t="s">
        <v>3887</v>
      </c>
      <c r="D6" s="218" t="s">
        <v>3888</v>
      </c>
      <c r="E6" s="218" t="s">
        <v>196</v>
      </c>
      <c r="F6" s="218" t="s">
        <v>3898</v>
      </c>
      <c r="G6" s="218" t="s">
        <v>3889</v>
      </c>
      <c r="H6" s="218" t="s">
        <v>3899</v>
      </c>
      <c r="I6" s="218" t="s">
        <v>501</v>
      </c>
      <c r="J6" s="218" t="s">
        <v>3900</v>
      </c>
      <c r="K6" s="218" t="s">
        <v>502</v>
      </c>
      <c r="L6" s="218" t="s">
        <v>3901</v>
      </c>
      <c r="M6" s="218" t="s">
        <v>8</v>
      </c>
      <c r="N6" s="218" t="s">
        <v>3902</v>
      </c>
      <c r="O6" s="218" t="s">
        <v>513</v>
      </c>
      <c r="P6" s="218" t="s">
        <v>3894</v>
      </c>
      <c r="Q6" s="165" cm="1">
        <f t="array" ref="Q6">SUM(_xlfn._xlws.FILTER(DIPA2[PaguRevisi],DIPA2[Akun]=SP2D[[#This Row],[Kode Akun]],0))</f>
        <v>43260000</v>
      </c>
      <c r="R6" s="350">
        <f>'PER BULAN'!G23</f>
        <v>43260000</v>
      </c>
      <c r="S6" s="350"/>
      <c r="T6" s="350">
        <f>SP2D[[#This Row],[Pagu Semula]]-SP2D[[#This Row],[Pagu]]</f>
        <v>0</v>
      </c>
      <c r="U6" s="232">
        <f>SUM('PER BULAN'!J23:L23)</f>
        <v>0</v>
      </c>
      <c r="V6" s="232">
        <f>SUM('PER BULAN'!M23:O23)</f>
        <v>0</v>
      </c>
      <c r="W6" s="232">
        <f>SUM('PER BULAN'!P23:R23)</f>
        <v>10950000</v>
      </c>
      <c r="X6" s="232">
        <f>SUM('PER BULAN'!S23:U23)</f>
        <v>11716000</v>
      </c>
      <c r="Y6" s="232">
        <f>SUM('PER BULAN'!V23:X23)</f>
        <v>1800000</v>
      </c>
      <c r="Z6" s="232">
        <f>SUM('PER BULAN'!Y23:AA23)</f>
        <v>1810000</v>
      </c>
      <c r="AA6" s="232">
        <f>SUM('PER BULAN'!AB23:AD23)</f>
        <v>0</v>
      </c>
      <c r="AB6" s="232">
        <f>SUM('PER BULAN'!AE23:AG23)</f>
        <v>0</v>
      </c>
      <c r="AC6" s="232">
        <f>SUM('PER BULAN'!AH23:AJ23)</f>
        <v>0</v>
      </c>
      <c r="AD6" s="232">
        <f>SUM('PER BULAN'!AK23:AM23)</f>
        <v>0</v>
      </c>
      <c r="AE6" s="232">
        <f>SUM('PER BULAN'!AN23:AP23)</f>
        <v>0</v>
      </c>
      <c r="AF6" s="232">
        <f>SUM('PER BULAN'!AQ23:AS23)</f>
        <v>0</v>
      </c>
      <c r="AG6" s="218" t="s">
        <v>530</v>
      </c>
      <c r="AH6" s="218" t="s">
        <v>531</v>
      </c>
      <c r="AI6" s="218" t="s">
        <v>532</v>
      </c>
      <c r="AJ6" s="218" t="s">
        <v>3891</v>
      </c>
      <c r="AK6" s="218" t="s">
        <v>3892</v>
      </c>
      <c r="AL6" s="384">
        <f t="shared" si="0"/>
        <v>26276000</v>
      </c>
      <c r="AM6" s="231">
        <f t="shared" si="1"/>
        <v>60.739713361072589</v>
      </c>
      <c r="AN6" s="384">
        <f t="shared" si="2"/>
        <v>16984000</v>
      </c>
      <c r="AO6" s="231">
        <f t="shared" si="3"/>
        <v>39.260286638927418</v>
      </c>
      <c r="AP6" s="218" t="str">
        <f t="shared" si="4"/>
        <v>DL.2376.AFA.001.051.A.524111</v>
      </c>
      <c r="AQ6" s="218" t="str">
        <f>IF(ISNUMBER(SEARCH("COVID",SP2D[[#This Row],[Akun]])),"COVID","Non COVID")</f>
        <v>Non COVID</v>
      </c>
      <c r="AR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 s="232">
        <f>SUM('PER BULAN'!BA23)</f>
        <v>0</v>
      </c>
      <c r="AU6" s="232">
        <f>SUM('PER BULAN'!BB23)</f>
        <v>10950000</v>
      </c>
      <c r="AV6" s="232">
        <f>SUM('PER BULAN'!BC23)</f>
        <v>0</v>
      </c>
      <c r="AW6" s="232">
        <f>SUM('PER BULAN'!BD23)</f>
        <v>0</v>
      </c>
      <c r="AX6" s="232">
        <f>SUM('PER BULAN'!BE23)</f>
        <v>0</v>
      </c>
      <c r="AY6" s="232">
        <f>SUM('PER BULAN'!BF23)</f>
        <v>1800000</v>
      </c>
      <c r="AZ6" s="232">
        <f>SUM('PER BULAN'!BG23)</f>
        <v>0</v>
      </c>
      <c r="BA6" s="232">
        <f>SUM('PER BULAN'!BH23)</f>
        <v>0</v>
      </c>
    </row>
    <row r="7" spans="1:53" s="219" customFormat="1" x14ac:dyDescent="0.25">
      <c r="A7" s="218" t="s">
        <v>3885</v>
      </c>
      <c r="B7" s="218" t="s">
        <v>3886</v>
      </c>
      <c r="C7" s="218" t="s">
        <v>3887</v>
      </c>
      <c r="D7" s="218" t="s">
        <v>3888</v>
      </c>
      <c r="E7" s="218" t="s">
        <v>196</v>
      </c>
      <c r="F7" s="218" t="s">
        <v>3898</v>
      </c>
      <c r="G7" s="218" t="s">
        <v>3889</v>
      </c>
      <c r="H7" s="218" t="s">
        <v>3899</v>
      </c>
      <c r="I7" s="218" t="s">
        <v>501</v>
      </c>
      <c r="J7" s="218" t="s">
        <v>3900</v>
      </c>
      <c r="K7" s="218" t="s">
        <v>502</v>
      </c>
      <c r="L7" s="218" t="s">
        <v>3901</v>
      </c>
      <c r="M7" s="218" t="s">
        <v>511</v>
      </c>
      <c r="N7" s="218" t="s">
        <v>3904</v>
      </c>
      <c r="O7" s="218" t="s">
        <v>503</v>
      </c>
      <c r="P7" s="218" t="s">
        <v>3890</v>
      </c>
      <c r="Q7" s="165" cm="1">
        <f t="array" ref="Q7">SUM(_xlfn._xlws.FILTER(DIPA2[PaguRevisi],DIPA2[Akun]=SP2D[[#This Row],[Kode Akun]],0))</f>
        <v>19500000</v>
      </c>
      <c r="R7" s="350">
        <f>'PER BULAN'!G25</f>
        <v>19500000</v>
      </c>
      <c r="S7" s="350"/>
      <c r="T7" s="350">
        <f>SP2D[[#This Row],[Pagu Semula]]-SP2D[[#This Row],[Pagu]]</f>
        <v>0</v>
      </c>
      <c r="U7" s="232">
        <f>SUM('PER BULAN'!J25:L25)</f>
        <v>0</v>
      </c>
      <c r="V7" s="232">
        <f>SUM('PER BULAN'!M25:O25)</f>
        <v>0</v>
      </c>
      <c r="W7" s="232">
        <f>SUM('PER BULAN'!P25:R25)</f>
        <v>2561000</v>
      </c>
      <c r="X7" s="232">
        <f>SUM('PER BULAN'!S25:U25)</f>
        <v>0</v>
      </c>
      <c r="Y7" s="232">
        <f>SUM('PER BULAN'!V25:X25)</f>
        <v>1480000</v>
      </c>
      <c r="Z7" s="232">
        <f>SUM('PER BULAN'!Y25:AA25)</f>
        <v>0</v>
      </c>
      <c r="AA7" s="232">
        <f>SUM('PER BULAN'!AB25:AD25)</f>
        <v>0</v>
      </c>
      <c r="AB7" s="232">
        <f>SUM('PER BULAN'!AE25:AG25)</f>
        <v>0</v>
      </c>
      <c r="AC7" s="232">
        <f>SUM('PER BULAN'!AH25:AJ25)</f>
        <v>0</v>
      </c>
      <c r="AD7" s="232">
        <f>SUM('PER BULAN'!AK25:AM25)</f>
        <v>0</v>
      </c>
      <c r="AE7" s="232">
        <f>SUM('PER BULAN'!AN25:AP25)</f>
        <v>0</v>
      </c>
      <c r="AF7" s="232">
        <f>SUM('PER BULAN'!AQ25:AS25)</f>
        <v>0</v>
      </c>
      <c r="AG7" s="218" t="s">
        <v>530</v>
      </c>
      <c r="AH7" s="218" t="s">
        <v>531</v>
      </c>
      <c r="AI7" s="218" t="s">
        <v>532</v>
      </c>
      <c r="AJ7" s="218" t="s">
        <v>3891</v>
      </c>
      <c r="AK7" s="218" t="s">
        <v>3892</v>
      </c>
      <c r="AL7" s="384">
        <f t="shared" si="0"/>
        <v>4041000</v>
      </c>
      <c r="AM7" s="231">
        <f t="shared" si="1"/>
        <v>20.723076923076921</v>
      </c>
      <c r="AN7" s="384">
        <f t="shared" si="2"/>
        <v>15459000</v>
      </c>
      <c r="AO7" s="231">
        <f t="shared" si="3"/>
        <v>79.276923076923083</v>
      </c>
      <c r="AP7" s="218" t="str">
        <f t="shared" si="4"/>
        <v>DL.2376.AFA.001.051.B.521211</v>
      </c>
      <c r="AQ7" s="218" t="str">
        <f>IF(ISNUMBER(SEARCH("COVID",SP2D[[#This Row],[Akun]])),"COVID","Non COVID")</f>
        <v>Non COVID</v>
      </c>
      <c r="AR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 s="232">
        <f>SUM('PER BULAN'!BA25)</f>
        <v>0</v>
      </c>
      <c r="AU7" s="232">
        <f>SUM('PER BULAN'!BB25)</f>
        <v>1525000</v>
      </c>
      <c r="AV7" s="232">
        <f>SUM('PER BULAN'!BC25)</f>
        <v>1036000</v>
      </c>
      <c r="AW7" s="232">
        <f>SUM('PER BULAN'!BD25)</f>
        <v>0</v>
      </c>
      <c r="AX7" s="232">
        <f>SUM('PER BULAN'!BE25)</f>
        <v>0</v>
      </c>
      <c r="AY7" s="232">
        <f>SUM('PER BULAN'!BF25)</f>
        <v>0</v>
      </c>
      <c r="AZ7" s="232">
        <f>SUM('PER BULAN'!BG25)</f>
        <v>1480000</v>
      </c>
      <c r="BA7" s="232">
        <f>SUM('PER BULAN'!BH25)</f>
        <v>0</v>
      </c>
    </row>
    <row r="8" spans="1:53" s="219" customFormat="1" x14ac:dyDescent="0.25">
      <c r="A8" s="218" t="s">
        <v>3885</v>
      </c>
      <c r="B8" s="218" t="s">
        <v>3886</v>
      </c>
      <c r="C8" s="218" t="s">
        <v>3887</v>
      </c>
      <c r="D8" s="218" t="s">
        <v>3888</v>
      </c>
      <c r="E8" s="218" t="s">
        <v>196</v>
      </c>
      <c r="F8" s="218" t="s">
        <v>3898</v>
      </c>
      <c r="G8" s="218" t="s">
        <v>3889</v>
      </c>
      <c r="H8" s="218" t="s">
        <v>3899</v>
      </c>
      <c r="I8" s="218" t="s">
        <v>501</v>
      </c>
      <c r="J8" s="218" t="s">
        <v>3900</v>
      </c>
      <c r="K8" s="218" t="s">
        <v>502</v>
      </c>
      <c r="L8" s="218" t="s">
        <v>3901</v>
      </c>
      <c r="M8" s="218" t="s">
        <v>511</v>
      </c>
      <c r="N8" s="218" t="s">
        <v>3904</v>
      </c>
      <c r="O8" s="218" t="s">
        <v>516</v>
      </c>
      <c r="P8" s="218" t="s">
        <v>3893</v>
      </c>
      <c r="Q8" s="165" cm="1">
        <f t="array" ref="Q8">SUM(_xlfn._xlws.FILTER(DIPA2[PaguRevisi],DIPA2[Akun]=SP2D[[#This Row],[Kode Akun]],0))</f>
        <v>4000000</v>
      </c>
      <c r="R8" s="350">
        <f>'PER BULAN'!G26</f>
        <v>4000000</v>
      </c>
      <c r="S8" s="350"/>
      <c r="T8" s="350">
        <f>SP2D[[#This Row],[Pagu Semula]]-SP2D[[#This Row],[Pagu]]</f>
        <v>0</v>
      </c>
      <c r="U8" s="232">
        <f>SUM('PER BULAN'!J26:L26)</f>
        <v>0</v>
      </c>
      <c r="V8" s="232">
        <f>SUM('PER BULAN'!M26:O26)</f>
        <v>0</v>
      </c>
      <c r="W8" s="232">
        <f>SUM('PER BULAN'!P26:R26)</f>
        <v>900000</v>
      </c>
      <c r="X8" s="232">
        <f>SUM('PER BULAN'!S26:U26)</f>
        <v>0</v>
      </c>
      <c r="Y8" s="232">
        <f>SUM('PER BULAN'!V26:X26)</f>
        <v>0</v>
      </c>
      <c r="Z8" s="232">
        <f>SUM('PER BULAN'!Y26:AA26)</f>
        <v>0</v>
      </c>
      <c r="AA8" s="232">
        <f>SUM('PER BULAN'!AB26:AD26)</f>
        <v>0</v>
      </c>
      <c r="AB8" s="232">
        <f>SUM('PER BULAN'!AE26:AG26)</f>
        <v>0</v>
      </c>
      <c r="AC8" s="232">
        <f>SUM('PER BULAN'!AH26:AJ26)</f>
        <v>0</v>
      </c>
      <c r="AD8" s="232">
        <f>SUM('PER BULAN'!AK26:AM26)</f>
        <v>0</v>
      </c>
      <c r="AE8" s="232">
        <f>SUM('PER BULAN'!AN26:AP26)</f>
        <v>0</v>
      </c>
      <c r="AF8" s="232">
        <f>SUM('PER BULAN'!AQ26:AS26)</f>
        <v>0</v>
      </c>
      <c r="AG8" s="218" t="s">
        <v>530</v>
      </c>
      <c r="AH8" s="218" t="s">
        <v>531</v>
      </c>
      <c r="AI8" s="218" t="s">
        <v>532</v>
      </c>
      <c r="AJ8" s="218" t="s">
        <v>3891</v>
      </c>
      <c r="AK8" s="218" t="s">
        <v>3892</v>
      </c>
      <c r="AL8" s="384">
        <f t="shared" si="0"/>
        <v>900000</v>
      </c>
      <c r="AM8" s="231">
        <f t="shared" si="1"/>
        <v>22.5</v>
      </c>
      <c r="AN8" s="384">
        <f t="shared" si="2"/>
        <v>3100000</v>
      </c>
      <c r="AO8" s="231">
        <f t="shared" si="3"/>
        <v>77.5</v>
      </c>
      <c r="AP8" s="218" t="str">
        <f t="shared" si="4"/>
        <v>DL.2376.AFA.001.051.B.522151</v>
      </c>
      <c r="AQ8" s="218" t="str">
        <f>IF(ISNUMBER(SEARCH("COVID",SP2D[[#This Row],[Akun]])),"COVID","Non COVID")</f>
        <v>Non COVID</v>
      </c>
      <c r="AR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 s="232">
        <f>SUM('PER BULAN'!BA26)</f>
        <v>0</v>
      </c>
      <c r="AU8" s="232">
        <f>SUM('PER BULAN'!BB26)</f>
        <v>900000</v>
      </c>
      <c r="AV8" s="232">
        <f>SUM('PER BULAN'!BC26)</f>
        <v>0</v>
      </c>
      <c r="AW8" s="232">
        <f>SUM('PER BULAN'!BD26)</f>
        <v>0</v>
      </c>
      <c r="AX8" s="232">
        <f>SUM('PER BULAN'!BE26)</f>
        <v>0</v>
      </c>
      <c r="AY8" s="232">
        <f>SUM('PER BULAN'!BF26)</f>
        <v>0</v>
      </c>
      <c r="AZ8" s="232">
        <f>SUM('PER BULAN'!BG26)</f>
        <v>0</v>
      </c>
      <c r="BA8" s="232">
        <f>SUM('PER BULAN'!BH26)</f>
        <v>0</v>
      </c>
    </row>
    <row r="9" spans="1:53" s="219" customFormat="1" x14ac:dyDescent="0.25">
      <c r="A9" s="218" t="s">
        <v>3885</v>
      </c>
      <c r="B9" s="218" t="s">
        <v>3886</v>
      </c>
      <c r="C9" s="218" t="s">
        <v>3887</v>
      </c>
      <c r="D9" s="218" t="s">
        <v>3888</v>
      </c>
      <c r="E9" s="218" t="s">
        <v>196</v>
      </c>
      <c r="F9" s="218" t="s">
        <v>3898</v>
      </c>
      <c r="G9" s="218" t="s">
        <v>3889</v>
      </c>
      <c r="H9" s="218" t="s">
        <v>3899</v>
      </c>
      <c r="I9" s="218" t="s">
        <v>501</v>
      </c>
      <c r="J9" s="218" t="s">
        <v>3900</v>
      </c>
      <c r="K9" s="218" t="s">
        <v>502</v>
      </c>
      <c r="L9" s="218" t="s">
        <v>3901</v>
      </c>
      <c r="M9" s="218" t="s">
        <v>511</v>
      </c>
      <c r="N9" s="218" t="s">
        <v>3904</v>
      </c>
      <c r="O9" s="218" t="s">
        <v>513</v>
      </c>
      <c r="P9" s="218" t="s">
        <v>3894</v>
      </c>
      <c r="Q9" s="165" cm="1">
        <f t="array" ref="Q9">SUM(_xlfn._xlws.FILTER(DIPA2[PaguRevisi],DIPA2[Akun]=SP2D[[#This Row],[Kode Akun]],0))</f>
        <v>17465000</v>
      </c>
      <c r="R9" s="350">
        <f>'PER BULAN'!G27</f>
        <v>17465000</v>
      </c>
      <c r="S9" s="350"/>
      <c r="T9" s="350">
        <f>SP2D[[#This Row],[Pagu Semula]]-SP2D[[#This Row],[Pagu]]</f>
        <v>0</v>
      </c>
      <c r="U9" s="232">
        <f>SUM('PER BULAN'!J27:L27)</f>
        <v>0</v>
      </c>
      <c r="V9" s="232">
        <f>SUM('PER BULAN'!M27:O27)</f>
        <v>0</v>
      </c>
      <c r="W9" s="232">
        <f>SUM('PER BULAN'!P27:R27)</f>
        <v>16620000</v>
      </c>
      <c r="X9" s="232">
        <f>SUM('PER BULAN'!S27:U27)</f>
        <v>0</v>
      </c>
      <c r="Y9" s="232">
        <f>SUM('PER BULAN'!V27:X27)</f>
        <v>0</v>
      </c>
      <c r="Z9" s="232">
        <f>SUM('PER BULAN'!Y27:AA27)</f>
        <v>0</v>
      </c>
      <c r="AA9" s="232">
        <f>SUM('PER BULAN'!AB27:AD27)</f>
        <v>0</v>
      </c>
      <c r="AB9" s="232">
        <f>SUM('PER BULAN'!AE27:AG27)</f>
        <v>0</v>
      </c>
      <c r="AC9" s="232">
        <f>SUM('PER BULAN'!AH27:AJ27)</f>
        <v>0</v>
      </c>
      <c r="AD9" s="232">
        <f>SUM('PER BULAN'!AK27:AM27)</f>
        <v>0</v>
      </c>
      <c r="AE9" s="232">
        <f>SUM('PER BULAN'!AN27:AP27)</f>
        <v>0</v>
      </c>
      <c r="AF9" s="232">
        <f>SUM('PER BULAN'!AQ27:AS27)</f>
        <v>0</v>
      </c>
      <c r="AG9" s="218" t="s">
        <v>530</v>
      </c>
      <c r="AH9" s="218" t="s">
        <v>531</v>
      </c>
      <c r="AI9" s="218" t="s">
        <v>532</v>
      </c>
      <c r="AJ9" s="218" t="s">
        <v>3891</v>
      </c>
      <c r="AK9" s="218" t="s">
        <v>3892</v>
      </c>
      <c r="AL9" s="384">
        <f t="shared" si="0"/>
        <v>16620000</v>
      </c>
      <c r="AM9" s="231">
        <f t="shared" si="1"/>
        <v>95.161752075579727</v>
      </c>
      <c r="AN9" s="384">
        <f t="shared" si="2"/>
        <v>845000</v>
      </c>
      <c r="AO9" s="231">
        <f t="shared" si="3"/>
        <v>4.8382479244202692</v>
      </c>
      <c r="AP9" s="218" t="str">
        <f t="shared" si="4"/>
        <v>DL.2376.AFA.001.051.B.524111</v>
      </c>
      <c r="AQ9" s="218" t="str">
        <f>IF(ISNUMBER(SEARCH("COVID",SP2D[[#This Row],[Akun]])),"COVID","Non COVID")</f>
        <v>Non COVID</v>
      </c>
      <c r="AR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 s="232">
        <f>SUM('PER BULAN'!BA27)</f>
        <v>0</v>
      </c>
      <c r="AU9" s="232">
        <f>SUM('PER BULAN'!BB27)</f>
        <v>12960000</v>
      </c>
      <c r="AV9" s="232">
        <f>SUM('PER BULAN'!BC27)</f>
        <v>3660000</v>
      </c>
      <c r="AW9" s="232">
        <f>SUM('PER BULAN'!BD27)</f>
        <v>0</v>
      </c>
      <c r="AX9" s="232">
        <f>SUM('PER BULAN'!BE27)</f>
        <v>0</v>
      </c>
      <c r="AY9" s="232">
        <f>SUM('PER BULAN'!BF27)</f>
        <v>0</v>
      </c>
      <c r="AZ9" s="232">
        <f>SUM('PER BULAN'!BG27)</f>
        <v>0</v>
      </c>
      <c r="BA9" s="232">
        <f>SUM('PER BULAN'!BH27)</f>
        <v>0</v>
      </c>
    </row>
    <row r="10" spans="1:53" s="219" customFormat="1" x14ac:dyDescent="0.25">
      <c r="A10" s="218" t="s">
        <v>3885</v>
      </c>
      <c r="B10" s="218" t="s">
        <v>3886</v>
      </c>
      <c r="C10" s="218" t="s">
        <v>3887</v>
      </c>
      <c r="D10" s="218" t="s">
        <v>3888</v>
      </c>
      <c r="E10" s="218" t="s">
        <v>196</v>
      </c>
      <c r="F10" s="218" t="s">
        <v>3898</v>
      </c>
      <c r="G10" s="218" t="s">
        <v>3889</v>
      </c>
      <c r="H10" s="218" t="s">
        <v>3899</v>
      </c>
      <c r="I10" s="218" t="s">
        <v>501</v>
      </c>
      <c r="J10" s="218" t="s">
        <v>3900</v>
      </c>
      <c r="K10" s="218" t="s">
        <v>520</v>
      </c>
      <c r="L10" s="218" t="s">
        <v>3905</v>
      </c>
      <c r="M10" s="218" t="s">
        <v>8</v>
      </c>
      <c r="N10" s="218" t="s">
        <v>3922</v>
      </c>
      <c r="O10" s="218" t="s">
        <v>503</v>
      </c>
      <c r="P10" s="218" t="s">
        <v>3890</v>
      </c>
      <c r="Q10" s="165" cm="1">
        <f t="array" ref="Q10">SUM(_xlfn._xlws.FILTER(DIPA2[PaguRevisi],DIPA2[Akun]=SP2D[[#This Row],[Kode Akun]],0))</f>
        <v>21250000</v>
      </c>
      <c r="R10" s="350">
        <v>21250000</v>
      </c>
      <c r="S10" s="350"/>
      <c r="T10" s="350">
        <f>SP2D[[#This Row],[Pagu Semula]]-SP2D[[#This Row],[Pagu]]</f>
        <v>0</v>
      </c>
      <c r="U10" s="232">
        <f>SUM('PER BULAN'!J30:L30)</f>
        <v>0</v>
      </c>
      <c r="V10" s="232">
        <f>SUM('PER BULAN'!M30:O30)</f>
        <v>0</v>
      </c>
      <c r="W10" s="232">
        <f>SUM('PER BULAN'!P30:R30)</f>
        <v>2460000</v>
      </c>
      <c r="X10" s="232">
        <f>SUM('PER BULAN'!S30:U30)</f>
        <v>0</v>
      </c>
      <c r="Y10" s="232">
        <f>SUM('PER BULAN'!V30:X30)</f>
        <v>660000</v>
      </c>
      <c r="Z10" s="232">
        <f>SUM('PER BULAN'!Y30:AA30)</f>
        <v>0</v>
      </c>
      <c r="AA10" s="232">
        <f>SUM('PER BULAN'!AB30:AD30)</f>
        <v>0</v>
      </c>
      <c r="AB10" s="232">
        <f>SUM('PER BULAN'!AE30:AG30)</f>
        <v>0</v>
      </c>
      <c r="AC10" s="232">
        <f>SUM('PER BULAN'!AH30:AJ30)</f>
        <v>0</v>
      </c>
      <c r="AD10" s="232">
        <f>SUM('PER BULAN'!AK30:AM30)</f>
        <v>0</v>
      </c>
      <c r="AE10" s="232">
        <f>SUM('PER BULAN'!AN30:AP30)</f>
        <v>0</v>
      </c>
      <c r="AF10" s="232">
        <f>SUM('PER BULAN'!AQ30:AS30)</f>
        <v>0</v>
      </c>
      <c r="AG10" s="218" t="s">
        <v>530</v>
      </c>
      <c r="AH10" s="218" t="s">
        <v>531</v>
      </c>
      <c r="AI10" s="218" t="s">
        <v>534</v>
      </c>
      <c r="AJ10" s="218" t="s">
        <v>3891</v>
      </c>
      <c r="AK10" s="218" t="s">
        <v>3892</v>
      </c>
      <c r="AL10" s="384">
        <f t="shared" si="0"/>
        <v>3120000</v>
      </c>
      <c r="AM10" s="231">
        <f t="shared" si="1"/>
        <v>14.682352941176472</v>
      </c>
      <c r="AN10" s="384">
        <f t="shared" si="2"/>
        <v>18130000</v>
      </c>
      <c r="AO10" s="231">
        <f t="shared" si="3"/>
        <v>85.317647058823525</v>
      </c>
      <c r="AP10" s="218" t="str">
        <f t="shared" si="4"/>
        <v>DL.2376.AFA.001.052.A.521211</v>
      </c>
      <c r="AQ10" s="218" t="str">
        <f>IF(ISNUMBER(SEARCH("COVID",SP2D[[#This Row],[Akun]])),"COVID","Non COVID")</f>
        <v>Non COVID</v>
      </c>
      <c r="AR1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 s="232">
        <f>SUM('PER BULAN'!BA30)</f>
        <v>0</v>
      </c>
      <c r="AU10" s="232">
        <f>SUM('PER BULAN'!BB30)</f>
        <v>2460000</v>
      </c>
      <c r="AV10" s="232">
        <f>SUM('PER BULAN'!BC30)</f>
        <v>0</v>
      </c>
      <c r="AW10" s="232">
        <f>SUM('PER BULAN'!BD30)</f>
        <v>0</v>
      </c>
      <c r="AX10" s="232">
        <f>SUM('PER BULAN'!BE30)</f>
        <v>0</v>
      </c>
      <c r="AY10" s="232">
        <f>SUM('PER BULAN'!BF30)</f>
        <v>660000</v>
      </c>
      <c r="AZ10" s="232">
        <f>SUM('PER BULAN'!BG30)</f>
        <v>0</v>
      </c>
      <c r="BA10" s="232">
        <f>SUM('PER BULAN'!BH30)</f>
        <v>0</v>
      </c>
    </row>
    <row r="11" spans="1:53" s="219" customFormat="1" x14ac:dyDescent="0.25">
      <c r="A11" s="218" t="s">
        <v>3885</v>
      </c>
      <c r="B11" s="218" t="s">
        <v>3886</v>
      </c>
      <c r="C11" s="218" t="s">
        <v>3887</v>
      </c>
      <c r="D11" s="218" t="s">
        <v>3888</v>
      </c>
      <c r="E11" s="218" t="s">
        <v>196</v>
      </c>
      <c r="F11" s="218" t="s">
        <v>3898</v>
      </c>
      <c r="G11" s="218" t="s">
        <v>3889</v>
      </c>
      <c r="H11" s="218" t="s">
        <v>3899</v>
      </c>
      <c r="I11" s="218" t="s">
        <v>501</v>
      </c>
      <c r="J11" s="218" t="s">
        <v>3900</v>
      </c>
      <c r="K11" s="218" t="s">
        <v>520</v>
      </c>
      <c r="L11" s="218" t="s">
        <v>3905</v>
      </c>
      <c r="M11" s="218" t="s">
        <v>8</v>
      </c>
      <c r="N11" s="218" t="s">
        <v>3922</v>
      </c>
      <c r="O11" s="218" t="s">
        <v>513</v>
      </c>
      <c r="P11" s="218" t="s">
        <v>3894</v>
      </c>
      <c r="Q11" s="165" cm="1">
        <f t="array" ref="Q11">SUM(_xlfn._xlws.FILTER(DIPA2[PaguRevisi],DIPA2[Akun]=SP2D[[#This Row],[Kode Akun]],0))</f>
        <v>33250000</v>
      </c>
      <c r="R11" s="350">
        <v>33250000</v>
      </c>
      <c r="S11" s="350"/>
      <c r="T11" s="350">
        <f>SP2D[[#This Row],[Pagu Semula]]-SP2D[[#This Row],[Pagu]]</f>
        <v>0</v>
      </c>
      <c r="U11" s="232">
        <f>SUM('PER BULAN'!J31:L31)</f>
        <v>0</v>
      </c>
      <c r="V11" s="232">
        <f>SUM('PER BULAN'!M31:O31)</f>
        <v>0</v>
      </c>
      <c r="W11" s="232">
        <f>SUM('PER BULAN'!P31:R31)</f>
        <v>3780000</v>
      </c>
      <c r="X11" s="232">
        <f>SUM('PER BULAN'!S31:U31)</f>
        <v>2840000</v>
      </c>
      <c r="Y11" s="232">
        <f>SUM('PER BULAN'!V31:X31)</f>
        <v>14114500</v>
      </c>
      <c r="Z11" s="232">
        <f>SUM('PER BULAN'!Y31:AA31)</f>
        <v>360000</v>
      </c>
      <c r="AA11" s="232">
        <f>SUM('PER BULAN'!AB31:AD31)</f>
        <v>0</v>
      </c>
      <c r="AB11" s="232">
        <f>SUM('PER BULAN'!AE31:AG31)</f>
        <v>0</v>
      </c>
      <c r="AC11" s="232">
        <f>SUM('PER BULAN'!AH31:AJ31)</f>
        <v>0</v>
      </c>
      <c r="AD11" s="232">
        <f>SUM('PER BULAN'!AK31:AM31)</f>
        <v>0</v>
      </c>
      <c r="AE11" s="232">
        <f>SUM('PER BULAN'!AN31:AP31)</f>
        <v>0</v>
      </c>
      <c r="AF11" s="232">
        <f>SUM('PER BULAN'!AQ31:AS31)</f>
        <v>0</v>
      </c>
      <c r="AG11" s="218" t="s">
        <v>530</v>
      </c>
      <c r="AH11" s="218" t="s">
        <v>531</v>
      </c>
      <c r="AI11" s="218" t="s">
        <v>534</v>
      </c>
      <c r="AJ11" s="218" t="s">
        <v>3891</v>
      </c>
      <c r="AK11" s="218" t="s">
        <v>3892</v>
      </c>
      <c r="AL11" s="384">
        <f t="shared" si="0"/>
        <v>21094500</v>
      </c>
      <c r="AM11" s="231">
        <f t="shared" si="1"/>
        <v>63.442105263157899</v>
      </c>
      <c r="AN11" s="384">
        <f t="shared" si="2"/>
        <v>12155500</v>
      </c>
      <c r="AO11" s="231">
        <f t="shared" si="3"/>
        <v>36.557894736842108</v>
      </c>
      <c r="AP11" s="218" t="str">
        <f t="shared" si="4"/>
        <v>DL.2376.AFA.001.052.A.524111</v>
      </c>
      <c r="AQ11" s="218" t="str">
        <f>IF(ISNUMBER(SEARCH("COVID",SP2D[[#This Row],[Akun]])),"COVID","Non COVID")</f>
        <v>Non COVID</v>
      </c>
      <c r="AR1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 s="232">
        <f>SUM('PER BULAN'!BA31)</f>
        <v>0</v>
      </c>
      <c r="AU11" s="232">
        <f>SUM('PER BULAN'!BB31)</f>
        <v>1080000</v>
      </c>
      <c r="AV11" s="232">
        <f>SUM('PER BULAN'!BC31)</f>
        <v>2700000</v>
      </c>
      <c r="AW11" s="232">
        <f>SUM('PER BULAN'!BD31)</f>
        <v>0</v>
      </c>
      <c r="AX11" s="232">
        <f>SUM('PER BULAN'!BE31)</f>
        <v>0</v>
      </c>
      <c r="AY11" s="232">
        <f>SUM('PER BULAN'!BF31)</f>
        <v>3620000</v>
      </c>
      <c r="AZ11" s="232">
        <f>SUM('PER BULAN'!BG31)</f>
        <v>9244500</v>
      </c>
      <c r="BA11" s="232">
        <f>SUM('PER BULAN'!BH31)</f>
        <v>0</v>
      </c>
    </row>
    <row r="12" spans="1:53" s="219" customFormat="1" x14ac:dyDescent="0.25">
      <c r="A12" s="218" t="s">
        <v>3885</v>
      </c>
      <c r="B12" s="218" t="s">
        <v>3886</v>
      </c>
      <c r="C12" s="218" t="s">
        <v>3887</v>
      </c>
      <c r="D12" s="218" t="s">
        <v>3888</v>
      </c>
      <c r="E12" s="218" t="s">
        <v>196</v>
      </c>
      <c r="F12" s="218" t="s">
        <v>3898</v>
      </c>
      <c r="G12" s="218" t="s">
        <v>3889</v>
      </c>
      <c r="H12" s="218" t="s">
        <v>3899</v>
      </c>
      <c r="I12" s="218" t="s">
        <v>501</v>
      </c>
      <c r="J12" s="218" t="s">
        <v>3900</v>
      </c>
      <c r="K12" s="218" t="s">
        <v>523</v>
      </c>
      <c r="L12" s="218" t="s">
        <v>3906</v>
      </c>
      <c r="M12" s="218" t="s">
        <v>8</v>
      </c>
      <c r="N12" s="218" t="s">
        <v>3907</v>
      </c>
      <c r="O12" s="218">
        <v>521211</v>
      </c>
      <c r="P12" s="218" t="s">
        <v>3890</v>
      </c>
      <c r="Q12" s="165" cm="1">
        <f t="array" ref="Q12">SUM(_xlfn._xlws.FILTER(DIPA2[PaguRevisi],DIPA2[Akun]=SP2D[[#This Row],[Kode Akun]],0))</f>
        <v>64900000</v>
      </c>
      <c r="R12" s="350">
        <v>64900000</v>
      </c>
      <c r="S12" s="350"/>
      <c r="T12" s="350">
        <f>SP2D[[#This Row],[Pagu Semula]]-SP2D[[#This Row],[Pagu]]</f>
        <v>0</v>
      </c>
      <c r="U12" s="232">
        <f>SUM('PER BULAN'!J34:L34)</f>
        <v>0</v>
      </c>
      <c r="V12" s="232">
        <f>SUM('PER BULAN'!M34:O34)</f>
        <v>0</v>
      </c>
      <c r="W12" s="232">
        <f>SUM('PER BULAN'!P34:R34)</f>
        <v>4332500</v>
      </c>
      <c r="X12" s="232">
        <f>SUM('PER BULAN'!S34:U34)</f>
        <v>0</v>
      </c>
      <c r="Y12" s="232">
        <f>SUM('PER BULAN'!V34:X34)</f>
        <v>1862500</v>
      </c>
      <c r="Z12" s="232">
        <f>SUM('PER BULAN'!Y34:AA34)</f>
        <v>0</v>
      </c>
      <c r="AA12" s="232">
        <f>SUM('PER BULAN'!AB34:AD34)</f>
        <v>0</v>
      </c>
      <c r="AB12" s="232">
        <f>SUM('PER BULAN'!AE34:AG34)</f>
        <v>0</v>
      </c>
      <c r="AC12" s="232">
        <f>SUM('PER BULAN'!AH34:AJ34)</f>
        <v>0</v>
      </c>
      <c r="AD12" s="232">
        <f>SUM('PER BULAN'!AK34:AM34)</f>
        <v>0</v>
      </c>
      <c r="AE12" s="232">
        <f>SUM('PER BULAN'!AN34:AP34)</f>
        <v>0</v>
      </c>
      <c r="AF12" s="232">
        <f>SUM('PER BULAN'!AQ34:AS34)</f>
        <v>0</v>
      </c>
      <c r="AG12" s="218" t="s">
        <v>530</v>
      </c>
      <c r="AH12" s="218" t="s">
        <v>535</v>
      </c>
      <c r="AI12" s="218" t="s">
        <v>536</v>
      </c>
      <c r="AJ12" s="218" t="s">
        <v>3891</v>
      </c>
      <c r="AK12" s="218" t="s">
        <v>3892</v>
      </c>
      <c r="AL12" s="384">
        <f t="shared" si="0"/>
        <v>6195000</v>
      </c>
      <c r="AM12" s="231">
        <f t="shared" si="1"/>
        <v>9.5454545454545467</v>
      </c>
      <c r="AN12" s="384">
        <f t="shared" si="2"/>
        <v>58705000</v>
      </c>
      <c r="AO12" s="231">
        <f t="shared" si="3"/>
        <v>90.454545454545453</v>
      </c>
      <c r="AP12" s="218" t="str">
        <f t="shared" si="4"/>
        <v>DL.2376.AFA.001.053.A.521211</v>
      </c>
      <c r="AQ12" s="218" t="str">
        <f>IF(ISNUMBER(SEARCH("COVID",SP2D[[#This Row],[Akun]])),"COVID","Non COVID")</f>
        <v>Non COVID</v>
      </c>
      <c r="AR1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 s="232">
        <f>SUM('PER BULAN'!BA34)</f>
        <v>0</v>
      </c>
      <c r="AU12" s="232">
        <f>SUM('PER BULAN'!BB34)</f>
        <v>2871000</v>
      </c>
      <c r="AV12" s="232">
        <f>SUM('PER BULAN'!BC34)</f>
        <v>1461500</v>
      </c>
      <c r="AW12" s="232">
        <f>SUM('PER BULAN'!BD34)</f>
        <v>0</v>
      </c>
      <c r="AX12" s="232">
        <f>SUM('PER BULAN'!BE34)</f>
        <v>0</v>
      </c>
      <c r="AY12" s="232">
        <f>SUM('PER BULAN'!BF34)</f>
        <v>440000</v>
      </c>
      <c r="AZ12" s="232">
        <f>SUM('PER BULAN'!BG34)</f>
        <v>1422500</v>
      </c>
      <c r="BA12" s="232">
        <f>SUM('PER BULAN'!BH34)</f>
        <v>0</v>
      </c>
    </row>
    <row r="13" spans="1:53" s="219" customFormat="1" x14ac:dyDescent="0.25">
      <c r="A13" s="218" t="s">
        <v>3885</v>
      </c>
      <c r="B13" s="218" t="s">
        <v>3886</v>
      </c>
      <c r="C13" s="218" t="s">
        <v>3887</v>
      </c>
      <c r="D13" s="218" t="s">
        <v>3888</v>
      </c>
      <c r="E13" s="218" t="s">
        <v>196</v>
      </c>
      <c r="F13" s="218" t="s">
        <v>3898</v>
      </c>
      <c r="G13" s="218" t="s">
        <v>3889</v>
      </c>
      <c r="H13" s="218" t="s">
        <v>3899</v>
      </c>
      <c r="I13" s="218" t="s">
        <v>501</v>
      </c>
      <c r="J13" s="218" t="s">
        <v>3900</v>
      </c>
      <c r="K13" s="218" t="s">
        <v>523</v>
      </c>
      <c r="L13" s="218" t="s">
        <v>3906</v>
      </c>
      <c r="M13" s="218" t="s">
        <v>8</v>
      </c>
      <c r="N13" s="218" t="s">
        <v>3907</v>
      </c>
      <c r="O13" s="218">
        <v>521219</v>
      </c>
      <c r="P13" s="218" t="s">
        <v>3903</v>
      </c>
      <c r="Q13" s="165" cm="1">
        <f t="array" ref="Q13">SUM(_xlfn._xlws.FILTER(DIPA2[PaguRevisi],DIPA2[Akun]=SP2D[[#This Row],[Kode Akun]],0))</f>
        <v>6000000</v>
      </c>
      <c r="R13" s="350">
        <v>6000000</v>
      </c>
      <c r="S13" s="350"/>
      <c r="T13" s="350">
        <f>SP2D[[#This Row],[Pagu Semula]]-SP2D[[#This Row],[Pagu]]</f>
        <v>0</v>
      </c>
      <c r="U13" s="232">
        <f>SUM('PER BULAN'!J35:L35)</f>
        <v>0</v>
      </c>
      <c r="V13" s="232">
        <f>SUM('PER BULAN'!M35:O35)</f>
        <v>0</v>
      </c>
      <c r="W13" s="232">
        <f>SUM('PER BULAN'!P35:R35)</f>
        <v>631750</v>
      </c>
      <c r="X13" s="232">
        <f>SUM('PER BULAN'!S35:U35)</f>
        <v>0</v>
      </c>
      <c r="Y13" s="232">
        <f>SUM('PER BULAN'!V35:X35)</f>
        <v>331250</v>
      </c>
      <c r="Z13" s="232">
        <f>SUM('PER BULAN'!Y35:AA35)</f>
        <v>0</v>
      </c>
      <c r="AA13" s="232">
        <f>SUM('PER BULAN'!AB35:AD35)</f>
        <v>0</v>
      </c>
      <c r="AB13" s="232">
        <f>SUM('PER BULAN'!AE35:AG35)</f>
        <v>0</v>
      </c>
      <c r="AC13" s="232">
        <f>SUM('PER BULAN'!AH35:AJ35)</f>
        <v>0</v>
      </c>
      <c r="AD13" s="232">
        <f>SUM('PER BULAN'!AK35:AM35)</f>
        <v>0</v>
      </c>
      <c r="AE13" s="232">
        <f>SUM('PER BULAN'!AN35:AP35)</f>
        <v>0</v>
      </c>
      <c r="AF13" s="232">
        <f>SUM('PER BULAN'!AQ35:AS35)</f>
        <v>0</v>
      </c>
      <c r="AG13" s="218" t="s">
        <v>530</v>
      </c>
      <c r="AH13" s="218" t="s">
        <v>535</v>
      </c>
      <c r="AI13" s="218" t="s">
        <v>536</v>
      </c>
      <c r="AJ13" s="218" t="s">
        <v>3891</v>
      </c>
      <c r="AK13" s="218" t="s">
        <v>3892</v>
      </c>
      <c r="AL13" s="384">
        <f t="shared" si="0"/>
        <v>963000</v>
      </c>
      <c r="AM13" s="231">
        <f t="shared" si="1"/>
        <v>16.05</v>
      </c>
      <c r="AN13" s="384">
        <f t="shared" si="2"/>
        <v>5037000</v>
      </c>
      <c r="AO13" s="231">
        <f t="shared" si="3"/>
        <v>83.95</v>
      </c>
      <c r="AP13" s="218" t="str">
        <f t="shared" si="4"/>
        <v>DL.2376.AFA.001.053.A.521219</v>
      </c>
      <c r="AQ13" s="218" t="str">
        <f>IF(ISNUMBER(SEARCH("COVID",SP2D[[#This Row],[Akun]])),"COVID","Non COVID")</f>
        <v>Non COVID</v>
      </c>
      <c r="AR1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 s="232">
        <f>SUM('PER BULAN'!BA35)</f>
        <v>0</v>
      </c>
      <c r="AU13" s="232">
        <f>SUM('PER BULAN'!BB35)</f>
        <v>300450</v>
      </c>
      <c r="AV13" s="232">
        <f>SUM('PER BULAN'!BC35)</f>
        <v>331300</v>
      </c>
      <c r="AW13" s="232">
        <f>SUM('PER BULAN'!BD35)</f>
        <v>0</v>
      </c>
      <c r="AX13" s="232">
        <f>SUM('PER BULAN'!BE35)</f>
        <v>0</v>
      </c>
      <c r="AY13" s="232">
        <f>SUM('PER BULAN'!BF35)</f>
        <v>331250</v>
      </c>
      <c r="AZ13" s="232">
        <f>SUM('PER BULAN'!BG35)</f>
        <v>0</v>
      </c>
      <c r="BA13" s="232">
        <f>SUM('PER BULAN'!BH35)</f>
        <v>0</v>
      </c>
    </row>
    <row r="14" spans="1:53" s="219" customFormat="1" x14ac:dyDescent="0.25">
      <c r="A14" s="218" t="s">
        <v>3885</v>
      </c>
      <c r="B14" s="218" t="s">
        <v>3886</v>
      </c>
      <c r="C14" s="218" t="s">
        <v>3887</v>
      </c>
      <c r="D14" s="218" t="s">
        <v>3888</v>
      </c>
      <c r="E14" s="218" t="s">
        <v>196</v>
      </c>
      <c r="F14" s="218" t="s">
        <v>3898</v>
      </c>
      <c r="G14" s="218" t="s">
        <v>3889</v>
      </c>
      <c r="H14" s="218" t="s">
        <v>3899</v>
      </c>
      <c r="I14" s="218" t="s">
        <v>501</v>
      </c>
      <c r="J14" s="218" t="s">
        <v>3900</v>
      </c>
      <c r="K14" s="218" t="s">
        <v>523</v>
      </c>
      <c r="L14" s="218" t="s">
        <v>3906</v>
      </c>
      <c r="M14" s="218" t="s">
        <v>8</v>
      </c>
      <c r="N14" s="218" t="s">
        <v>3907</v>
      </c>
      <c r="O14" s="218" t="s">
        <v>537</v>
      </c>
      <c r="P14" s="218" t="s">
        <v>3908</v>
      </c>
      <c r="Q14" s="165" cm="1">
        <f t="array" ref="Q14">SUM(_xlfn._xlws.FILTER(DIPA2[PaguRevisi],DIPA2[Akun]=SP2D[[#This Row],[Kode Akun]],0))</f>
        <v>30000000</v>
      </c>
      <c r="R14" s="350">
        <v>30000000</v>
      </c>
      <c r="S14" s="350"/>
      <c r="T14" s="350">
        <f>SP2D[[#This Row],[Pagu Semula]]-SP2D[[#This Row],[Pagu]]</f>
        <v>0</v>
      </c>
      <c r="U14" s="232">
        <f>SUM('PER BULAN'!J36:L36)</f>
        <v>0</v>
      </c>
      <c r="V14" s="232">
        <f>SUM('PER BULAN'!M36:O36)</f>
        <v>0</v>
      </c>
      <c r="W14" s="232">
        <f>SUM('PER BULAN'!P36:R36)</f>
        <v>7146000</v>
      </c>
      <c r="X14" s="232">
        <f>SUM('PER BULAN'!S36:U36)</f>
        <v>0</v>
      </c>
      <c r="Y14" s="232">
        <f>SUM('PER BULAN'!V36:X36)</f>
        <v>2391000</v>
      </c>
      <c r="Z14" s="232">
        <f>SUM('PER BULAN'!Y36:AA36)</f>
        <v>0</v>
      </c>
      <c r="AA14" s="232">
        <f>SUM('PER BULAN'!AB36:AD36)</f>
        <v>0</v>
      </c>
      <c r="AB14" s="232">
        <f>SUM('PER BULAN'!AE36:AG36)</f>
        <v>0</v>
      </c>
      <c r="AC14" s="232">
        <f>SUM('PER BULAN'!AH36:AJ36)</f>
        <v>0</v>
      </c>
      <c r="AD14" s="232">
        <f>SUM('PER BULAN'!AK36:AM36)</f>
        <v>0</v>
      </c>
      <c r="AE14" s="232">
        <f>SUM('PER BULAN'!AN36:AP36)</f>
        <v>0</v>
      </c>
      <c r="AF14" s="232">
        <f>SUM('PER BULAN'!AQ36:AS36)</f>
        <v>0</v>
      </c>
      <c r="AG14" s="218" t="s">
        <v>530</v>
      </c>
      <c r="AH14" s="218" t="s">
        <v>535</v>
      </c>
      <c r="AI14" s="218" t="s">
        <v>536</v>
      </c>
      <c r="AJ14" s="218" t="s">
        <v>3891</v>
      </c>
      <c r="AK14" s="218" t="s">
        <v>3892</v>
      </c>
      <c r="AL14" s="384">
        <f t="shared" si="0"/>
        <v>9537000</v>
      </c>
      <c r="AM14" s="231">
        <f t="shared" si="1"/>
        <v>31.790000000000003</v>
      </c>
      <c r="AN14" s="384">
        <f t="shared" si="2"/>
        <v>20463000</v>
      </c>
      <c r="AO14" s="231">
        <f t="shared" si="3"/>
        <v>68.210000000000008</v>
      </c>
      <c r="AP14" s="218" t="str">
        <f t="shared" si="4"/>
        <v>DL.2376.AFA.001.053.A.521811</v>
      </c>
      <c r="AQ14" s="218" t="str">
        <f>IF(ISNUMBER(SEARCH("COVID",SP2D[[#This Row],[Akun]])),"COVID","Non COVID")</f>
        <v>Non COVID</v>
      </c>
      <c r="AR1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 s="232">
        <f>SUM('PER BULAN'!BA36)</f>
        <v>0</v>
      </c>
      <c r="AU14" s="232">
        <f>SUM('PER BULAN'!BB36)</f>
        <v>4846000</v>
      </c>
      <c r="AV14" s="232">
        <f>SUM('PER BULAN'!BC36)</f>
        <v>2300000</v>
      </c>
      <c r="AW14" s="232">
        <f>SUM('PER BULAN'!BD36)</f>
        <v>0</v>
      </c>
      <c r="AX14" s="232">
        <f>SUM('PER BULAN'!BE36)</f>
        <v>0</v>
      </c>
      <c r="AY14" s="232">
        <f>SUM('PER BULAN'!BF36)</f>
        <v>0</v>
      </c>
      <c r="AZ14" s="232">
        <f>SUM('PER BULAN'!BG36)</f>
        <v>2391000</v>
      </c>
      <c r="BA14" s="232">
        <f>SUM('PER BULAN'!BH36)</f>
        <v>0</v>
      </c>
    </row>
    <row r="15" spans="1:53" s="219" customFormat="1" x14ac:dyDescent="0.25">
      <c r="A15" s="218" t="s">
        <v>3885</v>
      </c>
      <c r="B15" s="218" t="s">
        <v>3886</v>
      </c>
      <c r="C15" s="218" t="s">
        <v>3887</v>
      </c>
      <c r="D15" s="218" t="s">
        <v>3888</v>
      </c>
      <c r="E15" s="218" t="s">
        <v>196</v>
      </c>
      <c r="F15" s="218" t="s">
        <v>3898</v>
      </c>
      <c r="G15" s="218" t="s">
        <v>3889</v>
      </c>
      <c r="H15" s="218" t="s">
        <v>3899</v>
      </c>
      <c r="I15" s="218" t="s">
        <v>501</v>
      </c>
      <c r="J15" s="218" t="s">
        <v>3900</v>
      </c>
      <c r="K15" s="218" t="s">
        <v>523</v>
      </c>
      <c r="L15" s="218" t="s">
        <v>3906</v>
      </c>
      <c r="M15" s="218" t="s">
        <v>8</v>
      </c>
      <c r="N15" s="218" t="s">
        <v>3907</v>
      </c>
      <c r="O15" s="218" t="s">
        <v>516</v>
      </c>
      <c r="P15" s="218" t="s">
        <v>3893</v>
      </c>
      <c r="Q15" s="165" cm="1">
        <f t="array" ref="Q15">SUM(_xlfn._xlws.FILTER(DIPA2[PaguRevisi],DIPA2[Akun]=SP2D[[#This Row],[Kode Akun]],0))</f>
        <v>25200000</v>
      </c>
      <c r="R15" s="350">
        <v>25200000</v>
      </c>
      <c r="S15" s="350"/>
      <c r="T15" s="350">
        <f>SP2D[[#This Row],[Pagu Semula]]-SP2D[[#This Row],[Pagu]]</f>
        <v>0</v>
      </c>
      <c r="U15" s="232">
        <f>SUM('PER BULAN'!J37:L37)</f>
        <v>0</v>
      </c>
      <c r="V15" s="232">
        <f>SUM('PER BULAN'!M37:O37)</f>
        <v>0</v>
      </c>
      <c r="W15" s="232">
        <f>SUM('PER BULAN'!P37:R37)</f>
        <v>1800000</v>
      </c>
      <c r="X15" s="232">
        <f>SUM('PER BULAN'!S37:U37)</f>
        <v>0</v>
      </c>
      <c r="Y15" s="232">
        <f>SUM('PER BULAN'!V37:X37)</f>
        <v>0</v>
      </c>
      <c r="Z15" s="232">
        <f>SUM('PER BULAN'!Y37:AA37)</f>
        <v>7200000</v>
      </c>
      <c r="AA15" s="232">
        <f>SUM('PER BULAN'!AB37:AD37)</f>
        <v>0</v>
      </c>
      <c r="AB15" s="232">
        <f>SUM('PER BULAN'!AE37:AG37)</f>
        <v>0</v>
      </c>
      <c r="AC15" s="232">
        <f>SUM('PER BULAN'!AH37:AJ37)</f>
        <v>0</v>
      </c>
      <c r="AD15" s="232">
        <f>SUM('PER BULAN'!AK37:AM37)</f>
        <v>0</v>
      </c>
      <c r="AE15" s="232">
        <f>SUM('PER BULAN'!AN37:AP37)</f>
        <v>0</v>
      </c>
      <c r="AF15" s="232">
        <f>SUM('PER BULAN'!AQ37:AS37)</f>
        <v>0</v>
      </c>
      <c r="AG15" s="218" t="s">
        <v>530</v>
      </c>
      <c r="AH15" s="218" t="s">
        <v>535</v>
      </c>
      <c r="AI15" s="218" t="s">
        <v>536</v>
      </c>
      <c r="AJ15" s="218" t="s">
        <v>3891</v>
      </c>
      <c r="AK15" s="218" t="s">
        <v>3892</v>
      </c>
      <c r="AL15" s="384">
        <f t="shared" si="0"/>
        <v>9000000</v>
      </c>
      <c r="AM15" s="231">
        <f t="shared" si="1"/>
        <v>35.714285714285715</v>
      </c>
      <c r="AN15" s="384">
        <f t="shared" si="2"/>
        <v>16200000</v>
      </c>
      <c r="AO15" s="231">
        <f t="shared" si="3"/>
        <v>64.285714285714292</v>
      </c>
      <c r="AP15" s="218" t="str">
        <f t="shared" si="4"/>
        <v>DL.2376.AFA.001.053.A.522151</v>
      </c>
      <c r="AQ15" s="218" t="str">
        <f>IF(ISNUMBER(SEARCH("COVID",SP2D[[#This Row],[Akun]])),"COVID","Non COVID")</f>
        <v>Non COVID</v>
      </c>
      <c r="AR1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5" s="232">
        <f>SUM('PER BULAN'!BA37)</f>
        <v>0</v>
      </c>
      <c r="AU15" s="232">
        <f>SUM('PER BULAN'!BB37)</f>
        <v>1800000</v>
      </c>
      <c r="AV15" s="232">
        <f>SUM('PER BULAN'!BC37)</f>
        <v>0</v>
      </c>
      <c r="AW15" s="232">
        <f>SUM('PER BULAN'!BD37)</f>
        <v>0</v>
      </c>
      <c r="AX15" s="232">
        <f>SUM('PER BULAN'!BE37)</f>
        <v>0</v>
      </c>
      <c r="AY15" s="232">
        <f>SUM('PER BULAN'!BF37)</f>
        <v>0</v>
      </c>
      <c r="AZ15" s="232">
        <f>SUM('PER BULAN'!BG37)</f>
        <v>0</v>
      </c>
      <c r="BA15" s="232">
        <f>SUM('PER BULAN'!BH37)</f>
        <v>0</v>
      </c>
    </row>
    <row r="16" spans="1:53" s="219" customFormat="1" x14ac:dyDescent="0.25">
      <c r="A16" s="218" t="s">
        <v>3885</v>
      </c>
      <c r="B16" s="218" t="s">
        <v>3886</v>
      </c>
      <c r="C16" s="218" t="s">
        <v>3887</v>
      </c>
      <c r="D16" s="218" t="s">
        <v>3888</v>
      </c>
      <c r="E16" s="218" t="s">
        <v>196</v>
      </c>
      <c r="F16" s="218" t="s">
        <v>3898</v>
      </c>
      <c r="G16" s="218" t="s">
        <v>3889</v>
      </c>
      <c r="H16" s="218" t="s">
        <v>3899</v>
      </c>
      <c r="I16" s="218" t="s">
        <v>501</v>
      </c>
      <c r="J16" s="218" t="s">
        <v>3900</v>
      </c>
      <c r="K16" s="218" t="s">
        <v>523</v>
      </c>
      <c r="L16" s="218" t="s">
        <v>3906</v>
      </c>
      <c r="M16" s="218" t="s">
        <v>8</v>
      </c>
      <c r="N16" s="218" t="s">
        <v>3907</v>
      </c>
      <c r="O16" s="218" t="s">
        <v>518</v>
      </c>
      <c r="P16" s="218" t="s">
        <v>3895</v>
      </c>
      <c r="Q16" s="165" cm="1">
        <f t="array" ref="Q16">SUM(_xlfn._xlws.FILTER(DIPA2[PaguRevisi],DIPA2[Akun]=SP2D[[#This Row],[Kode Akun]],0))</f>
        <v>6000000</v>
      </c>
      <c r="R16" s="350">
        <v>6000000</v>
      </c>
      <c r="S16" s="350"/>
      <c r="T16" s="350">
        <f>SP2D[[#This Row],[Pagu Semula]]-SP2D[[#This Row],[Pagu]]</f>
        <v>0</v>
      </c>
      <c r="U16" s="232">
        <f>SUM('PER BULAN'!J38:L38)</f>
        <v>0</v>
      </c>
      <c r="V16" s="232">
        <f>SUM('PER BULAN'!M38:O38)</f>
        <v>0</v>
      </c>
      <c r="W16" s="232">
        <f>SUM('PER BULAN'!P38:R38)</f>
        <v>0</v>
      </c>
      <c r="X16" s="232">
        <f>SUM('PER BULAN'!S38:U38)</f>
        <v>0</v>
      </c>
      <c r="Y16" s="232">
        <f>SUM('PER BULAN'!V38:X38)</f>
        <v>0</v>
      </c>
      <c r="Z16" s="232">
        <f>SUM('PER BULAN'!Y38:AA38)</f>
        <v>0</v>
      </c>
      <c r="AA16" s="232">
        <f>SUM('PER BULAN'!AB38:AD38)</f>
        <v>0</v>
      </c>
      <c r="AB16" s="232">
        <f>SUM('PER BULAN'!AE38:AG38)</f>
        <v>0</v>
      </c>
      <c r="AC16" s="232">
        <f>SUM('PER BULAN'!AH38:AJ38)</f>
        <v>0</v>
      </c>
      <c r="AD16" s="232">
        <f>SUM('PER BULAN'!AK38:AM38)</f>
        <v>0</v>
      </c>
      <c r="AE16" s="232">
        <f>SUM('PER BULAN'!AN38:AP38)</f>
        <v>0</v>
      </c>
      <c r="AF16" s="232">
        <f>SUM('PER BULAN'!AQ38:AS38)</f>
        <v>0</v>
      </c>
      <c r="AG16" s="218" t="s">
        <v>530</v>
      </c>
      <c r="AH16" s="218" t="s">
        <v>535</v>
      </c>
      <c r="AI16" s="218" t="s">
        <v>536</v>
      </c>
      <c r="AJ16" s="218" t="s">
        <v>3891</v>
      </c>
      <c r="AK16" s="218" t="s">
        <v>3892</v>
      </c>
      <c r="AL16" s="384">
        <f t="shared" si="0"/>
        <v>0</v>
      </c>
      <c r="AM16" s="231">
        <f t="shared" si="1"/>
        <v>0</v>
      </c>
      <c r="AN16" s="384">
        <f t="shared" si="2"/>
        <v>6000000</v>
      </c>
      <c r="AO16" s="231">
        <f t="shared" si="3"/>
        <v>100</v>
      </c>
      <c r="AP16" s="218" t="str">
        <f t="shared" si="4"/>
        <v>DL.2376.AFA.001.053.A.522192</v>
      </c>
      <c r="AQ16" s="218" t="str">
        <f>IF(ISNUMBER(SEARCH("COVID",SP2D[[#This Row],[Akun]])),"COVID","Non COVID")</f>
        <v>COVID</v>
      </c>
      <c r="AR1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6" s="232">
        <f>SUM('PER BULAN'!BA38)</f>
        <v>0</v>
      </c>
      <c r="AU16" s="232">
        <f>SUM('PER BULAN'!BB38)</f>
        <v>0</v>
      </c>
      <c r="AV16" s="232">
        <f>SUM('PER BULAN'!BC38)</f>
        <v>0</v>
      </c>
      <c r="AW16" s="232">
        <f>SUM('PER BULAN'!BD38)</f>
        <v>0</v>
      </c>
      <c r="AX16" s="232">
        <f>SUM('PER BULAN'!BE38)</f>
        <v>0</v>
      </c>
      <c r="AY16" s="232">
        <f>SUM('PER BULAN'!BF38)</f>
        <v>0</v>
      </c>
      <c r="AZ16" s="232">
        <f>SUM('PER BULAN'!BG38)</f>
        <v>0</v>
      </c>
      <c r="BA16" s="232">
        <f>SUM('PER BULAN'!BH38)</f>
        <v>0</v>
      </c>
    </row>
    <row r="17" spans="1:53" s="219" customFormat="1" x14ac:dyDescent="0.25">
      <c r="A17" s="218" t="s">
        <v>3885</v>
      </c>
      <c r="B17" s="218" t="s">
        <v>3886</v>
      </c>
      <c r="C17" s="218" t="s">
        <v>3887</v>
      </c>
      <c r="D17" s="218" t="s">
        <v>3888</v>
      </c>
      <c r="E17" s="218" t="s">
        <v>196</v>
      </c>
      <c r="F17" s="218" t="s">
        <v>3898</v>
      </c>
      <c r="G17" s="218" t="s">
        <v>3889</v>
      </c>
      <c r="H17" s="218" t="s">
        <v>3899</v>
      </c>
      <c r="I17" s="218" t="s">
        <v>501</v>
      </c>
      <c r="J17" s="218" t="s">
        <v>3900</v>
      </c>
      <c r="K17" s="218" t="s">
        <v>523</v>
      </c>
      <c r="L17" s="218" t="s">
        <v>3906</v>
      </c>
      <c r="M17" s="218" t="s">
        <v>8</v>
      </c>
      <c r="N17" s="218" t="s">
        <v>3907</v>
      </c>
      <c r="O17" s="218" t="s">
        <v>513</v>
      </c>
      <c r="P17" s="218" t="s">
        <v>3894</v>
      </c>
      <c r="Q17" s="165" cm="1">
        <f t="array" ref="Q17">SUM(_xlfn._xlws.FILTER(DIPA2[PaguRevisi],DIPA2[Akun]=SP2D[[#This Row],[Kode Akun]],0))</f>
        <v>253324000</v>
      </c>
      <c r="R17" s="350">
        <v>253324000</v>
      </c>
      <c r="S17" s="350"/>
      <c r="T17" s="350">
        <f>SP2D[[#This Row],[Pagu Semula]]-SP2D[[#This Row],[Pagu]]</f>
        <v>0</v>
      </c>
      <c r="U17" s="232">
        <f>SUM('PER BULAN'!J39:L39)</f>
        <v>0</v>
      </c>
      <c r="V17" s="232">
        <f>SUM('PER BULAN'!M39:O39)</f>
        <v>0</v>
      </c>
      <c r="W17" s="232">
        <f>SUM('PER BULAN'!P39:R39)</f>
        <v>10610000</v>
      </c>
      <c r="X17" s="232">
        <f>SUM('PER BULAN'!S39:U39)</f>
        <v>6180000</v>
      </c>
      <c r="Y17" s="232">
        <f>SUM('PER BULAN'!V39:X39)</f>
        <v>930000</v>
      </c>
      <c r="Z17" s="232">
        <f>SUM('PER BULAN'!Y39:AA39)</f>
        <v>15508650</v>
      </c>
      <c r="AA17" s="232">
        <f>SUM('PER BULAN'!AB39:AD39)</f>
        <v>0</v>
      </c>
      <c r="AB17" s="232">
        <f>SUM('PER BULAN'!AE39:AG39)</f>
        <v>0</v>
      </c>
      <c r="AC17" s="232">
        <f>SUM('PER BULAN'!AH39:AJ39)</f>
        <v>0</v>
      </c>
      <c r="AD17" s="232">
        <f>SUM('PER BULAN'!AK39:AM39)</f>
        <v>0</v>
      </c>
      <c r="AE17" s="232">
        <f>SUM('PER BULAN'!AN39:AP39)</f>
        <v>0</v>
      </c>
      <c r="AF17" s="232">
        <f>SUM('PER BULAN'!AQ39:AS39)</f>
        <v>0</v>
      </c>
      <c r="AG17" s="218" t="s">
        <v>530</v>
      </c>
      <c r="AH17" s="218" t="s">
        <v>535</v>
      </c>
      <c r="AI17" s="218" t="s">
        <v>536</v>
      </c>
      <c r="AJ17" s="218" t="s">
        <v>3891</v>
      </c>
      <c r="AK17" s="218" t="s">
        <v>3892</v>
      </c>
      <c r="AL17" s="384">
        <f t="shared" si="0"/>
        <v>33228650</v>
      </c>
      <c r="AM17" s="231">
        <f t="shared" si="1"/>
        <v>13.117055628365257</v>
      </c>
      <c r="AN17" s="384">
        <f t="shared" si="2"/>
        <v>220095350</v>
      </c>
      <c r="AO17" s="231">
        <f t="shared" si="3"/>
        <v>86.882944371634736</v>
      </c>
      <c r="AP17" s="218" t="str">
        <f t="shared" si="4"/>
        <v>DL.2376.AFA.001.053.A.524111</v>
      </c>
      <c r="AQ17" s="218" t="str">
        <f>IF(ISNUMBER(SEARCH("COVID",SP2D[[#This Row],[Akun]])),"COVID","Non COVID")</f>
        <v>Non COVID</v>
      </c>
      <c r="AR1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7" s="232">
        <f>SUM('PER BULAN'!BA39)</f>
        <v>0</v>
      </c>
      <c r="AU17" s="232">
        <f>SUM('PER BULAN'!BB39)</f>
        <v>7130000</v>
      </c>
      <c r="AV17" s="232">
        <f>SUM('PER BULAN'!BC39)</f>
        <v>3480000</v>
      </c>
      <c r="AW17" s="232">
        <f>SUM('PER BULAN'!BD39)</f>
        <v>0</v>
      </c>
      <c r="AX17" s="232">
        <f>SUM('PER BULAN'!BE39)</f>
        <v>0</v>
      </c>
      <c r="AY17" s="232">
        <f>SUM('PER BULAN'!BF39)</f>
        <v>0</v>
      </c>
      <c r="AZ17" s="232">
        <f>SUM('PER BULAN'!BG39)</f>
        <v>0</v>
      </c>
      <c r="BA17" s="232">
        <f>SUM('PER BULAN'!BH39)</f>
        <v>0</v>
      </c>
    </row>
    <row r="18" spans="1:53" s="219" customFormat="1" x14ac:dyDescent="0.25">
      <c r="A18" s="218" t="s">
        <v>3885</v>
      </c>
      <c r="B18" s="218" t="s">
        <v>3886</v>
      </c>
      <c r="C18" s="218" t="s">
        <v>3887</v>
      </c>
      <c r="D18" s="218" t="s">
        <v>3888</v>
      </c>
      <c r="E18" s="218" t="s">
        <v>196</v>
      </c>
      <c r="F18" s="218" t="s">
        <v>3898</v>
      </c>
      <c r="G18" s="218" t="s">
        <v>3889</v>
      </c>
      <c r="H18" s="218" t="s">
        <v>3899</v>
      </c>
      <c r="I18" s="218" t="s">
        <v>501</v>
      </c>
      <c r="J18" s="218" t="s">
        <v>3900</v>
      </c>
      <c r="K18" s="218" t="s">
        <v>523</v>
      </c>
      <c r="L18" s="218" t="s">
        <v>3906</v>
      </c>
      <c r="M18" s="218" t="s">
        <v>8</v>
      </c>
      <c r="N18" s="218" t="s">
        <v>3907</v>
      </c>
      <c r="O18" s="218" t="s">
        <v>507</v>
      </c>
      <c r="P18" s="218" t="s">
        <v>508</v>
      </c>
      <c r="Q18" s="165" cm="1">
        <f t="array" ref="Q18">SUM(_xlfn._xlws.FILTER(DIPA2[PaguRevisi],DIPA2[Akun]=SP2D[[#This Row],[Kode Akun]],0))</f>
        <v>1500000</v>
      </c>
      <c r="R18" s="350">
        <v>1500000</v>
      </c>
      <c r="S18" s="350"/>
      <c r="T18" s="350">
        <f>SP2D[[#This Row],[Pagu Semula]]-SP2D[[#This Row],[Pagu]]</f>
        <v>0</v>
      </c>
      <c r="U18" s="232">
        <f>SUM('PER BULAN'!J40:L40)</f>
        <v>0</v>
      </c>
      <c r="V18" s="232">
        <f>SUM('PER BULAN'!M40:O40)</f>
        <v>0</v>
      </c>
      <c r="W18" s="232">
        <f>SUM('PER BULAN'!P40:R40)</f>
        <v>0</v>
      </c>
      <c r="X18" s="232">
        <f>SUM('PER BULAN'!S40:U40)</f>
        <v>0</v>
      </c>
      <c r="Y18" s="232">
        <f>SUM('PER BULAN'!V40:X40)</f>
        <v>0</v>
      </c>
      <c r="Z18" s="232">
        <f>SUM('PER BULAN'!Y40:AA40)</f>
        <v>0</v>
      </c>
      <c r="AA18" s="232">
        <f>SUM('PER BULAN'!AB40:AD40)</f>
        <v>0</v>
      </c>
      <c r="AB18" s="232">
        <f>SUM('PER BULAN'!AE40:AG40)</f>
        <v>0</v>
      </c>
      <c r="AC18" s="232">
        <f>SUM('PER BULAN'!AH40:AJ40)</f>
        <v>0</v>
      </c>
      <c r="AD18" s="232">
        <f>SUM('PER BULAN'!AK40:AM40)</f>
        <v>0</v>
      </c>
      <c r="AE18" s="232">
        <f>SUM('PER BULAN'!AN40:AP40)</f>
        <v>0</v>
      </c>
      <c r="AF18" s="232">
        <f>SUM('PER BULAN'!AQ40:AS40)</f>
        <v>0</v>
      </c>
      <c r="AG18" s="218" t="s">
        <v>530</v>
      </c>
      <c r="AH18" s="218" t="s">
        <v>535</v>
      </c>
      <c r="AI18" s="218" t="s">
        <v>536</v>
      </c>
      <c r="AJ18" s="218" t="s">
        <v>3891</v>
      </c>
      <c r="AK18" s="218" t="s">
        <v>3892</v>
      </c>
      <c r="AL18" s="384">
        <f t="shared" si="0"/>
        <v>0</v>
      </c>
      <c r="AM18" s="231">
        <f t="shared" si="1"/>
        <v>0</v>
      </c>
      <c r="AN18" s="384">
        <f t="shared" si="2"/>
        <v>1500000</v>
      </c>
      <c r="AO18" s="231">
        <f t="shared" si="3"/>
        <v>100</v>
      </c>
      <c r="AP18" s="218" t="str">
        <f t="shared" si="4"/>
        <v>DL.2376.AFA.001.053.A.524113</v>
      </c>
      <c r="AQ18" s="218" t="str">
        <f>IF(ISNUMBER(SEARCH("COVID",SP2D[[#This Row],[Akun]])),"COVID","Non COVID")</f>
        <v>Non COVID</v>
      </c>
      <c r="AR1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1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8" s="232">
        <f>SUM('PER BULAN'!BA40)</f>
        <v>0</v>
      </c>
      <c r="AU18" s="232">
        <f>SUM('PER BULAN'!BB40)</f>
        <v>0</v>
      </c>
      <c r="AV18" s="232">
        <f>SUM('PER BULAN'!BC40)</f>
        <v>0</v>
      </c>
      <c r="AW18" s="232">
        <f>SUM('PER BULAN'!BD40)</f>
        <v>0</v>
      </c>
      <c r="AX18" s="232">
        <f>SUM('PER BULAN'!BE40)</f>
        <v>0</v>
      </c>
      <c r="AY18" s="232">
        <f>SUM('PER BULAN'!BF40)</f>
        <v>0</v>
      </c>
      <c r="AZ18" s="232">
        <f>SUM('PER BULAN'!BG40)</f>
        <v>0</v>
      </c>
      <c r="BA18" s="232">
        <f>SUM('PER BULAN'!BH40)</f>
        <v>0</v>
      </c>
    </row>
    <row r="19" spans="1:53" s="219" customFormat="1" x14ac:dyDescent="0.25">
      <c r="A19" s="218" t="s">
        <v>3885</v>
      </c>
      <c r="B19" s="218" t="s">
        <v>3886</v>
      </c>
      <c r="C19" s="218" t="s">
        <v>3887</v>
      </c>
      <c r="D19" s="218" t="s">
        <v>3888</v>
      </c>
      <c r="E19" s="218" t="s">
        <v>196</v>
      </c>
      <c r="F19" s="218" t="s">
        <v>3898</v>
      </c>
      <c r="G19" s="218" t="s">
        <v>3889</v>
      </c>
      <c r="H19" s="218" t="s">
        <v>3899</v>
      </c>
      <c r="I19" s="218" t="s">
        <v>501</v>
      </c>
      <c r="J19" s="218" t="s">
        <v>3900</v>
      </c>
      <c r="K19" s="218" t="s">
        <v>523</v>
      </c>
      <c r="L19" s="218" t="s">
        <v>3906</v>
      </c>
      <c r="M19" s="218" t="s">
        <v>511</v>
      </c>
      <c r="N19" s="218" t="s">
        <v>3909</v>
      </c>
      <c r="O19" s="218">
        <v>521211</v>
      </c>
      <c r="P19" s="218" t="s">
        <v>3890</v>
      </c>
      <c r="Q19" s="165" cm="1">
        <f t="array" ref="Q19">SUM(_xlfn._xlws.FILTER(DIPA2[PaguRevisi],DIPA2[Akun]=SP2D[[#This Row],[Kode Akun]],0))</f>
        <v>71456000</v>
      </c>
      <c r="R19" s="350">
        <v>71456000</v>
      </c>
      <c r="S19" s="350"/>
      <c r="T19" s="350">
        <f>SP2D[[#This Row],[Pagu Semula]]-SP2D[[#This Row],[Pagu]]</f>
        <v>0</v>
      </c>
      <c r="U19" s="232">
        <f>SUM('PER BULAN'!J42:L42)</f>
        <v>0</v>
      </c>
      <c r="V19" s="232">
        <f>SUM('PER BULAN'!M42:O42)</f>
        <v>0</v>
      </c>
      <c r="W19" s="232">
        <f>SUM('PER BULAN'!P42:R42)</f>
        <v>0</v>
      </c>
      <c r="X19" s="232">
        <f>SUM('PER BULAN'!S42:U42)</f>
        <v>0</v>
      </c>
      <c r="Y19" s="232">
        <f>SUM('PER BULAN'!V42:X42)</f>
        <v>10438550</v>
      </c>
      <c r="Z19" s="232">
        <f>SUM('PER BULAN'!Y42:AA42)</f>
        <v>0</v>
      </c>
      <c r="AA19" s="232">
        <f>SUM('PER BULAN'!AB42:AD42)</f>
        <v>0</v>
      </c>
      <c r="AB19" s="232">
        <f>SUM('PER BULAN'!AE42:AG42)</f>
        <v>0</v>
      </c>
      <c r="AC19" s="232">
        <f>SUM('PER BULAN'!AH42:AJ42)</f>
        <v>0</v>
      </c>
      <c r="AD19" s="232">
        <f>SUM('PER BULAN'!AK42:AM42)</f>
        <v>0</v>
      </c>
      <c r="AE19" s="232">
        <f>SUM('PER BULAN'!AN42:AP42)</f>
        <v>0</v>
      </c>
      <c r="AF19" s="232">
        <f>SUM('PER BULAN'!AQ42:AS42)</f>
        <v>0</v>
      </c>
      <c r="AG19" s="218" t="s">
        <v>530</v>
      </c>
      <c r="AH19" s="218" t="s">
        <v>535</v>
      </c>
      <c r="AI19" s="218" t="s">
        <v>536</v>
      </c>
      <c r="AJ19" s="218" t="s">
        <v>3891</v>
      </c>
      <c r="AK19" s="218" t="s">
        <v>3892</v>
      </c>
      <c r="AL19" s="384">
        <f t="shared" si="0"/>
        <v>10438550</v>
      </c>
      <c r="AM19" s="231">
        <f t="shared" si="1"/>
        <v>14.60836038961039</v>
      </c>
      <c r="AN19" s="384">
        <f t="shared" si="2"/>
        <v>61017450</v>
      </c>
      <c r="AO19" s="231">
        <f t="shared" si="3"/>
        <v>85.391639610389618</v>
      </c>
      <c r="AP19" s="218" t="str">
        <f t="shared" si="4"/>
        <v>DL.2376.AFA.001.053.B.521211</v>
      </c>
      <c r="AQ19" s="218" t="str">
        <f>IF(ISNUMBER(SEARCH("COVID",SP2D[[#This Row],[Akun]])),"COVID","Non COVID")</f>
        <v>Non COVID</v>
      </c>
      <c r="AR1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9" s="232">
        <f>SUM('PER BULAN'!BA42)</f>
        <v>0</v>
      </c>
      <c r="AU19" s="232">
        <f>SUM('PER BULAN'!BB42)</f>
        <v>0</v>
      </c>
      <c r="AV19" s="232">
        <f>SUM('PER BULAN'!BC42)</f>
        <v>0</v>
      </c>
      <c r="AW19" s="232">
        <f>SUM('PER BULAN'!BD42)</f>
        <v>0</v>
      </c>
      <c r="AX19" s="232">
        <f>SUM('PER BULAN'!BE42)</f>
        <v>0</v>
      </c>
      <c r="AY19" s="232">
        <f>SUM('PER BULAN'!BF42)</f>
        <v>0</v>
      </c>
      <c r="AZ19" s="232">
        <f>SUM('PER BULAN'!BG42)</f>
        <v>10438550</v>
      </c>
      <c r="BA19" s="232">
        <f>SUM('PER BULAN'!BH42)</f>
        <v>0</v>
      </c>
    </row>
    <row r="20" spans="1:53" s="219" customFormat="1" x14ac:dyDescent="0.25">
      <c r="A20" s="218" t="s">
        <v>3885</v>
      </c>
      <c r="B20" s="218" t="s">
        <v>3886</v>
      </c>
      <c r="C20" s="218" t="s">
        <v>3887</v>
      </c>
      <c r="D20" s="218" t="s">
        <v>3888</v>
      </c>
      <c r="E20" s="218" t="s">
        <v>196</v>
      </c>
      <c r="F20" s="218" t="s">
        <v>3898</v>
      </c>
      <c r="G20" s="218" t="s">
        <v>3889</v>
      </c>
      <c r="H20" s="218" t="s">
        <v>3899</v>
      </c>
      <c r="I20" s="218" t="s">
        <v>501</v>
      </c>
      <c r="J20" s="218" t="s">
        <v>3900</v>
      </c>
      <c r="K20" s="218" t="s">
        <v>523</v>
      </c>
      <c r="L20" s="218" t="s">
        <v>3906</v>
      </c>
      <c r="M20" s="218" t="s">
        <v>511</v>
      </c>
      <c r="N20" s="218" t="s">
        <v>3909</v>
      </c>
      <c r="O20" s="218">
        <v>521219</v>
      </c>
      <c r="P20" s="218" t="s">
        <v>3903</v>
      </c>
      <c r="Q20" s="165" cm="1">
        <f t="array" ref="Q20">SUM(_xlfn._xlws.FILTER(DIPA2[PaguRevisi],DIPA2[Akun]=SP2D[[#This Row],[Kode Akun]],0))</f>
        <v>5000000</v>
      </c>
      <c r="R20" s="350">
        <v>5000000</v>
      </c>
      <c r="S20" s="350"/>
      <c r="T20" s="350">
        <f>SP2D[[#This Row],[Pagu Semula]]-SP2D[[#This Row],[Pagu]]</f>
        <v>0</v>
      </c>
      <c r="U20" s="232">
        <f>SUM('PER BULAN'!J43:L43)</f>
        <v>0</v>
      </c>
      <c r="V20" s="232">
        <f>SUM('PER BULAN'!M43:O43)</f>
        <v>0</v>
      </c>
      <c r="W20" s="232">
        <f>SUM('PER BULAN'!P43:R43)</f>
        <v>0</v>
      </c>
      <c r="X20" s="232">
        <f>SUM('PER BULAN'!S43:U43)</f>
        <v>0</v>
      </c>
      <c r="Y20" s="232">
        <f>SUM('PER BULAN'!V43:X43)</f>
        <v>4262850</v>
      </c>
      <c r="Z20" s="232">
        <f>SUM('PER BULAN'!Y43:AA43)</f>
        <v>0</v>
      </c>
      <c r="AA20" s="232">
        <f>SUM('PER BULAN'!AB43:AD43)</f>
        <v>0</v>
      </c>
      <c r="AB20" s="232">
        <f>SUM('PER BULAN'!AE43:AG43)</f>
        <v>0</v>
      </c>
      <c r="AC20" s="232">
        <f>SUM('PER BULAN'!AH43:AJ43)</f>
        <v>0</v>
      </c>
      <c r="AD20" s="232">
        <f>SUM('PER BULAN'!AK43:AM43)</f>
        <v>0</v>
      </c>
      <c r="AE20" s="232">
        <f>SUM('PER BULAN'!AN43:AP43)</f>
        <v>0</v>
      </c>
      <c r="AF20" s="232">
        <f>SUM('PER BULAN'!AQ43:AS43)</f>
        <v>0</v>
      </c>
      <c r="AG20" s="218" t="s">
        <v>530</v>
      </c>
      <c r="AH20" s="218" t="s">
        <v>535</v>
      </c>
      <c r="AI20" s="218" t="s">
        <v>536</v>
      </c>
      <c r="AJ20" s="218" t="s">
        <v>3891</v>
      </c>
      <c r="AK20" s="218" t="s">
        <v>3892</v>
      </c>
      <c r="AL20" s="384">
        <f t="shared" si="0"/>
        <v>4262850</v>
      </c>
      <c r="AM20" s="231">
        <f t="shared" si="1"/>
        <v>85.257000000000005</v>
      </c>
      <c r="AN20" s="384">
        <f t="shared" si="2"/>
        <v>737150</v>
      </c>
      <c r="AO20" s="231">
        <f t="shared" si="3"/>
        <v>14.743</v>
      </c>
      <c r="AP20" s="218" t="str">
        <f t="shared" si="4"/>
        <v>DL.2376.AFA.001.053.B.521219</v>
      </c>
      <c r="AQ20" s="218" t="str">
        <f>IF(ISNUMBER(SEARCH("COVID",SP2D[[#This Row],[Akun]])),"COVID","Non COVID")</f>
        <v>Non COVID</v>
      </c>
      <c r="AR2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2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0" s="232">
        <f>SUM('PER BULAN'!BA43)</f>
        <v>0</v>
      </c>
      <c r="AU20" s="232">
        <f>SUM('PER BULAN'!BB43)</f>
        <v>0</v>
      </c>
      <c r="AV20" s="232">
        <f>SUM('PER BULAN'!BC43)</f>
        <v>0</v>
      </c>
      <c r="AW20" s="232">
        <f>SUM('PER BULAN'!BD43)</f>
        <v>0</v>
      </c>
      <c r="AX20" s="232">
        <f>SUM('PER BULAN'!BE43)</f>
        <v>0</v>
      </c>
      <c r="AY20" s="232">
        <f>SUM('PER BULAN'!BF43)</f>
        <v>302850</v>
      </c>
      <c r="AZ20" s="232">
        <f>SUM('PER BULAN'!BG43)</f>
        <v>3960000</v>
      </c>
      <c r="BA20" s="232">
        <f>SUM('PER BULAN'!BH43)</f>
        <v>0</v>
      </c>
    </row>
    <row r="21" spans="1:53" s="219" customFormat="1" x14ac:dyDescent="0.25">
      <c r="A21" s="218" t="s">
        <v>3885</v>
      </c>
      <c r="B21" s="218" t="s">
        <v>3886</v>
      </c>
      <c r="C21" s="218" t="s">
        <v>3887</v>
      </c>
      <c r="D21" s="218" t="s">
        <v>3888</v>
      </c>
      <c r="E21" s="218" t="s">
        <v>196</v>
      </c>
      <c r="F21" s="218" t="s">
        <v>3898</v>
      </c>
      <c r="G21" s="218" t="s">
        <v>3889</v>
      </c>
      <c r="H21" s="218" t="s">
        <v>3899</v>
      </c>
      <c r="I21" s="218" t="s">
        <v>501</v>
      </c>
      <c r="J21" s="218" t="s">
        <v>3900</v>
      </c>
      <c r="K21" s="218" t="s">
        <v>523</v>
      </c>
      <c r="L21" s="218" t="s">
        <v>3906</v>
      </c>
      <c r="M21" s="218" t="s">
        <v>511</v>
      </c>
      <c r="N21" s="218" t="s">
        <v>3909</v>
      </c>
      <c r="O21" s="218">
        <v>521811</v>
      </c>
      <c r="P21" s="218" t="s">
        <v>3908</v>
      </c>
      <c r="Q21" s="165" cm="1">
        <f t="array" ref="Q21">SUM(_xlfn._xlws.FILTER(DIPA2[PaguRevisi],DIPA2[Akun]=SP2D[[#This Row],[Kode Akun]],0))</f>
        <v>15000000</v>
      </c>
      <c r="R21" s="350">
        <v>15000000</v>
      </c>
      <c r="S21" s="350"/>
      <c r="T21" s="350">
        <f>SP2D[[#This Row],[Pagu Semula]]-SP2D[[#This Row],[Pagu]]</f>
        <v>0</v>
      </c>
      <c r="U21" s="232">
        <f>SUM('PER BULAN'!J44:L44)</f>
        <v>0</v>
      </c>
      <c r="V21" s="232">
        <f>SUM('PER BULAN'!M44:O44)</f>
        <v>0</v>
      </c>
      <c r="W21" s="232">
        <f>SUM('PER BULAN'!P44:R44)</f>
        <v>0</v>
      </c>
      <c r="X21" s="232">
        <f>SUM('PER BULAN'!S44:U44)</f>
        <v>0</v>
      </c>
      <c r="Y21" s="232">
        <f>SUM('PER BULAN'!V44:X44)</f>
        <v>2453500</v>
      </c>
      <c r="Z21" s="232">
        <f>SUM('PER BULAN'!Y44:AA44)</f>
        <v>0</v>
      </c>
      <c r="AA21" s="232">
        <f>SUM('PER BULAN'!AB44:AD44)</f>
        <v>0</v>
      </c>
      <c r="AB21" s="232">
        <f>SUM('PER BULAN'!AE44:AG44)</f>
        <v>0</v>
      </c>
      <c r="AC21" s="232">
        <f>SUM('PER BULAN'!AH44:AJ44)</f>
        <v>0</v>
      </c>
      <c r="AD21" s="232">
        <f>SUM('PER BULAN'!AK44:AM44)</f>
        <v>0</v>
      </c>
      <c r="AE21" s="232">
        <f>SUM('PER BULAN'!AN44:AP44)</f>
        <v>0</v>
      </c>
      <c r="AF21" s="232">
        <f>SUM('PER BULAN'!AQ44:AS44)</f>
        <v>0</v>
      </c>
      <c r="AG21" s="218" t="s">
        <v>530</v>
      </c>
      <c r="AH21" s="218" t="s">
        <v>535</v>
      </c>
      <c r="AI21" s="218" t="s">
        <v>536</v>
      </c>
      <c r="AJ21" s="218" t="s">
        <v>3891</v>
      </c>
      <c r="AK21" s="218" t="s">
        <v>3892</v>
      </c>
      <c r="AL21" s="384">
        <f t="shared" si="0"/>
        <v>2453500</v>
      </c>
      <c r="AM21" s="231">
        <f t="shared" si="1"/>
        <v>16.356666666666666</v>
      </c>
      <c r="AN21" s="384">
        <f t="shared" si="2"/>
        <v>12546500</v>
      </c>
      <c r="AO21" s="231">
        <f t="shared" si="3"/>
        <v>83.643333333333331</v>
      </c>
      <c r="AP21" s="218" t="str">
        <f t="shared" si="4"/>
        <v>DL.2376.AFA.001.053.B.521811</v>
      </c>
      <c r="AQ21" s="218" t="str">
        <f>IF(ISNUMBER(SEARCH("COVID",SP2D[[#This Row],[Akun]])),"COVID","Non COVID")</f>
        <v>Non COVID</v>
      </c>
      <c r="AR2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2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1" s="232">
        <f>SUM('PER BULAN'!BA44)</f>
        <v>0</v>
      </c>
      <c r="AU21" s="232">
        <f>SUM('PER BULAN'!BB44)</f>
        <v>0</v>
      </c>
      <c r="AV21" s="232">
        <f>SUM('PER BULAN'!BC44)</f>
        <v>0</v>
      </c>
      <c r="AW21" s="232">
        <f>SUM('PER BULAN'!BD44)</f>
        <v>0</v>
      </c>
      <c r="AX21" s="232">
        <f>SUM('PER BULAN'!BE44)</f>
        <v>0</v>
      </c>
      <c r="AY21" s="232">
        <f>SUM('PER BULAN'!BF44)</f>
        <v>0</v>
      </c>
      <c r="AZ21" s="232">
        <f>SUM('PER BULAN'!BG44)</f>
        <v>2453500</v>
      </c>
      <c r="BA21" s="232">
        <f>SUM('PER BULAN'!BH44)</f>
        <v>0</v>
      </c>
    </row>
    <row r="22" spans="1:53" s="219" customFormat="1" x14ac:dyDescent="0.25">
      <c r="A22" s="218" t="s">
        <v>3885</v>
      </c>
      <c r="B22" s="218" t="s">
        <v>3886</v>
      </c>
      <c r="C22" s="218" t="s">
        <v>3887</v>
      </c>
      <c r="D22" s="218" t="s">
        <v>3888</v>
      </c>
      <c r="E22" s="218" t="s">
        <v>196</v>
      </c>
      <c r="F22" s="218" t="s">
        <v>3898</v>
      </c>
      <c r="G22" s="218" t="s">
        <v>3889</v>
      </c>
      <c r="H22" s="218" t="s">
        <v>3899</v>
      </c>
      <c r="I22" s="218" t="s">
        <v>501</v>
      </c>
      <c r="J22" s="218" t="s">
        <v>3900</v>
      </c>
      <c r="K22" s="218" t="s">
        <v>523</v>
      </c>
      <c r="L22" s="218" t="s">
        <v>3906</v>
      </c>
      <c r="M22" s="218" t="s">
        <v>511</v>
      </c>
      <c r="N22" s="218" t="s">
        <v>3909</v>
      </c>
      <c r="O22" s="218">
        <v>522151</v>
      </c>
      <c r="P22" s="218" t="s">
        <v>3893</v>
      </c>
      <c r="Q22" s="165" cm="1">
        <f t="array" ref="Q22">SUM(_xlfn._xlws.FILTER(DIPA2[PaguRevisi],DIPA2[Akun]=SP2D[[#This Row],[Kode Akun]],0))</f>
        <v>16200000</v>
      </c>
      <c r="R22" s="350">
        <v>16200000</v>
      </c>
      <c r="S22" s="350"/>
      <c r="T22" s="350">
        <f>SP2D[[#This Row],[Pagu Semula]]-SP2D[[#This Row],[Pagu]]</f>
        <v>0</v>
      </c>
      <c r="U22" s="232">
        <f>SUM('PER BULAN'!J45:L45)</f>
        <v>0</v>
      </c>
      <c r="V22" s="232">
        <f>SUM('PER BULAN'!M45:O45)</f>
        <v>0</v>
      </c>
      <c r="W22" s="232">
        <f>SUM('PER BULAN'!P45:R45)</f>
        <v>0</v>
      </c>
      <c r="X22" s="232">
        <f>SUM('PER BULAN'!S45:U45)</f>
        <v>0</v>
      </c>
      <c r="Y22" s="232">
        <f>SUM('PER BULAN'!V45:X45)</f>
        <v>6300000</v>
      </c>
      <c r="Z22" s="232">
        <f>SUM('PER BULAN'!Y45:AA45)</f>
        <v>0</v>
      </c>
      <c r="AA22" s="232">
        <f>SUM('PER BULAN'!AB45:AD45)</f>
        <v>0</v>
      </c>
      <c r="AB22" s="232">
        <f>SUM('PER BULAN'!AE45:AG45)</f>
        <v>0</v>
      </c>
      <c r="AC22" s="232">
        <f>SUM('PER BULAN'!AH45:AJ45)</f>
        <v>0</v>
      </c>
      <c r="AD22" s="232">
        <f>SUM('PER BULAN'!AK45:AM45)</f>
        <v>0</v>
      </c>
      <c r="AE22" s="232">
        <f>SUM('PER BULAN'!AN45:AP45)</f>
        <v>0</v>
      </c>
      <c r="AF22" s="232">
        <f>SUM('PER BULAN'!AQ45:AS45)</f>
        <v>0</v>
      </c>
      <c r="AG22" s="218" t="s">
        <v>530</v>
      </c>
      <c r="AH22" s="218" t="s">
        <v>535</v>
      </c>
      <c r="AI22" s="218" t="s">
        <v>536</v>
      </c>
      <c r="AJ22" s="218" t="s">
        <v>3891</v>
      </c>
      <c r="AK22" s="218" t="s">
        <v>3892</v>
      </c>
      <c r="AL22" s="384">
        <f t="shared" si="0"/>
        <v>6300000</v>
      </c>
      <c r="AM22" s="231">
        <f t="shared" si="1"/>
        <v>38.888888888888893</v>
      </c>
      <c r="AN22" s="384">
        <f t="shared" si="2"/>
        <v>9900000</v>
      </c>
      <c r="AO22" s="231">
        <f t="shared" si="3"/>
        <v>61.111111111111114</v>
      </c>
      <c r="AP22" s="218" t="str">
        <f t="shared" si="4"/>
        <v>DL.2376.AFA.001.053.B.522151</v>
      </c>
      <c r="AQ22" s="218" t="str">
        <f>IF(ISNUMBER(SEARCH("COVID",SP2D[[#This Row],[Akun]])),"COVID","Non COVID")</f>
        <v>Non COVID</v>
      </c>
      <c r="AR2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2" s="232">
        <f>SUM('PER BULAN'!BA45)</f>
        <v>0</v>
      </c>
      <c r="AU22" s="232">
        <f>SUM('PER BULAN'!BB45)</f>
        <v>0</v>
      </c>
      <c r="AV22" s="232">
        <f>SUM('PER BULAN'!BC45)</f>
        <v>0</v>
      </c>
      <c r="AW22" s="232">
        <f>SUM('PER BULAN'!BD45)</f>
        <v>0</v>
      </c>
      <c r="AX22" s="232">
        <f>SUM('PER BULAN'!BE45)</f>
        <v>0</v>
      </c>
      <c r="AY22" s="232">
        <f>SUM('PER BULAN'!BF45)</f>
        <v>0</v>
      </c>
      <c r="AZ22" s="232">
        <f>SUM('PER BULAN'!BG45)</f>
        <v>6300000</v>
      </c>
      <c r="BA22" s="232">
        <f>SUM('PER BULAN'!BH45)</f>
        <v>0</v>
      </c>
    </row>
    <row r="23" spans="1:53" s="219" customFormat="1" x14ac:dyDescent="0.25">
      <c r="A23" s="218" t="s">
        <v>3885</v>
      </c>
      <c r="B23" s="218" t="s">
        <v>3886</v>
      </c>
      <c r="C23" s="218" t="s">
        <v>3887</v>
      </c>
      <c r="D23" s="218" t="s">
        <v>3888</v>
      </c>
      <c r="E23" s="218" t="s">
        <v>196</v>
      </c>
      <c r="F23" s="218" t="s">
        <v>3898</v>
      </c>
      <c r="G23" s="218" t="s">
        <v>3889</v>
      </c>
      <c r="H23" s="218" t="s">
        <v>3899</v>
      </c>
      <c r="I23" s="218" t="s">
        <v>501</v>
      </c>
      <c r="J23" s="218" t="s">
        <v>3900</v>
      </c>
      <c r="K23" s="218" t="s">
        <v>523</v>
      </c>
      <c r="L23" s="218" t="s">
        <v>3906</v>
      </c>
      <c r="M23" s="218" t="s">
        <v>511</v>
      </c>
      <c r="N23" s="218" t="s">
        <v>3909</v>
      </c>
      <c r="O23" s="218" t="s">
        <v>518</v>
      </c>
      <c r="P23" s="218" t="s">
        <v>3895</v>
      </c>
      <c r="Q23" s="165" cm="1">
        <f t="array" ref="Q23">SUM(_xlfn._xlws.FILTER(DIPA2[PaguRevisi],DIPA2[Akun]=SP2D[[#This Row],[Kode Akun]],0))</f>
        <v>2000000</v>
      </c>
      <c r="R23" s="350">
        <v>2000000</v>
      </c>
      <c r="S23" s="350"/>
      <c r="T23" s="350">
        <f>SP2D[[#This Row],[Pagu Semula]]-SP2D[[#This Row],[Pagu]]</f>
        <v>0</v>
      </c>
      <c r="U23" s="232">
        <f>SUM('PER BULAN'!J46:L46)</f>
        <v>0</v>
      </c>
      <c r="V23" s="232">
        <f>SUM('PER BULAN'!M46:O46)</f>
        <v>0</v>
      </c>
      <c r="W23" s="232">
        <f>SUM('PER BULAN'!P46:R46)</f>
        <v>365000</v>
      </c>
      <c r="X23" s="232">
        <f>SUM('PER BULAN'!S46:U46)</f>
        <v>0</v>
      </c>
      <c r="Y23" s="232">
        <f>SUM('PER BULAN'!V46:X46)</f>
        <v>0</v>
      </c>
      <c r="Z23" s="232">
        <f>SUM('PER BULAN'!Y46:AA46)</f>
        <v>0</v>
      </c>
      <c r="AA23" s="232">
        <f>SUM('PER BULAN'!AB46:AD46)</f>
        <v>0</v>
      </c>
      <c r="AB23" s="232">
        <f>SUM('PER BULAN'!AE46:AG46)</f>
        <v>0</v>
      </c>
      <c r="AC23" s="232">
        <f>SUM('PER BULAN'!AH46:AJ46)</f>
        <v>0</v>
      </c>
      <c r="AD23" s="232">
        <f>SUM('PER BULAN'!AK46:AM46)</f>
        <v>0</v>
      </c>
      <c r="AE23" s="232">
        <f>SUM('PER BULAN'!AN46:AP46)</f>
        <v>0</v>
      </c>
      <c r="AF23" s="232">
        <f>SUM('PER BULAN'!AQ46:AS46)</f>
        <v>0</v>
      </c>
      <c r="AG23" s="218" t="s">
        <v>530</v>
      </c>
      <c r="AH23" s="218" t="s">
        <v>535</v>
      </c>
      <c r="AI23" s="218" t="s">
        <v>536</v>
      </c>
      <c r="AJ23" s="218" t="s">
        <v>3891</v>
      </c>
      <c r="AK23" s="218" t="s">
        <v>3892</v>
      </c>
      <c r="AL23" s="384">
        <f t="shared" si="0"/>
        <v>365000</v>
      </c>
      <c r="AM23" s="231">
        <f t="shared" si="1"/>
        <v>18.25</v>
      </c>
      <c r="AN23" s="384">
        <f t="shared" si="2"/>
        <v>1635000</v>
      </c>
      <c r="AO23" s="231">
        <f t="shared" si="3"/>
        <v>81.75</v>
      </c>
      <c r="AP23" s="218" t="str">
        <f t="shared" si="4"/>
        <v>DL.2376.AFA.001.053.B.522192</v>
      </c>
      <c r="AQ23" s="218" t="str">
        <f>IF(ISNUMBER(SEARCH("COVID",SP2D[[#This Row],[Akun]])),"COVID","Non COVID")</f>
        <v>COVID</v>
      </c>
      <c r="AR2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3" s="232">
        <f>SUM('PER BULAN'!BA46)</f>
        <v>0</v>
      </c>
      <c r="AU23" s="232">
        <f>SUM('PER BULAN'!BB46)</f>
        <v>365000</v>
      </c>
      <c r="AV23" s="232">
        <f>SUM('PER BULAN'!BC46)</f>
        <v>0</v>
      </c>
      <c r="AW23" s="232">
        <f>SUM('PER BULAN'!BD46)</f>
        <v>0</v>
      </c>
      <c r="AX23" s="232">
        <f>SUM('PER BULAN'!BE46)</f>
        <v>0</v>
      </c>
      <c r="AY23" s="232">
        <f>SUM('PER BULAN'!BF46)</f>
        <v>0</v>
      </c>
      <c r="AZ23" s="232">
        <f>SUM('PER BULAN'!BG46)</f>
        <v>0</v>
      </c>
      <c r="BA23" s="232">
        <f>SUM('PER BULAN'!BH46)</f>
        <v>0</v>
      </c>
    </row>
    <row r="24" spans="1:53" s="219" customFormat="1" x14ac:dyDescent="0.25">
      <c r="A24" s="218" t="s">
        <v>3885</v>
      </c>
      <c r="B24" s="218" t="s">
        <v>3886</v>
      </c>
      <c r="C24" s="218" t="s">
        <v>3887</v>
      </c>
      <c r="D24" s="218" t="s">
        <v>3888</v>
      </c>
      <c r="E24" s="218" t="s">
        <v>196</v>
      </c>
      <c r="F24" s="218" t="s">
        <v>3898</v>
      </c>
      <c r="G24" s="218" t="s">
        <v>3889</v>
      </c>
      <c r="H24" s="218" t="s">
        <v>3899</v>
      </c>
      <c r="I24" s="218" t="s">
        <v>501</v>
      </c>
      <c r="J24" s="218" t="s">
        <v>3900</v>
      </c>
      <c r="K24" s="218" t="s">
        <v>523</v>
      </c>
      <c r="L24" s="218" t="s">
        <v>3906</v>
      </c>
      <c r="M24" s="218" t="s">
        <v>511</v>
      </c>
      <c r="N24" s="218" t="s">
        <v>3909</v>
      </c>
      <c r="O24" s="218" t="s">
        <v>513</v>
      </c>
      <c r="P24" s="218" t="s">
        <v>3894</v>
      </c>
      <c r="Q24" s="165" cm="1">
        <f t="array" ref="Q24">SUM(_xlfn._xlws.FILTER(DIPA2[PaguRevisi],DIPA2[Akun]=SP2D[[#This Row],[Kode Akun]],0))</f>
        <v>138160000</v>
      </c>
      <c r="R24" s="350">
        <v>138160000</v>
      </c>
      <c r="S24" s="350"/>
      <c r="T24" s="350">
        <f>SP2D[[#This Row],[Pagu Semula]]-SP2D[[#This Row],[Pagu]]</f>
        <v>0</v>
      </c>
      <c r="U24" s="232">
        <f>SUM('PER BULAN'!J47:L47)</f>
        <v>0</v>
      </c>
      <c r="V24" s="232">
        <f>SUM('PER BULAN'!M47:O47)</f>
        <v>0</v>
      </c>
      <c r="W24" s="232">
        <f>SUM('PER BULAN'!P47:R47)</f>
        <v>18378000</v>
      </c>
      <c r="X24" s="232">
        <f>SUM('PER BULAN'!S47:U47)</f>
        <v>0</v>
      </c>
      <c r="Y24" s="232">
        <f>SUM('PER BULAN'!V47:X47)</f>
        <v>36948850</v>
      </c>
      <c r="Z24" s="232">
        <f>SUM('PER BULAN'!Y47:AA47)</f>
        <v>76109840</v>
      </c>
      <c r="AA24" s="232">
        <f>SUM('PER BULAN'!AB47:AD47)</f>
        <v>0</v>
      </c>
      <c r="AB24" s="232">
        <f>SUM('PER BULAN'!AE47:AG47)</f>
        <v>0</v>
      </c>
      <c r="AC24" s="232">
        <f>SUM('PER BULAN'!AH47:AJ47)</f>
        <v>0</v>
      </c>
      <c r="AD24" s="232">
        <f>SUM('PER BULAN'!AK47:AM47)</f>
        <v>0</v>
      </c>
      <c r="AE24" s="232">
        <f>SUM('PER BULAN'!AN47:AP47)</f>
        <v>0</v>
      </c>
      <c r="AF24" s="232">
        <f>SUM('PER BULAN'!AQ47:AS47)</f>
        <v>0</v>
      </c>
      <c r="AG24" s="218" t="s">
        <v>530</v>
      </c>
      <c r="AH24" s="218" t="s">
        <v>535</v>
      </c>
      <c r="AI24" s="218" t="s">
        <v>536</v>
      </c>
      <c r="AJ24" s="218" t="s">
        <v>3891</v>
      </c>
      <c r="AK24" s="218" t="s">
        <v>3892</v>
      </c>
      <c r="AL24" s="384">
        <f t="shared" si="0"/>
        <v>131436690</v>
      </c>
      <c r="AM24" s="231">
        <f t="shared" si="1"/>
        <v>95.133678343949043</v>
      </c>
      <c r="AN24" s="384">
        <f t="shared" si="2"/>
        <v>6723310</v>
      </c>
      <c r="AO24" s="231">
        <f t="shared" si="3"/>
        <v>4.866321656050955</v>
      </c>
      <c r="AP24" s="218" t="str">
        <f t="shared" si="4"/>
        <v>DL.2376.AFA.001.053.B.524111</v>
      </c>
      <c r="AQ24" s="218" t="str">
        <f>IF(ISNUMBER(SEARCH("COVID",SP2D[[#This Row],[Akun]])),"COVID","Non COVID")</f>
        <v>Non COVID</v>
      </c>
      <c r="AR2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2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4" s="232">
        <f>SUM('PER BULAN'!BA47)</f>
        <v>0</v>
      </c>
      <c r="AU24" s="232">
        <f>SUM('PER BULAN'!BB47)</f>
        <v>18378000</v>
      </c>
      <c r="AV24" s="232">
        <f>SUM('PER BULAN'!BC47)</f>
        <v>0</v>
      </c>
      <c r="AW24" s="232">
        <f>SUM('PER BULAN'!BD47)</f>
        <v>0</v>
      </c>
      <c r="AX24" s="232">
        <f>SUM('PER BULAN'!BE47)</f>
        <v>0</v>
      </c>
      <c r="AY24" s="232">
        <f>SUM('PER BULAN'!BF47)</f>
        <v>0</v>
      </c>
      <c r="AZ24" s="232">
        <f>SUM('PER BULAN'!BG47)</f>
        <v>36948850</v>
      </c>
      <c r="BA24" s="232">
        <f>SUM('PER BULAN'!BH47)</f>
        <v>0</v>
      </c>
    </row>
    <row r="25" spans="1:53" s="219" customFormat="1" x14ac:dyDescent="0.25">
      <c r="A25" s="218" t="s">
        <v>3885</v>
      </c>
      <c r="B25" s="218" t="s">
        <v>3886</v>
      </c>
      <c r="C25" s="218" t="s">
        <v>3887</v>
      </c>
      <c r="D25" s="218" t="s">
        <v>3888</v>
      </c>
      <c r="E25" s="218" t="s">
        <v>196</v>
      </c>
      <c r="F25" s="218" t="s">
        <v>3898</v>
      </c>
      <c r="G25" s="218" t="s">
        <v>3889</v>
      </c>
      <c r="H25" s="218" t="s">
        <v>3899</v>
      </c>
      <c r="I25" s="218" t="s">
        <v>501</v>
      </c>
      <c r="J25" s="218" t="s">
        <v>3900</v>
      </c>
      <c r="K25" s="218" t="s">
        <v>523</v>
      </c>
      <c r="L25" s="218" t="s">
        <v>3906</v>
      </c>
      <c r="M25" s="218" t="s">
        <v>512</v>
      </c>
      <c r="N25" s="218" t="s">
        <v>3923</v>
      </c>
      <c r="O25" s="218">
        <v>521211</v>
      </c>
      <c r="P25" s="218" t="s">
        <v>3890</v>
      </c>
      <c r="Q25" s="165" cm="1">
        <f t="array" ref="Q25">SUM(_xlfn._xlws.FILTER(DIPA2[PaguRevisi],DIPA2[Akun]=SP2D[[#This Row],[Kode Akun]],0))</f>
        <v>20830000</v>
      </c>
      <c r="R25" s="350">
        <v>20830000</v>
      </c>
      <c r="S25" s="350"/>
      <c r="T25" s="350">
        <f>SP2D[[#This Row],[Pagu Semula]]-SP2D[[#This Row],[Pagu]]</f>
        <v>0</v>
      </c>
      <c r="U25" s="232">
        <f>SUM('PER BULAN'!J49:L49)</f>
        <v>0</v>
      </c>
      <c r="V25" s="232">
        <f>SUM('PER BULAN'!M49:O49)</f>
        <v>0</v>
      </c>
      <c r="W25" s="232">
        <f>SUM('PER BULAN'!P49:R49)</f>
        <v>0</v>
      </c>
      <c r="X25" s="232">
        <f>SUM('PER BULAN'!S49:U49)</f>
        <v>0</v>
      </c>
      <c r="Y25" s="232">
        <f>SUM('PER BULAN'!V49:X49)</f>
        <v>0</v>
      </c>
      <c r="Z25" s="232">
        <f>SUM('PER BULAN'!Y49:AA49)</f>
        <v>0</v>
      </c>
      <c r="AA25" s="232">
        <f>SUM('PER BULAN'!AB49:AD49)</f>
        <v>0</v>
      </c>
      <c r="AB25" s="232">
        <f>SUM('PER BULAN'!AE49:AG49)</f>
        <v>0</v>
      </c>
      <c r="AC25" s="232">
        <f>SUM('PER BULAN'!AH49:AJ49)</f>
        <v>0</v>
      </c>
      <c r="AD25" s="232">
        <f>SUM('PER BULAN'!AK49:AM49)</f>
        <v>0</v>
      </c>
      <c r="AE25" s="232">
        <f>SUM('PER BULAN'!AN49:AP49)</f>
        <v>0</v>
      </c>
      <c r="AF25" s="232">
        <f>SUM('PER BULAN'!AQ49:AS49)</f>
        <v>0</v>
      </c>
      <c r="AG25" s="218" t="s">
        <v>530</v>
      </c>
      <c r="AH25" s="218" t="s">
        <v>535</v>
      </c>
      <c r="AI25" s="218" t="s">
        <v>536</v>
      </c>
      <c r="AJ25" s="218" t="s">
        <v>3891</v>
      </c>
      <c r="AK25" s="218" t="s">
        <v>3892</v>
      </c>
      <c r="AL25" s="384">
        <f t="shared" si="0"/>
        <v>0</v>
      </c>
      <c r="AM25" s="231">
        <f t="shared" si="1"/>
        <v>0</v>
      </c>
      <c r="AN25" s="384">
        <f t="shared" si="2"/>
        <v>20830000</v>
      </c>
      <c r="AO25" s="231">
        <f t="shared" si="3"/>
        <v>100</v>
      </c>
      <c r="AP25" s="218" t="str">
        <f t="shared" si="4"/>
        <v>DL.2376.AFA.001.053.C.521211</v>
      </c>
      <c r="AQ25" s="218" t="str">
        <f>IF(ISNUMBER(SEARCH("COVID",SP2D[[#This Row],[Akun]])),"COVID","Non COVID")</f>
        <v>Non COVID</v>
      </c>
      <c r="AR2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2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5" s="232">
        <f>SUM('PER BULAN'!BA49)</f>
        <v>0</v>
      </c>
      <c r="AU25" s="232">
        <f>SUM('PER BULAN'!BB49)</f>
        <v>0</v>
      </c>
      <c r="AV25" s="232">
        <f>SUM('PER BULAN'!BC49)</f>
        <v>0</v>
      </c>
      <c r="AW25" s="232">
        <f>SUM('PER BULAN'!BD49)</f>
        <v>0</v>
      </c>
      <c r="AX25" s="232">
        <f>SUM('PER BULAN'!BE49)</f>
        <v>0</v>
      </c>
      <c r="AY25" s="232">
        <f>SUM('PER BULAN'!BF49)</f>
        <v>0</v>
      </c>
      <c r="AZ25" s="232">
        <f>SUM('PER BULAN'!BG49)</f>
        <v>0</v>
      </c>
      <c r="BA25" s="232">
        <f>SUM('PER BULAN'!BH49)</f>
        <v>0</v>
      </c>
    </row>
    <row r="26" spans="1:53" s="219" customFormat="1" x14ac:dyDescent="0.25">
      <c r="A26" s="218" t="s">
        <v>3885</v>
      </c>
      <c r="B26" s="218" t="s">
        <v>3886</v>
      </c>
      <c r="C26" s="218" t="s">
        <v>3887</v>
      </c>
      <c r="D26" s="218" t="s">
        <v>3888</v>
      </c>
      <c r="E26" s="218" t="s">
        <v>196</v>
      </c>
      <c r="F26" s="218" t="s">
        <v>3898</v>
      </c>
      <c r="G26" s="218" t="s">
        <v>3889</v>
      </c>
      <c r="H26" s="218" t="s">
        <v>3899</v>
      </c>
      <c r="I26" s="218" t="s">
        <v>501</v>
      </c>
      <c r="J26" s="218" t="s">
        <v>3900</v>
      </c>
      <c r="K26" s="218" t="s">
        <v>523</v>
      </c>
      <c r="L26" s="218" t="s">
        <v>3906</v>
      </c>
      <c r="M26" s="218" t="s">
        <v>512</v>
      </c>
      <c r="N26" s="218" t="s">
        <v>3923</v>
      </c>
      <c r="O26" s="218">
        <v>521219</v>
      </c>
      <c r="P26" s="218" t="s">
        <v>3903</v>
      </c>
      <c r="Q26" s="165" cm="1">
        <f t="array" ref="Q26">SUM(_xlfn._xlws.FILTER(DIPA2[PaguRevisi],DIPA2[Akun]=SP2D[[#This Row],[Kode Akun]],0))</f>
        <v>500000</v>
      </c>
      <c r="R26" s="350">
        <v>500000</v>
      </c>
      <c r="S26" s="350"/>
      <c r="T26" s="350">
        <f>SP2D[[#This Row],[Pagu Semula]]-SP2D[[#This Row],[Pagu]]</f>
        <v>0</v>
      </c>
      <c r="U26" s="232">
        <f>SUM('PER BULAN'!J50:L50)</f>
        <v>0</v>
      </c>
      <c r="V26" s="232">
        <f>SUM('PER BULAN'!M50:O50)</f>
        <v>0</v>
      </c>
      <c r="W26" s="232">
        <f>SUM('PER BULAN'!P50:R50)</f>
        <v>0</v>
      </c>
      <c r="X26" s="232">
        <f>SUM('PER BULAN'!S50:U50)</f>
        <v>0</v>
      </c>
      <c r="Y26" s="232">
        <f>SUM('PER BULAN'!V50:X50)</f>
        <v>0</v>
      </c>
      <c r="Z26" s="232">
        <f>SUM('PER BULAN'!Y50:AA50)</f>
        <v>0</v>
      </c>
      <c r="AA26" s="232">
        <f>SUM('PER BULAN'!AB50:AD50)</f>
        <v>0</v>
      </c>
      <c r="AB26" s="232">
        <f>SUM('PER BULAN'!AE50:AG50)</f>
        <v>0</v>
      </c>
      <c r="AC26" s="232">
        <f>SUM('PER BULAN'!AH50:AJ50)</f>
        <v>0</v>
      </c>
      <c r="AD26" s="232">
        <f>SUM('PER BULAN'!AK50:AM50)</f>
        <v>0</v>
      </c>
      <c r="AE26" s="232">
        <f>SUM('PER BULAN'!AN50:AP50)</f>
        <v>0</v>
      </c>
      <c r="AF26" s="232">
        <f>SUM('PER BULAN'!AQ50:AS50)</f>
        <v>0</v>
      </c>
      <c r="AG26" s="218" t="s">
        <v>530</v>
      </c>
      <c r="AH26" s="218" t="s">
        <v>535</v>
      </c>
      <c r="AI26" s="218" t="s">
        <v>536</v>
      </c>
      <c r="AJ26" s="218" t="s">
        <v>3891</v>
      </c>
      <c r="AK26" s="218" t="s">
        <v>3892</v>
      </c>
      <c r="AL26" s="384">
        <f t="shared" si="0"/>
        <v>0</v>
      </c>
      <c r="AM26" s="231">
        <f t="shared" si="1"/>
        <v>0</v>
      </c>
      <c r="AN26" s="384">
        <f t="shared" si="2"/>
        <v>500000</v>
      </c>
      <c r="AO26" s="231">
        <f t="shared" si="3"/>
        <v>100</v>
      </c>
      <c r="AP26" s="218" t="str">
        <f t="shared" si="4"/>
        <v>DL.2376.AFA.001.053.C.521219</v>
      </c>
      <c r="AQ26" s="218" t="str">
        <f>IF(ISNUMBER(SEARCH("COVID",SP2D[[#This Row],[Akun]])),"COVID","Non COVID")</f>
        <v>Non COVID</v>
      </c>
      <c r="AR2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2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6" s="232">
        <f>SUM('PER BULAN'!BA50)</f>
        <v>0</v>
      </c>
      <c r="AU26" s="232">
        <f>SUM('PER BULAN'!BB50)</f>
        <v>0</v>
      </c>
      <c r="AV26" s="232">
        <f>SUM('PER BULAN'!BC50)</f>
        <v>0</v>
      </c>
      <c r="AW26" s="232">
        <f>SUM('PER BULAN'!BD50)</f>
        <v>0</v>
      </c>
      <c r="AX26" s="232">
        <f>SUM('PER BULAN'!BE50)</f>
        <v>0</v>
      </c>
      <c r="AY26" s="232">
        <f>SUM('PER BULAN'!BF50)</f>
        <v>0</v>
      </c>
      <c r="AZ26" s="232">
        <f>SUM('PER BULAN'!BG50)</f>
        <v>0</v>
      </c>
      <c r="BA26" s="232">
        <f>SUM('PER BULAN'!BH50)</f>
        <v>0</v>
      </c>
    </row>
    <row r="27" spans="1:53" s="219" customFormat="1" x14ac:dyDescent="0.25">
      <c r="A27" s="218" t="s">
        <v>3885</v>
      </c>
      <c r="B27" s="218" t="s">
        <v>3886</v>
      </c>
      <c r="C27" s="218" t="s">
        <v>3887</v>
      </c>
      <c r="D27" s="218" t="s">
        <v>3888</v>
      </c>
      <c r="E27" s="218" t="s">
        <v>196</v>
      </c>
      <c r="F27" s="218" t="s">
        <v>3898</v>
      </c>
      <c r="G27" s="218" t="s">
        <v>3889</v>
      </c>
      <c r="H27" s="218" t="s">
        <v>3899</v>
      </c>
      <c r="I27" s="218" t="s">
        <v>501</v>
      </c>
      <c r="J27" s="218" t="s">
        <v>3900</v>
      </c>
      <c r="K27" s="218" t="s">
        <v>523</v>
      </c>
      <c r="L27" s="218" t="s">
        <v>3906</v>
      </c>
      <c r="M27" s="218" t="s">
        <v>512</v>
      </c>
      <c r="N27" s="218" t="s">
        <v>3923</v>
      </c>
      <c r="O27" s="218">
        <v>522151</v>
      </c>
      <c r="P27" s="218" t="s">
        <v>3893</v>
      </c>
      <c r="Q27" s="165" cm="1">
        <f t="array" ref="Q27">SUM(_xlfn._xlws.FILTER(DIPA2[PaguRevisi],DIPA2[Akun]=SP2D[[#This Row],[Kode Akun]],0))</f>
        <v>7200000</v>
      </c>
      <c r="R27" s="350">
        <v>7200000</v>
      </c>
      <c r="S27" s="350"/>
      <c r="T27" s="350">
        <f>SP2D[[#This Row],[Pagu Semula]]-SP2D[[#This Row],[Pagu]]</f>
        <v>0</v>
      </c>
      <c r="U27" s="232">
        <f>SUM('PER BULAN'!J51:L51)</f>
        <v>0</v>
      </c>
      <c r="V27" s="232">
        <f>SUM('PER BULAN'!M51:O51)</f>
        <v>0</v>
      </c>
      <c r="W27" s="232">
        <f>SUM('PER BULAN'!P51:R51)</f>
        <v>0</v>
      </c>
      <c r="X27" s="232">
        <f>SUM('PER BULAN'!S51:U51)</f>
        <v>0</v>
      </c>
      <c r="Y27" s="232">
        <f>SUM('PER BULAN'!V51:X51)</f>
        <v>0</v>
      </c>
      <c r="Z27" s="232">
        <f>SUM('PER BULAN'!Y51:AA51)</f>
        <v>0</v>
      </c>
      <c r="AA27" s="232">
        <f>SUM('PER BULAN'!AB51:AD51)</f>
        <v>0</v>
      </c>
      <c r="AB27" s="232">
        <f>SUM('PER BULAN'!AE51:AG51)</f>
        <v>0</v>
      </c>
      <c r="AC27" s="232">
        <f>SUM('PER BULAN'!AH51:AJ51)</f>
        <v>0</v>
      </c>
      <c r="AD27" s="232">
        <f>SUM('PER BULAN'!AK51:AM51)</f>
        <v>0</v>
      </c>
      <c r="AE27" s="232">
        <f>SUM('PER BULAN'!AN51:AP51)</f>
        <v>0</v>
      </c>
      <c r="AF27" s="232">
        <f>SUM('PER BULAN'!AQ51:AS51)</f>
        <v>0</v>
      </c>
      <c r="AG27" s="218" t="s">
        <v>530</v>
      </c>
      <c r="AH27" s="218" t="s">
        <v>535</v>
      </c>
      <c r="AI27" s="218" t="s">
        <v>536</v>
      </c>
      <c r="AJ27" s="218" t="s">
        <v>3891</v>
      </c>
      <c r="AK27" s="218" t="s">
        <v>3892</v>
      </c>
      <c r="AL27" s="384">
        <f t="shared" si="0"/>
        <v>0</v>
      </c>
      <c r="AM27" s="231">
        <f t="shared" si="1"/>
        <v>0</v>
      </c>
      <c r="AN27" s="384">
        <f t="shared" si="2"/>
        <v>7200000</v>
      </c>
      <c r="AO27" s="231">
        <f t="shared" si="3"/>
        <v>100</v>
      </c>
      <c r="AP27" s="218" t="str">
        <f t="shared" si="4"/>
        <v>DL.2376.AFA.001.053.C.522151</v>
      </c>
      <c r="AQ27" s="218" t="str">
        <f>IF(ISNUMBER(SEARCH("COVID",SP2D[[#This Row],[Akun]])),"COVID","Non COVID")</f>
        <v>Non COVID</v>
      </c>
      <c r="AR2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7" s="232">
        <f>SUM('PER BULAN'!BA51)</f>
        <v>0</v>
      </c>
      <c r="AU27" s="232">
        <f>SUM('PER BULAN'!BB51)</f>
        <v>0</v>
      </c>
      <c r="AV27" s="232">
        <f>SUM('PER BULAN'!BC51)</f>
        <v>0</v>
      </c>
      <c r="AW27" s="232">
        <f>SUM('PER BULAN'!BD51)</f>
        <v>0</v>
      </c>
      <c r="AX27" s="232">
        <f>SUM('PER BULAN'!BE51)</f>
        <v>0</v>
      </c>
      <c r="AY27" s="232">
        <f>SUM('PER BULAN'!BF51)</f>
        <v>0</v>
      </c>
      <c r="AZ27" s="232">
        <f>SUM('PER BULAN'!BG51)</f>
        <v>0</v>
      </c>
      <c r="BA27" s="232">
        <f>SUM('PER BULAN'!BH51)</f>
        <v>0</v>
      </c>
    </row>
    <row r="28" spans="1:53" s="219" customFormat="1" x14ac:dyDescent="0.25">
      <c r="A28" s="218" t="s">
        <v>3885</v>
      </c>
      <c r="B28" s="218" t="s">
        <v>3886</v>
      </c>
      <c r="C28" s="218" t="s">
        <v>3887</v>
      </c>
      <c r="D28" s="218" t="s">
        <v>3888</v>
      </c>
      <c r="E28" s="218" t="s">
        <v>196</v>
      </c>
      <c r="F28" s="218" t="s">
        <v>3898</v>
      </c>
      <c r="G28" s="218" t="s">
        <v>3889</v>
      </c>
      <c r="H28" s="218" t="s">
        <v>3899</v>
      </c>
      <c r="I28" s="218" t="s">
        <v>501</v>
      </c>
      <c r="J28" s="218" t="s">
        <v>3900</v>
      </c>
      <c r="K28" s="218" t="s">
        <v>523</v>
      </c>
      <c r="L28" s="218" t="s">
        <v>3906</v>
      </c>
      <c r="M28" s="218" t="s">
        <v>512</v>
      </c>
      <c r="N28" s="218" t="s">
        <v>3923</v>
      </c>
      <c r="O28" s="218" t="s">
        <v>513</v>
      </c>
      <c r="P28" s="218" t="s">
        <v>3894</v>
      </c>
      <c r="Q28" s="165" cm="1">
        <f t="array" ref="Q28">SUM(_xlfn._xlws.FILTER(DIPA2[PaguRevisi],DIPA2[Akun]=SP2D[[#This Row],[Kode Akun]],0))</f>
        <v>23030000</v>
      </c>
      <c r="R28" s="350">
        <v>23030000</v>
      </c>
      <c r="S28" s="350"/>
      <c r="T28" s="350">
        <f>SP2D[[#This Row],[Pagu Semula]]-SP2D[[#This Row],[Pagu]]</f>
        <v>0</v>
      </c>
      <c r="U28" s="232">
        <f>SUM('PER BULAN'!J52:L52)</f>
        <v>0</v>
      </c>
      <c r="V28" s="232">
        <f>SUM('PER BULAN'!M52:O52)</f>
        <v>0</v>
      </c>
      <c r="W28" s="232">
        <f>SUM('PER BULAN'!P52:R52)</f>
        <v>0</v>
      </c>
      <c r="X28" s="232">
        <f>SUM('PER BULAN'!S52:U52)</f>
        <v>0</v>
      </c>
      <c r="Y28" s="232">
        <f>SUM('PER BULAN'!V52:X52)</f>
        <v>0</v>
      </c>
      <c r="Z28" s="232">
        <f>SUM('PER BULAN'!Y52:AA52)</f>
        <v>0</v>
      </c>
      <c r="AA28" s="232">
        <f>SUM('PER BULAN'!AB52:AD52)</f>
        <v>0</v>
      </c>
      <c r="AB28" s="232">
        <f>SUM('PER BULAN'!AE52:AG52)</f>
        <v>0</v>
      </c>
      <c r="AC28" s="232">
        <f>SUM('PER BULAN'!AH52:AJ52)</f>
        <v>0</v>
      </c>
      <c r="AD28" s="232">
        <f>SUM('PER BULAN'!AK52:AM52)</f>
        <v>0</v>
      </c>
      <c r="AE28" s="232">
        <f>SUM('PER BULAN'!AN52:AP52)</f>
        <v>0</v>
      </c>
      <c r="AF28" s="232">
        <f>SUM('PER BULAN'!AQ52:AS52)</f>
        <v>0</v>
      </c>
      <c r="AG28" s="218" t="s">
        <v>530</v>
      </c>
      <c r="AH28" s="218" t="s">
        <v>535</v>
      </c>
      <c r="AI28" s="218" t="s">
        <v>536</v>
      </c>
      <c r="AJ28" s="218" t="s">
        <v>3891</v>
      </c>
      <c r="AK28" s="218" t="s">
        <v>3892</v>
      </c>
      <c r="AL28" s="384">
        <f t="shared" si="0"/>
        <v>0</v>
      </c>
      <c r="AM28" s="231">
        <f t="shared" si="1"/>
        <v>0</v>
      </c>
      <c r="AN28" s="384">
        <f t="shared" si="2"/>
        <v>23030000</v>
      </c>
      <c r="AO28" s="231">
        <f t="shared" si="3"/>
        <v>100</v>
      </c>
      <c r="AP28" s="218" t="str">
        <f t="shared" si="4"/>
        <v>DL.2376.AFA.001.053.C.524111</v>
      </c>
      <c r="AQ28" s="218" t="str">
        <f>IF(ISNUMBER(SEARCH("COVID",SP2D[[#This Row],[Akun]])),"COVID","Non COVID")</f>
        <v>Non COVID</v>
      </c>
      <c r="AR2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2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8" s="232">
        <f>SUM('PER BULAN'!BA52)</f>
        <v>0</v>
      </c>
      <c r="AU28" s="232">
        <f>SUM('PER BULAN'!BB52)</f>
        <v>0</v>
      </c>
      <c r="AV28" s="232">
        <f>SUM('PER BULAN'!BC52)</f>
        <v>0</v>
      </c>
      <c r="AW28" s="232">
        <f>SUM('PER BULAN'!BD52)</f>
        <v>0</v>
      </c>
      <c r="AX28" s="232">
        <f>SUM('PER BULAN'!BE52)</f>
        <v>0</v>
      </c>
      <c r="AY28" s="232">
        <f>SUM('PER BULAN'!BF52)</f>
        <v>0</v>
      </c>
      <c r="AZ28" s="232">
        <f>SUM('PER BULAN'!BG52)</f>
        <v>0</v>
      </c>
      <c r="BA28" s="232">
        <f>SUM('PER BULAN'!BH52)</f>
        <v>0</v>
      </c>
    </row>
    <row r="29" spans="1:53" s="219" customFormat="1" x14ac:dyDescent="0.25">
      <c r="A29" s="218" t="s">
        <v>3885</v>
      </c>
      <c r="B29" s="218" t="s">
        <v>3886</v>
      </c>
      <c r="C29" s="218" t="s">
        <v>3887</v>
      </c>
      <c r="D29" s="218" t="s">
        <v>3888</v>
      </c>
      <c r="E29" s="218" t="s">
        <v>196</v>
      </c>
      <c r="F29" s="218" t="s">
        <v>3898</v>
      </c>
      <c r="G29" s="218" t="s">
        <v>3889</v>
      </c>
      <c r="H29" s="218" t="s">
        <v>3899</v>
      </c>
      <c r="I29" s="218" t="s">
        <v>501</v>
      </c>
      <c r="J29" s="218" t="s">
        <v>3900</v>
      </c>
      <c r="K29" s="218" t="s">
        <v>526</v>
      </c>
      <c r="L29" s="218" t="s">
        <v>3910</v>
      </c>
      <c r="M29" s="218" t="s">
        <v>8</v>
      </c>
      <c r="N29" s="218" t="s">
        <v>3911</v>
      </c>
      <c r="O29" s="218">
        <v>521211</v>
      </c>
      <c r="P29" s="218" t="s">
        <v>3890</v>
      </c>
      <c r="Q29" s="165" cm="1">
        <f t="array" ref="Q29">SUM(_xlfn._xlws.FILTER(DIPA2[PaguRevisi],DIPA2[Akun]=SP2D[[#This Row],[Kode Akun]],0))</f>
        <v>13900000</v>
      </c>
      <c r="R29" s="350">
        <v>13900000</v>
      </c>
      <c r="S29" s="350"/>
      <c r="T29" s="350">
        <f>SP2D[[#This Row],[Pagu Semula]]-SP2D[[#This Row],[Pagu]]</f>
        <v>0</v>
      </c>
      <c r="U29" s="232">
        <f>SUM('PER BULAN'!J55:L55)</f>
        <v>0</v>
      </c>
      <c r="V29" s="232">
        <f>SUM('PER BULAN'!M55:O55)</f>
        <v>0</v>
      </c>
      <c r="W29" s="232">
        <f>SUM('PER BULAN'!P55:R55)</f>
        <v>7990750</v>
      </c>
      <c r="X29" s="232">
        <f>SUM('PER BULAN'!S55:U55)</f>
        <v>0</v>
      </c>
      <c r="Y29" s="232">
        <f>SUM('PER BULAN'!V55:X55)</f>
        <v>1500000</v>
      </c>
      <c r="Z29" s="232">
        <f>SUM('PER BULAN'!Y55:AA55)</f>
        <v>0</v>
      </c>
      <c r="AA29" s="232">
        <f>SUM('PER BULAN'!AB55:AD55)</f>
        <v>0</v>
      </c>
      <c r="AB29" s="232">
        <f>SUM('PER BULAN'!AE55:AG55)</f>
        <v>0</v>
      </c>
      <c r="AC29" s="232">
        <f>SUM('PER BULAN'!AH55:AJ55)</f>
        <v>0</v>
      </c>
      <c r="AD29" s="232">
        <f>SUM('PER BULAN'!AK55:AM55)</f>
        <v>0</v>
      </c>
      <c r="AE29" s="232">
        <f>SUM('PER BULAN'!AN55:AP55)</f>
        <v>0</v>
      </c>
      <c r="AF29" s="232">
        <f>SUM('PER BULAN'!AQ55:AS55)</f>
        <v>0</v>
      </c>
      <c r="AG29" s="218" t="s">
        <v>530</v>
      </c>
      <c r="AH29" s="218" t="s">
        <v>535</v>
      </c>
      <c r="AI29" s="218" t="s">
        <v>538</v>
      </c>
      <c r="AJ29" s="218" t="s">
        <v>3891</v>
      </c>
      <c r="AK29" s="218" t="s">
        <v>3892</v>
      </c>
      <c r="AL29" s="384">
        <f t="shared" si="0"/>
        <v>9490750</v>
      </c>
      <c r="AM29" s="231">
        <f t="shared" si="1"/>
        <v>68.27877697841727</v>
      </c>
      <c r="AN29" s="384">
        <f t="shared" si="2"/>
        <v>4409250</v>
      </c>
      <c r="AO29" s="231">
        <f t="shared" si="3"/>
        <v>31.721223021582734</v>
      </c>
      <c r="AP29" s="218" t="str">
        <f t="shared" si="4"/>
        <v>DL.2376.AFA.001.054.A.521211</v>
      </c>
      <c r="AQ29" s="218" t="str">
        <f>IF(ISNUMBER(SEARCH("COVID",SP2D[[#This Row],[Akun]])),"COVID","Non COVID")</f>
        <v>Non COVID</v>
      </c>
      <c r="AR2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2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9" s="232">
        <f>SUM('PER BULAN'!BA55)</f>
        <v>0</v>
      </c>
      <c r="AU29" s="232">
        <f>SUM('PER BULAN'!BB55)</f>
        <v>5497250</v>
      </c>
      <c r="AV29" s="232">
        <f>SUM('PER BULAN'!BC55)</f>
        <v>2493500</v>
      </c>
      <c r="AW29" s="232">
        <f>SUM('PER BULAN'!BD55)</f>
        <v>0</v>
      </c>
      <c r="AX29" s="232">
        <f>SUM('PER BULAN'!BE55)</f>
        <v>1500000</v>
      </c>
      <c r="AY29" s="232">
        <f>SUM('PER BULAN'!BF55)</f>
        <v>0</v>
      </c>
      <c r="AZ29" s="232">
        <f>SUM('PER BULAN'!BG55)</f>
        <v>0</v>
      </c>
      <c r="BA29" s="232">
        <f>SUM('PER BULAN'!BH55)</f>
        <v>0</v>
      </c>
    </row>
    <row r="30" spans="1:53" s="219" customFormat="1" x14ac:dyDescent="0.25">
      <c r="A30" s="218" t="s">
        <v>3885</v>
      </c>
      <c r="B30" s="218" t="s">
        <v>3886</v>
      </c>
      <c r="C30" s="218" t="s">
        <v>3887</v>
      </c>
      <c r="D30" s="218" t="s">
        <v>3888</v>
      </c>
      <c r="E30" s="218" t="s">
        <v>196</v>
      </c>
      <c r="F30" s="218" t="s">
        <v>3898</v>
      </c>
      <c r="G30" s="218" t="s">
        <v>3889</v>
      </c>
      <c r="H30" s="218" t="s">
        <v>3899</v>
      </c>
      <c r="I30" s="218" t="s">
        <v>501</v>
      </c>
      <c r="J30" s="218" t="s">
        <v>3900</v>
      </c>
      <c r="K30" s="218" t="s">
        <v>526</v>
      </c>
      <c r="L30" s="218" t="s">
        <v>3910</v>
      </c>
      <c r="M30" s="218" t="s">
        <v>8</v>
      </c>
      <c r="N30" s="218" t="s">
        <v>3911</v>
      </c>
      <c r="O30" s="218">
        <v>521219</v>
      </c>
      <c r="P30" s="218" t="s">
        <v>3903</v>
      </c>
      <c r="Q30" s="165" cm="1">
        <f t="array" ref="Q30">SUM(_xlfn._xlws.FILTER(DIPA2[PaguRevisi],DIPA2[Akun]=SP2D[[#This Row],[Kode Akun]],0))</f>
        <v>8784000</v>
      </c>
      <c r="R30" s="350">
        <v>8784000</v>
      </c>
      <c r="S30" s="350"/>
      <c r="T30" s="350">
        <f>SP2D[[#This Row],[Pagu Semula]]-SP2D[[#This Row],[Pagu]]</f>
        <v>0</v>
      </c>
      <c r="U30" s="232">
        <f>SUM('PER BULAN'!J56:L56)</f>
        <v>0</v>
      </c>
      <c r="V30" s="232">
        <f>SUM('PER BULAN'!M56:O56)</f>
        <v>0</v>
      </c>
      <c r="W30" s="232">
        <f>SUM('PER BULAN'!P56:R56)</f>
        <v>0</v>
      </c>
      <c r="X30" s="232">
        <f>SUM('PER BULAN'!S56:U56)</f>
        <v>0</v>
      </c>
      <c r="Y30" s="232">
        <f>SUM('PER BULAN'!V56:X56)</f>
        <v>0</v>
      </c>
      <c r="Z30" s="232">
        <f>SUM('PER BULAN'!Y56:AA56)</f>
        <v>0</v>
      </c>
      <c r="AA30" s="232">
        <f>SUM('PER BULAN'!AB56:AD56)</f>
        <v>0</v>
      </c>
      <c r="AB30" s="232">
        <f>SUM('PER BULAN'!AE56:AG56)</f>
        <v>0</v>
      </c>
      <c r="AC30" s="232">
        <f>SUM('PER BULAN'!AH56:AJ56)</f>
        <v>0</v>
      </c>
      <c r="AD30" s="232">
        <f>SUM('PER BULAN'!AK56:AM56)</f>
        <v>0</v>
      </c>
      <c r="AE30" s="232">
        <f>SUM('PER BULAN'!AN56:AP56)</f>
        <v>0</v>
      </c>
      <c r="AF30" s="232">
        <f>SUM('PER BULAN'!AQ56:AS56)</f>
        <v>0</v>
      </c>
      <c r="AG30" s="218" t="s">
        <v>530</v>
      </c>
      <c r="AH30" s="218" t="s">
        <v>535</v>
      </c>
      <c r="AI30" s="218" t="s">
        <v>538</v>
      </c>
      <c r="AJ30" s="218" t="s">
        <v>3891</v>
      </c>
      <c r="AK30" s="218" t="s">
        <v>3892</v>
      </c>
      <c r="AL30" s="384">
        <f t="shared" si="0"/>
        <v>0</v>
      </c>
      <c r="AM30" s="231">
        <f t="shared" si="1"/>
        <v>0</v>
      </c>
      <c r="AN30" s="384">
        <f t="shared" si="2"/>
        <v>8784000</v>
      </c>
      <c r="AO30" s="231">
        <f t="shared" si="3"/>
        <v>100</v>
      </c>
      <c r="AP30" s="218" t="str">
        <f t="shared" si="4"/>
        <v>DL.2376.AFA.001.054.A.521219</v>
      </c>
      <c r="AQ30" s="218" t="str">
        <f>IF(ISNUMBER(SEARCH("COVID",SP2D[[#This Row],[Akun]])),"COVID","Non COVID")</f>
        <v>Non COVID</v>
      </c>
      <c r="AR3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3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0" s="232">
        <f>SUM('PER BULAN'!BA56)</f>
        <v>0</v>
      </c>
      <c r="AU30" s="232">
        <f>SUM('PER BULAN'!BB56)</f>
        <v>0</v>
      </c>
      <c r="AV30" s="232">
        <f>SUM('PER BULAN'!BC56)</f>
        <v>0</v>
      </c>
      <c r="AW30" s="232">
        <f>SUM('PER BULAN'!BD56)</f>
        <v>0</v>
      </c>
      <c r="AX30" s="232">
        <f>SUM('PER BULAN'!BE56)</f>
        <v>0</v>
      </c>
      <c r="AY30" s="232">
        <f>SUM('PER BULAN'!BF56)</f>
        <v>0</v>
      </c>
      <c r="AZ30" s="232">
        <f>SUM('PER BULAN'!BG56)</f>
        <v>0</v>
      </c>
      <c r="BA30" s="232">
        <f>SUM('PER BULAN'!BH56)</f>
        <v>0</v>
      </c>
    </row>
    <row r="31" spans="1:53" s="219" customFormat="1" x14ac:dyDescent="0.25">
      <c r="A31" s="218" t="s">
        <v>3885</v>
      </c>
      <c r="B31" s="218" t="s">
        <v>3886</v>
      </c>
      <c r="C31" s="218" t="s">
        <v>3887</v>
      </c>
      <c r="D31" s="218" t="s">
        <v>3888</v>
      </c>
      <c r="E31" s="218" t="s">
        <v>196</v>
      </c>
      <c r="F31" s="218" t="s">
        <v>3898</v>
      </c>
      <c r="G31" s="218" t="s">
        <v>3889</v>
      </c>
      <c r="H31" s="218" t="s">
        <v>3899</v>
      </c>
      <c r="I31" s="218" t="s">
        <v>501</v>
      </c>
      <c r="J31" s="218" t="s">
        <v>3900</v>
      </c>
      <c r="K31" s="218" t="s">
        <v>526</v>
      </c>
      <c r="L31" s="218" t="s">
        <v>3910</v>
      </c>
      <c r="M31" s="218" t="s">
        <v>8</v>
      </c>
      <c r="N31" s="218" t="s">
        <v>3911</v>
      </c>
      <c r="O31" s="218">
        <v>522151</v>
      </c>
      <c r="P31" s="218" t="s">
        <v>3893</v>
      </c>
      <c r="Q31" s="165" cm="1">
        <f t="array" ref="Q31">SUM(_xlfn._xlws.FILTER(DIPA2[PaguRevisi],DIPA2[Akun]=SP2D[[#This Row],[Kode Akun]],0))</f>
        <v>10000000</v>
      </c>
      <c r="R31" s="350">
        <v>10000000</v>
      </c>
      <c r="S31" s="350"/>
      <c r="T31" s="350">
        <f>SP2D[[#This Row],[Pagu Semula]]-SP2D[[#This Row],[Pagu]]</f>
        <v>0</v>
      </c>
      <c r="U31" s="232">
        <f>SUM('PER BULAN'!J57:L57)</f>
        <v>0</v>
      </c>
      <c r="V31" s="232">
        <f>SUM('PER BULAN'!M57:O57)</f>
        <v>0</v>
      </c>
      <c r="W31" s="232">
        <f>SUM('PER BULAN'!P57:R57)</f>
        <v>0</v>
      </c>
      <c r="X31" s="232">
        <f>SUM('PER BULAN'!S57:U57)</f>
        <v>7200000</v>
      </c>
      <c r="Y31" s="232">
        <f>SUM('PER BULAN'!V57:X57)</f>
        <v>0</v>
      </c>
      <c r="Z31" s="232">
        <f>SUM('PER BULAN'!Y57:AA57)</f>
        <v>0</v>
      </c>
      <c r="AA31" s="232">
        <f>SUM('PER BULAN'!AB57:AD57)</f>
        <v>0</v>
      </c>
      <c r="AB31" s="232">
        <f>SUM('PER BULAN'!AE57:AG57)</f>
        <v>0</v>
      </c>
      <c r="AC31" s="232">
        <f>SUM('PER BULAN'!AH57:AJ57)</f>
        <v>0</v>
      </c>
      <c r="AD31" s="232">
        <f>SUM('PER BULAN'!AK57:AM57)</f>
        <v>0</v>
      </c>
      <c r="AE31" s="232">
        <f>SUM('PER BULAN'!AN57:AP57)</f>
        <v>0</v>
      </c>
      <c r="AF31" s="232">
        <f>SUM('PER BULAN'!AQ57:AS57)</f>
        <v>0</v>
      </c>
      <c r="AG31" s="218" t="s">
        <v>530</v>
      </c>
      <c r="AH31" s="218" t="s">
        <v>535</v>
      </c>
      <c r="AI31" s="218" t="s">
        <v>538</v>
      </c>
      <c r="AJ31" s="218" t="s">
        <v>3891</v>
      </c>
      <c r="AK31" s="218" t="s">
        <v>3892</v>
      </c>
      <c r="AL31" s="384">
        <f t="shared" si="0"/>
        <v>7200000</v>
      </c>
      <c r="AM31" s="231">
        <f t="shared" si="1"/>
        <v>72</v>
      </c>
      <c r="AN31" s="384">
        <f t="shared" si="2"/>
        <v>2800000</v>
      </c>
      <c r="AO31" s="231">
        <f t="shared" si="3"/>
        <v>28.000000000000004</v>
      </c>
      <c r="AP31" s="218" t="str">
        <f t="shared" si="4"/>
        <v>DL.2376.AFA.001.054.A.522151</v>
      </c>
      <c r="AQ31" s="218" t="str">
        <f>IF(ISNUMBER(SEARCH("COVID",SP2D[[#This Row],[Akun]])),"COVID","Non COVID")</f>
        <v>Non COVID</v>
      </c>
      <c r="AR3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1" s="232">
        <f>SUM('PER BULAN'!BA57)</f>
        <v>0</v>
      </c>
      <c r="AU31" s="232">
        <f>SUM('PER BULAN'!BB57)</f>
        <v>0</v>
      </c>
      <c r="AV31" s="232">
        <f>SUM('PER BULAN'!BC57)</f>
        <v>0</v>
      </c>
      <c r="AW31" s="232">
        <f>SUM('PER BULAN'!BD57)</f>
        <v>0</v>
      </c>
      <c r="AX31" s="232">
        <f>SUM('PER BULAN'!BE57)</f>
        <v>0</v>
      </c>
      <c r="AY31" s="232">
        <f>SUM('PER BULAN'!BF57)</f>
        <v>0</v>
      </c>
      <c r="AZ31" s="232">
        <f>SUM('PER BULAN'!BG57)</f>
        <v>0</v>
      </c>
      <c r="BA31" s="232">
        <f>SUM('PER BULAN'!BH57)</f>
        <v>0</v>
      </c>
    </row>
    <row r="32" spans="1:53" s="219" customFormat="1" x14ac:dyDescent="0.25">
      <c r="A32" s="218" t="s">
        <v>3885</v>
      </c>
      <c r="B32" s="218" t="s">
        <v>3886</v>
      </c>
      <c r="C32" s="218" t="s">
        <v>3887</v>
      </c>
      <c r="D32" s="218" t="s">
        <v>3888</v>
      </c>
      <c r="E32" s="218" t="s">
        <v>196</v>
      </c>
      <c r="F32" s="218" t="s">
        <v>3898</v>
      </c>
      <c r="G32" s="218" t="s">
        <v>3889</v>
      </c>
      <c r="H32" s="218" t="s">
        <v>3899</v>
      </c>
      <c r="I32" s="218" t="s">
        <v>501</v>
      </c>
      <c r="J32" s="218" t="s">
        <v>3900</v>
      </c>
      <c r="K32" s="218" t="s">
        <v>526</v>
      </c>
      <c r="L32" s="218" t="s">
        <v>3910</v>
      </c>
      <c r="M32" s="218" t="s">
        <v>8</v>
      </c>
      <c r="N32" s="218" t="s">
        <v>3911</v>
      </c>
      <c r="O32" s="218" t="s">
        <v>518</v>
      </c>
      <c r="P32" s="218" t="s">
        <v>3895</v>
      </c>
      <c r="Q32" s="165" cm="1">
        <f t="array" ref="Q32">SUM(_xlfn._xlws.FILTER(DIPA2[PaguRevisi],DIPA2[Akun]=SP2D[[#This Row],[Kode Akun]],0))</f>
        <v>5000000</v>
      </c>
      <c r="R32" s="350">
        <v>5000000</v>
      </c>
      <c r="S32" s="350"/>
      <c r="T32" s="350">
        <f>SP2D[[#This Row],[Pagu Semula]]-SP2D[[#This Row],[Pagu]]</f>
        <v>0</v>
      </c>
      <c r="U32" s="232">
        <f>SUM('PER BULAN'!J58:L58)</f>
        <v>0</v>
      </c>
      <c r="V32" s="232">
        <f>SUM('PER BULAN'!M58:O58)</f>
        <v>0</v>
      </c>
      <c r="W32" s="232">
        <f>SUM('PER BULAN'!P58:R58)</f>
        <v>0</v>
      </c>
      <c r="X32" s="232">
        <f>SUM('PER BULAN'!S58:U58)</f>
        <v>0</v>
      </c>
      <c r="Y32" s="232">
        <f>SUM('PER BULAN'!V58:X58)</f>
        <v>0</v>
      </c>
      <c r="Z32" s="232">
        <f>SUM('PER BULAN'!Y58:AA58)</f>
        <v>0</v>
      </c>
      <c r="AA32" s="232">
        <f>SUM('PER BULAN'!AB58:AD58)</f>
        <v>0</v>
      </c>
      <c r="AB32" s="232">
        <f>SUM('PER BULAN'!AE58:AG58)</f>
        <v>0</v>
      </c>
      <c r="AC32" s="232">
        <f>SUM('PER BULAN'!AH58:AJ58)</f>
        <v>0</v>
      </c>
      <c r="AD32" s="232">
        <f>SUM('PER BULAN'!AK58:AM58)</f>
        <v>0</v>
      </c>
      <c r="AE32" s="232">
        <f>SUM('PER BULAN'!AN58:AP58)</f>
        <v>0</v>
      </c>
      <c r="AF32" s="232">
        <f>SUM('PER BULAN'!AQ58:AS58)</f>
        <v>0</v>
      </c>
      <c r="AG32" s="218" t="s">
        <v>530</v>
      </c>
      <c r="AH32" s="218" t="s">
        <v>535</v>
      </c>
      <c r="AI32" s="218" t="s">
        <v>538</v>
      </c>
      <c r="AJ32" s="218" t="s">
        <v>3891</v>
      </c>
      <c r="AK32" s="218" t="s">
        <v>3892</v>
      </c>
      <c r="AL32" s="384">
        <f t="shared" si="0"/>
        <v>0</v>
      </c>
      <c r="AM32" s="231">
        <f t="shared" si="1"/>
        <v>0</v>
      </c>
      <c r="AN32" s="384">
        <f t="shared" si="2"/>
        <v>5000000</v>
      </c>
      <c r="AO32" s="231">
        <f t="shared" si="3"/>
        <v>100</v>
      </c>
      <c r="AP32" s="218" t="str">
        <f t="shared" si="4"/>
        <v>DL.2376.AFA.001.054.A.522192</v>
      </c>
      <c r="AQ32" s="218" t="str">
        <f>IF(ISNUMBER(SEARCH("COVID",SP2D[[#This Row],[Akun]])),"COVID","Non COVID")</f>
        <v>COVID</v>
      </c>
      <c r="AR3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2" s="232">
        <f>SUM('PER BULAN'!BA58)</f>
        <v>0</v>
      </c>
      <c r="AU32" s="232">
        <f>SUM('PER BULAN'!BB58)</f>
        <v>0</v>
      </c>
      <c r="AV32" s="232">
        <f>SUM('PER BULAN'!BC58)</f>
        <v>0</v>
      </c>
      <c r="AW32" s="232">
        <f>SUM('PER BULAN'!BD58)</f>
        <v>0</v>
      </c>
      <c r="AX32" s="232">
        <f>SUM('PER BULAN'!BE58)</f>
        <v>0</v>
      </c>
      <c r="AY32" s="232">
        <f>SUM('PER BULAN'!BF58)</f>
        <v>0</v>
      </c>
      <c r="AZ32" s="232">
        <f>SUM('PER BULAN'!BG58)</f>
        <v>0</v>
      </c>
      <c r="BA32" s="232">
        <f>SUM('PER BULAN'!BH58)</f>
        <v>0</v>
      </c>
    </row>
    <row r="33" spans="1:53" s="219" customFormat="1" x14ac:dyDescent="0.25">
      <c r="A33" s="218" t="s">
        <v>3885</v>
      </c>
      <c r="B33" s="218" t="s">
        <v>3886</v>
      </c>
      <c r="C33" s="218" t="s">
        <v>3887</v>
      </c>
      <c r="D33" s="218" t="s">
        <v>3888</v>
      </c>
      <c r="E33" s="218" t="s">
        <v>196</v>
      </c>
      <c r="F33" s="218" t="s">
        <v>3898</v>
      </c>
      <c r="G33" s="218" t="s">
        <v>3889</v>
      </c>
      <c r="H33" s="218" t="s">
        <v>3899</v>
      </c>
      <c r="I33" s="218" t="s">
        <v>501</v>
      </c>
      <c r="J33" s="218" t="s">
        <v>3900</v>
      </c>
      <c r="K33" s="218" t="s">
        <v>526</v>
      </c>
      <c r="L33" s="218" t="s">
        <v>3910</v>
      </c>
      <c r="M33" s="218" t="s">
        <v>8</v>
      </c>
      <c r="N33" s="218" t="s">
        <v>3911</v>
      </c>
      <c r="O33" s="218" t="s">
        <v>513</v>
      </c>
      <c r="P33" s="218" t="s">
        <v>3894</v>
      </c>
      <c r="Q33" s="165" cm="1">
        <f t="array" ref="Q33">SUM(_xlfn._xlws.FILTER(DIPA2[PaguRevisi],DIPA2[Akun]=SP2D[[#This Row],[Kode Akun]],0))</f>
        <v>97416000</v>
      </c>
      <c r="R33" s="350">
        <v>97416000</v>
      </c>
      <c r="S33" s="350"/>
      <c r="T33" s="350">
        <f>SP2D[[#This Row],[Pagu Semula]]-SP2D[[#This Row],[Pagu]]</f>
        <v>0</v>
      </c>
      <c r="U33" s="232">
        <f>SUM('PER BULAN'!J59:L59)</f>
        <v>0</v>
      </c>
      <c r="V33" s="232">
        <f>SUM('PER BULAN'!M59:O59)</f>
        <v>0</v>
      </c>
      <c r="W33" s="232">
        <f>SUM('PER BULAN'!P59:R59)</f>
        <v>28850000</v>
      </c>
      <c r="X33" s="232">
        <f>SUM('PER BULAN'!S59:U59)</f>
        <v>6320000</v>
      </c>
      <c r="Y33" s="232">
        <f>SUM('PER BULAN'!V59:X59)</f>
        <v>0</v>
      </c>
      <c r="Z33" s="232">
        <f>SUM('PER BULAN'!Y59:AA59)</f>
        <v>22748610</v>
      </c>
      <c r="AA33" s="232">
        <f>SUM('PER BULAN'!AB59:AD59)</f>
        <v>0</v>
      </c>
      <c r="AB33" s="232">
        <f>SUM('PER BULAN'!AE59:AG59)</f>
        <v>0</v>
      </c>
      <c r="AC33" s="232">
        <f>SUM('PER BULAN'!AH59:AJ59)</f>
        <v>0</v>
      </c>
      <c r="AD33" s="232">
        <f>SUM('PER BULAN'!AK59:AM59)</f>
        <v>0</v>
      </c>
      <c r="AE33" s="232">
        <f>SUM('PER BULAN'!AN59:AP59)</f>
        <v>0</v>
      </c>
      <c r="AF33" s="232">
        <f>SUM('PER BULAN'!AQ59:AS59)</f>
        <v>0</v>
      </c>
      <c r="AG33" s="218" t="s">
        <v>530</v>
      </c>
      <c r="AH33" s="218" t="s">
        <v>535</v>
      </c>
      <c r="AI33" s="218" t="s">
        <v>538</v>
      </c>
      <c r="AJ33" s="218" t="s">
        <v>3891</v>
      </c>
      <c r="AK33" s="218" t="s">
        <v>3892</v>
      </c>
      <c r="AL33" s="384">
        <f t="shared" si="0"/>
        <v>57918610</v>
      </c>
      <c r="AM33" s="231">
        <f t="shared" si="1"/>
        <v>59.454925268949651</v>
      </c>
      <c r="AN33" s="384">
        <f t="shared" si="2"/>
        <v>39497390</v>
      </c>
      <c r="AO33" s="231">
        <f t="shared" si="3"/>
        <v>40.545074731050342</v>
      </c>
      <c r="AP33" s="218" t="str">
        <f t="shared" si="4"/>
        <v>DL.2376.AFA.001.054.A.524111</v>
      </c>
      <c r="AQ33" s="218" t="str">
        <f>IF(ISNUMBER(SEARCH("COVID",SP2D[[#This Row],[Akun]])),"COVID","Non COVID")</f>
        <v>Non COVID</v>
      </c>
      <c r="AR3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3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3" s="232">
        <f>SUM('PER BULAN'!BA59)</f>
        <v>0</v>
      </c>
      <c r="AU33" s="232">
        <f>SUM('PER BULAN'!BB59)</f>
        <v>17010000</v>
      </c>
      <c r="AV33" s="232">
        <f>SUM('PER BULAN'!BC59)</f>
        <v>11840000</v>
      </c>
      <c r="AW33" s="232">
        <f>SUM('PER BULAN'!BD59)</f>
        <v>0</v>
      </c>
      <c r="AX33" s="232">
        <f>SUM('PER BULAN'!BE59)</f>
        <v>0</v>
      </c>
      <c r="AY33" s="232">
        <f>SUM('PER BULAN'!BF59)</f>
        <v>0</v>
      </c>
      <c r="AZ33" s="232">
        <f>SUM('PER BULAN'!BG59)</f>
        <v>0</v>
      </c>
      <c r="BA33" s="232">
        <f>SUM('PER BULAN'!BH59)</f>
        <v>0</v>
      </c>
    </row>
    <row r="34" spans="1:53" s="219" customFormat="1" x14ac:dyDescent="0.25">
      <c r="A34" s="218" t="s">
        <v>3885</v>
      </c>
      <c r="B34" s="218" t="s">
        <v>3886</v>
      </c>
      <c r="C34" s="218" t="s">
        <v>3912</v>
      </c>
      <c r="D34" s="218" t="s">
        <v>3913</v>
      </c>
      <c r="E34" s="218" t="s">
        <v>197</v>
      </c>
      <c r="F34" s="218" t="s">
        <v>3914</v>
      </c>
      <c r="G34" s="218" t="s">
        <v>3924</v>
      </c>
      <c r="H34" s="218" t="s">
        <v>3925</v>
      </c>
      <c r="I34" s="218" t="s">
        <v>501</v>
      </c>
      <c r="J34" s="218" t="s">
        <v>3926</v>
      </c>
      <c r="K34" s="218">
        <v>301</v>
      </c>
      <c r="L34" s="218" t="s">
        <v>3928</v>
      </c>
      <c r="M34" s="218" t="s">
        <v>8</v>
      </c>
      <c r="N34" s="218" t="s">
        <v>3927</v>
      </c>
      <c r="O34" s="218">
        <v>532111</v>
      </c>
      <c r="P34" s="218" t="s">
        <v>3897</v>
      </c>
      <c r="Q34" s="165" cm="1">
        <f t="array" ref="Q34">SUM(_xlfn._xlws.FILTER(DIPA2[PaguRevisi],DIPA2[Akun]=SP2D[[#This Row],[Kode Akun]],0))</f>
        <v>114200000</v>
      </c>
      <c r="R34" s="350">
        <v>115000000</v>
      </c>
      <c r="S34" s="350"/>
      <c r="T34" s="350">
        <f>SP2D[[#This Row],[Pagu Semula]]-SP2D[[#This Row],[Pagu]]</f>
        <v>800000</v>
      </c>
      <c r="U34" s="232">
        <f>SUM('PER BULAN'!J66:L66)</f>
        <v>0</v>
      </c>
      <c r="V34" s="232">
        <f>SUM('PER BULAN'!M66:O66)</f>
        <v>0</v>
      </c>
      <c r="W34" s="232">
        <f>SUM('PER BULAN'!P66:R66)</f>
        <v>0</v>
      </c>
      <c r="X34" s="232">
        <f>SUM('PER BULAN'!S66:U66)</f>
        <v>0</v>
      </c>
      <c r="Y34" s="232">
        <f>SUM('PER BULAN'!V66:X66)</f>
        <v>114200000</v>
      </c>
      <c r="Z34" s="232">
        <f>SUM('PER BULAN'!Y66:AA66)</f>
        <v>0</v>
      </c>
      <c r="AA34" s="232">
        <f>SUM('PER BULAN'!AB66:AD66)</f>
        <v>0</v>
      </c>
      <c r="AB34" s="232">
        <f>SUM('PER BULAN'!AE66:AG66)</f>
        <v>0</v>
      </c>
      <c r="AC34" s="232">
        <f>SUM('PER BULAN'!AH66:AJ66)</f>
        <v>0</v>
      </c>
      <c r="AD34" s="232">
        <f>SUM('PER BULAN'!AK66:AM66)</f>
        <v>0</v>
      </c>
      <c r="AE34" s="232">
        <f>SUM('PER BULAN'!AN66:AP66)</f>
        <v>0</v>
      </c>
      <c r="AF34" s="232">
        <f>SUM('PER BULAN'!AQ66:AS66)</f>
        <v>0</v>
      </c>
      <c r="AG34" s="218" t="s">
        <v>530</v>
      </c>
      <c r="AH34" s="218" t="s">
        <v>576</v>
      </c>
      <c r="AI34" s="218" t="s">
        <v>560</v>
      </c>
      <c r="AJ34" s="218">
        <v>53</v>
      </c>
      <c r="AK34" s="218" t="s">
        <v>3892</v>
      </c>
      <c r="AL34" s="384">
        <f t="shared" si="0"/>
        <v>114200000</v>
      </c>
      <c r="AM34" s="231">
        <f t="shared" si="1"/>
        <v>100</v>
      </c>
      <c r="AN34" s="384">
        <f t="shared" si="2"/>
        <v>0</v>
      </c>
      <c r="AO34" s="231">
        <f t="shared" si="3"/>
        <v>0</v>
      </c>
      <c r="AP34" s="218" t="str">
        <f t="shared" si="4"/>
        <v>WA.2378.CAN.001.301.A.532111</v>
      </c>
      <c r="AQ34" s="218" t="str">
        <f>IF(ISNUMBER(SEARCH("COVID",SP2D[[#This Row],[Akun]])),"COVID","Non COVID")</f>
        <v>Non COVID</v>
      </c>
      <c r="AR3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S34" s="218" t="str">
        <f>IF(AND(ISNUMBER(SEARCH("OPERASIONAL",SP2D[[#This Row],[Komponen]])),ISNUMBER(SEARCH("LAYANAN PERKANTORAN",SP2D[[#This Row],[SubOutput]]))),"Belanja Barang Operasional",IF(LEFT(SP2D[[#This Row],[kdakun]],2)="53","Belanja Modal",IF(LEFT(SP2D[[#This Row],[kdakun]],2)="51","Belanja Pegawai","Belanja Barang Non Operasional")))</f>
        <v>Belanja Modal</v>
      </c>
      <c r="AT34" s="232">
        <f>SUM('PER BULAN'!BA66)</f>
        <v>0</v>
      </c>
      <c r="AU34" s="232">
        <f>SUM('PER BULAN'!BB66)</f>
        <v>0</v>
      </c>
      <c r="AV34" s="232">
        <f>SUM('PER BULAN'!BC66)</f>
        <v>0</v>
      </c>
      <c r="AW34" s="232">
        <f>SUM('PER BULAN'!BD66)</f>
        <v>0</v>
      </c>
      <c r="AX34" s="232">
        <f>SUM('PER BULAN'!BE66)</f>
        <v>0</v>
      </c>
      <c r="AY34" s="232">
        <f>SUM('PER BULAN'!BF66)</f>
        <v>0</v>
      </c>
      <c r="AZ34" s="232">
        <f>SUM('PER BULAN'!BG66)</f>
        <v>0</v>
      </c>
      <c r="BA34" s="232">
        <f>SUM('PER BULAN'!BH66)</f>
        <v>0</v>
      </c>
    </row>
    <row r="35" spans="1:53" s="219" customFormat="1" x14ac:dyDescent="0.25">
      <c r="A35" s="218" t="s">
        <v>3885</v>
      </c>
      <c r="B35" s="218" t="s">
        <v>3886</v>
      </c>
      <c r="C35" s="218" t="s">
        <v>3912</v>
      </c>
      <c r="D35" s="218" t="s">
        <v>3913</v>
      </c>
      <c r="E35" s="218" t="s">
        <v>197</v>
      </c>
      <c r="F35" s="218" t="s">
        <v>3914</v>
      </c>
      <c r="G35" s="218" t="s">
        <v>3929</v>
      </c>
      <c r="H35" s="218" t="s">
        <v>3930</v>
      </c>
      <c r="I35" s="218">
        <v>958</v>
      </c>
      <c r="J35" s="218" t="s">
        <v>3933</v>
      </c>
      <c r="K35" s="218">
        <v>311</v>
      </c>
      <c r="L35" s="218" t="s">
        <v>3932</v>
      </c>
      <c r="M35" s="218" t="s">
        <v>8</v>
      </c>
      <c r="N35" s="218" t="s">
        <v>3931</v>
      </c>
      <c r="O35" s="218">
        <v>521211</v>
      </c>
      <c r="P35" s="218" t="s">
        <v>3890</v>
      </c>
      <c r="Q35" s="165" cm="1">
        <f t="array" ref="Q35">SUM(_xlfn._xlws.FILTER(DIPA2[PaguRevisi],DIPA2[Akun]=SP2D[[#This Row],[Kode Akun]],0))</f>
        <v>12400000</v>
      </c>
      <c r="R35" s="350">
        <v>14400000</v>
      </c>
      <c r="S35" s="350"/>
      <c r="T35" s="350">
        <f>SP2D[[#This Row],[Pagu Semula]]-SP2D[[#This Row],[Pagu]]</f>
        <v>2000000</v>
      </c>
      <c r="U35" s="232">
        <f>SUM('PER BULAN'!J71:L71)</f>
        <v>0</v>
      </c>
      <c r="V35" s="232">
        <f>SUM('PER BULAN'!M71:O71)</f>
        <v>0</v>
      </c>
      <c r="W35" s="232">
        <f>SUM('PER BULAN'!P71:R71)</f>
        <v>2876000</v>
      </c>
      <c r="X35" s="232">
        <f>SUM('PER BULAN'!S71:U71)</f>
        <v>0</v>
      </c>
      <c r="Y35" s="232">
        <f>SUM('PER BULAN'!V71:X71)</f>
        <v>3071500</v>
      </c>
      <c r="Z35" s="232">
        <f>SUM('PER BULAN'!Y71:AA71)</f>
        <v>0</v>
      </c>
      <c r="AA35" s="232">
        <f>SUM('PER BULAN'!AB71:AD71)</f>
        <v>0</v>
      </c>
      <c r="AB35" s="232">
        <f>SUM('PER BULAN'!AE71:AG71)</f>
        <v>0</v>
      </c>
      <c r="AC35" s="232">
        <f>SUM('PER BULAN'!AH71:AJ71)</f>
        <v>0</v>
      </c>
      <c r="AD35" s="232">
        <f>SUM('PER BULAN'!AK71:AM71)</f>
        <v>0</v>
      </c>
      <c r="AE35" s="232">
        <f>SUM('PER BULAN'!AN71:AP71)</f>
        <v>0</v>
      </c>
      <c r="AF35" s="232">
        <f>SUM('PER BULAN'!AQ71:AS71)</f>
        <v>0</v>
      </c>
      <c r="AG35" s="218" t="s">
        <v>530</v>
      </c>
      <c r="AH35" s="218" t="s">
        <v>542</v>
      </c>
      <c r="AI35" s="218" t="s">
        <v>543</v>
      </c>
      <c r="AJ35" s="218" t="s">
        <v>3891</v>
      </c>
      <c r="AK35" s="218" t="s">
        <v>3892</v>
      </c>
      <c r="AL35" s="384">
        <f t="shared" si="0"/>
        <v>5947500</v>
      </c>
      <c r="AM35" s="231">
        <f t="shared" si="1"/>
        <v>47.963709677419352</v>
      </c>
      <c r="AN35" s="384">
        <f t="shared" si="2"/>
        <v>6452500</v>
      </c>
      <c r="AO35" s="231">
        <f t="shared" si="3"/>
        <v>52.036290322580648</v>
      </c>
      <c r="AP35" s="218" t="str">
        <f t="shared" si="4"/>
        <v>WA.2378.EBA.958.311.A.521211</v>
      </c>
      <c r="AQ35" s="218" t="str">
        <f>IF(ISNUMBER(SEARCH("COVID",SP2D[[#This Row],[Akun]])),"COVID","Non COVID")</f>
        <v>Non COVID</v>
      </c>
      <c r="AR3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3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5" s="232">
        <f>SUM('PER BULAN'!BA71)</f>
        <v>0</v>
      </c>
      <c r="AU35" s="232">
        <f>SUM('PER BULAN'!BB71)</f>
        <v>986000</v>
      </c>
      <c r="AV35" s="232">
        <f>SUM('PER BULAN'!BC71)</f>
        <v>1890000</v>
      </c>
      <c r="AW35" s="232">
        <f>SUM('PER BULAN'!BD71)</f>
        <v>0</v>
      </c>
      <c r="AX35" s="232">
        <f>SUM('PER BULAN'!BE71)</f>
        <v>0</v>
      </c>
      <c r="AY35" s="232">
        <f>SUM('PER BULAN'!BF71)</f>
        <v>0</v>
      </c>
      <c r="AZ35" s="232">
        <f>SUM('PER BULAN'!BG71)</f>
        <v>3071500</v>
      </c>
      <c r="BA35" s="232">
        <f>SUM('PER BULAN'!BH71)</f>
        <v>0</v>
      </c>
    </row>
    <row r="36" spans="1:53" s="219" customFormat="1" x14ac:dyDescent="0.25">
      <c r="A36" s="218" t="s">
        <v>3885</v>
      </c>
      <c r="B36" s="218" t="s">
        <v>3886</v>
      </c>
      <c r="C36" s="218" t="s">
        <v>3912</v>
      </c>
      <c r="D36" s="218" t="s">
        <v>3913</v>
      </c>
      <c r="E36" s="218" t="s">
        <v>197</v>
      </c>
      <c r="F36" s="218" t="s">
        <v>3914</v>
      </c>
      <c r="G36" s="218" t="s">
        <v>3929</v>
      </c>
      <c r="H36" s="218" t="s">
        <v>3930</v>
      </c>
      <c r="I36" s="218">
        <v>958</v>
      </c>
      <c r="J36" s="218" t="s">
        <v>3933</v>
      </c>
      <c r="K36" s="218">
        <v>311</v>
      </c>
      <c r="L36" s="218" t="s">
        <v>3932</v>
      </c>
      <c r="M36" s="218" t="s">
        <v>8</v>
      </c>
      <c r="N36" s="218" t="s">
        <v>3931</v>
      </c>
      <c r="O36" s="218">
        <v>521219</v>
      </c>
      <c r="P36" s="218" t="s">
        <v>3903</v>
      </c>
      <c r="Q36" s="165" cm="1">
        <f t="array" ref="Q36">SUM(_xlfn._xlws.FILTER(DIPA2[PaguRevisi],DIPA2[Akun]=SP2D[[#This Row],[Kode Akun]],0))</f>
        <v>0</v>
      </c>
      <c r="R36" s="350">
        <v>8000000</v>
      </c>
      <c r="S36" s="350"/>
      <c r="T36" s="350">
        <f>SP2D[[#This Row],[Pagu Semula]]-SP2D[[#This Row],[Pagu]]</f>
        <v>8000000</v>
      </c>
      <c r="U36" s="232">
        <f>SUM('PER BULAN'!J72:L72)</f>
        <v>0</v>
      </c>
      <c r="V36" s="232">
        <f>SUM('PER BULAN'!M72:O72)</f>
        <v>0</v>
      </c>
      <c r="W36" s="232">
        <f>SUM('PER BULAN'!P72:R72)</f>
        <v>0</v>
      </c>
      <c r="X36" s="232">
        <f>SUM('PER BULAN'!S72:U72)</f>
        <v>0</v>
      </c>
      <c r="Y36" s="232">
        <f>SUM('PER BULAN'!V72:X72)</f>
        <v>0</v>
      </c>
      <c r="Z36" s="232">
        <f>SUM('PER BULAN'!Y72:AA72)</f>
        <v>0</v>
      </c>
      <c r="AA36" s="232">
        <f>SUM('PER BULAN'!AB72:AD72)</f>
        <v>0</v>
      </c>
      <c r="AB36" s="232">
        <f>SUM('PER BULAN'!AE72:AG72)</f>
        <v>0</v>
      </c>
      <c r="AC36" s="232">
        <f>SUM('PER BULAN'!AH72:AJ72)</f>
        <v>0</v>
      </c>
      <c r="AD36" s="232">
        <f>SUM('PER BULAN'!AK72:AM72)</f>
        <v>0</v>
      </c>
      <c r="AE36" s="232">
        <f>SUM('PER BULAN'!AN72:AP72)</f>
        <v>0</v>
      </c>
      <c r="AF36" s="232">
        <f>SUM('PER BULAN'!AQ72:AS72)</f>
        <v>0</v>
      </c>
      <c r="AG36" s="218" t="s">
        <v>530</v>
      </c>
      <c r="AH36" s="218" t="s">
        <v>542</v>
      </c>
      <c r="AI36" s="218" t="s">
        <v>543</v>
      </c>
      <c r="AJ36" s="218" t="s">
        <v>3891</v>
      </c>
      <c r="AK36" s="218" t="s">
        <v>3892</v>
      </c>
      <c r="AL36" s="384">
        <f t="shared" si="0"/>
        <v>0</v>
      </c>
      <c r="AM36" s="231">
        <f t="shared" si="1"/>
        <v>0</v>
      </c>
      <c r="AN36" s="384">
        <f t="shared" si="2"/>
        <v>0</v>
      </c>
      <c r="AO36" s="231">
        <f t="shared" si="3"/>
        <v>0</v>
      </c>
      <c r="AP36" s="218" t="str">
        <f t="shared" si="4"/>
        <v>WA.2378.EBA.958.311.A.521219</v>
      </c>
      <c r="AQ36" s="218" t="str">
        <f>IF(ISNUMBER(SEARCH("COVID",SP2D[[#This Row],[Akun]])),"COVID","Non COVID")</f>
        <v>Non COVID</v>
      </c>
      <c r="AR3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3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6" s="232">
        <f>SUM('PER BULAN'!BA72)</f>
        <v>0</v>
      </c>
      <c r="AU36" s="232">
        <f>SUM('PER BULAN'!BB72)</f>
        <v>0</v>
      </c>
      <c r="AV36" s="232">
        <f>SUM('PER BULAN'!BC72)</f>
        <v>0</v>
      </c>
      <c r="AW36" s="232">
        <f>SUM('PER BULAN'!BD72)</f>
        <v>0</v>
      </c>
      <c r="AX36" s="232">
        <f>SUM('PER BULAN'!BE72)</f>
        <v>0</v>
      </c>
      <c r="AY36" s="232">
        <f>SUM('PER BULAN'!BF72)</f>
        <v>0</v>
      </c>
      <c r="AZ36" s="232">
        <f>SUM('PER BULAN'!BG72)</f>
        <v>0</v>
      </c>
      <c r="BA36" s="232">
        <f>SUM('PER BULAN'!BH72)</f>
        <v>0</v>
      </c>
    </row>
    <row r="37" spans="1:53" s="219" customFormat="1" x14ac:dyDescent="0.25">
      <c r="A37" s="218" t="s">
        <v>3885</v>
      </c>
      <c r="B37" s="218" t="s">
        <v>3886</v>
      </c>
      <c r="C37" s="218" t="s">
        <v>3912</v>
      </c>
      <c r="D37" s="218" t="s">
        <v>3913</v>
      </c>
      <c r="E37" s="218" t="s">
        <v>197</v>
      </c>
      <c r="F37" s="218" t="s">
        <v>3914</v>
      </c>
      <c r="G37" s="218" t="s">
        <v>3929</v>
      </c>
      <c r="H37" s="218" t="s">
        <v>3930</v>
      </c>
      <c r="I37" s="218">
        <v>958</v>
      </c>
      <c r="J37" s="218" t="s">
        <v>3933</v>
      </c>
      <c r="K37" s="218">
        <v>311</v>
      </c>
      <c r="L37" s="218" t="s">
        <v>3932</v>
      </c>
      <c r="M37" s="218" t="s">
        <v>8</v>
      </c>
      <c r="N37" s="218" t="s">
        <v>3931</v>
      </c>
      <c r="O37" s="218">
        <v>521811</v>
      </c>
      <c r="P37" s="218" t="s">
        <v>3908</v>
      </c>
      <c r="Q37" s="165" cm="1">
        <f t="array" ref="Q37">SUM(_xlfn._xlws.FILTER(DIPA2[PaguRevisi],DIPA2[Akun]=SP2D[[#This Row],[Kode Akun]],0))</f>
        <v>10000000</v>
      </c>
      <c r="R37" s="350">
        <v>12000000</v>
      </c>
      <c r="S37" s="350"/>
      <c r="T37" s="350">
        <f>SP2D[[#This Row],[Pagu Semula]]-SP2D[[#This Row],[Pagu]]</f>
        <v>2000000</v>
      </c>
      <c r="U37" s="232">
        <f>SUM('PER BULAN'!J73:L73)</f>
        <v>0</v>
      </c>
      <c r="V37" s="232">
        <f>SUM('PER BULAN'!M73:O73)</f>
        <v>0</v>
      </c>
      <c r="W37" s="232">
        <f>SUM('PER BULAN'!P73:R73)</f>
        <v>2450750</v>
      </c>
      <c r="X37" s="232">
        <f>SUM('PER BULAN'!S73:U73)</f>
        <v>0</v>
      </c>
      <c r="Y37" s="232">
        <f>SUM('PER BULAN'!V73:X73)</f>
        <v>1929000</v>
      </c>
      <c r="Z37" s="232">
        <f>SUM('PER BULAN'!Y73:AA73)</f>
        <v>0</v>
      </c>
      <c r="AA37" s="232">
        <f>SUM('PER BULAN'!AB73:AD73)</f>
        <v>0</v>
      </c>
      <c r="AB37" s="232">
        <f>SUM('PER BULAN'!AE73:AG73)</f>
        <v>0</v>
      </c>
      <c r="AC37" s="232">
        <f>SUM('PER BULAN'!AH73:AJ73)</f>
        <v>0</v>
      </c>
      <c r="AD37" s="232">
        <f>SUM('PER BULAN'!AK73:AM73)</f>
        <v>0</v>
      </c>
      <c r="AE37" s="232">
        <f>SUM('PER BULAN'!AN73:AP73)</f>
        <v>0</v>
      </c>
      <c r="AF37" s="232">
        <f>SUM('PER BULAN'!AQ73:AS73)</f>
        <v>0</v>
      </c>
      <c r="AG37" s="218" t="s">
        <v>530</v>
      </c>
      <c r="AH37" s="218" t="s">
        <v>542</v>
      </c>
      <c r="AI37" s="218" t="s">
        <v>543</v>
      </c>
      <c r="AJ37" s="218" t="s">
        <v>3891</v>
      </c>
      <c r="AK37" s="218" t="s">
        <v>3892</v>
      </c>
      <c r="AL37" s="384">
        <f t="shared" si="0"/>
        <v>4379750</v>
      </c>
      <c r="AM37" s="231">
        <f t="shared" si="1"/>
        <v>43.797499999999999</v>
      </c>
      <c r="AN37" s="384">
        <f t="shared" si="2"/>
        <v>5620250</v>
      </c>
      <c r="AO37" s="231">
        <f t="shared" si="3"/>
        <v>56.202500000000001</v>
      </c>
      <c r="AP37" s="218" t="str">
        <f t="shared" si="4"/>
        <v>WA.2378.EBA.958.311.A.521811</v>
      </c>
      <c r="AQ37" s="218" t="str">
        <f>IF(ISNUMBER(SEARCH("COVID",SP2D[[#This Row],[Akun]])),"COVID","Non COVID")</f>
        <v>Non COVID</v>
      </c>
      <c r="AR3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3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7" s="232">
        <f>SUM('PER BULAN'!BA73)</f>
        <v>0</v>
      </c>
      <c r="AU37" s="232">
        <f>SUM('PER BULAN'!BB73)</f>
        <v>2450750</v>
      </c>
      <c r="AV37" s="232">
        <f>SUM('PER BULAN'!BC73)</f>
        <v>0</v>
      </c>
      <c r="AW37" s="232">
        <f>SUM('PER BULAN'!BD73)</f>
        <v>0</v>
      </c>
      <c r="AX37" s="232">
        <f>SUM('PER BULAN'!BE73)</f>
        <v>0</v>
      </c>
      <c r="AY37" s="232">
        <f>SUM('PER BULAN'!BF73)</f>
        <v>0</v>
      </c>
      <c r="AZ37" s="232">
        <f>SUM('PER BULAN'!BG73)</f>
        <v>1929000</v>
      </c>
      <c r="BA37" s="232">
        <f>SUM('PER BULAN'!BH73)</f>
        <v>0</v>
      </c>
    </row>
    <row r="38" spans="1:53" s="219" customFormat="1" x14ac:dyDescent="0.25">
      <c r="A38" s="218" t="s">
        <v>3885</v>
      </c>
      <c r="B38" s="218" t="s">
        <v>3886</v>
      </c>
      <c r="C38" s="218" t="s">
        <v>3912</v>
      </c>
      <c r="D38" s="218" t="s">
        <v>3913</v>
      </c>
      <c r="E38" s="218" t="s">
        <v>197</v>
      </c>
      <c r="F38" s="218" t="s">
        <v>3914</v>
      </c>
      <c r="G38" s="218" t="s">
        <v>3929</v>
      </c>
      <c r="H38" s="218" t="s">
        <v>3930</v>
      </c>
      <c r="I38" s="218">
        <v>958</v>
      </c>
      <c r="J38" s="218" t="s">
        <v>3933</v>
      </c>
      <c r="K38" s="218">
        <v>311</v>
      </c>
      <c r="L38" s="218" t="s">
        <v>3932</v>
      </c>
      <c r="M38" s="218" t="s">
        <v>8</v>
      </c>
      <c r="N38" s="218" t="s">
        <v>3931</v>
      </c>
      <c r="O38" s="218">
        <v>522151</v>
      </c>
      <c r="P38" s="218" t="s">
        <v>3893</v>
      </c>
      <c r="Q38" s="165" cm="1">
        <f t="array" ref="Q38">SUM(_xlfn._xlws.FILTER(DIPA2[PaguRevisi],DIPA2[Akun]=SP2D[[#This Row],[Kode Akun]],0))</f>
        <v>0</v>
      </c>
      <c r="R38" s="350">
        <v>4000000</v>
      </c>
      <c r="S38" s="350"/>
      <c r="T38" s="350">
        <f>SP2D[[#This Row],[Pagu Semula]]-SP2D[[#This Row],[Pagu]]</f>
        <v>4000000</v>
      </c>
      <c r="U38" s="232">
        <f>SUM('PER BULAN'!J74:L74)</f>
        <v>0</v>
      </c>
      <c r="V38" s="232">
        <f>SUM('PER BULAN'!M74:O74)</f>
        <v>0</v>
      </c>
      <c r="W38" s="232">
        <f>SUM('PER BULAN'!P74:R74)</f>
        <v>0</v>
      </c>
      <c r="X38" s="232">
        <f>SUM('PER BULAN'!S74:U74)</f>
        <v>0</v>
      </c>
      <c r="Y38" s="232">
        <f>SUM('PER BULAN'!V74:X74)</f>
        <v>0</v>
      </c>
      <c r="Z38" s="232">
        <f>SUM('PER BULAN'!Y74:AA74)</f>
        <v>0</v>
      </c>
      <c r="AA38" s="232">
        <f>SUM('PER BULAN'!AB74:AD74)</f>
        <v>0</v>
      </c>
      <c r="AB38" s="232">
        <f>SUM('PER BULAN'!AE74:AG74)</f>
        <v>0</v>
      </c>
      <c r="AC38" s="232">
        <f>SUM('PER BULAN'!AH74:AJ74)</f>
        <v>0</v>
      </c>
      <c r="AD38" s="232">
        <f>SUM('PER BULAN'!AK74:AM74)</f>
        <v>0</v>
      </c>
      <c r="AE38" s="232">
        <f>SUM('PER BULAN'!AN74:AP74)</f>
        <v>0</v>
      </c>
      <c r="AF38" s="232">
        <f>SUM('PER BULAN'!AQ74:AS74)</f>
        <v>0</v>
      </c>
      <c r="AG38" s="218" t="s">
        <v>530</v>
      </c>
      <c r="AH38" s="218" t="s">
        <v>542</v>
      </c>
      <c r="AI38" s="218" t="s">
        <v>543</v>
      </c>
      <c r="AJ38" s="218" t="s">
        <v>3891</v>
      </c>
      <c r="AK38" s="218" t="s">
        <v>3892</v>
      </c>
      <c r="AL38" s="384">
        <f t="shared" si="0"/>
        <v>0</v>
      </c>
      <c r="AM38" s="231">
        <f t="shared" si="1"/>
        <v>0</v>
      </c>
      <c r="AN38" s="384">
        <f t="shared" si="2"/>
        <v>0</v>
      </c>
      <c r="AO38" s="231">
        <f t="shared" si="3"/>
        <v>0</v>
      </c>
      <c r="AP38" s="218" t="str">
        <f t="shared" si="4"/>
        <v>WA.2378.EBA.958.311.A.522151</v>
      </c>
      <c r="AQ38" s="218" t="str">
        <f>IF(ISNUMBER(SEARCH("COVID",SP2D[[#This Row],[Akun]])),"COVID","Non COVID")</f>
        <v>Non COVID</v>
      </c>
      <c r="AR3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8" s="232">
        <f>SUM('PER BULAN'!BA74)</f>
        <v>0</v>
      </c>
      <c r="AU38" s="232">
        <f>SUM('PER BULAN'!BB74)</f>
        <v>0</v>
      </c>
      <c r="AV38" s="232">
        <f>SUM('PER BULAN'!BC74)</f>
        <v>0</v>
      </c>
      <c r="AW38" s="232">
        <f>SUM('PER BULAN'!BD74)</f>
        <v>0</v>
      </c>
      <c r="AX38" s="232">
        <f>SUM('PER BULAN'!BE74)</f>
        <v>0</v>
      </c>
      <c r="AY38" s="232">
        <f>SUM('PER BULAN'!BF74)</f>
        <v>0</v>
      </c>
      <c r="AZ38" s="232">
        <f>SUM('PER BULAN'!BG74)</f>
        <v>0</v>
      </c>
      <c r="BA38" s="232">
        <f>SUM('PER BULAN'!BH74)</f>
        <v>0</v>
      </c>
    </row>
    <row r="39" spans="1:53" s="219" customFormat="1" x14ac:dyDescent="0.25">
      <c r="A39" s="218" t="s">
        <v>3885</v>
      </c>
      <c r="B39" s="218" t="s">
        <v>3886</v>
      </c>
      <c r="C39" s="218" t="s">
        <v>3912</v>
      </c>
      <c r="D39" s="218" t="s">
        <v>3913</v>
      </c>
      <c r="E39" s="218" t="s">
        <v>197</v>
      </c>
      <c r="F39" s="218" t="s">
        <v>3914</v>
      </c>
      <c r="G39" s="218" t="s">
        <v>3929</v>
      </c>
      <c r="H39" s="218" t="s">
        <v>3930</v>
      </c>
      <c r="I39" s="218">
        <v>958</v>
      </c>
      <c r="J39" s="218" t="s">
        <v>3933</v>
      </c>
      <c r="K39" s="218">
        <v>311</v>
      </c>
      <c r="L39" s="218" t="s">
        <v>3932</v>
      </c>
      <c r="M39" s="218" t="s">
        <v>8</v>
      </c>
      <c r="N39" s="218" t="s">
        <v>3931</v>
      </c>
      <c r="O39" s="218" t="s">
        <v>513</v>
      </c>
      <c r="P39" s="218" t="s">
        <v>3894</v>
      </c>
      <c r="Q39" s="165" cm="1">
        <f t="array" ref="Q39">SUM(_xlfn._xlws.FILTER(DIPA2[PaguRevisi],DIPA2[Akun]=SP2D[[#This Row],[Kode Akun]],0))</f>
        <v>90946000</v>
      </c>
      <c r="R39" s="350">
        <v>115380000</v>
      </c>
      <c r="S39" s="350"/>
      <c r="T39" s="350">
        <f>SP2D[[#This Row],[Pagu Semula]]-SP2D[[#This Row],[Pagu]]</f>
        <v>24434000</v>
      </c>
      <c r="U39" s="232">
        <f>SUM('PER BULAN'!J75:L75)</f>
        <v>0</v>
      </c>
      <c r="V39" s="232">
        <f>SUM('PER BULAN'!M75:O75)</f>
        <v>0</v>
      </c>
      <c r="W39" s="232">
        <f>SUM('PER BULAN'!P75:R75)</f>
        <v>0</v>
      </c>
      <c r="X39" s="232">
        <f>SUM('PER BULAN'!S75:U75)</f>
        <v>3570000</v>
      </c>
      <c r="Y39" s="232">
        <f>SUM('PER BULAN'!V75:X75)</f>
        <v>10960600</v>
      </c>
      <c r="Z39" s="232">
        <f>SUM('PER BULAN'!Y75:AA75)</f>
        <v>3840000</v>
      </c>
      <c r="AA39" s="232">
        <f>SUM('PER BULAN'!AB75:AD75)</f>
        <v>0</v>
      </c>
      <c r="AB39" s="232">
        <f>SUM('PER BULAN'!AE75:AG75)</f>
        <v>0</v>
      </c>
      <c r="AC39" s="232">
        <f>SUM('PER BULAN'!AH75:AJ75)</f>
        <v>0</v>
      </c>
      <c r="AD39" s="232">
        <f>SUM('PER BULAN'!AK75:AM75)</f>
        <v>0</v>
      </c>
      <c r="AE39" s="232">
        <f>SUM('PER BULAN'!AN75:AP75)</f>
        <v>0</v>
      </c>
      <c r="AF39" s="232">
        <f>SUM('PER BULAN'!AQ75:AS75)</f>
        <v>0</v>
      </c>
      <c r="AG39" s="218" t="s">
        <v>530</v>
      </c>
      <c r="AH39" s="218" t="s">
        <v>542</v>
      </c>
      <c r="AI39" s="218" t="s">
        <v>543</v>
      </c>
      <c r="AJ39" s="218" t="s">
        <v>3891</v>
      </c>
      <c r="AK39" s="218" t="s">
        <v>3892</v>
      </c>
      <c r="AL39" s="384">
        <f t="shared" si="0"/>
        <v>18370600</v>
      </c>
      <c r="AM39" s="231">
        <f t="shared" si="1"/>
        <v>20.199459019638027</v>
      </c>
      <c r="AN39" s="384">
        <f t="shared" si="2"/>
        <v>72575400</v>
      </c>
      <c r="AO39" s="231">
        <f t="shared" si="3"/>
        <v>79.800540980361973</v>
      </c>
      <c r="AP39" s="218" t="str">
        <f t="shared" si="4"/>
        <v>WA.2378.EBA.958.311.A.524111</v>
      </c>
      <c r="AQ39" s="218" t="str">
        <f>IF(ISNUMBER(SEARCH("COVID",SP2D[[#This Row],[Akun]])),"COVID","Non COVID")</f>
        <v>Non COVID</v>
      </c>
      <c r="AR3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3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9" s="232">
        <f>SUM('PER BULAN'!BA75)</f>
        <v>0</v>
      </c>
      <c r="AU39" s="232">
        <f>SUM('PER BULAN'!BB75)</f>
        <v>0</v>
      </c>
      <c r="AV39" s="232">
        <f>SUM('PER BULAN'!BC75)</f>
        <v>0</v>
      </c>
      <c r="AW39" s="232">
        <f>SUM('PER BULAN'!BD75)</f>
        <v>0</v>
      </c>
      <c r="AX39" s="232">
        <f>SUM('PER BULAN'!BE75)</f>
        <v>0</v>
      </c>
      <c r="AY39" s="232">
        <f>SUM('PER BULAN'!BF75)</f>
        <v>0</v>
      </c>
      <c r="AZ39" s="232">
        <f>SUM('PER BULAN'!BG75)</f>
        <v>0</v>
      </c>
      <c r="BA39" s="232">
        <f>SUM('PER BULAN'!BH75)</f>
        <v>0</v>
      </c>
    </row>
    <row r="40" spans="1:53" s="219" customFormat="1" x14ac:dyDescent="0.25">
      <c r="A40" s="218" t="s">
        <v>3885</v>
      </c>
      <c r="B40" s="218" t="s">
        <v>3886</v>
      </c>
      <c r="C40" s="218" t="s">
        <v>3912</v>
      </c>
      <c r="D40" s="218" t="s">
        <v>3913</v>
      </c>
      <c r="E40" s="218" t="s">
        <v>197</v>
      </c>
      <c r="F40" s="218" t="s">
        <v>3914</v>
      </c>
      <c r="G40" s="218" t="s">
        <v>3929</v>
      </c>
      <c r="H40" s="218" t="s">
        <v>3930</v>
      </c>
      <c r="I40" s="218">
        <v>962</v>
      </c>
      <c r="J40" s="218" t="s">
        <v>3935</v>
      </c>
      <c r="K40" s="218">
        <v>301</v>
      </c>
      <c r="L40" s="218" t="s">
        <v>3934</v>
      </c>
      <c r="M40" s="218" t="s">
        <v>8</v>
      </c>
      <c r="N40" s="218" t="s">
        <v>3915</v>
      </c>
      <c r="O40" s="218">
        <v>521211</v>
      </c>
      <c r="P40" s="218" t="s">
        <v>3890</v>
      </c>
      <c r="Q40" s="165" cm="1">
        <f t="array" ref="Q40">SUM(_xlfn._xlws.FILTER(DIPA2[PaguRevisi],DIPA2[Akun]=SP2D[[#This Row],[Kode Akun]],0))</f>
        <v>5000000</v>
      </c>
      <c r="R40" s="350">
        <v>22000000</v>
      </c>
      <c r="S40" s="350"/>
      <c r="T40" s="350">
        <f>SP2D[[#This Row],[Pagu Semula]]-SP2D[[#This Row],[Pagu]]</f>
        <v>17000000</v>
      </c>
      <c r="U40" s="232">
        <f>SUM('PER BULAN'!J79:L79)</f>
        <v>0</v>
      </c>
      <c r="V40" s="232">
        <f>SUM('PER BULAN'!M79:O79)</f>
        <v>0</v>
      </c>
      <c r="W40" s="232">
        <f>SUM('PER BULAN'!P79:R79)</f>
        <v>3998800</v>
      </c>
      <c r="X40" s="232">
        <f>SUM('PER BULAN'!S79:U79)</f>
        <v>0</v>
      </c>
      <c r="Y40" s="232">
        <f>SUM('PER BULAN'!V79:X79)</f>
        <v>0</v>
      </c>
      <c r="Z40" s="232">
        <f>SUM('PER BULAN'!Y79:AA79)</f>
        <v>0</v>
      </c>
      <c r="AA40" s="232">
        <f>SUM('PER BULAN'!AB79:AD79)</f>
        <v>0</v>
      </c>
      <c r="AB40" s="232">
        <f>SUM('PER BULAN'!AE79:AG79)</f>
        <v>0</v>
      </c>
      <c r="AC40" s="232">
        <f>SUM('PER BULAN'!AH79:AJ79)</f>
        <v>0</v>
      </c>
      <c r="AD40" s="232">
        <f>SUM('PER BULAN'!AK79:AM79)</f>
        <v>0</v>
      </c>
      <c r="AE40" s="232">
        <f>SUM('PER BULAN'!AN79:AP79)</f>
        <v>0</v>
      </c>
      <c r="AF40" s="232">
        <f>SUM('PER BULAN'!AQ79:AS79)</f>
        <v>0</v>
      </c>
      <c r="AG40" s="218" t="s">
        <v>530</v>
      </c>
      <c r="AH40" s="218" t="s">
        <v>576</v>
      </c>
      <c r="AI40" s="218" t="s">
        <v>560</v>
      </c>
      <c r="AJ40" s="218" t="s">
        <v>3891</v>
      </c>
      <c r="AK40" s="218" t="s">
        <v>3892</v>
      </c>
      <c r="AL40" s="384">
        <f t="shared" si="0"/>
        <v>3998800</v>
      </c>
      <c r="AM40" s="231">
        <f t="shared" si="1"/>
        <v>79.975999999999999</v>
      </c>
      <c r="AN40" s="384">
        <f t="shared" si="2"/>
        <v>1001200</v>
      </c>
      <c r="AO40" s="231">
        <f t="shared" si="3"/>
        <v>20.024000000000001</v>
      </c>
      <c r="AP40" s="218" t="str">
        <f t="shared" si="4"/>
        <v>WA.2378.EBA.962.301.A.521211</v>
      </c>
      <c r="AQ40" s="218" t="str">
        <f>IF(ISNUMBER(SEARCH("COVID",SP2D[[#This Row],[Akun]])),"COVID","Non COVID")</f>
        <v>Non COVID</v>
      </c>
      <c r="AR4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0" s="232">
        <f>SUM('PER BULAN'!BA79)</f>
        <v>0</v>
      </c>
      <c r="AU40" s="232">
        <f>SUM('PER BULAN'!BB79)</f>
        <v>3998800</v>
      </c>
      <c r="AV40" s="232">
        <f>SUM('PER BULAN'!BC79)</f>
        <v>0</v>
      </c>
      <c r="AW40" s="232">
        <f>SUM('PER BULAN'!BD79)</f>
        <v>0</v>
      </c>
      <c r="AX40" s="232">
        <f>SUM('PER BULAN'!BE79)</f>
        <v>0</v>
      </c>
      <c r="AY40" s="232">
        <f>SUM('PER BULAN'!BF79)</f>
        <v>0</v>
      </c>
      <c r="AZ40" s="232">
        <f>SUM('PER BULAN'!BG79)</f>
        <v>0</v>
      </c>
      <c r="BA40" s="232">
        <f>SUM('PER BULAN'!BH79)</f>
        <v>0</v>
      </c>
    </row>
    <row r="41" spans="1:53" s="219" customFormat="1" x14ac:dyDescent="0.25">
      <c r="A41" s="218" t="s">
        <v>3885</v>
      </c>
      <c r="B41" s="218" t="s">
        <v>3886</v>
      </c>
      <c r="C41" s="218" t="s">
        <v>3912</v>
      </c>
      <c r="D41" s="218" t="s">
        <v>3913</v>
      </c>
      <c r="E41" s="218" t="s">
        <v>197</v>
      </c>
      <c r="F41" s="218" t="s">
        <v>3914</v>
      </c>
      <c r="G41" s="218" t="s">
        <v>3929</v>
      </c>
      <c r="H41" s="218" t="s">
        <v>3930</v>
      </c>
      <c r="I41" s="218">
        <v>962</v>
      </c>
      <c r="J41" s="218" t="s">
        <v>3935</v>
      </c>
      <c r="K41" s="218">
        <v>301</v>
      </c>
      <c r="L41" s="218" t="s">
        <v>3934</v>
      </c>
      <c r="M41" s="218" t="s">
        <v>8</v>
      </c>
      <c r="N41" s="218" t="s">
        <v>3915</v>
      </c>
      <c r="O41" s="218" t="s">
        <v>513</v>
      </c>
      <c r="P41" s="218" t="s">
        <v>3894</v>
      </c>
      <c r="Q41" s="165" cm="1">
        <f t="array" ref="Q41">SUM(_xlfn._xlws.FILTER(DIPA2[PaguRevisi],DIPA2[Akun]=SP2D[[#This Row],[Kode Akun]],0))</f>
        <v>12989000</v>
      </c>
      <c r="R41" s="350">
        <v>27000000</v>
      </c>
      <c r="S41" s="350"/>
      <c r="T41" s="350">
        <f>SP2D[[#This Row],[Pagu Semula]]-SP2D[[#This Row],[Pagu]]</f>
        <v>14011000</v>
      </c>
      <c r="U41" s="232">
        <f>SUM('PER BULAN'!J80:L80)</f>
        <v>0</v>
      </c>
      <c r="V41" s="232">
        <f>SUM('PER BULAN'!M80:O80)</f>
        <v>0</v>
      </c>
      <c r="W41" s="232">
        <f>SUM('PER BULAN'!P80:R80)</f>
        <v>4335000</v>
      </c>
      <c r="X41" s="232">
        <f>SUM('PER BULAN'!S80:U80)</f>
        <v>3960000</v>
      </c>
      <c r="Y41" s="232">
        <f>SUM('PER BULAN'!V80:X80)</f>
        <v>3043500</v>
      </c>
      <c r="Z41" s="232">
        <f>SUM('PER BULAN'!Y80:AA80)</f>
        <v>0</v>
      </c>
      <c r="AA41" s="232">
        <f>SUM('PER BULAN'!AB80:AD80)</f>
        <v>0</v>
      </c>
      <c r="AB41" s="232">
        <f>SUM('PER BULAN'!AE80:AG80)</f>
        <v>0</v>
      </c>
      <c r="AC41" s="232">
        <f>SUM('PER BULAN'!AH80:AJ80)</f>
        <v>0</v>
      </c>
      <c r="AD41" s="232">
        <f>SUM('PER BULAN'!AK80:AM80)</f>
        <v>0</v>
      </c>
      <c r="AE41" s="232">
        <f>SUM('PER BULAN'!AN80:AP80)</f>
        <v>0</v>
      </c>
      <c r="AF41" s="232">
        <f>SUM('PER BULAN'!AQ80:AS80)</f>
        <v>0</v>
      </c>
      <c r="AG41" s="218" t="s">
        <v>530</v>
      </c>
      <c r="AH41" s="218" t="s">
        <v>576</v>
      </c>
      <c r="AI41" s="218" t="s">
        <v>560</v>
      </c>
      <c r="AJ41" s="218" t="s">
        <v>3891</v>
      </c>
      <c r="AK41" s="218" t="s">
        <v>3892</v>
      </c>
      <c r="AL41" s="384">
        <f t="shared" si="0"/>
        <v>11338500</v>
      </c>
      <c r="AM41" s="231">
        <f t="shared" si="1"/>
        <v>87.293094156594037</v>
      </c>
      <c r="AN41" s="384">
        <f t="shared" si="2"/>
        <v>1650500</v>
      </c>
      <c r="AO41" s="231">
        <f t="shared" si="3"/>
        <v>12.706905843405957</v>
      </c>
      <c r="AP41" s="218" t="str">
        <f t="shared" si="4"/>
        <v>WA.2378.EBA.962.301.A.524111</v>
      </c>
      <c r="AQ41" s="218" t="str">
        <f>IF(ISNUMBER(SEARCH("COVID",SP2D[[#This Row],[Akun]])),"COVID","Non COVID")</f>
        <v>Non COVID</v>
      </c>
      <c r="AR4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1" s="232">
        <f>SUM('PER BULAN'!BA80)</f>
        <v>2685000</v>
      </c>
      <c r="AU41" s="232">
        <f>SUM('PER BULAN'!BB80)</f>
        <v>1650000</v>
      </c>
      <c r="AV41" s="232">
        <f>SUM('PER BULAN'!BC80)</f>
        <v>0</v>
      </c>
      <c r="AW41" s="232">
        <f>SUM('PER BULAN'!BD80)</f>
        <v>3960000</v>
      </c>
      <c r="AX41" s="232">
        <f>SUM('PER BULAN'!BE80)</f>
        <v>0</v>
      </c>
      <c r="AY41" s="232">
        <f>SUM('PER BULAN'!BF80)</f>
        <v>3043500</v>
      </c>
      <c r="AZ41" s="232">
        <f>SUM('PER BULAN'!BG80)</f>
        <v>0</v>
      </c>
      <c r="BA41" s="232">
        <f>SUM('PER BULAN'!BH80)</f>
        <v>0</v>
      </c>
    </row>
    <row r="42" spans="1:53" s="219" customFormat="1" x14ac:dyDescent="0.25">
      <c r="A42" s="218" t="s">
        <v>3885</v>
      </c>
      <c r="B42" s="218" t="s">
        <v>3886</v>
      </c>
      <c r="C42" s="218" t="s">
        <v>3912</v>
      </c>
      <c r="D42" s="218" t="s">
        <v>3913</v>
      </c>
      <c r="E42" s="218" t="s">
        <v>197</v>
      </c>
      <c r="F42" s="218" t="s">
        <v>3914</v>
      </c>
      <c r="G42" s="218" t="s">
        <v>3929</v>
      </c>
      <c r="H42" s="218" t="s">
        <v>3930</v>
      </c>
      <c r="I42" s="218">
        <v>962</v>
      </c>
      <c r="J42" s="218" t="s">
        <v>3935</v>
      </c>
      <c r="K42" s="218">
        <v>301</v>
      </c>
      <c r="L42" s="218" t="s">
        <v>3934</v>
      </c>
      <c r="M42" s="218" t="s">
        <v>8</v>
      </c>
      <c r="N42" s="218" t="s">
        <v>3915</v>
      </c>
      <c r="O42" s="218" t="s">
        <v>507</v>
      </c>
      <c r="P42" s="218" t="s">
        <v>508</v>
      </c>
      <c r="Q42" s="165" cm="1">
        <f t="array" ref="Q42">SUM(_xlfn._xlws.FILTER(DIPA2[PaguRevisi],DIPA2[Akun]=SP2D[[#This Row],[Kode Akun]],0))</f>
        <v>750000</v>
      </c>
      <c r="R42" s="350">
        <v>2100000</v>
      </c>
      <c r="S42" s="350"/>
      <c r="T42" s="350">
        <f>SP2D[[#This Row],[Pagu Semula]]-SP2D[[#This Row],[Pagu]]</f>
        <v>1350000</v>
      </c>
      <c r="U42" s="232">
        <f>SUM('PER BULAN'!J81:L81)</f>
        <v>0</v>
      </c>
      <c r="V42" s="232">
        <f>SUM('PER BULAN'!M81:O81)</f>
        <v>0</v>
      </c>
      <c r="W42" s="232">
        <f>SUM('PER BULAN'!P81:R81)</f>
        <v>750000</v>
      </c>
      <c r="X42" s="232">
        <f>SUM('PER BULAN'!S81:U81)</f>
        <v>0</v>
      </c>
      <c r="Y42" s="232">
        <f>SUM('PER BULAN'!V81:X81)</f>
        <v>0</v>
      </c>
      <c r="Z42" s="232">
        <f>SUM('PER BULAN'!Y81:AA81)</f>
        <v>0</v>
      </c>
      <c r="AA42" s="232">
        <f>SUM('PER BULAN'!AB81:AD81)</f>
        <v>0</v>
      </c>
      <c r="AB42" s="232">
        <f>SUM('PER BULAN'!AE81:AG81)</f>
        <v>0</v>
      </c>
      <c r="AC42" s="232">
        <f>SUM('PER BULAN'!AH81:AJ81)</f>
        <v>0</v>
      </c>
      <c r="AD42" s="232">
        <f>SUM('PER BULAN'!AK81:AM81)</f>
        <v>0</v>
      </c>
      <c r="AE42" s="232">
        <f>SUM('PER BULAN'!AN81:AP81)</f>
        <v>0</v>
      </c>
      <c r="AF42" s="232">
        <f>SUM('PER BULAN'!AQ81:AS81)</f>
        <v>0</v>
      </c>
      <c r="AG42" s="218" t="s">
        <v>530</v>
      </c>
      <c r="AH42" s="218" t="s">
        <v>576</v>
      </c>
      <c r="AI42" s="218" t="s">
        <v>560</v>
      </c>
      <c r="AJ42" s="218" t="s">
        <v>3891</v>
      </c>
      <c r="AK42" s="218" t="s">
        <v>3892</v>
      </c>
      <c r="AL42" s="384">
        <f t="shared" si="0"/>
        <v>750000</v>
      </c>
      <c r="AM42" s="231">
        <f t="shared" si="1"/>
        <v>100</v>
      </c>
      <c r="AN42" s="384">
        <f t="shared" si="2"/>
        <v>0</v>
      </c>
      <c r="AO42" s="231">
        <f t="shared" si="3"/>
        <v>0</v>
      </c>
      <c r="AP42" s="218" t="str">
        <f t="shared" si="4"/>
        <v>WA.2378.EBA.962.301.A.524113</v>
      </c>
      <c r="AQ42" s="218" t="str">
        <f>IF(ISNUMBER(SEARCH("COVID",SP2D[[#This Row],[Akun]])),"COVID","Non COVID")</f>
        <v>Non COVID</v>
      </c>
      <c r="AR4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4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2" s="232">
        <f>SUM('PER BULAN'!BA81)</f>
        <v>450000</v>
      </c>
      <c r="AU42" s="232">
        <f>SUM('PER BULAN'!BB81)</f>
        <v>300000</v>
      </c>
      <c r="AV42" s="232">
        <f>SUM('PER BULAN'!BC81)</f>
        <v>0</v>
      </c>
      <c r="AW42" s="232">
        <f>SUM('PER BULAN'!BD81)</f>
        <v>0</v>
      </c>
      <c r="AX42" s="232">
        <f>SUM('PER BULAN'!BE81)</f>
        <v>0</v>
      </c>
      <c r="AY42" s="232">
        <f>SUM('PER BULAN'!BF81)</f>
        <v>0</v>
      </c>
      <c r="AZ42" s="232">
        <f>SUM('PER BULAN'!BG81)</f>
        <v>0</v>
      </c>
      <c r="BA42" s="232">
        <f>SUM('PER BULAN'!BH81)</f>
        <v>0</v>
      </c>
    </row>
    <row r="43" spans="1:53" s="219" customFormat="1" x14ac:dyDescent="0.25">
      <c r="A43" s="218" t="s">
        <v>3885</v>
      </c>
      <c r="B43" s="218" t="s">
        <v>3886</v>
      </c>
      <c r="C43" s="218" t="s">
        <v>3912</v>
      </c>
      <c r="D43" s="218" t="s">
        <v>3913</v>
      </c>
      <c r="E43" s="218" t="s">
        <v>197</v>
      </c>
      <c r="F43" s="218" t="s">
        <v>3914</v>
      </c>
      <c r="G43" s="218" t="s">
        <v>3929</v>
      </c>
      <c r="H43" s="218" t="s">
        <v>3930</v>
      </c>
      <c r="I43" s="218">
        <v>962</v>
      </c>
      <c r="J43" s="218" t="s">
        <v>3935</v>
      </c>
      <c r="K43" s="218">
        <v>301</v>
      </c>
      <c r="L43" s="218" t="s">
        <v>3934</v>
      </c>
      <c r="M43" s="218" t="s">
        <v>511</v>
      </c>
      <c r="N43" s="218" t="s">
        <v>3916</v>
      </c>
      <c r="O43" s="218">
        <v>521211</v>
      </c>
      <c r="P43" s="218" t="s">
        <v>3890</v>
      </c>
      <c r="Q43" s="165" cm="1">
        <f t="array" ref="Q43">SUM(_xlfn._xlws.FILTER(DIPA2[PaguRevisi],DIPA2[Akun]=SP2D[[#This Row],[Kode Akun]],0))</f>
        <v>10000000</v>
      </c>
      <c r="R43" s="350">
        <v>10000000</v>
      </c>
      <c r="S43" s="350"/>
      <c r="T43" s="350">
        <f>SP2D[[#This Row],[Pagu Semula]]-SP2D[[#This Row],[Pagu]]</f>
        <v>0</v>
      </c>
      <c r="U43" s="232">
        <f>SUM('PER BULAN'!J83:L83)</f>
        <v>0</v>
      </c>
      <c r="V43" s="232">
        <f>SUM('PER BULAN'!M83:O83)</f>
        <v>0</v>
      </c>
      <c r="W43" s="232">
        <f>SUM('PER BULAN'!P83:R83)</f>
        <v>2485000</v>
      </c>
      <c r="X43" s="232">
        <f>SUM('PER BULAN'!S83:U83)</f>
        <v>0</v>
      </c>
      <c r="Y43" s="232">
        <f>SUM('PER BULAN'!V83:X83)</f>
        <v>2485000</v>
      </c>
      <c r="Z43" s="232">
        <f>SUM('PER BULAN'!Y83:AA83)</f>
        <v>0</v>
      </c>
      <c r="AA43" s="232">
        <f>SUM('PER BULAN'!AB83:AD83)</f>
        <v>0</v>
      </c>
      <c r="AB43" s="232">
        <f>SUM('PER BULAN'!AE83:AG83)</f>
        <v>0</v>
      </c>
      <c r="AC43" s="232">
        <f>SUM('PER BULAN'!AH83:AJ83)</f>
        <v>0</v>
      </c>
      <c r="AD43" s="232">
        <f>SUM('PER BULAN'!AK83:AM83)</f>
        <v>0</v>
      </c>
      <c r="AE43" s="232">
        <f>SUM('PER BULAN'!AN83:AP83)</f>
        <v>0</v>
      </c>
      <c r="AF43" s="232">
        <f>SUM('PER BULAN'!AQ83:AS83)</f>
        <v>0</v>
      </c>
      <c r="AG43" s="218" t="s">
        <v>530</v>
      </c>
      <c r="AH43" s="218" t="s">
        <v>576</v>
      </c>
      <c r="AI43" s="218" t="s">
        <v>560</v>
      </c>
      <c r="AJ43" s="218" t="s">
        <v>3891</v>
      </c>
      <c r="AK43" s="218" t="s">
        <v>3892</v>
      </c>
      <c r="AL43" s="384">
        <f t="shared" si="0"/>
        <v>4970000</v>
      </c>
      <c r="AM43" s="231">
        <f t="shared" si="1"/>
        <v>49.7</v>
      </c>
      <c r="AN43" s="384">
        <f t="shared" si="2"/>
        <v>5030000</v>
      </c>
      <c r="AO43" s="231">
        <f t="shared" si="3"/>
        <v>50.3</v>
      </c>
      <c r="AP43" s="218" t="str">
        <f t="shared" si="4"/>
        <v>WA.2378.EBA.962.301.B.521211</v>
      </c>
      <c r="AQ43" s="218" t="str">
        <f>IF(ISNUMBER(SEARCH("COVID",SP2D[[#This Row],[Akun]])),"COVID","Non COVID")</f>
        <v>Non COVID</v>
      </c>
      <c r="AR4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3" s="232">
        <f>SUM('PER BULAN'!BA83)</f>
        <v>2485000</v>
      </c>
      <c r="AU43" s="232">
        <f>SUM('PER BULAN'!BB83)</f>
        <v>0</v>
      </c>
      <c r="AV43" s="232">
        <f>SUM('PER BULAN'!BC83)</f>
        <v>0</v>
      </c>
      <c r="AW43" s="232">
        <f>SUM('PER BULAN'!BD83)</f>
        <v>0</v>
      </c>
      <c r="AX43" s="232">
        <f>SUM('PER BULAN'!BE83)</f>
        <v>0</v>
      </c>
      <c r="AY43" s="232">
        <f>SUM('PER BULAN'!BF83)</f>
        <v>0</v>
      </c>
      <c r="AZ43" s="232">
        <f>SUM('PER BULAN'!BG83)</f>
        <v>2485000</v>
      </c>
      <c r="BA43" s="232">
        <f>SUM('PER BULAN'!BH83)</f>
        <v>0</v>
      </c>
    </row>
    <row r="44" spans="1:53" s="219" customFormat="1" x14ac:dyDescent="0.25">
      <c r="A44" s="218" t="s">
        <v>3885</v>
      </c>
      <c r="B44" s="218" t="s">
        <v>3886</v>
      </c>
      <c r="C44" s="218" t="s">
        <v>3912</v>
      </c>
      <c r="D44" s="218" t="s">
        <v>3913</v>
      </c>
      <c r="E44" s="218" t="s">
        <v>197</v>
      </c>
      <c r="F44" s="218" t="s">
        <v>3914</v>
      </c>
      <c r="G44" s="218" t="s">
        <v>3929</v>
      </c>
      <c r="H44" s="218" t="s">
        <v>3930</v>
      </c>
      <c r="I44" s="218">
        <v>962</v>
      </c>
      <c r="J44" s="218" t="s">
        <v>3935</v>
      </c>
      <c r="K44" s="218">
        <v>301</v>
      </c>
      <c r="L44" s="218" t="s">
        <v>3934</v>
      </c>
      <c r="M44" s="218" t="s">
        <v>511</v>
      </c>
      <c r="N44" s="218" t="s">
        <v>3916</v>
      </c>
      <c r="O44" s="218" t="s">
        <v>518</v>
      </c>
      <c r="P44" s="218" t="s">
        <v>3895</v>
      </c>
      <c r="Q44" s="165" cm="1">
        <f t="array" ref="Q44">SUM(_xlfn._xlws.FILTER(DIPA2[PaguRevisi],DIPA2[Akun]=SP2D[[#This Row],[Kode Akun]],0))</f>
        <v>2031000</v>
      </c>
      <c r="R44" s="350">
        <v>23680000</v>
      </c>
      <c r="S44" s="350"/>
      <c r="T44" s="350">
        <f>SP2D[[#This Row],[Pagu Semula]]-SP2D[[#This Row],[Pagu]]</f>
        <v>21649000</v>
      </c>
      <c r="U44" s="232">
        <f>SUM('PER BULAN'!J84:L84)</f>
        <v>0</v>
      </c>
      <c r="V44" s="232">
        <f>SUM('PER BULAN'!M84:O84)</f>
        <v>0</v>
      </c>
      <c r="W44" s="232">
        <f>SUM('PER BULAN'!P84:R84)</f>
        <v>2031000</v>
      </c>
      <c r="X44" s="232">
        <f>SUM('PER BULAN'!S84:U84)</f>
        <v>0</v>
      </c>
      <c r="Y44" s="232">
        <f>SUM('PER BULAN'!V84:X84)</f>
        <v>0</v>
      </c>
      <c r="Z44" s="232">
        <f>SUM('PER BULAN'!Y84:AA84)</f>
        <v>0</v>
      </c>
      <c r="AA44" s="232">
        <f>SUM('PER BULAN'!AB84:AD84)</f>
        <v>0</v>
      </c>
      <c r="AB44" s="232">
        <f>SUM('PER BULAN'!AE84:AG84)</f>
        <v>0</v>
      </c>
      <c r="AC44" s="232">
        <f>SUM('PER BULAN'!AH84:AJ84)</f>
        <v>0</v>
      </c>
      <c r="AD44" s="232">
        <f>SUM('PER BULAN'!AK84:AM84)</f>
        <v>0</v>
      </c>
      <c r="AE44" s="232">
        <f>SUM('PER BULAN'!AN84:AP84)</f>
        <v>0</v>
      </c>
      <c r="AF44" s="232">
        <f>SUM('PER BULAN'!AQ84:AS84)</f>
        <v>0</v>
      </c>
      <c r="AG44" s="218" t="s">
        <v>530</v>
      </c>
      <c r="AH44" s="218" t="s">
        <v>576</v>
      </c>
      <c r="AI44" s="218" t="s">
        <v>560</v>
      </c>
      <c r="AJ44" s="218" t="s">
        <v>3891</v>
      </c>
      <c r="AK44" s="218" t="s">
        <v>3892</v>
      </c>
      <c r="AL44" s="384">
        <f t="shared" si="0"/>
        <v>2031000</v>
      </c>
      <c r="AM44" s="231">
        <f t="shared" si="1"/>
        <v>100</v>
      </c>
      <c r="AN44" s="384">
        <f t="shared" si="2"/>
        <v>0</v>
      </c>
      <c r="AO44" s="231">
        <f t="shared" si="3"/>
        <v>0</v>
      </c>
      <c r="AP44" s="218" t="str">
        <f t="shared" si="4"/>
        <v>WA.2378.EBA.962.301.B.522192</v>
      </c>
      <c r="AQ44" s="218" t="str">
        <f>IF(ISNUMBER(SEARCH("COVID",SP2D[[#This Row],[Akun]])),"COVID","Non COVID")</f>
        <v>COVID</v>
      </c>
      <c r="AR4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4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4" s="232">
        <f>SUM('PER BULAN'!BA84)</f>
        <v>1235000</v>
      </c>
      <c r="AU44" s="232">
        <f>SUM('PER BULAN'!BB84)</f>
        <v>342000</v>
      </c>
      <c r="AV44" s="232">
        <f>SUM('PER BULAN'!BC84)</f>
        <v>454000</v>
      </c>
      <c r="AW44" s="232">
        <f>SUM('PER BULAN'!BD84)</f>
        <v>0</v>
      </c>
      <c r="AX44" s="232">
        <f>SUM('PER BULAN'!BE84)</f>
        <v>0</v>
      </c>
      <c r="AY44" s="232">
        <f>SUM('PER BULAN'!BF84)</f>
        <v>0</v>
      </c>
      <c r="AZ44" s="232">
        <f>SUM('PER BULAN'!BG84)</f>
        <v>0</v>
      </c>
      <c r="BA44" s="232">
        <f>SUM('PER BULAN'!BH84)</f>
        <v>0</v>
      </c>
    </row>
    <row r="45" spans="1:53" s="219" customFormat="1" x14ac:dyDescent="0.25">
      <c r="A45" s="218" t="s">
        <v>3885</v>
      </c>
      <c r="B45" s="218" t="s">
        <v>3886</v>
      </c>
      <c r="C45" s="218" t="s">
        <v>3912</v>
      </c>
      <c r="D45" s="218" t="s">
        <v>3913</v>
      </c>
      <c r="E45" s="218" t="s">
        <v>197</v>
      </c>
      <c r="F45" s="218" t="s">
        <v>3914</v>
      </c>
      <c r="G45" s="218" t="s">
        <v>3929</v>
      </c>
      <c r="H45" s="218" t="s">
        <v>3930</v>
      </c>
      <c r="I45" s="218">
        <v>962</v>
      </c>
      <c r="J45" s="218" t="s">
        <v>3935</v>
      </c>
      <c r="K45" s="218">
        <v>301</v>
      </c>
      <c r="L45" s="218" t="s">
        <v>3934</v>
      </c>
      <c r="M45" s="218" t="s">
        <v>511</v>
      </c>
      <c r="N45" s="218" t="s">
        <v>3916</v>
      </c>
      <c r="O45" s="218" t="s">
        <v>513</v>
      </c>
      <c r="P45" s="218" t="s">
        <v>3894</v>
      </c>
      <c r="Q45" s="165" cm="1">
        <f t="array" ref="Q45">SUM(_xlfn._xlws.FILTER(DIPA2[PaguRevisi],DIPA2[Akun]=SP2D[[#This Row],[Kode Akun]],0))</f>
        <v>373634000</v>
      </c>
      <c r="R45" s="350">
        <v>514500000</v>
      </c>
      <c r="S45" s="350"/>
      <c r="T45" s="350">
        <f>SP2D[[#This Row],[Pagu Semula]]-SP2D[[#This Row],[Pagu]]</f>
        <v>140866000</v>
      </c>
      <c r="U45" s="232">
        <f>SUM('PER BULAN'!J85:L85)</f>
        <v>0</v>
      </c>
      <c r="V45" s="232">
        <f>SUM('PER BULAN'!M85:O85)</f>
        <v>0</v>
      </c>
      <c r="W45" s="232">
        <f>SUM('PER BULAN'!P85:R85)</f>
        <v>68815500</v>
      </c>
      <c r="X45" s="232">
        <f>SUM('PER BULAN'!S85:U85)</f>
        <v>66565460</v>
      </c>
      <c r="Y45" s="232">
        <f>SUM('PER BULAN'!V85:X85)</f>
        <v>25199501</v>
      </c>
      <c r="Z45" s="232">
        <f>SUM('PER BULAN'!Y85:AA85)</f>
        <v>0</v>
      </c>
      <c r="AA45" s="232">
        <f>SUM('PER BULAN'!AB85:AD85)</f>
        <v>0</v>
      </c>
      <c r="AB45" s="232">
        <f>SUM('PER BULAN'!AE85:AG85)</f>
        <v>0</v>
      </c>
      <c r="AC45" s="232">
        <f>SUM('PER BULAN'!AH85:AJ85)</f>
        <v>0</v>
      </c>
      <c r="AD45" s="232">
        <f>SUM('PER BULAN'!AK85:AM85)</f>
        <v>0</v>
      </c>
      <c r="AE45" s="232">
        <f>SUM('PER BULAN'!AN85:AP85)</f>
        <v>0</v>
      </c>
      <c r="AF45" s="232">
        <f>SUM('PER BULAN'!AQ85:AS85)</f>
        <v>0</v>
      </c>
      <c r="AG45" s="218" t="s">
        <v>530</v>
      </c>
      <c r="AH45" s="218" t="s">
        <v>576</v>
      </c>
      <c r="AI45" s="218" t="s">
        <v>560</v>
      </c>
      <c r="AJ45" s="218" t="s">
        <v>3891</v>
      </c>
      <c r="AK45" s="218" t="s">
        <v>3892</v>
      </c>
      <c r="AL45" s="384">
        <f t="shared" si="0"/>
        <v>160580461</v>
      </c>
      <c r="AM45" s="231">
        <f t="shared" si="1"/>
        <v>42.978010834131794</v>
      </c>
      <c r="AN45" s="384">
        <f t="shared" si="2"/>
        <v>213053539</v>
      </c>
      <c r="AO45" s="231">
        <f t="shared" si="3"/>
        <v>57.021989165868206</v>
      </c>
      <c r="AP45" s="218" t="str">
        <f t="shared" si="4"/>
        <v>WA.2378.EBA.962.301.B.524111</v>
      </c>
      <c r="AQ45" s="218" t="str">
        <f>IF(ISNUMBER(SEARCH("COVID",SP2D[[#This Row],[Akun]])),"COVID","Non COVID")</f>
        <v>Non COVID</v>
      </c>
      <c r="AR4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5" s="232">
        <f>SUM('PER BULAN'!BA85)</f>
        <v>45385600</v>
      </c>
      <c r="AU45" s="232">
        <f>SUM('PER BULAN'!BB85)</f>
        <v>23429900</v>
      </c>
      <c r="AV45" s="232">
        <f>SUM('PER BULAN'!BC85)</f>
        <v>0</v>
      </c>
      <c r="AW45" s="232">
        <f>SUM('PER BULAN'!BD85)</f>
        <v>31588000</v>
      </c>
      <c r="AX45" s="232">
        <f>SUM('PER BULAN'!BE85)</f>
        <v>10477701</v>
      </c>
      <c r="AY45" s="232">
        <f>SUM('PER BULAN'!BF85)</f>
        <v>4081050</v>
      </c>
      <c r="AZ45" s="232">
        <f>SUM('PER BULAN'!BG85)</f>
        <v>10640750</v>
      </c>
      <c r="BA45" s="232">
        <f>SUM('PER BULAN'!BH85)</f>
        <v>0</v>
      </c>
    </row>
    <row r="46" spans="1:53" s="219" customFormat="1" x14ac:dyDescent="0.25">
      <c r="A46" s="218" t="s">
        <v>3885</v>
      </c>
      <c r="B46" s="218" t="s">
        <v>3886</v>
      </c>
      <c r="C46" s="218" t="s">
        <v>3912</v>
      </c>
      <c r="D46" s="218" t="s">
        <v>3913</v>
      </c>
      <c r="E46" s="218" t="s">
        <v>197</v>
      </c>
      <c r="F46" s="218" t="s">
        <v>3914</v>
      </c>
      <c r="G46" s="218" t="s">
        <v>3929</v>
      </c>
      <c r="H46" s="218" t="s">
        <v>3930</v>
      </c>
      <c r="I46" s="218">
        <v>962</v>
      </c>
      <c r="J46" s="218" t="s">
        <v>3935</v>
      </c>
      <c r="K46" s="218">
        <v>301</v>
      </c>
      <c r="L46" s="218" t="s">
        <v>3934</v>
      </c>
      <c r="M46" s="218" t="s">
        <v>512</v>
      </c>
      <c r="N46" s="218" t="s">
        <v>3936</v>
      </c>
      <c r="O46" s="218">
        <v>521211</v>
      </c>
      <c r="P46" s="218" t="s">
        <v>3890</v>
      </c>
      <c r="Q46" s="165" cm="1">
        <f t="array" ref="Q46">SUM(_xlfn._xlws.FILTER(DIPA2[PaguRevisi],DIPA2[Akun]=SP2D[[#This Row],[Kode Akun]],0))</f>
        <v>33500000</v>
      </c>
      <c r="R46" s="350">
        <v>46000000</v>
      </c>
      <c r="S46" s="350"/>
      <c r="T46" s="350">
        <f>SP2D[[#This Row],[Pagu Semula]]-SP2D[[#This Row],[Pagu]]</f>
        <v>12500000</v>
      </c>
      <c r="U46" s="232">
        <f>SUM('PER BULAN'!J87:L87)</f>
        <v>0</v>
      </c>
      <c r="V46" s="232">
        <f>SUM('PER BULAN'!M87:O87)</f>
        <v>0</v>
      </c>
      <c r="W46" s="232">
        <f>SUM('PER BULAN'!P87:R87)</f>
        <v>3987000</v>
      </c>
      <c r="X46" s="232">
        <f>SUM('PER BULAN'!S87:U87)</f>
        <v>0</v>
      </c>
      <c r="Y46" s="232">
        <f>SUM('PER BULAN'!V87:X87)</f>
        <v>29384740</v>
      </c>
      <c r="Z46" s="232">
        <f>SUM('PER BULAN'!Y87:AA87)</f>
        <v>0</v>
      </c>
      <c r="AA46" s="232">
        <f>SUM('PER BULAN'!AB87:AD87)</f>
        <v>0</v>
      </c>
      <c r="AB46" s="232">
        <f>SUM('PER BULAN'!AE87:AG87)</f>
        <v>0</v>
      </c>
      <c r="AC46" s="232">
        <f>SUM('PER BULAN'!AH87:AJ87)</f>
        <v>0</v>
      </c>
      <c r="AD46" s="232">
        <f>SUM('PER BULAN'!AK87:AM87)</f>
        <v>0</v>
      </c>
      <c r="AE46" s="232">
        <f>SUM('PER BULAN'!AN87:AP87)</f>
        <v>0</v>
      </c>
      <c r="AF46" s="232">
        <f>SUM('PER BULAN'!AQ87:AS87)</f>
        <v>0</v>
      </c>
      <c r="AG46" s="218" t="s">
        <v>530</v>
      </c>
      <c r="AH46" s="218" t="s">
        <v>576</v>
      </c>
      <c r="AI46" s="218" t="s">
        <v>560</v>
      </c>
      <c r="AJ46" s="218" t="s">
        <v>3891</v>
      </c>
      <c r="AK46" s="218" t="s">
        <v>3892</v>
      </c>
      <c r="AL46" s="384">
        <f t="shared" si="0"/>
        <v>33371740</v>
      </c>
      <c r="AM46" s="231">
        <f t="shared" si="1"/>
        <v>99.617134328358219</v>
      </c>
      <c r="AN46" s="384">
        <f t="shared" si="2"/>
        <v>128260</v>
      </c>
      <c r="AO46" s="231">
        <f t="shared" si="3"/>
        <v>0.38286567164179103</v>
      </c>
      <c r="AP46" s="218" t="str">
        <f t="shared" si="4"/>
        <v>WA.2378.EBA.962.301.C.521211</v>
      </c>
      <c r="AQ46" s="218" t="str">
        <f>IF(ISNUMBER(SEARCH("COVID",SP2D[[#This Row],[Akun]])),"COVID","Non COVID")</f>
        <v>Non COVID</v>
      </c>
      <c r="AR4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6" s="232">
        <f>SUM('PER BULAN'!BA87)</f>
        <v>0</v>
      </c>
      <c r="AU46" s="232">
        <f>SUM('PER BULAN'!BB87)</f>
        <v>3987000</v>
      </c>
      <c r="AV46" s="232">
        <f>SUM('PER BULAN'!BC87)</f>
        <v>0</v>
      </c>
      <c r="AW46" s="232">
        <f>SUM('PER BULAN'!BD87)</f>
        <v>0</v>
      </c>
      <c r="AX46" s="232">
        <f>SUM('PER BULAN'!BE87)</f>
        <v>0</v>
      </c>
      <c r="AY46" s="232">
        <f>SUM('PER BULAN'!BF87)</f>
        <v>0</v>
      </c>
      <c r="AZ46" s="232">
        <f>SUM('PER BULAN'!BG87)</f>
        <v>29384740</v>
      </c>
      <c r="BA46" s="232">
        <f>SUM('PER BULAN'!BH87)</f>
        <v>0</v>
      </c>
    </row>
    <row r="47" spans="1:53" s="219" customFormat="1" x14ac:dyDescent="0.25">
      <c r="A47" s="218" t="s">
        <v>3885</v>
      </c>
      <c r="B47" s="218" t="s">
        <v>3886</v>
      </c>
      <c r="C47" s="218" t="s">
        <v>3912</v>
      </c>
      <c r="D47" s="218" t="s">
        <v>3913</v>
      </c>
      <c r="E47" s="218" t="s">
        <v>197</v>
      </c>
      <c r="F47" s="218" t="s">
        <v>3914</v>
      </c>
      <c r="G47" s="218" t="s">
        <v>3929</v>
      </c>
      <c r="H47" s="218" t="s">
        <v>3930</v>
      </c>
      <c r="I47" s="218">
        <v>962</v>
      </c>
      <c r="J47" s="218" t="s">
        <v>3935</v>
      </c>
      <c r="K47" s="218">
        <v>301</v>
      </c>
      <c r="L47" s="218" t="s">
        <v>3934</v>
      </c>
      <c r="M47" s="218" t="s">
        <v>512</v>
      </c>
      <c r="N47" s="218" t="s">
        <v>3936</v>
      </c>
      <c r="O47" s="218">
        <v>522141</v>
      </c>
      <c r="P47" s="218" t="s">
        <v>3896</v>
      </c>
      <c r="Q47" s="165" cm="1">
        <f t="array" ref="Q47">SUM(_xlfn._xlws.FILTER(DIPA2[PaguRevisi],DIPA2[Akun]=SP2D[[#This Row],[Kode Akun]],0))</f>
        <v>3000000</v>
      </c>
      <c r="R47" s="350">
        <v>6000000</v>
      </c>
      <c r="S47" s="350"/>
      <c r="T47" s="350">
        <f>SP2D[[#This Row],[Pagu Semula]]-SP2D[[#This Row],[Pagu]]</f>
        <v>3000000</v>
      </c>
      <c r="U47" s="232">
        <f>SUM('PER BULAN'!J88:L88)</f>
        <v>0</v>
      </c>
      <c r="V47" s="232">
        <f>SUM('PER BULAN'!M88:O88)</f>
        <v>0</v>
      </c>
      <c r="W47" s="232">
        <f>SUM('PER BULAN'!P88:R88)</f>
        <v>0</v>
      </c>
      <c r="X47" s="232">
        <f>SUM('PER BULAN'!S88:U88)</f>
        <v>0</v>
      </c>
      <c r="Y47" s="232">
        <f>SUM('PER BULAN'!V88:X88)</f>
        <v>0</v>
      </c>
      <c r="Z47" s="232">
        <f>SUM('PER BULAN'!Y88:AA88)</f>
        <v>0</v>
      </c>
      <c r="AA47" s="232">
        <f>SUM('PER BULAN'!AB88:AD88)</f>
        <v>0</v>
      </c>
      <c r="AB47" s="232">
        <f>SUM('PER BULAN'!AE88:AG88)</f>
        <v>0</v>
      </c>
      <c r="AC47" s="232">
        <f>SUM('PER BULAN'!AH88:AJ88)</f>
        <v>0</v>
      </c>
      <c r="AD47" s="232">
        <f>SUM('PER BULAN'!AK88:AM88)</f>
        <v>0</v>
      </c>
      <c r="AE47" s="232">
        <f>SUM('PER BULAN'!AN88:AP88)</f>
        <v>0</v>
      </c>
      <c r="AF47" s="232">
        <f>SUM('PER BULAN'!AQ88:AS88)</f>
        <v>0</v>
      </c>
      <c r="AG47" s="218" t="s">
        <v>530</v>
      </c>
      <c r="AH47" s="218" t="s">
        <v>576</v>
      </c>
      <c r="AI47" s="218" t="s">
        <v>560</v>
      </c>
      <c r="AJ47" s="218" t="s">
        <v>3891</v>
      </c>
      <c r="AK47" s="218" t="s">
        <v>3892</v>
      </c>
      <c r="AL47" s="384">
        <f t="shared" si="0"/>
        <v>0</v>
      </c>
      <c r="AM47" s="231">
        <f t="shared" si="1"/>
        <v>0</v>
      </c>
      <c r="AN47" s="384">
        <f t="shared" si="2"/>
        <v>3000000</v>
      </c>
      <c r="AO47" s="231">
        <f t="shared" si="3"/>
        <v>100</v>
      </c>
      <c r="AP47" s="218" t="str">
        <f t="shared" si="4"/>
        <v>WA.2378.EBA.962.301.C.522141</v>
      </c>
      <c r="AQ47" s="218" t="str">
        <f>IF(ISNUMBER(SEARCH("COVID",SP2D[[#This Row],[Akun]])),"COVID","Non COVID")</f>
        <v>Non COVID</v>
      </c>
      <c r="AR4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4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7" s="232">
        <f>SUM('PER BULAN'!BA88)</f>
        <v>0</v>
      </c>
      <c r="AU47" s="232">
        <f>SUM('PER BULAN'!BB88)</f>
        <v>0</v>
      </c>
      <c r="AV47" s="232">
        <f>SUM('PER BULAN'!BC88)</f>
        <v>0</v>
      </c>
      <c r="AW47" s="232">
        <f>SUM('PER BULAN'!BD88)</f>
        <v>0</v>
      </c>
      <c r="AX47" s="232">
        <f>SUM('PER BULAN'!BE88)</f>
        <v>0</v>
      </c>
      <c r="AY47" s="232">
        <f>SUM('PER BULAN'!BF88)</f>
        <v>0</v>
      </c>
      <c r="AZ47" s="232">
        <f>SUM('PER BULAN'!BG88)</f>
        <v>0</v>
      </c>
      <c r="BA47" s="232">
        <f>SUM('PER BULAN'!BH88)</f>
        <v>0</v>
      </c>
    </row>
    <row r="48" spans="1:53" s="219" customFormat="1" x14ac:dyDescent="0.25">
      <c r="A48" s="218" t="s">
        <v>3885</v>
      </c>
      <c r="B48" s="218" t="s">
        <v>3886</v>
      </c>
      <c r="C48" s="218" t="s">
        <v>3912</v>
      </c>
      <c r="D48" s="218" t="s">
        <v>3913</v>
      </c>
      <c r="E48" s="218" t="s">
        <v>197</v>
      </c>
      <c r="F48" s="218" t="s">
        <v>3914</v>
      </c>
      <c r="G48" s="218" t="s">
        <v>3929</v>
      </c>
      <c r="H48" s="218" t="s">
        <v>3930</v>
      </c>
      <c r="I48" s="218">
        <v>962</v>
      </c>
      <c r="J48" s="218" t="s">
        <v>3935</v>
      </c>
      <c r="K48" s="218">
        <v>301</v>
      </c>
      <c r="L48" s="218" t="s">
        <v>3934</v>
      </c>
      <c r="M48" s="218" t="s">
        <v>512</v>
      </c>
      <c r="N48" s="218" t="s">
        <v>3936</v>
      </c>
      <c r="O48" s="218" t="s">
        <v>513</v>
      </c>
      <c r="P48" s="218" t="s">
        <v>3894</v>
      </c>
      <c r="Q48" s="165" cm="1">
        <f t="array" ref="Q48">SUM(_xlfn._xlws.FILTER(DIPA2[PaguRevisi],DIPA2[Akun]=SP2D[[#This Row],[Kode Akun]],0))</f>
        <v>18000000</v>
      </c>
      <c r="R48" s="350">
        <v>18000000</v>
      </c>
      <c r="S48" s="350"/>
      <c r="T48" s="350">
        <f>SP2D[[#This Row],[Pagu Semula]]-SP2D[[#This Row],[Pagu]]</f>
        <v>0</v>
      </c>
      <c r="U48" s="232">
        <f>SUM('PER BULAN'!J89:L89)</f>
        <v>0</v>
      </c>
      <c r="V48" s="232">
        <f>SUM('PER BULAN'!M89:O89)</f>
        <v>0</v>
      </c>
      <c r="W48" s="232">
        <f>SUM('PER BULAN'!P89:R89)</f>
        <v>1290000</v>
      </c>
      <c r="X48" s="232">
        <f>SUM('PER BULAN'!S89:U89)</f>
        <v>0</v>
      </c>
      <c r="Y48" s="232">
        <f>SUM('PER BULAN'!V89:X89)</f>
        <v>7020000</v>
      </c>
      <c r="Z48" s="232">
        <f>SUM('PER BULAN'!Y89:AA89)</f>
        <v>0</v>
      </c>
      <c r="AA48" s="232">
        <f>SUM('PER BULAN'!AB89:AD89)</f>
        <v>0</v>
      </c>
      <c r="AB48" s="232">
        <f>SUM('PER BULAN'!AE89:AG89)</f>
        <v>0</v>
      </c>
      <c r="AC48" s="232">
        <f>SUM('PER BULAN'!AH89:AJ89)</f>
        <v>0</v>
      </c>
      <c r="AD48" s="232">
        <f>SUM('PER BULAN'!AK89:AM89)</f>
        <v>0</v>
      </c>
      <c r="AE48" s="232">
        <f>SUM('PER BULAN'!AN89:AP89)</f>
        <v>0</v>
      </c>
      <c r="AF48" s="232">
        <f>SUM('PER BULAN'!AQ89:AS89)</f>
        <v>0</v>
      </c>
      <c r="AG48" s="218" t="s">
        <v>530</v>
      </c>
      <c r="AH48" s="218" t="s">
        <v>576</v>
      </c>
      <c r="AI48" s="218" t="s">
        <v>560</v>
      </c>
      <c r="AJ48" s="218" t="s">
        <v>3891</v>
      </c>
      <c r="AK48" s="218" t="s">
        <v>3892</v>
      </c>
      <c r="AL48" s="384">
        <f t="shared" si="0"/>
        <v>8310000</v>
      </c>
      <c r="AM48" s="231">
        <f t="shared" si="1"/>
        <v>46.166666666666664</v>
      </c>
      <c r="AN48" s="384">
        <f t="shared" si="2"/>
        <v>9690000</v>
      </c>
      <c r="AO48" s="231">
        <f t="shared" si="3"/>
        <v>53.833333333333336</v>
      </c>
      <c r="AP48" s="218" t="str">
        <f t="shared" si="4"/>
        <v>WA.2378.EBA.962.301.C.524111</v>
      </c>
      <c r="AQ48" s="218" t="str">
        <f>IF(ISNUMBER(SEARCH("COVID",SP2D[[#This Row],[Akun]])),"COVID","Non COVID")</f>
        <v>Non COVID</v>
      </c>
      <c r="AR4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8" s="232">
        <f>SUM('PER BULAN'!BA89)</f>
        <v>0</v>
      </c>
      <c r="AU48" s="232">
        <f>SUM('PER BULAN'!BB89)</f>
        <v>1290000</v>
      </c>
      <c r="AV48" s="232">
        <f>SUM('PER BULAN'!BC89)</f>
        <v>0</v>
      </c>
      <c r="AW48" s="232">
        <f>SUM('PER BULAN'!BD89)</f>
        <v>0</v>
      </c>
      <c r="AX48" s="232">
        <f>SUM('PER BULAN'!BE89)</f>
        <v>3300000</v>
      </c>
      <c r="AY48" s="232">
        <f>SUM('PER BULAN'!BF89)</f>
        <v>3720000</v>
      </c>
      <c r="AZ48" s="232">
        <f>SUM('PER BULAN'!BG89)</f>
        <v>0</v>
      </c>
      <c r="BA48" s="232">
        <f>SUM('PER BULAN'!BH89)</f>
        <v>0</v>
      </c>
    </row>
    <row r="49" spans="1:53" s="219" customFormat="1" x14ac:dyDescent="0.25">
      <c r="A49" s="218" t="s">
        <v>3885</v>
      </c>
      <c r="B49" s="218" t="s">
        <v>3886</v>
      </c>
      <c r="C49" s="218" t="s">
        <v>3912</v>
      </c>
      <c r="D49" s="218" t="s">
        <v>3913</v>
      </c>
      <c r="E49" s="218" t="s">
        <v>197</v>
      </c>
      <c r="F49" s="218" t="s">
        <v>3914</v>
      </c>
      <c r="G49" s="218" t="s">
        <v>3929</v>
      </c>
      <c r="H49" s="218" t="s">
        <v>3930</v>
      </c>
      <c r="I49" s="218">
        <v>962</v>
      </c>
      <c r="J49" s="218" t="s">
        <v>3935</v>
      </c>
      <c r="K49" s="218">
        <v>301</v>
      </c>
      <c r="L49" s="218" t="s">
        <v>3934</v>
      </c>
      <c r="M49" s="218" t="s">
        <v>512</v>
      </c>
      <c r="N49" s="218" t="s">
        <v>3936</v>
      </c>
      <c r="O49" s="218" t="s">
        <v>507</v>
      </c>
      <c r="P49" s="218" t="s">
        <v>508</v>
      </c>
      <c r="Q49" s="165" cm="1">
        <f t="array" ref="Q49">SUM(_xlfn._xlws.FILTER(DIPA2[PaguRevisi],DIPA2[Akun]=SP2D[[#This Row],[Kode Akun]],0))</f>
        <v>2250000</v>
      </c>
      <c r="R49" s="350">
        <v>4500000</v>
      </c>
      <c r="S49" s="350"/>
      <c r="T49" s="350">
        <f>SP2D[[#This Row],[Pagu Semula]]-SP2D[[#This Row],[Pagu]]</f>
        <v>2250000</v>
      </c>
      <c r="U49" s="232">
        <f>SUM('PER BULAN'!J90:L90)</f>
        <v>0</v>
      </c>
      <c r="V49" s="232">
        <f>SUM('PER BULAN'!M90:O90)</f>
        <v>0</v>
      </c>
      <c r="W49" s="232">
        <f>SUM('PER BULAN'!P90:R90)</f>
        <v>600000</v>
      </c>
      <c r="X49" s="232">
        <f>SUM('PER BULAN'!S90:U90)</f>
        <v>0</v>
      </c>
      <c r="Y49" s="232">
        <f>SUM('PER BULAN'!V90:X90)</f>
        <v>0</v>
      </c>
      <c r="Z49" s="232">
        <f>SUM('PER BULAN'!Y90:AA90)</f>
        <v>0</v>
      </c>
      <c r="AA49" s="232">
        <f>SUM('PER BULAN'!AB90:AD90)</f>
        <v>0</v>
      </c>
      <c r="AB49" s="232">
        <f>SUM('PER BULAN'!AE90:AG90)</f>
        <v>0</v>
      </c>
      <c r="AC49" s="232">
        <f>SUM('PER BULAN'!AH90:AJ90)</f>
        <v>0</v>
      </c>
      <c r="AD49" s="232">
        <f>SUM('PER BULAN'!AK90:AM90)</f>
        <v>0</v>
      </c>
      <c r="AE49" s="232">
        <f>SUM('PER BULAN'!AN90:AP90)</f>
        <v>0</v>
      </c>
      <c r="AF49" s="232">
        <f>SUM('PER BULAN'!AQ90:AS90)</f>
        <v>0</v>
      </c>
      <c r="AG49" s="218" t="s">
        <v>530</v>
      </c>
      <c r="AH49" s="218" t="s">
        <v>576</v>
      </c>
      <c r="AI49" s="218" t="s">
        <v>560</v>
      </c>
      <c r="AJ49" s="218" t="s">
        <v>3891</v>
      </c>
      <c r="AK49" s="218" t="s">
        <v>3892</v>
      </c>
      <c r="AL49" s="384">
        <f t="shared" si="0"/>
        <v>600000</v>
      </c>
      <c r="AM49" s="231">
        <f t="shared" si="1"/>
        <v>26.666666666666668</v>
      </c>
      <c r="AN49" s="384">
        <f t="shared" si="2"/>
        <v>1650000</v>
      </c>
      <c r="AO49" s="231">
        <f t="shared" si="3"/>
        <v>73.333333333333329</v>
      </c>
      <c r="AP49" s="218" t="str">
        <f t="shared" si="4"/>
        <v>WA.2378.EBA.962.301.C.524113</v>
      </c>
      <c r="AQ49" s="218" t="str">
        <f>IF(ISNUMBER(SEARCH("COVID",SP2D[[#This Row],[Akun]])),"COVID","Non COVID")</f>
        <v>Non COVID</v>
      </c>
      <c r="AR4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4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9" s="232">
        <f>SUM('PER BULAN'!BA90)</f>
        <v>600000</v>
      </c>
      <c r="AU49" s="232">
        <f>SUM('PER BULAN'!BB90)</f>
        <v>0</v>
      </c>
      <c r="AV49" s="232">
        <f>SUM('PER BULAN'!BC90)</f>
        <v>0</v>
      </c>
      <c r="AW49" s="232">
        <f>SUM('PER BULAN'!BD90)</f>
        <v>0</v>
      </c>
      <c r="AX49" s="232">
        <f>SUM('PER BULAN'!BE90)</f>
        <v>0</v>
      </c>
      <c r="AY49" s="232">
        <f>SUM('PER BULAN'!BF90)</f>
        <v>0</v>
      </c>
      <c r="AZ49" s="232">
        <f>SUM('PER BULAN'!BG90)</f>
        <v>0</v>
      </c>
      <c r="BA49" s="232">
        <f>SUM('PER BULAN'!BH90)</f>
        <v>0</v>
      </c>
    </row>
    <row r="50" spans="1:53" s="219" customFormat="1" x14ac:dyDescent="0.25">
      <c r="A50" s="218" t="s">
        <v>3885</v>
      </c>
      <c r="B50" s="218" t="s">
        <v>3886</v>
      </c>
      <c r="C50" s="218" t="s">
        <v>3912</v>
      </c>
      <c r="D50" s="218" t="s">
        <v>3913</v>
      </c>
      <c r="E50" s="218" t="s">
        <v>197</v>
      </c>
      <c r="F50" s="218" t="s">
        <v>3914</v>
      </c>
      <c r="G50" s="218" t="s">
        <v>3929</v>
      </c>
      <c r="H50" s="218" t="s">
        <v>3930</v>
      </c>
      <c r="I50" s="218">
        <v>962</v>
      </c>
      <c r="J50" s="218" t="s">
        <v>3935</v>
      </c>
      <c r="K50" s="218">
        <v>301</v>
      </c>
      <c r="L50" s="218" t="s">
        <v>3934</v>
      </c>
      <c r="M50" s="218" t="s">
        <v>514</v>
      </c>
      <c r="N50" s="218" t="s">
        <v>3917</v>
      </c>
      <c r="O50" s="218">
        <v>521211</v>
      </c>
      <c r="P50" s="218" t="s">
        <v>3890</v>
      </c>
      <c r="Q50" s="165" cm="1">
        <f t="array" ref="Q50">SUM(_xlfn._xlws.FILTER(DIPA2[PaguRevisi],DIPA2[Akun]=SP2D[[#This Row],[Kode Akun]],0))</f>
        <v>13500000</v>
      </c>
      <c r="R50" s="350">
        <v>28000000</v>
      </c>
      <c r="S50" s="350"/>
      <c r="T50" s="350">
        <f>SP2D[[#This Row],[Pagu Semula]]-SP2D[[#This Row],[Pagu]]</f>
        <v>14500000</v>
      </c>
      <c r="U50" s="232">
        <f>SUM('PER BULAN'!J92:L92)</f>
        <v>0</v>
      </c>
      <c r="V50" s="232">
        <f>SUM('PER BULAN'!M92:O92)</f>
        <v>0</v>
      </c>
      <c r="W50" s="232">
        <f>SUM('PER BULAN'!P92:R92)</f>
        <v>5459000</v>
      </c>
      <c r="X50" s="232">
        <f>SUM('PER BULAN'!S92:U92)</f>
        <v>0</v>
      </c>
      <c r="Y50" s="232">
        <f>SUM('PER BULAN'!V92:X92)</f>
        <v>0</v>
      </c>
      <c r="Z50" s="232">
        <f>SUM('PER BULAN'!Y92:AA92)</f>
        <v>0</v>
      </c>
      <c r="AA50" s="232">
        <f>SUM('PER BULAN'!AB92:AD92)</f>
        <v>0</v>
      </c>
      <c r="AB50" s="232">
        <f>SUM('PER BULAN'!AE92:AG92)</f>
        <v>0</v>
      </c>
      <c r="AC50" s="232">
        <f>SUM('PER BULAN'!AH92:AJ92)</f>
        <v>0</v>
      </c>
      <c r="AD50" s="232">
        <f>SUM('PER BULAN'!AK92:AM92)</f>
        <v>0</v>
      </c>
      <c r="AE50" s="232">
        <f>SUM('PER BULAN'!AN92:AP92)</f>
        <v>0</v>
      </c>
      <c r="AF50" s="232">
        <f>SUM('PER BULAN'!AQ92:AS92)</f>
        <v>0</v>
      </c>
      <c r="AG50" s="218" t="s">
        <v>530</v>
      </c>
      <c r="AH50" s="218" t="s">
        <v>576</v>
      </c>
      <c r="AI50" s="218" t="s">
        <v>560</v>
      </c>
      <c r="AJ50" s="218" t="s">
        <v>3891</v>
      </c>
      <c r="AK50" s="218" t="s">
        <v>3892</v>
      </c>
      <c r="AL50" s="384">
        <f t="shared" si="0"/>
        <v>5459000</v>
      </c>
      <c r="AM50" s="231">
        <f t="shared" si="1"/>
        <v>40.437037037037037</v>
      </c>
      <c r="AN50" s="384">
        <f t="shared" si="2"/>
        <v>8041000</v>
      </c>
      <c r="AO50" s="231">
        <f t="shared" si="3"/>
        <v>59.562962962962963</v>
      </c>
      <c r="AP50" s="218" t="str">
        <f t="shared" si="4"/>
        <v>WA.2378.EBA.962.301.D.521211</v>
      </c>
      <c r="AQ50" s="218" t="str">
        <f>IF(ISNUMBER(SEARCH("COVID",SP2D[[#This Row],[Akun]])),"COVID","Non COVID")</f>
        <v>Non COVID</v>
      </c>
      <c r="AR5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0" s="232">
        <f>SUM('PER BULAN'!BA92)</f>
        <v>0</v>
      </c>
      <c r="AU50" s="232">
        <f>SUM('PER BULAN'!BB92)</f>
        <v>5459000</v>
      </c>
      <c r="AV50" s="232">
        <f>SUM('PER BULAN'!BC92)</f>
        <v>0</v>
      </c>
      <c r="AW50" s="232">
        <f>SUM('PER BULAN'!BD92)</f>
        <v>0</v>
      </c>
      <c r="AX50" s="232">
        <f>SUM('PER BULAN'!BE92)</f>
        <v>0</v>
      </c>
      <c r="AY50" s="232">
        <f>SUM('PER BULAN'!BF92)</f>
        <v>0</v>
      </c>
      <c r="AZ50" s="232">
        <f>SUM('PER BULAN'!BG92)</f>
        <v>0</v>
      </c>
      <c r="BA50" s="232">
        <f>SUM('PER BULAN'!BH92)</f>
        <v>0</v>
      </c>
    </row>
    <row r="51" spans="1:53" s="219" customFormat="1" x14ac:dyDescent="0.25">
      <c r="A51" s="218" t="s">
        <v>3885</v>
      </c>
      <c r="B51" s="218" t="s">
        <v>3886</v>
      </c>
      <c r="C51" s="218" t="s">
        <v>3912</v>
      </c>
      <c r="D51" s="218" t="s">
        <v>3913</v>
      </c>
      <c r="E51" s="218" t="s">
        <v>197</v>
      </c>
      <c r="F51" s="218" t="s">
        <v>3914</v>
      </c>
      <c r="G51" s="218" t="s">
        <v>3929</v>
      </c>
      <c r="H51" s="218" t="s">
        <v>3930</v>
      </c>
      <c r="I51" s="218">
        <v>962</v>
      </c>
      <c r="J51" s="218" t="s">
        <v>3935</v>
      </c>
      <c r="K51" s="218">
        <v>301</v>
      </c>
      <c r="L51" s="218" t="s">
        <v>3934</v>
      </c>
      <c r="M51" s="218" t="s">
        <v>514</v>
      </c>
      <c r="N51" s="218" t="s">
        <v>3917</v>
      </c>
      <c r="O51" s="218" t="s">
        <v>513</v>
      </c>
      <c r="P51" s="218" t="s">
        <v>3894</v>
      </c>
      <c r="Q51" s="165" cm="1">
        <f t="array" ref="Q51">SUM(_xlfn._xlws.FILTER(DIPA2[PaguRevisi],DIPA2[Akun]=SP2D[[#This Row],[Kode Akun]],0))</f>
        <v>47693000</v>
      </c>
      <c r="R51" s="350">
        <v>71250000</v>
      </c>
      <c r="S51" s="350"/>
      <c r="T51" s="350">
        <f>SP2D[[#This Row],[Pagu Semula]]-SP2D[[#This Row],[Pagu]]</f>
        <v>23557000</v>
      </c>
      <c r="U51" s="232">
        <f>SUM('PER BULAN'!J93:L93)</f>
        <v>0</v>
      </c>
      <c r="V51" s="232">
        <f>SUM('PER BULAN'!M93:O93)</f>
        <v>0</v>
      </c>
      <c r="W51" s="232">
        <f>SUM('PER BULAN'!P93:R93)</f>
        <v>8227400</v>
      </c>
      <c r="X51" s="232">
        <f>SUM('PER BULAN'!S93:U93)</f>
        <v>15762838</v>
      </c>
      <c r="Y51" s="232">
        <f>SUM('PER BULAN'!V93:X93)</f>
        <v>3691500</v>
      </c>
      <c r="Z51" s="232">
        <f>SUM('PER BULAN'!Y93:AA93)</f>
        <v>0</v>
      </c>
      <c r="AA51" s="232">
        <f>SUM('PER BULAN'!AB93:AD93)</f>
        <v>0</v>
      </c>
      <c r="AB51" s="232">
        <f>SUM('PER BULAN'!AE93:AG93)</f>
        <v>0</v>
      </c>
      <c r="AC51" s="232">
        <f>SUM('PER BULAN'!AH93:AJ93)</f>
        <v>0</v>
      </c>
      <c r="AD51" s="232">
        <f>SUM('PER BULAN'!AK93:AM93)</f>
        <v>0</v>
      </c>
      <c r="AE51" s="232">
        <f>SUM('PER BULAN'!AN93:AP93)</f>
        <v>0</v>
      </c>
      <c r="AF51" s="232">
        <f>SUM('PER BULAN'!AQ93:AS93)</f>
        <v>0</v>
      </c>
      <c r="AG51" s="218" t="s">
        <v>530</v>
      </c>
      <c r="AH51" s="218" t="s">
        <v>576</v>
      </c>
      <c r="AI51" s="218" t="s">
        <v>560</v>
      </c>
      <c r="AJ51" s="218" t="s">
        <v>3891</v>
      </c>
      <c r="AK51" s="218" t="s">
        <v>3892</v>
      </c>
      <c r="AL51" s="384">
        <f t="shared" si="0"/>
        <v>27681738</v>
      </c>
      <c r="AM51" s="231">
        <f t="shared" si="1"/>
        <v>58.041511332900008</v>
      </c>
      <c r="AN51" s="384">
        <f t="shared" si="2"/>
        <v>20011262</v>
      </c>
      <c r="AO51" s="231">
        <f t="shared" si="3"/>
        <v>41.958488667099992</v>
      </c>
      <c r="AP51" s="218" t="str">
        <f t="shared" si="4"/>
        <v>WA.2378.EBA.962.301.D.524111</v>
      </c>
      <c r="AQ51" s="218" t="str">
        <f>IF(ISNUMBER(SEARCH("COVID",SP2D[[#This Row],[Akun]])),"COVID","Non COVID")</f>
        <v>Non COVID</v>
      </c>
      <c r="AR5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5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1" s="232">
        <f>SUM('PER BULAN'!BA93)</f>
        <v>4907400</v>
      </c>
      <c r="AU51" s="232">
        <f>SUM('PER BULAN'!BB93)</f>
        <v>3320000</v>
      </c>
      <c r="AV51" s="232">
        <f>SUM('PER BULAN'!BC93)</f>
        <v>0</v>
      </c>
      <c r="AW51" s="232">
        <f>SUM('PER BULAN'!BD93)</f>
        <v>1410000</v>
      </c>
      <c r="AX51" s="232">
        <f>SUM('PER BULAN'!BE93)</f>
        <v>0</v>
      </c>
      <c r="AY51" s="232">
        <f>SUM('PER BULAN'!BF93)</f>
        <v>0</v>
      </c>
      <c r="AZ51" s="232">
        <f>SUM('PER BULAN'!BG93)</f>
        <v>3691500</v>
      </c>
      <c r="BA51" s="232">
        <f>SUM('PER BULAN'!BH93)</f>
        <v>0</v>
      </c>
    </row>
    <row r="52" spans="1:53" s="219" customFormat="1" x14ac:dyDescent="0.25">
      <c r="A52" s="218" t="s">
        <v>3885</v>
      </c>
      <c r="B52" s="218" t="s">
        <v>3886</v>
      </c>
      <c r="C52" s="218" t="s">
        <v>3912</v>
      </c>
      <c r="D52" s="218" t="s">
        <v>3913</v>
      </c>
      <c r="E52" s="218" t="s">
        <v>197</v>
      </c>
      <c r="F52" s="218" t="s">
        <v>3914</v>
      </c>
      <c r="G52" s="218" t="s">
        <v>3929</v>
      </c>
      <c r="H52" s="218" t="s">
        <v>3930</v>
      </c>
      <c r="I52" s="218">
        <v>962</v>
      </c>
      <c r="J52" s="218" t="s">
        <v>3935</v>
      </c>
      <c r="K52" s="218">
        <v>301</v>
      </c>
      <c r="L52" s="218" t="s">
        <v>3934</v>
      </c>
      <c r="M52" s="218" t="s">
        <v>514</v>
      </c>
      <c r="N52" s="218" t="s">
        <v>3917</v>
      </c>
      <c r="O52" s="218" t="s">
        <v>507</v>
      </c>
      <c r="P52" s="218" t="s">
        <v>508</v>
      </c>
      <c r="Q52" s="165" cm="1">
        <f t="array" ref="Q52">SUM(_xlfn._xlws.FILTER(DIPA2[PaguRevisi],DIPA2[Akun]=SP2D[[#This Row],[Kode Akun]],0))</f>
        <v>0</v>
      </c>
      <c r="R52" s="350">
        <v>1800000</v>
      </c>
      <c r="S52" s="350"/>
      <c r="T52" s="350">
        <f>SP2D[[#This Row],[Pagu Semula]]-SP2D[[#This Row],[Pagu]]</f>
        <v>1800000</v>
      </c>
      <c r="U52" s="232">
        <f>SUM('PER BULAN'!J94:L94)</f>
        <v>0</v>
      </c>
      <c r="V52" s="232">
        <f>SUM('PER BULAN'!M94:O94)</f>
        <v>0</v>
      </c>
      <c r="W52" s="232">
        <f>SUM('PER BULAN'!P94:R94)</f>
        <v>0</v>
      </c>
      <c r="X52" s="232">
        <f>SUM('PER BULAN'!S94:U94)</f>
        <v>0</v>
      </c>
      <c r="Y52" s="232">
        <f>SUM('PER BULAN'!V94:X94)</f>
        <v>0</v>
      </c>
      <c r="Z52" s="232">
        <f>SUM('PER BULAN'!Y94:AA94)</f>
        <v>0</v>
      </c>
      <c r="AA52" s="232">
        <f>SUM('PER BULAN'!AB94:AD94)</f>
        <v>0</v>
      </c>
      <c r="AB52" s="232">
        <f>SUM('PER BULAN'!AE94:AG94)</f>
        <v>0</v>
      </c>
      <c r="AC52" s="232">
        <f>SUM('PER BULAN'!AH94:AJ94)</f>
        <v>0</v>
      </c>
      <c r="AD52" s="232">
        <f>SUM('PER BULAN'!AK94:AM94)</f>
        <v>0</v>
      </c>
      <c r="AE52" s="232">
        <f>SUM('PER BULAN'!AN94:AP94)</f>
        <v>0</v>
      </c>
      <c r="AF52" s="232">
        <f>SUM('PER BULAN'!AQ94:AS94)</f>
        <v>0</v>
      </c>
      <c r="AG52" s="218" t="s">
        <v>530</v>
      </c>
      <c r="AH52" s="218" t="s">
        <v>576</v>
      </c>
      <c r="AI52" s="218" t="s">
        <v>560</v>
      </c>
      <c r="AJ52" s="218" t="s">
        <v>3891</v>
      </c>
      <c r="AK52" s="218" t="s">
        <v>3892</v>
      </c>
      <c r="AL52" s="384">
        <f t="shared" si="0"/>
        <v>0</v>
      </c>
      <c r="AM52" s="231">
        <f t="shared" si="1"/>
        <v>0</v>
      </c>
      <c r="AN52" s="384">
        <f t="shared" si="2"/>
        <v>0</v>
      </c>
      <c r="AO52" s="231">
        <f t="shared" si="3"/>
        <v>0</v>
      </c>
      <c r="AP52" s="218" t="str">
        <f t="shared" si="4"/>
        <v>WA.2378.EBA.962.301.D.524113</v>
      </c>
      <c r="AQ52" s="218" t="str">
        <f>IF(ISNUMBER(SEARCH("COVID",SP2D[[#This Row],[Akun]])),"COVID","Non COVID")</f>
        <v>Non COVID</v>
      </c>
      <c r="AR5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5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2" s="232">
        <f>SUM('PER BULAN'!BA94)</f>
        <v>0</v>
      </c>
      <c r="AU52" s="232">
        <f>SUM('PER BULAN'!BB94)</f>
        <v>0</v>
      </c>
      <c r="AV52" s="232">
        <f>SUM('PER BULAN'!BC94)</f>
        <v>0</v>
      </c>
      <c r="AW52" s="232">
        <f>SUM('PER BULAN'!BD94)</f>
        <v>0</v>
      </c>
      <c r="AX52" s="232">
        <f>SUM('PER BULAN'!BE94)</f>
        <v>0</v>
      </c>
      <c r="AY52" s="232">
        <f>SUM('PER BULAN'!BF94)</f>
        <v>0</v>
      </c>
      <c r="AZ52" s="232">
        <f>SUM('PER BULAN'!BG94)</f>
        <v>0</v>
      </c>
      <c r="BA52" s="232">
        <f>SUM('PER BULAN'!BH94)</f>
        <v>0</v>
      </c>
    </row>
    <row r="53" spans="1:53" s="219" customFormat="1" x14ac:dyDescent="0.25">
      <c r="A53" s="218" t="s">
        <v>3885</v>
      </c>
      <c r="B53" s="218" t="s">
        <v>3886</v>
      </c>
      <c r="C53" s="218" t="s">
        <v>3912</v>
      </c>
      <c r="D53" s="218" t="s">
        <v>3913</v>
      </c>
      <c r="E53" s="218" t="s">
        <v>197</v>
      </c>
      <c r="F53" s="218" t="s">
        <v>3914</v>
      </c>
      <c r="G53" s="218" t="s">
        <v>3929</v>
      </c>
      <c r="H53" s="218" t="s">
        <v>3930</v>
      </c>
      <c r="I53" s="218">
        <v>962</v>
      </c>
      <c r="J53" s="218" t="s">
        <v>3935</v>
      </c>
      <c r="K53" s="218">
        <v>301</v>
      </c>
      <c r="L53" s="218" t="s">
        <v>3934</v>
      </c>
      <c r="M53" s="218" t="s">
        <v>519</v>
      </c>
      <c r="N53" s="218" t="s">
        <v>3937</v>
      </c>
      <c r="O53" s="218">
        <v>521211</v>
      </c>
      <c r="P53" s="218" t="s">
        <v>3890</v>
      </c>
      <c r="Q53" s="165" cm="1">
        <f t="array" ref="Q53">SUM(_xlfn._xlws.FILTER(DIPA2[PaguRevisi],DIPA2[Akun]=SP2D[[#This Row],[Kode Akun]],0))</f>
        <v>38100000</v>
      </c>
      <c r="R53" s="350">
        <v>57600000</v>
      </c>
      <c r="S53" s="350"/>
      <c r="T53" s="350">
        <f>SP2D[[#This Row],[Pagu Semula]]-SP2D[[#This Row],[Pagu]]</f>
        <v>19500000</v>
      </c>
      <c r="U53" s="232">
        <f>SUM('PER BULAN'!J87:L87)</f>
        <v>0</v>
      </c>
      <c r="V53" s="232">
        <f>SUM('PER BULAN'!M87:O87)</f>
        <v>0</v>
      </c>
      <c r="W53" s="232">
        <f>SUM('PER BULAN'!P96:R96)</f>
        <v>31495000</v>
      </c>
      <c r="X53" s="232">
        <f>SUM('PER BULAN'!S96:U96)</f>
        <v>0</v>
      </c>
      <c r="Y53" s="232">
        <f>SUM('PER BULAN'!V96:X96)</f>
        <v>6600000</v>
      </c>
      <c r="Z53" s="232">
        <f>SUM('PER BULAN'!Y96:AA96)</f>
        <v>0</v>
      </c>
      <c r="AA53" s="232">
        <f>SUM('PER BULAN'!AB96:AD96)</f>
        <v>0</v>
      </c>
      <c r="AB53" s="232">
        <f>SUM('PER BULAN'!AE96:AG96)</f>
        <v>0</v>
      </c>
      <c r="AC53" s="232">
        <f>SUM('PER BULAN'!AH96:AJ96)</f>
        <v>0</v>
      </c>
      <c r="AD53" s="232">
        <f>SUM('PER BULAN'!AK96:AM96)</f>
        <v>0</v>
      </c>
      <c r="AE53" s="232">
        <f>SUM('PER BULAN'!AN96:AP96)</f>
        <v>0</v>
      </c>
      <c r="AF53" s="232">
        <f>SUM('PER BULAN'!AQ96:AS96)</f>
        <v>0</v>
      </c>
      <c r="AG53" s="218" t="s">
        <v>530</v>
      </c>
      <c r="AH53" s="218" t="s">
        <v>576</v>
      </c>
      <c r="AI53" s="218" t="s">
        <v>560</v>
      </c>
      <c r="AJ53" s="218" t="s">
        <v>3891</v>
      </c>
      <c r="AK53" s="218" t="s">
        <v>3892</v>
      </c>
      <c r="AL53" s="384">
        <f t="shared" si="0"/>
        <v>38095000</v>
      </c>
      <c r="AM53" s="231">
        <f t="shared" si="1"/>
        <v>99.98687664041995</v>
      </c>
      <c r="AN53" s="384">
        <f t="shared" si="2"/>
        <v>5000</v>
      </c>
      <c r="AO53" s="231">
        <f t="shared" si="3"/>
        <v>1.3123359580052493E-2</v>
      </c>
      <c r="AP53" s="218" t="str">
        <f t="shared" si="4"/>
        <v>WA.2378.EBA.962.301.E.521211</v>
      </c>
      <c r="AQ53" s="218" t="str">
        <f>IF(ISNUMBER(SEARCH("COVID",SP2D[[#This Row],[Akun]])),"COVID","Non COVID")</f>
        <v>Non COVID</v>
      </c>
      <c r="AR5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3" s="232">
        <f>SUM('PER BULAN'!BA96)</f>
        <v>0</v>
      </c>
      <c r="AU53" s="232">
        <f>SUM('PER BULAN'!BB96)</f>
        <v>31495000</v>
      </c>
      <c r="AV53" s="232">
        <f>SUM('PER BULAN'!BC96)</f>
        <v>0</v>
      </c>
      <c r="AW53" s="232">
        <f>SUM('PER BULAN'!BD96)</f>
        <v>0</v>
      </c>
      <c r="AX53" s="232">
        <f>SUM('PER BULAN'!BE96)</f>
        <v>0</v>
      </c>
      <c r="AY53" s="232">
        <f>SUM('PER BULAN'!BF96)</f>
        <v>0</v>
      </c>
      <c r="AZ53" s="232">
        <f>SUM('PER BULAN'!BG96)</f>
        <v>6600000</v>
      </c>
      <c r="BA53" s="232">
        <f>SUM('PER BULAN'!BH96)</f>
        <v>0</v>
      </c>
    </row>
    <row r="54" spans="1:53" s="219" customFormat="1" x14ac:dyDescent="0.25">
      <c r="A54" s="218" t="s">
        <v>3885</v>
      </c>
      <c r="B54" s="218" t="s">
        <v>3886</v>
      </c>
      <c r="C54" s="218" t="s">
        <v>3912</v>
      </c>
      <c r="D54" s="218" t="s">
        <v>3913</v>
      </c>
      <c r="E54" s="218" t="s">
        <v>197</v>
      </c>
      <c r="F54" s="218" t="s">
        <v>3914</v>
      </c>
      <c r="G54" s="218" t="s">
        <v>3929</v>
      </c>
      <c r="H54" s="218" t="s">
        <v>3930</v>
      </c>
      <c r="I54" s="218">
        <v>962</v>
      </c>
      <c r="J54" s="218" t="s">
        <v>3935</v>
      </c>
      <c r="K54" s="218">
        <v>301</v>
      </c>
      <c r="L54" s="218" t="s">
        <v>3934</v>
      </c>
      <c r="M54" s="218" t="s">
        <v>519</v>
      </c>
      <c r="N54" s="218" t="s">
        <v>3937</v>
      </c>
      <c r="O54" s="218">
        <v>521241</v>
      </c>
      <c r="P54" s="218" t="s">
        <v>3938</v>
      </c>
      <c r="Q54" s="165" cm="1">
        <f t="array" ref="Q54">SUM(_xlfn._xlws.FILTER(DIPA2[PaguRevisi],DIPA2[Akun]=SP2D[[#This Row],[Kode Akun]],0))</f>
        <v>82534000</v>
      </c>
      <c r="R54" s="350">
        <v>226200000</v>
      </c>
      <c r="S54" s="350"/>
      <c r="T54" s="350">
        <f>SP2D[[#This Row],[Pagu Semula]]-SP2D[[#This Row],[Pagu]]</f>
        <v>143666000</v>
      </c>
      <c r="U54" s="232">
        <f>SUM('PER BULAN'!J97:L97)</f>
        <v>0</v>
      </c>
      <c r="V54" s="232">
        <f>SUM('PER BULAN'!M97:O97)</f>
        <v>0</v>
      </c>
      <c r="W54" s="232">
        <f>SUM('PER BULAN'!P97:R97)</f>
        <v>47132450</v>
      </c>
      <c r="X54" s="232">
        <f>SUM('PER BULAN'!S97:U97)</f>
        <v>0</v>
      </c>
      <c r="Y54" s="232">
        <f>SUM('PER BULAN'!V97:X97)</f>
        <v>20031830</v>
      </c>
      <c r="Z54" s="232">
        <f>SUM('PER BULAN'!Y97:AA97)</f>
        <v>0</v>
      </c>
      <c r="AA54" s="232">
        <f>SUM('PER BULAN'!AB97:AD97)</f>
        <v>0</v>
      </c>
      <c r="AB54" s="232">
        <f>SUM('PER BULAN'!AE97:AG97)</f>
        <v>0</v>
      </c>
      <c r="AC54" s="232">
        <f>SUM('PER BULAN'!AH97:AJ97)</f>
        <v>0</v>
      </c>
      <c r="AD54" s="232">
        <f>SUM('PER BULAN'!AK97:AM97)</f>
        <v>0</v>
      </c>
      <c r="AE54" s="232">
        <f>SUM('PER BULAN'!AN97:AP97)</f>
        <v>0</v>
      </c>
      <c r="AF54" s="232">
        <f>SUM('PER BULAN'!AQ97:AS97)</f>
        <v>0</v>
      </c>
      <c r="AG54" s="218" t="s">
        <v>530</v>
      </c>
      <c r="AH54" s="218" t="s">
        <v>576</v>
      </c>
      <c r="AI54" s="218" t="s">
        <v>560</v>
      </c>
      <c r="AJ54" s="218" t="s">
        <v>3891</v>
      </c>
      <c r="AK54" s="218" t="s">
        <v>3892</v>
      </c>
      <c r="AL54" s="384">
        <f t="shared" si="0"/>
        <v>67164280</v>
      </c>
      <c r="AM54" s="231">
        <f t="shared" si="1"/>
        <v>81.377711003949884</v>
      </c>
      <c r="AN54" s="384">
        <f t="shared" si="2"/>
        <v>15369720</v>
      </c>
      <c r="AO54" s="231">
        <f t="shared" si="3"/>
        <v>18.622288996050113</v>
      </c>
      <c r="AP54" s="218" t="str">
        <f t="shared" si="4"/>
        <v>WA.2378.EBA.962.301.E.521241</v>
      </c>
      <c r="AQ54" s="218" t="str">
        <f>IF(ISNUMBER(SEARCH("COVID",SP2D[[#This Row],[Akun]])),"COVID","Non COVID")</f>
        <v>COVID</v>
      </c>
      <c r="AR5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5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4" s="232">
        <f>SUM('PER BULAN'!BA97)</f>
        <v>0</v>
      </c>
      <c r="AU54" s="232">
        <f>SUM('PER BULAN'!BB97)</f>
        <v>35332450</v>
      </c>
      <c r="AV54" s="232">
        <f>SUM('PER BULAN'!BC97)</f>
        <v>11800000</v>
      </c>
      <c r="AW54" s="232">
        <f>SUM('PER BULAN'!BD97)</f>
        <v>0</v>
      </c>
      <c r="AX54" s="232">
        <f>SUM('PER BULAN'!BE97)</f>
        <v>0</v>
      </c>
      <c r="AY54" s="232">
        <f>SUM('PER BULAN'!BF97)</f>
        <v>0</v>
      </c>
      <c r="AZ54" s="232">
        <f>SUM('PER BULAN'!BG97)</f>
        <v>20031830</v>
      </c>
      <c r="BA54" s="232">
        <f>SUM('PER BULAN'!BH97)</f>
        <v>0</v>
      </c>
    </row>
    <row r="55" spans="1:53" s="219" customFormat="1" x14ac:dyDescent="0.25">
      <c r="A55" s="218" t="s">
        <v>3885</v>
      </c>
      <c r="B55" s="218" t="s">
        <v>3886</v>
      </c>
      <c r="C55" s="218" t="s">
        <v>3912</v>
      </c>
      <c r="D55" s="218" t="s">
        <v>3913</v>
      </c>
      <c r="E55" s="218" t="s">
        <v>197</v>
      </c>
      <c r="F55" s="218" t="s">
        <v>3914</v>
      </c>
      <c r="G55" s="218" t="s">
        <v>3929</v>
      </c>
      <c r="H55" s="218" t="s">
        <v>3930</v>
      </c>
      <c r="I55" s="218">
        <v>962</v>
      </c>
      <c r="J55" s="218" t="s">
        <v>3935</v>
      </c>
      <c r="K55" s="218">
        <v>301</v>
      </c>
      <c r="L55" s="218" t="s">
        <v>3934</v>
      </c>
      <c r="M55" s="218" t="s">
        <v>519</v>
      </c>
      <c r="N55" s="218" t="s">
        <v>3937</v>
      </c>
      <c r="O55" s="218">
        <v>522191</v>
      </c>
      <c r="P55" s="218" t="s">
        <v>3983</v>
      </c>
      <c r="Q55" s="165" cm="1">
        <f t="array" ref="Q55">SUM(_xlfn._xlws.FILTER(DIPA2[PaguRevisi],DIPA2[Akun]=SP2D[[#This Row],[Kode Akun]],0))</f>
        <v>1606000</v>
      </c>
      <c r="R55" s="350">
        <v>35000000</v>
      </c>
      <c r="S55" s="350"/>
      <c r="T55" s="350">
        <f>SP2D[[#This Row],[Pagu Semula]]-SP2D[[#This Row],[Pagu]]</f>
        <v>33394000</v>
      </c>
      <c r="U55" s="232">
        <f>SUM('PER BULAN'!J98:L98)</f>
        <v>0</v>
      </c>
      <c r="V55" s="232">
        <f>SUM('PER BULAN'!M98:O98)</f>
        <v>0</v>
      </c>
      <c r="W55" s="232">
        <f>SUM('PER BULAN'!P98:R98)</f>
        <v>0</v>
      </c>
      <c r="X55" s="232">
        <f>SUM('PER BULAN'!S98:U98)</f>
        <v>0</v>
      </c>
      <c r="Y55" s="232">
        <f>SUM('PER BULAN'!V98:X98)</f>
        <v>0</v>
      </c>
      <c r="Z55" s="232">
        <f>SUM('PER BULAN'!Y98:AA98)</f>
        <v>0</v>
      </c>
      <c r="AA55" s="232">
        <f>SUM('PER BULAN'!AB98:AD98)</f>
        <v>0</v>
      </c>
      <c r="AB55" s="232">
        <f>SUM('PER BULAN'!AE98:AG98)</f>
        <v>0</v>
      </c>
      <c r="AC55" s="232">
        <f>SUM('PER BULAN'!AH98:AJ98)</f>
        <v>0</v>
      </c>
      <c r="AD55" s="232">
        <f>SUM('PER BULAN'!AK98:AM98)</f>
        <v>0</v>
      </c>
      <c r="AE55" s="232">
        <f>SUM('PER BULAN'!AN98:AP98)</f>
        <v>0</v>
      </c>
      <c r="AF55" s="232">
        <f>SUM('PER BULAN'!AQ98:AS98)</f>
        <v>0</v>
      </c>
      <c r="AG55" s="218" t="s">
        <v>530</v>
      </c>
      <c r="AH55" s="218" t="s">
        <v>576</v>
      </c>
      <c r="AI55" s="218" t="s">
        <v>560</v>
      </c>
      <c r="AJ55" s="218">
        <v>52</v>
      </c>
      <c r="AK55" s="218" t="s">
        <v>3892</v>
      </c>
      <c r="AL55" s="384">
        <f t="shared" ref="AL55" si="5">SUM(U55:AF55)</f>
        <v>0</v>
      </c>
      <c r="AM55" s="231">
        <f t="shared" si="1"/>
        <v>0</v>
      </c>
      <c r="AN55" s="384">
        <f t="shared" ref="AN55" si="6">Q55-AL55</f>
        <v>1606000</v>
      </c>
      <c r="AO55" s="231">
        <f t="shared" si="3"/>
        <v>100</v>
      </c>
      <c r="AP55" s="218" t="str">
        <f t="shared" si="4"/>
        <v>WA.2378.EBA.962.301.E.522191</v>
      </c>
      <c r="AQ55" s="218" t="str">
        <f>IF(ISNUMBER(SEARCH("COVID",SP2D[[#This Row],[Akun]])),"COVID","Non COVID")</f>
        <v>Non COVID</v>
      </c>
      <c r="AR5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5" s="232"/>
      <c r="AU55" s="232"/>
      <c r="AV55" s="232"/>
      <c r="AW55" s="232"/>
      <c r="AX55" s="232"/>
      <c r="AY55" s="232"/>
      <c r="AZ55" s="232"/>
      <c r="BA55" s="232"/>
    </row>
    <row r="56" spans="1:53" s="219" customFormat="1" x14ac:dyDescent="0.25">
      <c r="A56" s="218" t="s">
        <v>3885</v>
      </c>
      <c r="B56" s="218" t="s">
        <v>3886</v>
      </c>
      <c r="C56" s="218" t="s">
        <v>3912</v>
      </c>
      <c r="D56" s="218" t="s">
        <v>3913</v>
      </c>
      <c r="E56" s="218" t="s">
        <v>197</v>
      </c>
      <c r="F56" s="218" t="s">
        <v>3914</v>
      </c>
      <c r="G56" s="218" t="s">
        <v>3929</v>
      </c>
      <c r="H56" s="218" t="s">
        <v>3930</v>
      </c>
      <c r="I56" s="218">
        <v>962</v>
      </c>
      <c r="J56" s="218" t="s">
        <v>3935</v>
      </c>
      <c r="K56" s="218">
        <v>301</v>
      </c>
      <c r="L56" s="218" t="s">
        <v>3934</v>
      </c>
      <c r="M56" s="218" t="s">
        <v>519</v>
      </c>
      <c r="N56" s="218" t="s">
        <v>3937</v>
      </c>
      <c r="O56" s="218" t="s">
        <v>518</v>
      </c>
      <c r="P56" s="218" t="s">
        <v>3895</v>
      </c>
      <c r="Q56" s="165" cm="1">
        <f t="array" ref="Q56">SUM(_xlfn._xlws.FILTER(DIPA2[PaguRevisi],DIPA2[Akun]=SP2D[[#This Row],[Kode Akun]],0))</f>
        <v>4246000</v>
      </c>
      <c r="R56" s="350">
        <v>48000000</v>
      </c>
      <c r="S56" s="350"/>
      <c r="T56" s="350">
        <f>SP2D[[#This Row],[Pagu Semula]]-SP2D[[#This Row],[Pagu]]</f>
        <v>43754000</v>
      </c>
      <c r="U56" s="232">
        <f>SUM('PER BULAN'!J99:L99)</f>
        <v>0</v>
      </c>
      <c r="V56" s="232">
        <f>SUM('PER BULAN'!M89:O89)</f>
        <v>0</v>
      </c>
      <c r="W56" s="232">
        <f>SUM('PER BULAN'!P99:R99)</f>
        <v>802000</v>
      </c>
      <c r="X56" s="232">
        <f>SUM('PER BULAN'!S99:U99)</f>
        <v>3229000</v>
      </c>
      <c r="Y56" s="232">
        <f>SUM('PER BULAN'!V99:X99)</f>
        <v>215000</v>
      </c>
      <c r="Z56" s="232">
        <f>SUM('PER BULAN'!Y99:AA99)</f>
        <v>0</v>
      </c>
      <c r="AA56" s="232">
        <f>SUM('PER BULAN'!AB99:AD99)</f>
        <v>0</v>
      </c>
      <c r="AB56" s="232">
        <f>SUM('PER BULAN'!AE99:AG99)</f>
        <v>0</v>
      </c>
      <c r="AC56" s="232">
        <f>SUM('PER BULAN'!AH99:AJ99)</f>
        <v>0</v>
      </c>
      <c r="AD56" s="232">
        <f>SUM('PER BULAN'!AK99:AM99)</f>
        <v>0</v>
      </c>
      <c r="AE56" s="232">
        <f>SUM('PER BULAN'!AN99:AP99)</f>
        <v>0</v>
      </c>
      <c r="AF56" s="232">
        <f>SUM('PER BULAN'!AQ99:AS99)</f>
        <v>0</v>
      </c>
      <c r="AG56" s="218" t="s">
        <v>530</v>
      </c>
      <c r="AH56" s="218" t="s">
        <v>576</v>
      </c>
      <c r="AI56" s="218" t="s">
        <v>560</v>
      </c>
      <c r="AJ56" s="218" t="s">
        <v>3891</v>
      </c>
      <c r="AK56" s="218" t="s">
        <v>3892</v>
      </c>
      <c r="AL56" s="384">
        <f t="shared" si="0"/>
        <v>4246000</v>
      </c>
      <c r="AM56" s="231">
        <f t="shared" si="1"/>
        <v>100</v>
      </c>
      <c r="AN56" s="384">
        <f t="shared" si="2"/>
        <v>0</v>
      </c>
      <c r="AO56" s="231">
        <f t="shared" si="3"/>
        <v>0</v>
      </c>
      <c r="AP56" s="218" t="str">
        <f t="shared" si="4"/>
        <v>WA.2378.EBA.962.301.E.522192</v>
      </c>
      <c r="AQ56" s="218" t="str">
        <f>IF(ISNUMBER(SEARCH("COVID",SP2D[[#This Row],[Akun]])),"COVID","Non COVID")</f>
        <v>COVID</v>
      </c>
      <c r="AR5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6" s="232">
        <f>SUM('PER BULAN'!BA99)</f>
        <v>0</v>
      </c>
      <c r="AU56" s="232">
        <f>SUM('PER BULAN'!BB99)</f>
        <v>802000</v>
      </c>
      <c r="AV56" s="232">
        <f>SUM('PER BULAN'!BC99)</f>
        <v>0</v>
      </c>
      <c r="AW56" s="232">
        <f>SUM('PER BULAN'!BD99)</f>
        <v>3229000</v>
      </c>
      <c r="AX56" s="232">
        <f>SUM('PER BULAN'!BE99)</f>
        <v>0</v>
      </c>
      <c r="AY56" s="232">
        <f>SUM('PER BULAN'!BF99)</f>
        <v>0</v>
      </c>
      <c r="AZ56" s="232">
        <f>SUM('PER BULAN'!BG99)</f>
        <v>215000</v>
      </c>
      <c r="BA56" s="232">
        <f>SUM('PER BULAN'!BH99)</f>
        <v>0</v>
      </c>
    </row>
    <row r="57" spans="1:53" s="219" customFormat="1" x14ac:dyDescent="0.25">
      <c r="A57" s="218" t="s">
        <v>3885</v>
      </c>
      <c r="B57" s="218" t="s">
        <v>3886</v>
      </c>
      <c r="C57" s="218" t="s">
        <v>3912</v>
      </c>
      <c r="D57" s="218" t="s">
        <v>3913</v>
      </c>
      <c r="E57" s="218" t="s">
        <v>197</v>
      </c>
      <c r="F57" s="218" t="s">
        <v>3914</v>
      </c>
      <c r="G57" s="218" t="s">
        <v>3929</v>
      </c>
      <c r="H57" s="218" t="s">
        <v>3930</v>
      </c>
      <c r="I57" s="218">
        <v>962</v>
      </c>
      <c r="J57" s="218" t="s">
        <v>3935</v>
      </c>
      <c r="K57" s="218">
        <v>301</v>
      </c>
      <c r="L57" s="218" t="s">
        <v>3934</v>
      </c>
      <c r="M57" s="218" t="s">
        <v>519</v>
      </c>
      <c r="N57" s="218" t="s">
        <v>3937</v>
      </c>
      <c r="O57" s="218" t="s">
        <v>513</v>
      </c>
      <c r="P57" s="218" t="s">
        <v>3894</v>
      </c>
      <c r="Q57" s="165" cm="1">
        <f t="array" ref="Q57">SUM(_xlfn._xlws.FILTER(DIPA2[PaguRevisi],DIPA2[Akun]=SP2D[[#This Row],[Kode Akun]],0))</f>
        <v>21851000</v>
      </c>
      <c r="R57" s="350">
        <v>42772000</v>
      </c>
      <c r="S57" s="350"/>
      <c r="T57" s="350">
        <f>SP2D[[#This Row],[Pagu Semula]]-SP2D[[#This Row],[Pagu]]</f>
        <v>20921000</v>
      </c>
      <c r="U57" s="232">
        <f>SUM('PER BULAN'!J101:L101)</f>
        <v>0</v>
      </c>
      <c r="V57" s="232">
        <f>SUM('PER BULAN'!M100:O100)</f>
        <v>0</v>
      </c>
      <c r="W57" s="232">
        <f>SUM('PER BULAN'!P100:R100)</f>
        <v>8250000</v>
      </c>
      <c r="X57" s="232">
        <f>SUM('PER BULAN'!S100:U100)</f>
        <v>3712700</v>
      </c>
      <c r="Y57" s="232">
        <f>SUM('PER BULAN'!V100:X100)</f>
        <v>9888000</v>
      </c>
      <c r="Z57" s="232">
        <f>SUM('PER BULAN'!Y100:AA100)</f>
        <v>0</v>
      </c>
      <c r="AA57" s="232">
        <f>SUM('PER BULAN'!AB100:AD100)</f>
        <v>0</v>
      </c>
      <c r="AB57" s="232">
        <f>SUM('PER BULAN'!AE100:AG100)</f>
        <v>0</v>
      </c>
      <c r="AC57" s="232">
        <f>SUM('PER BULAN'!AH100:AJ100)</f>
        <v>0</v>
      </c>
      <c r="AD57" s="232">
        <f>SUM('PER BULAN'!AK100:AM100)</f>
        <v>0</v>
      </c>
      <c r="AE57" s="232">
        <f>SUM('PER BULAN'!AN100:AP100)</f>
        <v>0</v>
      </c>
      <c r="AF57" s="232">
        <f>SUM('PER BULAN'!AQ100:AS100)</f>
        <v>0</v>
      </c>
      <c r="AG57" s="218" t="s">
        <v>530</v>
      </c>
      <c r="AH57" s="218" t="s">
        <v>576</v>
      </c>
      <c r="AI57" s="218" t="s">
        <v>560</v>
      </c>
      <c r="AJ57" s="218" t="s">
        <v>3891</v>
      </c>
      <c r="AK57" s="218" t="s">
        <v>3892</v>
      </c>
      <c r="AL57" s="384">
        <f t="shared" si="0"/>
        <v>21850700</v>
      </c>
      <c r="AM57" s="231">
        <f t="shared" si="1"/>
        <v>99.998627065122875</v>
      </c>
      <c r="AN57" s="384">
        <f t="shared" si="2"/>
        <v>300</v>
      </c>
      <c r="AO57" s="231">
        <f t="shared" si="3"/>
        <v>1.3729348771223285E-3</v>
      </c>
      <c r="AP57" s="218" t="str">
        <f t="shared" si="4"/>
        <v>WA.2378.EBA.962.301.E.524111</v>
      </c>
      <c r="AQ57" s="218" t="str">
        <f>IF(ISNUMBER(SEARCH("COVID",SP2D[[#This Row],[Akun]])),"COVID","Non COVID")</f>
        <v>Non COVID</v>
      </c>
      <c r="AR5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5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7" s="232">
        <f>SUM('PER BULAN'!BA100)</f>
        <v>1560000</v>
      </c>
      <c r="AU57" s="232">
        <f>SUM('PER BULAN'!BB100)</f>
        <v>6690000</v>
      </c>
      <c r="AV57" s="232">
        <f>SUM('PER BULAN'!BC100)</f>
        <v>0</v>
      </c>
      <c r="AW57" s="232">
        <f>SUM('PER BULAN'!BD100)</f>
        <v>0</v>
      </c>
      <c r="AX57" s="232">
        <f>SUM('PER BULAN'!BE100)</f>
        <v>1860000</v>
      </c>
      <c r="AY57" s="232">
        <f>SUM('PER BULAN'!BF100)</f>
        <v>3748000</v>
      </c>
      <c r="AZ57" s="232">
        <f>SUM('PER BULAN'!BG100)</f>
        <v>4280000</v>
      </c>
      <c r="BA57" s="232">
        <f>SUM('PER BULAN'!BH100)</f>
        <v>0</v>
      </c>
    </row>
    <row r="58" spans="1:53" s="219" customFormat="1" x14ac:dyDescent="0.25">
      <c r="A58" s="218" t="s">
        <v>3885</v>
      </c>
      <c r="B58" s="218" t="s">
        <v>3886</v>
      </c>
      <c r="C58" s="218" t="s">
        <v>3912</v>
      </c>
      <c r="D58" s="218" t="s">
        <v>3913</v>
      </c>
      <c r="E58" s="218" t="s">
        <v>197</v>
      </c>
      <c r="F58" s="218" t="s">
        <v>3914</v>
      </c>
      <c r="G58" s="218" t="s">
        <v>3929</v>
      </c>
      <c r="H58" s="218" t="s">
        <v>3930</v>
      </c>
      <c r="I58" s="218">
        <v>962</v>
      </c>
      <c r="J58" s="218" t="s">
        <v>3935</v>
      </c>
      <c r="K58" s="218">
        <v>301</v>
      </c>
      <c r="L58" s="218" t="s">
        <v>3934</v>
      </c>
      <c r="M58" s="218" t="s">
        <v>519</v>
      </c>
      <c r="N58" s="218" t="s">
        <v>3937</v>
      </c>
      <c r="O58" s="218" t="s">
        <v>507</v>
      </c>
      <c r="P58" s="218" t="s">
        <v>508</v>
      </c>
      <c r="Q58" s="165" cm="1">
        <f t="array" ref="Q58">SUM(_xlfn._xlws.FILTER(DIPA2[PaguRevisi],DIPA2[Akun]=SP2D[[#This Row],[Kode Akun]],0))</f>
        <v>0</v>
      </c>
      <c r="R58" s="350">
        <v>2100000</v>
      </c>
      <c r="S58" s="350"/>
      <c r="T58" s="350">
        <f>SP2D[[#This Row],[Pagu Semula]]-SP2D[[#This Row],[Pagu]]</f>
        <v>2100000</v>
      </c>
      <c r="U58" s="232">
        <f>SUM('PER BULAN'!J102:L102)</f>
        <v>0</v>
      </c>
      <c r="V58" s="232">
        <f>SUM('PER BULAN'!M102:O102)</f>
        <v>0</v>
      </c>
      <c r="W58" s="232">
        <f>SUM('PER BULAN'!P101:R101)</f>
        <v>0</v>
      </c>
      <c r="X58" s="232">
        <f>SUM('PER BULAN'!S101:U101)</f>
        <v>0</v>
      </c>
      <c r="Y58" s="232">
        <f>SUM('PER BULAN'!V101:X101)</f>
        <v>0</v>
      </c>
      <c r="Z58" s="232">
        <f>SUM('PER BULAN'!Y101:AA101)</f>
        <v>0</v>
      </c>
      <c r="AA58" s="232">
        <f>SUM('PER BULAN'!AB101:AD101)</f>
        <v>0</v>
      </c>
      <c r="AB58" s="232">
        <f>SUM('PER BULAN'!AE101:AG101)</f>
        <v>0</v>
      </c>
      <c r="AC58" s="232">
        <f>SUM('PER BULAN'!AH101:AJ101)</f>
        <v>0</v>
      </c>
      <c r="AD58" s="232">
        <f>SUM('PER BULAN'!AK101:AM101)</f>
        <v>0</v>
      </c>
      <c r="AE58" s="232">
        <f>SUM('PER BULAN'!AN101:AP101)</f>
        <v>0</v>
      </c>
      <c r="AF58" s="232">
        <f>SUM('PER BULAN'!AQ101:AS101)</f>
        <v>0</v>
      </c>
      <c r="AG58" s="218" t="s">
        <v>530</v>
      </c>
      <c r="AH58" s="218" t="s">
        <v>576</v>
      </c>
      <c r="AI58" s="218" t="s">
        <v>560</v>
      </c>
      <c r="AJ58" s="218" t="s">
        <v>3891</v>
      </c>
      <c r="AK58" s="218" t="s">
        <v>3892</v>
      </c>
      <c r="AL58" s="384">
        <f t="shared" si="0"/>
        <v>0</v>
      </c>
      <c r="AM58" s="231">
        <f t="shared" si="1"/>
        <v>0</v>
      </c>
      <c r="AN58" s="384">
        <f t="shared" si="2"/>
        <v>0</v>
      </c>
      <c r="AO58" s="231">
        <f t="shared" si="3"/>
        <v>0</v>
      </c>
      <c r="AP58" s="218" t="str">
        <f t="shared" si="4"/>
        <v>WA.2378.EBA.962.301.E.524113</v>
      </c>
      <c r="AQ58" s="218" t="str">
        <f>IF(ISNUMBER(SEARCH("COVID",SP2D[[#This Row],[Akun]])),"COVID","Non COVID")</f>
        <v>Non COVID</v>
      </c>
      <c r="AR5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5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8" s="232">
        <f>SUM('PER BULAN'!BA101)</f>
        <v>0</v>
      </c>
      <c r="AU58" s="232">
        <f>SUM('PER BULAN'!BB101)</f>
        <v>0</v>
      </c>
      <c r="AV58" s="232">
        <f>SUM('PER BULAN'!BC101)</f>
        <v>0</v>
      </c>
      <c r="AW58" s="232">
        <f>SUM('PER BULAN'!BD101)</f>
        <v>0</v>
      </c>
      <c r="AX58" s="232">
        <f>SUM('PER BULAN'!BE101)</f>
        <v>0</v>
      </c>
      <c r="AY58" s="232">
        <f>SUM('PER BULAN'!BF101)</f>
        <v>0</v>
      </c>
      <c r="AZ58" s="232">
        <f>SUM('PER BULAN'!BG101)</f>
        <v>0</v>
      </c>
      <c r="BA58" s="232">
        <f>SUM('PER BULAN'!BH101)</f>
        <v>0</v>
      </c>
    </row>
    <row r="59" spans="1:53" s="219" customFormat="1" x14ac:dyDescent="0.25">
      <c r="A59" s="218" t="s">
        <v>3885</v>
      </c>
      <c r="B59" s="218" t="s">
        <v>3886</v>
      </c>
      <c r="C59" s="218" t="s">
        <v>3912</v>
      </c>
      <c r="D59" s="218" t="s">
        <v>3913</v>
      </c>
      <c r="E59" s="218" t="s">
        <v>197</v>
      </c>
      <c r="F59" s="218" t="s">
        <v>3914</v>
      </c>
      <c r="G59" s="218" t="s">
        <v>3929</v>
      </c>
      <c r="H59" s="218" t="s">
        <v>3930</v>
      </c>
      <c r="I59" s="218">
        <v>962</v>
      </c>
      <c r="J59" s="218" t="s">
        <v>3935</v>
      </c>
      <c r="K59" s="218">
        <v>301</v>
      </c>
      <c r="L59" s="218" t="s">
        <v>3934</v>
      </c>
      <c r="M59" s="218" t="s">
        <v>578</v>
      </c>
      <c r="N59" s="218" t="s">
        <v>3939</v>
      </c>
      <c r="O59" s="218">
        <v>521211</v>
      </c>
      <c r="P59" s="218" t="s">
        <v>3890</v>
      </c>
      <c r="Q59" s="165" cm="1">
        <f t="array" ref="Q59">SUM(_xlfn._xlws.FILTER(DIPA2[PaguRevisi],DIPA2[Akun]=SP2D[[#This Row],[Kode Akun]],0))</f>
        <v>4000000</v>
      </c>
      <c r="R59" s="350">
        <v>32000000</v>
      </c>
      <c r="S59" s="350"/>
      <c r="T59" s="350">
        <f>SP2D[[#This Row],[Pagu Semula]]-SP2D[[#This Row],[Pagu]]</f>
        <v>28000000</v>
      </c>
      <c r="U59" s="232">
        <f>SUM('PER BULAN'!J103:L103)</f>
        <v>0</v>
      </c>
      <c r="V59" s="232">
        <f>SUM('PER BULAN'!M103:O103)</f>
        <v>0</v>
      </c>
      <c r="W59" s="232">
        <f>SUM('PER BULAN'!P103:R103)</f>
        <v>3999200</v>
      </c>
      <c r="X59" s="232">
        <f>SUM('PER BULAN'!S103:U103)</f>
        <v>0</v>
      </c>
      <c r="Y59" s="232">
        <f>SUM('PER BULAN'!V103:X103)</f>
        <v>0</v>
      </c>
      <c r="Z59" s="232">
        <f>SUM('PER BULAN'!Y103:AA103)</f>
        <v>0</v>
      </c>
      <c r="AA59" s="232">
        <f>SUM('PER BULAN'!AB103:AD103)</f>
        <v>0</v>
      </c>
      <c r="AB59" s="232">
        <f>SUM('PER BULAN'!AE103:AG103)</f>
        <v>0</v>
      </c>
      <c r="AC59" s="232">
        <f>SUM('PER BULAN'!AH103:AJ103)</f>
        <v>0</v>
      </c>
      <c r="AD59" s="232">
        <f>SUM('PER BULAN'!AK103:AM103)</f>
        <v>0</v>
      </c>
      <c r="AE59" s="232">
        <f>SUM('PER BULAN'!AN103:AP103)</f>
        <v>0</v>
      </c>
      <c r="AF59" s="232">
        <f>SUM('PER BULAN'!AQ103:AS103)</f>
        <v>0</v>
      </c>
      <c r="AG59" s="218" t="s">
        <v>530</v>
      </c>
      <c r="AH59" s="218" t="s">
        <v>535</v>
      </c>
      <c r="AI59" s="218" t="s">
        <v>538</v>
      </c>
      <c r="AJ59" s="218" t="s">
        <v>3891</v>
      </c>
      <c r="AK59" s="218" t="s">
        <v>3892</v>
      </c>
      <c r="AL59" s="384">
        <f t="shared" si="0"/>
        <v>3999200</v>
      </c>
      <c r="AM59" s="231">
        <f t="shared" si="1"/>
        <v>99.98</v>
      </c>
      <c r="AN59" s="384">
        <f t="shared" si="2"/>
        <v>800</v>
      </c>
      <c r="AO59" s="231">
        <f t="shared" si="3"/>
        <v>0.02</v>
      </c>
      <c r="AP59" s="218" t="str">
        <f t="shared" si="4"/>
        <v>WA.2378.EBA.962.301.F.521211</v>
      </c>
      <c r="AQ59" s="218" t="str">
        <f>IF(ISNUMBER(SEARCH("COVID",SP2D[[#This Row],[Akun]])),"COVID","Non COVID")</f>
        <v>Non COVID</v>
      </c>
      <c r="AR5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9" s="232">
        <f>SUM('PER BULAN'!BA103)</f>
        <v>0</v>
      </c>
      <c r="AU59" s="232">
        <f>SUM('PER BULAN'!BB103)</f>
        <v>2499500</v>
      </c>
      <c r="AV59" s="232">
        <f>SUM('PER BULAN'!BC103)</f>
        <v>1499700</v>
      </c>
      <c r="AW59" s="232">
        <f>SUM('PER BULAN'!BD103)</f>
        <v>0</v>
      </c>
      <c r="AX59" s="232">
        <f>SUM('PER BULAN'!BE103)</f>
        <v>0</v>
      </c>
      <c r="AY59" s="232">
        <f>SUM('PER BULAN'!BF103)</f>
        <v>0</v>
      </c>
      <c r="AZ59" s="232">
        <f>SUM('PER BULAN'!BG103)</f>
        <v>0</v>
      </c>
      <c r="BA59" s="232">
        <f>SUM('PER BULAN'!BH103)</f>
        <v>0</v>
      </c>
    </row>
    <row r="60" spans="1:53" s="219" customFormat="1" x14ac:dyDescent="0.25">
      <c r="A60" s="218" t="s">
        <v>3885</v>
      </c>
      <c r="B60" s="218" t="s">
        <v>3886</v>
      </c>
      <c r="C60" s="218" t="s">
        <v>3912</v>
      </c>
      <c r="D60" s="218" t="s">
        <v>3913</v>
      </c>
      <c r="E60" s="218" t="s">
        <v>197</v>
      </c>
      <c r="F60" s="218" t="s">
        <v>3914</v>
      </c>
      <c r="G60" s="218" t="s">
        <v>3929</v>
      </c>
      <c r="H60" s="218" t="s">
        <v>3930</v>
      </c>
      <c r="I60" s="218">
        <v>962</v>
      </c>
      <c r="J60" s="218" t="s">
        <v>3935</v>
      </c>
      <c r="K60" s="218">
        <v>301</v>
      </c>
      <c r="L60" s="218" t="s">
        <v>3934</v>
      </c>
      <c r="M60" s="218" t="s">
        <v>578</v>
      </c>
      <c r="N60" s="218" t="s">
        <v>3939</v>
      </c>
      <c r="O60" s="218">
        <v>521219</v>
      </c>
      <c r="P60" s="218" t="s">
        <v>3903</v>
      </c>
      <c r="Q60" s="165" cm="1">
        <f t="array" ref="Q60">SUM(_xlfn._xlws.FILTER(DIPA2[PaguRevisi],DIPA2[Akun]=SP2D[[#This Row],[Kode Akun]],0))</f>
        <v>4298000</v>
      </c>
      <c r="R60" s="350">
        <v>298141000</v>
      </c>
      <c r="S60" s="350"/>
      <c r="T60" s="350">
        <f>SP2D[[#This Row],[Pagu Semula]]-SP2D[[#This Row],[Pagu]]</f>
        <v>293843000</v>
      </c>
      <c r="U60" s="232">
        <f>SUM('PER BULAN'!J104:L104)</f>
        <v>0</v>
      </c>
      <c r="V60" s="232">
        <f>SUM('PER BULAN'!M104:O104)</f>
        <v>0</v>
      </c>
      <c r="W60" s="232">
        <f>SUM('PER BULAN'!P104:R104)</f>
        <v>694240</v>
      </c>
      <c r="X60" s="232">
        <f>SUM('PER BULAN'!S104:U104)</f>
        <v>0</v>
      </c>
      <c r="Y60" s="232">
        <f>SUM('PER BULAN'!V104:X104)</f>
        <v>3603218</v>
      </c>
      <c r="Z60" s="232">
        <f>SUM('PER BULAN'!Y104:AA104)</f>
        <v>0</v>
      </c>
      <c r="AA60" s="232">
        <f>SUM('PER BULAN'!AB104:AD104)</f>
        <v>0</v>
      </c>
      <c r="AB60" s="232">
        <f>SUM('PER BULAN'!AE104:AG104)</f>
        <v>0</v>
      </c>
      <c r="AC60" s="232">
        <f>SUM('PER BULAN'!AH104:AJ104)</f>
        <v>0</v>
      </c>
      <c r="AD60" s="232">
        <f>SUM('PER BULAN'!AK104:AM104)</f>
        <v>0</v>
      </c>
      <c r="AE60" s="232">
        <f>SUM('PER BULAN'!AN104:AP104)</f>
        <v>0</v>
      </c>
      <c r="AF60" s="232">
        <f>SUM('PER BULAN'!AQ104:AS104)</f>
        <v>0</v>
      </c>
      <c r="AG60" s="218" t="s">
        <v>530</v>
      </c>
      <c r="AH60" s="218" t="s">
        <v>535</v>
      </c>
      <c r="AI60" s="218" t="s">
        <v>538</v>
      </c>
      <c r="AJ60" s="218" t="s">
        <v>3891</v>
      </c>
      <c r="AK60" s="218" t="s">
        <v>3892</v>
      </c>
      <c r="AL60" s="384">
        <f t="shared" si="0"/>
        <v>4297458</v>
      </c>
      <c r="AM60" s="231">
        <f t="shared" si="1"/>
        <v>99.987389483480698</v>
      </c>
      <c r="AN60" s="384">
        <f t="shared" si="2"/>
        <v>542</v>
      </c>
      <c r="AO60" s="231">
        <f t="shared" si="3"/>
        <v>1.2610516519311306E-2</v>
      </c>
      <c r="AP60" s="218" t="str">
        <f t="shared" si="4"/>
        <v>WA.2378.EBA.962.301.F.521219</v>
      </c>
      <c r="AQ60" s="218" t="str">
        <f>IF(ISNUMBER(SEARCH("COVID",SP2D[[#This Row],[Akun]])),"COVID","Non COVID")</f>
        <v>Non COVID</v>
      </c>
      <c r="AR6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0" s="232">
        <f>SUM('PER BULAN'!BA104)</f>
        <v>0</v>
      </c>
      <c r="AU60" s="232">
        <f>SUM('PER BULAN'!BB104)</f>
        <v>450000</v>
      </c>
      <c r="AV60" s="232">
        <f>SUM('PER BULAN'!BC104)</f>
        <v>244240</v>
      </c>
      <c r="AW60" s="232">
        <f>SUM('PER BULAN'!BD104)</f>
        <v>0</v>
      </c>
      <c r="AX60" s="232">
        <f>SUM('PER BULAN'!BE104)</f>
        <v>3351204</v>
      </c>
      <c r="AY60" s="232">
        <f>SUM('PER BULAN'!BF104)</f>
        <v>252014</v>
      </c>
      <c r="AZ60" s="232">
        <f>SUM('PER BULAN'!BG104)</f>
        <v>0</v>
      </c>
      <c r="BA60" s="232">
        <f>SUM('PER BULAN'!BH104)</f>
        <v>0</v>
      </c>
    </row>
    <row r="61" spans="1:53" s="219" customFormat="1" x14ac:dyDescent="0.25">
      <c r="A61" s="218" t="s">
        <v>3885</v>
      </c>
      <c r="B61" s="218" t="s">
        <v>3886</v>
      </c>
      <c r="C61" s="218" t="s">
        <v>3912</v>
      </c>
      <c r="D61" s="218" t="s">
        <v>3913</v>
      </c>
      <c r="E61" s="218" t="s">
        <v>197</v>
      </c>
      <c r="F61" s="218" t="s">
        <v>3914</v>
      </c>
      <c r="G61" s="218" t="s">
        <v>3929</v>
      </c>
      <c r="H61" s="218" t="s">
        <v>3930</v>
      </c>
      <c r="I61" s="218">
        <v>962</v>
      </c>
      <c r="J61" s="218" t="s">
        <v>3935</v>
      </c>
      <c r="K61" s="218">
        <v>301</v>
      </c>
      <c r="L61" s="218" t="s">
        <v>3934</v>
      </c>
      <c r="M61" s="218" t="s">
        <v>578</v>
      </c>
      <c r="N61" s="218" t="s">
        <v>3939</v>
      </c>
      <c r="O61" s="218">
        <v>522151</v>
      </c>
      <c r="P61" s="218" t="s">
        <v>3893</v>
      </c>
      <c r="Q61" s="165" cm="1">
        <f t="array" ref="Q61">SUM(_xlfn._xlws.FILTER(DIPA2[PaguRevisi],DIPA2[Akun]=SP2D[[#This Row],[Kode Akun]],0))</f>
        <v>0</v>
      </c>
      <c r="R61" s="350">
        <v>30000000</v>
      </c>
      <c r="S61" s="350"/>
      <c r="T61" s="350">
        <f>SP2D[[#This Row],[Pagu Semula]]-SP2D[[#This Row],[Pagu]]</f>
        <v>30000000</v>
      </c>
      <c r="U61" s="232">
        <f>SUM('PER BULAN'!J105:L105)</f>
        <v>0</v>
      </c>
      <c r="V61" s="232">
        <f>SUM('PER BULAN'!M105:O105)</f>
        <v>0</v>
      </c>
      <c r="W61" s="232">
        <f>SUM('PER BULAN'!P105:R105)</f>
        <v>0</v>
      </c>
      <c r="X61" s="232">
        <f>SUM('PER BULAN'!S105:U105)</f>
        <v>0</v>
      </c>
      <c r="Y61" s="232">
        <f>SUM('PER BULAN'!V105:X105)</f>
        <v>0</v>
      </c>
      <c r="Z61" s="232">
        <f>SUM('PER BULAN'!Y105:AA105)</f>
        <v>0</v>
      </c>
      <c r="AA61" s="232">
        <f>SUM('PER BULAN'!AB105:AD105)</f>
        <v>0</v>
      </c>
      <c r="AB61" s="232">
        <f>SUM('PER BULAN'!AE105:AG105)</f>
        <v>0</v>
      </c>
      <c r="AC61" s="232">
        <f>SUM('PER BULAN'!AH105:AJ105)</f>
        <v>0</v>
      </c>
      <c r="AD61" s="232">
        <f>SUM('PER BULAN'!AK105:AM105)</f>
        <v>0</v>
      </c>
      <c r="AE61" s="232">
        <f>SUM('PER BULAN'!AN105:AP105)</f>
        <v>0</v>
      </c>
      <c r="AF61" s="232">
        <f>SUM('PER BULAN'!AQ105:AS105)</f>
        <v>0</v>
      </c>
      <c r="AG61" s="218" t="s">
        <v>530</v>
      </c>
      <c r="AH61" s="218" t="s">
        <v>535</v>
      </c>
      <c r="AI61" s="218" t="s">
        <v>538</v>
      </c>
      <c r="AJ61" s="218" t="s">
        <v>3891</v>
      </c>
      <c r="AK61" s="218" t="s">
        <v>3892</v>
      </c>
      <c r="AL61" s="384">
        <f t="shared" si="0"/>
        <v>0</v>
      </c>
      <c r="AM61" s="231">
        <f t="shared" si="1"/>
        <v>0</v>
      </c>
      <c r="AN61" s="384">
        <f t="shared" si="2"/>
        <v>0</v>
      </c>
      <c r="AO61" s="231">
        <f t="shared" si="3"/>
        <v>0</v>
      </c>
      <c r="AP61" s="218" t="str">
        <f t="shared" si="4"/>
        <v>WA.2378.EBA.962.301.F.522151</v>
      </c>
      <c r="AQ61" s="218" t="str">
        <f>IF(ISNUMBER(SEARCH("COVID",SP2D[[#This Row],[Akun]])),"COVID","Non COVID")</f>
        <v>Non COVID</v>
      </c>
      <c r="AR6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1" s="232">
        <f>SUM('PER BULAN'!BA105)</f>
        <v>0</v>
      </c>
      <c r="AU61" s="232">
        <f>SUM('PER BULAN'!BB105)</f>
        <v>0</v>
      </c>
      <c r="AV61" s="232">
        <f>SUM('PER BULAN'!BC105)</f>
        <v>0</v>
      </c>
      <c r="AW61" s="232">
        <f>SUM('PER BULAN'!BD105)</f>
        <v>0</v>
      </c>
      <c r="AX61" s="232">
        <f>SUM('PER BULAN'!BE105)</f>
        <v>0</v>
      </c>
      <c r="AY61" s="232">
        <f>SUM('PER BULAN'!BF105)</f>
        <v>0</v>
      </c>
      <c r="AZ61" s="232">
        <f>SUM('PER BULAN'!BG105)</f>
        <v>0</v>
      </c>
      <c r="BA61" s="232">
        <f>SUM('PER BULAN'!BH105)</f>
        <v>0</v>
      </c>
    </row>
    <row r="62" spans="1:53" s="219" customFormat="1" x14ac:dyDescent="0.25">
      <c r="A62" s="218" t="s">
        <v>3885</v>
      </c>
      <c r="B62" s="218" t="s">
        <v>3886</v>
      </c>
      <c r="C62" s="218" t="s">
        <v>3912</v>
      </c>
      <c r="D62" s="218" t="s">
        <v>3913</v>
      </c>
      <c r="E62" s="218" t="s">
        <v>197</v>
      </c>
      <c r="F62" s="218" t="s">
        <v>3914</v>
      </c>
      <c r="G62" s="218" t="s">
        <v>3929</v>
      </c>
      <c r="H62" s="218" t="s">
        <v>3930</v>
      </c>
      <c r="I62" s="218">
        <v>962</v>
      </c>
      <c r="J62" s="218" t="s">
        <v>3935</v>
      </c>
      <c r="K62" s="218">
        <v>301</v>
      </c>
      <c r="L62" s="218" t="s">
        <v>3934</v>
      </c>
      <c r="M62" s="218" t="s">
        <v>578</v>
      </c>
      <c r="N62" s="218" t="s">
        <v>3939</v>
      </c>
      <c r="O62" s="218" t="s">
        <v>518</v>
      </c>
      <c r="P62" s="218" t="s">
        <v>3895</v>
      </c>
      <c r="Q62" s="165" cm="1">
        <f t="array" ref="Q62">SUM(_xlfn._xlws.FILTER(DIPA2[PaguRevisi],DIPA2[Akun]=SP2D[[#This Row],[Kode Akun]],0))</f>
        <v>0</v>
      </c>
      <c r="R62" s="350">
        <v>8000000</v>
      </c>
      <c r="S62" s="350"/>
      <c r="T62" s="350">
        <f>SP2D[[#This Row],[Pagu Semula]]-SP2D[[#This Row],[Pagu]]</f>
        <v>8000000</v>
      </c>
      <c r="U62" s="232">
        <f>SUM('PER BULAN'!J106:L106)</f>
        <v>0</v>
      </c>
      <c r="V62" s="232">
        <f>SUM('PER BULAN'!M106:O106)</f>
        <v>0</v>
      </c>
      <c r="W62" s="232">
        <f>SUM('PER BULAN'!P106:R106)</f>
        <v>0</v>
      </c>
      <c r="X62" s="232">
        <f>SUM('PER BULAN'!S106:U106)</f>
        <v>0</v>
      </c>
      <c r="Y62" s="232">
        <f>SUM('PER BULAN'!V106:X106)</f>
        <v>0</v>
      </c>
      <c r="Z62" s="232">
        <f>SUM('PER BULAN'!Y106:AA106)</f>
        <v>0</v>
      </c>
      <c r="AA62" s="232">
        <f>SUM('PER BULAN'!AB106:AD106)</f>
        <v>0</v>
      </c>
      <c r="AB62" s="232">
        <f>SUM('PER BULAN'!AE106:AG106)</f>
        <v>0</v>
      </c>
      <c r="AC62" s="232">
        <f>SUM('PER BULAN'!AH106:AJ106)</f>
        <v>0</v>
      </c>
      <c r="AD62" s="232">
        <f>SUM('PER BULAN'!AK106:AM106)</f>
        <v>0</v>
      </c>
      <c r="AE62" s="232">
        <f>SUM('PER BULAN'!AN106:AP106)</f>
        <v>0</v>
      </c>
      <c r="AF62" s="232">
        <f>SUM('PER BULAN'!AQ106:AS106)</f>
        <v>0</v>
      </c>
      <c r="AG62" s="218" t="s">
        <v>530</v>
      </c>
      <c r="AH62" s="218" t="s">
        <v>535</v>
      </c>
      <c r="AI62" s="218" t="s">
        <v>538</v>
      </c>
      <c r="AJ62" s="218" t="s">
        <v>3891</v>
      </c>
      <c r="AK62" s="218" t="s">
        <v>3892</v>
      </c>
      <c r="AL62" s="384">
        <f t="shared" si="0"/>
        <v>0</v>
      </c>
      <c r="AM62" s="231">
        <f t="shared" si="1"/>
        <v>0</v>
      </c>
      <c r="AN62" s="384">
        <f t="shared" si="2"/>
        <v>0</v>
      </c>
      <c r="AO62" s="231">
        <f t="shared" si="3"/>
        <v>0</v>
      </c>
      <c r="AP62" s="218" t="str">
        <f t="shared" si="4"/>
        <v>WA.2378.EBA.962.301.F.522192</v>
      </c>
      <c r="AQ62" s="218" t="str">
        <f>IF(ISNUMBER(SEARCH("COVID",SP2D[[#This Row],[Akun]])),"COVID","Non COVID")</f>
        <v>COVID</v>
      </c>
      <c r="AR6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2" s="232">
        <f>SUM('PER BULAN'!BA106)</f>
        <v>0</v>
      </c>
      <c r="AU62" s="232">
        <f>SUM('PER BULAN'!BB106)</f>
        <v>0</v>
      </c>
      <c r="AV62" s="232">
        <f>SUM('PER BULAN'!BC106)</f>
        <v>0</v>
      </c>
      <c r="AW62" s="232">
        <f>SUM('PER BULAN'!BD106)</f>
        <v>0</v>
      </c>
      <c r="AX62" s="232">
        <f>SUM('PER BULAN'!BE106)</f>
        <v>0</v>
      </c>
      <c r="AY62" s="232">
        <f>SUM('PER BULAN'!BF106)</f>
        <v>0</v>
      </c>
      <c r="AZ62" s="232">
        <f>SUM('PER BULAN'!BG106)</f>
        <v>0</v>
      </c>
      <c r="BA62" s="232">
        <f>SUM('PER BULAN'!BH106)</f>
        <v>0</v>
      </c>
    </row>
    <row r="63" spans="1:53" s="219" customFormat="1" x14ac:dyDescent="0.25">
      <c r="A63" s="218" t="s">
        <v>3885</v>
      </c>
      <c r="B63" s="218" t="s">
        <v>3886</v>
      </c>
      <c r="C63" s="218" t="s">
        <v>3912</v>
      </c>
      <c r="D63" s="218" t="s">
        <v>3913</v>
      </c>
      <c r="E63" s="218" t="s">
        <v>197</v>
      </c>
      <c r="F63" s="218" t="s">
        <v>3914</v>
      </c>
      <c r="G63" s="218" t="s">
        <v>3929</v>
      </c>
      <c r="H63" s="218" t="s">
        <v>3930</v>
      </c>
      <c r="I63" s="218">
        <v>962</v>
      </c>
      <c r="J63" s="218" t="s">
        <v>3935</v>
      </c>
      <c r="K63" s="218">
        <v>301</v>
      </c>
      <c r="L63" s="218" t="s">
        <v>3934</v>
      </c>
      <c r="M63" s="218" t="s">
        <v>578</v>
      </c>
      <c r="N63" s="218" t="s">
        <v>3939</v>
      </c>
      <c r="O63" s="218" t="s">
        <v>513</v>
      </c>
      <c r="P63" s="218" t="s">
        <v>3894</v>
      </c>
      <c r="Q63" s="165" cm="1">
        <f t="array" ref="Q63">SUM(_xlfn._xlws.FILTER(DIPA2[PaguRevisi],DIPA2[Akun]=SP2D[[#This Row],[Kode Akun]],0))</f>
        <v>9059000</v>
      </c>
      <c r="R63" s="350">
        <v>81859000</v>
      </c>
      <c r="S63" s="350"/>
      <c r="T63" s="350">
        <f>SP2D[[#This Row],[Pagu Semula]]-SP2D[[#This Row],[Pagu]]</f>
        <v>72800000</v>
      </c>
      <c r="U63" s="232">
        <f>SUM('PER BULAN'!J108:L108)</f>
        <v>0</v>
      </c>
      <c r="V63" s="232">
        <f>SUM('PER BULAN'!M107:O107)</f>
        <v>0</v>
      </c>
      <c r="W63" s="232">
        <f>SUM('PER BULAN'!P107:R107)</f>
        <v>0</v>
      </c>
      <c r="X63" s="232">
        <f>SUM('PER BULAN'!S107:U107)</f>
        <v>0</v>
      </c>
      <c r="Y63" s="232">
        <f>SUM('PER BULAN'!V107:X107)</f>
        <v>0</v>
      </c>
      <c r="Z63" s="232">
        <f>SUM('PER BULAN'!Y107:AA107)</f>
        <v>5350700</v>
      </c>
      <c r="AA63" s="232">
        <f>SUM('PER BULAN'!AB107:AD107)</f>
        <v>0</v>
      </c>
      <c r="AB63" s="232">
        <f>SUM('PER BULAN'!AE107:AG107)</f>
        <v>0</v>
      </c>
      <c r="AC63" s="232">
        <f>SUM('PER BULAN'!AH107:AJ107)</f>
        <v>0</v>
      </c>
      <c r="AD63" s="232">
        <f>SUM('PER BULAN'!AK107:AM107)</f>
        <v>0</v>
      </c>
      <c r="AE63" s="232">
        <f>SUM('PER BULAN'!AN107:AP107)</f>
        <v>0</v>
      </c>
      <c r="AF63" s="232">
        <f>SUM('PER BULAN'!AQ107:AS107)</f>
        <v>0</v>
      </c>
      <c r="AG63" s="218" t="s">
        <v>530</v>
      </c>
      <c r="AH63" s="218" t="s">
        <v>535</v>
      </c>
      <c r="AI63" s="218" t="s">
        <v>538</v>
      </c>
      <c r="AJ63" s="218" t="s">
        <v>3891</v>
      </c>
      <c r="AK63" s="218" t="s">
        <v>3892</v>
      </c>
      <c r="AL63" s="384">
        <f t="shared" si="0"/>
        <v>5350700</v>
      </c>
      <c r="AM63" s="231">
        <f t="shared" si="1"/>
        <v>59.065018213930898</v>
      </c>
      <c r="AN63" s="384">
        <f t="shared" si="2"/>
        <v>3708300</v>
      </c>
      <c r="AO63" s="231">
        <f t="shared" si="3"/>
        <v>40.934981786069102</v>
      </c>
      <c r="AP63" s="218" t="str">
        <f t="shared" si="4"/>
        <v>WA.2378.EBA.962.301.F.524111</v>
      </c>
      <c r="AQ63" s="218" t="str">
        <f>IF(ISNUMBER(SEARCH("COVID",SP2D[[#This Row],[Akun]])),"COVID","Non COVID")</f>
        <v>Non COVID</v>
      </c>
      <c r="AR6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3" s="232">
        <f>SUM('PER BULAN'!BA107)</f>
        <v>0</v>
      </c>
      <c r="AU63" s="232">
        <f>SUM('PER BULAN'!BB107)</f>
        <v>0</v>
      </c>
      <c r="AV63" s="232">
        <f>SUM('PER BULAN'!BC107)</f>
        <v>0</v>
      </c>
      <c r="AW63" s="232">
        <f>SUM('PER BULAN'!BD107)</f>
        <v>0</v>
      </c>
      <c r="AX63" s="232">
        <f>SUM('PER BULAN'!BE107)</f>
        <v>0</v>
      </c>
      <c r="AY63" s="232">
        <f>SUM('PER BULAN'!BF107)</f>
        <v>0</v>
      </c>
      <c r="AZ63" s="232">
        <f>SUM('PER BULAN'!BG107)</f>
        <v>0</v>
      </c>
      <c r="BA63" s="232">
        <f>SUM('PER BULAN'!BH107)</f>
        <v>0</v>
      </c>
    </row>
    <row r="64" spans="1:53" s="219" customFormat="1" x14ac:dyDescent="0.25">
      <c r="A64" s="218" t="s">
        <v>3885</v>
      </c>
      <c r="B64" s="218" t="s">
        <v>3886</v>
      </c>
      <c r="C64" s="218" t="s">
        <v>3912</v>
      </c>
      <c r="D64" s="218" t="s">
        <v>3913</v>
      </c>
      <c r="E64" s="218" t="s">
        <v>197</v>
      </c>
      <c r="F64" s="218" t="s">
        <v>3914</v>
      </c>
      <c r="G64" s="218" t="s">
        <v>3929</v>
      </c>
      <c r="H64" s="218" t="s">
        <v>3930</v>
      </c>
      <c r="I64" s="218">
        <v>962</v>
      </c>
      <c r="J64" s="218" t="s">
        <v>3935</v>
      </c>
      <c r="K64" s="218">
        <v>301</v>
      </c>
      <c r="L64" s="218" t="s">
        <v>3934</v>
      </c>
      <c r="M64" s="218" t="s">
        <v>579</v>
      </c>
      <c r="N64" s="218" t="s">
        <v>3940</v>
      </c>
      <c r="O64" s="218">
        <v>521211</v>
      </c>
      <c r="P64" s="218" t="s">
        <v>3890</v>
      </c>
      <c r="Q64" s="165" cm="1">
        <f t="array" ref="Q64">SUM(_xlfn._xlws.FILTER(DIPA2[PaguRevisi],DIPA2[Akun]=SP2D[[#This Row],[Kode Akun]],0))</f>
        <v>12550000</v>
      </c>
      <c r="R64" s="350">
        <v>31000000</v>
      </c>
      <c r="S64" s="350"/>
      <c r="T64" s="350">
        <f>SP2D[[#This Row],[Pagu Semula]]-SP2D[[#This Row],[Pagu]]</f>
        <v>18450000</v>
      </c>
      <c r="U64" s="232">
        <f>SUM('PER BULAN'!J109:L109)</f>
        <v>0</v>
      </c>
      <c r="V64" s="232">
        <f>SUM('PER BULAN'!M109:O109)</f>
        <v>0</v>
      </c>
      <c r="W64" s="232">
        <f>SUM('PER BULAN'!P109:R109)</f>
        <v>1200000</v>
      </c>
      <c r="X64" s="232">
        <f>SUM('PER BULAN'!S109:U109)</f>
        <v>0</v>
      </c>
      <c r="Y64" s="232">
        <f>SUM('PER BULAN'!V109:X109)</f>
        <v>10342500</v>
      </c>
      <c r="Z64" s="232">
        <f>SUM('PER BULAN'!Y109:AA109)</f>
        <v>0</v>
      </c>
      <c r="AA64" s="232">
        <f>SUM('PER BULAN'!AB109:AD109)</f>
        <v>0</v>
      </c>
      <c r="AB64" s="232">
        <f>SUM('PER BULAN'!AE109:AG109)</f>
        <v>0</v>
      </c>
      <c r="AC64" s="232">
        <f>SUM('PER BULAN'!AH109:AJ109)</f>
        <v>0</v>
      </c>
      <c r="AD64" s="232">
        <f>SUM('PER BULAN'!AK109:AM109)</f>
        <v>0</v>
      </c>
      <c r="AE64" s="232">
        <f>SUM('PER BULAN'!AN109:AP109)</f>
        <v>0</v>
      </c>
      <c r="AF64" s="232">
        <f>SUM('PER BULAN'!AQ109:AS109)</f>
        <v>0</v>
      </c>
      <c r="AG64" s="218" t="s">
        <v>530</v>
      </c>
      <c r="AH64" s="218" t="s">
        <v>531</v>
      </c>
      <c r="AI64" s="218" t="s">
        <v>532</v>
      </c>
      <c r="AJ64" s="218" t="s">
        <v>3891</v>
      </c>
      <c r="AK64" s="218" t="s">
        <v>3892</v>
      </c>
      <c r="AL64" s="384">
        <f t="shared" si="0"/>
        <v>11542500</v>
      </c>
      <c r="AM64" s="231">
        <f t="shared" si="1"/>
        <v>91.972111553784856</v>
      </c>
      <c r="AN64" s="384">
        <f t="shared" si="2"/>
        <v>1007500</v>
      </c>
      <c r="AO64" s="231">
        <f t="shared" si="3"/>
        <v>8.0278884462151403</v>
      </c>
      <c r="AP64" s="218" t="str">
        <f t="shared" si="4"/>
        <v>WA.2378.EBA.962.301.G.521211</v>
      </c>
      <c r="AQ64" s="218" t="str">
        <f>IF(ISNUMBER(SEARCH("COVID",SP2D[[#This Row],[Akun]])),"COVID","Non COVID")</f>
        <v>Non COVID</v>
      </c>
      <c r="AR6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6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4" s="232">
        <f>SUM('PER BULAN'!BA109)</f>
        <v>0</v>
      </c>
      <c r="AU64" s="232">
        <f>SUM('PER BULAN'!BB109)</f>
        <v>1200000</v>
      </c>
      <c r="AV64" s="232">
        <f>SUM('PER BULAN'!BC109)</f>
        <v>0</v>
      </c>
      <c r="AW64" s="232">
        <f>SUM('PER BULAN'!BD109)</f>
        <v>0</v>
      </c>
      <c r="AX64" s="232">
        <f>SUM('PER BULAN'!BE109)</f>
        <v>0</v>
      </c>
      <c r="AY64" s="232">
        <f>SUM('PER BULAN'!BF109)</f>
        <v>7854000</v>
      </c>
      <c r="AZ64" s="232">
        <f>SUM('PER BULAN'!BG109)</f>
        <v>2488500</v>
      </c>
      <c r="BA64" s="232">
        <f>SUM('PER BULAN'!BH109)</f>
        <v>0</v>
      </c>
    </row>
    <row r="65" spans="1:53" s="219" customFormat="1" x14ac:dyDescent="0.25">
      <c r="A65" s="218" t="s">
        <v>3885</v>
      </c>
      <c r="B65" s="218" t="s">
        <v>3886</v>
      </c>
      <c r="C65" s="218" t="s">
        <v>3912</v>
      </c>
      <c r="D65" s="218" t="s">
        <v>3913</v>
      </c>
      <c r="E65" s="218" t="s">
        <v>197</v>
      </c>
      <c r="F65" s="218" t="s">
        <v>3914</v>
      </c>
      <c r="G65" s="218" t="s">
        <v>3929</v>
      </c>
      <c r="H65" s="218" t="s">
        <v>3930</v>
      </c>
      <c r="I65" s="218">
        <v>962</v>
      </c>
      <c r="J65" s="218" t="s">
        <v>3935</v>
      </c>
      <c r="K65" s="218">
        <v>301</v>
      </c>
      <c r="L65" s="218" t="s">
        <v>3934</v>
      </c>
      <c r="M65" s="218" t="s">
        <v>579</v>
      </c>
      <c r="N65" s="218" t="s">
        <v>3940</v>
      </c>
      <c r="O65" s="218">
        <v>521219</v>
      </c>
      <c r="P65" s="218" t="s">
        <v>3903</v>
      </c>
      <c r="Q65" s="165" cm="1">
        <f t="array" ref="Q65">SUM(_xlfn._xlws.FILTER(DIPA2[PaguRevisi],DIPA2[Akun]=SP2D[[#This Row],[Kode Akun]],0))</f>
        <v>1192000</v>
      </c>
      <c r="R65" s="350">
        <v>3000000</v>
      </c>
      <c r="S65" s="350"/>
      <c r="T65" s="350">
        <f>SP2D[[#This Row],[Pagu Semula]]-SP2D[[#This Row],[Pagu]]</f>
        <v>1808000</v>
      </c>
      <c r="U65" s="232">
        <f>SUM('PER BULAN'!J110:L110)</f>
        <v>0</v>
      </c>
      <c r="V65" s="232">
        <f>SUM('PER BULAN'!M110:O110)</f>
        <v>0</v>
      </c>
      <c r="W65" s="232">
        <f>SUM('PER BULAN'!P110:R110)</f>
        <v>710207</v>
      </c>
      <c r="X65" s="232">
        <f>SUM('PER BULAN'!S110:U110)</f>
        <v>0</v>
      </c>
      <c r="Y65" s="232">
        <f>SUM('PER BULAN'!V110:X110)</f>
        <v>481211</v>
      </c>
      <c r="Z65" s="232">
        <f>SUM('PER BULAN'!Y110:AA110)</f>
        <v>0</v>
      </c>
      <c r="AA65" s="232">
        <f>SUM('PER BULAN'!AB110:AD110)</f>
        <v>0</v>
      </c>
      <c r="AB65" s="232">
        <f>SUM('PER BULAN'!AE110:AG110)</f>
        <v>0</v>
      </c>
      <c r="AC65" s="232">
        <f>SUM('PER BULAN'!AH110:AJ110)</f>
        <v>0</v>
      </c>
      <c r="AD65" s="232">
        <f>SUM('PER BULAN'!AK110:AM110)</f>
        <v>0</v>
      </c>
      <c r="AE65" s="232">
        <f>SUM('PER BULAN'!AN110:AP110)</f>
        <v>0</v>
      </c>
      <c r="AF65" s="232">
        <f>SUM('PER BULAN'!AQ110:AS110)</f>
        <v>0</v>
      </c>
      <c r="AG65" s="218" t="s">
        <v>530</v>
      </c>
      <c r="AH65" s="218" t="s">
        <v>531</v>
      </c>
      <c r="AI65" s="218" t="s">
        <v>532</v>
      </c>
      <c r="AJ65" s="218" t="s">
        <v>3891</v>
      </c>
      <c r="AK65" s="218" t="s">
        <v>3892</v>
      </c>
      <c r="AL65" s="384">
        <f t="shared" si="0"/>
        <v>1191418</v>
      </c>
      <c r="AM65" s="231">
        <f t="shared" si="1"/>
        <v>99.951174496644285</v>
      </c>
      <c r="AN65" s="384">
        <f t="shared" si="2"/>
        <v>582</v>
      </c>
      <c r="AO65" s="231">
        <f t="shared" si="3"/>
        <v>4.8825503355704701E-2</v>
      </c>
      <c r="AP65" s="218" t="str">
        <f t="shared" si="4"/>
        <v>WA.2378.EBA.962.301.G.521219</v>
      </c>
      <c r="AQ65" s="218" t="str">
        <f>IF(ISNUMBER(SEARCH("COVID",SP2D[[#This Row],[Akun]])),"COVID","Non COVID")</f>
        <v>Non COVID</v>
      </c>
      <c r="AR6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5" s="232">
        <f>SUM('PER BULAN'!BA110)</f>
        <v>0</v>
      </c>
      <c r="AU65" s="232">
        <f>SUM('PER BULAN'!BB110)</f>
        <v>236994</v>
      </c>
      <c r="AV65" s="232">
        <f>SUM('PER BULAN'!BC110)</f>
        <v>473213</v>
      </c>
      <c r="AW65" s="232">
        <f>SUM('PER BULAN'!BD110)</f>
        <v>0</v>
      </c>
      <c r="AX65" s="232">
        <f>SUM('PER BULAN'!BE110)</f>
        <v>0</v>
      </c>
      <c r="AY65" s="232">
        <f>SUM('PER BULAN'!BF110)</f>
        <v>238833</v>
      </c>
      <c r="AZ65" s="232">
        <f>SUM('PER BULAN'!BG110)</f>
        <v>242378</v>
      </c>
      <c r="BA65" s="232">
        <f>SUM('PER BULAN'!BH110)</f>
        <v>0</v>
      </c>
    </row>
    <row r="66" spans="1:53" s="219" customFormat="1" x14ac:dyDescent="0.25">
      <c r="A66" s="218" t="s">
        <v>3885</v>
      </c>
      <c r="B66" s="218" t="s">
        <v>3886</v>
      </c>
      <c r="C66" s="218" t="s">
        <v>3912</v>
      </c>
      <c r="D66" s="218" t="s">
        <v>3913</v>
      </c>
      <c r="E66" s="218" t="s">
        <v>197</v>
      </c>
      <c r="F66" s="218" t="s">
        <v>3914</v>
      </c>
      <c r="G66" s="218" t="s">
        <v>3929</v>
      </c>
      <c r="H66" s="218" t="s">
        <v>3930</v>
      </c>
      <c r="I66" s="218">
        <v>962</v>
      </c>
      <c r="J66" s="218" t="s">
        <v>3935</v>
      </c>
      <c r="K66" s="218">
        <v>301</v>
      </c>
      <c r="L66" s="218" t="s">
        <v>3934</v>
      </c>
      <c r="M66" s="218" t="s">
        <v>579</v>
      </c>
      <c r="N66" s="218" t="s">
        <v>3940</v>
      </c>
      <c r="O66" s="218">
        <v>522151</v>
      </c>
      <c r="P66" s="218" t="s">
        <v>3893</v>
      </c>
      <c r="Q66" s="165" cm="1">
        <f t="array" ref="Q66">SUM(_xlfn._xlws.FILTER(DIPA2[PaguRevisi],DIPA2[Akun]=SP2D[[#This Row],[Kode Akun]],0))</f>
        <v>9000000</v>
      </c>
      <c r="R66" s="350">
        <v>70000000</v>
      </c>
      <c r="S66" s="350"/>
      <c r="T66" s="350">
        <f>SP2D[[#This Row],[Pagu Semula]]-SP2D[[#This Row],[Pagu]]</f>
        <v>61000000</v>
      </c>
      <c r="U66" s="232">
        <f>SUM('PER BULAN'!J111:L111)</f>
        <v>0</v>
      </c>
      <c r="V66" s="232">
        <f>SUM('PER BULAN'!M111:O111)</f>
        <v>0</v>
      </c>
      <c r="W66" s="232">
        <f>SUM('PER BULAN'!P111:R111)</f>
        <v>1800000</v>
      </c>
      <c r="X66" s="232">
        <f>SUM('PER BULAN'!S111:U111)</f>
        <v>1000000</v>
      </c>
      <c r="Y66" s="232">
        <f>SUM('PER BULAN'!V111:X111)</f>
        <v>2000000</v>
      </c>
      <c r="Z66" s="232">
        <f>SUM('PER BULAN'!Y111:AA111)</f>
        <v>0</v>
      </c>
      <c r="AA66" s="232">
        <f>SUM('PER BULAN'!AB111:AD111)</f>
        <v>0</v>
      </c>
      <c r="AB66" s="232">
        <f>SUM('PER BULAN'!AE111:AG111)</f>
        <v>0</v>
      </c>
      <c r="AC66" s="232">
        <f>SUM('PER BULAN'!AH111:AJ111)</f>
        <v>0</v>
      </c>
      <c r="AD66" s="232">
        <f>SUM('PER BULAN'!AK111:AM111)</f>
        <v>0</v>
      </c>
      <c r="AE66" s="232">
        <f>SUM('PER BULAN'!AN111:AP111)</f>
        <v>0</v>
      </c>
      <c r="AF66" s="232">
        <f>SUM('PER BULAN'!AQ111:AS111)</f>
        <v>0</v>
      </c>
      <c r="AG66" s="218" t="s">
        <v>530</v>
      </c>
      <c r="AH66" s="218" t="s">
        <v>531</v>
      </c>
      <c r="AI66" s="218" t="s">
        <v>532</v>
      </c>
      <c r="AJ66" s="218" t="s">
        <v>3891</v>
      </c>
      <c r="AK66" s="218" t="s">
        <v>3892</v>
      </c>
      <c r="AL66" s="384">
        <f t="shared" si="0"/>
        <v>4800000</v>
      </c>
      <c r="AM66" s="231">
        <f t="shared" si="1"/>
        <v>53.333333333333336</v>
      </c>
      <c r="AN66" s="384">
        <f t="shared" si="2"/>
        <v>4200000</v>
      </c>
      <c r="AO66" s="231">
        <f t="shared" si="3"/>
        <v>46.666666666666664</v>
      </c>
      <c r="AP66" s="218" t="str">
        <f t="shared" si="4"/>
        <v>WA.2378.EBA.962.301.G.522151</v>
      </c>
      <c r="AQ66" s="218" t="str">
        <f>IF(ISNUMBER(SEARCH("COVID",SP2D[[#This Row],[Akun]])),"COVID","Non COVID")</f>
        <v>Non COVID</v>
      </c>
      <c r="AR6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6" s="232">
        <f>SUM('PER BULAN'!BA111)</f>
        <v>0</v>
      </c>
      <c r="AU66" s="232">
        <f>SUM('PER BULAN'!BB111)</f>
        <v>1800000</v>
      </c>
      <c r="AV66" s="232">
        <f>SUM('PER BULAN'!BC111)</f>
        <v>0</v>
      </c>
      <c r="AW66" s="232">
        <f>SUM('PER BULAN'!BD111)</f>
        <v>0</v>
      </c>
      <c r="AX66" s="232">
        <f>SUM('PER BULAN'!BE111)</f>
        <v>0</v>
      </c>
      <c r="AY66" s="232">
        <f>SUM('PER BULAN'!BF111)</f>
        <v>0</v>
      </c>
      <c r="AZ66" s="232">
        <f>SUM('PER BULAN'!BG111)</f>
        <v>2000000</v>
      </c>
      <c r="BA66" s="232">
        <f>SUM('PER BULAN'!BH111)</f>
        <v>0</v>
      </c>
    </row>
    <row r="67" spans="1:53" s="219" customFormat="1" x14ac:dyDescent="0.25">
      <c r="A67" s="218" t="s">
        <v>3885</v>
      </c>
      <c r="B67" s="218" t="s">
        <v>3886</v>
      </c>
      <c r="C67" s="218" t="s">
        <v>3912</v>
      </c>
      <c r="D67" s="218" t="s">
        <v>3913</v>
      </c>
      <c r="E67" s="218" t="s">
        <v>197</v>
      </c>
      <c r="F67" s="218" t="s">
        <v>3914</v>
      </c>
      <c r="G67" s="218" t="s">
        <v>3929</v>
      </c>
      <c r="H67" s="218" t="s">
        <v>3930</v>
      </c>
      <c r="I67" s="218">
        <v>962</v>
      </c>
      <c r="J67" s="218" t="s">
        <v>3935</v>
      </c>
      <c r="K67" s="218">
        <v>301</v>
      </c>
      <c r="L67" s="218" t="s">
        <v>3934</v>
      </c>
      <c r="M67" s="218" t="s">
        <v>579</v>
      </c>
      <c r="N67" s="218" t="s">
        <v>3940</v>
      </c>
      <c r="O67" s="218" t="s">
        <v>513</v>
      </c>
      <c r="P67" s="218" t="s">
        <v>3894</v>
      </c>
      <c r="Q67" s="165" cm="1">
        <f t="array" ref="Q67">SUM(_xlfn._xlws.FILTER(DIPA2[PaguRevisi],DIPA2[Akun]=SP2D[[#This Row],[Kode Akun]],0))</f>
        <v>60764000</v>
      </c>
      <c r="R67" s="350">
        <v>246000000</v>
      </c>
      <c r="S67" s="350"/>
      <c r="T67" s="350">
        <f>SP2D[[#This Row],[Pagu Semula]]-SP2D[[#This Row],[Pagu]]</f>
        <v>185236000</v>
      </c>
      <c r="U67" s="232">
        <f>SUM('PER BULAN'!J113:L113)</f>
        <v>0</v>
      </c>
      <c r="V67" s="232">
        <f>SUM('PER BULAN'!M112:O112)</f>
        <v>0</v>
      </c>
      <c r="W67" s="232">
        <f>SUM('PER BULAN'!P112:R112)</f>
        <v>2700000</v>
      </c>
      <c r="X67" s="232">
        <f>SUM('PER BULAN'!S112:U112)</f>
        <v>0</v>
      </c>
      <c r="Y67" s="232">
        <f>SUM('PER BULAN'!V112:X112)</f>
        <v>27528345</v>
      </c>
      <c r="Z67" s="232">
        <f>SUM('PER BULAN'!Y112:AA112)</f>
        <v>30535327</v>
      </c>
      <c r="AA67" s="232">
        <f>SUM('PER BULAN'!AB112:AD112)</f>
        <v>0</v>
      </c>
      <c r="AB67" s="232">
        <f>SUM('PER BULAN'!AE112:AG112)</f>
        <v>0</v>
      </c>
      <c r="AC67" s="232">
        <f>SUM('PER BULAN'!AH112:AJ112)</f>
        <v>0</v>
      </c>
      <c r="AD67" s="232">
        <f>SUM('PER BULAN'!AK112:AM112)</f>
        <v>0</v>
      </c>
      <c r="AE67" s="232">
        <f>SUM('PER BULAN'!AN112:AP112)</f>
        <v>0</v>
      </c>
      <c r="AF67" s="232">
        <f>SUM('PER BULAN'!AQ112:AS112)</f>
        <v>0</v>
      </c>
      <c r="AG67" s="218" t="s">
        <v>530</v>
      </c>
      <c r="AH67" s="218" t="s">
        <v>531</v>
      </c>
      <c r="AI67" s="218" t="s">
        <v>532</v>
      </c>
      <c r="AJ67" s="218" t="s">
        <v>3891</v>
      </c>
      <c r="AK67" s="218" t="s">
        <v>3892</v>
      </c>
      <c r="AL67" s="384">
        <f t="shared" si="0"/>
        <v>60763672</v>
      </c>
      <c r="AM67" s="231">
        <f t="shared" si="1"/>
        <v>99.999460206701343</v>
      </c>
      <c r="AN67" s="384">
        <f t="shared" si="2"/>
        <v>328</v>
      </c>
      <c r="AO67" s="231">
        <f t="shared" si="3"/>
        <v>5.3979329866368244E-4</v>
      </c>
      <c r="AP67" s="218" t="str">
        <f t="shared" si="4"/>
        <v>WA.2378.EBA.962.301.G.524111</v>
      </c>
      <c r="AQ67" s="218" t="str">
        <f>IF(ISNUMBER(SEARCH("COVID",SP2D[[#This Row],[Akun]])),"COVID","Non COVID")</f>
        <v>Non COVID</v>
      </c>
      <c r="AR6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7" s="232">
        <f>SUM('PER BULAN'!BA112)</f>
        <v>0</v>
      </c>
      <c r="AU67" s="232">
        <f>SUM('PER BULAN'!BB112)</f>
        <v>0</v>
      </c>
      <c r="AV67" s="232">
        <f>SUM('PER BULAN'!BC112)</f>
        <v>2700000</v>
      </c>
      <c r="AW67" s="232">
        <f>SUM('PER BULAN'!BD112)</f>
        <v>0</v>
      </c>
      <c r="AX67" s="232">
        <f>SUM('PER BULAN'!BE112)</f>
        <v>0</v>
      </c>
      <c r="AY67" s="232">
        <f>SUM('PER BULAN'!BF112)</f>
        <v>0</v>
      </c>
      <c r="AZ67" s="232">
        <f>SUM('PER BULAN'!BG112)</f>
        <v>8114345</v>
      </c>
      <c r="BA67" s="232">
        <f>SUM('PER BULAN'!BH112)</f>
        <v>0</v>
      </c>
    </row>
    <row r="68" spans="1:53" s="219" customFormat="1" x14ac:dyDescent="0.25">
      <c r="A68" s="218" t="s">
        <v>3885</v>
      </c>
      <c r="B68" s="218" t="s">
        <v>3886</v>
      </c>
      <c r="C68" s="218" t="s">
        <v>3912</v>
      </c>
      <c r="D68" s="218" t="s">
        <v>3913</v>
      </c>
      <c r="E68" s="218" t="s">
        <v>197</v>
      </c>
      <c r="F68" s="218" t="s">
        <v>3914</v>
      </c>
      <c r="G68" s="218" t="s">
        <v>3929</v>
      </c>
      <c r="H68" s="218" t="s">
        <v>3930</v>
      </c>
      <c r="I68" s="218">
        <v>962</v>
      </c>
      <c r="J68" s="218" t="s">
        <v>3935</v>
      </c>
      <c r="K68" s="218">
        <v>301</v>
      </c>
      <c r="L68" s="218" t="s">
        <v>3934</v>
      </c>
      <c r="M68" s="218" t="s">
        <v>580</v>
      </c>
      <c r="N68" s="218" t="s">
        <v>3941</v>
      </c>
      <c r="O68" s="218">
        <v>521211</v>
      </c>
      <c r="P68" s="218" t="s">
        <v>3890</v>
      </c>
      <c r="Q68" s="165" cm="1">
        <f t="array" ref="Q68">SUM(_xlfn._xlws.FILTER(DIPA2[PaguRevisi],DIPA2[Akun]=SP2D[[#This Row],[Kode Akun]],0))</f>
        <v>0</v>
      </c>
      <c r="R68" s="350">
        <v>118575000</v>
      </c>
      <c r="S68" s="350"/>
      <c r="T68" s="350">
        <f>SP2D[[#This Row],[Pagu Semula]]-SP2D[[#This Row],[Pagu]]</f>
        <v>118575000</v>
      </c>
      <c r="U68" s="232">
        <f>SUM('PER BULAN'!J114:L114)</f>
        <v>0</v>
      </c>
      <c r="V68" s="232">
        <f>SUM('PER BULAN'!M114:O114)</f>
        <v>0</v>
      </c>
      <c r="W68" s="232">
        <f>SUM('PER BULAN'!P114:R114)</f>
        <v>0</v>
      </c>
      <c r="X68" s="232">
        <f>SUM('PER BULAN'!S114:U114)</f>
        <v>0</v>
      </c>
      <c r="Y68" s="232">
        <f>SUM('PER BULAN'!V114:X114)</f>
        <v>0</v>
      </c>
      <c r="Z68" s="232">
        <f>SUM('PER BULAN'!Y114:AA114)</f>
        <v>0</v>
      </c>
      <c r="AA68" s="232">
        <f>SUM('PER BULAN'!AB114:AD114)</f>
        <v>0</v>
      </c>
      <c r="AB68" s="232">
        <f>SUM('PER BULAN'!AE114:AG114)</f>
        <v>0</v>
      </c>
      <c r="AC68" s="232">
        <f>SUM('PER BULAN'!AH114:AJ114)</f>
        <v>0</v>
      </c>
      <c r="AD68" s="232">
        <f>SUM('PER BULAN'!AK114:AM114)</f>
        <v>0</v>
      </c>
      <c r="AE68" s="232">
        <f>SUM('PER BULAN'!AN114:AP114)</f>
        <v>0</v>
      </c>
      <c r="AF68" s="232">
        <f>SUM('PER BULAN'!AQ114:AS114)</f>
        <v>0</v>
      </c>
      <c r="AG68" s="218" t="s">
        <v>530</v>
      </c>
      <c r="AH68" s="218" t="s">
        <v>531</v>
      </c>
      <c r="AI68" s="218" t="s">
        <v>534</v>
      </c>
      <c r="AJ68" s="218" t="s">
        <v>3891</v>
      </c>
      <c r="AK68" s="218" t="s">
        <v>3892</v>
      </c>
      <c r="AL68" s="384">
        <f t="shared" si="0"/>
        <v>0</v>
      </c>
      <c r="AM68" s="231">
        <f t="shared" si="1"/>
        <v>0</v>
      </c>
      <c r="AN68" s="384">
        <f t="shared" si="2"/>
        <v>0</v>
      </c>
      <c r="AO68" s="231">
        <f t="shared" si="3"/>
        <v>0</v>
      </c>
      <c r="AP68" s="218" t="str">
        <f t="shared" si="4"/>
        <v>WA.2378.EBA.962.301.H.521211</v>
      </c>
      <c r="AQ68" s="218" t="str">
        <f>IF(ISNUMBER(SEARCH("COVID",SP2D[[#This Row],[Akun]])),"COVID","Non COVID")</f>
        <v>Non COVID</v>
      </c>
      <c r="AR6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6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8" s="232">
        <f>SUM('PER BULAN'!BA114)</f>
        <v>0</v>
      </c>
      <c r="AU68" s="232">
        <f>SUM('PER BULAN'!BB114)</f>
        <v>0</v>
      </c>
      <c r="AV68" s="232">
        <f>SUM('PER BULAN'!BC114)</f>
        <v>0</v>
      </c>
      <c r="AW68" s="232">
        <f>SUM('PER BULAN'!BD114)</f>
        <v>0</v>
      </c>
      <c r="AX68" s="232">
        <f>SUM('PER BULAN'!BE114)</f>
        <v>0</v>
      </c>
      <c r="AY68" s="232">
        <f>SUM('PER BULAN'!BF114)</f>
        <v>0</v>
      </c>
      <c r="AZ68" s="232">
        <f>SUM('PER BULAN'!BG114)</f>
        <v>0</v>
      </c>
      <c r="BA68" s="232">
        <f>SUM('PER BULAN'!BH114)</f>
        <v>0</v>
      </c>
    </row>
    <row r="69" spans="1:53" s="219" customFormat="1" x14ac:dyDescent="0.25">
      <c r="A69" s="218" t="s">
        <v>3885</v>
      </c>
      <c r="B69" s="218" t="s">
        <v>3886</v>
      </c>
      <c r="C69" s="218" t="s">
        <v>3912</v>
      </c>
      <c r="D69" s="218" t="s">
        <v>3913</v>
      </c>
      <c r="E69" s="218" t="s">
        <v>197</v>
      </c>
      <c r="F69" s="218" t="s">
        <v>3914</v>
      </c>
      <c r="G69" s="218" t="s">
        <v>3929</v>
      </c>
      <c r="H69" s="218" t="s">
        <v>3930</v>
      </c>
      <c r="I69" s="218">
        <v>962</v>
      </c>
      <c r="J69" s="218" t="s">
        <v>3935</v>
      </c>
      <c r="K69" s="218">
        <v>301</v>
      </c>
      <c r="L69" s="218" t="s">
        <v>3934</v>
      </c>
      <c r="M69" s="218" t="s">
        <v>580</v>
      </c>
      <c r="N69" s="218" t="s">
        <v>3941</v>
      </c>
      <c r="O69" s="218">
        <v>521219</v>
      </c>
      <c r="P69" s="218" t="s">
        <v>3903</v>
      </c>
      <c r="Q69" s="165" cm="1">
        <f t="array" ref="Q69">SUM(_xlfn._xlws.FILTER(DIPA2[PaguRevisi],DIPA2[Akun]=SP2D[[#This Row],[Kode Akun]],0))</f>
        <v>0</v>
      </c>
      <c r="R69" s="350">
        <v>393200000</v>
      </c>
      <c r="S69" s="350"/>
      <c r="T69" s="350">
        <f>SP2D[[#This Row],[Pagu Semula]]-SP2D[[#This Row],[Pagu]]</f>
        <v>393200000</v>
      </c>
      <c r="U69" s="232">
        <f>SUM('PER BULAN'!J115:L115)</f>
        <v>0</v>
      </c>
      <c r="V69" s="232">
        <f>SUM('PER BULAN'!M115:O115)</f>
        <v>0</v>
      </c>
      <c r="W69" s="232">
        <f>SUM('PER BULAN'!P115:R115)</f>
        <v>0</v>
      </c>
      <c r="X69" s="232">
        <f>SUM('PER BULAN'!S115:U115)</f>
        <v>0</v>
      </c>
      <c r="Y69" s="232">
        <f>SUM('PER BULAN'!V115:X115)</f>
        <v>0</v>
      </c>
      <c r="Z69" s="232">
        <f>SUM('PER BULAN'!Y115:AA115)</f>
        <v>0</v>
      </c>
      <c r="AA69" s="232">
        <f>SUM('PER BULAN'!AB115:AD115)</f>
        <v>0</v>
      </c>
      <c r="AB69" s="232">
        <f>SUM('PER BULAN'!AE115:AG115)</f>
        <v>0</v>
      </c>
      <c r="AC69" s="232">
        <f>SUM('PER BULAN'!AH115:AJ115)</f>
        <v>0</v>
      </c>
      <c r="AD69" s="232">
        <f>SUM('PER BULAN'!AK115:AM115)</f>
        <v>0</v>
      </c>
      <c r="AE69" s="232">
        <f>SUM('PER BULAN'!AN115:AP115)</f>
        <v>0</v>
      </c>
      <c r="AF69" s="232">
        <f>SUM('PER BULAN'!AQ115:AS115)</f>
        <v>0</v>
      </c>
      <c r="AG69" s="218" t="s">
        <v>530</v>
      </c>
      <c r="AH69" s="218" t="s">
        <v>531</v>
      </c>
      <c r="AI69" s="218" t="s">
        <v>534</v>
      </c>
      <c r="AJ69" s="218" t="s">
        <v>3891</v>
      </c>
      <c r="AK69" s="218" t="s">
        <v>3892</v>
      </c>
      <c r="AL69" s="384">
        <f t="shared" ref="AL69:AL126" si="7">SUM(U69:AF69)</f>
        <v>0</v>
      </c>
      <c r="AM69" s="231">
        <f t="shared" ref="AM69:AM132" si="8">IFERROR(AL69/Q69*100,0)</f>
        <v>0</v>
      </c>
      <c r="AN69" s="384">
        <f t="shared" ref="AN69:AN126" si="9">Q69-AL69</f>
        <v>0</v>
      </c>
      <c r="AO69" s="231">
        <f t="shared" ref="AO69:AO132" si="10">IFERROR(AN69/Q69*100,0)</f>
        <v>0</v>
      </c>
      <c r="AP69" s="218" t="str">
        <f t="shared" ref="AP69:AP132" si="11">_xlfn.TEXTJOIN(".",TRUE,C69,E69,G69,I69,K69,M69,O69)</f>
        <v>WA.2378.EBA.962.301.H.521219</v>
      </c>
      <c r="AQ69" s="218" t="str">
        <f>IF(ISNUMBER(SEARCH("COVID",SP2D[[#This Row],[Akun]])),"COVID","Non COVID")</f>
        <v>Non COVID</v>
      </c>
      <c r="AR6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9" s="232">
        <f>SUM('PER BULAN'!BA115)</f>
        <v>0</v>
      </c>
      <c r="AU69" s="232">
        <f>SUM('PER BULAN'!BB115)</f>
        <v>0</v>
      </c>
      <c r="AV69" s="232">
        <f>SUM('PER BULAN'!BC115)</f>
        <v>0</v>
      </c>
      <c r="AW69" s="232">
        <f>SUM('PER BULAN'!BD115)</f>
        <v>0</v>
      </c>
      <c r="AX69" s="232">
        <f>SUM('PER BULAN'!BE115)</f>
        <v>0</v>
      </c>
      <c r="AY69" s="232">
        <f>SUM('PER BULAN'!BF115)</f>
        <v>0</v>
      </c>
      <c r="AZ69" s="232">
        <f>SUM('PER BULAN'!BG115)</f>
        <v>0</v>
      </c>
      <c r="BA69" s="232">
        <f>SUM('PER BULAN'!BH115)</f>
        <v>0</v>
      </c>
    </row>
    <row r="70" spans="1:53" s="219" customFormat="1" x14ac:dyDescent="0.25">
      <c r="A70" s="218" t="s">
        <v>3885</v>
      </c>
      <c r="B70" s="218" t="s">
        <v>3886</v>
      </c>
      <c r="C70" s="218" t="s">
        <v>3912</v>
      </c>
      <c r="D70" s="218" t="s">
        <v>3913</v>
      </c>
      <c r="E70" s="218" t="s">
        <v>197</v>
      </c>
      <c r="F70" s="218" t="s">
        <v>3914</v>
      </c>
      <c r="G70" s="218" t="s">
        <v>3929</v>
      </c>
      <c r="H70" s="218" t="s">
        <v>3930</v>
      </c>
      <c r="I70" s="218">
        <v>962</v>
      </c>
      <c r="J70" s="218" t="s">
        <v>3935</v>
      </c>
      <c r="K70" s="218">
        <v>301</v>
      </c>
      <c r="L70" s="218" t="s">
        <v>3934</v>
      </c>
      <c r="M70" s="218" t="s">
        <v>580</v>
      </c>
      <c r="N70" s="218" t="s">
        <v>3941</v>
      </c>
      <c r="O70" s="218">
        <v>522141</v>
      </c>
      <c r="P70" s="218" t="s">
        <v>3896</v>
      </c>
      <c r="Q70" s="165" cm="1">
        <f t="array" ref="Q70">SUM(_xlfn._xlws.FILTER(DIPA2[PaguRevisi],DIPA2[Akun]=SP2D[[#This Row],[Kode Akun]],0))</f>
        <v>0</v>
      </c>
      <c r="R70" s="350">
        <v>120000000</v>
      </c>
      <c r="S70" s="350"/>
      <c r="T70" s="350">
        <f>SP2D[[#This Row],[Pagu Semula]]-SP2D[[#This Row],[Pagu]]</f>
        <v>120000000</v>
      </c>
      <c r="U70" s="232">
        <f>SUM('PER BULAN'!J116:L116)</f>
        <v>0</v>
      </c>
      <c r="V70" s="232">
        <f>SUM('PER BULAN'!M116:O116)</f>
        <v>0</v>
      </c>
      <c r="W70" s="232">
        <f>SUM('PER BULAN'!P116:R116)</f>
        <v>0</v>
      </c>
      <c r="X70" s="232">
        <f>SUM('PER BULAN'!S116:U116)</f>
        <v>0</v>
      </c>
      <c r="Y70" s="232">
        <f>SUM('PER BULAN'!V116:X116)</f>
        <v>0</v>
      </c>
      <c r="Z70" s="232">
        <f>SUM('PER BULAN'!Y116:AA116)</f>
        <v>0</v>
      </c>
      <c r="AA70" s="232">
        <f>SUM('PER BULAN'!AB116:AD116)</f>
        <v>0</v>
      </c>
      <c r="AB70" s="232">
        <f>SUM('PER BULAN'!AE116:AG116)</f>
        <v>0</v>
      </c>
      <c r="AC70" s="232">
        <f>SUM('PER BULAN'!AH116:AJ116)</f>
        <v>0</v>
      </c>
      <c r="AD70" s="232">
        <f>SUM('PER BULAN'!AK116:AM116)</f>
        <v>0</v>
      </c>
      <c r="AE70" s="232">
        <f>SUM('PER BULAN'!AN116:AP116)</f>
        <v>0</v>
      </c>
      <c r="AF70" s="232">
        <f>SUM('PER BULAN'!AQ116:AS116)</f>
        <v>0</v>
      </c>
      <c r="AG70" s="218" t="s">
        <v>530</v>
      </c>
      <c r="AH70" s="218" t="s">
        <v>531</v>
      </c>
      <c r="AI70" s="218" t="s">
        <v>534</v>
      </c>
      <c r="AJ70" s="218" t="s">
        <v>3891</v>
      </c>
      <c r="AK70" s="218" t="s">
        <v>3892</v>
      </c>
      <c r="AL70" s="384">
        <f t="shared" si="7"/>
        <v>0</v>
      </c>
      <c r="AM70" s="231">
        <f t="shared" si="8"/>
        <v>0</v>
      </c>
      <c r="AN70" s="384">
        <f t="shared" si="9"/>
        <v>0</v>
      </c>
      <c r="AO70" s="231">
        <f t="shared" si="10"/>
        <v>0</v>
      </c>
      <c r="AP70" s="218" t="str">
        <f t="shared" si="11"/>
        <v>WA.2378.EBA.962.301.H.522141</v>
      </c>
      <c r="AQ70" s="218" t="str">
        <f>IF(ISNUMBER(SEARCH("COVID",SP2D[[#This Row],[Akun]])),"COVID","Non COVID")</f>
        <v>Non COVID</v>
      </c>
      <c r="AR7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7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0" s="232">
        <f>SUM('PER BULAN'!BA116)</f>
        <v>0</v>
      </c>
      <c r="AU70" s="232">
        <f>SUM('PER BULAN'!BB116)</f>
        <v>0</v>
      </c>
      <c r="AV70" s="232">
        <f>SUM('PER BULAN'!BC116)</f>
        <v>0</v>
      </c>
      <c r="AW70" s="232">
        <f>SUM('PER BULAN'!BD116)</f>
        <v>0</v>
      </c>
      <c r="AX70" s="232">
        <f>SUM('PER BULAN'!BE116)</f>
        <v>0</v>
      </c>
      <c r="AY70" s="232">
        <f>SUM('PER BULAN'!BF116)</f>
        <v>0</v>
      </c>
      <c r="AZ70" s="232">
        <f>SUM('PER BULAN'!BG116)</f>
        <v>0</v>
      </c>
      <c r="BA70" s="232">
        <f>SUM('PER BULAN'!BH116)</f>
        <v>0</v>
      </c>
    </row>
    <row r="71" spans="1:53" s="219" customFormat="1" x14ac:dyDescent="0.25">
      <c r="A71" s="218" t="s">
        <v>3885</v>
      </c>
      <c r="B71" s="218" t="s">
        <v>3886</v>
      </c>
      <c r="C71" s="218" t="s">
        <v>3912</v>
      </c>
      <c r="D71" s="218" t="s">
        <v>3913</v>
      </c>
      <c r="E71" s="218" t="s">
        <v>197</v>
      </c>
      <c r="F71" s="218" t="s">
        <v>3914</v>
      </c>
      <c r="G71" s="218" t="s">
        <v>3929</v>
      </c>
      <c r="H71" s="218" t="s">
        <v>3930</v>
      </c>
      <c r="I71" s="218">
        <v>962</v>
      </c>
      <c r="J71" s="218" t="s">
        <v>3935</v>
      </c>
      <c r="K71" s="218">
        <v>301</v>
      </c>
      <c r="L71" s="218" t="s">
        <v>3934</v>
      </c>
      <c r="M71" s="218" t="s">
        <v>580</v>
      </c>
      <c r="N71" s="218" t="s">
        <v>3941</v>
      </c>
      <c r="O71" s="218" t="s">
        <v>513</v>
      </c>
      <c r="P71" s="218" t="s">
        <v>3894</v>
      </c>
      <c r="Q71" s="165" cm="1">
        <f t="array" ref="Q71">SUM(_xlfn._xlws.FILTER(DIPA2[PaguRevisi],DIPA2[Akun]=SP2D[[#This Row],[Kode Akun]],0))</f>
        <v>0</v>
      </c>
      <c r="R71" s="350">
        <v>7962000</v>
      </c>
      <c r="S71" s="350"/>
      <c r="T71" s="350">
        <f>SP2D[[#This Row],[Pagu Semula]]-SP2D[[#This Row],[Pagu]]</f>
        <v>7962000</v>
      </c>
      <c r="U71" s="232">
        <f>SUM('PER BULAN'!J118:L118)</f>
        <v>0</v>
      </c>
      <c r="V71" s="232">
        <f>SUM('PER BULAN'!M117:O117)</f>
        <v>0</v>
      </c>
      <c r="W71" s="232">
        <f>SUM('PER BULAN'!P117:R117)</f>
        <v>0</v>
      </c>
      <c r="X71" s="232">
        <f>SUM('PER BULAN'!S117:U117)</f>
        <v>0</v>
      </c>
      <c r="Y71" s="232">
        <f>SUM('PER BULAN'!V117:X117)</f>
        <v>0</v>
      </c>
      <c r="Z71" s="232">
        <f>SUM('PER BULAN'!Y117:AA117)</f>
        <v>0</v>
      </c>
      <c r="AA71" s="232">
        <f>SUM('PER BULAN'!AB117:AD117)</f>
        <v>0</v>
      </c>
      <c r="AB71" s="232">
        <f>SUM('PER BULAN'!AE117:AG117)</f>
        <v>0</v>
      </c>
      <c r="AC71" s="232">
        <f>SUM('PER BULAN'!AH117:AJ117)</f>
        <v>0</v>
      </c>
      <c r="AD71" s="232">
        <f>SUM('PER BULAN'!AK117:AM117)</f>
        <v>0</v>
      </c>
      <c r="AE71" s="232">
        <f>SUM('PER BULAN'!AN117:AP117)</f>
        <v>0</v>
      </c>
      <c r="AF71" s="232">
        <f>SUM('PER BULAN'!AQ117:AS117)</f>
        <v>0</v>
      </c>
      <c r="AG71" s="218" t="s">
        <v>530</v>
      </c>
      <c r="AH71" s="218" t="s">
        <v>531</v>
      </c>
      <c r="AI71" s="218" t="s">
        <v>534</v>
      </c>
      <c r="AJ71" s="218" t="s">
        <v>3891</v>
      </c>
      <c r="AK71" s="218" t="s">
        <v>3892</v>
      </c>
      <c r="AL71" s="384">
        <f t="shared" si="7"/>
        <v>0</v>
      </c>
      <c r="AM71" s="231">
        <f t="shared" si="8"/>
        <v>0</v>
      </c>
      <c r="AN71" s="384">
        <f t="shared" si="9"/>
        <v>0</v>
      </c>
      <c r="AO71" s="231">
        <f t="shared" si="10"/>
        <v>0</v>
      </c>
      <c r="AP71" s="218" t="str">
        <f t="shared" si="11"/>
        <v>WA.2378.EBA.962.301.H.524111</v>
      </c>
      <c r="AQ71" s="218" t="str">
        <f>IF(ISNUMBER(SEARCH("COVID",SP2D[[#This Row],[Akun]])),"COVID","Non COVID")</f>
        <v>Non COVID</v>
      </c>
      <c r="AR7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7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1" s="232">
        <f>SUM('PER BULAN'!BA117)</f>
        <v>0</v>
      </c>
      <c r="AU71" s="232">
        <f>SUM('PER BULAN'!BB117)</f>
        <v>0</v>
      </c>
      <c r="AV71" s="232">
        <f>SUM('PER BULAN'!BC117)</f>
        <v>0</v>
      </c>
      <c r="AW71" s="232">
        <f>SUM('PER BULAN'!BD117)</f>
        <v>0</v>
      </c>
      <c r="AX71" s="232">
        <f>SUM('PER BULAN'!BE117)</f>
        <v>0</v>
      </c>
      <c r="AY71" s="232">
        <f>SUM('PER BULAN'!BF117)</f>
        <v>0</v>
      </c>
      <c r="AZ71" s="232">
        <f>SUM('PER BULAN'!BG117)</f>
        <v>0</v>
      </c>
      <c r="BA71" s="232">
        <f>SUM('PER BULAN'!BH117)</f>
        <v>0</v>
      </c>
    </row>
    <row r="72" spans="1:53" s="219" customFormat="1" x14ac:dyDescent="0.25">
      <c r="A72" s="218" t="s">
        <v>3885</v>
      </c>
      <c r="B72" s="218" t="s">
        <v>3886</v>
      </c>
      <c r="C72" s="218" t="s">
        <v>3912</v>
      </c>
      <c r="D72" s="218" t="s">
        <v>3913</v>
      </c>
      <c r="E72" s="218" t="s">
        <v>197</v>
      </c>
      <c r="F72" s="218" t="s">
        <v>3914</v>
      </c>
      <c r="G72" s="218" t="s">
        <v>3929</v>
      </c>
      <c r="H72" s="218" t="s">
        <v>3930</v>
      </c>
      <c r="I72" s="218">
        <v>962</v>
      </c>
      <c r="J72" s="218" t="s">
        <v>3935</v>
      </c>
      <c r="K72" s="218">
        <v>301</v>
      </c>
      <c r="L72" s="218" t="s">
        <v>3934</v>
      </c>
      <c r="M72" s="218" t="s">
        <v>581</v>
      </c>
      <c r="N72" s="218" t="s">
        <v>3942</v>
      </c>
      <c r="O72" s="218">
        <v>521211</v>
      </c>
      <c r="P72" s="218" t="s">
        <v>3890</v>
      </c>
      <c r="Q72" s="165" cm="1">
        <f t="array" ref="Q72">SUM(_xlfn._xlws.FILTER(DIPA2[PaguRevisi],DIPA2[Akun]=SP2D[[#This Row],[Kode Akun]],0))</f>
        <v>17550000</v>
      </c>
      <c r="R72" s="350">
        <v>17550000</v>
      </c>
      <c r="S72" s="350"/>
      <c r="T72" s="350">
        <f>SP2D[[#This Row],[Pagu Semula]]-SP2D[[#This Row],[Pagu]]</f>
        <v>0</v>
      </c>
      <c r="U72" s="232">
        <f>SUM('PER BULAN'!J119:L119)</f>
        <v>0</v>
      </c>
      <c r="V72" s="232">
        <f>SUM('PER BULAN'!M119:O119)</f>
        <v>0</v>
      </c>
      <c r="W72" s="232">
        <f>SUM('PER BULAN'!P119:R119)</f>
        <v>2444000</v>
      </c>
      <c r="X72" s="232">
        <f>SUM('PER BULAN'!S119:U119)</f>
        <v>0</v>
      </c>
      <c r="Y72" s="232">
        <f>SUM('PER BULAN'!V119:X119)</f>
        <v>7025000</v>
      </c>
      <c r="Z72" s="232">
        <f>SUM('PER BULAN'!Y119:AA119)</f>
        <v>0</v>
      </c>
      <c r="AA72" s="232">
        <f>SUM('PER BULAN'!AB119:AD119)</f>
        <v>0</v>
      </c>
      <c r="AB72" s="232">
        <f>SUM('PER BULAN'!AE119:AG119)</f>
        <v>0</v>
      </c>
      <c r="AC72" s="232">
        <f>SUM('PER BULAN'!AH119:AJ119)</f>
        <v>0</v>
      </c>
      <c r="AD72" s="232">
        <f>SUM('PER BULAN'!AK119:AM119)</f>
        <v>0</v>
      </c>
      <c r="AE72" s="232">
        <f>SUM('PER BULAN'!AN119:AP119)</f>
        <v>0</v>
      </c>
      <c r="AF72" s="232">
        <f>SUM('PER BULAN'!AQ119:AS119)</f>
        <v>0</v>
      </c>
      <c r="AG72" s="218" t="s">
        <v>530</v>
      </c>
      <c r="AH72" s="218" t="s">
        <v>531</v>
      </c>
      <c r="AI72" s="218" t="s">
        <v>534</v>
      </c>
      <c r="AJ72" s="218" t="s">
        <v>3891</v>
      </c>
      <c r="AK72" s="218" t="s">
        <v>3892</v>
      </c>
      <c r="AL72" s="384">
        <f t="shared" si="7"/>
        <v>9469000</v>
      </c>
      <c r="AM72" s="231">
        <f t="shared" si="8"/>
        <v>53.954415954415957</v>
      </c>
      <c r="AN72" s="384">
        <f t="shared" si="9"/>
        <v>8081000</v>
      </c>
      <c r="AO72" s="231">
        <f t="shared" si="10"/>
        <v>46.04558404558405</v>
      </c>
      <c r="AP72" s="218" t="str">
        <f t="shared" si="11"/>
        <v>WA.2378.EBA.962.301.I.521211</v>
      </c>
      <c r="AQ72" s="218" t="str">
        <f>IF(ISNUMBER(SEARCH("COVID",SP2D[[#This Row],[Akun]])),"COVID","Non COVID")</f>
        <v>Non COVID</v>
      </c>
      <c r="AR7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7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2" s="232">
        <f>SUM('PER BULAN'!BA119)</f>
        <v>0</v>
      </c>
      <c r="AU72" s="232">
        <f>SUM('PER BULAN'!BB119)</f>
        <v>2444000</v>
      </c>
      <c r="AV72" s="232">
        <f>SUM('PER BULAN'!BC119)</f>
        <v>0</v>
      </c>
      <c r="AW72" s="232">
        <f>SUM('PER BULAN'!BD119)</f>
        <v>0</v>
      </c>
      <c r="AX72" s="232">
        <f>SUM('PER BULAN'!BE119)</f>
        <v>0</v>
      </c>
      <c r="AY72" s="232">
        <f>SUM('PER BULAN'!BF119)</f>
        <v>528000</v>
      </c>
      <c r="AZ72" s="232">
        <f>SUM('PER BULAN'!BG119)</f>
        <v>6497000</v>
      </c>
      <c r="BA72" s="232">
        <f>SUM('PER BULAN'!BH119)</f>
        <v>0</v>
      </c>
    </row>
    <row r="73" spans="1:53" s="219" customFormat="1" x14ac:dyDescent="0.25">
      <c r="A73" s="218" t="s">
        <v>3885</v>
      </c>
      <c r="B73" s="218" t="s">
        <v>3886</v>
      </c>
      <c r="C73" s="218" t="s">
        <v>3912</v>
      </c>
      <c r="D73" s="218" t="s">
        <v>3913</v>
      </c>
      <c r="E73" s="218" t="s">
        <v>197</v>
      </c>
      <c r="F73" s="218" t="s">
        <v>3914</v>
      </c>
      <c r="G73" s="218" t="s">
        <v>3929</v>
      </c>
      <c r="H73" s="218" t="s">
        <v>3930</v>
      </c>
      <c r="I73" s="218">
        <v>962</v>
      </c>
      <c r="J73" s="218" t="s">
        <v>3935</v>
      </c>
      <c r="K73" s="218">
        <v>301</v>
      </c>
      <c r="L73" s="218" t="s">
        <v>3934</v>
      </c>
      <c r="M73" s="218" t="s">
        <v>581</v>
      </c>
      <c r="N73" s="218" t="s">
        <v>3942</v>
      </c>
      <c r="O73" s="218">
        <v>521219</v>
      </c>
      <c r="P73" s="218" t="s">
        <v>3903</v>
      </c>
      <c r="Q73" s="165" cm="1">
        <f t="array" ref="Q73">SUM(_xlfn._xlws.FILTER(DIPA2[PaguRevisi],DIPA2[Akun]=SP2D[[#This Row],[Kode Akun]],0))</f>
        <v>27651000</v>
      </c>
      <c r="R73" s="350">
        <v>27651000</v>
      </c>
      <c r="S73" s="350"/>
      <c r="T73" s="350">
        <f>SP2D[[#This Row],[Pagu Semula]]-SP2D[[#This Row],[Pagu]]</f>
        <v>0</v>
      </c>
      <c r="U73" s="232">
        <f>SUM('PER BULAN'!J120:L120)</f>
        <v>0</v>
      </c>
      <c r="V73" s="232">
        <f>SUM('PER BULAN'!M120:O120)</f>
        <v>0</v>
      </c>
      <c r="W73" s="232">
        <f>SUM('PER BULAN'!P120:R120)</f>
        <v>370000</v>
      </c>
      <c r="X73" s="232">
        <f>SUM('PER BULAN'!S120:U120)</f>
        <v>0</v>
      </c>
      <c r="Y73" s="232">
        <f>SUM('PER BULAN'!V120:X120)</f>
        <v>250000</v>
      </c>
      <c r="Z73" s="232">
        <f>SUM('PER BULAN'!Y120:AA120)</f>
        <v>0</v>
      </c>
      <c r="AA73" s="232">
        <f>SUM('PER BULAN'!AB120:AD120)</f>
        <v>0</v>
      </c>
      <c r="AB73" s="232">
        <f>SUM('PER BULAN'!AE120:AG120)</f>
        <v>0</v>
      </c>
      <c r="AC73" s="232">
        <f>SUM('PER BULAN'!AH120:AJ120)</f>
        <v>0</v>
      </c>
      <c r="AD73" s="232">
        <f>SUM('PER BULAN'!AK120:AM120)</f>
        <v>0</v>
      </c>
      <c r="AE73" s="232">
        <f>SUM('PER BULAN'!AN120:AP120)</f>
        <v>0</v>
      </c>
      <c r="AF73" s="232">
        <f>SUM('PER BULAN'!AQ120:AS120)</f>
        <v>0</v>
      </c>
      <c r="AG73" s="218" t="s">
        <v>530</v>
      </c>
      <c r="AH73" s="218" t="s">
        <v>531</v>
      </c>
      <c r="AI73" s="218" t="s">
        <v>534</v>
      </c>
      <c r="AJ73" s="218" t="s">
        <v>3891</v>
      </c>
      <c r="AK73" s="218" t="s">
        <v>3892</v>
      </c>
      <c r="AL73" s="384">
        <f t="shared" si="7"/>
        <v>620000</v>
      </c>
      <c r="AM73" s="231">
        <f t="shared" si="8"/>
        <v>2.2422335539401832</v>
      </c>
      <c r="AN73" s="384">
        <f t="shared" si="9"/>
        <v>27031000</v>
      </c>
      <c r="AO73" s="231">
        <f t="shared" si="10"/>
        <v>97.757766446059819</v>
      </c>
      <c r="AP73" s="218" t="str">
        <f t="shared" si="11"/>
        <v>WA.2378.EBA.962.301.I.521219</v>
      </c>
      <c r="AQ73" s="218" t="str">
        <f>IF(ISNUMBER(SEARCH("COVID",SP2D[[#This Row],[Akun]])),"COVID","Non COVID")</f>
        <v>Non COVID</v>
      </c>
      <c r="AR7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7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3" s="232">
        <f>SUM('PER BULAN'!BA120)</f>
        <v>0</v>
      </c>
      <c r="AU73" s="232">
        <f>SUM('PER BULAN'!BB120)</f>
        <v>250000</v>
      </c>
      <c r="AV73" s="232">
        <f>SUM('PER BULAN'!BC120)</f>
        <v>120000</v>
      </c>
      <c r="AW73" s="232">
        <f>SUM('PER BULAN'!BD120)</f>
        <v>0</v>
      </c>
      <c r="AX73" s="232">
        <f>SUM('PER BULAN'!BE120)</f>
        <v>0</v>
      </c>
      <c r="AY73" s="232">
        <f>SUM('PER BULAN'!BF120)</f>
        <v>0</v>
      </c>
      <c r="AZ73" s="232">
        <f>SUM('PER BULAN'!BG120)</f>
        <v>250000</v>
      </c>
      <c r="BA73" s="232">
        <f>SUM('PER BULAN'!BH120)</f>
        <v>0</v>
      </c>
    </row>
    <row r="74" spans="1:53" s="219" customFormat="1" x14ac:dyDescent="0.25">
      <c r="A74" s="218" t="s">
        <v>3885</v>
      </c>
      <c r="B74" s="218" t="s">
        <v>3886</v>
      </c>
      <c r="C74" s="218" t="s">
        <v>3912</v>
      </c>
      <c r="D74" s="218" t="s">
        <v>3913</v>
      </c>
      <c r="E74" s="218" t="s">
        <v>197</v>
      </c>
      <c r="F74" s="218" t="s">
        <v>3914</v>
      </c>
      <c r="G74" s="218" t="s">
        <v>3929</v>
      </c>
      <c r="H74" s="218" t="s">
        <v>3930</v>
      </c>
      <c r="I74" s="218">
        <v>962</v>
      </c>
      <c r="J74" s="218" t="s">
        <v>3935</v>
      </c>
      <c r="K74" s="218">
        <v>301</v>
      </c>
      <c r="L74" s="218" t="s">
        <v>3934</v>
      </c>
      <c r="M74" s="218" t="s">
        <v>581</v>
      </c>
      <c r="N74" s="218" t="s">
        <v>3942</v>
      </c>
      <c r="O74" s="218">
        <v>522151</v>
      </c>
      <c r="P74" s="218" t="s">
        <v>3893</v>
      </c>
      <c r="Q74" s="165" cm="1">
        <f t="array" ref="Q74">SUM(_xlfn._xlws.FILTER(DIPA2[PaguRevisi],DIPA2[Akun]=SP2D[[#This Row],[Kode Akun]],0))</f>
        <v>40000000</v>
      </c>
      <c r="R74" s="350">
        <v>40000000</v>
      </c>
      <c r="S74" s="350"/>
      <c r="T74" s="350">
        <f>SP2D[[#This Row],[Pagu Semula]]-SP2D[[#This Row],[Pagu]]</f>
        <v>0</v>
      </c>
      <c r="U74" s="232">
        <f>SUM('PER BULAN'!J121:L121)</f>
        <v>0</v>
      </c>
      <c r="V74" s="232">
        <f>SUM('PER BULAN'!M121:O121)</f>
        <v>0</v>
      </c>
      <c r="W74" s="232">
        <f>SUM('PER BULAN'!P121:R121)</f>
        <v>0</v>
      </c>
      <c r="X74" s="232">
        <f>SUM('PER BULAN'!S121:U121)</f>
        <v>0</v>
      </c>
      <c r="Y74" s="232">
        <f>SUM('PER BULAN'!V121:X121)</f>
        <v>14000000</v>
      </c>
      <c r="Z74" s="232">
        <f>SUM('PER BULAN'!Y121:AA121)</f>
        <v>0</v>
      </c>
      <c r="AA74" s="232">
        <f>SUM('PER BULAN'!AB121:AD121)</f>
        <v>0</v>
      </c>
      <c r="AB74" s="232">
        <f>SUM('PER BULAN'!AE121:AG121)</f>
        <v>0</v>
      </c>
      <c r="AC74" s="232">
        <f>SUM('PER BULAN'!AH121:AJ121)</f>
        <v>0</v>
      </c>
      <c r="AD74" s="232">
        <f>SUM('PER BULAN'!AK121:AM121)</f>
        <v>0</v>
      </c>
      <c r="AE74" s="232">
        <f>SUM('PER BULAN'!AN121:AP121)</f>
        <v>0</v>
      </c>
      <c r="AF74" s="232">
        <f>SUM('PER BULAN'!AQ121:AS121)</f>
        <v>0</v>
      </c>
      <c r="AG74" s="218" t="s">
        <v>530</v>
      </c>
      <c r="AH74" s="218" t="s">
        <v>531</v>
      </c>
      <c r="AI74" s="218" t="s">
        <v>534</v>
      </c>
      <c r="AJ74" s="218" t="s">
        <v>3891</v>
      </c>
      <c r="AK74" s="218" t="s">
        <v>3892</v>
      </c>
      <c r="AL74" s="384">
        <f t="shared" si="7"/>
        <v>14000000</v>
      </c>
      <c r="AM74" s="231">
        <f t="shared" si="8"/>
        <v>35</v>
      </c>
      <c r="AN74" s="384">
        <f t="shared" si="9"/>
        <v>26000000</v>
      </c>
      <c r="AO74" s="231">
        <f t="shared" si="10"/>
        <v>65</v>
      </c>
      <c r="AP74" s="218" t="str">
        <f t="shared" si="11"/>
        <v>WA.2378.EBA.962.301.I.522151</v>
      </c>
      <c r="AQ74" s="218" t="str">
        <f>IF(ISNUMBER(SEARCH("COVID",SP2D[[#This Row],[Akun]])),"COVID","Non COVID")</f>
        <v>Non COVID</v>
      </c>
      <c r="AR7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7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4" s="232">
        <f>SUM('PER BULAN'!BA121)</f>
        <v>0</v>
      </c>
      <c r="AU74" s="232">
        <f>SUM('PER BULAN'!BB121)</f>
        <v>0</v>
      </c>
      <c r="AV74" s="232">
        <f>SUM('PER BULAN'!BC121)</f>
        <v>0</v>
      </c>
      <c r="AW74" s="232">
        <f>SUM('PER BULAN'!BD121)</f>
        <v>0</v>
      </c>
      <c r="AX74" s="232">
        <f>SUM('PER BULAN'!BE121)</f>
        <v>0</v>
      </c>
      <c r="AY74" s="232">
        <f>SUM('PER BULAN'!BF121)</f>
        <v>0</v>
      </c>
      <c r="AZ74" s="232">
        <f>SUM('PER BULAN'!BG121)</f>
        <v>14000000</v>
      </c>
      <c r="BA74" s="232">
        <f>SUM('PER BULAN'!BH121)</f>
        <v>0</v>
      </c>
    </row>
    <row r="75" spans="1:53" s="219" customFormat="1" x14ac:dyDescent="0.25">
      <c r="A75" s="218" t="s">
        <v>3885</v>
      </c>
      <c r="B75" s="218" t="s">
        <v>3886</v>
      </c>
      <c r="C75" s="218" t="s">
        <v>3912</v>
      </c>
      <c r="D75" s="218" t="s">
        <v>3913</v>
      </c>
      <c r="E75" s="218" t="s">
        <v>197</v>
      </c>
      <c r="F75" s="218" t="s">
        <v>3914</v>
      </c>
      <c r="G75" s="218" t="s">
        <v>3929</v>
      </c>
      <c r="H75" s="218" t="s">
        <v>3930</v>
      </c>
      <c r="I75" s="218">
        <v>962</v>
      </c>
      <c r="J75" s="218" t="s">
        <v>3935</v>
      </c>
      <c r="K75" s="218">
        <v>301</v>
      </c>
      <c r="L75" s="218" t="s">
        <v>3934</v>
      </c>
      <c r="M75" s="218" t="s">
        <v>581</v>
      </c>
      <c r="N75" s="218" t="s">
        <v>3942</v>
      </c>
      <c r="O75" s="218" t="s">
        <v>513</v>
      </c>
      <c r="P75" s="218" t="s">
        <v>3894</v>
      </c>
      <c r="Q75" s="165" cm="1">
        <f t="array" ref="Q75">SUM(_xlfn._xlws.FILTER(DIPA2[PaguRevisi],DIPA2[Akun]=SP2D[[#This Row],[Kode Akun]],0))</f>
        <v>25062000</v>
      </c>
      <c r="R75" s="350">
        <v>25062000</v>
      </c>
      <c r="S75" s="350"/>
      <c r="T75" s="350">
        <f>SP2D[[#This Row],[Pagu Semula]]-SP2D[[#This Row],[Pagu]]</f>
        <v>0</v>
      </c>
      <c r="U75" s="232">
        <f>SUM('PER BULAN'!J125:L125)</f>
        <v>0</v>
      </c>
      <c r="V75" s="232">
        <f>SUM('PER BULAN'!M122:O122)</f>
        <v>0</v>
      </c>
      <c r="W75" s="232">
        <f>SUM('PER BULAN'!P122:R122)</f>
        <v>25062000</v>
      </c>
      <c r="X75" s="232">
        <f>SUM('PER BULAN'!S122:U122)</f>
        <v>0</v>
      </c>
      <c r="Y75" s="232">
        <f>SUM('PER BULAN'!V122:X122)</f>
        <v>0</v>
      </c>
      <c r="Z75" s="232">
        <f>SUM('PER BULAN'!Y122:AA122)</f>
        <v>0</v>
      </c>
      <c r="AA75" s="232">
        <f>SUM('PER BULAN'!AB122:AD122)</f>
        <v>0</v>
      </c>
      <c r="AB75" s="232">
        <f>SUM('PER BULAN'!AE122:AG122)</f>
        <v>0</v>
      </c>
      <c r="AC75" s="232">
        <f>SUM('PER BULAN'!AH122:AJ122)</f>
        <v>0</v>
      </c>
      <c r="AD75" s="232">
        <f>SUM('PER BULAN'!AK122:AM122)</f>
        <v>0</v>
      </c>
      <c r="AE75" s="232">
        <f>SUM('PER BULAN'!AN122:AP122)</f>
        <v>0</v>
      </c>
      <c r="AF75" s="232">
        <f>SUM('PER BULAN'!AQ122:AS122)</f>
        <v>0</v>
      </c>
      <c r="AG75" s="218" t="s">
        <v>530</v>
      </c>
      <c r="AH75" s="218" t="s">
        <v>531</v>
      </c>
      <c r="AI75" s="218" t="s">
        <v>534</v>
      </c>
      <c r="AJ75" s="218" t="s">
        <v>3891</v>
      </c>
      <c r="AK75" s="218" t="s">
        <v>3892</v>
      </c>
      <c r="AL75" s="384">
        <f t="shared" si="7"/>
        <v>25062000</v>
      </c>
      <c r="AM75" s="231">
        <f t="shared" si="8"/>
        <v>100</v>
      </c>
      <c r="AN75" s="384">
        <f t="shared" si="9"/>
        <v>0</v>
      </c>
      <c r="AO75" s="231">
        <f t="shared" si="10"/>
        <v>0</v>
      </c>
      <c r="AP75" s="218" t="str">
        <f t="shared" si="11"/>
        <v>WA.2378.EBA.962.301.I.524111</v>
      </c>
      <c r="AQ75" s="218" t="str">
        <f>IF(ISNUMBER(SEARCH("COVID",SP2D[[#This Row],[Akun]])),"COVID","Non COVID")</f>
        <v>Non COVID</v>
      </c>
      <c r="AR7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7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5" s="232">
        <f>SUM('PER BULAN'!BA122)</f>
        <v>0</v>
      </c>
      <c r="AU75" s="232">
        <f>SUM('PER BULAN'!BB122)</f>
        <v>15982000</v>
      </c>
      <c r="AV75" s="232">
        <f>SUM('PER BULAN'!BC122)</f>
        <v>9080000</v>
      </c>
      <c r="AW75" s="232">
        <f>SUM('PER BULAN'!BD122)</f>
        <v>0</v>
      </c>
      <c r="AX75" s="232">
        <f>SUM('PER BULAN'!BE122)</f>
        <v>0</v>
      </c>
      <c r="AY75" s="232">
        <f>SUM('PER BULAN'!BF122)</f>
        <v>0</v>
      </c>
      <c r="AZ75" s="232">
        <f>SUM('PER BULAN'!BG122)</f>
        <v>0</v>
      </c>
      <c r="BA75" s="232">
        <f>SUM('PER BULAN'!BH122)</f>
        <v>0</v>
      </c>
    </row>
    <row r="76" spans="1:53" s="219" customFormat="1" x14ac:dyDescent="0.25">
      <c r="A76" s="218" t="s">
        <v>3885</v>
      </c>
      <c r="B76" s="218" t="s">
        <v>3886</v>
      </c>
      <c r="C76" s="218" t="s">
        <v>3912</v>
      </c>
      <c r="D76" s="218" t="s">
        <v>3913</v>
      </c>
      <c r="E76" s="218" t="s">
        <v>197</v>
      </c>
      <c r="F76" s="218" t="s">
        <v>3914</v>
      </c>
      <c r="G76" s="218" t="s">
        <v>3929</v>
      </c>
      <c r="H76" s="218" t="s">
        <v>3930</v>
      </c>
      <c r="I76" s="218">
        <v>994</v>
      </c>
      <c r="J76" s="218" t="s">
        <v>5430</v>
      </c>
      <c r="K76" s="348" t="s">
        <v>557</v>
      </c>
      <c r="L76" s="218" t="s">
        <v>3851</v>
      </c>
      <c r="M76" s="218" t="s">
        <v>1807</v>
      </c>
      <c r="N76" s="218" t="s">
        <v>3944</v>
      </c>
      <c r="O76" s="218">
        <v>521111</v>
      </c>
      <c r="P76" s="218" t="s">
        <v>3945</v>
      </c>
      <c r="Q76" s="165" cm="1">
        <f t="array" ref="Q76">SUM(_xlfn._xlws.FILTER(DIPA2[PaguRevisi],DIPA2[Akun]=SP2D[[#This Row],[Kode Akun]],0))</f>
        <v>1076220000</v>
      </c>
      <c r="R76" s="350">
        <v>1076220000</v>
      </c>
      <c r="S76" s="350"/>
      <c r="T76" s="350">
        <f>SP2D[[#This Row],[Pagu Semula]]-SP2D[[#This Row],[Pagu]]</f>
        <v>0</v>
      </c>
      <c r="U76" s="232">
        <f>SUM('PER BULAN'!J126:L126)</f>
        <v>0</v>
      </c>
      <c r="V76" s="232">
        <f>SUM('PER BULAN'!M126:O126)</f>
        <v>63640000</v>
      </c>
      <c r="W76" s="232">
        <f>SUM('PER BULAN'!P126:R126)</f>
        <v>80776487</v>
      </c>
      <c r="X76" s="232">
        <f>SUM('PER BULAN'!S126:U126)</f>
        <v>135515096</v>
      </c>
      <c r="Y76" s="232">
        <f>SUM('PER BULAN'!V126:X126)</f>
        <v>79486568</v>
      </c>
      <c r="Z76" s="232">
        <f>SUM('PER BULAN'!Y126:AA126)</f>
        <v>63640000</v>
      </c>
      <c r="AA76" s="232">
        <f>SUM('PER BULAN'!AB126:AD126)</f>
        <v>0</v>
      </c>
      <c r="AB76" s="232">
        <f>SUM('PER BULAN'!AE126:AG126)</f>
        <v>0</v>
      </c>
      <c r="AC76" s="232">
        <f>SUM('PER BULAN'!AH126:AJ126)</f>
        <v>0</v>
      </c>
      <c r="AD76" s="232">
        <f>SUM('PER BULAN'!AK126:AM126)</f>
        <v>0</v>
      </c>
      <c r="AE76" s="232">
        <f>SUM('PER BULAN'!AN126:AP126)</f>
        <v>0</v>
      </c>
      <c r="AF76" s="232">
        <f>SUM('PER BULAN'!AQ126:AS126)</f>
        <v>0</v>
      </c>
      <c r="AG76" s="218" t="s">
        <v>530</v>
      </c>
      <c r="AH76" s="218" t="s">
        <v>576</v>
      </c>
      <c r="AI76" s="218" t="s">
        <v>560</v>
      </c>
      <c r="AJ76" s="218" t="s">
        <v>3891</v>
      </c>
      <c r="AK76" s="218" t="s">
        <v>3892</v>
      </c>
      <c r="AL76" s="384">
        <f t="shared" si="7"/>
        <v>423058151</v>
      </c>
      <c r="AM76" s="231">
        <f t="shared" si="8"/>
        <v>39.309634740108898</v>
      </c>
      <c r="AN76" s="384">
        <f t="shared" si="9"/>
        <v>653161849</v>
      </c>
      <c r="AO76" s="231">
        <f t="shared" si="10"/>
        <v>60.690365259891102</v>
      </c>
      <c r="AP76" s="218" t="str">
        <f t="shared" si="11"/>
        <v>WA.2378.EBA.994.002.GA.521111</v>
      </c>
      <c r="AQ76" s="218" t="str">
        <f>IF(ISNUMBER(SEARCH("COVID",SP2D[[#This Row],[Akun]])),"COVID","Non COVID")</f>
        <v>Non COVID</v>
      </c>
      <c r="AR7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76"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6" s="232">
        <f>SUM('PER BULAN'!BA126)</f>
        <v>2178865</v>
      </c>
      <c r="AU76" s="232">
        <f>SUM('PER BULAN'!BB126)</f>
        <v>8107900</v>
      </c>
      <c r="AV76" s="232">
        <f>SUM('PER BULAN'!BC126)</f>
        <v>6849722</v>
      </c>
      <c r="AW76" s="232">
        <f>SUM('PER BULAN'!BD126)</f>
        <v>8235096</v>
      </c>
      <c r="AX76" s="232">
        <f>SUM('PER BULAN'!BE126)</f>
        <v>8616711</v>
      </c>
      <c r="AY76" s="232">
        <f>SUM('PER BULAN'!BF126)</f>
        <v>7229857</v>
      </c>
      <c r="AZ76" s="232">
        <f>SUM('PER BULAN'!BG126)</f>
        <v>0</v>
      </c>
      <c r="BA76" s="232">
        <f>SUM('PER BULAN'!BH126)</f>
        <v>0</v>
      </c>
    </row>
    <row r="77" spans="1:53" s="219" customFormat="1" x14ac:dyDescent="0.25">
      <c r="A77" s="218" t="s">
        <v>3885</v>
      </c>
      <c r="B77" s="218" t="s">
        <v>3886</v>
      </c>
      <c r="C77" s="218" t="s">
        <v>3912</v>
      </c>
      <c r="D77" s="218" t="s">
        <v>3913</v>
      </c>
      <c r="E77" s="218" t="s">
        <v>197</v>
      </c>
      <c r="F77" s="218" t="s">
        <v>3914</v>
      </c>
      <c r="G77" s="218" t="s">
        <v>3929</v>
      </c>
      <c r="H77" s="218" t="s">
        <v>3930</v>
      </c>
      <c r="I77" s="218">
        <v>994</v>
      </c>
      <c r="J77" s="218" t="s">
        <v>5430</v>
      </c>
      <c r="K77" s="348" t="s">
        <v>557</v>
      </c>
      <c r="L77" s="218" t="s">
        <v>3851</v>
      </c>
      <c r="M77" s="218" t="s">
        <v>1807</v>
      </c>
      <c r="N77" s="218" t="s">
        <v>3944</v>
      </c>
      <c r="O77" s="218">
        <v>521811</v>
      </c>
      <c r="P77" s="218" t="s">
        <v>3908</v>
      </c>
      <c r="Q77" s="165" cm="1">
        <f t="array" ref="Q77">SUM(_xlfn._xlws.FILTER(DIPA2[PaguRevisi],DIPA2[Akun]=SP2D[[#This Row],[Kode Akun]],0))</f>
        <v>178160000</v>
      </c>
      <c r="R77" s="350">
        <v>178160000</v>
      </c>
      <c r="S77" s="350"/>
      <c r="T77" s="350">
        <f>SP2D[[#This Row],[Pagu Semula]]-SP2D[[#This Row],[Pagu]]</f>
        <v>0</v>
      </c>
      <c r="U77" s="232">
        <f>SUM('PER BULAN'!J128:L128)</f>
        <v>0</v>
      </c>
      <c r="V77" s="232">
        <f>SUM('PER BULAN'!M127:O127)</f>
        <v>0</v>
      </c>
      <c r="W77" s="232">
        <f>SUM('PER BULAN'!P127:R127)</f>
        <v>32474000</v>
      </c>
      <c r="X77" s="232">
        <f>SUM('PER BULAN'!S127:U127)</f>
        <v>8952000</v>
      </c>
      <c r="Y77" s="232">
        <f>SUM('PER BULAN'!V127:X127)</f>
        <v>23282000</v>
      </c>
      <c r="Z77" s="232">
        <f>SUM('PER BULAN'!Y127:AA127)</f>
        <v>0</v>
      </c>
      <c r="AA77" s="232">
        <f>SUM('PER BULAN'!AB127:AD127)</f>
        <v>0</v>
      </c>
      <c r="AB77" s="232">
        <f>SUM('PER BULAN'!AE127:AG127)</f>
        <v>0</v>
      </c>
      <c r="AC77" s="232">
        <f>SUM('PER BULAN'!AH127:AJ127)</f>
        <v>0</v>
      </c>
      <c r="AD77" s="232">
        <f>SUM('PER BULAN'!AK127:AM127)</f>
        <v>0</v>
      </c>
      <c r="AE77" s="232">
        <f>SUM('PER BULAN'!AN127:AP127)</f>
        <v>0</v>
      </c>
      <c r="AF77" s="232">
        <f>SUM('PER BULAN'!AQ127:AS127)</f>
        <v>0</v>
      </c>
      <c r="AG77" s="218" t="s">
        <v>530</v>
      </c>
      <c r="AH77" s="218" t="s">
        <v>576</v>
      </c>
      <c r="AI77" s="218" t="s">
        <v>560</v>
      </c>
      <c r="AJ77" s="218" t="s">
        <v>3891</v>
      </c>
      <c r="AK77" s="218" t="s">
        <v>3892</v>
      </c>
      <c r="AL77" s="384">
        <f t="shared" si="7"/>
        <v>64708000</v>
      </c>
      <c r="AM77" s="231">
        <f t="shared" si="8"/>
        <v>36.320161652447233</v>
      </c>
      <c r="AN77" s="384">
        <f t="shared" si="9"/>
        <v>113452000</v>
      </c>
      <c r="AO77" s="231">
        <f t="shared" si="10"/>
        <v>63.679838347552767</v>
      </c>
      <c r="AP77" s="218" t="str">
        <f t="shared" si="11"/>
        <v>WA.2378.EBA.994.002.GA.521811</v>
      </c>
      <c r="AQ77" s="218" t="str">
        <f>IF(ISNUMBER(SEARCH("COVID",SP2D[[#This Row],[Akun]])),"COVID","Non COVID")</f>
        <v>Non COVID</v>
      </c>
      <c r="AR7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77"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7" s="232">
        <f>SUM('PER BULAN'!BA127)</f>
        <v>13175000</v>
      </c>
      <c r="AU77" s="232">
        <f>SUM('PER BULAN'!BB127)</f>
        <v>19299000</v>
      </c>
      <c r="AV77" s="232">
        <f>SUM('PER BULAN'!BC127)</f>
        <v>0</v>
      </c>
      <c r="AW77" s="232">
        <f>SUM('PER BULAN'!BD127)</f>
        <v>8952000</v>
      </c>
      <c r="AX77" s="232">
        <f>SUM('PER BULAN'!BE127)</f>
        <v>1680000</v>
      </c>
      <c r="AY77" s="232">
        <f>SUM('PER BULAN'!BF127)</f>
        <v>21602000</v>
      </c>
      <c r="AZ77" s="232">
        <f>SUM('PER BULAN'!BG127)</f>
        <v>0</v>
      </c>
      <c r="BA77" s="232">
        <f>SUM('PER BULAN'!BH127)</f>
        <v>0</v>
      </c>
    </row>
    <row r="78" spans="1:53" s="219" customFormat="1" x14ac:dyDescent="0.25">
      <c r="A78" s="218" t="s">
        <v>3885</v>
      </c>
      <c r="B78" s="218" t="s">
        <v>3886</v>
      </c>
      <c r="C78" s="218" t="s">
        <v>3912</v>
      </c>
      <c r="D78" s="218" t="s">
        <v>3913</v>
      </c>
      <c r="E78" s="218" t="s">
        <v>197</v>
      </c>
      <c r="F78" s="218" t="s">
        <v>3914</v>
      </c>
      <c r="G78" s="218" t="s">
        <v>3929</v>
      </c>
      <c r="H78" s="218" t="s">
        <v>3930</v>
      </c>
      <c r="I78" s="218">
        <v>994</v>
      </c>
      <c r="J78" s="218" t="s">
        <v>5430</v>
      </c>
      <c r="K78" s="348" t="s">
        <v>557</v>
      </c>
      <c r="L78" s="218" t="s">
        <v>3851</v>
      </c>
      <c r="M78" s="218" t="s">
        <v>2208</v>
      </c>
      <c r="N78" s="218" t="s">
        <v>3946</v>
      </c>
      <c r="O78" s="218">
        <v>521114</v>
      </c>
      <c r="P78" s="218" t="s">
        <v>3947</v>
      </c>
      <c r="Q78" s="165" cm="1">
        <f t="array" ref="Q78">SUM(_xlfn._xlws.FILTER(DIPA2[PaguRevisi],DIPA2[Akun]=SP2D[[#This Row],[Kode Akun]],0))</f>
        <v>30000000</v>
      </c>
      <c r="R78" s="350">
        <v>30000000</v>
      </c>
      <c r="S78" s="350"/>
      <c r="T78" s="350">
        <f>SP2D[[#This Row],[Pagu Semula]]-SP2D[[#This Row],[Pagu]]</f>
        <v>0</v>
      </c>
      <c r="U78" s="232">
        <f>SUM('PER BULAN'!J129:L129)</f>
        <v>0</v>
      </c>
      <c r="V78" s="232">
        <f>SUM('PER BULAN'!M129:O129)</f>
        <v>0</v>
      </c>
      <c r="W78" s="232">
        <f>SUM('PER BULAN'!P129:R129)</f>
        <v>354050</v>
      </c>
      <c r="X78" s="232">
        <f>SUM('PER BULAN'!S129:U129)</f>
        <v>603000</v>
      </c>
      <c r="Y78" s="232">
        <f>SUM('PER BULAN'!V129:X129)</f>
        <v>1329000</v>
      </c>
      <c r="Z78" s="232">
        <f>SUM('PER BULAN'!Y129:AA129)</f>
        <v>0</v>
      </c>
      <c r="AA78" s="232">
        <f>SUM('PER BULAN'!AB129:AD129)</f>
        <v>0</v>
      </c>
      <c r="AB78" s="232">
        <f>SUM('PER BULAN'!AE129:AG129)</f>
        <v>0</v>
      </c>
      <c r="AC78" s="232">
        <f>SUM('PER BULAN'!AH129:AJ129)</f>
        <v>0</v>
      </c>
      <c r="AD78" s="232">
        <f>SUM('PER BULAN'!AK129:AM129)</f>
        <v>0</v>
      </c>
      <c r="AE78" s="232">
        <f>SUM('PER BULAN'!AN129:AP129)</f>
        <v>0</v>
      </c>
      <c r="AF78" s="232">
        <f>SUM('PER BULAN'!AQ129:AS129)</f>
        <v>0</v>
      </c>
      <c r="AG78" s="218" t="s">
        <v>530</v>
      </c>
      <c r="AH78" s="218" t="s">
        <v>576</v>
      </c>
      <c r="AI78" s="218" t="s">
        <v>560</v>
      </c>
      <c r="AJ78" s="218" t="s">
        <v>3891</v>
      </c>
      <c r="AK78" s="218" t="s">
        <v>3892</v>
      </c>
      <c r="AL78" s="384">
        <f t="shared" si="7"/>
        <v>2286050</v>
      </c>
      <c r="AM78" s="231">
        <f t="shared" si="8"/>
        <v>7.620166666666667</v>
      </c>
      <c r="AN78" s="384">
        <f t="shared" si="9"/>
        <v>27713950</v>
      </c>
      <c r="AO78" s="231">
        <f t="shared" si="10"/>
        <v>92.379833333333337</v>
      </c>
      <c r="AP78" s="218" t="str">
        <f t="shared" si="11"/>
        <v>WA.2378.EBA.994.002.GB.521114</v>
      </c>
      <c r="AQ78" s="218" t="str">
        <f>IF(ISNUMBER(SEARCH("COVID",SP2D[[#This Row],[Akun]])),"COVID","Non COVID")</f>
        <v>Non COVID</v>
      </c>
      <c r="AR7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PENGIRIMAN SURAT DINAS POS PUSAT</v>
      </c>
      <c r="AS78"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8" s="232">
        <f>SUM('PER BULAN'!BA129)</f>
        <v>295050</v>
      </c>
      <c r="AU78" s="232">
        <f>SUM('PER BULAN'!BB129)</f>
        <v>0</v>
      </c>
      <c r="AV78" s="232">
        <f>SUM('PER BULAN'!BC129)</f>
        <v>59000</v>
      </c>
      <c r="AW78" s="232">
        <f>SUM('PER BULAN'!BD129)</f>
        <v>603000</v>
      </c>
      <c r="AX78" s="232">
        <f>SUM('PER BULAN'!BE129)</f>
        <v>276000</v>
      </c>
      <c r="AY78" s="232">
        <f>SUM('PER BULAN'!BF129)</f>
        <v>1053000</v>
      </c>
      <c r="AZ78" s="232">
        <f>SUM('PER BULAN'!BG129)</f>
        <v>0</v>
      </c>
      <c r="BA78" s="232">
        <f>SUM('PER BULAN'!BH129)</f>
        <v>0</v>
      </c>
    </row>
    <row r="79" spans="1:53" s="219" customFormat="1" x14ac:dyDescent="0.25">
      <c r="A79" s="218" t="s">
        <v>3885</v>
      </c>
      <c r="B79" s="218" t="s">
        <v>3886</v>
      </c>
      <c r="C79" s="218" t="s">
        <v>3912</v>
      </c>
      <c r="D79" s="218" t="s">
        <v>3913</v>
      </c>
      <c r="E79" s="218" t="s">
        <v>197</v>
      </c>
      <c r="F79" s="218" t="s">
        <v>3914</v>
      </c>
      <c r="G79" s="218" t="s">
        <v>3929</v>
      </c>
      <c r="H79" s="218" t="s">
        <v>3930</v>
      </c>
      <c r="I79" s="218">
        <v>994</v>
      </c>
      <c r="J79" s="218" t="s">
        <v>5430</v>
      </c>
      <c r="K79" s="348" t="s">
        <v>557</v>
      </c>
      <c r="L79" s="218" t="s">
        <v>3851</v>
      </c>
      <c r="M79" s="218" t="s">
        <v>2208</v>
      </c>
      <c r="N79" s="218" t="s">
        <v>3946</v>
      </c>
      <c r="O79" s="218">
        <v>522141</v>
      </c>
      <c r="P79" s="218" t="s">
        <v>3896</v>
      </c>
      <c r="Q79" s="165" cm="1">
        <f t="array" ref="Q79">SUM(_xlfn._xlws.FILTER(DIPA2[PaguRevisi],DIPA2[Akun]=SP2D[[#This Row],[Kode Akun]],0))</f>
        <v>118852000</v>
      </c>
      <c r="R79" s="350">
        <v>118852000</v>
      </c>
      <c r="S79" s="350"/>
      <c r="T79" s="350">
        <f>SP2D[[#This Row],[Pagu Semula]]-SP2D[[#This Row],[Pagu]]</f>
        <v>0</v>
      </c>
      <c r="U79" s="232">
        <f>SUM('PER BULAN'!J131:L131)</f>
        <v>0</v>
      </c>
      <c r="V79" s="232">
        <f>SUM('PER BULAN'!M130:O130)</f>
        <v>0</v>
      </c>
      <c r="W79" s="232">
        <f>SUM('PER BULAN'!P130:R130)</f>
        <v>4950000</v>
      </c>
      <c r="X79" s="232">
        <f>SUM('PER BULAN'!S130:U130)</f>
        <v>9900000</v>
      </c>
      <c r="Y79" s="232">
        <f>SUM('PER BULAN'!V130:X130)</f>
        <v>4950000</v>
      </c>
      <c r="Z79" s="232">
        <f>SUM('PER BULAN'!Y130:AA130)</f>
        <v>0</v>
      </c>
      <c r="AA79" s="232">
        <f>SUM('PER BULAN'!AB130:AD130)</f>
        <v>0</v>
      </c>
      <c r="AB79" s="232">
        <f>SUM('PER BULAN'!AE130:AG130)</f>
        <v>0</v>
      </c>
      <c r="AC79" s="232">
        <f>SUM('PER BULAN'!AH130:AJ130)</f>
        <v>0</v>
      </c>
      <c r="AD79" s="232">
        <f>SUM('PER BULAN'!AK130:AM130)</f>
        <v>0</v>
      </c>
      <c r="AE79" s="232">
        <f>SUM('PER BULAN'!AN130:AP130)</f>
        <v>0</v>
      </c>
      <c r="AF79" s="232">
        <f>SUM('PER BULAN'!AQ130:AS130)</f>
        <v>0</v>
      </c>
      <c r="AG79" s="218" t="s">
        <v>530</v>
      </c>
      <c r="AH79" s="218" t="s">
        <v>576</v>
      </c>
      <c r="AI79" s="218" t="s">
        <v>560</v>
      </c>
      <c r="AJ79" s="218" t="s">
        <v>3891</v>
      </c>
      <c r="AK79" s="218" t="s">
        <v>3892</v>
      </c>
      <c r="AL79" s="384">
        <f t="shared" si="7"/>
        <v>19800000</v>
      </c>
      <c r="AM79" s="231">
        <f t="shared" si="8"/>
        <v>16.659374684481541</v>
      </c>
      <c r="AN79" s="384">
        <f t="shared" si="9"/>
        <v>99052000</v>
      </c>
      <c r="AO79" s="231">
        <f t="shared" si="10"/>
        <v>83.340625315518452</v>
      </c>
      <c r="AP79" s="218" t="str">
        <f t="shared" si="11"/>
        <v>WA.2378.EBA.994.002.GB.522141</v>
      </c>
      <c r="AQ79" s="218" t="str">
        <f>IF(ISNUMBER(SEARCH("COVID",SP2D[[#This Row],[Akun]])),"COVID","Non COVID")</f>
        <v>Non COVID</v>
      </c>
      <c r="AR7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79"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9" s="232">
        <f>SUM('PER BULAN'!BA130)</f>
        <v>0</v>
      </c>
      <c r="AU79" s="232">
        <f>SUM('PER BULAN'!BB130)</f>
        <v>4950000</v>
      </c>
      <c r="AV79" s="232">
        <f>SUM('PER BULAN'!BC130)</f>
        <v>0</v>
      </c>
      <c r="AW79" s="232">
        <f>SUM('PER BULAN'!BD130)</f>
        <v>9900000</v>
      </c>
      <c r="AX79" s="232">
        <f>SUM('PER BULAN'!BE130)</f>
        <v>0</v>
      </c>
      <c r="AY79" s="232">
        <f>SUM('PER BULAN'!BF130)</f>
        <v>4950000</v>
      </c>
      <c r="AZ79" s="232">
        <f>SUM('PER BULAN'!BG130)</f>
        <v>0</v>
      </c>
      <c r="BA79" s="232">
        <f>SUM('PER BULAN'!BH130)</f>
        <v>0</v>
      </c>
    </row>
    <row r="80" spans="1:53" s="219" customFormat="1" x14ac:dyDescent="0.25">
      <c r="A80" s="218" t="s">
        <v>3885</v>
      </c>
      <c r="B80" s="218" t="s">
        <v>3886</v>
      </c>
      <c r="C80" s="218" t="s">
        <v>3912</v>
      </c>
      <c r="D80" s="218" t="s">
        <v>3913</v>
      </c>
      <c r="E80" s="218" t="s">
        <v>197</v>
      </c>
      <c r="F80" s="218" t="s">
        <v>3914</v>
      </c>
      <c r="G80" s="218" t="s">
        <v>3929</v>
      </c>
      <c r="H80" s="218" t="s">
        <v>3930</v>
      </c>
      <c r="I80" s="218">
        <v>994</v>
      </c>
      <c r="J80" s="218" t="s">
        <v>5430</v>
      </c>
      <c r="K80" s="348" t="s">
        <v>557</v>
      </c>
      <c r="L80" s="218" t="s">
        <v>3851</v>
      </c>
      <c r="M80" s="218" t="s">
        <v>2219</v>
      </c>
      <c r="N80" s="218" t="s">
        <v>3948</v>
      </c>
      <c r="O80" s="218">
        <v>523121</v>
      </c>
      <c r="P80" s="218" t="s">
        <v>3949</v>
      </c>
      <c r="Q80" s="165" cm="1">
        <f t="array" ref="Q80">SUM(_xlfn._xlws.FILTER(DIPA2[PaguRevisi],DIPA2[Akun]=SP2D[[#This Row],[Kode Akun]],0))</f>
        <v>497050000</v>
      </c>
      <c r="R80" s="350">
        <v>497050000</v>
      </c>
      <c r="S80" s="350"/>
      <c r="T80" s="350">
        <f>SP2D[[#This Row],[Pagu Semula]]-SP2D[[#This Row],[Pagu]]</f>
        <v>0</v>
      </c>
      <c r="U80" s="232">
        <f>SUM('PER BULAN'!J132:L132)</f>
        <v>0</v>
      </c>
      <c r="V80" s="232">
        <f>SUM('PER BULAN'!M132:O132)</f>
        <v>0</v>
      </c>
      <c r="W80" s="232">
        <f>SUM('PER BULAN'!P132:R132)</f>
        <v>59591400</v>
      </c>
      <c r="X80" s="232">
        <f>SUM('PER BULAN'!S132:U132)</f>
        <v>7448700</v>
      </c>
      <c r="Y80" s="232">
        <f>SUM('PER BULAN'!V132:X132)</f>
        <v>18835340</v>
      </c>
      <c r="Z80" s="232">
        <f>SUM('PER BULAN'!Y132:AA132)</f>
        <v>0</v>
      </c>
      <c r="AA80" s="232">
        <f>SUM('PER BULAN'!AB132:AD132)</f>
        <v>0</v>
      </c>
      <c r="AB80" s="232">
        <f>SUM('PER BULAN'!AE132:AG132)</f>
        <v>0</v>
      </c>
      <c r="AC80" s="232">
        <f>SUM('PER BULAN'!AH132:AJ132)</f>
        <v>0</v>
      </c>
      <c r="AD80" s="232">
        <f>SUM('PER BULAN'!AK132:AM132)</f>
        <v>0</v>
      </c>
      <c r="AE80" s="232">
        <f>SUM('PER BULAN'!AN132:AP132)</f>
        <v>0</v>
      </c>
      <c r="AF80" s="232">
        <f>SUM('PER BULAN'!AQ132:AS132)</f>
        <v>0</v>
      </c>
      <c r="AG80" s="218" t="s">
        <v>530</v>
      </c>
      <c r="AH80" s="218" t="s">
        <v>576</v>
      </c>
      <c r="AI80" s="218" t="s">
        <v>560</v>
      </c>
      <c r="AJ80" s="218" t="s">
        <v>3891</v>
      </c>
      <c r="AK80" s="218" t="s">
        <v>3892</v>
      </c>
      <c r="AL80" s="384">
        <f t="shared" si="7"/>
        <v>85875440</v>
      </c>
      <c r="AM80" s="231">
        <f t="shared" si="8"/>
        <v>17.277022432350869</v>
      </c>
      <c r="AN80" s="384">
        <f t="shared" si="9"/>
        <v>411174560</v>
      </c>
      <c r="AO80" s="231">
        <f t="shared" si="10"/>
        <v>82.722977567649124</v>
      </c>
      <c r="AP80" s="218" t="str">
        <f t="shared" si="11"/>
        <v>WA.2378.EBA.994.002.GC.523121</v>
      </c>
      <c r="AQ80" s="218" t="str">
        <f>IF(ISNUMBER(SEARCH("COVID",SP2D[[#This Row],[Akun]])),"COVID","Non COVID")</f>
        <v>Non COVID</v>
      </c>
      <c r="AR8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0"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0" s="232">
        <f>SUM('PER BULAN'!BA132)</f>
        <v>25004200</v>
      </c>
      <c r="AU80" s="232">
        <f>SUM('PER BULAN'!BB132)</f>
        <v>32727500</v>
      </c>
      <c r="AV80" s="232">
        <f>SUM('PER BULAN'!BC132)</f>
        <v>1859700</v>
      </c>
      <c r="AW80" s="232">
        <f>SUM('PER BULAN'!BD132)</f>
        <v>7448700</v>
      </c>
      <c r="AX80" s="232">
        <f>SUM('PER BULAN'!BE132)</f>
        <v>6968000</v>
      </c>
      <c r="AY80" s="232">
        <f>SUM('PER BULAN'!BF132)</f>
        <v>11867340</v>
      </c>
      <c r="AZ80" s="232">
        <f>SUM('PER BULAN'!BG132)</f>
        <v>0</v>
      </c>
      <c r="BA80" s="232">
        <f>SUM('PER BULAN'!BH132)</f>
        <v>0</v>
      </c>
    </row>
    <row r="81" spans="1:53" s="219" customFormat="1" x14ac:dyDescent="0.25">
      <c r="A81" s="218" t="s">
        <v>3885</v>
      </c>
      <c r="B81" s="218" t="s">
        <v>3886</v>
      </c>
      <c r="C81" s="218" t="s">
        <v>3912</v>
      </c>
      <c r="D81" s="218" t="s">
        <v>3913</v>
      </c>
      <c r="E81" s="218" t="s">
        <v>197</v>
      </c>
      <c r="F81" s="218" t="s">
        <v>3914</v>
      </c>
      <c r="G81" s="218" t="s">
        <v>3929</v>
      </c>
      <c r="H81" s="218" t="s">
        <v>3930</v>
      </c>
      <c r="I81" s="218">
        <v>994</v>
      </c>
      <c r="J81" s="218" t="s">
        <v>5430</v>
      </c>
      <c r="K81" s="348" t="s">
        <v>557</v>
      </c>
      <c r="L81" s="218" t="s">
        <v>3851</v>
      </c>
      <c r="M81" s="218" t="s">
        <v>2219</v>
      </c>
      <c r="N81" s="218" t="s">
        <v>3948</v>
      </c>
      <c r="O81" s="218">
        <v>523199</v>
      </c>
      <c r="P81" s="218" t="s">
        <v>3950</v>
      </c>
      <c r="Q81" s="165" cm="1">
        <f t="array" ref="Q81">SUM(_xlfn._xlws.FILTER(DIPA2[PaguRevisi],DIPA2[Akun]=SP2D[[#This Row],[Kode Akun]],0))</f>
        <v>36000000</v>
      </c>
      <c r="R81" s="350">
        <v>36000000</v>
      </c>
      <c r="S81" s="350"/>
      <c r="T81" s="350">
        <f>SP2D[[#This Row],[Pagu Semula]]-SP2D[[#This Row],[Pagu]]</f>
        <v>0</v>
      </c>
      <c r="U81" s="232">
        <f>SUM('PER BULAN'!J134:L134)</f>
        <v>0</v>
      </c>
      <c r="V81" s="232">
        <f>SUM('PER BULAN'!M133:O133)</f>
        <v>0</v>
      </c>
      <c r="W81" s="232">
        <f>SUM('PER BULAN'!P133:R133)</f>
        <v>6000000</v>
      </c>
      <c r="X81" s="232">
        <f>SUM('PER BULAN'!S133:U133)</f>
        <v>0</v>
      </c>
      <c r="Y81" s="232">
        <f>SUM('PER BULAN'!V133:X133)</f>
        <v>3000000</v>
      </c>
      <c r="Z81" s="232">
        <f>SUM('PER BULAN'!Y133:AA133)</f>
        <v>0</v>
      </c>
      <c r="AA81" s="232">
        <f>SUM('PER BULAN'!AB133:AD133)</f>
        <v>0</v>
      </c>
      <c r="AB81" s="232">
        <f>SUM('PER BULAN'!AE133:AG133)</f>
        <v>0</v>
      </c>
      <c r="AC81" s="232">
        <f>SUM('PER BULAN'!AH133:AJ133)</f>
        <v>0</v>
      </c>
      <c r="AD81" s="232">
        <f>SUM('PER BULAN'!AK133:AM133)</f>
        <v>0</v>
      </c>
      <c r="AE81" s="232">
        <f>SUM('PER BULAN'!AN133:AP133)</f>
        <v>0</v>
      </c>
      <c r="AF81" s="232">
        <f>SUM('PER BULAN'!AQ133:AS133)</f>
        <v>0</v>
      </c>
      <c r="AG81" s="218" t="s">
        <v>530</v>
      </c>
      <c r="AH81" s="218" t="s">
        <v>576</v>
      </c>
      <c r="AI81" s="218" t="s">
        <v>560</v>
      </c>
      <c r="AJ81" s="218" t="s">
        <v>3891</v>
      </c>
      <c r="AK81" s="218" t="s">
        <v>3892</v>
      </c>
      <c r="AL81" s="384">
        <f t="shared" si="7"/>
        <v>9000000</v>
      </c>
      <c r="AM81" s="231">
        <f t="shared" si="8"/>
        <v>25</v>
      </c>
      <c r="AN81" s="384">
        <f t="shared" si="9"/>
        <v>27000000</v>
      </c>
      <c r="AO81" s="231">
        <f t="shared" si="10"/>
        <v>75</v>
      </c>
      <c r="AP81" s="218" t="str">
        <f t="shared" si="11"/>
        <v>WA.2378.EBA.994.002.GC.523199</v>
      </c>
      <c r="AQ81" s="218" t="str">
        <f>IF(ISNUMBER(SEARCH("COVID",SP2D[[#This Row],[Akun]])),"COVID","Non COVID")</f>
        <v>Non COVID</v>
      </c>
      <c r="AR8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1"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1" s="232">
        <f>SUM('PER BULAN'!BA133)</f>
        <v>0</v>
      </c>
      <c r="AU81" s="232">
        <f>SUM('PER BULAN'!BB133)</f>
        <v>6000000</v>
      </c>
      <c r="AV81" s="232">
        <f>SUM('PER BULAN'!BC133)</f>
        <v>0</v>
      </c>
      <c r="AW81" s="232">
        <f>SUM('PER BULAN'!BD133)</f>
        <v>0</v>
      </c>
      <c r="AX81" s="232">
        <f>SUM('PER BULAN'!BE133)</f>
        <v>3000000</v>
      </c>
      <c r="AY81" s="232">
        <f>SUM('PER BULAN'!BF133)</f>
        <v>0</v>
      </c>
      <c r="AZ81" s="232">
        <f>SUM('PER BULAN'!BG133)</f>
        <v>0</v>
      </c>
      <c r="BA81" s="232">
        <f>SUM('PER BULAN'!BH133)</f>
        <v>0</v>
      </c>
    </row>
    <row r="82" spans="1:53" s="219" customFormat="1" x14ac:dyDescent="0.25">
      <c r="A82" s="218" t="s">
        <v>3885</v>
      </c>
      <c r="B82" s="218" t="s">
        <v>3886</v>
      </c>
      <c r="C82" s="218" t="s">
        <v>3912</v>
      </c>
      <c r="D82" s="218" t="s">
        <v>3913</v>
      </c>
      <c r="E82" s="218" t="s">
        <v>197</v>
      </c>
      <c r="F82" s="218" t="s">
        <v>3914</v>
      </c>
      <c r="G82" s="218" t="s">
        <v>3929</v>
      </c>
      <c r="H82" s="218" t="s">
        <v>3930</v>
      </c>
      <c r="I82" s="218">
        <v>994</v>
      </c>
      <c r="J82" s="218" t="s">
        <v>5430</v>
      </c>
      <c r="K82" s="348" t="s">
        <v>557</v>
      </c>
      <c r="L82" s="218" t="s">
        <v>3851</v>
      </c>
      <c r="M82" s="218" t="s">
        <v>2239</v>
      </c>
      <c r="N82" s="218" t="s">
        <v>3951</v>
      </c>
      <c r="O82" s="218">
        <v>521111</v>
      </c>
      <c r="P82" s="218" t="s">
        <v>3945</v>
      </c>
      <c r="Q82" s="165" cm="1">
        <f t="array" ref="Q82">SUM(_xlfn._xlws.FILTER(DIPA2[PaguRevisi],DIPA2[Akun]=SP2D[[#This Row],[Kode Akun]],0))</f>
        <v>101040000</v>
      </c>
      <c r="R82" s="350">
        <v>101040000</v>
      </c>
      <c r="S82" s="350"/>
      <c r="T82" s="350">
        <f>SP2D[[#This Row],[Pagu Semula]]-SP2D[[#This Row],[Pagu]]</f>
        <v>0</v>
      </c>
      <c r="U82" s="232">
        <f>SUM('PER BULAN'!J135:L135)</f>
        <v>0</v>
      </c>
      <c r="V82" s="232">
        <f>SUM('PER BULAN'!M135:O135)</f>
        <v>0</v>
      </c>
      <c r="W82" s="232">
        <f>SUM('PER BULAN'!P135:R135)</f>
        <v>0</v>
      </c>
      <c r="X82" s="232">
        <f>SUM('PER BULAN'!S135:U135)</f>
        <v>0</v>
      </c>
      <c r="Y82" s="232">
        <f>SUM('PER BULAN'!V135:X135)</f>
        <v>44410000</v>
      </c>
      <c r="Z82" s="232">
        <f>SUM('PER BULAN'!Y135:AA135)</f>
        <v>0</v>
      </c>
      <c r="AA82" s="232">
        <f>SUM('PER BULAN'!AB135:AD135)</f>
        <v>0</v>
      </c>
      <c r="AB82" s="232">
        <f>SUM('PER BULAN'!AE135:AG135)</f>
        <v>0</v>
      </c>
      <c r="AC82" s="232">
        <f>SUM('PER BULAN'!AH135:AJ135)</f>
        <v>0</v>
      </c>
      <c r="AD82" s="232">
        <f>SUM('PER BULAN'!AK135:AM135)</f>
        <v>0</v>
      </c>
      <c r="AE82" s="232">
        <f>SUM('PER BULAN'!AN135:AP135)</f>
        <v>0</v>
      </c>
      <c r="AF82" s="232">
        <f>SUM('PER BULAN'!AQ135:AS135)</f>
        <v>0</v>
      </c>
      <c r="AG82" s="218" t="s">
        <v>530</v>
      </c>
      <c r="AH82" s="218" t="s">
        <v>576</v>
      </c>
      <c r="AI82" s="218" t="s">
        <v>560</v>
      </c>
      <c r="AJ82" s="218" t="s">
        <v>3891</v>
      </c>
      <c r="AK82" s="218" t="s">
        <v>3892</v>
      </c>
      <c r="AL82" s="384">
        <f t="shared" si="7"/>
        <v>44410000</v>
      </c>
      <c r="AM82" s="231">
        <f t="shared" si="8"/>
        <v>43.952889944576405</v>
      </c>
      <c r="AN82" s="384">
        <f t="shared" si="9"/>
        <v>56630000</v>
      </c>
      <c r="AO82" s="231">
        <f t="shared" si="10"/>
        <v>56.047110055423602</v>
      </c>
      <c r="AP82" s="218" t="str">
        <f t="shared" si="11"/>
        <v>WA.2378.EBA.994.002.GD.521111</v>
      </c>
      <c r="AQ82" s="218" t="str">
        <f>IF(ISNUMBER(SEARCH("COVID",SP2D[[#This Row],[Akun]])),"COVID","Non COVID")</f>
        <v>Non COVID</v>
      </c>
      <c r="AR8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82"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2" s="232">
        <f>SUM('PER BULAN'!BA135)</f>
        <v>0</v>
      </c>
      <c r="AU82" s="232">
        <f>SUM('PER BULAN'!BB135)</f>
        <v>0</v>
      </c>
      <c r="AV82" s="232">
        <f>SUM('PER BULAN'!BC135)</f>
        <v>0</v>
      </c>
      <c r="AW82" s="232">
        <f>SUM('PER BULAN'!BD135)</f>
        <v>0</v>
      </c>
      <c r="AX82" s="232">
        <f>SUM('PER BULAN'!BE135)</f>
        <v>44410000</v>
      </c>
      <c r="AY82" s="232">
        <f>SUM('PER BULAN'!BF135)</f>
        <v>0</v>
      </c>
      <c r="AZ82" s="232">
        <f>SUM('PER BULAN'!BG135)</f>
        <v>0</v>
      </c>
      <c r="BA82" s="232">
        <f>SUM('PER BULAN'!BH135)</f>
        <v>0</v>
      </c>
    </row>
    <row r="83" spans="1:53" s="219" customFormat="1" x14ac:dyDescent="0.25">
      <c r="A83" s="218" t="s">
        <v>3885</v>
      </c>
      <c r="B83" s="218" t="s">
        <v>3886</v>
      </c>
      <c r="C83" s="218" t="s">
        <v>3912</v>
      </c>
      <c r="D83" s="218" t="s">
        <v>3913</v>
      </c>
      <c r="E83" s="218" t="s">
        <v>197</v>
      </c>
      <c r="F83" s="218" t="s">
        <v>3914</v>
      </c>
      <c r="G83" s="218" t="s">
        <v>3929</v>
      </c>
      <c r="H83" s="218" t="s">
        <v>3930</v>
      </c>
      <c r="I83" s="218">
        <v>994</v>
      </c>
      <c r="J83" s="218" t="s">
        <v>5430</v>
      </c>
      <c r="K83" s="348" t="s">
        <v>557</v>
      </c>
      <c r="L83" s="218" t="s">
        <v>3851</v>
      </c>
      <c r="M83" s="218" t="s">
        <v>2239</v>
      </c>
      <c r="N83" s="218" t="s">
        <v>3951</v>
      </c>
      <c r="O83" s="218">
        <v>521115</v>
      </c>
      <c r="P83" s="218" t="s">
        <v>3952</v>
      </c>
      <c r="Q83" s="165" cm="1">
        <f t="array" ref="Q83">SUM(_xlfn._xlws.FILTER(DIPA2[PaguRevisi],DIPA2[Akun]=SP2D[[#This Row],[Kode Akun]],0))</f>
        <v>58336000</v>
      </c>
      <c r="R83" s="350">
        <v>58336000</v>
      </c>
      <c r="S83" s="350"/>
      <c r="T83" s="350">
        <f>SP2D[[#This Row],[Pagu Semula]]-SP2D[[#This Row],[Pagu]]</f>
        <v>0</v>
      </c>
      <c r="U83" s="232">
        <f>SUM('PER BULAN'!J137:L137)</f>
        <v>0</v>
      </c>
      <c r="V83" s="232">
        <f>SUM('PER BULAN'!M136:O136)</f>
        <v>0</v>
      </c>
      <c r="W83" s="232">
        <f>SUM('PER BULAN'!P136:R136)</f>
        <v>9456000</v>
      </c>
      <c r="X83" s="232">
        <f>SUM('PER BULAN'!S136:U136)</f>
        <v>0</v>
      </c>
      <c r="Y83" s="232">
        <f>SUM('PER BULAN'!V136:X136)</f>
        <v>4728000</v>
      </c>
      <c r="Z83" s="232">
        <f>SUM('PER BULAN'!Y136:AA136)</f>
        <v>0</v>
      </c>
      <c r="AA83" s="232">
        <f>SUM('PER BULAN'!AB136:AD136)</f>
        <v>0</v>
      </c>
      <c r="AB83" s="232">
        <f>SUM('PER BULAN'!AE136:AG136)</f>
        <v>0</v>
      </c>
      <c r="AC83" s="232">
        <f>SUM('PER BULAN'!AH136:AJ136)</f>
        <v>0</v>
      </c>
      <c r="AD83" s="232">
        <f>SUM('PER BULAN'!AK136:AM136)</f>
        <v>0</v>
      </c>
      <c r="AE83" s="232">
        <f>SUM('PER BULAN'!AN136:AP136)</f>
        <v>0</v>
      </c>
      <c r="AF83" s="232">
        <f>SUM('PER BULAN'!AQ136:AS136)</f>
        <v>0</v>
      </c>
      <c r="AG83" s="218" t="s">
        <v>530</v>
      </c>
      <c r="AH83" s="218" t="s">
        <v>576</v>
      </c>
      <c r="AI83" s="218" t="s">
        <v>560</v>
      </c>
      <c r="AJ83" s="218" t="s">
        <v>3891</v>
      </c>
      <c r="AK83" s="218" t="s">
        <v>3892</v>
      </c>
      <c r="AL83" s="384">
        <f t="shared" si="7"/>
        <v>14184000</v>
      </c>
      <c r="AM83" s="231">
        <f t="shared" si="8"/>
        <v>24.314317059791552</v>
      </c>
      <c r="AN83" s="384">
        <f t="shared" si="9"/>
        <v>44152000</v>
      </c>
      <c r="AO83" s="231">
        <f t="shared" si="10"/>
        <v>75.685682940208437</v>
      </c>
      <c r="AP83" s="218" t="str">
        <f t="shared" si="11"/>
        <v>WA.2378.EBA.994.002.GD.521115</v>
      </c>
      <c r="AQ83" s="218" t="str">
        <f>IF(ISNUMBER(SEARCH("COVID",SP2D[[#This Row],[Akun]])),"COVID","Non COVID")</f>
        <v>Non COVID</v>
      </c>
      <c r="AR8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HONOR OPERASIONAL SATKER</v>
      </c>
      <c r="AS83"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3" s="232">
        <f>SUM('PER BULAN'!BA136)</f>
        <v>0</v>
      </c>
      <c r="AU83" s="232">
        <f>SUM('PER BULAN'!BB136)</f>
        <v>9456000</v>
      </c>
      <c r="AV83" s="232">
        <f>SUM('PER BULAN'!BC136)</f>
        <v>0</v>
      </c>
      <c r="AW83" s="232">
        <f>SUM('PER BULAN'!BD136)</f>
        <v>0</v>
      </c>
      <c r="AX83" s="232">
        <f>SUM('PER BULAN'!BE136)</f>
        <v>0</v>
      </c>
      <c r="AY83" s="232">
        <f>SUM('PER BULAN'!BF136)</f>
        <v>4728000</v>
      </c>
      <c r="AZ83" s="232">
        <f>SUM('PER BULAN'!BG136)</f>
        <v>0</v>
      </c>
      <c r="BA83" s="232">
        <f>SUM('PER BULAN'!BH136)</f>
        <v>0</v>
      </c>
    </row>
    <row r="84" spans="1:53" s="219" customFormat="1" x14ac:dyDescent="0.25">
      <c r="A84" s="218" t="s">
        <v>3885</v>
      </c>
      <c r="B84" s="218" t="s">
        <v>3886</v>
      </c>
      <c r="C84" s="218" t="s">
        <v>3912</v>
      </c>
      <c r="D84" s="218" t="s">
        <v>3913</v>
      </c>
      <c r="E84" s="218" t="s">
        <v>197</v>
      </c>
      <c r="F84" s="218" t="s">
        <v>3914</v>
      </c>
      <c r="G84" s="218" t="s">
        <v>3929</v>
      </c>
      <c r="H84" s="218" t="s">
        <v>3930</v>
      </c>
      <c r="I84" s="218">
        <v>994</v>
      </c>
      <c r="J84" s="218" t="s">
        <v>5430</v>
      </c>
      <c r="K84" s="348" t="s">
        <v>557</v>
      </c>
      <c r="L84" s="218" t="s">
        <v>3851</v>
      </c>
      <c r="M84" s="218" t="s">
        <v>3750</v>
      </c>
      <c r="N84" s="218" t="s">
        <v>3953</v>
      </c>
      <c r="O84" s="218">
        <v>521111</v>
      </c>
      <c r="P84" s="218" t="s">
        <v>3945</v>
      </c>
      <c r="Q84" s="165" cm="1">
        <f t="array" ref="Q84">SUM(_xlfn._xlws.FILTER(DIPA2[PaguRevisi],DIPA2[Akun]=SP2D[[#This Row],[Kode Akun]],0))</f>
        <v>0</v>
      </c>
      <c r="R84" s="350">
        <v>45000000</v>
      </c>
      <c r="S84" s="350">
        <v>45000000</v>
      </c>
      <c r="T84" s="350">
        <v>0</v>
      </c>
      <c r="U84" s="232">
        <f>SUM('PER BULAN'!J138:L138)</f>
        <v>0</v>
      </c>
      <c r="V84" s="232">
        <f>SUM('PER BULAN'!M138:O138)</f>
        <v>0</v>
      </c>
      <c r="W84" s="232">
        <f>SUM('PER BULAN'!P138:R138)</f>
        <v>0</v>
      </c>
      <c r="X84" s="232">
        <f>SUM('PER BULAN'!S138:U138)</f>
        <v>0</v>
      </c>
      <c r="Y84" s="232">
        <f>SUM('PER BULAN'!V138:X138)</f>
        <v>0</v>
      </c>
      <c r="Z84" s="232">
        <f>SUM('PER BULAN'!Y138:AA138)</f>
        <v>0</v>
      </c>
      <c r="AA84" s="232">
        <f>SUM('PER BULAN'!AB138:AD138)</f>
        <v>0</v>
      </c>
      <c r="AB84" s="232">
        <f>SUM('PER BULAN'!AE138:AG138)</f>
        <v>0</v>
      </c>
      <c r="AC84" s="232">
        <f>SUM('PER BULAN'!AH138:AJ138)</f>
        <v>0</v>
      </c>
      <c r="AD84" s="232">
        <f>SUM('PER BULAN'!AK138:AM138)</f>
        <v>0</v>
      </c>
      <c r="AE84" s="232">
        <f>SUM('PER BULAN'!AN138:AP138)</f>
        <v>0</v>
      </c>
      <c r="AF84" s="232">
        <f>SUM('PER BULAN'!AQ138:AS138)</f>
        <v>0</v>
      </c>
      <c r="AG84" s="218" t="s">
        <v>530</v>
      </c>
      <c r="AH84" s="218" t="s">
        <v>576</v>
      </c>
      <c r="AI84" s="218" t="s">
        <v>560</v>
      </c>
      <c r="AJ84" s="218" t="s">
        <v>3891</v>
      </c>
      <c r="AK84" s="218" t="s">
        <v>3892</v>
      </c>
      <c r="AL84" s="384">
        <f t="shared" si="7"/>
        <v>0</v>
      </c>
      <c r="AM84" s="231">
        <f t="shared" si="8"/>
        <v>0</v>
      </c>
      <c r="AN84" s="384">
        <f t="shared" si="9"/>
        <v>0</v>
      </c>
      <c r="AO84" s="231">
        <f t="shared" si="10"/>
        <v>0</v>
      </c>
      <c r="AP84" s="218" t="str">
        <f t="shared" si="11"/>
        <v>WA.2378.EBA.994.002.GE.521111</v>
      </c>
      <c r="AQ84" s="218" t="str">
        <f>IF(ISNUMBER(SEARCH("COVID",SP2D[[#This Row],[Akun]])),"COVID","Non COVID")</f>
        <v>Non COVID</v>
      </c>
      <c r="AR8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84"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4" s="232">
        <f>SUM('PER BULAN'!BA138)</f>
        <v>0</v>
      </c>
      <c r="AU84" s="232">
        <f>SUM('PER BULAN'!BB138)</f>
        <v>0</v>
      </c>
      <c r="AV84" s="232">
        <f>SUM('PER BULAN'!BC138)</f>
        <v>0</v>
      </c>
      <c r="AW84" s="232">
        <f>SUM('PER BULAN'!BD138)</f>
        <v>0</v>
      </c>
      <c r="AX84" s="232">
        <f>SUM('PER BULAN'!BE138)</f>
        <v>0</v>
      </c>
      <c r="AY84" s="232">
        <f>SUM('PER BULAN'!BF138)</f>
        <v>0</v>
      </c>
      <c r="AZ84" s="232">
        <f>SUM('PER BULAN'!BG138)</f>
        <v>0</v>
      </c>
      <c r="BA84" s="232">
        <f>SUM('PER BULAN'!BH138)</f>
        <v>0</v>
      </c>
    </row>
    <row r="85" spans="1:53" s="219" customFormat="1" x14ac:dyDescent="0.25">
      <c r="A85" s="218" t="s">
        <v>3885</v>
      </c>
      <c r="B85" s="218" t="s">
        <v>3886</v>
      </c>
      <c r="C85" s="218" t="s">
        <v>3912</v>
      </c>
      <c r="D85" s="218" t="s">
        <v>3913</v>
      </c>
      <c r="E85" s="218" t="s">
        <v>197</v>
      </c>
      <c r="F85" s="218" t="s">
        <v>3914</v>
      </c>
      <c r="G85" s="218" t="s">
        <v>3929</v>
      </c>
      <c r="H85" s="218" t="s">
        <v>3930</v>
      </c>
      <c r="I85" s="218">
        <v>994</v>
      </c>
      <c r="J85" s="218" t="s">
        <v>5430</v>
      </c>
      <c r="K85" s="348" t="s">
        <v>557</v>
      </c>
      <c r="L85" s="218" t="s">
        <v>3851</v>
      </c>
      <c r="M85" s="218" t="s">
        <v>3750</v>
      </c>
      <c r="N85" s="218" t="s">
        <v>3953</v>
      </c>
      <c r="O85" s="218">
        <v>521811</v>
      </c>
      <c r="P85" s="218" t="s">
        <v>3908</v>
      </c>
      <c r="Q85" s="165" cm="1">
        <f t="array" ref="Q85">SUM(_xlfn._xlws.FILTER(DIPA2[PaguRevisi],DIPA2[Akun]=SP2D[[#This Row],[Kode Akun]],0))</f>
        <v>0</v>
      </c>
      <c r="R85" s="350">
        <v>26000000</v>
      </c>
      <c r="S85" s="350">
        <v>26000000</v>
      </c>
      <c r="T85" s="350">
        <v>0</v>
      </c>
      <c r="U85" s="232">
        <f>SUM('PER BULAN'!J139:L139)</f>
        <v>0</v>
      </c>
      <c r="V85" s="232">
        <f>SUM('PER BULAN'!M139:O139)</f>
        <v>0</v>
      </c>
      <c r="W85" s="232">
        <f>SUM('PER BULAN'!P139:R139)</f>
        <v>0</v>
      </c>
      <c r="X85" s="232">
        <f>SUM('PER BULAN'!S139:U139)</f>
        <v>0</v>
      </c>
      <c r="Y85" s="232">
        <f>SUM('PER BULAN'!V139:X139)</f>
        <v>0</v>
      </c>
      <c r="Z85" s="232">
        <f>SUM('PER BULAN'!Y139:AA139)</f>
        <v>0</v>
      </c>
      <c r="AA85" s="232">
        <f>SUM('PER BULAN'!AB139:AD139)</f>
        <v>0</v>
      </c>
      <c r="AB85" s="232">
        <f>SUM('PER BULAN'!AE139:AG139)</f>
        <v>0</v>
      </c>
      <c r="AC85" s="232">
        <f>SUM('PER BULAN'!AH139:AJ139)</f>
        <v>0</v>
      </c>
      <c r="AD85" s="232">
        <f>SUM('PER BULAN'!AK139:AM139)</f>
        <v>0</v>
      </c>
      <c r="AE85" s="232">
        <f>SUM('PER BULAN'!AN139:AP139)</f>
        <v>0</v>
      </c>
      <c r="AF85" s="232">
        <f>SUM('PER BULAN'!AQ139:AS139)</f>
        <v>0</v>
      </c>
      <c r="AG85" s="218" t="s">
        <v>530</v>
      </c>
      <c r="AH85" s="218" t="s">
        <v>576</v>
      </c>
      <c r="AI85" s="218" t="s">
        <v>560</v>
      </c>
      <c r="AJ85" s="218" t="s">
        <v>3891</v>
      </c>
      <c r="AK85" s="218" t="s">
        <v>3892</v>
      </c>
      <c r="AL85" s="384">
        <f t="shared" si="7"/>
        <v>0</v>
      </c>
      <c r="AM85" s="231">
        <f t="shared" si="8"/>
        <v>0</v>
      </c>
      <c r="AN85" s="384">
        <f t="shared" si="9"/>
        <v>0</v>
      </c>
      <c r="AO85" s="231">
        <f t="shared" si="10"/>
        <v>0</v>
      </c>
      <c r="AP85" s="218" t="str">
        <f t="shared" si="11"/>
        <v>WA.2378.EBA.994.002.GE.521811</v>
      </c>
      <c r="AQ85" s="218" t="str">
        <f>IF(ISNUMBER(SEARCH("COVID",SP2D[[#This Row],[Akun]])),"COVID","Non COVID")</f>
        <v>Non COVID</v>
      </c>
      <c r="AR8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85"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5" s="232">
        <f>SUM('PER BULAN'!BA139)</f>
        <v>0</v>
      </c>
      <c r="AU85" s="232">
        <f>SUM('PER BULAN'!BB139)</f>
        <v>0</v>
      </c>
      <c r="AV85" s="232">
        <f>SUM('PER BULAN'!BC139)</f>
        <v>0</v>
      </c>
      <c r="AW85" s="232">
        <f>SUM('PER BULAN'!BD139)</f>
        <v>0</v>
      </c>
      <c r="AX85" s="232">
        <f>SUM('PER BULAN'!BE139)</f>
        <v>0</v>
      </c>
      <c r="AY85" s="232">
        <f>SUM('PER BULAN'!BF139)</f>
        <v>0</v>
      </c>
      <c r="AZ85" s="232">
        <f>SUM('PER BULAN'!BG139)</f>
        <v>0</v>
      </c>
      <c r="BA85" s="232">
        <f>SUM('PER BULAN'!BH139)</f>
        <v>0</v>
      </c>
    </row>
    <row r="86" spans="1:53" s="219" customFormat="1" x14ac:dyDescent="0.25">
      <c r="A86" s="218" t="s">
        <v>3885</v>
      </c>
      <c r="B86" s="218" t="s">
        <v>3886</v>
      </c>
      <c r="C86" s="218" t="s">
        <v>3912</v>
      </c>
      <c r="D86" s="218" t="s">
        <v>3913</v>
      </c>
      <c r="E86" s="218" t="s">
        <v>197</v>
      </c>
      <c r="F86" s="218" t="s">
        <v>3914</v>
      </c>
      <c r="G86" s="218" t="s">
        <v>3929</v>
      </c>
      <c r="H86" s="218" t="s">
        <v>3930</v>
      </c>
      <c r="I86" s="218">
        <v>994</v>
      </c>
      <c r="J86" s="218" t="s">
        <v>5430</v>
      </c>
      <c r="K86" s="348" t="s">
        <v>557</v>
      </c>
      <c r="L86" s="218" t="s">
        <v>3851</v>
      </c>
      <c r="M86" s="218" t="s">
        <v>3750</v>
      </c>
      <c r="N86" s="218" t="s">
        <v>3953</v>
      </c>
      <c r="O86" s="218">
        <v>523121</v>
      </c>
      <c r="P86" s="218" t="s">
        <v>3949</v>
      </c>
      <c r="Q86" s="165" cm="1">
        <f t="array" ref="Q86">SUM(_xlfn._xlws.FILTER(DIPA2[PaguRevisi],DIPA2[Akun]=SP2D[[#This Row],[Kode Akun]],0))</f>
        <v>0</v>
      </c>
      <c r="R86" s="350">
        <v>29000000</v>
      </c>
      <c r="S86" s="350">
        <v>29000000</v>
      </c>
      <c r="T86" s="350">
        <v>0</v>
      </c>
      <c r="U86" s="232">
        <f>SUM('PER BULAN'!J144:L144)</f>
        <v>0</v>
      </c>
      <c r="V86" s="232">
        <f>SUM('PER BULAN'!M140:O140)</f>
        <v>0</v>
      </c>
      <c r="W86" s="232">
        <f>SUM('PER BULAN'!P140:R140)</f>
        <v>0</v>
      </c>
      <c r="X86" s="232">
        <f>SUM('PER BULAN'!S140:U140)</f>
        <v>0</v>
      </c>
      <c r="Y86" s="232">
        <f>SUM('PER BULAN'!V140:X140)</f>
        <v>0</v>
      </c>
      <c r="Z86" s="232">
        <f>SUM('PER BULAN'!Y140:AA140)</f>
        <v>0</v>
      </c>
      <c r="AA86" s="232">
        <f>SUM('PER BULAN'!AB140:AD140)</f>
        <v>0</v>
      </c>
      <c r="AB86" s="232">
        <f>SUM('PER BULAN'!AE140:AG140)</f>
        <v>0</v>
      </c>
      <c r="AC86" s="232">
        <f>SUM('PER BULAN'!AH140:AJ140)</f>
        <v>0</v>
      </c>
      <c r="AD86" s="232">
        <f>SUM('PER BULAN'!AK140:AM140)</f>
        <v>0</v>
      </c>
      <c r="AE86" s="232">
        <f>SUM('PER BULAN'!AN140:AP140)</f>
        <v>0</v>
      </c>
      <c r="AF86" s="232">
        <f>SUM('PER BULAN'!AQ140:AS140)</f>
        <v>0</v>
      </c>
      <c r="AG86" s="218" t="s">
        <v>530</v>
      </c>
      <c r="AH86" s="218" t="s">
        <v>576</v>
      </c>
      <c r="AI86" s="218" t="s">
        <v>560</v>
      </c>
      <c r="AJ86" s="218" t="s">
        <v>3891</v>
      </c>
      <c r="AK86" s="218" t="s">
        <v>3892</v>
      </c>
      <c r="AL86" s="384">
        <f t="shared" si="7"/>
        <v>0</v>
      </c>
      <c r="AM86" s="231">
        <f t="shared" si="8"/>
        <v>0</v>
      </c>
      <c r="AN86" s="384">
        <f t="shared" si="9"/>
        <v>0</v>
      </c>
      <c r="AO86" s="231">
        <f t="shared" si="10"/>
        <v>0</v>
      </c>
      <c r="AP86" s="218" t="str">
        <f t="shared" si="11"/>
        <v>WA.2378.EBA.994.002.GE.523121</v>
      </c>
      <c r="AQ86" s="218" t="str">
        <f>IF(ISNUMBER(SEARCH("COVID",SP2D[[#This Row],[Akun]])),"COVID","Non COVID")</f>
        <v>Non COVID</v>
      </c>
      <c r="AR8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6"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6" s="232">
        <f>SUM('PER BULAN'!BA140)</f>
        <v>0</v>
      </c>
      <c r="AU86" s="232">
        <f>SUM('PER BULAN'!BB140)</f>
        <v>0</v>
      </c>
      <c r="AV86" s="232">
        <f>SUM('PER BULAN'!BC140)</f>
        <v>0</v>
      </c>
      <c r="AW86" s="232">
        <f>SUM('PER BULAN'!BD140)</f>
        <v>0</v>
      </c>
      <c r="AX86" s="232">
        <f>SUM('PER BULAN'!BE140)</f>
        <v>0</v>
      </c>
      <c r="AY86" s="232">
        <f>SUM('PER BULAN'!BF140)</f>
        <v>0</v>
      </c>
      <c r="AZ86" s="232">
        <f>SUM('PER BULAN'!BG140)</f>
        <v>0</v>
      </c>
      <c r="BA86" s="232">
        <f>SUM('PER BULAN'!BH140)</f>
        <v>0</v>
      </c>
    </row>
    <row r="87" spans="1:53" s="219" customFormat="1" x14ac:dyDescent="0.25">
      <c r="A87" s="218" t="s">
        <v>3885</v>
      </c>
      <c r="B87" s="218" t="s">
        <v>3886</v>
      </c>
      <c r="C87" s="218" t="s">
        <v>3912</v>
      </c>
      <c r="D87" s="218" t="s">
        <v>3913</v>
      </c>
      <c r="E87" s="218" t="s">
        <v>197</v>
      </c>
      <c r="F87" s="218" t="s">
        <v>3914</v>
      </c>
      <c r="G87" s="218" t="s">
        <v>3954</v>
      </c>
      <c r="H87" s="218" t="s">
        <v>3955</v>
      </c>
      <c r="I87" s="218">
        <v>951</v>
      </c>
      <c r="J87" s="218" t="s">
        <v>3956</v>
      </c>
      <c r="K87" s="218">
        <v>301</v>
      </c>
      <c r="L87" s="218" t="s">
        <v>3957</v>
      </c>
      <c r="M87" s="218" t="s">
        <v>8</v>
      </c>
      <c r="N87" s="218" t="s">
        <v>3958</v>
      </c>
      <c r="O87" s="218">
        <v>532111</v>
      </c>
      <c r="P87" s="218" t="s">
        <v>3897</v>
      </c>
      <c r="Q87" s="165" cm="1">
        <f t="array" ref="Q87">SUM(_xlfn._xlws.FILTER(DIPA2[PaguRevisi],DIPA2[Akun]=SP2D[[#This Row],[Kode Akun]],0))</f>
        <v>540000000</v>
      </c>
      <c r="R87" s="350">
        <v>540934000</v>
      </c>
      <c r="S87" s="350"/>
      <c r="T87" s="350">
        <f>SP2D[[#This Row],[Pagu Semula]]-SP2D[[#This Row],[Pagu]]</f>
        <v>934000</v>
      </c>
      <c r="U87" s="232">
        <f>SUM('PER BULAN'!J149:L149)</f>
        <v>0</v>
      </c>
      <c r="V87" s="232">
        <f>SUM('PER BULAN'!M145:O145)</f>
        <v>0</v>
      </c>
      <c r="W87" s="232">
        <f>SUM('PER BULAN'!P145:R145)</f>
        <v>0</v>
      </c>
      <c r="X87" s="232">
        <f>SUM('PER BULAN'!S145:U145)</f>
        <v>0</v>
      </c>
      <c r="Y87" s="232">
        <f>SUM('PER BULAN'!V145:X145)</f>
        <v>540000000</v>
      </c>
      <c r="Z87" s="232">
        <f>SUM('PER BULAN'!Y145:AA145)</f>
        <v>0</v>
      </c>
      <c r="AA87" s="232">
        <f>SUM('PER BULAN'!AB145:AD145)</f>
        <v>0</v>
      </c>
      <c r="AB87" s="232">
        <f>SUM('PER BULAN'!AE145:AG145)</f>
        <v>0</v>
      </c>
      <c r="AC87" s="232">
        <f>SUM('PER BULAN'!AH145:AJ145)</f>
        <v>0</v>
      </c>
      <c r="AD87" s="232">
        <f>SUM('PER BULAN'!AK145:AM145)</f>
        <v>0</v>
      </c>
      <c r="AE87" s="232">
        <f>SUM('PER BULAN'!AN145:AP145)</f>
        <v>0</v>
      </c>
      <c r="AF87" s="232">
        <f>SUM('PER BULAN'!AQ145:AS145)</f>
        <v>0</v>
      </c>
      <c r="AG87" s="218" t="s">
        <v>530</v>
      </c>
      <c r="AH87" s="218" t="s">
        <v>576</v>
      </c>
      <c r="AI87" s="218" t="s">
        <v>560</v>
      </c>
      <c r="AJ87" s="218">
        <v>53</v>
      </c>
      <c r="AK87" s="218" t="s">
        <v>3892</v>
      </c>
      <c r="AL87" s="384">
        <f t="shared" si="7"/>
        <v>540000000</v>
      </c>
      <c r="AM87" s="231">
        <f t="shared" si="8"/>
        <v>100</v>
      </c>
      <c r="AN87" s="384">
        <f t="shared" si="9"/>
        <v>0</v>
      </c>
      <c r="AO87" s="231">
        <f t="shared" si="10"/>
        <v>0</v>
      </c>
      <c r="AP87" s="218" t="str">
        <f t="shared" si="11"/>
        <v>WA.2378.EBB.951.301.A.532111</v>
      </c>
      <c r="AQ87" s="218" t="str">
        <f>IF(ISNUMBER(SEARCH("COVID",SP2D[[#This Row],[Akun]])),"COVID","Non COVID")</f>
        <v>Non COVID</v>
      </c>
      <c r="AR8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S87" s="218" t="str">
        <f>IF(AND(ISNUMBER(SEARCH("OPERASIONAL",SP2D[[#This Row],[Komponen]])),ISNUMBER(SEARCH("LAYANAN PERKANTORAN",SP2D[[#This Row],[SubOutput]]))),"Belanja Barang Operasional",IF(LEFT(SP2D[[#This Row],[kdakun]],2)="53","Belanja Modal",IF(LEFT(SP2D[[#This Row],[kdakun]],2)="51","Belanja Pegawai","Belanja Barang Non Operasional")))</f>
        <v>Belanja Modal</v>
      </c>
      <c r="AT87" s="232">
        <f>SUM('PER BULAN'!BA145)</f>
        <v>0</v>
      </c>
      <c r="AU87" s="232">
        <f>SUM('PER BULAN'!BB145)</f>
        <v>0</v>
      </c>
      <c r="AV87" s="232">
        <f>SUM('PER BULAN'!BC145)</f>
        <v>0</v>
      </c>
      <c r="AW87" s="232">
        <f>SUM('PER BULAN'!BD145)</f>
        <v>0</v>
      </c>
      <c r="AX87" s="232">
        <f>SUM('PER BULAN'!BE145)</f>
        <v>0</v>
      </c>
      <c r="AY87" s="232">
        <f>SUM('PER BULAN'!BF145)</f>
        <v>0</v>
      </c>
      <c r="AZ87" s="232">
        <f>SUM('PER BULAN'!BG145)</f>
        <v>0</v>
      </c>
      <c r="BA87" s="232">
        <f>SUM('PER BULAN'!BH145)</f>
        <v>0</v>
      </c>
    </row>
    <row r="88" spans="1:53" s="219" customFormat="1" x14ac:dyDescent="0.25">
      <c r="A88" s="218" t="s">
        <v>3885</v>
      </c>
      <c r="B88" s="218" t="s">
        <v>3886</v>
      </c>
      <c r="C88" s="218" t="s">
        <v>3912</v>
      </c>
      <c r="D88" s="218" t="s">
        <v>3913</v>
      </c>
      <c r="E88" s="218" t="s">
        <v>197</v>
      </c>
      <c r="F88" s="218" t="s">
        <v>3914</v>
      </c>
      <c r="G88" s="218" t="s">
        <v>3959</v>
      </c>
      <c r="H88" s="218" t="s">
        <v>3960</v>
      </c>
      <c r="I88" s="218">
        <v>952</v>
      </c>
      <c r="J88" s="218" t="s">
        <v>3961</v>
      </c>
      <c r="K88" s="218">
        <v>301</v>
      </c>
      <c r="L88" s="218" t="s">
        <v>3962</v>
      </c>
      <c r="M88" s="218" t="s">
        <v>8</v>
      </c>
      <c r="N88" s="218" t="s">
        <v>3963</v>
      </c>
      <c r="O88" s="218">
        <v>521211</v>
      </c>
      <c r="P88" s="218" t="s">
        <v>3890</v>
      </c>
      <c r="Q88" s="165" cm="1">
        <f t="array" ref="Q88">SUM(_xlfn._xlws.FILTER(DIPA2[PaguRevisi],DIPA2[Akun]=SP2D[[#This Row],[Kode Akun]],0))</f>
        <v>6000000</v>
      </c>
      <c r="R88" s="350">
        <v>22650000</v>
      </c>
      <c r="S88" s="350"/>
      <c r="T88" s="350">
        <f>SP2D[[#This Row],[Pagu Semula]]-SP2D[[#This Row],[Pagu]]</f>
        <v>16650000</v>
      </c>
      <c r="U88" s="232">
        <f>SUM('PER BULAN'!J150:L150)</f>
        <v>0</v>
      </c>
      <c r="V88" s="232">
        <f>SUM('PER BULAN'!M150:O150)</f>
        <v>0</v>
      </c>
      <c r="W88" s="232">
        <f>SUM('PER BULAN'!P150:R150)</f>
        <v>1498000</v>
      </c>
      <c r="X88" s="232">
        <f>SUM('PER BULAN'!S150:U150)</f>
        <v>0</v>
      </c>
      <c r="Y88" s="232">
        <f>SUM('PER BULAN'!V150:X150)</f>
        <v>1493000</v>
      </c>
      <c r="Z88" s="232">
        <f>SUM('PER BULAN'!Y150:AA150)</f>
        <v>0</v>
      </c>
      <c r="AA88" s="232">
        <f>SUM('PER BULAN'!AB150:AD150)</f>
        <v>0</v>
      </c>
      <c r="AB88" s="232">
        <f>SUM('PER BULAN'!AE150:AG150)</f>
        <v>0</v>
      </c>
      <c r="AC88" s="232">
        <f>SUM('PER BULAN'!AH150:AJ150)</f>
        <v>0</v>
      </c>
      <c r="AD88" s="232">
        <f>SUM('PER BULAN'!AK150:AM150)</f>
        <v>0</v>
      </c>
      <c r="AE88" s="232">
        <f>SUM('PER BULAN'!AN150:AP150)</f>
        <v>0</v>
      </c>
      <c r="AF88" s="232">
        <f>SUM('PER BULAN'!AQ150:AS150)</f>
        <v>0</v>
      </c>
      <c r="AG88" s="218" t="s">
        <v>530</v>
      </c>
      <c r="AH88" s="218" t="s">
        <v>542</v>
      </c>
      <c r="AI88" s="218" t="s">
        <v>543</v>
      </c>
      <c r="AJ88" s="218" t="s">
        <v>3891</v>
      </c>
      <c r="AK88" s="218" t="s">
        <v>3892</v>
      </c>
      <c r="AL88" s="384">
        <f t="shared" si="7"/>
        <v>2991000</v>
      </c>
      <c r="AM88" s="231">
        <f t="shared" si="8"/>
        <v>49.85</v>
      </c>
      <c r="AN88" s="384">
        <f t="shared" si="9"/>
        <v>3009000</v>
      </c>
      <c r="AO88" s="231">
        <f t="shared" si="10"/>
        <v>50.149999999999991</v>
      </c>
      <c r="AP88" s="218" t="str">
        <f t="shared" si="11"/>
        <v>WA.2378.EBD.952.301.A.521211</v>
      </c>
      <c r="AQ88" s="218" t="str">
        <f>IF(ISNUMBER(SEARCH("COVID",SP2D[[#This Row],[Akun]])),"COVID","Non COVID")</f>
        <v>Non COVID</v>
      </c>
      <c r="AR8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8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8" s="232">
        <f>SUM('PER BULAN'!BA150)</f>
        <v>0</v>
      </c>
      <c r="AU88" s="232">
        <f>SUM('PER BULAN'!BB150)</f>
        <v>1498000</v>
      </c>
      <c r="AV88" s="232">
        <f>SUM('PER BULAN'!BC150)</f>
        <v>0</v>
      </c>
      <c r="AW88" s="232">
        <f>SUM('PER BULAN'!BD150)</f>
        <v>0</v>
      </c>
      <c r="AX88" s="232">
        <f>SUM('PER BULAN'!BE150)</f>
        <v>0</v>
      </c>
      <c r="AY88" s="232">
        <f>SUM('PER BULAN'!BF150)</f>
        <v>0</v>
      </c>
      <c r="AZ88" s="232">
        <f>SUM('PER BULAN'!BG150)</f>
        <v>1493000</v>
      </c>
      <c r="BA88" s="232">
        <f>SUM('PER BULAN'!BH150)</f>
        <v>0</v>
      </c>
    </row>
    <row r="89" spans="1:53" s="219" customFormat="1" x14ac:dyDescent="0.25">
      <c r="A89" s="218" t="s">
        <v>3885</v>
      </c>
      <c r="B89" s="218" t="s">
        <v>3886</v>
      </c>
      <c r="C89" s="218" t="s">
        <v>3912</v>
      </c>
      <c r="D89" s="218" t="s">
        <v>3913</v>
      </c>
      <c r="E89" s="218" t="s">
        <v>197</v>
      </c>
      <c r="F89" s="218" t="s">
        <v>3914</v>
      </c>
      <c r="G89" s="218" t="s">
        <v>3959</v>
      </c>
      <c r="H89" s="218" t="s">
        <v>3960</v>
      </c>
      <c r="I89" s="218">
        <v>952</v>
      </c>
      <c r="J89" s="218" t="s">
        <v>3961</v>
      </c>
      <c r="K89" s="218">
        <v>301</v>
      </c>
      <c r="L89" s="218" t="s">
        <v>3962</v>
      </c>
      <c r="M89" s="218" t="s">
        <v>8</v>
      </c>
      <c r="N89" s="218" t="s">
        <v>3963</v>
      </c>
      <c r="O89" s="218">
        <v>521219</v>
      </c>
      <c r="P89" s="218" t="s">
        <v>3903</v>
      </c>
      <c r="Q89" s="165" cm="1">
        <f t="array" ref="Q89">SUM(_xlfn._xlws.FILTER(DIPA2[PaguRevisi],DIPA2[Akun]=SP2D[[#This Row],[Kode Akun]],0))</f>
        <v>1000000</v>
      </c>
      <c r="R89" s="350">
        <v>1000000</v>
      </c>
      <c r="S89" s="350"/>
      <c r="T89" s="350">
        <f>SP2D[[#This Row],[Pagu Semula]]-SP2D[[#This Row],[Pagu]]</f>
        <v>0</v>
      </c>
      <c r="U89" s="232">
        <f>SUM('PER BULAN'!J151:L151)</f>
        <v>0</v>
      </c>
      <c r="V89" s="232">
        <f>SUM('PER BULAN'!M151:O151)</f>
        <v>0</v>
      </c>
      <c r="W89" s="232">
        <f>SUM('PER BULAN'!P151:R151)</f>
        <v>346915</v>
      </c>
      <c r="X89" s="232">
        <f>SUM('PER BULAN'!S151:U151)</f>
        <v>0</v>
      </c>
      <c r="Y89" s="232">
        <f>SUM('PER BULAN'!V151:X151)</f>
        <v>355980</v>
      </c>
      <c r="Z89" s="232">
        <f>SUM('PER BULAN'!Y151:AA151)</f>
        <v>0</v>
      </c>
      <c r="AA89" s="232">
        <f>SUM('PER BULAN'!AB151:AD151)</f>
        <v>0</v>
      </c>
      <c r="AB89" s="232">
        <f>SUM('PER BULAN'!AE151:AG151)</f>
        <v>0</v>
      </c>
      <c r="AC89" s="232">
        <f>SUM('PER BULAN'!AH151:AJ151)</f>
        <v>0</v>
      </c>
      <c r="AD89" s="232">
        <f>SUM('PER BULAN'!AK151:AM151)</f>
        <v>0</v>
      </c>
      <c r="AE89" s="232">
        <f>SUM('PER BULAN'!AN151:AP151)</f>
        <v>0</v>
      </c>
      <c r="AF89" s="232">
        <f>SUM('PER BULAN'!AQ151:AS151)</f>
        <v>0</v>
      </c>
      <c r="AG89" s="218" t="s">
        <v>530</v>
      </c>
      <c r="AH89" s="218" t="s">
        <v>542</v>
      </c>
      <c r="AI89" s="218" t="s">
        <v>543</v>
      </c>
      <c r="AJ89" s="218" t="s">
        <v>3891</v>
      </c>
      <c r="AK89" s="218" t="s">
        <v>3892</v>
      </c>
      <c r="AL89" s="384">
        <f t="shared" si="7"/>
        <v>702895</v>
      </c>
      <c r="AM89" s="231">
        <f t="shared" si="8"/>
        <v>70.289500000000004</v>
      </c>
      <c r="AN89" s="384">
        <f t="shared" si="9"/>
        <v>297105</v>
      </c>
      <c r="AO89" s="231">
        <f t="shared" si="10"/>
        <v>29.7105</v>
      </c>
      <c r="AP89" s="218" t="str">
        <f t="shared" si="11"/>
        <v>WA.2378.EBD.952.301.A.521219</v>
      </c>
      <c r="AQ89" s="218" t="str">
        <f>IF(ISNUMBER(SEARCH("COVID",SP2D[[#This Row],[Akun]])),"COVID","Non COVID")</f>
        <v>Non COVID</v>
      </c>
      <c r="AR8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8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9" s="232">
        <f>SUM('PER BULAN'!BA151)</f>
        <v>0</v>
      </c>
      <c r="AU89" s="232">
        <f>SUM('PER BULAN'!BB151)</f>
        <v>346915</v>
      </c>
      <c r="AV89" s="232">
        <f>SUM('PER BULAN'!BC151)</f>
        <v>0</v>
      </c>
      <c r="AW89" s="232">
        <f>SUM('PER BULAN'!BD151)</f>
        <v>0</v>
      </c>
      <c r="AX89" s="232">
        <f>SUM('PER BULAN'!BE151)</f>
        <v>0</v>
      </c>
      <c r="AY89" s="232">
        <f>SUM('PER BULAN'!BF151)</f>
        <v>0</v>
      </c>
      <c r="AZ89" s="232">
        <f>SUM('PER BULAN'!BG151)</f>
        <v>355980</v>
      </c>
      <c r="BA89" s="232">
        <f>SUM('PER BULAN'!BH151)</f>
        <v>0</v>
      </c>
    </row>
    <row r="90" spans="1:53" s="219" customFormat="1" x14ac:dyDescent="0.25">
      <c r="A90" s="218" t="s">
        <v>3885</v>
      </c>
      <c r="B90" s="218" t="s">
        <v>3886</v>
      </c>
      <c r="C90" s="218" t="s">
        <v>3912</v>
      </c>
      <c r="D90" s="218" t="s">
        <v>3913</v>
      </c>
      <c r="E90" s="218" t="s">
        <v>197</v>
      </c>
      <c r="F90" s="218" t="s">
        <v>3914</v>
      </c>
      <c r="G90" s="218" t="s">
        <v>3959</v>
      </c>
      <c r="H90" s="218" t="s">
        <v>3960</v>
      </c>
      <c r="I90" s="218">
        <v>952</v>
      </c>
      <c r="J90" s="218" t="s">
        <v>3961</v>
      </c>
      <c r="K90" s="218">
        <v>301</v>
      </c>
      <c r="L90" s="218" t="s">
        <v>3962</v>
      </c>
      <c r="M90" s="218" t="s">
        <v>8</v>
      </c>
      <c r="N90" s="218" t="s">
        <v>3963</v>
      </c>
      <c r="O90" s="218">
        <v>521811</v>
      </c>
      <c r="P90" s="218" t="s">
        <v>3908</v>
      </c>
      <c r="Q90" s="165" cm="1">
        <f t="array" ref="Q90">SUM(_xlfn._xlws.FILTER(DIPA2[PaguRevisi],DIPA2[Akun]=SP2D[[#This Row],[Kode Akun]],0))</f>
        <v>10000000</v>
      </c>
      <c r="R90" s="350">
        <v>15000000</v>
      </c>
      <c r="S90" s="350"/>
      <c r="T90" s="350">
        <f>SP2D[[#This Row],[Pagu Semula]]-SP2D[[#This Row],[Pagu]]</f>
        <v>5000000</v>
      </c>
      <c r="U90" s="232">
        <f>SUM('PER BULAN'!J152:L152)</f>
        <v>0</v>
      </c>
      <c r="V90" s="232">
        <f>SUM('PER BULAN'!M152:O152)</f>
        <v>0</v>
      </c>
      <c r="W90" s="232">
        <f>SUM('PER BULAN'!P152:R152)</f>
        <v>2459000</v>
      </c>
      <c r="X90" s="232">
        <f>SUM('PER BULAN'!S152:U152)</f>
        <v>0</v>
      </c>
      <c r="Y90" s="232">
        <f>SUM('PER BULAN'!V152:X152)</f>
        <v>2390000</v>
      </c>
      <c r="Z90" s="232">
        <f>SUM('PER BULAN'!Y152:AA152)</f>
        <v>0</v>
      </c>
      <c r="AA90" s="232">
        <f>SUM('PER BULAN'!AB152:AD152)</f>
        <v>0</v>
      </c>
      <c r="AB90" s="232">
        <f>SUM('PER BULAN'!AE152:AG152)</f>
        <v>0</v>
      </c>
      <c r="AC90" s="232">
        <f>SUM('PER BULAN'!AH152:AJ152)</f>
        <v>0</v>
      </c>
      <c r="AD90" s="232">
        <f>SUM('PER BULAN'!AK152:AM152)</f>
        <v>0</v>
      </c>
      <c r="AE90" s="232">
        <f>SUM('PER BULAN'!AN152:AP152)</f>
        <v>0</v>
      </c>
      <c r="AF90" s="232">
        <f>SUM('PER BULAN'!AQ152:AS152)</f>
        <v>0</v>
      </c>
      <c r="AG90" s="218" t="s">
        <v>530</v>
      </c>
      <c r="AH90" s="218" t="s">
        <v>542</v>
      </c>
      <c r="AI90" s="218" t="s">
        <v>543</v>
      </c>
      <c r="AJ90" s="218" t="s">
        <v>3891</v>
      </c>
      <c r="AK90" s="218" t="s">
        <v>3892</v>
      </c>
      <c r="AL90" s="384">
        <f t="shared" si="7"/>
        <v>4849000</v>
      </c>
      <c r="AM90" s="231">
        <f t="shared" si="8"/>
        <v>48.49</v>
      </c>
      <c r="AN90" s="384">
        <f t="shared" si="9"/>
        <v>5151000</v>
      </c>
      <c r="AO90" s="231">
        <f t="shared" si="10"/>
        <v>51.51</v>
      </c>
      <c r="AP90" s="218" t="str">
        <f t="shared" si="11"/>
        <v>WA.2378.EBD.952.301.A.521811</v>
      </c>
      <c r="AQ90" s="218" t="str">
        <f>IF(ISNUMBER(SEARCH("COVID",SP2D[[#This Row],[Akun]])),"COVID","Non COVID")</f>
        <v>Non COVID</v>
      </c>
      <c r="AR9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0" s="232">
        <f>SUM('PER BULAN'!BA152)</f>
        <v>0</v>
      </c>
      <c r="AU90" s="232">
        <f>SUM('PER BULAN'!BB152)</f>
        <v>2459000</v>
      </c>
      <c r="AV90" s="232">
        <f>SUM('PER BULAN'!BC152)</f>
        <v>0</v>
      </c>
      <c r="AW90" s="232">
        <f>SUM('PER BULAN'!BD152)</f>
        <v>0</v>
      </c>
      <c r="AX90" s="232">
        <f>SUM('PER BULAN'!BE152)</f>
        <v>0</v>
      </c>
      <c r="AY90" s="232">
        <f>SUM('PER BULAN'!BF152)</f>
        <v>0</v>
      </c>
      <c r="AZ90" s="232">
        <f>SUM('PER BULAN'!BG152)</f>
        <v>2390000</v>
      </c>
      <c r="BA90" s="232">
        <f>SUM('PER BULAN'!BH152)</f>
        <v>0</v>
      </c>
    </row>
    <row r="91" spans="1:53" s="219" customFormat="1" x14ac:dyDescent="0.25">
      <c r="A91" s="218" t="s">
        <v>3885</v>
      </c>
      <c r="B91" s="218" t="s">
        <v>3886</v>
      </c>
      <c r="C91" s="218" t="s">
        <v>3912</v>
      </c>
      <c r="D91" s="218" t="s">
        <v>3913</v>
      </c>
      <c r="E91" s="218" t="s">
        <v>197</v>
      </c>
      <c r="F91" s="218" t="s">
        <v>3914</v>
      </c>
      <c r="G91" s="218" t="s">
        <v>3959</v>
      </c>
      <c r="H91" s="218" t="s">
        <v>3960</v>
      </c>
      <c r="I91" s="218">
        <v>952</v>
      </c>
      <c r="J91" s="218" t="s">
        <v>3961</v>
      </c>
      <c r="K91" s="218">
        <v>301</v>
      </c>
      <c r="L91" s="218" t="s">
        <v>3962</v>
      </c>
      <c r="M91" s="218" t="s">
        <v>8</v>
      </c>
      <c r="N91" s="218" t="s">
        <v>3963</v>
      </c>
      <c r="O91" s="218">
        <v>524111</v>
      </c>
      <c r="P91" s="218" t="s">
        <v>3894</v>
      </c>
      <c r="Q91" s="165" cm="1">
        <f t="array" ref="Q91">SUM(_xlfn._xlws.FILTER(DIPA2[PaguRevisi],DIPA2[Akun]=SP2D[[#This Row],[Kode Akun]],0))</f>
        <v>5164000</v>
      </c>
      <c r="R91" s="350">
        <v>62400000</v>
      </c>
      <c r="S91" s="350"/>
      <c r="T91" s="350">
        <f>SP2D[[#This Row],[Pagu Semula]]-SP2D[[#This Row],[Pagu]]</f>
        <v>57236000</v>
      </c>
      <c r="U91" s="232">
        <f>SUM('PER BULAN'!J154:L154)</f>
        <v>0</v>
      </c>
      <c r="V91" s="232">
        <f>SUM('PER BULAN'!M153:O153)</f>
        <v>1010000</v>
      </c>
      <c r="W91" s="232">
        <f>SUM('PER BULAN'!P153:R153)</f>
        <v>2805000</v>
      </c>
      <c r="X91" s="232">
        <f>SUM('PER BULAN'!S153:U153)</f>
        <v>0</v>
      </c>
      <c r="Y91" s="232">
        <f>SUM('PER BULAN'!V153:X153)</f>
        <v>1348500</v>
      </c>
      <c r="Z91" s="232">
        <f>SUM('PER BULAN'!Y153:AA153)</f>
        <v>0</v>
      </c>
      <c r="AA91" s="232">
        <f>SUM('PER BULAN'!AB153:AD153)</f>
        <v>0</v>
      </c>
      <c r="AB91" s="232">
        <f>SUM('PER BULAN'!AE153:AG153)</f>
        <v>0</v>
      </c>
      <c r="AC91" s="232">
        <f>SUM('PER BULAN'!AH153:AJ153)</f>
        <v>0</v>
      </c>
      <c r="AD91" s="232">
        <f>SUM('PER BULAN'!AK153:AM153)</f>
        <v>0</v>
      </c>
      <c r="AE91" s="232">
        <f>SUM('PER BULAN'!AN153:AP153)</f>
        <v>0</v>
      </c>
      <c r="AF91" s="232">
        <f>SUM('PER BULAN'!AQ153:AS153)</f>
        <v>0</v>
      </c>
      <c r="AG91" s="218" t="s">
        <v>530</v>
      </c>
      <c r="AH91" s="218" t="s">
        <v>542</v>
      </c>
      <c r="AI91" s="218" t="s">
        <v>543</v>
      </c>
      <c r="AJ91" s="218" t="s">
        <v>3891</v>
      </c>
      <c r="AK91" s="218" t="s">
        <v>3892</v>
      </c>
      <c r="AL91" s="384">
        <f t="shared" si="7"/>
        <v>5163500</v>
      </c>
      <c r="AM91" s="231">
        <f t="shared" si="8"/>
        <v>99.990317583268791</v>
      </c>
      <c r="AN91" s="384">
        <f t="shared" si="9"/>
        <v>500</v>
      </c>
      <c r="AO91" s="231">
        <f t="shared" si="10"/>
        <v>9.6824167312161129E-3</v>
      </c>
      <c r="AP91" s="218" t="str">
        <f t="shared" si="11"/>
        <v>WA.2378.EBD.952.301.A.524111</v>
      </c>
      <c r="AQ91" s="218" t="str">
        <f>IF(ISNUMBER(SEARCH("COVID",SP2D[[#This Row],[Akun]])),"COVID","Non COVID")</f>
        <v>Non COVID</v>
      </c>
      <c r="AR9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1" s="232">
        <f>SUM('PER BULAN'!BA153)</f>
        <v>0</v>
      </c>
      <c r="AU91" s="232">
        <f>SUM('PER BULAN'!BB153)</f>
        <v>0</v>
      </c>
      <c r="AV91" s="232">
        <f>SUM('PER BULAN'!BC153)</f>
        <v>2805000</v>
      </c>
      <c r="AW91" s="232">
        <f>SUM('PER BULAN'!BD153)</f>
        <v>0</v>
      </c>
      <c r="AX91" s="232">
        <f>SUM('PER BULAN'!BE153)</f>
        <v>0</v>
      </c>
      <c r="AY91" s="232">
        <f>SUM('PER BULAN'!BF153)</f>
        <v>0</v>
      </c>
      <c r="AZ91" s="232">
        <f>SUM('PER BULAN'!BG153)</f>
        <v>0</v>
      </c>
      <c r="BA91" s="232">
        <f>SUM('PER BULAN'!BH153)</f>
        <v>0</v>
      </c>
    </row>
    <row r="92" spans="1:53" s="219" customFormat="1" x14ac:dyDescent="0.25">
      <c r="A92" s="218" t="s">
        <v>3885</v>
      </c>
      <c r="B92" s="218" t="s">
        <v>3886</v>
      </c>
      <c r="C92" s="218" t="s">
        <v>3912</v>
      </c>
      <c r="D92" s="218" t="s">
        <v>3913</v>
      </c>
      <c r="E92" s="218" t="s">
        <v>197</v>
      </c>
      <c r="F92" s="218" t="s">
        <v>3914</v>
      </c>
      <c r="G92" s="218" t="s">
        <v>3959</v>
      </c>
      <c r="H92" s="218" t="s">
        <v>3960</v>
      </c>
      <c r="I92" s="218">
        <v>952</v>
      </c>
      <c r="J92" s="218" t="s">
        <v>3961</v>
      </c>
      <c r="K92" s="218">
        <v>301</v>
      </c>
      <c r="L92" s="218" t="s">
        <v>3962</v>
      </c>
      <c r="M92" s="218" t="s">
        <v>511</v>
      </c>
      <c r="N92" s="218" t="s">
        <v>3964</v>
      </c>
      <c r="O92" s="218">
        <v>521211</v>
      </c>
      <c r="P92" s="218" t="s">
        <v>3890</v>
      </c>
      <c r="Q92" s="165" cm="1">
        <f t="array" ref="Q92">SUM(_xlfn._xlws.FILTER(DIPA2[PaguRevisi],DIPA2[Akun]=SP2D[[#This Row],[Kode Akun]],0))</f>
        <v>12000000</v>
      </c>
      <c r="R92" s="350">
        <v>49300000</v>
      </c>
      <c r="S92" s="350"/>
      <c r="T92" s="350">
        <f>SP2D[[#This Row],[Pagu Semula]]-SP2D[[#This Row],[Pagu]]</f>
        <v>37300000</v>
      </c>
      <c r="U92" s="232">
        <f>SUM('PER BULAN'!J155:L155)</f>
        <v>0</v>
      </c>
      <c r="V92" s="232">
        <f>SUM('PER BULAN'!M155:O155)</f>
        <v>0</v>
      </c>
      <c r="W92" s="232">
        <f>SUM('PER BULAN'!P155:R155)</f>
        <v>2964000</v>
      </c>
      <c r="X92" s="232">
        <f>SUM('PER BULAN'!S155:U155)</f>
        <v>0</v>
      </c>
      <c r="Y92" s="232">
        <f>SUM('PER BULAN'!V155:X155)</f>
        <v>2975000</v>
      </c>
      <c r="Z92" s="232">
        <f>SUM('PER BULAN'!Y155:AA155)</f>
        <v>0</v>
      </c>
      <c r="AA92" s="232">
        <f>SUM('PER BULAN'!AB155:AD155)</f>
        <v>0</v>
      </c>
      <c r="AB92" s="232">
        <f>SUM('PER BULAN'!AE155:AG155)</f>
        <v>0</v>
      </c>
      <c r="AC92" s="232">
        <f>SUM('PER BULAN'!AH155:AJ155)</f>
        <v>0</v>
      </c>
      <c r="AD92" s="232">
        <f>SUM('PER BULAN'!AK155:AM155)</f>
        <v>0</v>
      </c>
      <c r="AE92" s="232">
        <f>SUM('PER BULAN'!AN155:AP155)</f>
        <v>0</v>
      </c>
      <c r="AF92" s="232">
        <f>SUM('PER BULAN'!AQ155:AS155)</f>
        <v>0</v>
      </c>
      <c r="AG92" s="218" t="s">
        <v>530</v>
      </c>
      <c r="AH92" s="218" t="s">
        <v>542</v>
      </c>
      <c r="AI92" s="218" t="s">
        <v>543</v>
      </c>
      <c r="AJ92" s="218" t="s">
        <v>3891</v>
      </c>
      <c r="AK92" s="218" t="s">
        <v>3892</v>
      </c>
      <c r="AL92" s="384">
        <f t="shared" si="7"/>
        <v>5939000</v>
      </c>
      <c r="AM92" s="231">
        <f t="shared" si="8"/>
        <v>49.491666666666667</v>
      </c>
      <c r="AN92" s="384">
        <f t="shared" si="9"/>
        <v>6061000</v>
      </c>
      <c r="AO92" s="231">
        <f t="shared" si="10"/>
        <v>50.508333333333333</v>
      </c>
      <c r="AP92" s="218" t="str">
        <f t="shared" si="11"/>
        <v>WA.2378.EBD.952.301.B.521211</v>
      </c>
      <c r="AQ92" s="218" t="str">
        <f>IF(ISNUMBER(SEARCH("COVID",SP2D[[#This Row],[Akun]])),"COVID","Non COVID")</f>
        <v>Non COVID</v>
      </c>
      <c r="AR9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9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2" s="232">
        <f>SUM('PER BULAN'!BA155)</f>
        <v>0</v>
      </c>
      <c r="AU92" s="232">
        <f>SUM('PER BULAN'!BB155)</f>
        <v>2964000</v>
      </c>
      <c r="AV92" s="232">
        <f>SUM('PER BULAN'!BC155)</f>
        <v>0</v>
      </c>
      <c r="AW92" s="232">
        <f>SUM('PER BULAN'!BD155)</f>
        <v>0</v>
      </c>
      <c r="AX92" s="232">
        <f>SUM('PER BULAN'!BE155)</f>
        <v>0</v>
      </c>
      <c r="AY92" s="232">
        <f>SUM('PER BULAN'!BF155)</f>
        <v>0</v>
      </c>
      <c r="AZ92" s="232">
        <f>SUM('PER BULAN'!BG155)</f>
        <v>2975000</v>
      </c>
      <c r="BA92" s="232">
        <f>SUM('PER BULAN'!BH155)</f>
        <v>0</v>
      </c>
    </row>
    <row r="93" spans="1:53" s="219" customFormat="1" x14ac:dyDescent="0.25">
      <c r="A93" s="218" t="s">
        <v>3885</v>
      </c>
      <c r="B93" s="218" t="s">
        <v>3886</v>
      </c>
      <c r="C93" s="218" t="s">
        <v>3912</v>
      </c>
      <c r="D93" s="218" t="s">
        <v>3913</v>
      </c>
      <c r="E93" s="218" t="s">
        <v>197</v>
      </c>
      <c r="F93" s="218" t="s">
        <v>3914</v>
      </c>
      <c r="G93" s="218" t="s">
        <v>3959</v>
      </c>
      <c r="H93" s="218" t="s">
        <v>3960</v>
      </c>
      <c r="I93" s="218">
        <v>952</v>
      </c>
      <c r="J93" s="218" t="s">
        <v>3961</v>
      </c>
      <c r="K93" s="218">
        <v>301</v>
      </c>
      <c r="L93" s="218" t="s">
        <v>3962</v>
      </c>
      <c r="M93" s="218" t="s">
        <v>511</v>
      </c>
      <c r="N93" s="218" t="s">
        <v>3964</v>
      </c>
      <c r="O93" s="218">
        <v>521219</v>
      </c>
      <c r="P93" s="218" t="s">
        <v>3903</v>
      </c>
      <c r="Q93" s="165" cm="1">
        <f t="array" ref="Q93">SUM(_xlfn._xlws.FILTER(DIPA2[PaguRevisi],DIPA2[Akun]=SP2D[[#This Row],[Kode Akun]],0))</f>
        <v>1000000</v>
      </c>
      <c r="R93" s="350">
        <v>1000000</v>
      </c>
      <c r="S93" s="350"/>
      <c r="T93" s="350">
        <f>SP2D[[#This Row],[Pagu Semula]]-SP2D[[#This Row],[Pagu]]</f>
        <v>0</v>
      </c>
      <c r="U93" s="232">
        <f>SUM('PER BULAN'!J156:L156)</f>
        <v>0</v>
      </c>
      <c r="V93" s="232">
        <f>SUM('PER BULAN'!M156:O156)</f>
        <v>0</v>
      </c>
      <c r="W93" s="232">
        <f>SUM('PER BULAN'!P156:R156)</f>
        <v>0</v>
      </c>
      <c r="X93" s="232">
        <f>SUM('PER BULAN'!S156:U156)</f>
        <v>0</v>
      </c>
      <c r="Y93" s="232">
        <f>SUM('PER BULAN'!V156:X156)</f>
        <v>0</v>
      </c>
      <c r="Z93" s="232">
        <f>SUM('PER BULAN'!Y156:AA156)</f>
        <v>0</v>
      </c>
      <c r="AA93" s="232">
        <f>SUM('PER BULAN'!AB156:AD156)</f>
        <v>0</v>
      </c>
      <c r="AB93" s="232">
        <f>SUM('PER BULAN'!AE156:AG156)</f>
        <v>0</v>
      </c>
      <c r="AC93" s="232">
        <f>SUM('PER BULAN'!AH156:AJ156)</f>
        <v>0</v>
      </c>
      <c r="AD93" s="232">
        <f>SUM('PER BULAN'!AK156:AM156)</f>
        <v>0</v>
      </c>
      <c r="AE93" s="232">
        <f>SUM('PER BULAN'!AN156:AP156)</f>
        <v>0</v>
      </c>
      <c r="AF93" s="232">
        <f>SUM('PER BULAN'!AQ156:AS156)</f>
        <v>0</v>
      </c>
      <c r="AG93" s="218" t="s">
        <v>530</v>
      </c>
      <c r="AH93" s="218" t="s">
        <v>542</v>
      </c>
      <c r="AI93" s="218" t="s">
        <v>543</v>
      </c>
      <c r="AJ93" s="218" t="s">
        <v>3891</v>
      </c>
      <c r="AK93" s="218" t="s">
        <v>3892</v>
      </c>
      <c r="AL93" s="384">
        <f t="shared" si="7"/>
        <v>0</v>
      </c>
      <c r="AM93" s="231">
        <f t="shared" si="8"/>
        <v>0</v>
      </c>
      <c r="AN93" s="384">
        <f t="shared" si="9"/>
        <v>1000000</v>
      </c>
      <c r="AO93" s="231">
        <f t="shared" si="10"/>
        <v>100</v>
      </c>
      <c r="AP93" s="218" t="str">
        <f t="shared" si="11"/>
        <v>WA.2378.EBD.952.301.B.521219</v>
      </c>
      <c r="AQ93" s="218" t="str">
        <f>IF(ISNUMBER(SEARCH("COVID",SP2D[[#This Row],[Akun]])),"COVID","Non COVID")</f>
        <v>Non COVID</v>
      </c>
      <c r="AR9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9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3" s="232">
        <f>SUM('PER BULAN'!BA156)</f>
        <v>0</v>
      </c>
      <c r="AU93" s="232">
        <f>SUM('PER BULAN'!BB156)</f>
        <v>0</v>
      </c>
      <c r="AV93" s="232">
        <f>SUM('PER BULAN'!BC156)</f>
        <v>0</v>
      </c>
      <c r="AW93" s="232">
        <f>SUM('PER BULAN'!BD156)</f>
        <v>0</v>
      </c>
      <c r="AX93" s="232">
        <f>SUM('PER BULAN'!BE156)</f>
        <v>0</v>
      </c>
      <c r="AY93" s="232">
        <f>SUM('PER BULAN'!BF156)</f>
        <v>0</v>
      </c>
      <c r="AZ93" s="232">
        <f>SUM('PER BULAN'!BG156)</f>
        <v>0</v>
      </c>
      <c r="BA93" s="232">
        <f>SUM('PER BULAN'!BH156)</f>
        <v>0</v>
      </c>
    </row>
    <row r="94" spans="1:53" s="219" customFormat="1" x14ac:dyDescent="0.25">
      <c r="A94" s="218" t="s">
        <v>3885</v>
      </c>
      <c r="B94" s="218" t="s">
        <v>3886</v>
      </c>
      <c r="C94" s="218" t="s">
        <v>3912</v>
      </c>
      <c r="D94" s="218" t="s">
        <v>3913</v>
      </c>
      <c r="E94" s="218" t="s">
        <v>197</v>
      </c>
      <c r="F94" s="218" t="s">
        <v>3914</v>
      </c>
      <c r="G94" s="218" t="s">
        <v>3959</v>
      </c>
      <c r="H94" s="218" t="s">
        <v>3960</v>
      </c>
      <c r="I94" s="218">
        <v>952</v>
      </c>
      <c r="J94" s="218" t="s">
        <v>3961</v>
      </c>
      <c r="K94" s="218">
        <v>301</v>
      </c>
      <c r="L94" s="218" t="s">
        <v>3962</v>
      </c>
      <c r="M94" s="218" t="s">
        <v>511</v>
      </c>
      <c r="N94" s="218" t="s">
        <v>3964</v>
      </c>
      <c r="O94" s="218">
        <v>521811</v>
      </c>
      <c r="P94" s="218" t="s">
        <v>3908</v>
      </c>
      <c r="Q94" s="165" cm="1">
        <f t="array" ref="Q94">SUM(_xlfn._xlws.FILTER(DIPA2[PaguRevisi],DIPA2[Akun]=SP2D[[#This Row],[Kode Akun]],0))</f>
        <v>20000000</v>
      </c>
      <c r="R94" s="350">
        <v>25000000</v>
      </c>
      <c r="S94" s="350"/>
      <c r="T94" s="350">
        <f>SP2D[[#This Row],[Pagu Semula]]-SP2D[[#This Row],[Pagu]]</f>
        <v>5000000</v>
      </c>
      <c r="U94" s="232">
        <f>SUM('PER BULAN'!J157:L157)</f>
        <v>0</v>
      </c>
      <c r="V94" s="232">
        <f>SUM('PER BULAN'!M157:O157)</f>
        <v>0</v>
      </c>
      <c r="W94" s="232">
        <f>SUM('PER BULAN'!P157:R157)</f>
        <v>4910000</v>
      </c>
      <c r="X94" s="232">
        <f>SUM('PER BULAN'!S157:U157)</f>
        <v>0</v>
      </c>
      <c r="Y94" s="232">
        <f>SUM('PER BULAN'!V157:X157)</f>
        <v>4873000</v>
      </c>
      <c r="Z94" s="232">
        <f>SUM('PER BULAN'!Y157:AA157)</f>
        <v>0</v>
      </c>
      <c r="AA94" s="232">
        <f>SUM('PER BULAN'!AB157:AD157)</f>
        <v>0</v>
      </c>
      <c r="AB94" s="232">
        <f>SUM('PER BULAN'!AE157:AG157)</f>
        <v>0</v>
      </c>
      <c r="AC94" s="232">
        <f>SUM('PER BULAN'!AH157:AJ157)</f>
        <v>0</v>
      </c>
      <c r="AD94" s="232">
        <f>SUM('PER BULAN'!AK157:AM157)</f>
        <v>0</v>
      </c>
      <c r="AE94" s="232">
        <f>SUM('PER BULAN'!AN157:AP157)</f>
        <v>0</v>
      </c>
      <c r="AF94" s="232">
        <f>SUM('PER BULAN'!AQ157:AS157)</f>
        <v>0</v>
      </c>
      <c r="AG94" s="218" t="s">
        <v>530</v>
      </c>
      <c r="AH94" s="218" t="s">
        <v>542</v>
      </c>
      <c r="AI94" s="218" t="s">
        <v>543</v>
      </c>
      <c r="AJ94" s="218" t="s">
        <v>3891</v>
      </c>
      <c r="AK94" s="218" t="s">
        <v>3892</v>
      </c>
      <c r="AL94" s="384">
        <f t="shared" si="7"/>
        <v>9783000</v>
      </c>
      <c r="AM94" s="231">
        <f t="shared" si="8"/>
        <v>48.914999999999999</v>
      </c>
      <c r="AN94" s="384">
        <f t="shared" si="9"/>
        <v>10217000</v>
      </c>
      <c r="AO94" s="231">
        <f t="shared" si="10"/>
        <v>51.085000000000001</v>
      </c>
      <c r="AP94" s="218" t="str">
        <f t="shared" si="11"/>
        <v>WA.2378.EBD.952.301.B.521811</v>
      </c>
      <c r="AQ94" s="218" t="str">
        <f>IF(ISNUMBER(SEARCH("COVID",SP2D[[#This Row],[Akun]])),"COVID","Non COVID")</f>
        <v>Non COVID</v>
      </c>
      <c r="AR9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4" s="232">
        <f>SUM('PER BULAN'!BA157)</f>
        <v>0</v>
      </c>
      <c r="AU94" s="232">
        <f>SUM('PER BULAN'!BB157)</f>
        <v>4910000</v>
      </c>
      <c r="AV94" s="232">
        <f>SUM('PER BULAN'!BC157)</f>
        <v>0</v>
      </c>
      <c r="AW94" s="232">
        <f>SUM('PER BULAN'!BD157)</f>
        <v>0</v>
      </c>
      <c r="AX94" s="232">
        <f>SUM('PER BULAN'!BE157)</f>
        <v>0</v>
      </c>
      <c r="AY94" s="232">
        <f>SUM('PER BULAN'!BF157)</f>
        <v>0</v>
      </c>
      <c r="AZ94" s="232">
        <f>SUM('PER BULAN'!BG157)</f>
        <v>4873000</v>
      </c>
      <c r="BA94" s="232">
        <f>SUM('PER BULAN'!BH157)</f>
        <v>0</v>
      </c>
    </row>
    <row r="95" spans="1:53" s="219" customFormat="1" x14ac:dyDescent="0.25">
      <c r="A95" s="218" t="s">
        <v>3885</v>
      </c>
      <c r="B95" s="218" t="s">
        <v>3886</v>
      </c>
      <c r="C95" s="218" t="s">
        <v>3912</v>
      </c>
      <c r="D95" s="218" t="s">
        <v>3913</v>
      </c>
      <c r="E95" s="218" t="s">
        <v>197</v>
      </c>
      <c r="F95" s="218" t="s">
        <v>3914</v>
      </c>
      <c r="G95" s="218" t="s">
        <v>3959</v>
      </c>
      <c r="H95" s="218" t="s">
        <v>3960</v>
      </c>
      <c r="I95" s="218">
        <v>952</v>
      </c>
      <c r="J95" s="218" t="s">
        <v>3961</v>
      </c>
      <c r="K95" s="218">
        <v>301</v>
      </c>
      <c r="L95" s="218" t="s">
        <v>3962</v>
      </c>
      <c r="M95" s="218" t="s">
        <v>511</v>
      </c>
      <c r="N95" s="218" t="s">
        <v>3964</v>
      </c>
      <c r="O95" s="218">
        <v>522151</v>
      </c>
      <c r="P95" s="218" t="s">
        <v>3893</v>
      </c>
      <c r="Q95" s="165" cm="1">
        <f t="array" ref="Q95">SUM(_xlfn._xlws.FILTER(DIPA2[PaguRevisi],DIPA2[Akun]=SP2D[[#This Row],[Kode Akun]],0))</f>
        <v>0</v>
      </c>
      <c r="R95" s="350">
        <v>12000000</v>
      </c>
      <c r="S95" s="350"/>
      <c r="T95" s="350">
        <f>SP2D[[#This Row],[Pagu Semula]]-SP2D[[#This Row],[Pagu]]</f>
        <v>12000000</v>
      </c>
      <c r="U95" s="232">
        <f>SUM('PER BULAN'!J158:L158)</f>
        <v>0</v>
      </c>
      <c r="V95" s="232">
        <f>SUM('PER BULAN'!M158:O158)</f>
        <v>0</v>
      </c>
      <c r="W95" s="232">
        <f>SUM('PER BULAN'!P158:R158)</f>
        <v>0</v>
      </c>
      <c r="X95" s="232">
        <f>SUM('PER BULAN'!S158:U158)</f>
        <v>0</v>
      </c>
      <c r="Y95" s="232">
        <f>SUM('PER BULAN'!V158:X158)</f>
        <v>0</v>
      </c>
      <c r="Z95" s="232">
        <f>SUM('PER BULAN'!Y158:AA158)</f>
        <v>0</v>
      </c>
      <c r="AA95" s="232">
        <f>SUM('PER BULAN'!AB158:AD158)</f>
        <v>0</v>
      </c>
      <c r="AB95" s="232">
        <f>SUM('PER BULAN'!AE158:AG158)</f>
        <v>0</v>
      </c>
      <c r="AC95" s="232">
        <f>SUM('PER BULAN'!AH158:AJ158)</f>
        <v>0</v>
      </c>
      <c r="AD95" s="232">
        <f>SUM('PER BULAN'!AK158:AM158)</f>
        <v>0</v>
      </c>
      <c r="AE95" s="232">
        <f>SUM('PER BULAN'!AN158:AP158)</f>
        <v>0</v>
      </c>
      <c r="AF95" s="232">
        <f>SUM('PER BULAN'!AQ158:AS158)</f>
        <v>0</v>
      </c>
      <c r="AG95" s="218" t="s">
        <v>530</v>
      </c>
      <c r="AH95" s="218" t="s">
        <v>542</v>
      </c>
      <c r="AI95" s="218" t="s">
        <v>543</v>
      </c>
      <c r="AJ95" s="218" t="s">
        <v>3891</v>
      </c>
      <c r="AK95" s="218" t="s">
        <v>3892</v>
      </c>
      <c r="AL95" s="384">
        <f t="shared" si="7"/>
        <v>0</v>
      </c>
      <c r="AM95" s="231">
        <f t="shared" si="8"/>
        <v>0</v>
      </c>
      <c r="AN95" s="384">
        <f t="shared" si="9"/>
        <v>0</v>
      </c>
      <c r="AO95" s="231">
        <f t="shared" si="10"/>
        <v>0</v>
      </c>
      <c r="AP95" s="218" t="str">
        <f t="shared" si="11"/>
        <v>WA.2378.EBD.952.301.B.522151</v>
      </c>
      <c r="AQ95" s="218" t="str">
        <f>IF(ISNUMBER(SEARCH("COVID",SP2D[[#This Row],[Akun]])),"COVID","Non COVID")</f>
        <v>Non COVID</v>
      </c>
      <c r="AR9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9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5" s="232">
        <f>SUM('PER BULAN'!BA158)</f>
        <v>0</v>
      </c>
      <c r="AU95" s="232">
        <f>SUM('PER BULAN'!BB158)</f>
        <v>0</v>
      </c>
      <c r="AV95" s="232">
        <f>SUM('PER BULAN'!BC158)</f>
        <v>0</v>
      </c>
      <c r="AW95" s="232">
        <f>SUM('PER BULAN'!BD158)</f>
        <v>0</v>
      </c>
      <c r="AX95" s="232">
        <f>SUM('PER BULAN'!BE158)</f>
        <v>0</v>
      </c>
      <c r="AY95" s="232">
        <f>SUM('PER BULAN'!BF158)</f>
        <v>0</v>
      </c>
      <c r="AZ95" s="232">
        <f>SUM('PER BULAN'!BG158)</f>
        <v>0</v>
      </c>
      <c r="BA95" s="232">
        <f>SUM('PER BULAN'!BH158)</f>
        <v>0</v>
      </c>
    </row>
    <row r="96" spans="1:53" s="219" customFormat="1" x14ac:dyDescent="0.25">
      <c r="A96" s="218" t="s">
        <v>3885</v>
      </c>
      <c r="B96" s="218" t="s">
        <v>3886</v>
      </c>
      <c r="C96" s="218" t="s">
        <v>3912</v>
      </c>
      <c r="D96" s="218" t="s">
        <v>3913</v>
      </c>
      <c r="E96" s="218" t="s">
        <v>197</v>
      </c>
      <c r="F96" s="218" t="s">
        <v>3914</v>
      </c>
      <c r="G96" s="218" t="s">
        <v>3959</v>
      </c>
      <c r="H96" s="218" t="s">
        <v>3960</v>
      </c>
      <c r="I96" s="218">
        <v>952</v>
      </c>
      <c r="J96" s="218" t="s">
        <v>3961</v>
      </c>
      <c r="K96" s="218">
        <v>301</v>
      </c>
      <c r="L96" s="218" t="s">
        <v>3962</v>
      </c>
      <c r="M96" s="218" t="s">
        <v>511</v>
      </c>
      <c r="N96" s="218" t="s">
        <v>3964</v>
      </c>
      <c r="O96" s="218">
        <v>524111</v>
      </c>
      <c r="P96" s="218" t="s">
        <v>3894</v>
      </c>
      <c r="Q96" s="165" cm="1">
        <f t="array" ref="Q96">SUM(_xlfn._xlws.FILTER(DIPA2[PaguRevisi],DIPA2[Akun]=SP2D[[#This Row],[Kode Akun]],0))</f>
        <v>45000000</v>
      </c>
      <c r="R96" s="350">
        <v>258688000</v>
      </c>
      <c r="S96" s="350"/>
      <c r="T96" s="350">
        <f>SP2D[[#This Row],[Pagu Semula]]-SP2D[[#This Row],[Pagu]]</f>
        <v>213688000</v>
      </c>
      <c r="U96" s="232">
        <f>SUM('PER BULAN'!J160:L160)</f>
        <v>0</v>
      </c>
      <c r="V96" s="232">
        <f>SUM('PER BULAN'!M159:O159)</f>
        <v>0</v>
      </c>
      <c r="W96" s="232">
        <f>SUM('PER BULAN'!P159:R159)</f>
        <v>0</v>
      </c>
      <c r="X96" s="232">
        <f>SUM('PER BULAN'!S159:U159)</f>
        <v>205000</v>
      </c>
      <c r="Y96" s="232">
        <f>SUM('PER BULAN'!V159:X159)</f>
        <v>4224000</v>
      </c>
      <c r="Z96" s="232">
        <f>SUM('PER BULAN'!Y159:AA159)</f>
        <v>0</v>
      </c>
      <c r="AA96" s="232">
        <f>SUM('PER BULAN'!AB159:AD159)</f>
        <v>0</v>
      </c>
      <c r="AB96" s="232">
        <f>SUM('PER BULAN'!AE159:AG159)</f>
        <v>0</v>
      </c>
      <c r="AC96" s="232">
        <f>SUM('PER BULAN'!AH159:AJ159)</f>
        <v>0</v>
      </c>
      <c r="AD96" s="232">
        <f>SUM('PER BULAN'!AK159:AM159)</f>
        <v>0</v>
      </c>
      <c r="AE96" s="232">
        <f>SUM('PER BULAN'!AN159:AP159)</f>
        <v>0</v>
      </c>
      <c r="AF96" s="232">
        <f>SUM('PER BULAN'!AQ159:AS159)</f>
        <v>0</v>
      </c>
      <c r="AG96" s="218" t="s">
        <v>530</v>
      </c>
      <c r="AH96" s="218" t="s">
        <v>542</v>
      </c>
      <c r="AI96" s="218" t="s">
        <v>543</v>
      </c>
      <c r="AJ96" s="218" t="s">
        <v>3891</v>
      </c>
      <c r="AK96" s="218" t="s">
        <v>3892</v>
      </c>
      <c r="AL96" s="384">
        <f t="shared" si="7"/>
        <v>4429000</v>
      </c>
      <c r="AM96" s="231">
        <f t="shared" si="8"/>
        <v>9.8422222222222224</v>
      </c>
      <c r="AN96" s="384">
        <f t="shared" si="9"/>
        <v>40571000</v>
      </c>
      <c r="AO96" s="231">
        <f t="shared" si="10"/>
        <v>90.157777777777781</v>
      </c>
      <c r="AP96" s="218" t="str">
        <f t="shared" si="11"/>
        <v>WA.2378.EBD.952.301.B.524111</v>
      </c>
      <c r="AQ96" s="218" t="str">
        <f>IF(ISNUMBER(SEARCH("COVID",SP2D[[#This Row],[Akun]])),"COVID","Non COVID")</f>
        <v>Non COVID</v>
      </c>
      <c r="AR9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6" s="232">
        <f>SUM('PER BULAN'!BA159)</f>
        <v>0</v>
      </c>
      <c r="AU96" s="232">
        <f>SUM('PER BULAN'!BB159)</f>
        <v>0</v>
      </c>
      <c r="AV96" s="232">
        <f>SUM('PER BULAN'!BC159)</f>
        <v>0</v>
      </c>
      <c r="AW96" s="232">
        <f>SUM('PER BULAN'!BD159)</f>
        <v>0</v>
      </c>
      <c r="AX96" s="232">
        <f>SUM('PER BULAN'!BE159)</f>
        <v>0</v>
      </c>
      <c r="AY96" s="232">
        <f>SUM('PER BULAN'!BF159)</f>
        <v>0</v>
      </c>
      <c r="AZ96" s="232">
        <f>SUM('PER BULAN'!BG159)</f>
        <v>0</v>
      </c>
      <c r="BA96" s="232">
        <f>SUM('PER BULAN'!BH159)</f>
        <v>0</v>
      </c>
    </row>
    <row r="97" spans="1:53" s="219" customFormat="1" x14ac:dyDescent="0.25">
      <c r="A97" s="218" t="s">
        <v>3885</v>
      </c>
      <c r="B97" s="218" t="s">
        <v>3886</v>
      </c>
      <c r="C97" s="218" t="s">
        <v>3912</v>
      </c>
      <c r="D97" s="218" t="s">
        <v>3913</v>
      </c>
      <c r="E97" s="218" t="s">
        <v>197</v>
      </c>
      <c r="F97" s="218" t="s">
        <v>3914</v>
      </c>
      <c r="G97" s="218" t="s">
        <v>3959</v>
      </c>
      <c r="H97" s="218" t="s">
        <v>3960</v>
      </c>
      <c r="I97" s="218">
        <v>952</v>
      </c>
      <c r="J97" s="218" t="s">
        <v>3961</v>
      </c>
      <c r="K97" s="218">
        <v>301</v>
      </c>
      <c r="L97" s="218" t="s">
        <v>3962</v>
      </c>
      <c r="M97" s="218" t="s">
        <v>512</v>
      </c>
      <c r="N97" s="218" t="s">
        <v>3965</v>
      </c>
      <c r="O97" s="218">
        <v>521211</v>
      </c>
      <c r="P97" s="218" t="s">
        <v>3890</v>
      </c>
      <c r="Q97" s="165" cm="1">
        <f t="array" ref="Q97">SUM(_xlfn._xlws.FILTER(DIPA2[PaguRevisi],DIPA2[Akun]=SP2D[[#This Row],[Kode Akun]],0))</f>
        <v>21000000</v>
      </c>
      <c r="R97" s="350">
        <v>39500000</v>
      </c>
      <c r="S97" s="350"/>
      <c r="T97" s="350">
        <f>SP2D[[#This Row],[Pagu Semula]]-SP2D[[#This Row],[Pagu]]</f>
        <v>18500000</v>
      </c>
      <c r="U97" s="232">
        <f>SUM('PER BULAN'!J161:L161)</f>
        <v>0</v>
      </c>
      <c r="V97" s="232">
        <f>SUM('PER BULAN'!M161:O161)</f>
        <v>0</v>
      </c>
      <c r="W97" s="232">
        <f>SUM('PER BULAN'!P161:R161)</f>
        <v>2955000</v>
      </c>
      <c r="X97" s="232">
        <f>SUM('PER BULAN'!S161:U161)</f>
        <v>0</v>
      </c>
      <c r="Y97" s="232">
        <f>SUM('PER BULAN'!V161:X161)</f>
        <v>2933500</v>
      </c>
      <c r="Z97" s="232">
        <f>SUM('PER BULAN'!Y161:AA161)</f>
        <v>10500000</v>
      </c>
      <c r="AA97" s="232">
        <f>SUM('PER BULAN'!AB161:AD161)</f>
        <v>0</v>
      </c>
      <c r="AB97" s="232">
        <f>SUM('PER BULAN'!AE161:AG161)</f>
        <v>0</v>
      </c>
      <c r="AC97" s="232">
        <f>SUM('PER BULAN'!AH161:AJ161)</f>
        <v>0</v>
      </c>
      <c r="AD97" s="232">
        <f>SUM('PER BULAN'!AK161:AM161)</f>
        <v>0</v>
      </c>
      <c r="AE97" s="232">
        <f>SUM('PER BULAN'!AN161:AP161)</f>
        <v>0</v>
      </c>
      <c r="AF97" s="232">
        <f>SUM('PER BULAN'!AQ161:AS161)</f>
        <v>0</v>
      </c>
      <c r="AG97" s="218" t="s">
        <v>530</v>
      </c>
      <c r="AH97" s="218" t="s">
        <v>542</v>
      </c>
      <c r="AI97" s="218" t="s">
        <v>543</v>
      </c>
      <c r="AJ97" s="218" t="s">
        <v>3891</v>
      </c>
      <c r="AK97" s="218" t="s">
        <v>3892</v>
      </c>
      <c r="AL97" s="384">
        <f t="shared" si="7"/>
        <v>16388500</v>
      </c>
      <c r="AM97" s="231">
        <f t="shared" si="8"/>
        <v>78.040476190476198</v>
      </c>
      <c r="AN97" s="384">
        <f t="shared" si="9"/>
        <v>4611500</v>
      </c>
      <c r="AO97" s="231">
        <f t="shared" si="10"/>
        <v>21.959523809523809</v>
      </c>
      <c r="AP97" s="218" t="str">
        <f t="shared" si="11"/>
        <v>WA.2378.EBD.952.301.C.521211</v>
      </c>
      <c r="AQ97" s="218" t="str">
        <f>IF(ISNUMBER(SEARCH("COVID",SP2D[[#This Row],[Akun]])),"COVID","Non COVID")</f>
        <v>Non COVID</v>
      </c>
      <c r="AR9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9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7" s="232">
        <f>SUM('PER BULAN'!BA161)</f>
        <v>0</v>
      </c>
      <c r="AU97" s="232">
        <f>SUM('PER BULAN'!BB161)</f>
        <v>2955000</v>
      </c>
      <c r="AV97" s="232">
        <f>SUM('PER BULAN'!BC161)</f>
        <v>0</v>
      </c>
      <c r="AW97" s="232">
        <f>SUM('PER BULAN'!BD161)</f>
        <v>0</v>
      </c>
      <c r="AX97" s="232">
        <f>SUM('PER BULAN'!BE161)</f>
        <v>0</v>
      </c>
      <c r="AY97" s="232">
        <f>SUM('PER BULAN'!BF161)</f>
        <v>0</v>
      </c>
      <c r="AZ97" s="232">
        <f>SUM('PER BULAN'!BG161)</f>
        <v>2933500</v>
      </c>
      <c r="BA97" s="232">
        <f>SUM('PER BULAN'!BH161)</f>
        <v>0</v>
      </c>
    </row>
    <row r="98" spans="1:53" s="219" customFormat="1" x14ac:dyDescent="0.25">
      <c r="A98" s="218" t="s">
        <v>3885</v>
      </c>
      <c r="B98" s="218" t="s">
        <v>3886</v>
      </c>
      <c r="C98" s="218" t="s">
        <v>3912</v>
      </c>
      <c r="D98" s="218" t="s">
        <v>3913</v>
      </c>
      <c r="E98" s="218" t="s">
        <v>197</v>
      </c>
      <c r="F98" s="218" t="s">
        <v>3914</v>
      </c>
      <c r="G98" s="218" t="s">
        <v>3959</v>
      </c>
      <c r="H98" s="218" t="s">
        <v>3960</v>
      </c>
      <c r="I98" s="218">
        <v>952</v>
      </c>
      <c r="J98" s="218" t="s">
        <v>3961</v>
      </c>
      <c r="K98" s="218">
        <v>301</v>
      </c>
      <c r="L98" s="218" t="s">
        <v>3962</v>
      </c>
      <c r="M98" s="218" t="s">
        <v>512</v>
      </c>
      <c r="N98" s="218" t="s">
        <v>3965</v>
      </c>
      <c r="O98" s="218">
        <v>521811</v>
      </c>
      <c r="P98" s="218" t="s">
        <v>3908</v>
      </c>
      <c r="Q98" s="165" cm="1">
        <f t="array" ref="Q98">SUM(_xlfn._xlws.FILTER(DIPA2[PaguRevisi],DIPA2[Akun]=SP2D[[#This Row],[Kode Akun]],0))</f>
        <v>17500000</v>
      </c>
      <c r="R98" s="350">
        <v>25000000</v>
      </c>
      <c r="S98" s="350"/>
      <c r="T98" s="350">
        <f>SP2D[[#This Row],[Pagu Semula]]-SP2D[[#This Row],[Pagu]]</f>
        <v>7500000</v>
      </c>
      <c r="U98" s="232">
        <f>SUM('PER BULAN'!J162:L162)</f>
        <v>0</v>
      </c>
      <c r="V98" s="232">
        <f>SUM('PER BULAN'!M162:O162)</f>
        <v>0</v>
      </c>
      <c r="W98" s="232">
        <f>SUM('PER BULAN'!P162:R162)</f>
        <v>4947750</v>
      </c>
      <c r="X98" s="232">
        <f>SUM('PER BULAN'!S162:U162)</f>
        <v>0</v>
      </c>
      <c r="Y98" s="232">
        <f>SUM('PER BULAN'!V162:X162)</f>
        <v>4878000</v>
      </c>
      <c r="Z98" s="232">
        <f>SUM('PER BULAN'!Y162:AA162)</f>
        <v>0</v>
      </c>
      <c r="AA98" s="232">
        <f>SUM('PER BULAN'!AB162:AD162)</f>
        <v>0</v>
      </c>
      <c r="AB98" s="232">
        <f>SUM('PER BULAN'!AE162:AG162)</f>
        <v>0</v>
      </c>
      <c r="AC98" s="232">
        <f>SUM('PER BULAN'!AH162:AJ162)</f>
        <v>0</v>
      </c>
      <c r="AD98" s="232">
        <f>SUM('PER BULAN'!AK162:AM162)</f>
        <v>0</v>
      </c>
      <c r="AE98" s="232">
        <f>SUM('PER BULAN'!AN162:AP162)</f>
        <v>0</v>
      </c>
      <c r="AF98" s="232">
        <f>SUM('PER BULAN'!AQ162:AS162)</f>
        <v>0</v>
      </c>
      <c r="AG98" s="218" t="s">
        <v>530</v>
      </c>
      <c r="AH98" s="218" t="s">
        <v>542</v>
      </c>
      <c r="AI98" s="218" t="s">
        <v>543</v>
      </c>
      <c r="AJ98" s="218" t="s">
        <v>3891</v>
      </c>
      <c r="AK98" s="218" t="s">
        <v>3892</v>
      </c>
      <c r="AL98" s="384">
        <f t="shared" si="7"/>
        <v>9825750</v>
      </c>
      <c r="AM98" s="231">
        <f t="shared" si="8"/>
        <v>56.14714285714286</v>
      </c>
      <c r="AN98" s="384">
        <f t="shared" si="9"/>
        <v>7674250</v>
      </c>
      <c r="AO98" s="231">
        <f t="shared" si="10"/>
        <v>43.852857142857147</v>
      </c>
      <c r="AP98" s="218" t="str">
        <f t="shared" si="11"/>
        <v>WA.2378.EBD.952.301.C.521811</v>
      </c>
      <c r="AQ98" s="218" t="str">
        <f>IF(ISNUMBER(SEARCH("COVID",SP2D[[#This Row],[Akun]])),"COVID","Non COVID")</f>
        <v>Non COVID</v>
      </c>
      <c r="AR9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8" s="232">
        <f>SUM('PER BULAN'!BA162)</f>
        <v>0</v>
      </c>
      <c r="AU98" s="232">
        <f>SUM('PER BULAN'!BB162)</f>
        <v>4947750</v>
      </c>
      <c r="AV98" s="232">
        <f>SUM('PER BULAN'!BC162)</f>
        <v>0</v>
      </c>
      <c r="AW98" s="232">
        <f>SUM('PER BULAN'!BD162)</f>
        <v>0</v>
      </c>
      <c r="AX98" s="232">
        <f>SUM('PER BULAN'!BE162)</f>
        <v>0</v>
      </c>
      <c r="AY98" s="232">
        <f>SUM('PER BULAN'!BF162)</f>
        <v>0</v>
      </c>
      <c r="AZ98" s="232">
        <f>SUM('PER BULAN'!BG162)</f>
        <v>4878000</v>
      </c>
      <c r="BA98" s="232">
        <f>SUM('PER BULAN'!BH162)</f>
        <v>0</v>
      </c>
    </row>
    <row r="99" spans="1:53" s="219" customFormat="1" x14ac:dyDescent="0.25">
      <c r="A99" s="218" t="s">
        <v>3885</v>
      </c>
      <c r="B99" s="218" t="s">
        <v>3886</v>
      </c>
      <c r="C99" s="218" t="s">
        <v>3912</v>
      </c>
      <c r="D99" s="218" t="s">
        <v>3913</v>
      </c>
      <c r="E99" s="218" t="s">
        <v>197</v>
      </c>
      <c r="F99" s="218" t="s">
        <v>3914</v>
      </c>
      <c r="G99" s="218" t="s">
        <v>3959</v>
      </c>
      <c r="H99" s="218" t="s">
        <v>3960</v>
      </c>
      <c r="I99" s="218">
        <v>952</v>
      </c>
      <c r="J99" s="218" t="s">
        <v>3961</v>
      </c>
      <c r="K99" s="218">
        <v>301</v>
      </c>
      <c r="L99" s="218" t="s">
        <v>3962</v>
      </c>
      <c r="M99" s="218" t="s">
        <v>512</v>
      </c>
      <c r="N99" s="218" t="s">
        <v>3965</v>
      </c>
      <c r="O99" s="218">
        <v>522151</v>
      </c>
      <c r="P99" s="218" t="s">
        <v>3893</v>
      </c>
      <c r="Q99" s="165" cm="1">
        <f t="array" ref="Q99">SUM(_xlfn._xlws.FILTER(DIPA2[PaguRevisi],DIPA2[Akun]=SP2D[[#This Row],[Kode Akun]],0))</f>
        <v>0</v>
      </c>
      <c r="R99" s="350">
        <v>10000000</v>
      </c>
      <c r="S99" s="350"/>
      <c r="T99" s="350">
        <f>SP2D[[#This Row],[Pagu Semula]]-SP2D[[#This Row],[Pagu]]</f>
        <v>10000000</v>
      </c>
      <c r="U99" s="232">
        <f>SUM('PER BULAN'!J163:L163)</f>
        <v>0</v>
      </c>
      <c r="V99" s="232">
        <f>SUM('PER BULAN'!M163:O163)</f>
        <v>0</v>
      </c>
      <c r="W99" s="232">
        <f>SUM('PER BULAN'!P163:R163)</f>
        <v>0</v>
      </c>
      <c r="X99" s="232">
        <f>SUM('PER BULAN'!S163:U163)</f>
        <v>0</v>
      </c>
      <c r="Y99" s="232">
        <f>SUM('PER BULAN'!V163:X163)</f>
        <v>0</v>
      </c>
      <c r="Z99" s="232">
        <f>SUM('PER BULAN'!Y163:AA163)</f>
        <v>0</v>
      </c>
      <c r="AA99" s="232">
        <f>SUM('PER BULAN'!AB163:AD163)</f>
        <v>0</v>
      </c>
      <c r="AB99" s="232">
        <f>SUM('PER BULAN'!AE163:AG163)</f>
        <v>0</v>
      </c>
      <c r="AC99" s="232">
        <f>SUM('PER BULAN'!AH163:AJ163)</f>
        <v>0</v>
      </c>
      <c r="AD99" s="232">
        <f>SUM('PER BULAN'!AK163:AM163)</f>
        <v>0</v>
      </c>
      <c r="AE99" s="232">
        <f>SUM('PER BULAN'!AN163:AP163)</f>
        <v>0</v>
      </c>
      <c r="AF99" s="232">
        <f>SUM('PER BULAN'!AQ163:AS163)</f>
        <v>0</v>
      </c>
      <c r="AG99" s="218" t="s">
        <v>530</v>
      </c>
      <c r="AH99" s="218" t="s">
        <v>542</v>
      </c>
      <c r="AI99" s="218" t="s">
        <v>543</v>
      </c>
      <c r="AJ99" s="218" t="s">
        <v>3891</v>
      </c>
      <c r="AK99" s="218" t="s">
        <v>3892</v>
      </c>
      <c r="AL99" s="384">
        <f t="shared" si="7"/>
        <v>0</v>
      </c>
      <c r="AM99" s="231">
        <f t="shared" si="8"/>
        <v>0</v>
      </c>
      <c r="AN99" s="384">
        <f t="shared" si="9"/>
        <v>0</v>
      </c>
      <c r="AO99" s="231">
        <f t="shared" si="10"/>
        <v>0</v>
      </c>
      <c r="AP99" s="218" t="str">
        <f t="shared" si="11"/>
        <v>WA.2378.EBD.952.301.C.522151</v>
      </c>
      <c r="AQ99" s="218" t="str">
        <f>IF(ISNUMBER(SEARCH("COVID",SP2D[[#This Row],[Akun]])),"COVID","Non COVID")</f>
        <v>Non COVID</v>
      </c>
      <c r="AR9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9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9" s="232">
        <f>SUM('PER BULAN'!BA163)</f>
        <v>0</v>
      </c>
      <c r="AU99" s="232">
        <f>SUM('PER BULAN'!BB163)</f>
        <v>0</v>
      </c>
      <c r="AV99" s="232">
        <f>SUM('PER BULAN'!BC163)</f>
        <v>0</v>
      </c>
      <c r="AW99" s="232">
        <f>SUM('PER BULAN'!BD163)</f>
        <v>0</v>
      </c>
      <c r="AX99" s="232">
        <f>SUM('PER BULAN'!BE163)</f>
        <v>0</v>
      </c>
      <c r="AY99" s="232">
        <f>SUM('PER BULAN'!BF163)</f>
        <v>0</v>
      </c>
      <c r="AZ99" s="232">
        <f>SUM('PER BULAN'!BG163)</f>
        <v>0</v>
      </c>
      <c r="BA99" s="232">
        <f>SUM('PER BULAN'!BH163)</f>
        <v>0</v>
      </c>
    </row>
    <row r="100" spans="1:53" s="219" customFormat="1" x14ac:dyDescent="0.25">
      <c r="A100" s="218" t="s">
        <v>3885</v>
      </c>
      <c r="B100" s="218" t="s">
        <v>3886</v>
      </c>
      <c r="C100" s="218" t="s">
        <v>3912</v>
      </c>
      <c r="D100" s="218" t="s">
        <v>3913</v>
      </c>
      <c r="E100" s="218" t="s">
        <v>197</v>
      </c>
      <c r="F100" s="218" t="s">
        <v>3914</v>
      </c>
      <c r="G100" s="218" t="s">
        <v>3959</v>
      </c>
      <c r="H100" s="218" t="s">
        <v>3960</v>
      </c>
      <c r="I100" s="218">
        <v>952</v>
      </c>
      <c r="J100" s="218" t="s">
        <v>3961</v>
      </c>
      <c r="K100" s="218">
        <v>301</v>
      </c>
      <c r="L100" s="218" t="s">
        <v>3962</v>
      </c>
      <c r="M100" s="218" t="s">
        <v>512</v>
      </c>
      <c r="N100" s="218" t="s">
        <v>3965</v>
      </c>
      <c r="O100" s="218">
        <v>524111</v>
      </c>
      <c r="P100" s="218" t="s">
        <v>3894</v>
      </c>
      <c r="Q100" s="165" cm="1">
        <f t="array" ref="Q100">SUM(_xlfn._xlws.FILTER(DIPA2[PaguRevisi],DIPA2[Akun]=SP2D[[#This Row],[Kode Akun]],0))</f>
        <v>41908000</v>
      </c>
      <c r="R100" s="350">
        <v>93600000</v>
      </c>
      <c r="S100" s="350"/>
      <c r="T100" s="350">
        <f>SP2D[[#This Row],[Pagu Semula]]-SP2D[[#This Row],[Pagu]]</f>
        <v>51692000</v>
      </c>
      <c r="U100" s="232">
        <f>SUM('PER BULAN'!J167:L167)</f>
        <v>0</v>
      </c>
      <c r="V100" s="232">
        <f>SUM('PER BULAN'!M164:O164)</f>
        <v>9587800</v>
      </c>
      <c r="W100" s="232">
        <f>SUM('PER BULAN'!P164:R164)</f>
        <v>22390000</v>
      </c>
      <c r="X100" s="232">
        <f>SUM('PER BULAN'!S164:U164)</f>
        <v>6330000</v>
      </c>
      <c r="Y100" s="232">
        <f>SUM('PER BULAN'!V164:X164)</f>
        <v>3600000</v>
      </c>
      <c r="Z100" s="232">
        <f>SUM('PER BULAN'!Y164:AA164)</f>
        <v>0</v>
      </c>
      <c r="AA100" s="232">
        <f>SUM('PER BULAN'!AB164:AD164)</f>
        <v>0</v>
      </c>
      <c r="AB100" s="232">
        <f>SUM('PER BULAN'!AE164:AG164)</f>
        <v>0</v>
      </c>
      <c r="AC100" s="232">
        <f>SUM('PER BULAN'!AH164:AJ164)</f>
        <v>0</v>
      </c>
      <c r="AD100" s="232">
        <f>SUM('PER BULAN'!AK164:AM164)</f>
        <v>0</v>
      </c>
      <c r="AE100" s="232">
        <f>SUM('PER BULAN'!AN164:AP164)</f>
        <v>0</v>
      </c>
      <c r="AF100" s="232">
        <f>SUM('PER BULAN'!AQ164:AS164)</f>
        <v>0</v>
      </c>
      <c r="AG100" s="218" t="s">
        <v>530</v>
      </c>
      <c r="AH100" s="218" t="s">
        <v>542</v>
      </c>
      <c r="AI100" s="218" t="s">
        <v>543</v>
      </c>
      <c r="AJ100" s="218" t="s">
        <v>3891</v>
      </c>
      <c r="AK100" s="218" t="s">
        <v>3892</v>
      </c>
      <c r="AL100" s="384">
        <f t="shared" si="7"/>
        <v>41907800</v>
      </c>
      <c r="AM100" s="231">
        <f t="shared" si="8"/>
        <v>99.999522764150043</v>
      </c>
      <c r="AN100" s="384">
        <f t="shared" si="9"/>
        <v>200</v>
      </c>
      <c r="AO100" s="231">
        <f t="shared" si="10"/>
        <v>4.7723584995704876E-4</v>
      </c>
      <c r="AP100" s="218" t="str">
        <f t="shared" si="11"/>
        <v>WA.2378.EBD.952.301.C.524111</v>
      </c>
      <c r="AQ100" s="218" t="str">
        <f>IF(ISNUMBER(SEARCH("COVID",SP2D[[#This Row],[Akun]])),"COVID","Non COVID")</f>
        <v>Non COVID</v>
      </c>
      <c r="AR10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0" s="232">
        <f>SUM('PER BULAN'!BA164)</f>
        <v>0</v>
      </c>
      <c r="AU100" s="232">
        <f>SUM('PER BULAN'!BB164)</f>
        <v>17350000</v>
      </c>
      <c r="AV100" s="232">
        <f>SUM('PER BULAN'!BC164)</f>
        <v>5040000</v>
      </c>
      <c r="AW100" s="232">
        <f>SUM('PER BULAN'!BD164)</f>
        <v>0</v>
      </c>
      <c r="AX100" s="232">
        <f>SUM('PER BULAN'!BE164)</f>
        <v>0</v>
      </c>
      <c r="AY100" s="232">
        <f>SUM('PER BULAN'!BF164)</f>
        <v>0</v>
      </c>
      <c r="AZ100" s="232">
        <f>SUM('PER BULAN'!BG164)</f>
        <v>0</v>
      </c>
      <c r="BA100" s="232">
        <f>SUM('PER BULAN'!BH164)</f>
        <v>0</v>
      </c>
    </row>
    <row r="101" spans="1:53" s="219" customFormat="1" x14ac:dyDescent="0.25">
      <c r="A101" s="218" t="s">
        <v>3885</v>
      </c>
      <c r="B101" s="218" t="s">
        <v>3886</v>
      </c>
      <c r="C101" s="218" t="s">
        <v>3912</v>
      </c>
      <c r="D101" s="218" t="s">
        <v>3913</v>
      </c>
      <c r="E101" s="218" t="s">
        <v>197</v>
      </c>
      <c r="F101" s="218" t="s">
        <v>3914</v>
      </c>
      <c r="G101" s="218" t="s">
        <v>3959</v>
      </c>
      <c r="H101" s="218" t="s">
        <v>3960</v>
      </c>
      <c r="I101" s="218">
        <v>953</v>
      </c>
      <c r="J101" s="218" t="s">
        <v>3967</v>
      </c>
      <c r="K101" s="218">
        <v>301</v>
      </c>
      <c r="L101" s="218" t="s">
        <v>3966</v>
      </c>
      <c r="M101" s="218" t="s">
        <v>8</v>
      </c>
      <c r="N101" s="218" t="s">
        <v>3918</v>
      </c>
      <c r="O101" s="218">
        <v>521211</v>
      </c>
      <c r="P101" s="218" t="s">
        <v>3890</v>
      </c>
      <c r="Q101" s="165" cm="1">
        <f t="array" ref="Q101">SUM(_xlfn._xlws.FILTER(DIPA2[PaguRevisi],DIPA2[Akun]=SP2D[[#This Row],[Kode Akun]],0))</f>
        <v>23250000</v>
      </c>
      <c r="R101" s="350">
        <v>46000000</v>
      </c>
      <c r="S101" s="350"/>
      <c r="T101" s="350">
        <f>SP2D[[#This Row],[Pagu Semula]]-SP2D[[#This Row],[Pagu]]</f>
        <v>22750000</v>
      </c>
      <c r="U101" s="232">
        <f>SUM('PER BULAN'!J168:L168)</f>
        <v>0</v>
      </c>
      <c r="V101" s="232">
        <f>SUM('PER BULAN'!M168:O168)</f>
        <v>0</v>
      </c>
      <c r="W101" s="232">
        <f>SUM('PER BULAN'!P168:R168)</f>
        <v>0</v>
      </c>
      <c r="X101" s="232">
        <f>SUM('PER BULAN'!S168:U168)</f>
        <v>0</v>
      </c>
      <c r="Y101" s="232">
        <f>SUM('PER BULAN'!V168:X168)</f>
        <v>6278500</v>
      </c>
      <c r="Z101" s="232">
        <f>SUM('PER BULAN'!Y168:AA168)</f>
        <v>0</v>
      </c>
      <c r="AA101" s="232">
        <f>SUM('PER BULAN'!AB168:AD168)</f>
        <v>0</v>
      </c>
      <c r="AB101" s="232">
        <f>SUM('PER BULAN'!AE168:AG168)</f>
        <v>0</v>
      </c>
      <c r="AC101" s="232">
        <f>SUM('PER BULAN'!AH168:AJ168)</f>
        <v>0</v>
      </c>
      <c r="AD101" s="232">
        <f>SUM('PER BULAN'!AK168:AM168)</f>
        <v>0</v>
      </c>
      <c r="AE101" s="232">
        <f>SUM('PER BULAN'!AN168:AP168)</f>
        <v>0</v>
      </c>
      <c r="AF101" s="232">
        <f>SUM('PER BULAN'!AQ168:AS168)</f>
        <v>0</v>
      </c>
      <c r="AG101" s="218" t="s">
        <v>530</v>
      </c>
      <c r="AH101" s="218" t="s">
        <v>542</v>
      </c>
      <c r="AI101" s="218" t="s">
        <v>591</v>
      </c>
      <c r="AJ101" s="218" t="s">
        <v>3891</v>
      </c>
      <c r="AK101" s="218" t="s">
        <v>3892</v>
      </c>
      <c r="AL101" s="384">
        <f t="shared" si="7"/>
        <v>6278500</v>
      </c>
      <c r="AM101" s="231">
        <f t="shared" si="8"/>
        <v>27.004301075268817</v>
      </c>
      <c r="AN101" s="384">
        <f t="shared" si="9"/>
        <v>16971500</v>
      </c>
      <c r="AO101" s="231">
        <f t="shared" si="10"/>
        <v>72.995698924731172</v>
      </c>
      <c r="AP101" s="218" t="str">
        <f t="shared" si="11"/>
        <v>WA.2378.EBD.953.301.A.521211</v>
      </c>
      <c r="AQ101" s="218" t="str">
        <f>IF(ISNUMBER(SEARCH("COVID",SP2D[[#This Row],[Akun]])),"COVID","Non COVID")</f>
        <v>Non COVID</v>
      </c>
      <c r="AR10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1" s="232">
        <f>SUM('PER BULAN'!BA168)</f>
        <v>0</v>
      </c>
      <c r="AU101" s="232">
        <f>SUM('PER BULAN'!BB168)</f>
        <v>0</v>
      </c>
      <c r="AV101" s="232">
        <f>SUM('PER BULAN'!BC168)</f>
        <v>0</v>
      </c>
      <c r="AW101" s="232">
        <f>SUM('PER BULAN'!BD168)</f>
        <v>0</v>
      </c>
      <c r="AX101" s="232">
        <f>SUM('PER BULAN'!BE168)</f>
        <v>0</v>
      </c>
      <c r="AY101" s="232">
        <f>SUM('PER BULAN'!BF168)</f>
        <v>0</v>
      </c>
      <c r="AZ101" s="232">
        <f>SUM('PER BULAN'!BG168)</f>
        <v>6278500</v>
      </c>
      <c r="BA101" s="232">
        <f>SUM('PER BULAN'!BH168)</f>
        <v>0</v>
      </c>
    </row>
    <row r="102" spans="1:53" s="219" customFormat="1" x14ac:dyDescent="0.25">
      <c r="A102" s="218" t="s">
        <v>3885</v>
      </c>
      <c r="B102" s="218" t="s">
        <v>3886</v>
      </c>
      <c r="C102" s="218" t="s">
        <v>3912</v>
      </c>
      <c r="D102" s="218" t="s">
        <v>3913</v>
      </c>
      <c r="E102" s="218" t="s">
        <v>197</v>
      </c>
      <c r="F102" s="218" t="s">
        <v>3914</v>
      </c>
      <c r="G102" s="218" t="s">
        <v>3959</v>
      </c>
      <c r="H102" s="218" t="s">
        <v>3960</v>
      </c>
      <c r="I102" s="218">
        <v>953</v>
      </c>
      <c r="J102" s="218" t="s">
        <v>3967</v>
      </c>
      <c r="K102" s="218">
        <v>301</v>
      </c>
      <c r="L102" s="218" t="s">
        <v>3966</v>
      </c>
      <c r="M102" s="218" t="s">
        <v>8</v>
      </c>
      <c r="N102" s="218" t="s">
        <v>3918</v>
      </c>
      <c r="O102" s="218">
        <v>521219</v>
      </c>
      <c r="P102" s="218" t="s">
        <v>3903</v>
      </c>
      <c r="Q102" s="165" cm="1">
        <f t="array" ref="Q102">SUM(_xlfn._xlws.FILTER(DIPA2[PaguRevisi],DIPA2[Akun]=SP2D[[#This Row],[Kode Akun]],0))</f>
        <v>2000000</v>
      </c>
      <c r="R102" s="350">
        <v>2000000</v>
      </c>
      <c r="S102" s="350"/>
      <c r="T102" s="350">
        <f>SP2D[[#This Row],[Pagu Semula]]-SP2D[[#This Row],[Pagu]]</f>
        <v>0</v>
      </c>
      <c r="U102" s="232">
        <f>SUM('PER BULAN'!J169:L169)</f>
        <v>0</v>
      </c>
      <c r="V102" s="232">
        <f>SUM('PER BULAN'!M169:O169)</f>
        <v>0</v>
      </c>
      <c r="W102" s="232">
        <f>SUM('PER BULAN'!P169:R169)</f>
        <v>499528</v>
      </c>
      <c r="X102" s="232">
        <f>SUM('PER BULAN'!S169:U169)</f>
        <v>0</v>
      </c>
      <c r="Y102" s="232">
        <f>SUM('PER BULAN'!V169:X169)</f>
        <v>0</v>
      </c>
      <c r="Z102" s="232">
        <f>SUM('PER BULAN'!Y169:AA169)</f>
        <v>0</v>
      </c>
      <c r="AA102" s="232">
        <f>SUM('PER BULAN'!AB169:AD169)</f>
        <v>0</v>
      </c>
      <c r="AB102" s="232">
        <f>SUM('PER BULAN'!AE169:AG169)</f>
        <v>0</v>
      </c>
      <c r="AC102" s="232">
        <f>SUM('PER BULAN'!AH169:AJ169)</f>
        <v>0</v>
      </c>
      <c r="AD102" s="232">
        <f>SUM('PER BULAN'!AK169:AM169)</f>
        <v>0</v>
      </c>
      <c r="AE102" s="232">
        <f>SUM('PER BULAN'!AN169:AP169)</f>
        <v>0</v>
      </c>
      <c r="AF102" s="232">
        <f>SUM('PER BULAN'!AQ169:AS169)</f>
        <v>0</v>
      </c>
      <c r="AG102" s="218" t="s">
        <v>530</v>
      </c>
      <c r="AH102" s="218" t="s">
        <v>542</v>
      </c>
      <c r="AI102" s="218" t="s">
        <v>591</v>
      </c>
      <c r="AJ102" s="218" t="s">
        <v>3891</v>
      </c>
      <c r="AK102" s="218" t="s">
        <v>3892</v>
      </c>
      <c r="AL102" s="384">
        <f t="shared" si="7"/>
        <v>499528</v>
      </c>
      <c r="AM102" s="231">
        <f t="shared" si="8"/>
        <v>24.976400000000002</v>
      </c>
      <c r="AN102" s="384">
        <f t="shared" si="9"/>
        <v>1500472</v>
      </c>
      <c r="AO102" s="231">
        <f t="shared" si="10"/>
        <v>75.023600000000002</v>
      </c>
      <c r="AP102" s="218" t="str">
        <f t="shared" si="11"/>
        <v>WA.2378.EBD.953.301.A.521219</v>
      </c>
      <c r="AQ102" s="218" t="str">
        <f>IF(ISNUMBER(SEARCH("COVID",SP2D[[#This Row],[Akun]])),"COVID","Non COVID")</f>
        <v>Non COVID</v>
      </c>
      <c r="AR10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0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2" s="232">
        <f>SUM('PER BULAN'!BA169)</f>
        <v>0</v>
      </c>
      <c r="AU102" s="232">
        <f>SUM('PER BULAN'!BB169)</f>
        <v>499528</v>
      </c>
      <c r="AV102" s="232">
        <f>SUM('PER BULAN'!BC169)</f>
        <v>0</v>
      </c>
      <c r="AW102" s="232">
        <f>SUM('PER BULAN'!BD169)</f>
        <v>0</v>
      </c>
      <c r="AX102" s="232">
        <f>SUM('PER BULAN'!BE169)</f>
        <v>0</v>
      </c>
      <c r="AY102" s="232">
        <f>SUM('PER BULAN'!BF169)</f>
        <v>0</v>
      </c>
      <c r="AZ102" s="232">
        <f>SUM('PER BULAN'!BG169)</f>
        <v>0</v>
      </c>
      <c r="BA102" s="232">
        <f>SUM('PER BULAN'!BH169)</f>
        <v>0</v>
      </c>
    </row>
    <row r="103" spans="1:53" s="219" customFormat="1" x14ac:dyDescent="0.25">
      <c r="A103" s="218" t="s">
        <v>3885</v>
      </c>
      <c r="B103" s="218" t="s">
        <v>3886</v>
      </c>
      <c r="C103" s="218" t="s">
        <v>3912</v>
      </c>
      <c r="D103" s="218" t="s">
        <v>3913</v>
      </c>
      <c r="E103" s="218" t="s">
        <v>197</v>
      </c>
      <c r="F103" s="218" t="s">
        <v>3914</v>
      </c>
      <c r="G103" s="218" t="s">
        <v>3959</v>
      </c>
      <c r="H103" s="218" t="s">
        <v>3960</v>
      </c>
      <c r="I103" s="218">
        <v>953</v>
      </c>
      <c r="J103" s="218" t="s">
        <v>3967</v>
      </c>
      <c r="K103" s="218">
        <v>301</v>
      </c>
      <c r="L103" s="218" t="s">
        <v>3966</v>
      </c>
      <c r="M103" s="218" t="s">
        <v>8</v>
      </c>
      <c r="N103" s="218" t="s">
        <v>3918</v>
      </c>
      <c r="O103" s="218">
        <v>524111</v>
      </c>
      <c r="P103" s="218" t="s">
        <v>3894</v>
      </c>
      <c r="Q103" s="165" cm="1">
        <f t="array" ref="Q103">SUM(_xlfn._xlws.FILTER(DIPA2[PaguRevisi],DIPA2[Akun]=SP2D[[#This Row],[Kode Akun]],0))</f>
        <v>18539000</v>
      </c>
      <c r="R103" s="350">
        <v>247200000</v>
      </c>
      <c r="S103" s="350"/>
      <c r="T103" s="350">
        <f>SP2D[[#This Row],[Pagu Semula]]-SP2D[[#This Row],[Pagu]]</f>
        <v>228661000</v>
      </c>
      <c r="U103" s="232">
        <f>SUM('PER BULAN'!J171:L171)</f>
        <v>0</v>
      </c>
      <c r="V103" s="232">
        <f>SUM('PER BULAN'!M170:O170)</f>
        <v>0</v>
      </c>
      <c r="W103" s="232">
        <f>SUM('PER BULAN'!P170:R170)</f>
        <v>0</v>
      </c>
      <c r="X103" s="232">
        <f>SUM('PER BULAN'!S170:U170)</f>
        <v>0</v>
      </c>
      <c r="Y103" s="232">
        <f>SUM('PER BULAN'!V170:X170)</f>
        <v>0</v>
      </c>
      <c r="Z103" s="232">
        <f>SUM('PER BULAN'!Y170:AA170)</f>
        <v>0</v>
      </c>
      <c r="AA103" s="232">
        <f>SUM('PER BULAN'!AB170:AD170)</f>
        <v>0</v>
      </c>
      <c r="AB103" s="232">
        <f>SUM('PER BULAN'!AE170:AG170)</f>
        <v>0</v>
      </c>
      <c r="AC103" s="232">
        <f>SUM('PER BULAN'!AH170:AJ170)</f>
        <v>0</v>
      </c>
      <c r="AD103" s="232">
        <f>SUM('PER BULAN'!AK170:AM170)</f>
        <v>0</v>
      </c>
      <c r="AE103" s="232">
        <f>SUM('PER BULAN'!AN170:AP170)</f>
        <v>0</v>
      </c>
      <c r="AF103" s="232">
        <f>SUM('PER BULAN'!AQ170:AS170)</f>
        <v>0</v>
      </c>
      <c r="AG103" s="218" t="s">
        <v>530</v>
      </c>
      <c r="AH103" s="218" t="s">
        <v>542</v>
      </c>
      <c r="AI103" s="218" t="s">
        <v>591</v>
      </c>
      <c r="AJ103" s="218" t="s">
        <v>3891</v>
      </c>
      <c r="AK103" s="218" t="s">
        <v>3892</v>
      </c>
      <c r="AL103" s="384">
        <f t="shared" si="7"/>
        <v>0</v>
      </c>
      <c r="AM103" s="231">
        <f t="shared" si="8"/>
        <v>0</v>
      </c>
      <c r="AN103" s="384">
        <f t="shared" si="9"/>
        <v>18539000</v>
      </c>
      <c r="AO103" s="231">
        <f t="shared" si="10"/>
        <v>100</v>
      </c>
      <c r="AP103" s="218" t="str">
        <f t="shared" si="11"/>
        <v>WA.2378.EBD.953.301.A.524111</v>
      </c>
      <c r="AQ103" s="218" t="str">
        <f>IF(ISNUMBER(SEARCH("COVID",SP2D[[#This Row],[Akun]])),"COVID","Non COVID")</f>
        <v>Non COVID</v>
      </c>
      <c r="AR10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3" s="232">
        <f>SUM('PER BULAN'!BA170)</f>
        <v>0</v>
      </c>
      <c r="AU103" s="232">
        <f>SUM('PER BULAN'!BB170)</f>
        <v>0</v>
      </c>
      <c r="AV103" s="232">
        <f>SUM('PER BULAN'!BC170)</f>
        <v>0</v>
      </c>
      <c r="AW103" s="232">
        <f>SUM('PER BULAN'!BD170)</f>
        <v>0</v>
      </c>
      <c r="AX103" s="232">
        <f>SUM('PER BULAN'!BE170)</f>
        <v>0</v>
      </c>
      <c r="AY103" s="232">
        <f>SUM('PER BULAN'!BF170)</f>
        <v>0</v>
      </c>
      <c r="AZ103" s="232">
        <f>SUM('PER BULAN'!BG170)</f>
        <v>0</v>
      </c>
      <c r="BA103" s="232">
        <f>SUM('PER BULAN'!BH170)</f>
        <v>0</v>
      </c>
    </row>
    <row r="104" spans="1:53" s="219" customFormat="1" x14ac:dyDescent="0.25">
      <c r="A104" s="218" t="s">
        <v>3885</v>
      </c>
      <c r="B104" s="218" t="s">
        <v>3886</v>
      </c>
      <c r="C104" s="218" t="s">
        <v>3912</v>
      </c>
      <c r="D104" s="218" t="s">
        <v>3913</v>
      </c>
      <c r="E104" s="218" t="s">
        <v>197</v>
      </c>
      <c r="F104" s="218" t="s">
        <v>3914</v>
      </c>
      <c r="G104" s="218" t="s">
        <v>3959</v>
      </c>
      <c r="H104" s="218" t="s">
        <v>3960</v>
      </c>
      <c r="I104" s="218">
        <v>953</v>
      </c>
      <c r="J104" s="218" t="s">
        <v>3967</v>
      </c>
      <c r="K104" s="218">
        <v>301</v>
      </c>
      <c r="L104" s="218" t="s">
        <v>3966</v>
      </c>
      <c r="M104" s="218" t="s">
        <v>511</v>
      </c>
      <c r="N104" s="218" t="s">
        <v>3919</v>
      </c>
      <c r="O104" s="218">
        <v>521211</v>
      </c>
      <c r="P104" s="218" t="s">
        <v>3890</v>
      </c>
      <c r="Q104" s="165" cm="1">
        <f t="array" ref="Q104">SUM(_xlfn._xlws.FILTER(DIPA2[PaguRevisi],DIPA2[Akun]=SP2D[[#This Row],[Kode Akun]],0))</f>
        <v>13525000</v>
      </c>
      <c r="R104" s="350">
        <v>41000000</v>
      </c>
      <c r="S104" s="350"/>
      <c r="T104" s="350">
        <f>SP2D[[#This Row],[Pagu Semula]]-SP2D[[#This Row],[Pagu]]</f>
        <v>27475000</v>
      </c>
      <c r="U104" s="232">
        <f>SUM('PER BULAN'!J172:L172)</f>
        <v>0</v>
      </c>
      <c r="V104" s="232">
        <f>SUM('PER BULAN'!M172:O172)</f>
        <v>0</v>
      </c>
      <c r="W104" s="232">
        <f>SUM('PER BULAN'!P172:R172)</f>
        <v>3379000</v>
      </c>
      <c r="X104" s="232">
        <f>SUM('PER BULAN'!S172:U172)</f>
        <v>0</v>
      </c>
      <c r="Y104" s="232">
        <f>SUM('PER BULAN'!V172:X172)</f>
        <v>3500000</v>
      </c>
      <c r="Z104" s="232">
        <f>SUM('PER BULAN'!Y172:AA172)</f>
        <v>2640000</v>
      </c>
      <c r="AA104" s="232">
        <f>SUM('PER BULAN'!AB172:AD172)</f>
        <v>0</v>
      </c>
      <c r="AB104" s="232">
        <f>SUM('PER BULAN'!AE172:AG172)</f>
        <v>0</v>
      </c>
      <c r="AC104" s="232">
        <f>SUM('PER BULAN'!AH172:AJ172)</f>
        <v>0</v>
      </c>
      <c r="AD104" s="232">
        <f>SUM('PER BULAN'!AK172:AM172)</f>
        <v>0</v>
      </c>
      <c r="AE104" s="232">
        <f>SUM('PER BULAN'!AN172:AP172)</f>
        <v>0</v>
      </c>
      <c r="AF104" s="232">
        <f>SUM('PER BULAN'!AQ172:AS172)</f>
        <v>0</v>
      </c>
      <c r="AG104" s="218" t="s">
        <v>530</v>
      </c>
      <c r="AH104" s="218" t="s">
        <v>542</v>
      </c>
      <c r="AI104" s="218" t="s">
        <v>591</v>
      </c>
      <c r="AJ104" s="218" t="s">
        <v>3891</v>
      </c>
      <c r="AK104" s="218" t="s">
        <v>3892</v>
      </c>
      <c r="AL104" s="384">
        <f t="shared" si="7"/>
        <v>9519000</v>
      </c>
      <c r="AM104" s="231">
        <f t="shared" si="8"/>
        <v>70.380776340110913</v>
      </c>
      <c r="AN104" s="384">
        <f t="shared" si="9"/>
        <v>4006000</v>
      </c>
      <c r="AO104" s="231">
        <f t="shared" si="10"/>
        <v>29.619223659889094</v>
      </c>
      <c r="AP104" s="218" t="str">
        <f t="shared" si="11"/>
        <v>WA.2378.EBD.953.301.B.521211</v>
      </c>
      <c r="AQ104" s="218" t="str">
        <f>IF(ISNUMBER(SEARCH("COVID",SP2D[[#This Row],[Akun]])),"COVID","Non COVID")</f>
        <v>Non COVID</v>
      </c>
      <c r="AR10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4" s="232">
        <f>SUM('PER BULAN'!BA172)</f>
        <v>0</v>
      </c>
      <c r="AU104" s="232">
        <f>SUM('PER BULAN'!BB172)</f>
        <v>2499000</v>
      </c>
      <c r="AV104" s="232">
        <f>SUM('PER BULAN'!BC172)</f>
        <v>880000</v>
      </c>
      <c r="AW104" s="232">
        <f>SUM('PER BULAN'!BD172)</f>
        <v>0</v>
      </c>
      <c r="AX104" s="232">
        <f>SUM('PER BULAN'!BE172)</f>
        <v>0</v>
      </c>
      <c r="AY104" s="232">
        <f>SUM('PER BULAN'!BF172)</f>
        <v>0</v>
      </c>
      <c r="AZ104" s="232">
        <f>SUM('PER BULAN'!BG172)</f>
        <v>3500000</v>
      </c>
      <c r="BA104" s="232">
        <f>SUM('PER BULAN'!BH172)</f>
        <v>2640000</v>
      </c>
    </row>
    <row r="105" spans="1:53" s="219" customFormat="1" x14ac:dyDescent="0.25">
      <c r="A105" s="218" t="s">
        <v>3885</v>
      </c>
      <c r="B105" s="218" t="s">
        <v>3886</v>
      </c>
      <c r="C105" s="218" t="s">
        <v>3912</v>
      </c>
      <c r="D105" s="218" t="s">
        <v>3913</v>
      </c>
      <c r="E105" s="218" t="s">
        <v>197</v>
      </c>
      <c r="F105" s="218" t="s">
        <v>3914</v>
      </c>
      <c r="G105" s="218" t="s">
        <v>3959</v>
      </c>
      <c r="H105" s="218" t="s">
        <v>3960</v>
      </c>
      <c r="I105" s="218">
        <v>953</v>
      </c>
      <c r="J105" s="218" t="s">
        <v>3967</v>
      </c>
      <c r="K105" s="218">
        <v>301</v>
      </c>
      <c r="L105" s="218" t="s">
        <v>3966</v>
      </c>
      <c r="M105" s="218" t="s">
        <v>511</v>
      </c>
      <c r="N105" s="218" t="s">
        <v>3919</v>
      </c>
      <c r="O105" s="218">
        <v>521219</v>
      </c>
      <c r="P105" s="218" t="s">
        <v>3903</v>
      </c>
      <c r="Q105" s="165" cm="1">
        <f t="array" ref="Q105">SUM(_xlfn._xlws.FILTER(DIPA2[PaguRevisi],DIPA2[Akun]=SP2D[[#This Row],[Kode Akun]],0))</f>
        <v>2000000</v>
      </c>
      <c r="R105" s="350">
        <v>32000000</v>
      </c>
      <c r="S105" s="350"/>
      <c r="T105" s="350">
        <f>SP2D[[#This Row],[Pagu Semula]]-SP2D[[#This Row],[Pagu]]</f>
        <v>30000000</v>
      </c>
      <c r="U105" s="232">
        <f>SUM('PER BULAN'!J173:L173)</f>
        <v>0</v>
      </c>
      <c r="V105" s="232">
        <f>SUM('PER BULAN'!M173:O173)</f>
        <v>0</v>
      </c>
      <c r="W105" s="232">
        <f>SUM('PER BULAN'!P173:R173)</f>
        <v>0</v>
      </c>
      <c r="X105" s="232">
        <f>SUM('PER BULAN'!S173:U173)</f>
        <v>0</v>
      </c>
      <c r="Y105" s="232">
        <f>SUM('PER BULAN'!V173:X173)</f>
        <v>603014</v>
      </c>
      <c r="Z105" s="232">
        <f>SUM('PER BULAN'!Y173:AA173)</f>
        <v>0</v>
      </c>
      <c r="AA105" s="232">
        <f>SUM('PER BULAN'!AB173:AD173)</f>
        <v>0</v>
      </c>
      <c r="AB105" s="232">
        <f>SUM('PER BULAN'!AE173:AG173)</f>
        <v>0</v>
      </c>
      <c r="AC105" s="232">
        <f>SUM('PER BULAN'!AH173:AJ173)</f>
        <v>0</v>
      </c>
      <c r="AD105" s="232">
        <f>SUM('PER BULAN'!AK173:AM173)</f>
        <v>0</v>
      </c>
      <c r="AE105" s="232">
        <f>SUM('PER BULAN'!AN173:AP173)</f>
        <v>0</v>
      </c>
      <c r="AF105" s="232">
        <f>SUM('PER BULAN'!AQ173:AS173)</f>
        <v>0</v>
      </c>
      <c r="AG105" s="218" t="s">
        <v>530</v>
      </c>
      <c r="AH105" s="218" t="s">
        <v>542</v>
      </c>
      <c r="AI105" s="218" t="s">
        <v>591</v>
      </c>
      <c r="AJ105" s="218" t="s">
        <v>3891</v>
      </c>
      <c r="AK105" s="218" t="s">
        <v>3892</v>
      </c>
      <c r="AL105" s="384">
        <f t="shared" si="7"/>
        <v>603014</v>
      </c>
      <c r="AM105" s="231">
        <f t="shared" si="8"/>
        <v>30.150700000000004</v>
      </c>
      <c r="AN105" s="384">
        <f t="shared" si="9"/>
        <v>1396986</v>
      </c>
      <c r="AO105" s="231">
        <f t="shared" si="10"/>
        <v>69.849299999999999</v>
      </c>
      <c r="AP105" s="218" t="str">
        <f t="shared" si="11"/>
        <v>WA.2378.EBD.953.301.B.521219</v>
      </c>
      <c r="AQ105" s="218" t="str">
        <f>IF(ISNUMBER(SEARCH("COVID",SP2D[[#This Row],[Akun]])),"COVID","Non COVID")</f>
        <v>Non COVID</v>
      </c>
      <c r="AR10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0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5" s="232">
        <f>SUM('PER BULAN'!BA173)</f>
        <v>0</v>
      </c>
      <c r="AU105" s="232">
        <f>SUM('PER BULAN'!BB173)</f>
        <v>0</v>
      </c>
      <c r="AV105" s="232">
        <f>SUM('PER BULAN'!BC173)</f>
        <v>0</v>
      </c>
      <c r="AW105" s="232">
        <f>SUM('PER BULAN'!BD173)</f>
        <v>0</v>
      </c>
      <c r="AX105" s="232">
        <f>SUM('PER BULAN'!BE173)</f>
        <v>0</v>
      </c>
      <c r="AY105" s="232">
        <f>SUM('PER BULAN'!BF173)</f>
        <v>300383</v>
      </c>
      <c r="AZ105" s="232">
        <f>SUM('PER BULAN'!BG173)</f>
        <v>302631</v>
      </c>
      <c r="BA105" s="232">
        <f>SUM('PER BULAN'!BH173)</f>
        <v>0</v>
      </c>
    </row>
    <row r="106" spans="1:53" s="219" customFormat="1" x14ac:dyDescent="0.25">
      <c r="A106" s="218" t="s">
        <v>3885</v>
      </c>
      <c r="B106" s="218" t="s">
        <v>3886</v>
      </c>
      <c r="C106" s="218" t="s">
        <v>3912</v>
      </c>
      <c r="D106" s="218" t="s">
        <v>3913</v>
      </c>
      <c r="E106" s="218" t="s">
        <v>197</v>
      </c>
      <c r="F106" s="218" t="s">
        <v>3914</v>
      </c>
      <c r="G106" s="218" t="s">
        <v>3959</v>
      </c>
      <c r="H106" s="218" t="s">
        <v>3960</v>
      </c>
      <c r="I106" s="218">
        <v>953</v>
      </c>
      <c r="J106" s="218" t="s">
        <v>3967</v>
      </c>
      <c r="K106" s="218">
        <v>301</v>
      </c>
      <c r="L106" s="218" t="s">
        <v>3966</v>
      </c>
      <c r="M106" s="218" t="s">
        <v>511</v>
      </c>
      <c r="N106" s="218" t="s">
        <v>3919</v>
      </c>
      <c r="O106" s="218">
        <v>522151</v>
      </c>
      <c r="P106" s="218" t="s">
        <v>3893</v>
      </c>
      <c r="Q106" s="165" cm="1">
        <f t="array" ref="Q106">SUM(_xlfn._xlws.FILTER(DIPA2[PaguRevisi],DIPA2[Akun]=SP2D[[#This Row],[Kode Akun]],0))</f>
        <v>0</v>
      </c>
      <c r="R106" s="350">
        <v>10000000</v>
      </c>
      <c r="S106" s="350"/>
      <c r="T106" s="350">
        <f>SP2D[[#This Row],[Pagu Semula]]-SP2D[[#This Row],[Pagu]]</f>
        <v>10000000</v>
      </c>
      <c r="U106" s="232">
        <f>SUM('PER BULAN'!J174:L174)</f>
        <v>0</v>
      </c>
      <c r="V106" s="232">
        <f>SUM('PER BULAN'!M174:O174)</f>
        <v>0</v>
      </c>
      <c r="W106" s="232">
        <f>SUM('PER BULAN'!P174:R174)</f>
        <v>0</v>
      </c>
      <c r="X106" s="232">
        <f>SUM('PER BULAN'!S174:U174)</f>
        <v>0</v>
      </c>
      <c r="Y106" s="232">
        <f>SUM('PER BULAN'!V174:X174)</f>
        <v>0</v>
      </c>
      <c r="Z106" s="232">
        <f>SUM('PER BULAN'!Y174:AA174)</f>
        <v>0</v>
      </c>
      <c r="AA106" s="232">
        <f>SUM('PER BULAN'!AB174:AD174)</f>
        <v>0</v>
      </c>
      <c r="AB106" s="232">
        <f>SUM('PER BULAN'!AE174:AG174)</f>
        <v>0</v>
      </c>
      <c r="AC106" s="232">
        <f>SUM('PER BULAN'!AH174:AJ174)</f>
        <v>0</v>
      </c>
      <c r="AD106" s="232">
        <f>SUM('PER BULAN'!AK174:AM174)</f>
        <v>0</v>
      </c>
      <c r="AE106" s="232">
        <f>SUM('PER BULAN'!AN174:AP174)</f>
        <v>0</v>
      </c>
      <c r="AF106" s="232">
        <f>SUM('PER BULAN'!AQ174:AS174)</f>
        <v>0</v>
      </c>
      <c r="AG106" s="218" t="s">
        <v>530</v>
      </c>
      <c r="AH106" s="218" t="s">
        <v>542</v>
      </c>
      <c r="AI106" s="218" t="s">
        <v>591</v>
      </c>
      <c r="AJ106" s="218" t="s">
        <v>3891</v>
      </c>
      <c r="AK106" s="218" t="s">
        <v>3892</v>
      </c>
      <c r="AL106" s="384">
        <f t="shared" si="7"/>
        <v>0</v>
      </c>
      <c r="AM106" s="231">
        <f t="shared" si="8"/>
        <v>0</v>
      </c>
      <c r="AN106" s="384">
        <f t="shared" si="9"/>
        <v>0</v>
      </c>
      <c r="AO106" s="231">
        <f t="shared" si="10"/>
        <v>0</v>
      </c>
      <c r="AP106" s="218" t="str">
        <f t="shared" si="11"/>
        <v>WA.2378.EBD.953.301.B.522151</v>
      </c>
      <c r="AQ106" s="218" t="str">
        <f>IF(ISNUMBER(SEARCH("COVID",SP2D[[#This Row],[Akun]])),"COVID","Non COVID")</f>
        <v>Non COVID</v>
      </c>
      <c r="AR10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0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6" s="232">
        <f>SUM('PER BULAN'!BA174)</f>
        <v>0</v>
      </c>
      <c r="AU106" s="232">
        <f>SUM('PER BULAN'!BB174)</f>
        <v>0</v>
      </c>
      <c r="AV106" s="232">
        <f>SUM('PER BULAN'!BC174)</f>
        <v>0</v>
      </c>
      <c r="AW106" s="232">
        <f>SUM('PER BULAN'!BD174)</f>
        <v>0</v>
      </c>
      <c r="AX106" s="232">
        <f>SUM('PER BULAN'!BE174)</f>
        <v>0</v>
      </c>
      <c r="AY106" s="232">
        <f>SUM('PER BULAN'!BF174)</f>
        <v>0</v>
      </c>
      <c r="AZ106" s="232">
        <f>SUM('PER BULAN'!BG174)</f>
        <v>0</v>
      </c>
      <c r="BA106" s="232">
        <f>SUM('PER BULAN'!BH174)</f>
        <v>0</v>
      </c>
    </row>
    <row r="107" spans="1:53" s="219" customFormat="1" x14ac:dyDescent="0.25">
      <c r="A107" s="218" t="s">
        <v>3885</v>
      </c>
      <c r="B107" s="218" t="s">
        <v>3886</v>
      </c>
      <c r="C107" s="218" t="s">
        <v>3912</v>
      </c>
      <c r="D107" s="218" t="s">
        <v>3913</v>
      </c>
      <c r="E107" s="218" t="s">
        <v>197</v>
      </c>
      <c r="F107" s="218" t="s">
        <v>3914</v>
      </c>
      <c r="G107" s="218" t="s">
        <v>3959</v>
      </c>
      <c r="H107" s="218" t="s">
        <v>3960</v>
      </c>
      <c r="I107" s="218">
        <v>953</v>
      </c>
      <c r="J107" s="218" t="s">
        <v>3967</v>
      </c>
      <c r="K107" s="218">
        <v>301</v>
      </c>
      <c r="L107" s="218" t="s">
        <v>3966</v>
      </c>
      <c r="M107" s="218" t="s">
        <v>511</v>
      </c>
      <c r="N107" s="218" t="s">
        <v>3919</v>
      </c>
      <c r="O107" s="218">
        <v>524111</v>
      </c>
      <c r="P107" s="218" t="s">
        <v>3894</v>
      </c>
      <c r="Q107" s="165" cm="1">
        <f t="array" ref="Q107">SUM(_xlfn._xlws.FILTER(DIPA2[PaguRevisi],DIPA2[Akun]=SP2D[[#This Row],[Kode Akun]],0))</f>
        <v>60415000</v>
      </c>
      <c r="R107" s="350">
        <v>120000000</v>
      </c>
      <c r="S107" s="350"/>
      <c r="T107" s="350">
        <f>SP2D[[#This Row],[Pagu Semula]]-SP2D[[#This Row],[Pagu]]</f>
        <v>59585000</v>
      </c>
      <c r="U107" s="232">
        <f>SUM('PER BULAN'!J175:L175)</f>
        <v>0</v>
      </c>
      <c r="V107" s="232">
        <f>SUM('PER BULAN'!M175:O175)</f>
        <v>0</v>
      </c>
      <c r="W107" s="232">
        <f>SUM('PER BULAN'!P175:R175)</f>
        <v>0</v>
      </c>
      <c r="X107" s="232">
        <f>SUM('PER BULAN'!S175:U175)</f>
        <v>524500</v>
      </c>
      <c r="Y107" s="232">
        <f>SUM('PER BULAN'!V175:X175)</f>
        <v>21422224</v>
      </c>
      <c r="Z107" s="232">
        <f>SUM('PER BULAN'!Y175:AA175)</f>
        <v>38467531</v>
      </c>
      <c r="AA107" s="232">
        <f>SUM('PER BULAN'!AB175:AD175)</f>
        <v>0</v>
      </c>
      <c r="AB107" s="232">
        <f>SUM('PER BULAN'!AE175:AG175)</f>
        <v>0</v>
      </c>
      <c r="AC107" s="232">
        <f>SUM('PER BULAN'!AH175:AJ175)</f>
        <v>0</v>
      </c>
      <c r="AD107" s="232">
        <f>SUM('PER BULAN'!AK175:AM175)</f>
        <v>0</v>
      </c>
      <c r="AE107" s="232">
        <f>SUM('PER BULAN'!AN175:AP175)</f>
        <v>0</v>
      </c>
      <c r="AF107" s="232">
        <f>SUM('PER BULAN'!AQ175:AS175)</f>
        <v>0</v>
      </c>
      <c r="AG107" s="218" t="s">
        <v>530</v>
      </c>
      <c r="AH107" s="218" t="s">
        <v>542</v>
      </c>
      <c r="AI107" s="218" t="s">
        <v>591</v>
      </c>
      <c r="AJ107" s="218" t="s">
        <v>3891</v>
      </c>
      <c r="AK107" s="218" t="s">
        <v>3892</v>
      </c>
      <c r="AL107" s="384">
        <f t="shared" si="7"/>
        <v>60414255</v>
      </c>
      <c r="AM107" s="231">
        <f t="shared" si="8"/>
        <v>99.99876686253414</v>
      </c>
      <c r="AN107" s="384">
        <f t="shared" si="9"/>
        <v>745</v>
      </c>
      <c r="AO107" s="231">
        <f t="shared" si="10"/>
        <v>1.2331374658611273E-3</v>
      </c>
      <c r="AP107" s="218" t="str">
        <f t="shared" si="11"/>
        <v>WA.2378.EBD.953.301.B.524111</v>
      </c>
      <c r="AQ107" s="218" t="str">
        <f>IF(ISNUMBER(SEARCH("COVID",SP2D[[#This Row],[Akun]])),"COVID","Non COVID")</f>
        <v>Non COVID</v>
      </c>
      <c r="AR10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7" s="232">
        <f>SUM('PER BULAN'!BA175)</f>
        <v>0</v>
      </c>
      <c r="AU107" s="232">
        <f>SUM('PER BULAN'!BB175)</f>
        <v>0</v>
      </c>
      <c r="AV107" s="232">
        <f>SUM('PER BULAN'!BC175)</f>
        <v>0</v>
      </c>
      <c r="AW107" s="232">
        <f>SUM('PER BULAN'!BD175)</f>
        <v>0</v>
      </c>
      <c r="AX107" s="232">
        <f>SUM('PER BULAN'!BE175)</f>
        <v>0</v>
      </c>
      <c r="AY107" s="232">
        <f>SUM('PER BULAN'!BF175)</f>
        <v>0</v>
      </c>
      <c r="AZ107" s="232">
        <f>SUM('PER BULAN'!BG175)</f>
        <v>21422224</v>
      </c>
      <c r="BA107" s="232">
        <f>SUM('PER BULAN'!BH175)</f>
        <v>0</v>
      </c>
    </row>
    <row r="108" spans="1:53" s="219" customFormat="1" x14ac:dyDescent="0.25">
      <c r="A108" s="218" t="s">
        <v>3885</v>
      </c>
      <c r="B108" s="218" t="s">
        <v>3886</v>
      </c>
      <c r="C108" s="218" t="s">
        <v>3912</v>
      </c>
      <c r="D108" s="218" t="s">
        <v>3913</v>
      </c>
      <c r="E108" s="218" t="s">
        <v>197</v>
      </c>
      <c r="F108" s="218" t="s">
        <v>3914</v>
      </c>
      <c r="G108" s="218" t="s">
        <v>3959</v>
      </c>
      <c r="H108" s="218" t="s">
        <v>3960</v>
      </c>
      <c r="I108" s="218">
        <v>953</v>
      </c>
      <c r="J108" s="218" t="s">
        <v>3967</v>
      </c>
      <c r="K108" s="218">
        <v>301</v>
      </c>
      <c r="L108" s="218" t="s">
        <v>3966</v>
      </c>
      <c r="M108" s="218" t="s">
        <v>511</v>
      </c>
      <c r="N108" s="218" t="s">
        <v>3919</v>
      </c>
      <c r="O108" s="218">
        <v>524113</v>
      </c>
      <c r="P108" s="218" t="s">
        <v>508</v>
      </c>
      <c r="Q108" s="165" cm="1">
        <f t="array" ref="Q108">SUM(_xlfn._xlws.FILTER(DIPA2[PaguRevisi],DIPA2[Akun]=SP2D[[#This Row],[Kode Akun]],0))</f>
        <v>0</v>
      </c>
      <c r="R108" s="350">
        <v>9000000</v>
      </c>
      <c r="S108" s="350"/>
      <c r="T108" s="350">
        <f>SP2D[[#This Row],[Pagu Semula]]-SP2D[[#This Row],[Pagu]]</f>
        <v>9000000</v>
      </c>
      <c r="U108" s="232">
        <f>SUM('PER BULAN'!J178:L178)</f>
        <v>0</v>
      </c>
      <c r="V108" s="232">
        <f>SUM('PER BULAN'!M176:O176)</f>
        <v>0</v>
      </c>
      <c r="W108" s="232">
        <f>SUM('PER BULAN'!P176:R176)</f>
        <v>0</v>
      </c>
      <c r="X108" s="232">
        <f>SUM('PER BULAN'!S176:U176)</f>
        <v>0</v>
      </c>
      <c r="Y108" s="232">
        <f>SUM('PER BULAN'!V176:X176)</f>
        <v>0</v>
      </c>
      <c r="Z108" s="232">
        <f>SUM('PER BULAN'!Y176:AA176)</f>
        <v>0</v>
      </c>
      <c r="AA108" s="232">
        <f>SUM('PER BULAN'!AB176:AD176)</f>
        <v>0</v>
      </c>
      <c r="AB108" s="232">
        <f>SUM('PER BULAN'!AE176:AG176)</f>
        <v>0</v>
      </c>
      <c r="AC108" s="232">
        <f>SUM('PER BULAN'!AH176:AJ176)</f>
        <v>0</v>
      </c>
      <c r="AD108" s="232">
        <f>SUM('PER BULAN'!AK176:AM176)</f>
        <v>0</v>
      </c>
      <c r="AE108" s="232">
        <f>SUM('PER BULAN'!AN176:AP176)</f>
        <v>0</v>
      </c>
      <c r="AF108" s="232">
        <f>SUM('PER BULAN'!AQ176:AS176)</f>
        <v>0</v>
      </c>
      <c r="AG108" s="218" t="s">
        <v>530</v>
      </c>
      <c r="AH108" s="218" t="s">
        <v>542</v>
      </c>
      <c r="AI108" s="218" t="s">
        <v>591</v>
      </c>
      <c r="AJ108" s="218" t="s">
        <v>3891</v>
      </c>
      <c r="AK108" s="218" t="s">
        <v>3892</v>
      </c>
      <c r="AL108" s="384">
        <f t="shared" si="7"/>
        <v>0</v>
      </c>
      <c r="AM108" s="231">
        <f t="shared" si="8"/>
        <v>0</v>
      </c>
      <c r="AN108" s="384">
        <f t="shared" si="9"/>
        <v>0</v>
      </c>
      <c r="AO108" s="231">
        <f t="shared" si="10"/>
        <v>0</v>
      </c>
      <c r="AP108" s="218" t="str">
        <f t="shared" si="11"/>
        <v>WA.2378.EBD.953.301.B.524113</v>
      </c>
      <c r="AQ108" s="218" t="str">
        <f>IF(ISNUMBER(SEARCH("COVID",SP2D[[#This Row],[Akun]])),"COVID","Non COVID")</f>
        <v>Non COVID</v>
      </c>
      <c r="AR10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10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8" s="232">
        <f>SUM('PER BULAN'!BA176)</f>
        <v>0</v>
      </c>
      <c r="AU108" s="232">
        <f>SUM('PER BULAN'!BB176)</f>
        <v>0</v>
      </c>
      <c r="AV108" s="232">
        <f>SUM('PER BULAN'!BC176)</f>
        <v>0</v>
      </c>
      <c r="AW108" s="232">
        <f>SUM('PER BULAN'!BD176)</f>
        <v>0</v>
      </c>
      <c r="AX108" s="232">
        <f>SUM('PER BULAN'!BE176)</f>
        <v>0</v>
      </c>
      <c r="AY108" s="232">
        <f>SUM('PER BULAN'!BF176)</f>
        <v>0</v>
      </c>
      <c r="AZ108" s="232">
        <f>SUM('PER BULAN'!BG176)</f>
        <v>0</v>
      </c>
      <c r="BA108" s="232">
        <f>SUM('PER BULAN'!BH176)</f>
        <v>0</v>
      </c>
    </row>
    <row r="109" spans="1:53" s="219" customFormat="1" x14ac:dyDescent="0.25">
      <c r="A109" s="218" t="s">
        <v>3885</v>
      </c>
      <c r="B109" s="218" t="s">
        <v>3886</v>
      </c>
      <c r="C109" s="218" t="s">
        <v>3912</v>
      </c>
      <c r="D109" s="218" t="s">
        <v>3913</v>
      </c>
      <c r="E109" s="218" t="s">
        <v>197</v>
      </c>
      <c r="F109" s="218" t="s">
        <v>3914</v>
      </c>
      <c r="G109" s="218" t="s">
        <v>3959</v>
      </c>
      <c r="H109" s="218" t="s">
        <v>3960</v>
      </c>
      <c r="I109" s="218">
        <v>953</v>
      </c>
      <c r="J109" s="218" t="s">
        <v>3967</v>
      </c>
      <c r="K109" s="218">
        <v>302</v>
      </c>
      <c r="L109" s="218" t="s">
        <v>3968</v>
      </c>
      <c r="M109" s="218" t="s">
        <v>8</v>
      </c>
      <c r="N109" s="218" t="s">
        <v>3969</v>
      </c>
      <c r="O109" s="218">
        <v>521211</v>
      </c>
      <c r="P109" s="218" t="s">
        <v>3890</v>
      </c>
      <c r="Q109" s="165" cm="1">
        <f t="array" ref="Q109">SUM(_xlfn._xlws.FILTER(DIPA2[PaguRevisi],DIPA2[Akun]=SP2D[[#This Row],[Kode Akun]],0))</f>
        <v>17900000</v>
      </c>
      <c r="R109" s="350">
        <v>35500000</v>
      </c>
      <c r="S109" s="350"/>
      <c r="T109" s="350">
        <f>SP2D[[#This Row],[Pagu Semula]]-SP2D[[#This Row],[Pagu]]</f>
        <v>17600000</v>
      </c>
      <c r="U109" s="232">
        <f>SUM('PER BULAN'!J179:L179)</f>
        <v>0</v>
      </c>
      <c r="V109" s="232">
        <f>SUM('PER BULAN'!M179:O179)</f>
        <v>0</v>
      </c>
      <c r="W109" s="232">
        <f>SUM('PER BULAN'!P179:R179)</f>
        <v>3358000</v>
      </c>
      <c r="X109" s="232">
        <f>SUM('PER BULAN'!S179:U179)</f>
        <v>0</v>
      </c>
      <c r="Y109" s="232">
        <f>SUM('PER BULAN'!V179:X179)</f>
        <v>4986000</v>
      </c>
      <c r="Z109" s="232">
        <f>SUM('PER BULAN'!Y179:AA179)</f>
        <v>0</v>
      </c>
      <c r="AA109" s="232">
        <f>SUM('PER BULAN'!AB179:AD179)</f>
        <v>0</v>
      </c>
      <c r="AB109" s="232">
        <f>SUM('PER BULAN'!AE179:AG179)</f>
        <v>0</v>
      </c>
      <c r="AC109" s="232">
        <f>SUM('PER BULAN'!AH179:AJ179)</f>
        <v>0</v>
      </c>
      <c r="AD109" s="232">
        <f>SUM('PER BULAN'!AK179:AM179)</f>
        <v>0</v>
      </c>
      <c r="AE109" s="232">
        <f>SUM('PER BULAN'!AN179:AP179)</f>
        <v>0</v>
      </c>
      <c r="AF109" s="232">
        <f>SUM('PER BULAN'!AQ179:AS179)</f>
        <v>0</v>
      </c>
      <c r="AG109" s="218" t="s">
        <v>530</v>
      </c>
      <c r="AH109" s="218" t="s">
        <v>542</v>
      </c>
      <c r="AI109" s="218" t="s">
        <v>591</v>
      </c>
      <c r="AJ109" s="218" t="s">
        <v>3891</v>
      </c>
      <c r="AK109" s="218" t="s">
        <v>3892</v>
      </c>
      <c r="AL109" s="384">
        <f t="shared" si="7"/>
        <v>8344000</v>
      </c>
      <c r="AM109" s="231">
        <f t="shared" si="8"/>
        <v>46.614525139664806</v>
      </c>
      <c r="AN109" s="384">
        <f t="shared" si="9"/>
        <v>9556000</v>
      </c>
      <c r="AO109" s="231">
        <f t="shared" si="10"/>
        <v>53.385474860335194</v>
      </c>
      <c r="AP109" s="218" t="str">
        <f t="shared" si="11"/>
        <v>WA.2378.EBD.953.302.A.521211</v>
      </c>
      <c r="AQ109" s="218" t="str">
        <f>IF(ISNUMBER(SEARCH("COVID",SP2D[[#This Row],[Akun]])),"COVID","Non COVID")</f>
        <v>Non COVID</v>
      </c>
      <c r="AR10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9" s="232">
        <f>SUM('PER BULAN'!BA179)</f>
        <v>0</v>
      </c>
      <c r="AU109" s="232">
        <f>SUM('PER BULAN'!BB179)</f>
        <v>2498000</v>
      </c>
      <c r="AV109" s="232">
        <f>SUM('PER BULAN'!BC179)</f>
        <v>860000</v>
      </c>
      <c r="AW109" s="232">
        <f>SUM('PER BULAN'!BD179)</f>
        <v>0</v>
      </c>
      <c r="AX109" s="232">
        <f>SUM('PER BULAN'!BE179)</f>
        <v>0</v>
      </c>
      <c r="AY109" s="232">
        <f>SUM('PER BULAN'!BF179)</f>
        <v>0</v>
      </c>
      <c r="AZ109" s="232">
        <f>SUM('PER BULAN'!BG179)</f>
        <v>4986000</v>
      </c>
      <c r="BA109" s="232">
        <f>SUM('PER BULAN'!BH179)</f>
        <v>0</v>
      </c>
    </row>
    <row r="110" spans="1:53" s="219" customFormat="1" x14ac:dyDescent="0.25">
      <c r="A110" s="218" t="s">
        <v>3885</v>
      </c>
      <c r="B110" s="218" t="s">
        <v>3886</v>
      </c>
      <c r="C110" s="218" t="s">
        <v>3912</v>
      </c>
      <c r="D110" s="218" t="s">
        <v>3913</v>
      </c>
      <c r="E110" s="218" t="s">
        <v>197</v>
      </c>
      <c r="F110" s="218" t="s">
        <v>3914</v>
      </c>
      <c r="G110" s="218" t="s">
        <v>3959</v>
      </c>
      <c r="H110" s="218" t="s">
        <v>3960</v>
      </c>
      <c r="I110" s="218">
        <v>953</v>
      </c>
      <c r="J110" s="218" t="s">
        <v>3967</v>
      </c>
      <c r="K110" s="218">
        <v>302</v>
      </c>
      <c r="L110" s="218" t="s">
        <v>3968</v>
      </c>
      <c r="M110" s="218" t="s">
        <v>8</v>
      </c>
      <c r="N110" s="218" t="s">
        <v>3969</v>
      </c>
      <c r="O110" s="218">
        <v>521219</v>
      </c>
      <c r="P110" s="218" t="s">
        <v>3903</v>
      </c>
      <c r="Q110" s="165" cm="1">
        <f t="array" ref="Q110">SUM(_xlfn._xlws.FILTER(DIPA2[PaguRevisi],DIPA2[Akun]=SP2D[[#This Row],[Kode Akun]],0))</f>
        <v>2000000</v>
      </c>
      <c r="R110" s="350">
        <v>2000000</v>
      </c>
      <c r="S110" s="350"/>
      <c r="T110" s="350">
        <f>SP2D[[#This Row],[Pagu Semula]]-SP2D[[#This Row],[Pagu]]</f>
        <v>0</v>
      </c>
      <c r="U110" s="232">
        <f>SUM('PER BULAN'!J180:L180)</f>
        <v>0</v>
      </c>
      <c r="V110" s="232">
        <f>SUM('PER BULAN'!M180:O180)</f>
        <v>0</v>
      </c>
      <c r="W110" s="232">
        <f>SUM('PER BULAN'!P180:R180)</f>
        <v>0</v>
      </c>
      <c r="X110" s="232">
        <f>SUM('PER BULAN'!S180:U180)</f>
        <v>0</v>
      </c>
      <c r="Y110" s="232">
        <f>SUM('PER BULAN'!V180:X180)</f>
        <v>0</v>
      </c>
      <c r="Z110" s="232">
        <f>SUM('PER BULAN'!Y180:AA180)</f>
        <v>0</v>
      </c>
      <c r="AA110" s="232">
        <f>SUM('PER BULAN'!AB180:AD180)</f>
        <v>0</v>
      </c>
      <c r="AB110" s="232">
        <f>SUM('PER BULAN'!AE180:AG180)</f>
        <v>0</v>
      </c>
      <c r="AC110" s="232">
        <f>SUM('PER BULAN'!AH180:AJ180)</f>
        <v>0</v>
      </c>
      <c r="AD110" s="232">
        <f>SUM('PER BULAN'!AK180:AM180)</f>
        <v>0</v>
      </c>
      <c r="AE110" s="232">
        <f>SUM('PER BULAN'!AN180:AP180)</f>
        <v>0</v>
      </c>
      <c r="AF110" s="232">
        <f>SUM('PER BULAN'!AQ180:AS180)</f>
        <v>0</v>
      </c>
      <c r="AG110" s="218" t="s">
        <v>530</v>
      </c>
      <c r="AH110" s="218" t="s">
        <v>542</v>
      </c>
      <c r="AI110" s="218" t="s">
        <v>591</v>
      </c>
      <c r="AJ110" s="218" t="s">
        <v>3891</v>
      </c>
      <c r="AK110" s="218" t="s">
        <v>3892</v>
      </c>
      <c r="AL110" s="384">
        <f t="shared" si="7"/>
        <v>0</v>
      </c>
      <c r="AM110" s="231">
        <f t="shared" si="8"/>
        <v>0</v>
      </c>
      <c r="AN110" s="384">
        <f t="shared" si="9"/>
        <v>2000000</v>
      </c>
      <c r="AO110" s="231">
        <f t="shared" si="10"/>
        <v>100</v>
      </c>
      <c r="AP110" s="218" t="str">
        <f t="shared" si="11"/>
        <v>WA.2378.EBD.953.302.A.521219</v>
      </c>
      <c r="AQ110" s="218" t="str">
        <f>IF(ISNUMBER(SEARCH("COVID",SP2D[[#This Row],[Akun]])),"COVID","Non COVID")</f>
        <v>Non COVID</v>
      </c>
      <c r="AR11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1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0" s="232">
        <f>SUM('PER BULAN'!BA180)</f>
        <v>0</v>
      </c>
      <c r="AU110" s="232">
        <f>SUM('PER BULAN'!BB180)</f>
        <v>0</v>
      </c>
      <c r="AV110" s="232">
        <f>SUM('PER BULAN'!BC180)</f>
        <v>0</v>
      </c>
      <c r="AW110" s="232">
        <f>SUM('PER BULAN'!BD180)</f>
        <v>0</v>
      </c>
      <c r="AX110" s="232">
        <f>SUM('PER BULAN'!BE180)</f>
        <v>0</v>
      </c>
      <c r="AY110" s="232">
        <f>SUM('PER BULAN'!BF180)</f>
        <v>0</v>
      </c>
      <c r="AZ110" s="232">
        <f>SUM('PER BULAN'!BG180)</f>
        <v>0</v>
      </c>
      <c r="BA110" s="232">
        <f>SUM('PER BULAN'!BH180)</f>
        <v>0</v>
      </c>
    </row>
    <row r="111" spans="1:53" s="219" customFormat="1" x14ac:dyDescent="0.25">
      <c r="A111" s="218" t="s">
        <v>3885</v>
      </c>
      <c r="B111" s="218" t="s">
        <v>3886</v>
      </c>
      <c r="C111" s="218" t="s">
        <v>3912</v>
      </c>
      <c r="D111" s="218" t="s">
        <v>3913</v>
      </c>
      <c r="E111" s="218" t="s">
        <v>197</v>
      </c>
      <c r="F111" s="218" t="s">
        <v>3914</v>
      </c>
      <c r="G111" s="218" t="s">
        <v>3959</v>
      </c>
      <c r="H111" s="218" t="s">
        <v>3960</v>
      </c>
      <c r="I111" s="218">
        <v>953</v>
      </c>
      <c r="J111" s="218" t="s">
        <v>3967</v>
      </c>
      <c r="K111" s="218">
        <v>302</v>
      </c>
      <c r="L111" s="218" t="s">
        <v>3968</v>
      </c>
      <c r="M111" s="218" t="s">
        <v>8</v>
      </c>
      <c r="N111" s="218" t="s">
        <v>3969</v>
      </c>
      <c r="O111" s="218">
        <v>524111</v>
      </c>
      <c r="P111" s="218" t="s">
        <v>3894</v>
      </c>
      <c r="Q111" s="165" cm="1">
        <f t="array" ref="Q111">SUM(_xlfn._xlws.FILTER(DIPA2[PaguRevisi],DIPA2[Akun]=SP2D[[#This Row],[Kode Akun]],0))</f>
        <v>30169000</v>
      </c>
      <c r="R111" s="350">
        <v>89032000</v>
      </c>
      <c r="S111" s="350"/>
      <c r="T111" s="350">
        <f>SP2D[[#This Row],[Pagu Semula]]-SP2D[[#This Row],[Pagu]]</f>
        <v>58863000</v>
      </c>
      <c r="U111" s="232">
        <f>SUM('PER BULAN'!J184:L184)</f>
        <v>0</v>
      </c>
      <c r="V111" s="232">
        <f>SUM('PER BULAN'!M181:O181)</f>
        <v>0</v>
      </c>
      <c r="W111" s="232">
        <f>SUM('PER BULAN'!P181:R181)</f>
        <v>2490000</v>
      </c>
      <c r="X111" s="232">
        <f>SUM('PER BULAN'!S181:U181)</f>
        <v>15530000</v>
      </c>
      <c r="Y111" s="232">
        <f>SUM('PER BULAN'!V181:X181)</f>
        <v>0</v>
      </c>
      <c r="Z111" s="232">
        <f>SUM('PER BULAN'!Y181:AA181)</f>
        <v>2118000</v>
      </c>
      <c r="AA111" s="232">
        <f>SUM('PER BULAN'!AB181:AD181)</f>
        <v>0</v>
      </c>
      <c r="AB111" s="232">
        <f>SUM('PER BULAN'!AE181:AG181)</f>
        <v>0</v>
      </c>
      <c r="AC111" s="232">
        <f>SUM('PER BULAN'!AH181:AJ181)</f>
        <v>0</v>
      </c>
      <c r="AD111" s="232">
        <f>SUM('PER BULAN'!AK181:AM181)</f>
        <v>0</v>
      </c>
      <c r="AE111" s="232">
        <f>SUM('PER BULAN'!AN181:AP181)</f>
        <v>0</v>
      </c>
      <c r="AF111" s="232">
        <f>SUM('PER BULAN'!AQ181:AS181)</f>
        <v>0</v>
      </c>
      <c r="AG111" s="218" t="s">
        <v>530</v>
      </c>
      <c r="AH111" s="218" t="s">
        <v>542</v>
      </c>
      <c r="AI111" s="218" t="s">
        <v>591</v>
      </c>
      <c r="AJ111" s="218" t="s">
        <v>3891</v>
      </c>
      <c r="AK111" s="218" t="s">
        <v>3892</v>
      </c>
      <c r="AL111" s="384">
        <f t="shared" si="7"/>
        <v>20138000</v>
      </c>
      <c r="AM111" s="231">
        <f t="shared" si="8"/>
        <v>66.750638072193311</v>
      </c>
      <c r="AN111" s="384">
        <f t="shared" si="9"/>
        <v>10031000</v>
      </c>
      <c r="AO111" s="231">
        <f t="shared" si="10"/>
        <v>33.249361927806689</v>
      </c>
      <c r="AP111" s="218" t="str">
        <f t="shared" si="11"/>
        <v>WA.2378.EBD.953.302.A.524111</v>
      </c>
      <c r="AQ111" s="218" t="str">
        <f>IF(ISNUMBER(SEARCH("COVID",SP2D[[#This Row],[Akun]])),"COVID","Non COVID")</f>
        <v>Non COVID</v>
      </c>
      <c r="AR11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1" s="232">
        <f>SUM('PER BULAN'!BA181)</f>
        <v>0</v>
      </c>
      <c r="AU111" s="232">
        <f>SUM('PER BULAN'!BB181)</f>
        <v>0</v>
      </c>
      <c r="AV111" s="232">
        <f>SUM('PER BULAN'!BC181)</f>
        <v>2490000</v>
      </c>
      <c r="AW111" s="232">
        <f>SUM('PER BULAN'!BD181)</f>
        <v>0</v>
      </c>
      <c r="AX111" s="232">
        <f>SUM('PER BULAN'!BE181)</f>
        <v>0</v>
      </c>
      <c r="AY111" s="232">
        <f>SUM('PER BULAN'!BF181)</f>
        <v>0</v>
      </c>
      <c r="AZ111" s="232">
        <f>SUM('PER BULAN'!BG181)</f>
        <v>0</v>
      </c>
      <c r="BA111" s="232">
        <f>SUM('PER BULAN'!BH181)</f>
        <v>0</v>
      </c>
    </row>
    <row r="112" spans="1:53" s="219" customFormat="1" x14ac:dyDescent="0.25">
      <c r="A112" s="218" t="s">
        <v>3885</v>
      </c>
      <c r="B112" s="218" t="s">
        <v>3886</v>
      </c>
      <c r="C112" s="218" t="s">
        <v>3912</v>
      </c>
      <c r="D112" s="218" t="s">
        <v>3913</v>
      </c>
      <c r="E112" s="218" t="s">
        <v>197</v>
      </c>
      <c r="F112" s="218" t="s">
        <v>3914</v>
      </c>
      <c r="G112" s="218" t="s">
        <v>3959</v>
      </c>
      <c r="H112" s="218" t="s">
        <v>3960</v>
      </c>
      <c r="I112" s="218">
        <v>955</v>
      </c>
      <c r="J112" s="218" t="s">
        <v>3970</v>
      </c>
      <c r="K112" s="218">
        <v>301</v>
      </c>
      <c r="L112" s="218" t="s">
        <v>3971</v>
      </c>
      <c r="M112" s="218" t="s">
        <v>8</v>
      </c>
      <c r="N112" s="218" t="s">
        <v>3972</v>
      </c>
      <c r="O112" s="218">
        <v>521211</v>
      </c>
      <c r="P112" s="218" t="s">
        <v>3890</v>
      </c>
      <c r="Q112" s="165" cm="1">
        <f t="array" ref="Q112">SUM(_xlfn._xlws.FILTER(DIPA2[PaguRevisi],DIPA2[Akun]=SP2D[[#This Row],[Kode Akun]],0))</f>
        <v>18400000</v>
      </c>
      <c r="R112" s="350">
        <v>23900000</v>
      </c>
      <c r="S112" s="350"/>
      <c r="T112" s="350">
        <f>SP2D[[#This Row],[Pagu Semula]]-SP2D[[#This Row],[Pagu]]</f>
        <v>5500000</v>
      </c>
      <c r="U112" s="232">
        <f>SUM('PER BULAN'!J185:L185)</f>
        <v>0</v>
      </c>
      <c r="V112" s="232">
        <f>SUM('PER BULAN'!M185:O185)</f>
        <v>0</v>
      </c>
      <c r="W112" s="232">
        <f>SUM('PER BULAN'!P185:R185)</f>
        <v>5725000</v>
      </c>
      <c r="X112" s="232">
        <f>SUM('PER BULAN'!S185:U185)</f>
        <v>2446000</v>
      </c>
      <c r="Y112" s="232">
        <f>SUM('PER BULAN'!V185:X185)</f>
        <v>5660000</v>
      </c>
      <c r="Z112" s="232">
        <f>SUM('PER BULAN'!Y185:AA185)</f>
        <v>0</v>
      </c>
      <c r="AA112" s="232">
        <f>SUM('PER BULAN'!AB185:AD185)</f>
        <v>0</v>
      </c>
      <c r="AB112" s="232">
        <f>SUM('PER BULAN'!AE185:AG185)</f>
        <v>0</v>
      </c>
      <c r="AC112" s="232">
        <f>SUM('PER BULAN'!AH185:AJ185)</f>
        <v>0</v>
      </c>
      <c r="AD112" s="232">
        <f>SUM('PER BULAN'!AK185:AM185)</f>
        <v>0</v>
      </c>
      <c r="AE112" s="232">
        <f>SUM('PER BULAN'!AN185:AP185)</f>
        <v>0</v>
      </c>
      <c r="AF112" s="232">
        <f>SUM('PER BULAN'!AQ185:AS185)</f>
        <v>0</v>
      </c>
      <c r="AG112" s="218" t="s">
        <v>530</v>
      </c>
      <c r="AH112" s="218" t="s">
        <v>576</v>
      </c>
      <c r="AI112" s="218" t="s">
        <v>546</v>
      </c>
      <c r="AJ112" s="218" t="s">
        <v>3891</v>
      </c>
      <c r="AK112" s="218" t="s">
        <v>3892</v>
      </c>
      <c r="AL112" s="384">
        <f t="shared" si="7"/>
        <v>13831000</v>
      </c>
      <c r="AM112" s="231">
        <f t="shared" si="8"/>
        <v>75.168478260869563</v>
      </c>
      <c r="AN112" s="384">
        <f t="shared" si="9"/>
        <v>4569000</v>
      </c>
      <c r="AO112" s="231">
        <f t="shared" si="10"/>
        <v>24.831521739130437</v>
      </c>
      <c r="AP112" s="218" t="str">
        <f t="shared" si="11"/>
        <v>WA.2378.EBD.955.301.A.521211</v>
      </c>
      <c r="AQ112" s="218" t="str">
        <f>IF(ISNUMBER(SEARCH("COVID",SP2D[[#This Row],[Akun]])),"COVID","Non COVID")</f>
        <v>Non COVID</v>
      </c>
      <c r="AR11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2" s="232">
        <f>SUM('PER BULAN'!BA185)</f>
        <v>0</v>
      </c>
      <c r="AU112" s="232">
        <f>SUM('PER BULAN'!BB185)</f>
        <v>3275000</v>
      </c>
      <c r="AV112" s="232">
        <f>SUM('PER BULAN'!BC185)</f>
        <v>2450000</v>
      </c>
      <c r="AW112" s="232">
        <f>SUM('PER BULAN'!BD185)</f>
        <v>2446000</v>
      </c>
      <c r="AX112" s="232">
        <f>SUM('PER BULAN'!BE185)</f>
        <v>1810000</v>
      </c>
      <c r="AY112" s="232">
        <f>SUM('PER BULAN'!BF185)</f>
        <v>0</v>
      </c>
      <c r="AZ112" s="232">
        <f>SUM('PER BULAN'!BG185)</f>
        <v>3850000</v>
      </c>
      <c r="BA112" s="232">
        <f>SUM('PER BULAN'!BH185)</f>
        <v>0</v>
      </c>
    </row>
    <row r="113" spans="1:53" s="219" customFormat="1" x14ac:dyDescent="0.25">
      <c r="A113" s="218" t="s">
        <v>3885</v>
      </c>
      <c r="B113" s="218" t="s">
        <v>3886</v>
      </c>
      <c r="C113" s="218" t="s">
        <v>3912</v>
      </c>
      <c r="D113" s="218" t="s">
        <v>3913</v>
      </c>
      <c r="E113" s="218" t="s">
        <v>197</v>
      </c>
      <c r="F113" s="218" t="s">
        <v>3914</v>
      </c>
      <c r="G113" s="218" t="s">
        <v>3959</v>
      </c>
      <c r="H113" s="218" t="s">
        <v>3960</v>
      </c>
      <c r="I113" s="218">
        <v>955</v>
      </c>
      <c r="J113" s="218" t="s">
        <v>3970</v>
      </c>
      <c r="K113" s="218">
        <v>301</v>
      </c>
      <c r="L113" s="218" t="s">
        <v>3971</v>
      </c>
      <c r="M113" s="218" t="s">
        <v>8</v>
      </c>
      <c r="N113" s="218" t="s">
        <v>3972</v>
      </c>
      <c r="O113" s="218">
        <v>524111</v>
      </c>
      <c r="P113" s="218" t="s">
        <v>3894</v>
      </c>
      <c r="Q113" s="165" cm="1">
        <f t="array" ref="Q113">SUM(_xlfn._xlws.FILTER(DIPA2[PaguRevisi],DIPA2[Akun]=SP2D[[#This Row],[Kode Akun]],0))</f>
        <v>8702000</v>
      </c>
      <c r="R113" s="350">
        <v>15000000</v>
      </c>
      <c r="S113" s="350"/>
      <c r="T113" s="350">
        <f>SP2D[[#This Row],[Pagu Semula]]-SP2D[[#This Row],[Pagu]]</f>
        <v>6298000</v>
      </c>
      <c r="U113" s="232">
        <f>SUM('PER BULAN'!J187:L187)</f>
        <v>0</v>
      </c>
      <c r="V113" s="232">
        <f>SUM('PER BULAN'!M186:O186)</f>
        <v>0</v>
      </c>
      <c r="W113" s="232">
        <f>SUM('PER BULAN'!P186:R186)</f>
        <v>0</v>
      </c>
      <c r="X113" s="232">
        <f>SUM('PER BULAN'!S186:U186)</f>
        <v>0</v>
      </c>
      <c r="Y113" s="232">
        <f>SUM('PER BULAN'!V186:X186)</f>
        <v>8701552</v>
      </c>
      <c r="Z113" s="232">
        <f>SUM('PER BULAN'!Y186:AA186)</f>
        <v>0</v>
      </c>
      <c r="AA113" s="232">
        <f>SUM('PER BULAN'!AB186:AD186)</f>
        <v>0</v>
      </c>
      <c r="AB113" s="232">
        <f>SUM('PER BULAN'!AE186:AG186)</f>
        <v>0</v>
      </c>
      <c r="AC113" s="232">
        <f>SUM('PER BULAN'!AH186:AJ186)</f>
        <v>0</v>
      </c>
      <c r="AD113" s="232">
        <f>SUM('PER BULAN'!AK186:AM186)</f>
        <v>0</v>
      </c>
      <c r="AE113" s="232">
        <f>SUM('PER BULAN'!AN186:AP186)</f>
        <v>0</v>
      </c>
      <c r="AF113" s="232">
        <f>SUM('PER BULAN'!AQ186:AS186)</f>
        <v>0</v>
      </c>
      <c r="AG113" s="218" t="s">
        <v>530</v>
      </c>
      <c r="AH113" s="218" t="s">
        <v>576</v>
      </c>
      <c r="AI113" s="218" t="s">
        <v>546</v>
      </c>
      <c r="AJ113" s="218" t="s">
        <v>3891</v>
      </c>
      <c r="AK113" s="218" t="s">
        <v>3892</v>
      </c>
      <c r="AL113" s="384">
        <f t="shared" si="7"/>
        <v>8701552</v>
      </c>
      <c r="AM113" s="231">
        <f t="shared" si="8"/>
        <v>99.994851758216498</v>
      </c>
      <c r="AN113" s="384">
        <f t="shared" si="9"/>
        <v>448</v>
      </c>
      <c r="AO113" s="231">
        <f t="shared" si="10"/>
        <v>5.1482417834980464E-3</v>
      </c>
      <c r="AP113" s="218" t="str">
        <f t="shared" si="11"/>
        <v>WA.2378.EBD.955.301.A.524111</v>
      </c>
      <c r="AQ113" s="218" t="str">
        <f>IF(ISNUMBER(SEARCH("COVID",SP2D[[#This Row],[Akun]])),"COVID","Non COVID")</f>
        <v>Non COVID</v>
      </c>
      <c r="AR11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3" s="232">
        <f>SUM('PER BULAN'!BA186)</f>
        <v>0</v>
      </c>
      <c r="AU113" s="232">
        <f>SUM('PER BULAN'!BB186)</f>
        <v>0</v>
      </c>
      <c r="AV113" s="232">
        <f>SUM('PER BULAN'!BC186)</f>
        <v>0</v>
      </c>
      <c r="AW113" s="232">
        <f>SUM('PER BULAN'!BD186)</f>
        <v>0</v>
      </c>
      <c r="AX113" s="232">
        <f>SUM('PER BULAN'!BE186)</f>
        <v>0</v>
      </c>
      <c r="AY113" s="232">
        <f>SUM('PER BULAN'!BF186)</f>
        <v>0</v>
      </c>
      <c r="AZ113" s="232">
        <f>SUM('PER BULAN'!BG186)</f>
        <v>8701552</v>
      </c>
      <c r="BA113" s="232">
        <f>SUM('PER BULAN'!BH186)</f>
        <v>0</v>
      </c>
    </row>
    <row r="114" spans="1:53" s="219" customFormat="1" x14ac:dyDescent="0.25">
      <c r="A114" s="218" t="s">
        <v>3885</v>
      </c>
      <c r="B114" s="218" t="s">
        <v>3886</v>
      </c>
      <c r="C114" s="218" t="s">
        <v>3912</v>
      </c>
      <c r="D114" s="218" t="s">
        <v>3913</v>
      </c>
      <c r="E114" s="218" t="s">
        <v>197</v>
      </c>
      <c r="F114" s="218" t="s">
        <v>3914</v>
      </c>
      <c r="G114" s="218" t="s">
        <v>3959</v>
      </c>
      <c r="H114" s="218" t="s">
        <v>3960</v>
      </c>
      <c r="I114" s="218">
        <v>955</v>
      </c>
      <c r="J114" s="218" t="s">
        <v>3970</v>
      </c>
      <c r="K114" s="218">
        <v>301</v>
      </c>
      <c r="L114" s="218" t="s">
        <v>3971</v>
      </c>
      <c r="M114" s="218" t="s">
        <v>511</v>
      </c>
      <c r="N114" s="218" t="s">
        <v>3973</v>
      </c>
      <c r="O114" s="218">
        <v>521211</v>
      </c>
      <c r="P114" s="218" t="s">
        <v>3890</v>
      </c>
      <c r="Q114" s="165" cm="1">
        <f t="array" ref="Q114">SUM(_xlfn._xlws.FILTER(DIPA2[PaguRevisi],DIPA2[Akun]=SP2D[[#This Row],[Kode Akun]],0))</f>
        <v>7500000</v>
      </c>
      <c r="R114" s="350">
        <v>11400000</v>
      </c>
      <c r="S114" s="350"/>
      <c r="T114" s="350">
        <f>SP2D[[#This Row],[Pagu Semula]]-SP2D[[#This Row],[Pagu]]</f>
        <v>3900000</v>
      </c>
      <c r="U114" s="232">
        <f>SUM('PER BULAN'!J188:L188)</f>
        <v>0</v>
      </c>
      <c r="V114" s="232">
        <f>SUM('PER BULAN'!M188:O188)</f>
        <v>0</v>
      </c>
      <c r="W114" s="232">
        <f>SUM('PER BULAN'!P188:R188)</f>
        <v>2500000</v>
      </c>
      <c r="X114" s="232">
        <f>SUM('PER BULAN'!S188:U188)</f>
        <v>0</v>
      </c>
      <c r="Y114" s="232">
        <f>SUM('PER BULAN'!V188:X188)</f>
        <v>2444000</v>
      </c>
      <c r="Z114" s="232">
        <f>SUM('PER BULAN'!Y188:AA188)</f>
        <v>0</v>
      </c>
      <c r="AA114" s="232">
        <f>SUM('PER BULAN'!AB188:AD188)</f>
        <v>0</v>
      </c>
      <c r="AB114" s="232">
        <f>SUM('PER BULAN'!AE188:AG188)</f>
        <v>0</v>
      </c>
      <c r="AC114" s="232">
        <f>SUM('PER BULAN'!AH188:AJ188)</f>
        <v>0</v>
      </c>
      <c r="AD114" s="232">
        <f>SUM('PER BULAN'!AK188:AM188)</f>
        <v>0</v>
      </c>
      <c r="AE114" s="232">
        <f>SUM('PER BULAN'!AN188:AP188)</f>
        <v>0</v>
      </c>
      <c r="AF114" s="232">
        <f>SUM('PER BULAN'!AQ188:AS188)</f>
        <v>0</v>
      </c>
      <c r="AG114" s="218" t="s">
        <v>530</v>
      </c>
      <c r="AH114" s="218" t="s">
        <v>576</v>
      </c>
      <c r="AI114" s="218" t="s">
        <v>546</v>
      </c>
      <c r="AJ114" s="218" t="s">
        <v>3891</v>
      </c>
      <c r="AK114" s="218" t="s">
        <v>3892</v>
      </c>
      <c r="AL114" s="384">
        <f t="shared" si="7"/>
        <v>4944000</v>
      </c>
      <c r="AM114" s="231">
        <f t="shared" si="8"/>
        <v>65.92</v>
      </c>
      <c r="AN114" s="384">
        <f t="shared" si="9"/>
        <v>2556000</v>
      </c>
      <c r="AO114" s="231">
        <f t="shared" si="10"/>
        <v>34.08</v>
      </c>
      <c r="AP114" s="218" t="str">
        <f t="shared" si="11"/>
        <v>WA.2378.EBD.955.301.B.521211</v>
      </c>
      <c r="AQ114" s="218" t="str">
        <f>IF(ISNUMBER(SEARCH("COVID",SP2D[[#This Row],[Akun]])),"COVID","Non COVID")</f>
        <v>Non COVID</v>
      </c>
      <c r="AR11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4" s="232">
        <f>SUM('PER BULAN'!BA188)</f>
        <v>0</v>
      </c>
      <c r="AU114" s="232">
        <f>SUM('PER BULAN'!BB188)</f>
        <v>2500000</v>
      </c>
      <c r="AV114" s="232">
        <f>SUM('PER BULAN'!BC188)</f>
        <v>0</v>
      </c>
      <c r="AW114" s="232">
        <f>SUM('PER BULAN'!BD188)</f>
        <v>0</v>
      </c>
      <c r="AX114" s="232">
        <f>SUM('PER BULAN'!BE188)</f>
        <v>0</v>
      </c>
      <c r="AY114" s="232">
        <f>SUM('PER BULAN'!BF188)</f>
        <v>2444000</v>
      </c>
      <c r="AZ114" s="232">
        <f>SUM('PER BULAN'!BG188)</f>
        <v>0</v>
      </c>
      <c r="BA114" s="232">
        <f>SUM('PER BULAN'!BH188)</f>
        <v>0</v>
      </c>
    </row>
    <row r="115" spans="1:53" s="219" customFormat="1" x14ac:dyDescent="0.25">
      <c r="A115" s="218" t="s">
        <v>3885</v>
      </c>
      <c r="B115" s="218" t="s">
        <v>3886</v>
      </c>
      <c r="C115" s="218" t="s">
        <v>3912</v>
      </c>
      <c r="D115" s="218" t="s">
        <v>3913</v>
      </c>
      <c r="E115" s="218" t="s">
        <v>197</v>
      </c>
      <c r="F115" s="218" t="s">
        <v>3914</v>
      </c>
      <c r="G115" s="218" t="s">
        <v>3959</v>
      </c>
      <c r="H115" s="218" t="s">
        <v>3960</v>
      </c>
      <c r="I115" s="218">
        <v>955</v>
      </c>
      <c r="J115" s="218" t="s">
        <v>3970</v>
      </c>
      <c r="K115" s="218">
        <v>301</v>
      </c>
      <c r="L115" s="218" t="s">
        <v>3971</v>
      </c>
      <c r="M115" s="218" t="s">
        <v>511</v>
      </c>
      <c r="N115" s="218" t="s">
        <v>3973</v>
      </c>
      <c r="O115" s="218">
        <v>524111</v>
      </c>
      <c r="P115" s="218" t="s">
        <v>3894</v>
      </c>
      <c r="Q115" s="165" cm="1">
        <f t="array" ref="Q115">SUM(_xlfn._xlws.FILTER(DIPA2[PaguRevisi],DIPA2[Akun]=SP2D[[#This Row],[Kode Akun]],0))</f>
        <v>5350000</v>
      </c>
      <c r="R115" s="350">
        <v>18000000</v>
      </c>
      <c r="S115" s="350"/>
      <c r="T115" s="350">
        <f>SP2D[[#This Row],[Pagu Semula]]-SP2D[[#This Row],[Pagu]]</f>
        <v>12650000</v>
      </c>
      <c r="U115" s="232">
        <f>SUM('PER BULAN'!J190:L190)</f>
        <v>0</v>
      </c>
      <c r="V115" s="232">
        <f>SUM('PER BULAN'!M189:O189)</f>
        <v>0</v>
      </c>
      <c r="W115" s="232">
        <f>SUM('PER BULAN'!P189:R189)</f>
        <v>2850000</v>
      </c>
      <c r="X115" s="232">
        <f>SUM('PER BULAN'!S189:U189)</f>
        <v>0</v>
      </c>
      <c r="Y115" s="232">
        <f>SUM('PER BULAN'!V189:X189)</f>
        <v>0</v>
      </c>
      <c r="Z115" s="232">
        <f>SUM('PER BULAN'!Y189:AA189)</f>
        <v>0</v>
      </c>
      <c r="AA115" s="232">
        <f>SUM('PER BULAN'!AB189:AD189)</f>
        <v>0</v>
      </c>
      <c r="AB115" s="232">
        <f>SUM('PER BULAN'!AE189:AG189)</f>
        <v>0</v>
      </c>
      <c r="AC115" s="232">
        <f>SUM('PER BULAN'!AH189:AJ189)</f>
        <v>0</v>
      </c>
      <c r="AD115" s="232">
        <f>SUM('PER BULAN'!AK189:AM189)</f>
        <v>0</v>
      </c>
      <c r="AE115" s="232">
        <f>SUM('PER BULAN'!AN189:AP189)</f>
        <v>0</v>
      </c>
      <c r="AF115" s="232">
        <f>SUM('PER BULAN'!AQ189:AS189)</f>
        <v>0</v>
      </c>
      <c r="AG115" s="218" t="s">
        <v>530</v>
      </c>
      <c r="AH115" s="218" t="s">
        <v>576</v>
      </c>
      <c r="AI115" s="218" t="s">
        <v>546</v>
      </c>
      <c r="AJ115" s="218" t="s">
        <v>3891</v>
      </c>
      <c r="AK115" s="218" t="s">
        <v>3892</v>
      </c>
      <c r="AL115" s="384">
        <f t="shared" si="7"/>
        <v>2850000</v>
      </c>
      <c r="AM115" s="231">
        <f t="shared" si="8"/>
        <v>53.271028037383175</v>
      </c>
      <c r="AN115" s="384">
        <f t="shared" si="9"/>
        <v>2500000</v>
      </c>
      <c r="AO115" s="231">
        <f t="shared" si="10"/>
        <v>46.728971962616825</v>
      </c>
      <c r="AP115" s="218" t="str">
        <f t="shared" si="11"/>
        <v>WA.2378.EBD.955.301.B.524111</v>
      </c>
      <c r="AQ115" s="218" t="str">
        <f>IF(ISNUMBER(SEARCH("COVID",SP2D[[#This Row],[Akun]])),"COVID","Non COVID")</f>
        <v>Non COVID</v>
      </c>
      <c r="AR11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5" s="232">
        <f>SUM('PER BULAN'!BA189)</f>
        <v>0</v>
      </c>
      <c r="AU115" s="232">
        <f>SUM('PER BULAN'!BB189)</f>
        <v>2850000</v>
      </c>
      <c r="AV115" s="232">
        <f>SUM('PER BULAN'!BC189)</f>
        <v>0</v>
      </c>
      <c r="AW115" s="232">
        <f>SUM('PER BULAN'!BD189)</f>
        <v>0</v>
      </c>
      <c r="AX115" s="232">
        <f>SUM('PER BULAN'!BE189)</f>
        <v>0</v>
      </c>
      <c r="AY115" s="232">
        <f>SUM('PER BULAN'!BF189)</f>
        <v>0</v>
      </c>
      <c r="AZ115" s="232">
        <f>SUM('PER BULAN'!BG189)</f>
        <v>0</v>
      </c>
      <c r="BA115" s="232">
        <f>SUM('PER BULAN'!BH189)</f>
        <v>0</v>
      </c>
    </row>
    <row r="116" spans="1:53" s="219" customFormat="1" x14ac:dyDescent="0.25">
      <c r="A116" s="218" t="s">
        <v>3885</v>
      </c>
      <c r="B116" s="218" t="s">
        <v>3886</v>
      </c>
      <c r="C116" s="218" t="s">
        <v>3912</v>
      </c>
      <c r="D116" s="218" t="s">
        <v>3913</v>
      </c>
      <c r="E116" s="218" t="s">
        <v>197</v>
      </c>
      <c r="F116" s="218" t="s">
        <v>3914</v>
      </c>
      <c r="G116" s="218" t="s">
        <v>3959</v>
      </c>
      <c r="H116" s="218" t="s">
        <v>3960</v>
      </c>
      <c r="I116" s="218">
        <v>955</v>
      </c>
      <c r="J116" s="218" t="s">
        <v>3970</v>
      </c>
      <c r="K116" s="218">
        <v>301</v>
      </c>
      <c r="L116" s="218" t="s">
        <v>3971</v>
      </c>
      <c r="M116" s="218" t="s">
        <v>512</v>
      </c>
      <c r="N116" s="218" t="s">
        <v>3974</v>
      </c>
      <c r="O116" s="218">
        <v>521211</v>
      </c>
      <c r="P116" s="218" t="s">
        <v>3890</v>
      </c>
      <c r="Q116" s="165" cm="1">
        <f t="array" ref="Q116">SUM(_xlfn._xlws.FILTER(DIPA2[PaguRevisi],DIPA2[Akun]=SP2D[[#This Row],[Kode Akun]],0))</f>
        <v>7500000</v>
      </c>
      <c r="R116" s="350">
        <v>10000000</v>
      </c>
      <c r="S116" s="350"/>
      <c r="T116" s="350">
        <f>SP2D[[#This Row],[Pagu Semula]]-SP2D[[#This Row],[Pagu]]</f>
        <v>2500000</v>
      </c>
      <c r="U116" s="232">
        <f>SUM('PER BULAN'!J191:L191)</f>
        <v>0</v>
      </c>
      <c r="V116" s="232">
        <f>SUM('PER BULAN'!M191:O191)</f>
        <v>0</v>
      </c>
      <c r="W116" s="232">
        <f>SUM('PER BULAN'!P191:R191)</f>
        <v>2469500</v>
      </c>
      <c r="X116" s="232">
        <f>SUM('PER BULAN'!S191:U191)</f>
        <v>0</v>
      </c>
      <c r="Y116" s="232">
        <f>SUM('PER BULAN'!V191:X191)</f>
        <v>2499000</v>
      </c>
      <c r="Z116" s="232">
        <f>SUM('PER BULAN'!Y191:AA191)</f>
        <v>0</v>
      </c>
      <c r="AA116" s="232">
        <f>SUM('PER BULAN'!AB191:AD191)</f>
        <v>0</v>
      </c>
      <c r="AB116" s="232">
        <f>SUM('PER BULAN'!AE191:AG191)</f>
        <v>0</v>
      </c>
      <c r="AC116" s="232">
        <f>SUM('PER BULAN'!AH191:AJ191)</f>
        <v>0</v>
      </c>
      <c r="AD116" s="232">
        <f>SUM('PER BULAN'!AK191:AM191)</f>
        <v>0</v>
      </c>
      <c r="AE116" s="232">
        <f>SUM('PER BULAN'!AN191:AP191)</f>
        <v>0</v>
      </c>
      <c r="AF116" s="232">
        <f>SUM('PER BULAN'!AQ191:AS191)</f>
        <v>0</v>
      </c>
      <c r="AG116" s="218" t="s">
        <v>530</v>
      </c>
      <c r="AH116" s="218" t="s">
        <v>576</v>
      </c>
      <c r="AI116" s="218" t="s">
        <v>546</v>
      </c>
      <c r="AJ116" s="218" t="s">
        <v>3891</v>
      </c>
      <c r="AK116" s="218" t="s">
        <v>3892</v>
      </c>
      <c r="AL116" s="384">
        <f t="shared" si="7"/>
        <v>4968500</v>
      </c>
      <c r="AM116" s="231">
        <f t="shared" si="8"/>
        <v>66.24666666666667</v>
      </c>
      <c r="AN116" s="384">
        <f t="shared" si="9"/>
        <v>2531500</v>
      </c>
      <c r="AO116" s="231">
        <f t="shared" si="10"/>
        <v>33.753333333333337</v>
      </c>
      <c r="AP116" s="218" t="str">
        <f t="shared" si="11"/>
        <v>WA.2378.EBD.955.301.C.521211</v>
      </c>
      <c r="AQ116" s="218" t="str">
        <f>IF(ISNUMBER(SEARCH("COVID",SP2D[[#This Row],[Akun]])),"COVID","Non COVID")</f>
        <v>Non COVID</v>
      </c>
      <c r="AR11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6" s="232">
        <f>SUM('PER BULAN'!BA191)</f>
        <v>0</v>
      </c>
      <c r="AU116" s="232">
        <f>SUM('PER BULAN'!BB191)</f>
        <v>0</v>
      </c>
      <c r="AV116" s="232">
        <f>SUM('PER BULAN'!BC191)</f>
        <v>2469500</v>
      </c>
      <c r="AW116" s="232">
        <f>SUM('PER BULAN'!BD191)</f>
        <v>0</v>
      </c>
      <c r="AX116" s="232">
        <f>SUM('PER BULAN'!BE191)</f>
        <v>0</v>
      </c>
      <c r="AY116" s="232">
        <f>SUM('PER BULAN'!BF191)</f>
        <v>2499000</v>
      </c>
      <c r="AZ116" s="232">
        <f>SUM('PER BULAN'!BG191)</f>
        <v>0</v>
      </c>
      <c r="BA116" s="232">
        <f>SUM('PER BULAN'!BH191)</f>
        <v>0</v>
      </c>
    </row>
    <row r="117" spans="1:53" s="219" customFormat="1" x14ac:dyDescent="0.25">
      <c r="A117" s="218" t="s">
        <v>3885</v>
      </c>
      <c r="B117" s="218" t="s">
        <v>3886</v>
      </c>
      <c r="C117" s="218" t="s">
        <v>3912</v>
      </c>
      <c r="D117" s="218" t="s">
        <v>3913</v>
      </c>
      <c r="E117" s="218" t="s">
        <v>197</v>
      </c>
      <c r="F117" s="218" t="s">
        <v>3914</v>
      </c>
      <c r="G117" s="218" t="s">
        <v>3959</v>
      </c>
      <c r="H117" s="218" t="s">
        <v>3960</v>
      </c>
      <c r="I117" s="218">
        <v>955</v>
      </c>
      <c r="J117" s="218" t="s">
        <v>3970</v>
      </c>
      <c r="K117" s="218">
        <v>301</v>
      </c>
      <c r="L117" s="218" t="s">
        <v>3971</v>
      </c>
      <c r="M117" s="218" t="s">
        <v>512</v>
      </c>
      <c r="N117" s="218" t="s">
        <v>3974</v>
      </c>
      <c r="O117" s="218">
        <v>524111</v>
      </c>
      <c r="P117" s="218" t="s">
        <v>3894</v>
      </c>
      <c r="Q117" s="165" cm="1">
        <f t="array" ref="Q117">SUM(_xlfn._xlws.FILTER(DIPA2[PaguRevisi],DIPA2[Akun]=SP2D[[#This Row],[Kode Akun]],0))</f>
        <v>0</v>
      </c>
      <c r="R117" s="350">
        <v>15000000</v>
      </c>
      <c r="S117" s="350"/>
      <c r="T117" s="350">
        <f>SP2D[[#This Row],[Pagu Semula]]-SP2D[[#This Row],[Pagu]]</f>
        <v>15000000</v>
      </c>
      <c r="U117" s="232">
        <f>SUM('PER BULAN'!J193:L193)</f>
        <v>0</v>
      </c>
      <c r="V117" s="232">
        <f>SUM('PER BULAN'!M192:O192)</f>
        <v>0</v>
      </c>
      <c r="W117" s="232">
        <f>SUM('PER BULAN'!P192:R192)</f>
        <v>0</v>
      </c>
      <c r="X117" s="232">
        <f>SUM('PER BULAN'!S192:U192)</f>
        <v>0</v>
      </c>
      <c r="Y117" s="232">
        <f>SUM('PER BULAN'!V192:X192)</f>
        <v>0</v>
      </c>
      <c r="Z117" s="232">
        <f>SUM('PER BULAN'!Y192:AA192)</f>
        <v>0</v>
      </c>
      <c r="AA117" s="232">
        <f>SUM('PER BULAN'!AB192:AD192)</f>
        <v>0</v>
      </c>
      <c r="AB117" s="232">
        <f>SUM('PER BULAN'!AE192:AG192)</f>
        <v>0</v>
      </c>
      <c r="AC117" s="232">
        <f>SUM('PER BULAN'!AH192:AJ192)</f>
        <v>0</v>
      </c>
      <c r="AD117" s="232">
        <f>SUM('PER BULAN'!AK192:AM192)</f>
        <v>0</v>
      </c>
      <c r="AE117" s="232">
        <f>SUM('PER BULAN'!AN192:AP192)</f>
        <v>0</v>
      </c>
      <c r="AF117" s="232">
        <f>SUM('PER BULAN'!AQ192:AS192)</f>
        <v>0</v>
      </c>
      <c r="AG117" s="218" t="s">
        <v>530</v>
      </c>
      <c r="AH117" s="218" t="s">
        <v>576</v>
      </c>
      <c r="AI117" s="218" t="s">
        <v>546</v>
      </c>
      <c r="AJ117" s="218" t="s">
        <v>3891</v>
      </c>
      <c r="AK117" s="218" t="s">
        <v>3892</v>
      </c>
      <c r="AL117" s="384">
        <f t="shared" si="7"/>
        <v>0</v>
      </c>
      <c r="AM117" s="231">
        <f t="shared" si="8"/>
        <v>0</v>
      </c>
      <c r="AN117" s="384">
        <f t="shared" si="9"/>
        <v>0</v>
      </c>
      <c r="AO117" s="231">
        <f t="shared" si="10"/>
        <v>0</v>
      </c>
      <c r="AP117" s="218" t="str">
        <f t="shared" si="11"/>
        <v>WA.2378.EBD.955.301.C.524111</v>
      </c>
      <c r="AQ117" s="218" t="str">
        <f>IF(ISNUMBER(SEARCH("COVID",SP2D[[#This Row],[Akun]])),"COVID","Non COVID")</f>
        <v>Non COVID</v>
      </c>
      <c r="AR11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7" s="232">
        <f>SUM('PER BULAN'!BA192)</f>
        <v>0</v>
      </c>
      <c r="AU117" s="232">
        <f>SUM('PER BULAN'!BB192)</f>
        <v>0</v>
      </c>
      <c r="AV117" s="232">
        <f>SUM('PER BULAN'!BC192)</f>
        <v>0</v>
      </c>
      <c r="AW117" s="232">
        <f>SUM('PER BULAN'!BD192)</f>
        <v>0</v>
      </c>
      <c r="AX117" s="232">
        <f>SUM('PER BULAN'!BE192)</f>
        <v>0</v>
      </c>
      <c r="AY117" s="232">
        <f>SUM('PER BULAN'!BF192)</f>
        <v>0</v>
      </c>
      <c r="AZ117" s="232">
        <f>SUM('PER BULAN'!BG192)</f>
        <v>0</v>
      </c>
      <c r="BA117" s="232">
        <f>SUM('PER BULAN'!BH192)</f>
        <v>0</v>
      </c>
    </row>
    <row r="118" spans="1:53" s="219" customFormat="1" x14ac:dyDescent="0.25">
      <c r="A118" s="218" t="s">
        <v>3885</v>
      </c>
      <c r="B118" s="218" t="s">
        <v>3886</v>
      </c>
      <c r="C118" s="218" t="s">
        <v>3912</v>
      </c>
      <c r="D118" s="218" t="s">
        <v>3913</v>
      </c>
      <c r="E118" s="218" t="s">
        <v>197</v>
      </c>
      <c r="F118" s="218" t="s">
        <v>3914</v>
      </c>
      <c r="G118" s="218" t="s">
        <v>3959</v>
      </c>
      <c r="H118" s="218" t="s">
        <v>3960</v>
      </c>
      <c r="I118" s="218">
        <v>955</v>
      </c>
      <c r="J118" s="218" t="s">
        <v>3970</v>
      </c>
      <c r="K118" s="218">
        <v>301</v>
      </c>
      <c r="L118" s="218" t="s">
        <v>3971</v>
      </c>
      <c r="M118" s="218" t="s">
        <v>514</v>
      </c>
      <c r="N118" s="218" t="s">
        <v>3975</v>
      </c>
      <c r="O118" s="218">
        <v>521211</v>
      </c>
      <c r="P118" s="218" t="s">
        <v>3890</v>
      </c>
      <c r="Q118" s="165" cm="1">
        <f t="array" ref="Q118">SUM(_xlfn._xlws.FILTER(DIPA2[PaguRevisi],DIPA2[Akun]=SP2D[[#This Row],[Kode Akun]],0))</f>
        <v>14000000</v>
      </c>
      <c r="R118" s="350">
        <v>35340000</v>
      </c>
      <c r="S118" s="350"/>
      <c r="T118" s="350">
        <f>SP2D[[#This Row],[Pagu Semula]]-SP2D[[#This Row],[Pagu]]</f>
        <v>21340000</v>
      </c>
      <c r="U118" s="232">
        <f>SUM('PER BULAN'!J194:L194)</f>
        <v>0</v>
      </c>
      <c r="V118" s="232">
        <f>SUM('PER BULAN'!M194:O194)</f>
        <v>0</v>
      </c>
      <c r="W118" s="232">
        <f>SUM('PER BULAN'!P194:R194)</f>
        <v>2500000</v>
      </c>
      <c r="X118" s="232">
        <f>SUM('PER BULAN'!S194:U194)</f>
        <v>3400000</v>
      </c>
      <c r="Y118" s="232">
        <f>SUM('PER BULAN'!V194:X194)</f>
        <v>5085000</v>
      </c>
      <c r="Z118" s="232">
        <f>SUM('PER BULAN'!Y194:AA194)</f>
        <v>0</v>
      </c>
      <c r="AA118" s="232">
        <f>SUM('PER BULAN'!AB194:AD194)</f>
        <v>0</v>
      </c>
      <c r="AB118" s="232">
        <f>SUM('PER BULAN'!AE194:AG194)</f>
        <v>0</v>
      </c>
      <c r="AC118" s="232">
        <f>SUM('PER BULAN'!AH194:AJ194)</f>
        <v>0</v>
      </c>
      <c r="AD118" s="232">
        <f>SUM('PER BULAN'!AK194:AM194)</f>
        <v>0</v>
      </c>
      <c r="AE118" s="232">
        <f>SUM('PER BULAN'!AN194:AP194)</f>
        <v>0</v>
      </c>
      <c r="AF118" s="232">
        <f>SUM('PER BULAN'!AQ194:AS194)</f>
        <v>0</v>
      </c>
      <c r="AG118" s="218" t="s">
        <v>530</v>
      </c>
      <c r="AH118" s="218" t="s">
        <v>576</v>
      </c>
      <c r="AI118" s="218" t="s">
        <v>546</v>
      </c>
      <c r="AJ118" s="218" t="s">
        <v>3891</v>
      </c>
      <c r="AK118" s="218" t="s">
        <v>3892</v>
      </c>
      <c r="AL118" s="384">
        <f t="shared" si="7"/>
        <v>10985000</v>
      </c>
      <c r="AM118" s="231">
        <f t="shared" si="8"/>
        <v>78.464285714285722</v>
      </c>
      <c r="AN118" s="384">
        <f t="shared" si="9"/>
        <v>3015000</v>
      </c>
      <c r="AO118" s="231">
        <f t="shared" si="10"/>
        <v>21.535714285714285</v>
      </c>
      <c r="AP118" s="218" t="str">
        <f t="shared" si="11"/>
        <v>WA.2378.EBD.955.301.D.521211</v>
      </c>
      <c r="AQ118" s="218" t="str">
        <f>IF(ISNUMBER(SEARCH("COVID",SP2D[[#This Row],[Akun]])),"COVID","Non COVID")</f>
        <v>Non COVID</v>
      </c>
      <c r="AR11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8" s="232">
        <f>SUM('PER BULAN'!BA194)</f>
        <v>0</v>
      </c>
      <c r="AU118" s="232">
        <f>SUM('PER BULAN'!BB194)</f>
        <v>2500000</v>
      </c>
      <c r="AV118" s="232">
        <f>SUM('PER BULAN'!BC194)</f>
        <v>0</v>
      </c>
      <c r="AW118" s="232">
        <f>SUM('PER BULAN'!BD194)</f>
        <v>3400000</v>
      </c>
      <c r="AX118" s="232">
        <f>SUM('PER BULAN'!BE194)</f>
        <v>2590000</v>
      </c>
      <c r="AY118" s="232">
        <f>SUM('PER BULAN'!BF194)</f>
        <v>2495000</v>
      </c>
      <c r="AZ118" s="232">
        <f>SUM('PER BULAN'!BG194)</f>
        <v>0</v>
      </c>
      <c r="BA118" s="232">
        <f>SUM('PER BULAN'!BH194)</f>
        <v>0</v>
      </c>
    </row>
    <row r="119" spans="1:53" s="219" customFormat="1" x14ac:dyDescent="0.25">
      <c r="A119" s="218" t="s">
        <v>3885</v>
      </c>
      <c r="B119" s="218" t="s">
        <v>3886</v>
      </c>
      <c r="C119" s="218" t="s">
        <v>3912</v>
      </c>
      <c r="D119" s="218" t="s">
        <v>3913</v>
      </c>
      <c r="E119" s="218" t="s">
        <v>197</v>
      </c>
      <c r="F119" s="218" t="s">
        <v>3914</v>
      </c>
      <c r="G119" s="218" t="s">
        <v>3959</v>
      </c>
      <c r="H119" s="218" t="s">
        <v>3960</v>
      </c>
      <c r="I119" s="218">
        <v>955</v>
      </c>
      <c r="J119" s="218" t="s">
        <v>3970</v>
      </c>
      <c r="K119" s="218">
        <v>301</v>
      </c>
      <c r="L119" s="218" t="s">
        <v>3971</v>
      </c>
      <c r="M119" s="218" t="s">
        <v>514</v>
      </c>
      <c r="N119" s="218" t="s">
        <v>3975</v>
      </c>
      <c r="O119" s="218">
        <v>522151</v>
      </c>
      <c r="P119" s="218" t="s">
        <v>3893</v>
      </c>
      <c r="Q119" s="165" cm="1">
        <f t="array" ref="Q119">SUM(_xlfn._xlws.FILTER(DIPA2[PaguRevisi],DIPA2[Akun]=SP2D[[#This Row],[Kode Akun]],0))</f>
        <v>0</v>
      </c>
      <c r="R119" s="350">
        <v>3600000</v>
      </c>
      <c r="S119" s="350"/>
      <c r="T119" s="350">
        <f>SP2D[[#This Row],[Pagu Semula]]-SP2D[[#This Row],[Pagu]]</f>
        <v>3600000</v>
      </c>
      <c r="U119" s="232">
        <f>SUM('PER BULAN'!J195:L195)</f>
        <v>0</v>
      </c>
      <c r="V119" s="232">
        <f>SUM('PER BULAN'!M195:O195)</f>
        <v>0</v>
      </c>
      <c r="W119" s="232">
        <f>SUM('PER BULAN'!P195:R195)</f>
        <v>0</v>
      </c>
      <c r="X119" s="232">
        <f>SUM('PER BULAN'!S195:U195)</f>
        <v>0</v>
      </c>
      <c r="Y119" s="232">
        <f>SUM('PER BULAN'!V195:X195)</f>
        <v>0</v>
      </c>
      <c r="Z119" s="232">
        <f>SUM('PER BULAN'!Y195:AA195)</f>
        <v>0</v>
      </c>
      <c r="AA119" s="232">
        <f>SUM('PER BULAN'!AB195:AD195)</f>
        <v>0</v>
      </c>
      <c r="AB119" s="232">
        <f>SUM('PER BULAN'!AE195:AG195)</f>
        <v>0</v>
      </c>
      <c r="AC119" s="232">
        <f>SUM('PER BULAN'!AH195:AJ195)</f>
        <v>0</v>
      </c>
      <c r="AD119" s="232">
        <f>SUM('PER BULAN'!AK195:AM195)</f>
        <v>0</v>
      </c>
      <c r="AE119" s="232">
        <f>SUM('PER BULAN'!AN195:AP195)</f>
        <v>0</v>
      </c>
      <c r="AF119" s="232">
        <f>SUM('PER BULAN'!AQ195:AS195)</f>
        <v>0</v>
      </c>
      <c r="AG119" s="218" t="s">
        <v>530</v>
      </c>
      <c r="AH119" s="218" t="s">
        <v>576</v>
      </c>
      <c r="AI119" s="218" t="s">
        <v>546</v>
      </c>
      <c r="AJ119" s="218" t="s">
        <v>3891</v>
      </c>
      <c r="AK119" s="218" t="s">
        <v>3892</v>
      </c>
      <c r="AL119" s="384">
        <f t="shared" si="7"/>
        <v>0</v>
      </c>
      <c r="AM119" s="231">
        <f t="shared" si="8"/>
        <v>0</v>
      </c>
      <c r="AN119" s="384">
        <f t="shared" si="9"/>
        <v>0</v>
      </c>
      <c r="AO119" s="231">
        <f t="shared" si="10"/>
        <v>0</v>
      </c>
      <c r="AP119" s="218" t="str">
        <f t="shared" si="11"/>
        <v>WA.2378.EBD.955.301.D.522151</v>
      </c>
      <c r="AQ119" s="218" t="str">
        <f>IF(ISNUMBER(SEARCH("COVID",SP2D[[#This Row],[Akun]])),"COVID","Non COVID")</f>
        <v>Non COVID</v>
      </c>
      <c r="AR11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1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9" s="232">
        <f>SUM('PER BULAN'!BA195)</f>
        <v>0</v>
      </c>
      <c r="AU119" s="232">
        <f>SUM('PER BULAN'!BB195)</f>
        <v>0</v>
      </c>
      <c r="AV119" s="232">
        <f>SUM('PER BULAN'!BC195)</f>
        <v>0</v>
      </c>
      <c r="AW119" s="232">
        <f>SUM('PER BULAN'!BD195)</f>
        <v>0</v>
      </c>
      <c r="AX119" s="232">
        <f>SUM('PER BULAN'!BE195)</f>
        <v>0</v>
      </c>
      <c r="AY119" s="232">
        <f>SUM('PER BULAN'!BF195)</f>
        <v>0</v>
      </c>
      <c r="AZ119" s="232">
        <f>SUM('PER BULAN'!BG195)</f>
        <v>0</v>
      </c>
      <c r="BA119" s="232">
        <f>SUM('PER BULAN'!BH195)</f>
        <v>0</v>
      </c>
    </row>
    <row r="120" spans="1:53" s="219" customFormat="1" x14ac:dyDescent="0.25">
      <c r="A120" s="218" t="s">
        <v>3885</v>
      </c>
      <c r="B120" s="218" t="s">
        <v>3886</v>
      </c>
      <c r="C120" s="218" t="s">
        <v>3912</v>
      </c>
      <c r="D120" s="218" t="s">
        <v>3913</v>
      </c>
      <c r="E120" s="218" t="s">
        <v>197</v>
      </c>
      <c r="F120" s="218" t="s">
        <v>3914</v>
      </c>
      <c r="G120" s="218" t="s">
        <v>3959</v>
      </c>
      <c r="H120" s="218" t="s">
        <v>3960</v>
      </c>
      <c r="I120" s="218">
        <v>955</v>
      </c>
      <c r="J120" s="218" t="s">
        <v>3970</v>
      </c>
      <c r="K120" s="218">
        <v>301</v>
      </c>
      <c r="L120" s="218" t="s">
        <v>3971</v>
      </c>
      <c r="M120" s="218" t="s">
        <v>514</v>
      </c>
      <c r="N120" s="218" t="s">
        <v>3975</v>
      </c>
      <c r="O120" s="218">
        <v>524111</v>
      </c>
      <c r="P120" s="218" t="s">
        <v>3894</v>
      </c>
      <c r="Q120" s="165" cm="1">
        <f t="array" ref="Q120">SUM(_xlfn._xlws.FILTER(DIPA2[PaguRevisi],DIPA2[Akun]=SP2D[[#This Row],[Kode Akun]],0))</f>
        <v>20635000</v>
      </c>
      <c r="R120" s="350">
        <v>42000000</v>
      </c>
      <c r="S120" s="350"/>
      <c r="T120" s="350">
        <f>SP2D[[#This Row],[Pagu Semula]]-SP2D[[#This Row],[Pagu]]</f>
        <v>21365000</v>
      </c>
      <c r="U120" s="232">
        <f>SUM('PER BULAN'!J197:L197)</f>
        <v>0</v>
      </c>
      <c r="V120" s="232">
        <f>SUM('PER BULAN'!M196:O196)</f>
        <v>0</v>
      </c>
      <c r="W120" s="232">
        <f>SUM('PER BULAN'!P196:R196)</f>
        <v>0</v>
      </c>
      <c r="X120" s="232">
        <f>SUM('PER BULAN'!S196:U196)</f>
        <v>11593200</v>
      </c>
      <c r="Y120" s="232">
        <f>SUM('PER BULAN'!V196:X196)</f>
        <v>9041268</v>
      </c>
      <c r="Z120" s="232">
        <f>SUM('PER BULAN'!Y196:AA196)</f>
        <v>0</v>
      </c>
      <c r="AA120" s="232">
        <f>SUM('PER BULAN'!AB196:AD196)</f>
        <v>0</v>
      </c>
      <c r="AB120" s="232">
        <f>SUM('PER BULAN'!AE196:AG196)</f>
        <v>0</v>
      </c>
      <c r="AC120" s="232">
        <f>SUM('PER BULAN'!AH196:AJ196)</f>
        <v>0</v>
      </c>
      <c r="AD120" s="232">
        <f>SUM('PER BULAN'!AK196:AM196)</f>
        <v>0</v>
      </c>
      <c r="AE120" s="232">
        <f>SUM('PER BULAN'!AN196:AP196)</f>
        <v>0</v>
      </c>
      <c r="AF120" s="232">
        <f>SUM('PER BULAN'!AQ196:AS196)</f>
        <v>0</v>
      </c>
      <c r="AG120" s="218" t="s">
        <v>530</v>
      </c>
      <c r="AH120" s="218" t="s">
        <v>576</v>
      </c>
      <c r="AI120" s="218" t="s">
        <v>546</v>
      </c>
      <c r="AJ120" s="218" t="s">
        <v>3891</v>
      </c>
      <c r="AK120" s="218" t="s">
        <v>3892</v>
      </c>
      <c r="AL120" s="384">
        <f t="shared" si="7"/>
        <v>20634468</v>
      </c>
      <c r="AM120" s="231">
        <f t="shared" si="8"/>
        <v>99.997421856069778</v>
      </c>
      <c r="AN120" s="384">
        <f t="shared" si="9"/>
        <v>532</v>
      </c>
      <c r="AO120" s="231">
        <f t="shared" si="10"/>
        <v>2.578143930215653E-3</v>
      </c>
      <c r="AP120" s="218" t="str">
        <f t="shared" si="11"/>
        <v>WA.2378.EBD.955.301.D.524111</v>
      </c>
      <c r="AQ120" s="218" t="str">
        <f>IF(ISNUMBER(SEARCH("COVID",SP2D[[#This Row],[Akun]])),"COVID","Non COVID")</f>
        <v>Non COVID</v>
      </c>
      <c r="AR12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0" s="232">
        <f>SUM('PER BULAN'!BA196)</f>
        <v>0</v>
      </c>
      <c r="AU120" s="232">
        <f>SUM('PER BULAN'!BB196)</f>
        <v>0</v>
      </c>
      <c r="AV120" s="232">
        <f>SUM('PER BULAN'!BC196)</f>
        <v>0</v>
      </c>
      <c r="AW120" s="232">
        <f>SUM('PER BULAN'!BD196)</f>
        <v>11593200</v>
      </c>
      <c r="AX120" s="232">
        <f>SUM('PER BULAN'!BE196)</f>
        <v>0</v>
      </c>
      <c r="AY120" s="232">
        <f>SUM('PER BULAN'!BF196)</f>
        <v>0</v>
      </c>
      <c r="AZ120" s="232">
        <f>SUM('PER BULAN'!BG196)</f>
        <v>9041268</v>
      </c>
      <c r="BA120" s="232">
        <f>SUM('PER BULAN'!BH196)</f>
        <v>0</v>
      </c>
    </row>
    <row r="121" spans="1:53" s="219" customFormat="1" x14ac:dyDescent="0.25">
      <c r="A121" s="218" t="s">
        <v>3885</v>
      </c>
      <c r="B121" s="218" t="s">
        <v>3886</v>
      </c>
      <c r="C121" s="218" t="s">
        <v>3912</v>
      </c>
      <c r="D121" s="218" t="s">
        <v>3913</v>
      </c>
      <c r="E121" s="218" t="s">
        <v>197</v>
      </c>
      <c r="F121" s="218" t="s">
        <v>3914</v>
      </c>
      <c r="G121" s="218" t="s">
        <v>3959</v>
      </c>
      <c r="H121" s="218" t="s">
        <v>3960</v>
      </c>
      <c r="I121" s="218">
        <v>955</v>
      </c>
      <c r="J121" s="218" t="s">
        <v>3970</v>
      </c>
      <c r="K121" s="218">
        <v>301</v>
      </c>
      <c r="L121" s="218" t="s">
        <v>3971</v>
      </c>
      <c r="M121" s="218" t="s">
        <v>519</v>
      </c>
      <c r="N121" s="218" t="s">
        <v>3976</v>
      </c>
      <c r="O121" s="218">
        <v>521211</v>
      </c>
      <c r="P121" s="218" t="s">
        <v>3890</v>
      </c>
      <c r="Q121" s="165" cm="1">
        <f t="array" ref="Q121">SUM(_xlfn._xlws.FILTER(DIPA2[PaguRevisi],DIPA2[Akun]=SP2D[[#This Row],[Kode Akun]],0))</f>
        <v>7500000</v>
      </c>
      <c r="R121" s="350">
        <v>15000000</v>
      </c>
      <c r="S121" s="350"/>
      <c r="T121" s="350">
        <f>SP2D[[#This Row],[Pagu Semula]]-SP2D[[#This Row],[Pagu]]</f>
        <v>7500000</v>
      </c>
      <c r="U121" s="232">
        <f>SUM('PER BULAN'!J198:L198)</f>
        <v>0</v>
      </c>
      <c r="V121" s="232">
        <f>SUM('PER BULAN'!M198:O198)</f>
        <v>0</v>
      </c>
      <c r="W121" s="232">
        <f>SUM('PER BULAN'!P198:R198)</f>
        <v>2499500</v>
      </c>
      <c r="X121" s="232">
        <f>SUM('PER BULAN'!S198:U198)</f>
        <v>0</v>
      </c>
      <c r="Y121" s="232">
        <f>SUM('PER BULAN'!V198:X198)</f>
        <v>2444500</v>
      </c>
      <c r="Z121" s="232">
        <f>SUM('PER BULAN'!Y198:AA198)</f>
        <v>0</v>
      </c>
      <c r="AA121" s="232">
        <f>SUM('PER BULAN'!AB198:AD198)</f>
        <v>0</v>
      </c>
      <c r="AB121" s="232">
        <f>SUM('PER BULAN'!AE198:AG198)</f>
        <v>0</v>
      </c>
      <c r="AC121" s="232">
        <f>SUM('PER BULAN'!AH198:AJ198)</f>
        <v>0</v>
      </c>
      <c r="AD121" s="232">
        <f>SUM('PER BULAN'!AK198:AM198)</f>
        <v>0</v>
      </c>
      <c r="AE121" s="232">
        <f>SUM('PER BULAN'!AN198:AP198)</f>
        <v>0</v>
      </c>
      <c r="AF121" s="232">
        <f>SUM('PER BULAN'!AQ198:AS198)</f>
        <v>0</v>
      </c>
      <c r="AG121" s="218" t="s">
        <v>530</v>
      </c>
      <c r="AH121" s="218" t="s">
        <v>576</v>
      </c>
      <c r="AI121" s="218" t="s">
        <v>546</v>
      </c>
      <c r="AJ121" s="218" t="s">
        <v>3891</v>
      </c>
      <c r="AK121" s="218" t="s">
        <v>3892</v>
      </c>
      <c r="AL121" s="384">
        <f t="shared" si="7"/>
        <v>4944000</v>
      </c>
      <c r="AM121" s="231">
        <f t="shared" si="8"/>
        <v>65.92</v>
      </c>
      <c r="AN121" s="384">
        <f t="shared" si="9"/>
        <v>2556000</v>
      </c>
      <c r="AO121" s="231">
        <f t="shared" si="10"/>
        <v>34.08</v>
      </c>
      <c r="AP121" s="218" t="str">
        <f t="shared" si="11"/>
        <v>WA.2378.EBD.955.301.E.521211</v>
      </c>
      <c r="AQ121" s="218" t="str">
        <f>IF(ISNUMBER(SEARCH("COVID",SP2D[[#This Row],[Akun]])),"COVID","Non COVID")</f>
        <v>Non COVID</v>
      </c>
      <c r="AR12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1" s="232">
        <f>SUM('PER BULAN'!BA198)</f>
        <v>0</v>
      </c>
      <c r="AU121" s="232">
        <f>SUM('PER BULAN'!BB198)</f>
        <v>2499500</v>
      </c>
      <c r="AV121" s="232">
        <f>SUM('PER BULAN'!BC198)</f>
        <v>0</v>
      </c>
      <c r="AW121" s="232">
        <f>SUM('PER BULAN'!BD198)</f>
        <v>0</v>
      </c>
      <c r="AX121" s="232">
        <f>SUM('PER BULAN'!BE198)</f>
        <v>0</v>
      </c>
      <c r="AY121" s="232">
        <f>SUM('PER BULAN'!BF198)</f>
        <v>2444500</v>
      </c>
      <c r="AZ121" s="232">
        <f>SUM('PER BULAN'!BG198)</f>
        <v>0</v>
      </c>
      <c r="BA121" s="232">
        <f>SUM('PER BULAN'!BH198)</f>
        <v>0</v>
      </c>
    </row>
    <row r="122" spans="1:53" s="219" customFormat="1" x14ac:dyDescent="0.25">
      <c r="A122" s="218" t="s">
        <v>3885</v>
      </c>
      <c r="B122" s="218" t="s">
        <v>3886</v>
      </c>
      <c r="C122" s="218" t="s">
        <v>3912</v>
      </c>
      <c r="D122" s="218" t="s">
        <v>3913</v>
      </c>
      <c r="E122" s="218" t="s">
        <v>197</v>
      </c>
      <c r="F122" s="218" t="s">
        <v>3914</v>
      </c>
      <c r="G122" s="218" t="s">
        <v>3959</v>
      </c>
      <c r="H122" s="218" t="s">
        <v>3960</v>
      </c>
      <c r="I122" s="218">
        <v>955</v>
      </c>
      <c r="J122" s="218" t="s">
        <v>3970</v>
      </c>
      <c r="K122" s="218">
        <v>301</v>
      </c>
      <c r="L122" s="218" t="s">
        <v>3971</v>
      </c>
      <c r="M122" s="218" t="s">
        <v>519</v>
      </c>
      <c r="N122" s="218" t="s">
        <v>3976</v>
      </c>
      <c r="O122" s="218">
        <v>524111</v>
      </c>
      <c r="P122" s="218" t="s">
        <v>3894</v>
      </c>
      <c r="Q122" s="165" cm="1">
        <f t="array" ref="Q122">SUM(_xlfn._xlws.FILTER(DIPA2[PaguRevisi],DIPA2[Akun]=SP2D[[#This Row],[Kode Akun]],0))</f>
        <v>0</v>
      </c>
      <c r="R122" s="350">
        <v>12000000</v>
      </c>
      <c r="S122" s="350"/>
      <c r="T122" s="350">
        <f>SP2D[[#This Row],[Pagu Semula]]-SP2D[[#This Row],[Pagu]]</f>
        <v>12000000</v>
      </c>
      <c r="U122" s="232">
        <f>SUM('PER BULAN'!J200:L200)</f>
        <v>0</v>
      </c>
      <c r="V122" s="232">
        <f>SUM('PER BULAN'!M199:O199)</f>
        <v>0</v>
      </c>
      <c r="W122" s="232">
        <f>SUM('PER BULAN'!P199:R199)</f>
        <v>0</v>
      </c>
      <c r="X122" s="232">
        <f>SUM('PER BULAN'!S199:U199)</f>
        <v>0</v>
      </c>
      <c r="Y122" s="232">
        <f>SUM('PER BULAN'!V199:X199)</f>
        <v>0</v>
      </c>
      <c r="Z122" s="232">
        <f>SUM('PER BULAN'!Y199:AA199)</f>
        <v>0</v>
      </c>
      <c r="AA122" s="232">
        <f>SUM('PER BULAN'!AB199:AD199)</f>
        <v>0</v>
      </c>
      <c r="AB122" s="232">
        <f>SUM('PER BULAN'!AE199:AG199)</f>
        <v>0</v>
      </c>
      <c r="AC122" s="232">
        <f>SUM('PER BULAN'!AH199:AJ199)</f>
        <v>0</v>
      </c>
      <c r="AD122" s="232">
        <f>SUM('PER BULAN'!AK199:AM199)</f>
        <v>0</v>
      </c>
      <c r="AE122" s="232">
        <f>SUM('PER BULAN'!AN199:AP199)</f>
        <v>0</v>
      </c>
      <c r="AF122" s="232">
        <f>SUM('PER BULAN'!AQ199:AS199)</f>
        <v>0</v>
      </c>
      <c r="AG122" s="218" t="s">
        <v>530</v>
      </c>
      <c r="AH122" s="218" t="s">
        <v>576</v>
      </c>
      <c r="AI122" s="218" t="s">
        <v>546</v>
      </c>
      <c r="AJ122" s="218" t="s">
        <v>3891</v>
      </c>
      <c r="AK122" s="218" t="s">
        <v>3892</v>
      </c>
      <c r="AL122" s="384">
        <f t="shared" si="7"/>
        <v>0</v>
      </c>
      <c r="AM122" s="231">
        <f t="shared" si="8"/>
        <v>0</v>
      </c>
      <c r="AN122" s="384">
        <f t="shared" si="9"/>
        <v>0</v>
      </c>
      <c r="AO122" s="231">
        <f t="shared" si="10"/>
        <v>0</v>
      </c>
      <c r="AP122" s="218" t="str">
        <f t="shared" si="11"/>
        <v>WA.2378.EBD.955.301.E.524111</v>
      </c>
      <c r="AQ122" s="218" t="str">
        <f>IF(ISNUMBER(SEARCH("COVID",SP2D[[#This Row],[Akun]])),"COVID","Non COVID")</f>
        <v>Non COVID</v>
      </c>
      <c r="AR12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2" s="232">
        <f>SUM('PER BULAN'!BA199)</f>
        <v>0</v>
      </c>
      <c r="AU122" s="232">
        <f>SUM('PER BULAN'!BB199)</f>
        <v>0</v>
      </c>
      <c r="AV122" s="232">
        <f>SUM('PER BULAN'!BC199)</f>
        <v>0</v>
      </c>
      <c r="AW122" s="232">
        <f>SUM('PER BULAN'!BD199)</f>
        <v>0</v>
      </c>
      <c r="AX122" s="232">
        <f>SUM('PER BULAN'!BE199)</f>
        <v>0</v>
      </c>
      <c r="AY122" s="232">
        <f>SUM('PER BULAN'!BF199)</f>
        <v>0</v>
      </c>
      <c r="AZ122" s="232">
        <f>SUM('PER BULAN'!BG199)</f>
        <v>0</v>
      </c>
      <c r="BA122" s="232">
        <f>SUM('PER BULAN'!BH199)</f>
        <v>0</v>
      </c>
    </row>
    <row r="123" spans="1:53" s="219" customFormat="1" x14ac:dyDescent="0.25">
      <c r="A123" s="218" t="s">
        <v>3885</v>
      </c>
      <c r="B123" s="218" t="s">
        <v>3886</v>
      </c>
      <c r="C123" s="218" t="s">
        <v>3912</v>
      </c>
      <c r="D123" s="218" t="s">
        <v>3913</v>
      </c>
      <c r="E123" s="218" t="s">
        <v>197</v>
      </c>
      <c r="F123" s="218" t="s">
        <v>3914</v>
      </c>
      <c r="G123" s="218" t="s">
        <v>3959</v>
      </c>
      <c r="H123" s="218" t="s">
        <v>3960</v>
      </c>
      <c r="I123" s="218">
        <v>955</v>
      </c>
      <c r="J123" s="218" t="s">
        <v>3970</v>
      </c>
      <c r="K123" s="218">
        <v>301</v>
      </c>
      <c r="L123" s="218" t="s">
        <v>3971</v>
      </c>
      <c r="M123" s="218" t="s">
        <v>578</v>
      </c>
      <c r="N123" s="218" t="s">
        <v>3977</v>
      </c>
      <c r="O123" s="218">
        <v>521211</v>
      </c>
      <c r="P123" s="218" t="s">
        <v>3890</v>
      </c>
      <c r="Q123" s="165" cm="1">
        <f t="array" ref="Q123">SUM(_xlfn._xlws.FILTER(DIPA2[PaguRevisi],DIPA2[Akun]=SP2D[[#This Row],[Kode Akun]],0))</f>
        <v>4800000</v>
      </c>
      <c r="R123" s="350">
        <v>4800000</v>
      </c>
      <c r="S123" s="350"/>
      <c r="T123" s="350">
        <f>SP2D[[#This Row],[Pagu Semula]]-SP2D[[#This Row],[Pagu]]</f>
        <v>0</v>
      </c>
      <c r="U123" s="232">
        <f>SUM('PER BULAN'!J201:L201)</f>
        <v>0</v>
      </c>
      <c r="V123" s="232">
        <f>SUM('PER BULAN'!M201:O201)</f>
        <v>0</v>
      </c>
      <c r="W123" s="232">
        <f>SUM('PER BULAN'!P201:R201)</f>
        <v>0</v>
      </c>
      <c r="X123" s="232">
        <f>SUM('PER BULAN'!S201:U201)</f>
        <v>0</v>
      </c>
      <c r="Y123" s="232">
        <f>SUM('PER BULAN'!V201:X201)</f>
        <v>0</v>
      </c>
      <c r="Z123" s="232">
        <f>SUM('PER BULAN'!Y201:AA201)</f>
        <v>0</v>
      </c>
      <c r="AA123" s="232">
        <f>SUM('PER BULAN'!AB201:AD201)</f>
        <v>0</v>
      </c>
      <c r="AB123" s="232">
        <f>SUM('PER BULAN'!AE201:AG201)</f>
        <v>0</v>
      </c>
      <c r="AC123" s="232">
        <f>SUM('PER BULAN'!AH201:AJ201)</f>
        <v>0</v>
      </c>
      <c r="AD123" s="232">
        <f>SUM('PER BULAN'!AK201:AM201)</f>
        <v>0</v>
      </c>
      <c r="AE123" s="232">
        <f>SUM('PER BULAN'!AN201:AP201)</f>
        <v>0</v>
      </c>
      <c r="AF123" s="232">
        <f>SUM('PER BULAN'!AQ201:AS201)</f>
        <v>0</v>
      </c>
      <c r="AG123" s="218" t="s">
        <v>530</v>
      </c>
      <c r="AH123" s="218" t="s">
        <v>576</v>
      </c>
      <c r="AI123" s="218" t="s">
        <v>546</v>
      </c>
      <c r="AJ123" s="218" t="s">
        <v>3891</v>
      </c>
      <c r="AK123" s="218" t="s">
        <v>3892</v>
      </c>
      <c r="AL123" s="384">
        <f t="shared" si="7"/>
        <v>0</v>
      </c>
      <c r="AM123" s="231">
        <f t="shared" si="8"/>
        <v>0</v>
      </c>
      <c r="AN123" s="384">
        <f t="shared" si="9"/>
        <v>4800000</v>
      </c>
      <c r="AO123" s="231">
        <f t="shared" si="10"/>
        <v>100</v>
      </c>
      <c r="AP123" s="218" t="str">
        <f t="shared" si="11"/>
        <v>WA.2378.EBD.955.301.F.521211</v>
      </c>
      <c r="AQ123" s="218" t="str">
        <f>IF(ISNUMBER(SEARCH("COVID",SP2D[[#This Row],[Akun]])),"COVID","Non COVID")</f>
        <v>Non COVID</v>
      </c>
      <c r="AR12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3" s="232">
        <f>SUM('PER BULAN'!BA201)</f>
        <v>0</v>
      </c>
      <c r="AU123" s="232">
        <f>SUM('PER BULAN'!BB201)</f>
        <v>0</v>
      </c>
      <c r="AV123" s="232">
        <f>SUM('PER BULAN'!BC201)</f>
        <v>0</v>
      </c>
      <c r="AW123" s="232">
        <f>SUM('PER BULAN'!BD201)</f>
        <v>0</v>
      </c>
      <c r="AX123" s="232">
        <f>SUM('PER BULAN'!BE201)</f>
        <v>0</v>
      </c>
      <c r="AY123" s="232">
        <f>SUM('PER BULAN'!BF201)</f>
        <v>0</v>
      </c>
      <c r="AZ123" s="232">
        <f>SUM('PER BULAN'!BG201)</f>
        <v>0</v>
      </c>
      <c r="BA123" s="232">
        <f>SUM('PER BULAN'!BH201)</f>
        <v>0</v>
      </c>
    </row>
    <row r="124" spans="1:53" s="219" customFormat="1" x14ac:dyDescent="0.25">
      <c r="A124" s="218" t="s">
        <v>3885</v>
      </c>
      <c r="B124" s="218" t="s">
        <v>3886</v>
      </c>
      <c r="C124" s="218" t="s">
        <v>3912</v>
      </c>
      <c r="D124" s="218" t="s">
        <v>3913</v>
      </c>
      <c r="E124" s="218" t="s">
        <v>197</v>
      </c>
      <c r="F124" s="218" t="s">
        <v>3914</v>
      </c>
      <c r="G124" s="218" t="s">
        <v>3959</v>
      </c>
      <c r="H124" s="218" t="s">
        <v>3960</v>
      </c>
      <c r="I124" s="218">
        <v>955</v>
      </c>
      <c r="J124" s="218" t="s">
        <v>3970</v>
      </c>
      <c r="K124" s="218">
        <v>301</v>
      </c>
      <c r="L124" s="218" t="s">
        <v>3971</v>
      </c>
      <c r="M124" s="218" t="s">
        <v>578</v>
      </c>
      <c r="N124" s="218" t="s">
        <v>3977</v>
      </c>
      <c r="O124" s="218">
        <v>521811</v>
      </c>
      <c r="P124" s="218" t="s">
        <v>3908</v>
      </c>
      <c r="Q124" s="165" cm="1">
        <f t="array" ref="Q124">SUM(_xlfn._xlws.FILTER(DIPA2[PaguRevisi],DIPA2[Akun]=SP2D[[#This Row],[Kode Akun]],0))</f>
        <v>27500000</v>
      </c>
      <c r="R124" s="350">
        <v>27500000</v>
      </c>
      <c r="S124" s="350"/>
      <c r="T124" s="350">
        <f>SP2D[[#This Row],[Pagu Semula]]-SP2D[[#This Row],[Pagu]]</f>
        <v>0</v>
      </c>
      <c r="U124" s="232">
        <f>SUM('PER BULAN'!J202:L202)</f>
        <v>0</v>
      </c>
      <c r="V124" s="232">
        <f>SUM('PER BULAN'!M202:O202)</f>
        <v>0</v>
      </c>
      <c r="W124" s="232">
        <f>SUM('PER BULAN'!P202:R202)</f>
        <v>4980000</v>
      </c>
      <c r="X124" s="232">
        <f>SUM('PER BULAN'!S202:U202)</f>
        <v>2490000</v>
      </c>
      <c r="Y124" s="232">
        <f>SUM('PER BULAN'!V202:X202)</f>
        <v>2490000</v>
      </c>
      <c r="Z124" s="232">
        <f>SUM('PER BULAN'!Y202:AA202)</f>
        <v>0</v>
      </c>
      <c r="AA124" s="232">
        <f>SUM('PER BULAN'!AB202:AD202)</f>
        <v>0</v>
      </c>
      <c r="AB124" s="232">
        <f>SUM('PER BULAN'!AE202:AG202)</f>
        <v>0</v>
      </c>
      <c r="AC124" s="232">
        <f>SUM('PER BULAN'!AH202:AJ202)</f>
        <v>0</v>
      </c>
      <c r="AD124" s="232">
        <f>SUM('PER BULAN'!AK202:AM202)</f>
        <v>0</v>
      </c>
      <c r="AE124" s="232">
        <f>SUM('PER BULAN'!AN202:AP202)</f>
        <v>0</v>
      </c>
      <c r="AF124" s="232">
        <f>SUM('PER BULAN'!AQ202:AS202)</f>
        <v>0</v>
      </c>
      <c r="AG124" s="218" t="s">
        <v>530</v>
      </c>
      <c r="AH124" s="218" t="s">
        <v>576</v>
      </c>
      <c r="AI124" s="218" t="s">
        <v>546</v>
      </c>
      <c r="AJ124" s="218" t="s">
        <v>3891</v>
      </c>
      <c r="AK124" s="218" t="s">
        <v>3892</v>
      </c>
      <c r="AL124" s="384">
        <f t="shared" si="7"/>
        <v>9960000</v>
      </c>
      <c r="AM124" s="231">
        <f t="shared" si="8"/>
        <v>36.218181818181819</v>
      </c>
      <c r="AN124" s="384">
        <f t="shared" si="9"/>
        <v>17540000</v>
      </c>
      <c r="AO124" s="231">
        <f t="shared" si="10"/>
        <v>63.781818181818181</v>
      </c>
      <c r="AP124" s="218" t="str">
        <f t="shared" si="11"/>
        <v>WA.2378.EBD.955.301.F.521811</v>
      </c>
      <c r="AQ124" s="218" t="str">
        <f>IF(ISNUMBER(SEARCH("COVID",SP2D[[#This Row],[Akun]])),"COVID","Non COVID")</f>
        <v>Non COVID</v>
      </c>
      <c r="AR12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2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4" s="232">
        <f>SUM('PER BULAN'!BA202)</f>
        <v>0</v>
      </c>
      <c r="AU124" s="232">
        <f>SUM('PER BULAN'!BB202)</f>
        <v>2490000</v>
      </c>
      <c r="AV124" s="232">
        <f>SUM('PER BULAN'!BC202)</f>
        <v>2490000</v>
      </c>
      <c r="AW124" s="232">
        <f>SUM('PER BULAN'!BD202)</f>
        <v>2490000</v>
      </c>
      <c r="AX124" s="232">
        <f>SUM('PER BULAN'!BE202)</f>
        <v>0</v>
      </c>
      <c r="AY124" s="232">
        <f>SUM('PER BULAN'!BF202)</f>
        <v>0</v>
      </c>
      <c r="AZ124" s="232">
        <f>SUM('PER BULAN'!BG202)</f>
        <v>2490000</v>
      </c>
      <c r="BA124" s="232">
        <f>SUM('PER BULAN'!BH202)</f>
        <v>0</v>
      </c>
    </row>
    <row r="125" spans="1:53" s="219" customFormat="1" x14ac:dyDescent="0.25">
      <c r="A125" s="218" t="s">
        <v>3885</v>
      </c>
      <c r="B125" s="218" t="s">
        <v>3886</v>
      </c>
      <c r="C125" s="218" t="s">
        <v>3912</v>
      </c>
      <c r="D125" s="218" t="s">
        <v>3913</v>
      </c>
      <c r="E125" s="218" t="s">
        <v>197</v>
      </c>
      <c r="F125" s="218" t="s">
        <v>3914</v>
      </c>
      <c r="G125" s="218" t="s">
        <v>3959</v>
      </c>
      <c r="H125" s="218" t="s">
        <v>3960</v>
      </c>
      <c r="I125" s="218">
        <v>955</v>
      </c>
      <c r="J125" s="218" t="s">
        <v>3970</v>
      </c>
      <c r="K125" s="218">
        <v>301</v>
      </c>
      <c r="L125" s="218" t="s">
        <v>3971</v>
      </c>
      <c r="M125" s="218" t="s">
        <v>578</v>
      </c>
      <c r="N125" s="218" t="s">
        <v>3977</v>
      </c>
      <c r="O125" s="218">
        <v>524111</v>
      </c>
      <c r="P125" s="218" t="s">
        <v>3894</v>
      </c>
      <c r="Q125" s="165" cm="1">
        <f t="array" ref="Q125">SUM(_xlfn._xlws.FILTER(DIPA2[PaguRevisi],DIPA2[Akun]=SP2D[[#This Row],[Kode Akun]],0))</f>
        <v>76033000</v>
      </c>
      <c r="R125" s="350">
        <v>56380000</v>
      </c>
      <c r="S125" s="350"/>
      <c r="T125" s="350">
        <f>SP2D[[#This Row],[Pagu Semula]]-SP2D[[#This Row],[Pagu]]</f>
        <v>-19653000</v>
      </c>
      <c r="U125" s="232">
        <f>SUM('PER BULAN'!J208:L208)</f>
        <v>0</v>
      </c>
      <c r="V125" s="232">
        <f>SUM('PER BULAN'!M203:O203)</f>
        <v>0</v>
      </c>
      <c r="W125" s="232">
        <f>SUM('PER BULAN'!P203:R203)</f>
        <v>45420000</v>
      </c>
      <c r="X125" s="232">
        <f>SUM('PER BULAN'!S203:U203)</f>
        <v>0</v>
      </c>
      <c r="Y125" s="232">
        <f>SUM('PER BULAN'!V203:X203)</f>
        <v>7280000</v>
      </c>
      <c r="Z125" s="232">
        <f>SUM('PER BULAN'!Y203:AA203)</f>
        <v>2030000</v>
      </c>
      <c r="AA125" s="232">
        <f>SUM('PER BULAN'!AB203:AD203)</f>
        <v>0</v>
      </c>
      <c r="AB125" s="232">
        <f>SUM('PER BULAN'!AE203:AG203)</f>
        <v>0</v>
      </c>
      <c r="AC125" s="232">
        <f>SUM('PER BULAN'!AH203:AJ203)</f>
        <v>0</v>
      </c>
      <c r="AD125" s="232">
        <f>SUM('PER BULAN'!AK203:AM203)</f>
        <v>0</v>
      </c>
      <c r="AE125" s="232">
        <f>SUM('PER BULAN'!AN203:AP203)</f>
        <v>0</v>
      </c>
      <c r="AF125" s="232">
        <f>SUM('PER BULAN'!AQ203:AS203)</f>
        <v>0</v>
      </c>
      <c r="AG125" s="218" t="s">
        <v>530</v>
      </c>
      <c r="AH125" s="218" t="s">
        <v>576</v>
      </c>
      <c r="AI125" s="218" t="s">
        <v>546</v>
      </c>
      <c r="AJ125" s="218" t="s">
        <v>3891</v>
      </c>
      <c r="AK125" s="218" t="s">
        <v>3892</v>
      </c>
      <c r="AL125" s="384">
        <f t="shared" si="7"/>
        <v>54730000</v>
      </c>
      <c r="AM125" s="231">
        <f t="shared" si="8"/>
        <v>71.981902594925884</v>
      </c>
      <c r="AN125" s="384">
        <f t="shared" si="9"/>
        <v>21303000</v>
      </c>
      <c r="AO125" s="231">
        <f t="shared" si="10"/>
        <v>28.018097405074112</v>
      </c>
      <c r="AP125" s="218" t="str">
        <f t="shared" si="11"/>
        <v>WA.2378.EBD.955.301.F.524111</v>
      </c>
      <c r="AQ125" s="218" t="str">
        <f>IF(ISNUMBER(SEARCH("COVID",SP2D[[#This Row],[Akun]])),"COVID","Non COVID")</f>
        <v>Non COVID</v>
      </c>
      <c r="AR12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5" s="232">
        <f>SUM('PER BULAN'!BA203)</f>
        <v>0</v>
      </c>
      <c r="AU125" s="232">
        <f>SUM('PER BULAN'!BB203)</f>
        <v>34560000</v>
      </c>
      <c r="AV125" s="232">
        <f>SUM('PER BULAN'!BC203)</f>
        <v>10860000</v>
      </c>
      <c r="AW125" s="232">
        <f>SUM('PER BULAN'!BD203)</f>
        <v>0</v>
      </c>
      <c r="AX125" s="232">
        <f>SUM('PER BULAN'!BE203)</f>
        <v>5600000</v>
      </c>
      <c r="AY125" s="232">
        <f>SUM('PER BULAN'!BF203)</f>
        <v>0</v>
      </c>
      <c r="AZ125" s="232">
        <f>SUM('PER BULAN'!BG203)</f>
        <v>1680000</v>
      </c>
      <c r="BA125" s="232">
        <f>SUM('PER BULAN'!BH203)</f>
        <v>2030000</v>
      </c>
    </row>
    <row r="126" spans="1:53" s="219" customFormat="1" x14ac:dyDescent="0.25">
      <c r="A126" s="218" t="s">
        <v>3885</v>
      </c>
      <c r="B126" s="218" t="s">
        <v>3886</v>
      </c>
      <c r="C126" s="218" t="s">
        <v>3912</v>
      </c>
      <c r="D126" s="218" t="s">
        <v>3913</v>
      </c>
      <c r="E126" s="218" t="s">
        <v>198</v>
      </c>
      <c r="F126" s="218" t="s">
        <v>3920</v>
      </c>
      <c r="G126" s="218" t="s">
        <v>3978</v>
      </c>
      <c r="H126" s="218" t="s">
        <v>3979</v>
      </c>
      <c r="I126" s="218">
        <v>996</v>
      </c>
      <c r="J126" s="218" t="s">
        <v>3980</v>
      </c>
      <c r="K126" s="218">
        <v>301</v>
      </c>
      <c r="L126" s="218" t="s">
        <v>3981</v>
      </c>
      <c r="M126" s="218" t="s">
        <v>8</v>
      </c>
      <c r="N126" s="218" t="s">
        <v>3982</v>
      </c>
      <c r="O126" s="218">
        <v>521211</v>
      </c>
      <c r="P126" s="218" t="s">
        <v>3890</v>
      </c>
      <c r="Q126" s="165" cm="1">
        <f t="array" ref="Q126">SUM(_xlfn._xlws.FILTER(DIPA2[PaguRevisi],DIPA2[Akun]=SP2D[[#This Row],[Kode Akun]],0))</f>
        <v>99100000</v>
      </c>
      <c r="R126" s="350">
        <v>99100000</v>
      </c>
      <c r="S126" s="350"/>
      <c r="T126" s="350">
        <f>SP2D[[#This Row],[Pagu Semula]]-SP2D[[#This Row],[Pagu]]</f>
        <v>0</v>
      </c>
      <c r="U126" s="232">
        <f>SUM('PER BULAN'!J209:L209)</f>
        <v>0</v>
      </c>
      <c r="V126" s="232">
        <f>SUM('PER BULAN'!M209:O209)</f>
        <v>0</v>
      </c>
      <c r="W126" s="232">
        <f>SUM('PER BULAN'!P209:R209)</f>
        <v>0</v>
      </c>
      <c r="X126" s="232">
        <f>SUM('PER BULAN'!S209:U209)</f>
        <v>0</v>
      </c>
      <c r="Y126" s="232">
        <f>SUM('PER BULAN'!V209:X209)</f>
        <v>0</v>
      </c>
      <c r="Z126" s="232">
        <f>SUM('PER BULAN'!Y209:AA209)</f>
        <v>0</v>
      </c>
      <c r="AA126" s="232">
        <f>SUM('PER BULAN'!AB209:AD209)</f>
        <v>0</v>
      </c>
      <c r="AB126" s="232">
        <f>SUM('PER BULAN'!AE209:AG209)</f>
        <v>0</v>
      </c>
      <c r="AC126" s="232">
        <f>SUM('PER BULAN'!AH209:AJ209)</f>
        <v>0</v>
      </c>
      <c r="AD126" s="232">
        <f>SUM('PER BULAN'!AK209:AM209)</f>
        <v>0</v>
      </c>
      <c r="AE126" s="232">
        <f>SUM('PER BULAN'!AN209:AP209)</f>
        <v>0</v>
      </c>
      <c r="AF126" s="232">
        <f>SUM('PER BULAN'!AQ209:AS209)</f>
        <v>0</v>
      </c>
      <c r="AG126" s="218" t="s">
        <v>530</v>
      </c>
      <c r="AH126" s="218" t="s">
        <v>542</v>
      </c>
      <c r="AI126" s="218" t="s">
        <v>543</v>
      </c>
      <c r="AJ126" s="218" t="s">
        <v>3891</v>
      </c>
      <c r="AK126" s="218" t="s">
        <v>3892</v>
      </c>
      <c r="AL126" s="384">
        <f t="shared" si="7"/>
        <v>0</v>
      </c>
      <c r="AM126" s="231">
        <f t="shared" si="8"/>
        <v>0</v>
      </c>
      <c r="AN126" s="384">
        <f t="shared" si="9"/>
        <v>99100000</v>
      </c>
      <c r="AO126" s="231">
        <f t="shared" si="10"/>
        <v>100</v>
      </c>
      <c r="AP126" s="218" t="str">
        <f t="shared" si="11"/>
        <v>WA.4345.EBC.996.301.A.521211</v>
      </c>
      <c r="AQ126" s="218" t="str">
        <f>IF(ISNUMBER(SEARCH("COVID",SP2D[[#This Row],[Akun]])),"COVID","Non COVID")</f>
        <v>Non COVID</v>
      </c>
      <c r="AR12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6" s="232">
        <f>SUM('PER BULAN'!BA209)</f>
        <v>0</v>
      </c>
      <c r="AU126" s="232">
        <f>SUM('PER BULAN'!BB209)</f>
        <v>0</v>
      </c>
      <c r="AV126" s="232">
        <f>SUM('PER BULAN'!BC209)</f>
        <v>0</v>
      </c>
      <c r="AW126" s="232">
        <f>SUM('PER BULAN'!BD209)</f>
        <v>0</v>
      </c>
      <c r="AX126" s="232">
        <f>SUM('PER BULAN'!BE209)</f>
        <v>0</v>
      </c>
      <c r="AY126" s="232">
        <f>SUM('PER BULAN'!BF209)</f>
        <v>0</v>
      </c>
      <c r="AZ126" s="232">
        <f>SUM('PER BULAN'!BG209)</f>
        <v>0</v>
      </c>
      <c r="BA126" s="232">
        <f>SUM('PER BULAN'!BH209)</f>
        <v>0</v>
      </c>
    </row>
    <row r="127" spans="1:53" s="219" customFormat="1" x14ac:dyDescent="0.25">
      <c r="A127" s="218" t="s">
        <v>3885</v>
      </c>
      <c r="B127" s="218" t="s">
        <v>3886</v>
      </c>
      <c r="C127" s="218" t="s">
        <v>3912</v>
      </c>
      <c r="D127" s="218" t="s">
        <v>3913</v>
      </c>
      <c r="E127" s="218" t="s">
        <v>198</v>
      </c>
      <c r="F127" s="218" t="s">
        <v>3920</v>
      </c>
      <c r="G127" s="218" t="s">
        <v>3978</v>
      </c>
      <c r="H127" s="218" t="s">
        <v>3979</v>
      </c>
      <c r="I127" s="218">
        <v>996</v>
      </c>
      <c r="J127" s="218" t="s">
        <v>3980</v>
      </c>
      <c r="K127" s="218">
        <v>301</v>
      </c>
      <c r="L127" s="218" t="s">
        <v>3981</v>
      </c>
      <c r="M127" s="218" t="s">
        <v>8</v>
      </c>
      <c r="N127" s="218" t="s">
        <v>3982</v>
      </c>
      <c r="O127" s="218">
        <v>521219</v>
      </c>
      <c r="P127" s="218" t="s">
        <v>3903</v>
      </c>
      <c r="Q127" s="165" cm="1">
        <f t="array" ref="Q127">SUM(_xlfn._xlws.FILTER(DIPA2[PaguRevisi],DIPA2[Akun]=SP2D[[#This Row],[Kode Akun]],0))</f>
        <v>1333864000</v>
      </c>
      <c r="R127" s="350">
        <v>1333864000</v>
      </c>
      <c r="S127" s="350"/>
      <c r="T127" s="350">
        <f>SP2D[[#This Row],[Pagu Semula]]-SP2D[[#This Row],[Pagu]]</f>
        <v>0</v>
      </c>
      <c r="U127" s="232">
        <f>SUM('PER BULAN'!J210:L210)</f>
        <v>0</v>
      </c>
      <c r="V127" s="232">
        <f>SUM('PER BULAN'!M210:O210)</f>
        <v>0</v>
      </c>
      <c r="W127" s="232">
        <f>SUM('PER BULAN'!P210:R210)</f>
        <v>0</v>
      </c>
      <c r="X127" s="232">
        <f>SUM('PER BULAN'!S210:U210)</f>
        <v>0</v>
      </c>
      <c r="Y127" s="232">
        <f>SUM('PER BULAN'!V210:X210)</f>
        <v>0</v>
      </c>
      <c r="Z127" s="232">
        <f>SUM('PER BULAN'!Y210:AA210)</f>
        <v>0</v>
      </c>
      <c r="AA127" s="232">
        <f>SUM('PER BULAN'!AB210:AD210)</f>
        <v>0</v>
      </c>
      <c r="AB127" s="232">
        <f>SUM('PER BULAN'!AE210:AG210)</f>
        <v>0</v>
      </c>
      <c r="AC127" s="232">
        <f>SUM('PER BULAN'!AH210:AJ210)</f>
        <v>0</v>
      </c>
      <c r="AD127" s="232">
        <f>SUM('PER BULAN'!AK210:AM210)</f>
        <v>0</v>
      </c>
      <c r="AE127" s="232">
        <f>SUM('PER BULAN'!AN210:AP210)</f>
        <v>0</v>
      </c>
      <c r="AF127" s="232">
        <f>SUM('PER BULAN'!AQ210:AS210)</f>
        <v>0</v>
      </c>
      <c r="AG127" s="218" t="s">
        <v>530</v>
      </c>
      <c r="AH127" s="218" t="s">
        <v>542</v>
      </c>
      <c r="AI127" s="218" t="s">
        <v>543</v>
      </c>
      <c r="AJ127" s="218" t="s">
        <v>3891</v>
      </c>
      <c r="AK127" s="218" t="s">
        <v>3892</v>
      </c>
      <c r="AL127" s="384">
        <f t="shared" ref="AL127:AL143" si="12">SUM(U127:AF127)</f>
        <v>0</v>
      </c>
      <c r="AM127" s="231">
        <f t="shared" si="8"/>
        <v>0</v>
      </c>
      <c r="AN127" s="384">
        <f t="shared" ref="AN127:AN143" si="13">Q127-AL127</f>
        <v>1333864000</v>
      </c>
      <c r="AO127" s="231">
        <f t="shared" si="10"/>
        <v>100</v>
      </c>
      <c r="AP127" s="218" t="str">
        <f t="shared" si="11"/>
        <v>WA.4345.EBC.996.301.A.521219</v>
      </c>
      <c r="AQ127" s="218" t="str">
        <f>IF(ISNUMBER(SEARCH("COVID",SP2D[[#This Row],[Akun]])),"COVID","Non COVID")</f>
        <v>Non COVID</v>
      </c>
      <c r="AR12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2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7" s="232">
        <f>SUM('PER BULAN'!BA210)</f>
        <v>0</v>
      </c>
      <c r="AU127" s="232">
        <f>SUM('PER BULAN'!BB210)</f>
        <v>0</v>
      </c>
      <c r="AV127" s="232">
        <f>SUM('PER BULAN'!BC210)</f>
        <v>0</v>
      </c>
      <c r="AW127" s="232">
        <f>SUM('PER BULAN'!BD210)</f>
        <v>0</v>
      </c>
      <c r="AX127" s="232">
        <f>SUM('PER BULAN'!BE210)</f>
        <v>0</v>
      </c>
      <c r="AY127" s="232">
        <f>SUM('PER BULAN'!BF210)</f>
        <v>0</v>
      </c>
      <c r="AZ127" s="232">
        <f>SUM('PER BULAN'!BG210)</f>
        <v>0</v>
      </c>
      <c r="BA127" s="232">
        <f>SUM('PER BULAN'!BH210)</f>
        <v>0</v>
      </c>
    </row>
    <row r="128" spans="1:53" s="219" customFormat="1" x14ac:dyDescent="0.25">
      <c r="A128" s="218" t="s">
        <v>3885</v>
      </c>
      <c r="B128" s="218" t="s">
        <v>3886</v>
      </c>
      <c r="C128" s="218" t="s">
        <v>3912</v>
      </c>
      <c r="D128" s="218" t="s">
        <v>3913</v>
      </c>
      <c r="E128" s="218" t="s">
        <v>198</v>
      </c>
      <c r="F128" s="218" t="s">
        <v>3920</v>
      </c>
      <c r="G128" s="218" t="s">
        <v>3978</v>
      </c>
      <c r="H128" s="218" t="s">
        <v>3979</v>
      </c>
      <c r="I128" s="218">
        <v>996</v>
      </c>
      <c r="J128" s="218" t="s">
        <v>3980</v>
      </c>
      <c r="K128" s="218">
        <v>301</v>
      </c>
      <c r="L128" s="218" t="s">
        <v>3981</v>
      </c>
      <c r="M128" s="218" t="s">
        <v>8</v>
      </c>
      <c r="N128" s="218" t="s">
        <v>3982</v>
      </c>
      <c r="O128" s="218">
        <v>521811</v>
      </c>
      <c r="P128" s="218" t="s">
        <v>3908</v>
      </c>
      <c r="Q128" s="165" cm="1">
        <f t="array" ref="Q128">SUM(_xlfn._xlws.FILTER(DIPA2[PaguRevisi],DIPA2[Akun]=SP2D[[#This Row],[Kode Akun]],0))</f>
        <v>25000000</v>
      </c>
      <c r="R128" s="350">
        <v>25000000</v>
      </c>
      <c r="S128" s="350"/>
      <c r="T128" s="350">
        <f>SP2D[[#This Row],[Pagu Semula]]-SP2D[[#This Row],[Pagu]]</f>
        <v>0</v>
      </c>
      <c r="U128" s="232">
        <f>SUM('PER BULAN'!J211:L211)</f>
        <v>0</v>
      </c>
      <c r="V128" s="232">
        <f>SUM('PER BULAN'!M211:O211)</f>
        <v>0</v>
      </c>
      <c r="W128" s="232">
        <f>SUM('PER BULAN'!P211:R211)</f>
        <v>0</v>
      </c>
      <c r="X128" s="232">
        <f>SUM('PER BULAN'!S211:U211)</f>
        <v>0</v>
      </c>
      <c r="Y128" s="232">
        <f>SUM('PER BULAN'!V211:X211)</f>
        <v>4855000</v>
      </c>
      <c r="Z128" s="232">
        <f>SUM('PER BULAN'!Y211:AA211)</f>
        <v>0</v>
      </c>
      <c r="AA128" s="232">
        <f>SUM('PER BULAN'!AB211:AD211)</f>
        <v>0</v>
      </c>
      <c r="AB128" s="232">
        <f>SUM('PER BULAN'!AE211:AG211)</f>
        <v>0</v>
      </c>
      <c r="AC128" s="232">
        <f>SUM('PER BULAN'!AH211:AJ211)</f>
        <v>0</v>
      </c>
      <c r="AD128" s="232">
        <f>SUM('PER BULAN'!AK211:AM211)</f>
        <v>0</v>
      </c>
      <c r="AE128" s="232">
        <f>SUM('PER BULAN'!AN211:AP211)</f>
        <v>0</v>
      </c>
      <c r="AF128" s="232">
        <f>SUM('PER BULAN'!AQ211:AS211)</f>
        <v>0</v>
      </c>
      <c r="AG128" s="218" t="s">
        <v>530</v>
      </c>
      <c r="AH128" s="218" t="s">
        <v>542</v>
      </c>
      <c r="AI128" s="218" t="s">
        <v>543</v>
      </c>
      <c r="AJ128" s="218" t="s">
        <v>3891</v>
      </c>
      <c r="AK128" s="218" t="s">
        <v>3892</v>
      </c>
      <c r="AL128" s="384">
        <f t="shared" si="12"/>
        <v>4855000</v>
      </c>
      <c r="AM128" s="231">
        <f t="shared" si="8"/>
        <v>19.420000000000002</v>
      </c>
      <c r="AN128" s="384">
        <f t="shared" si="13"/>
        <v>20145000</v>
      </c>
      <c r="AO128" s="231">
        <f t="shared" si="10"/>
        <v>80.58</v>
      </c>
      <c r="AP128" s="218" t="str">
        <f t="shared" si="11"/>
        <v>WA.4345.EBC.996.301.A.521811</v>
      </c>
      <c r="AQ128" s="218" t="str">
        <f>IF(ISNUMBER(SEARCH("COVID",SP2D[[#This Row],[Akun]])),"COVID","Non COVID")</f>
        <v>Non COVID</v>
      </c>
      <c r="AR12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2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8" s="232">
        <f>SUM('PER BULAN'!BA211)</f>
        <v>0</v>
      </c>
      <c r="AU128" s="232">
        <f>SUM('PER BULAN'!BB211)</f>
        <v>0</v>
      </c>
      <c r="AV128" s="232">
        <f>SUM('PER BULAN'!BC211)</f>
        <v>0</v>
      </c>
      <c r="AW128" s="232">
        <f>SUM('PER BULAN'!BD211)</f>
        <v>0</v>
      </c>
      <c r="AX128" s="232">
        <f>SUM('PER BULAN'!BE211)</f>
        <v>0</v>
      </c>
      <c r="AY128" s="232">
        <f>SUM('PER BULAN'!BF211)</f>
        <v>0</v>
      </c>
      <c r="AZ128" s="232">
        <f>SUM('PER BULAN'!BG211)</f>
        <v>4855000</v>
      </c>
      <c r="BA128" s="232">
        <f>SUM('PER BULAN'!BH211)</f>
        <v>0</v>
      </c>
    </row>
    <row r="129" spans="1:53" s="219" customFormat="1" x14ac:dyDescent="0.25">
      <c r="A129" s="218" t="s">
        <v>3885</v>
      </c>
      <c r="B129" s="218" t="s">
        <v>3886</v>
      </c>
      <c r="C129" s="218" t="s">
        <v>3912</v>
      </c>
      <c r="D129" s="218" t="s">
        <v>3913</v>
      </c>
      <c r="E129" s="218" t="s">
        <v>198</v>
      </c>
      <c r="F129" s="218" t="s">
        <v>3920</v>
      </c>
      <c r="G129" s="218" t="s">
        <v>3978</v>
      </c>
      <c r="H129" s="218" t="s">
        <v>3979</v>
      </c>
      <c r="I129" s="218">
        <v>996</v>
      </c>
      <c r="J129" s="218" t="s">
        <v>3980</v>
      </c>
      <c r="K129" s="218">
        <v>301</v>
      </c>
      <c r="L129" s="218" t="s">
        <v>3981</v>
      </c>
      <c r="M129" s="218" t="s">
        <v>8</v>
      </c>
      <c r="N129" s="218" t="s">
        <v>3982</v>
      </c>
      <c r="O129" s="218">
        <v>522151</v>
      </c>
      <c r="P129" s="218" t="s">
        <v>3893</v>
      </c>
      <c r="Q129" s="165" cm="1">
        <f t="array" ref="Q129">SUM(_xlfn._xlws.FILTER(DIPA2[PaguRevisi],DIPA2[Akun]=SP2D[[#This Row],[Kode Akun]],0))</f>
        <v>15000000</v>
      </c>
      <c r="R129" s="350">
        <v>15000000</v>
      </c>
      <c r="S129" s="350"/>
      <c r="T129" s="350">
        <f>SP2D[[#This Row],[Pagu Semula]]-SP2D[[#This Row],[Pagu]]</f>
        <v>0</v>
      </c>
      <c r="U129" s="232">
        <f>SUM('PER BULAN'!J212:L212)</f>
        <v>0</v>
      </c>
      <c r="V129" s="232">
        <f>SUM('PER BULAN'!M212:O212)</f>
        <v>0</v>
      </c>
      <c r="W129" s="232">
        <f>SUM('PER BULAN'!P212:R212)</f>
        <v>0</v>
      </c>
      <c r="X129" s="232">
        <f>SUM('PER BULAN'!S212:U212)</f>
        <v>0</v>
      </c>
      <c r="Y129" s="232">
        <f>SUM('PER BULAN'!V212:X212)</f>
        <v>0</v>
      </c>
      <c r="Z129" s="232">
        <f>SUM('PER BULAN'!Y212:AA212)</f>
        <v>0</v>
      </c>
      <c r="AA129" s="232">
        <f>SUM('PER BULAN'!AB212:AD212)</f>
        <v>0</v>
      </c>
      <c r="AB129" s="232">
        <f>SUM('PER BULAN'!AE212:AG212)</f>
        <v>0</v>
      </c>
      <c r="AC129" s="232">
        <f>SUM('PER BULAN'!AH212:AJ212)</f>
        <v>0</v>
      </c>
      <c r="AD129" s="232">
        <f>SUM('PER BULAN'!AK212:AM212)</f>
        <v>0</v>
      </c>
      <c r="AE129" s="232">
        <f>SUM('PER BULAN'!AN212:AP212)</f>
        <v>0</v>
      </c>
      <c r="AF129" s="232">
        <f>SUM('PER BULAN'!AQ212:AS212)</f>
        <v>0</v>
      </c>
      <c r="AG129" s="218" t="s">
        <v>530</v>
      </c>
      <c r="AH129" s="218" t="s">
        <v>542</v>
      </c>
      <c r="AI129" s="218" t="s">
        <v>543</v>
      </c>
      <c r="AJ129" s="218" t="s">
        <v>3891</v>
      </c>
      <c r="AK129" s="218" t="s">
        <v>3892</v>
      </c>
      <c r="AL129" s="384">
        <f t="shared" si="12"/>
        <v>0</v>
      </c>
      <c r="AM129" s="231">
        <f t="shared" si="8"/>
        <v>0</v>
      </c>
      <c r="AN129" s="384">
        <f t="shared" si="13"/>
        <v>15000000</v>
      </c>
      <c r="AO129" s="231">
        <f t="shared" si="10"/>
        <v>100</v>
      </c>
      <c r="AP129" s="218" t="str">
        <f t="shared" si="11"/>
        <v>WA.4345.EBC.996.301.A.522151</v>
      </c>
      <c r="AQ129" s="218" t="str">
        <f>IF(ISNUMBER(SEARCH("COVID",SP2D[[#This Row],[Akun]])),"COVID","Non COVID")</f>
        <v>Non COVID</v>
      </c>
      <c r="AR12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2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9" s="232">
        <f>SUM('PER BULAN'!BA212)</f>
        <v>0</v>
      </c>
      <c r="AU129" s="232">
        <f>SUM('PER BULAN'!BB212)</f>
        <v>0</v>
      </c>
      <c r="AV129" s="232">
        <f>SUM('PER BULAN'!BC212)</f>
        <v>0</v>
      </c>
      <c r="AW129" s="232">
        <f>SUM('PER BULAN'!BD212)</f>
        <v>0</v>
      </c>
      <c r="AX129" s="232">
        <f>SUM('PER BULAN'!BE212)</f>
        <v>0</v>
      </c>
      <c r="AY129" s="232">
        <f>SUM('PER BULAN'!BF212)</f>
        <v>0</v>
      </c>
      <c r="AZ129" s="232">
        <f>SUM('PER BULAN'!BG212)</f>
        <v>0</v>
      </c>
      <c r="BA129" s="232">
        <f>SUM('PER BULAN'!BH212)</f>
        <v>0</v>
      </c>
    </row>
    <row r="130" spans="1:53" s="219" customFormat="1" x14ac:dyDescent="0.25">
      <c r="A130" s="218" t="s">
        <v>3885</v>
      </c>
      <c r="B130" s="218" t="s">
        <v>3886</v>
      </c>
      <c r="C130" s="218" t="s">
        <v>3912</v>
      </c>
      <c r="D130" s="218" t="s">
        <v>3913</v>
      </c>
      <c r="E130" s="218" t="s">
        <v>198</v>
      </c>
      <c r="F130" s="218" t="s">
        <v>3920</v>
      </c>
      <c r="G130" s="218" t="s">
        <v>3978</v>
      </c>
      <c r="H130" s="218" t="s">
        <v>3979</v>
      </c>
      <c r="I130" s="218">
        <v>996</v>
      </c>
      <c r="J130" s="218" t="s">
        <v>3980</v>
      </c>
      <c r="K130" s="218">
        <v>301</v>
      </c>
      <c r="L130" s="218" t="s">
        <v>3981</v>
      </c>
      <c r="M130" s="218" t="s">
        <v>8</v>
      </c>
      <c r="N130" s="218" t="s">
        <v>3982</v>
      </c>
      <c r="O130" s="218">
        <v>522191</v>
      </c>
      <c r="P130" s="218" t="s">
        <v>3983</v>
      </c>
      <c r="Q130" s="165" cm="1">
        <f t="array" ref="Q130">SUM(_xlfn._xlws.FILTER(DIPA2[PaguRevisi],DIPA2[Akun]=SP2D[[#This Row],[Kode Akun]],0))</f>
        <v>102600000</v>
      </c>
      <c r="R130" s="350">
        <v>102600000</v>
      </c>
      <c r="S130" s="350"/>
      <c r="T130" s="350">
        <f>SP2D[[#This Row],[Pagu Semula]]-SP2D[[#This Row],[Pagu]]</f>
        <v>0</v>
      </c>
      <c r="U130" s="232">
        <f>SUM('PER BULAN'!J213:L213)</f>
        <v>0</v>
      </c>
      <c r="V130" s="232">
        <f>SUM('PER BULAN'!M213:O213)</f>
        <v>0</v>
      </c>
      <c r="W130" s="232">
        <f>SUM('PER BULAN'!P213:R213)</f>
        <v>0</v>
      </c>
      <c r="X130" s="232">
        <f>SUM('PER BULAN'!S213:U213)</f>
        <v>0</v>
      </c>
      <c r="Y130" s="232">
        <f>SUM('PER BULAN'!V213:X213)</f>
        <v>0</v>
      </c>
      <c r="Z130" s="232">
        <f>SUM('PER BULAN'!Y213:AA213)</f>
        <v>0</v>
      </c>
      <c r="AA130" s="232">
        <f>SUM('PER BULAN'!AB213:AD213)</f>
        <v>0</v>
      </c>
      <c r="AB130" s="232">
        <f>SUM('PER BULAN'!AE213:AG213)</f>
        <v>0</v>
      </c>
      <c r="AC130" s="232">
        <f>SUM('PER BULAN'!AH213:AJ213)</f>
        <v>0</v>
      </c>
      <c r="AD130" s="232">
        <f>SUM('PER BULAN'!AK213:AM213)</f>
        <v>0</v>
      </c>
      <c r="AE130" s="232">
        <f>SUM('PER BULAN'!AN213:AP213)</f>
        <v>0</v>
      </c>
      <c r="AF130" s="232">
        <f>SUM('PER BULAN'!AQ213:AS213)</f>
        <v>0</v>
      </c>
      <c r="AG130" s="218" t="s">
        <v>530</v>
      </c>
      <c r="AH130" s="218" t="s">
        <v>542</v>
      </c>
      <c r="AI130" s="218" t="s">
        <v>543</v>
      </c>
      <c r="AJ130" s="218" t="s">
        <v>3891</v>
      </c>
      <c r="AK130" s="218" t="s">
        <v>3892</v>
      </c>
      <c r="AL130" s="384">
        <f t="shared" si="12"/>
        <v>0</v>
      </c>
      <c r="AM130" s="231">
        <f t="shared" si="8"/>
        <v>0</v>
      </c>
      <c r="AN130" s="384">
        <f t="shared" si="13"/>
        <v>102600000</v>
      </c>
      <c r="AO130" s="231">
        <f t="shared" si="10"/>
        <v>100</v>
      </c>
      <c r="AP130" s="218" t="str">
        <f t="shared" si="11"/>
        <v>WA.4345.EBC.996.301.A.522191</v>
      </c>
      <c r="AQ130" s="218" t="str">
        <f>IF(ISNUMBER(SEARCH("COVID",SP2D[[#This Row],[Akun]])),"COVID","Non COVID")</f>
        <v>Non COVID</v>
      </c>
      <c r="AR13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3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0" s="232">
        <f>SUM('PER BULAN'!BA213)</f>
        <v>0</v>
      </c>
      <c r="AU130" s="232">
        <f>SUM('PER BULAN'!BB213)</f>
        <v>0</v>
      </c>
      <c r="AV130" s="232">
        <f>SUM('PER BULAN'!BC213)</f>
        <v>0</v>
      </c>
      <c r="AW130" s="232">
        <f>SUM('PER BULAN'!BD213)</f>
        <v>0</v>
      </c>
      <c r="AX130" s="232">
        <f>SUM('PER BULAN'!BE213)</f>
        <v>0</v>
      </c>
      <c r="AY130" s="232">
        <f>SUM('PER BULAN'!BF213)</f>
        <v>0</v>
      </c>
      <c r="AZ130" s="232">
        <f>SUM('PER BULAN'!BG213)</f>
        <v>0</v>
      </c>
      <c r="BA130" s="232">
        <f>SUM('PER BULAN'!BH213)</f>
        <v>0</v>
      </c>
    </row>
    <row r="131" spans="1:53" s="219" customFormat="1" x14ac:dyDescent="0.25">
      <c r="A131" s="218" t="s">
        <v>3885</v>
      </c>
      <c r="B131" s="218" t="s">
        <v>3886</v>
      </c>
      <c r="C131" s="218" t="s">
        <v>3912</v>
      </c>
      <c r="D131" s="218" t="s">
        <v>3913</v>
      </c>
      <c r="E131" s="218" t="s">
        <v>198</v>
      </c>
      <c r="F131" s="218" t="s">
        <v>3920</v>
      </c>
      <c r="G131" s="218" t="s">
        <v>3978</v>
      </c>
      <c r="H131" s="218" t="s">
        <v>3979</v>
      </c>
      <c r="I131" s="218">
        <v>996</v>
      </c>
      <c r="J131" s="218" t="s">
        <v>3980</v>
      </c>
      <c r="K131" s="218">
        <v>301</v>
      </c>
      <c r="L131" s="218" t="s">
        <v>3981</v>
      </c>
      <c r="M131" s="218" t="s">
        <v>8</v>
      </c>
      <c r="N131" s="218" t="s">
        <v>3982</v>
      </c>
      <c r="O131" s="218">
        <v>524111</v>
      </c>
      <c r="P131" s="218" t="s">
        <v>3894</v>
      </c>
      <c r="Q131" s="165" cm="1">
        <f t="array" ref="Q131">SUM(_xlfn._xlws.FILTER(DIPA2[PaguRevisi],DIPA2[Akun]=SP2D[[#This Row],[Kode Akun]],0))</f>
        <v>138000000</v>
      </c>
      <c r="R131" s="350">
        <v>138000000</v>
      </c>
      <c r="S131" s="350"/>
      <c r="T131" s="350">
        <f>SP2D[[#This Row],[Pagu Semula]]-SP2D[[#This Row],[Pagu]]</f>
        <v>0</v>
      </c>
      <c r="U131" s="232">
        <f>SUM('PER BULAN'!J215:L215)</f>
        <v>0</v>
      </c>
      <c r="V131" s="232">
        <f>SUM('PER BULAN'!M214:O214)</f>
        <v>0</v>
      </c>
      <c r="W131" s="232">
        <f>SUM('PER BULAN'!P214:R214)</f>
        <v>0</v>
      </c>
      <c r="X131" s="232">
        <f>SUM('PER BULAN'!S214:U214)</f>
        <v>5900000</v>
      </c>
      <c r="Y131" s="232">
        <f>SUM('PER BULAN'!V214:X214)</f>
        <v>0</v>
      </c>
      <c r="Z131" s="232">
        <f>SUM('PER BULAN'!Y214:AA214)</f>
        <v>14635000</v>
      </c>
      <c r="AA131" s="232">
        <f>SUM('PER BULAN'!AB214:AD214)</f>
        <v>0</v>
      </c>
      <c r="AB131" s="232">
        <f>SUM('PER BULAN'!AE214:AG214)</f>
        <v>0</v>
      </c>
      <c r="AC131" s="232">
        <f>SUM('PER BULAN'!AH214:AJ214)</f>
        <v>0</v>
      </c>
      <c r="AD131" s="232">
        <f>SUM('PER BULAN'!AK214:AM214)</f>
        <v>0</v>
      </c>
      <c r="AE131" s="232">
        <f>SUM('PER BULAN'!AN214:AP214)</f>
        <v>0</v>
      </c>
      <c r="AF131" s="232">
        <f>SUM('PER BULAN'!AQ214:AS214)</f>
        <v>0</v>
      </c>
      <c r="AG131" s="218" t="s">
        <v>530</v>
      </c>
      <c r="AH131" s="218" t="s">
        <v>542</v>
      </c>
      <c r="AI131" s="218" t="s">
        <v>543</v>
      </c>
      <c r="AJ131" s="218" t="s">
        <v>3891</v>
      </c>
      <c r="AK131" s="218" t="s">
        <v>3892</v>
      </c>
      <c r="AL131" s="384">
        <f t="shared" si="12"/>
        <v>20535000</v>
      </c>
      <c r="AM131" s="231">
        <f t="shared" si="8"/>
        <v>14.880434782608695</v>
      </c>
      <c r="AN131" s="384">
        <f t="shared" si="13"/>
        <v>117465000</v>
      </c>
      <c r="AO131" s="231">
        <f t="shared" si="10"/>
        <v>85.119565217391298</v>
      </c>
      <c r="AP131" s="218" t="str">
        <f t="shared" si="11"/>
        <v>WA.4345.EBC.996.301.A.524111</v>
      </c>
      <c r="AQ131" s="218" t="str">
        <f>IF(ISNUMBER(SEARCH("COVID",SP2D[[#This Row],[Akun]])),"COVID","Non COVID")</f>
        <v>Non COVID</v>
      </c>
      <c r="AR13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1" s="232">
        <f>SUM('PER BULAN'!BA214)</f>
        <v>0</v>
      </c>
      <c r="AU131" s="232">
        <f>SUM('PER BULAN'!BB214)</f>
        <v>0</v>
      </c>
      <c r="AV131" s="232">
        <f>SUM('PER BULAN'!BC214)</f>
        <v>0</v>
      </c>
      <c r="AW131" s="232">
        <f>SUM('PER BULAN'!BD214)</f>
        <v>0</v>
      </c>
      <c r="AX131" s="232">
        <f>SUM('PER BULAN'!BE214)</f>
        <v>0</v>
      </c>
      <c r="AY131" s="232">
        <f>SUM('PER BULAN'!BF214)</f>
        <v>0</v>
      </c>
      <c r="AZ131" s="232">
        <f>SUM('PER BULAN'!BG214)</f>
        <v>0</v>
      </c>
      <c r="BA131" s="232">
        <f>SUM('PER BULAN'!BH214)</f>
        <v>0</v>
      </c>
    </row>
    <row r="132" spans="1:53" s="219" customFormat="1" x14ac:dyDescent="0.25">
      <c r="A132" s="218" t="s">
        <v>3885</v>
      </c>
      <c r="B132" s="218" t="s">
        <v>3886</v>
      </c>
      <c r="C132" s="218" t="s">
        <v>3912</v>
      </c>
      <c r="D132" s="218" t="s">
        <v>3913</v>
      </c>
      <c r="E132" s="218" t="s">
        <v>198</v>
      </c>
      <c r="F132" s="218" t="s">
        <v>3920</v>
      </c>
      <c r="G132" s="218" t="s">
        <v>3978</v>
      </c>
      <c r="H132" s="218" t="s">
        <v>3979</v>
      </c>
      <c r="I132" s="218">
        <v>996</v>
      </c>
      <c r="J132" s="218" t="s">
        <v>3980</v>
      </c>
      <c r="K132" s="218">
        <v>301</v>
      </c>
      <c r="L132" s="218" t="s">
        <v>3981</v>
      </c>
      <c r="M132" s="218" t="s">
        <v>511</v>
      </c>
      <c r="N132" s="218" t="s">
        <v>3984</v>
      </c>
      <c r="O132" s="218">
        <v>521211</v>
      </c>
      <c r="P132" s="218" t="s">
        <v>3890</v>
      </c>
      <c r="Q132" s="165" cm="1">
        <f t="array" ref="Q132">SUM(_xlfn._xlws.FILTER(DIPA2[PaguRevisi],DIPA2[Akun]=SP2D[[#This Row],[Kode Akun]],0))</f>
        <v>25000000</v>
      </c>
      <c r="R132" s="350">
        <v>25000000</v>
      </c>
      <c r="S132" s="350"/>
      <c r="T132" s="350">
        <f>SP2D[[#This Row],[Pagu Semula]]-SP2D[[#This Row],[Pagu]]</f>
        <v>0</v>
      </c>
      <c r="U132" s="232">
        <f>SUM('PER BULAN'!J216:L216)</f>
        <v>0</v>
      </c>
      <c r="V132" s="232">
        <f>SUM('PER BULAN'!M216:O216)</f>
        <v>0</v>
      </c>
      <c r="W132" s="232">
        <f>SUM('PER BULAN'!P216:R216)</f>
        <v>0</v>
      </c>
      <c r="X132" s="232">
        <f>SUM('PER BULAN'!S216:U216)</f>
        <v>0</v>
      </c>
      <c r="Y132" s="232">
        <f>SUM('PER BULAN'!V216:X216)</f>
        <v>1475000</v>
      </c>
      <c r="Z132" s="232">
        <f>SUM('PER BULAN'!Y216:AA216)</f>
        <v>1442500</v>
      </c>
      <c r="AA132" s="232">
        <f>SUM('PER BULAN'!AB216:AD216)</f>
        <v>0</v>
      </c>
      <c r="AB132" s="232">
        <f>SUM('PER BULAN'!AE216:AG216)</f>
        <v>0</v>
      </c>
      <c r="AC132" s="232">
        <f>SUM('PER BULAN'!AH216:AJ216)</f>
        <v>0</v>
      </c>
      <c r="AD132" s="232">
        <f>SUM('PER BULAN'!AK216:AM216)</f>
        <v>0</v>
      </c>
      <c r="AE132" s="232">
        <f>SUM('PER BULAN'!AN216:AP216)</f>
        <v>0</v>
      </c>
      <c r="AF132" s="232">
        <f>SUM('PER BULAN'!AQ216:AS216)</f>
        <v>0</v>
      </c>
      <c r="AG132" s="218" t="s">
        <v>530</v>
      </c>
      <c r="AH132" s="218" t="s">
        <v>542</v>
      </c>
      <c r="AI132" s="218" t="s">
        <v>543</v>
      </c>
      <c r="AJ132" s="218" t="s">
        <v>3891</v>
      </c>
      <c r="AK132" s="218" t="s">
        <v>3892</v>
      </c>
      <c r="AL132" s="384">
        <f t="shared" si="12"/>
        <v>2917500</v>
      </c>
      <c r="AM132" s="231">
        <f t="shared" si="8"/>
        <v>11.67</v>
      </c>
      <c r="AN132" s="384">
        <f t="shared" si="13"/>
        <v>22082500</v>
      </c>
      <c r="AO132" s="231">
        <f t="shared" si="10"/>
        <v>88.33</v>
      </c>
      <c r="AP132" s="218" t="str">
        <f t="shared" si="11"/>
        <v>WA.4345.EBC.996.301.B.521211</v>
      </c>
      <c r="AQ132" s="218" t="str">
        <f>IF(ISNUMBER(SEARCH("COVID",SP2D[[#This Row],[Akun]])),"COVID","Non COVID")</f>
        <v>Non COVID</v>
      </c>
      <c r="AR13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3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2" s="232">
        <f>SUM('PER BULAN'!BA216)</f>
        <v>0</v>
      </c>
      <c r="AU132" s="232">
        <f>SUM('PER BULAN'!BB216)</f>
        <v>0</v>
      </c>
      <c r="AV132" s="232">
        <f>SUM('PER BULAN'!BC216)</f>
        <v>0</v>
      </c>
      <c r="AW132" s="232">
        <f>SUM('PER BULAN'!BD216)</f>
        <v>0</v>
      </c>
      <c r="AX132" s="232">
        <f>SUM('PER BULAN'!BE216)</f>
        <v>0</v>
      </c>
      <c r="AY132" s="232">
        <f>SUM('PER BULAN'!BF216)</f>
        <v>0</v>
      </c>
      <c r="AZ132" s="232">
        <f>SUM('PER BULAN'!BG216)</f>
        <v>1475000</v>
      </c>
      <c r="BA132" s="232">
        <f>SUM('PER BULAN'!BH216)</f>
        <v>1442500</v>
      </c>
    </row>
    <row r="133" spans="1:53" s="219" customFormat="1" x14ac:dyDescent="0.25">
      <c r="A133" s="218" t="s">
        <v>3885</v>
      </c>
      <c r="B133" s="218" t="s">
        <v>3886</v>
      </c>
      <c r="C133" s="218" t="s">
        <v>3912</v>
      </c>
      <c r="D133" s="218" t="s">
        <v>3913</v>
      </c>
      <c r="E133" s="218" t="s">
        <v>198</v>
      </c>
      <c r="F133" s="218" t="s">
        <v>3920</v>
      </c>
      <c r="G133" s="218" t="s">
        <v>3978</v>
      </c>
      <c r="H133" s="218" t="s">
        <v>3979</v>
      </c>
      <c r="I133" s="218">
        <v>996</v>
      </c>
      <c r="J133" s="218" t="s">
        <v>3980</v>
      </c>
      <c r="K133" s="218">
        <v>301</v>
      </c>
      <c r="L133" s="218" t="s">
        <v>3981</v>
      </c>
      <c r="M133" s="218" t="s">
        <v>511</v>
      </c>
      <c r="N133" s="218" t="s">
        <v>3984</v>
      </c>
      <c r="O133" s="218">
        <v>521219</v>
      </c>
      <c r="P133" s="218" t="s">
        <v>3903</v>
      </c>
      <c r="Q133" s="165" cm="1">
        <f t="array" ref="Q133">SUM(_xlfn._xlws.FILTER(DIPA2[PaguRevisi],DIPA2[Akun]=SP2D[[#This Row],[Kode Akun]],0))</f>
        <v>3808695000</v>
      </c>
      <c r="R133" s="350">
        <v>6308695000</v>
      </c>
      <c r="S133" s="350"/>
      <c r="T133" s="350">
        <f>SP2D[[#This Row],[Pagu Semula]]-SP2D[[#This Row],[Pagu]]</f>
        <v>2500000000</v>
      </c>
      <c r="U133" s="232">
        <f>SUM('PER BULAN'!J217:L217)</f>
        <v>0</v>
      </c>
      <c r="V133" s="232">
        <f>SUM('PER BULAN'!M217:O217)</f>
        <v>0</v>
      </c>
      <c r="W133" s="232">
        <f>SUM('PER BULAN'!P217:R217)</f>
        <v>0</v>
      </c>
      <c r="X133" s="232">
        <f>SUM('PER BULAN'!S217:U217)</f>
        <v>1549795356</v>
      </c>
      <c r="Y133" s="232">
        <f>SUM('PER BULAN'!V217:X217)</f>
        <v>0</v>
      </c>
      <c r="Z133" s="232">
        <f>SUM('PER BULAN'!Y217:AA217)</f>
        <v>1843270850</v>
      </c>
      <c r="AA133" s="232">
        <f>SUM('PER BULAN'!AB217:AD217)</f>
        <v>0</v>
      </c>
      <c r="AB133" s="232">
        <f>SUM('PER BULAN'!AE217:AG217)</f>
        <v>0</v>
      </c>
      <c r="AC133" s="232">
        <f>SUM('PER BULAN'!AH217:AJ217)</f>
        <v>0</v>
      </c>
      <c r="AD133" s="232">
        <f>SUM('PER BULAN'!AK217:AM217)</f>
        <v>0</v>
      </c>
      <c r="AE133" s="232">
        <f>SUM('PER BULAN'!AN217:AP217)</f>
        <v>0</v>
      </c>
      <c r="AF133" s="232">
        <f>SUM('PER BULAN'!AQ217:AS217)</f>
        <v>0</v>
      </c>
      <c r="AG133" s="218" t="s">
        <v>530</v>
      </c>
      <c r="AH133" s="218" t="s">
        <v>542</v>
      </c>
      <c r="AI133" s="218" t="s">
        <v>543</v>
      </c>
      <c r="AJ133" s="218" t="s">
        <v>3891</v>
      </c>
      <c r="AK133" s="218" t="s">
        <v>3892</v>
      </c>
      <c r="AL133" s="384">
        <f t="shared" si="12"/>
        <v>3393066206</v>
      </c>
      <c r="AM133" s="231">
        <f t="shared" ref="AM133:AM143" si="14">IFERROR(AL133/Q133*100,0)</f>
        <v>89.087369978430928</v>
      </c>
      <c r="AN133" s="384">
        <f t="shared" si="13"/>
        <v>415628794</v>
      </c>
      <c r="AO133" s="231">
        <f t="shared" ref="AO133:AO143" si="15">IFERROR(AN133/Q133*100,0)</f>
        <v>10.912630021569068</v>
      </c>
      <c r="AP133" s="218" t="str">
        <f t="shared" ref="AP133:AP143" si="16">_xlfn.TEXTJOIN(".",TRUE,C133,E133,G133,I133,K133,M133,O133)</f>
        <v>WA.4345.EBC.996.301.B.521219</v>
      </c>
      <c r="AQ133" s="218" t="str">
        <f>IF(ISNUMBER(SEARCH("COVID",SP2D[[#This Row],[Akun]])),"COVID","Non COVID")</f>
        <v>Non COVID</v>
      </c>
      <c r="AR13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3" s="232">
        <f>SUM('PER BULAN'!BA217)</f>
        <v>0</v>
      </c>
      <c r="AU133" s="232">
        <f>SUM('PER BULAN'!BB217)</f>
        <v>0</v>
      </c>
      <c r="AV133" s="232">
        <f>SUM('PER BULAN'!BC217)</f>
        <v>0</v>
      </c>
      <c r="AW133" s="232">
        <f>SUM('PER BULAN'!BD217)</f>
        <v>0</v>
      </c>
      <c r="AX133" s="232">
        <f>SUM('PER BULAN'!BE217)</f>
        <v>0</v>
      </c>
      <c r="AY133" s="232">
        <f>SUM('PER BULAN'!BF217)</f>
        <v>0</v>
      </c>
      <c r="AZ133" s="232">
        <f>SUM('PER BULAN'!BG217)</f>
        <v>0</v>
      </c>
      <c r="BA133" s="232">
        <f>SUM('PER BULAN'!BH217)</f>
        <v>0</v>
      </c>
    </row>
    <row r="134" spans="1:53" s="219" customFormat="1" x14ac:dyDescent="0.25">
      <c r="A134" s="218" t="s">
        <v>3885</v>
      </c>
      <c r="B134" s="218" t="s">
        <v>3886</v>
      </c>
      <c r="C134" s="218" t="s">
        <v>3912</v>
      </c>
      <c r="D134" s="218" t="s">
        <v>3913</v>
      </c>
      <c r="E134" s="218" t="s">
        <v>198</v>
      </c>
      <c r="F134" s="218" t="s">
        <v>3920</v>
      </c>
      <c r="G134" s="218" t="s">
        <v>3978</v>
      </c>
      <c r="H134" s="218" t="s">
        <v>3979</v>
      </c>
      <c r="I134" s="218">
        <v>996</v>
      </c>
      <c r="J134" s="218" t="s">
        <v>3980</v>
      </c>
      <c r="K134" s="218">
        <v>301</v>
      </c>
      <c r="L134" s="218" t="s">
        <v>3981</v>
      </c>
      <c r="M134" s="218" t="s">
        <v>511</v>
      </c>
      <c r="N134" s="218" t="s">
        <v>3984</v>
      </c>
      <c r="O134" s="218">
        <v>521811</v>
      </c>
      <c r="P134" s="218" t="s">
        <v>3908</v>
      </c>
      <c r="Q134" s="165" cm="1">
        <f t="array" ref="Q134">SUM(_xlfn._xlws.FILTER(DIPA2[PaguRevisi],DIPA2[Akun]=SP2D[[#This Row],[Kode Akun]],0))</f>
        <v>30000000</v>
      </c>
      <c r="R134" s="350">
        <v>30000000</v>
      </c>
      <c r="S134" s="350"/>
      <c r="T134" s="350">
        <f>SP2D[[#This Row],[Pagu Semula]]-SP2D[[#This Row],[Pagu]]</f>
        <v>0</v>
      </c>
      <c r="U134" s="232">
        <f>SUM('PER BULAN'!J218:L218)</f>
        <v>0</v>
      </c>
      <c r="V134" s="232">
        <f>SUM('PER BULAN'!M218:O218)</f>
        <v>0</v>
      </c>
      <c r="W134" s="232">
        <f>SUM('PER BULAN'!P218:R218)</f>
        <v>0</v>
      </c>
      <c r="X134" s="232">
        <f>SUM('PER BULAN'!S218:U218)</f>
        <v>0</v>
      </c>
      <c r="Y134" s="232">
        <f>SUM('PER BULAN'!V218:X218)</f>
        <v>3364000</v>
      </c>
      <c r="Z134" s="232">
        <f>SUM('PER BULAN'!Y218:AA218)</f>
        <v>1447000</v>
      </c>
      <c r="AA134" s="232">
        <f>SUM('PER BULAN'!AB218:AD218)</f>
        <v>0</v>
      </c>
      <c r="AB134" s="232">
        <f>SUM('PER BULAN'!AE218:AG218)</f>
        <v>0</v>
      </c>
      <c r="AC134" s="232">
        <f>SUM('PER BULAN'!AH218:AJ218)</f>
        <v>0</v>
      </c>
      <c r="AD134" s="232">
        <f>SUM('PER BULAN'!AK218:AM218)</f>
        <v>0</v>
      </c>
      <c r="AE134" s="232">
        <f>SUM('PER BULAN'!AN218:AP218)</f>
        <v>0</v>
      </c>
      <c r="AF134" s="232">
        <f>SUM('PER BULAN'!AQ218:AS218)</f>
        <v>0</v>
      </c>
      <c r="AG134" s="218" t="s">
        <v>530</v>
      </c>
      <c r="AH134" s="218" t="s">
        <v>542</v>
      </c>
      <c r="AI134" s="218" t="s">
        <v>543</v>
      </c>
      <c r="AJ134" s="218" t="s">
        <v>3891</v>
      </c>
      <c r="AK134" s="218" t="s">
        <v>3892</v>
      </c>
      <c r="AL134" s="384">
        <f t="shared" si="12"/>
        <v>4811000</v>
      </c>
      <c r="AM134" s="231">
        <f t="shared" si="14"/>
        <v>16.036666666666665</v>
      </c>
      <c r="AN134" s="384">
        <f t="shared" si="13"/>
        <v>25189000</v>
      </c>
      <c r="AO134" s="231">
        <f t="shared" si="15"/>
        <v>83.963333333333338</v>
      </c>
      <c r="AP134" s="218" t="str">
        <f t="shared" si="16"/>
        <v>WA.4345.EBC.996.301.B.521811</v>
      </c>
      <c r="AQ134" s="218" t="str">
        <f>IF(ISNUMBER(SEARCH("COVID",SP2D[[#This Row],[Akun]])),"COVID","Non COVID")</f>
        <v>Non COVID</v>
      </c>
      <c r="AR13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3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4" s="232">
        <f>SUM('PER BULAN'!BA218)</f>
        <v>0</v>
      </c>
      <c r="AU134" s="232">
        <f>SUM('PER BULAN'!BB218)</f>
        <v>0</v>
      </c>
      <c r="AV134" s="232">
        <f>SUM('PER BULAN'!BC218)</f>
        <v>0</v>
      </c>
      <c r="AW134" s="232">
        <f>SUM('PER BULAN'!BD218)</f>
        <v>0</v>
      </c>
      <c r="AX134" s="232">
        <f>SUM('PER BULAN'!BE218)</f>
        <v>0</v>
      </c>
      <c r="AY134" s="232">
        <f>SUM('PER BULAN'!BF218)</f>
        <v>0</v>
      </c>
      <c r="AZ134" s="232">
        <f>SUM('PER BULAN'!BG218)</f>
        <v>3364000</v>
      </c>
      <c r="BA134" s="232">
        <f>SUM('PER BULAN'!BH218)</f>
        <v>1447000</v>
      </c>
    </row>
    <row r="135" spans="1:53" s="219" customFormat="1" x14ac:dyDescent="0.25">
      <c r="A135" s="218" t="s">
        <v>3885</v>
      </c>
      <c r="B135" s="218" t="s">
        <v>3886</v>
      </c>
      <c r="C135" s="218" t="s">
        <v>3912</v>
      </c>
      <c r="D135" s="218" t="s">
        <v>3913</v>
      </c>
      <c r="E135" s="218" t="s">
        <v>198</v>
      </c>
      <c r="F135" s="218" t="s">
        <v>3920</v>
      </c>
      <c r="G135" s="218" t="s">
        <v>3978</v>
      </c>
      <c r="H135" s="218" t="s">
        <v>3979</v>
      </c>
      <c r="I135" s="218">
        <v>996</v>
      </c>
      <c r="J135" s="218" t="s">
        <v>3980</v>
      </c>
      <c r="K135" s="218">
        <v>301</v>
      </c>
      <c r="L135" s="218" t="s">
        <v>3981</v>
      </c>
      <c r="M135" s="218" t="s">
        <v>511</v>
      </c>
      <c r="N135" s="218" t="s">
        <v>3984</v>
      </c>
      <c r="O135" s="218">
        <v>522151</v>
      </c>
      <c r="P135" s="218" t="s">
        <v>3893</v>
      </c>
      <c r="Q135" s="165" cm="1">
        <f t="array" ref="Q135">SUM(_xlfn._xlws.FILTER(DIPA2[PaguRevisi],DIPA2[Akun]=SP2D[[#This Row],[Kode Akun]],0))</f>
        <v>6000000</v>
      </c>
      <c r="R135" s="350">
        <v>6000000</v>
      </c>
      <c r="S135" s="350"/>
      <c r="T135" s="350">
        <f>SP2D[[#This Row],[Pagu Semula]]-SP2D[[#This Row],[Pagu]]</f>
        <v>0</v>
      </c>
      <c r="U135" s="232">
        <f>SUM('PER BULAN'!J219:L219)</f>
        <v>0</v>
      </c>
      <c r="V135" s="232">
        <f>SUM('PER BULAN'!M219:O219)</f>
        <v>0</v>
      </c>
      <c r="W135" s="232">
        <f>SUM('PER BULAN'!P219:R219)</f>
        <v>0</v>
      </c>
      <c r="X135" s="232">
        <f>SUM('PER BULAN'!S219:U219)</f>
        <v>0</v>
      </c>
      <c r="Y135" s="232">
        <f>SUM('PER BULAN'!V219:X219)</f>
        <v>0</v>
      </c>
      <c r="Z135" s="232">
        <f>SUM('PER BULAN'!Y219:AA219)</f>
        <v>0</v>
      </c>
      <c r="AA135" s="232">
        <f>SUM('PER BULAN'!AB219:AD219)</f>
        <v>0</v>
      </c>
      <c r="AB135" s="232">
        <f>SUM('PER BULAN'!AE219:AG219)</f>
        <v>0</v>
      </c>
      <c r="AC135" s="232">
        <f>SUM('PER BULAN'!AH219:AJ219)</f>
        <v>0</v>
      </c>
      <c r="AD135" s="232">
        <f>SUM('PER BULAN'!AK219:AM219)</f>
        <v>0</v>
      </c>
      <c r="AE135" s="232">
        <f>SUM('PER BULAN'!AN219:AP219)</f>
        <v>0</v>
      </c>
      <c r="AF135" s="232">
        <f>SUM('PER BULAN'!AQ219:AS219)</f>
        <v>0</v>
      </c>
      <c r="AG135" s="218" t="s">
        <v>530</v>
      </c>
      <c r="AH135" s="218" t="s">
        <v>542</v>
      </c>
      <c r="AI135" s="218" t="s">
        <v>543</v>
      </c>
      <c r="AJ135" s="218" t="s">
        <v>3891</v>
      </c>
      <c r="AK135" s="218" t="s">
        <v>3892</v>
      </c>
      <c r="AL135" s="384">
        <f t="shared" si="12"/>
        <v>0</v>
      </c>
      <c r="AM135" s="231">
        <f t="shared" si="14"/>
        <v>0</v>
      </c>
      <c r="AN135" s="384">
        <f t="shared" si="13"/>
        <v>6000000</v>
      </c>
      <c r="AO135" s="231">
        <f t="shared" si="15"/>
        <v>100</v>
      </c>
      <c r="AP135" s="218" t="str">
        <f t="shared" si="16"/>
        <v>WA.4345.EBC.996.301.B.522151</v>
      </c>
      <c r="AQ135" s="218" t="str">
        <f>IF(ISNUMBER(SEARCH("COVID",SP2D[[#This Row],[Akun]])),"COVID","Non COVID")</f>
        <v>Non COVID</v>
      </c>
      <c r="AR13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3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5" s="232">
        <f>SUM('PER BULAN'!BA219)</f>
        <v>0</v>
      </c>
      <c r="AU135" s="232">
        <f>SUM('PER BULAN'!BB219)</f>
        <v>0</v>
      </c>
      <c r="AV135" s="232">
        <f>SUM('PER BULAN'!BC219)</f>
        <v>0</v>
      </c>
      <c r="AW135" s="232">
        <f>SUM('PER BULAN'!BD219)</f>
        <v>0</v>
      </c>
      <c r="AX135" s="232">
        <f>SUM('PER BULAN'!BE219)</f>
        <v>0</v>
      </c>
      <c r="AY135" s="232">
        <f>SUM('PER BULAN'!BF219)</f>
        <v>0</v>
      </c>
      <c r="AZ135" s="232">
        <f>SUM('PER BULAN'!BG219)</f>
        <v>0</v>
      </c>
      <c r="BA135" s="232">
        <f>SUM('PER BULAN'!BH219)</f>
        <v>0</v>
      </c>
    </row>
    <row r="136" spans="1:53" s="219" customFormat="1" x14ac:dyDescent="0.25">
      <c r="A136" s="218" t="s">
        <v>3885</v>
      </c>
      <c r="B136" s="218" t="s">
        <v>3886</v>
      </c>
      <c r="C136" s="218" t="s">
        <v>3912</v>
      </c>
      <c r="D136" s="218" t="s">
        <v>3913</v>
      </c>
      <c r="E136" s="218" t="s">
        <v>198</v>
      </c>
      <c r="F136" s="218" t="s">
        <v>3920</v>
      </c>
      <c r="G136" s="218" t="s">
        <v>3978</v>
      </c>
      <c r="H136" s="218" t="s">
        <v>3979</v>
      </c>
      <c r="I136" s="218">
        <v>996</v>
      </c>
      <c r="J136" s="218" t="s">
        <v>3980</v>
      </c>
      <c r="K136" s="218">
        <v>301</v>
      </c>
      <c r="L136" s="218" t="s">
        <v>3981</v>
      </c>
      <c r="M136" s="218" t="s">
        <v>511</v>
      </c>
      <c r="N136" s="218" t="s">
        <v>3984</v>
      </c>
      <c r="O136" s="218">
        <v>524111</v>
      </c>
      <c r="P136" s="218" t="s">
        <v>3894</v>
      </c>
      <c r="Q136" s="165" cm="1">
        <f t="array" ref="Q136">SUM(_xlfn._xlws.FILTER(DIPA2[PaguRevisi],DIPA2[Akun]=SP2D[[#This Row],[Kode Akun]],0))</f>
        <v>216000000</v>
      </c>
      <c r="R136" s="350">
        <v>186000000</v>
      </c>
      <c r="S136" s="350"/>
      <c r="T136" s="350">
        <f>SP2D[[#This Row],[Pagu Semula]]-SP2D[[#This Row],[Pagu]]</f>
        <v>-30000000</v>
      </c>
      <c r="U136" s="232">
        <f>SUM('PER BULAN'!J221:L221)</f>
        <v>0</v>
      </c>
      <c r="V136" s="232">
        <f>SUM('PER BULAN'!M220:O220)</f>
        <v>0</v>
      </c>
      <c r="W136" s="232">
        <f>SUM('PER BULAN'!P220:R220)</f>
        <v>0</v>
      </c>
      <c r="X136" s="232">
        <f>SUM('PER BULAN'!S220:U220)</f>
        <v>0</v>
      </c>
      <c r="Y136" s="232">
        <f>SUM('PER BULAN'!V220:X220)</f>
        <v>20392633</v>
      </c>
      <c r="Z136" s="232">
        <f>SUM('PER BULAN'!Y220:AA220)</f>
        <v>22330573</v>
      </c>
      <c r="AA136" s="232">
        <f>SUM('PER BULAN'!AB220:AD220)</f>
        <v>0</v>
      </c>
      <c r="AB136" s="232">
        <f>SUM('PER BULAN'!AE220:AG220)</f>
        <v>0</v>
      </c>
      <c r="AC136" s="232">
        <f>SUM('PER BULAN'!AH220:AJ220)</f>
        <v>0</v>
      </c>
      <c r="AD136" s="232">
        <f>SUM('PER BULAN'!AK220:AM220)</f>
        <v>0</v>
      </c>
      <c r="AE136" s="232">
        <f>SUM('PER BULAN'!AN220:AP220)</f>
        <v>0</v>
      </c>
      <c r="AF136" s="232">
        <f>SUM('PER BULAN'!AQ220:AS220)</f>
        <v>0</v>
      </c>
      <c r="AG136" s="218" t="s">
        <v>530</v>
      </c>
      <c r="AH136" s="218" t="s">
        <v>542</v>
      </c>
      <c r="AI136" s="218" t="s">
        <v>543</v>
      </c>
      <c r="AJ136" s="218" t="s">
        <v>3891</v>
      </c>
      <c r="AK136" s="218" t="s">
        <v>3892</v>
      </c>
      <c r="AL136" s="384">
        <f t="shared" si="12"/>
        <v>42723206</v>
      </c>
      <c r="AM136" s="231">
        <f t="shared" si="14"/>
        <v>19.779262037037036</v>
      </c>
      <c r="AN136" s="384">
        <f t="shared" si="13"/>
        <v>173276794</v>
      </c>
      <c r="AO136" s="231">
        <f t="shared" si="15"/>
        <v>80.220737962962957</v>
      </c>
      <c r="AP136" s="218" t="str">
        <f t="shared" si="16"/>
        <v>WA.4345.EBC.996.301.B.524111</v>
      </c>
      <c r="AQ136" s="218" t="str">
        <f>IF(ISNUMBER(SEARCH("COVID",SP2D[[#This Row],[Akun]])),"COVID","Non COVID")</f>
        <v>Non COVID</v>
      </c>
      <c r="AR13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6" s="232">
        <f>SUM('PER BULAN'!BA220)</f>
        <v>0</v>
      </c>
      <c r="AU136" s="232">
        <f>SUM('PER BULAN'!BB220)</f>
        <v>0</v>
      </c>
      <c r="AV136" s="232">
        <f>SUM('PER BULAN'!BC220)</f>
        <v>0</v>
      </c>
      <c r="AW136" s="232">
        <f>SUM('PER BULAN'!BD220)</f>
        <v>0</v>
      </c>
      <c r="AX136" s="232">
        <f>SUM('PER BULAN'!BE220)</f>
        <v>0</v>
      </c>
      <c r="AY136" s="232">
        <f>SUM('PER BULAN'!BF220)</f>
        <v>0</v>
      </c>
      <c r="AZ136" s="232">
        <f>SUM('PER BULAN'!BG220)</f>
        <v>20392633</v>
      </c>
      <c r="BA136" s="232">
        <f>SUM('PER BULAN'!BH220)</f>
        <v>0</v>
      </c>
    </row>
    <row r="137" spans="1:53" s="219" customFormat="1" x14ac:dyDescent="0.25">
      <c r="A137" s="218" t="s">
        <v>3885</v>
      </c>
      <c r="B137" s="218" t="s">
        <v>3886</v>
      </c>
      <c r="C137" s="218" t="s">
        <v>3912</v>
      </c>
      <c r="D137" s="218" t="s">
        <v>3913</v>
      </c>
      <c r="E137" s="218" t="s">
        <v>198</v>
      </c>
      <c r="F137" s="218" t="s">
        <v>3920</v>
      </c>
      <c r="G137" s="218" t="s">
        <v>3978</v>
      </c>
      <c r="H137" s="218" t="s">
        <v>3979</v>
      </c>
      <c r="I137" s="218">
        <v>996</v>
      </c>
      <c r="J137" s="218" t="s">
        <v>3980</v>
      </c>
      <c r="K137" s="218">
        <v>301</v>
      </c>
      <c r="L137" s="218" t="s">
        <v>3981</v>
      </c>
      <c r="M137" s="218" t="s">
        <v>512</v>
      </c>
      <c r="N137" s="218" t="s">
        <v>3985</v>
      </c>
      <c r="O137" s="218">
        <v>521211</v>
      </c>
      <c r="P137" s="218" t="s">
        <v>3890</v>
      </c>
      <c r="Q137" s="165" cm="1">
        <f t="array" ref="Q137">SUM(_xlfn._xlws.FILTER(DIPA2[PaguRevisi],DIPA2[Akun]=SP2D[[#This Row],[Kode Akun]],0))</f>
        <v>12000000</v>
      </c>
      <c r="R137" s="350">
        <v>12000000</v>
      </c>
      <c r="S137" s="350"/>
      <c r="T137" s="350">
        <f>SP2D[[#This Row],[Pagu Semula]]-SP2D[[#This Row],[Pagu]]</f>
        <v>0</v>
      </c>
      <c r="U137" s="232">
        <f>SUM('PER BULAN'!J222:L222)</f>
        <v>0</v>
      </c>
      <c r="V137" s="232">
        <f>SUM('PER BULAN'!M222:O222)</f>
        <v>0</v>
      </c>
      <c r="W137" s="232">
        <f>SUM('PER BULAN'!P222:R222)</f>
        <v>0</v>
      </c>
      <c r="X137" s="232">
        <f>SUM('PER BULAN'!S222:U222)</f>
        <v>0</v>
      </c>
      <c r="Y137" s="232">
        <f>SUM('PER BULAN'!V222:X222)</f>
        <v>0</v>
      </c>
      <c r="Z137" s="232">
        <f>SUM('PER BULAN'!Y222:AA222)</f>
        <v>0</v>
      </c>
      <c r="AA137" s="232">
        <f>SUM('PER BULAN'!AB222:AD222)</f>
        <v>0</v>
      </c>
      <c r="AB137" s="232">
        <f>SUM('PER BULAN'!AE222:AG222)</f>
        <v>0</v>
      </c>
      <c r="AC137" s="232">
        <f>SUM('PER BULAN'!AH222:AJ222)</f>
        <v>0</v>
      </c>
      <c r="AD137" s="232">
        <f>SUM('PER BULAN'!AK222:AM222)</f>
        <v>0</v>
      </c>
      <c r="AE137" s="232">
        <f>SUM('PER BULAN'!AN222:AP222)</f>
        <v>0</v>
      </c>
      <c r="AF137" s="232">
        <f>SUM('PER BULAN'!AQ222:AS222)</f>
        <v>0</v>
      </c>
      <c r="AG137" s="218" t="s">
        <v>530</v>
      </c>
      <c r="AH137" s="218" t="s">
        <v>542</v>
      </c>
      <c r="AI137" s="218" t="s">
        <v>543</v>
      </c>
      <c r="AJ137" s="218" t="s">
        <v>3891</v>
      </c>
      <c r="AK137" s="218" t="s">
        <v>3892</v>
      </c>
      <c r="AL137" s="384">
        <f t="shared" si="12"/>
        <v>0</v>
      </c>
      <c r="AM137" s="231">
        <f t="shared" si="14"/>
        <v>0</v>
      </c>
      <c r="AN137" s="384">
        <f t="shared" si="13"/>
        <v>12000000</v>
      </c>
      <c r="AO137" s="231">
        <f t="shared" si="15"/>
        <v>100</v>
      </c>
      <c r="AP137" s="218" t="str">
        <f t="shared" si="16"/>
        <v>WA.4345.EBC.996.301.C.521211</v>
      </c>
      <c r="AQ137" s="218" t="str">
        <f>IF(ISNUMBER(SEARCH("COVID",SP2D[[#This Row],[Akun]])),"COVID","Non COVID")</f>
        <v>Non COVID</v>
      </c>
      <c r="AR13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3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7" s="232">
        <f>SUM('PER BULAN'!BA222)</f>
        <v>0</v>
      </c>
      <c r="AU137" s="232">
        <f>SUM('PER BULAN'!BB222)</f>
        <v>0</v>
      </c>
      <c r="AV137" s="232">
        <f>SUM('PER BULAN'!BC222)</f>
        <v>0</v>
      </c>
      <c r="AW137" s="232">
        <f>SUM('PER BULAN'!BD222)</f>
        <v>0</v>
      </c>
      <c r="AX137" s="232">
        <f>SUM('PER BULAN'!BE222)</f>
        <v>0</v>
      </c>
      <c r="AY137" s="232">
        <f>SUM('PER BULAN'!BF222)</f>
        <v>0</v>
      </c>
      <c r="AZ137" s="232">
        <f>SUM('PER BULAN'!BG222)</f>
        <v>0</v>
      </c>
      <c r="BA137" s="232">
        <f>SUM('PER BULAN'!BH222)</f>
        <v>0</v>
      </c>
    </row>
    <row r="138" spans="1:53" s="219" customFormat="1" x14ac:dyDescent="0.25">
      <c r="A138" s="218" t="s">
        <v>3885</v>
      </c>
      <c r="B138" s="218" t="s">
        <v>3886</v>
      </c>
      <c r="C138" s="218" t="s">
        <v>3912</v>
      </c>
      <c r="D138" s="218" t="s">
        <v>3913</v>
      </c>
      <c r="E138" s="218" t="s">
        <v>198</v>
      </c>
      <c r="F138" s="218" t="s">
        <v>3920</v>
      </c>
      <c r="G138" s="218" t="s">
        <v>3978</v>
      </c>
      <c r="H138" s="218" t="s">
        <v>3979</v>
      </c>
      <c r="I138" s="218">
        <v>996</v>
      </c>
      <c r="J138" s="218" t="s">
        <v>3980</v>
      </c>
      <c r="K138" s="218">
        <v>301</v>
      </c>
      <c r="L138" s="218" t="s">
        <v>3981</v>
      </c>
      <c r="M138" s="218" t="s">
        <v>512</v>
      </c>
      <c r="N138" s="218" t="s">
        <v>3985</v>
      </c>
      <c r="O138" s="218">
        <v>521219</v>
      </c>
      <c r="P138" s="218" t="s">
        <v>3903</v>
      </c>
      <c r="Q138" s="165" cm="1">
        <f t="array" ref="Q138">SUM(_xlfn._xlws.FILTER(DIPA2[PaguRevisi],DIPA2[Akun]=SP2D[[#This Row],[Kode Akun]],0))</f>
        <v>20000000</v>
      </c>
      <c r="R138" s="350">
        <v>20000000</v>
      </c>
      <c r="S138" s="350"/>
      <c r="T138" s="350">
        <f>SP2D[[#This Row],[Pagu Semula]]-SP2D[[#This Row],[Pagu]]</f>
        <v>0</v>
      </c>
      <c r="U138" s="232">
        <f>SUM('PER BULAN'!J223:L223)</f>
        <v>0</v>
      </c>
      <c r="V138" s="232">
        <f>SUM('PER BULAN'!M223:O223)</f>
        <v>0</v>
      </c>
      <c r="W138" s="232">
        <f>SUM('PER BULAN'!P223:R223)</f>
        <v>0</v>
      </c>
      <c r="X138" s="232">
        <f>SUM('PER BULAN'!S223:U223)</f>
        <v>0</v>
      </c>
      <c r="Y138" s="232">
        <f>SUM('PER BULAN'!V223:X223)</f>
        <v>0</v>
      </c>
      <c r="Z138" s="232">
        <f>SUM('PER BULAN'!Y223:AA223)</f>
        <v>0</v>
      </c>
      <c r="AA138" s="232">
        <f>SUM('PER BULAN'!AB223:AD223)</f>
        <v>0</v>
      </c>
      <c r="AB138" s="232">
        <f>SUM('PER BULAN'!AE223:AG223)</f>
        <v>0</v>
      </c>
      <c r="AC138" s="232">
        <f>SUM('PER BULAN'!AH223:AJ223)</f>
        <v>0</v>
      </c>
      <c r="AD138" s="232">
        <f>SUM('PER BULAN'!AK223:AM223)</f>
        <v>0</v>
      </c>
      <c r="AE138" s="232">
        <f>SUM('PER BULAN'!AN223:AP223)</f>
        <v>0</v>
      </c>
      <c r="AF138" s="232">
        <f>SUM('PER BULAN'!AQ223:AS223)</f>
        <v>0</v>
      </c>
      <c r="AG138" s="218" t="s">
        <v>530</v>
      </c>
      <c r="AH138" s="218" t="s">
        <v>542</v>
      </c>
      <c r="AI138" s="218" t="s">
        <v>543</v>
      </c>
      <c r="AJ138" s="218" t="s">
        <v>3891</v>
      </c>
      <c r="AK138" s="218" t="s">
        <v>3892</v>
      </c>
      <c r="AL138" s="384">
        <f t="shared" si="12"/>
        <v>0</v>
      </c>
      <c r="AM138" s="231">
        <f t="shared" si="14"/>
        <v>0</v>
      </c>
      <c r="AN138" s="384">
        <f t="shared" si="13"/>
        <v>20000000</v>
      </c>
      <c r="AO138" s="231">
        <f t="shared" si="15"/>
        <v>100</v>
      </c>
      <c r="AP138" s="218" t="str">
        <f t="shared" si="16"/>
        <v>WA.4345.EBC.996.301.C.521219</v>
      </c>
      <c r="AQ138" s="218" t="str">
        <f>IF(ISNUMBER(SEARCH("COVID",SP2D[[#This Row],[Akun]])),"COVID","Non COVID")</f>
        <v>Non COVID</v>
      </c>
      <c r="AR13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8" s="232">
        <f>SUM('PER BULAN'!BA223)</f>
        <v>0</v>
      </c>
      <c r="AU138" s="232">
        <f>SUM('PER BULAN'!BB223)</f>
        <v>0</v>
      </c>
      <c r="AV138" s="232">
        <f>SUM('PER BULAN'!BC223)</f>
        <v>0</v>
      </c>
      <c r="AW138" s="232">
        <f>SUM('PER BULAN'!BD223)</f>
        <v>0</v>
      </c>
      <c r="AX138" s="232">
        <f>SUM('PER BULAN'!BE223)</f>
        <v>0</v>
      </c>
      <c r="AY138" s="232">
        <f>SUM('PER BULAN'!BF223)</f>
        <v>0</v>
      </c>
      <c r="AZ138" s="232">
        <f>SUM('PER BULAN'!BG223)</f>
        <v>0</v>
      </c>
      <c r="BA138" s="232">
        <f>SUM('PER BULAN'!BH223)</f>
        <v>0</v>
      </c>
    </row>
    <row r="139" spans="1:53" s="219" customFormat="1" x14ac:dyDescent="0.25">
      <c r="A139" s="218" t="s">
        <v>3885</v>
      </c>
      <c r="B139" s="218" t="s">
        <v>3886</v>
      </c>
      <c r="C139" s="218" t="s">
        <v>3912</v>
      </c>
      <c r="D139" s="218" t="s">
        <v>3913</v>
      </c>
      <c r="E139" s="218" t="s">
        <v>198</v>
      </c>
      <c r="F139" s="218" t="s">
        <v>3920</v>
      </c>
      <c r="G139" s="218" t="s">
        <v>3978</v>
      </c>
      <c r="H139" s="218" t="s">
        <v>3979</v>
      </c>
      <c r="I139" s="218">
        <v>996</v>
      </c>
      <c r="J139" s="218" t="s">
        <v>3980</v>
      </c>
      <c r="K139" s="218">
        <v>301</v>
      </c>
      <c r="L139" s="218" t="s">
        <v>3981</v>
      </c>
      <c r="M139" s="218" t="s">
        <v>512</v>
      </c>
      <c r="N139" s="218" t="s">
        <v>3985</v>
      </c>
      <c r="O139" s="218">
        <v>524211</v>
      </c>
      <c r="P139" s="218" t="s">
        <v>3987</v>
      </c>
      <c r="Q139" s="165" cm="1">
        <f t="array" ref="Q139">SUM(_xlfn._xlws.FILTER(DIPA2[PaguRevisi],DIPA2[Akun]=SP2D[[#This Row],[Kode Akun]],0))</f>
        <v>142041000</v>
      </c>
      <c r="R139" s="350">
        <v>142041000</v>
      </c>
      <c r="S139" s="350"/>
      <c r="T139" s="350">
        <f>SP2D[[#This Row],[Pagu Semula]]-SP2D[[#This Row],[Pagu]]</f>
        <v>0</v>
      </c>
      <c r="U139" s="232">
        <f>SUM('PER BULAN'!J225:L225)</f>
        <v>0</v>
      </c>
      <c r="V139" s="232">
        <f>SUM('PER BULAN'!M224:O224)</f>
        <v>0</v>
      </c>
      <c r="W139" s="232">
        <f>SUM('PER BULAN'!P224:R224)</f>
        <v>0</v>
      </c>
      <c r="X139" s="232">
        <f>SUM('PER BULAN'!S224:U224)</f>
        <v>0</v>
      </c>
      <c r="Y139" s="232">
        <f>SUM('PER BULAN'!V224:X224)</f>
        <v>0</v>
      </c>
      <c r="Z139" s="232">
        <f>SUM('PER BULAN'!Y224:AA224)</f>
        <v>0</v>
      </c>
      <c r="AA139" s="232">
        <f>SUM('PER BULAN'!AB224:AD224)</f>
        <v>0</v>
      </c>
      <c r="AB139" s="232">
        <f>SUM('PER BULAN'!AE224:AG224)</f>
        <v>0</v>
      </c>
      <c r="AC139" s="232">
        <f>SUM('PER BULAN'!AH224:AJ224)</f>
        <v>0</v>
      </c>
      <c r="AD139" s="232">
        <f>SUM('PER BULAN'!AK224:AM224)</f>
        <v>0</v>
      </c>
      <c r="AE139" s="232">
        <f>SUM('PER BULAN'!AN224:AP224)</f>
        <v>0</v>
      </c>
      <c r="AF139" s="232">
        <f>SUM('PER BULAN'!AQ224:AS224)</f>
        <v>0</v>
      </c>
      <c r="AG139" s="218" t="s">
        <v>530</v>
      </c>
      <c r="AH139" s="218" t="s">
        <v>542</v>
      </c>
      <c r="AI139" s="218" t="s">
        <v>543</v>
      </c>
      <c r="AJ139" s="218" t="s">
        <v>3891</v>
      </c>
      <c r="AK139" s="218" t="s">
        <v>3892</v>
      </c>
      <c r="AL139" s="384">
        <f t="shared" si="12"/>
        <v>0</v>
      </c>
      <c r="AM139" s="231">
        <f t="shared" si="14"/>
        <v>0</v>
      </c>
      <c r="AN139" s="384">
        <f t="shared" si="13"/>
        <v>142041000</v>
      </c>
      <c r="AO139" s="231">
        <f t="shared" si="15"/>
        <v>100</v>
      </c>
      <c r="AP139" s="218" t="str">
        <f t="shared" si="16"/>
        <v>WA.4345.EBC.996.301.C.524211</v>
      </c>
      <c r="AQ139" s="218" t="str">
        <f>IF(ISNUMBER(SEARCH("COVID",SP2D[[#This Row],[Akun]])),"COVID","Non COVID")</f>
        <v>Non COVID</v>
      </c>
      <c r="AR13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9" s="232">
        <f>SUM('PER BULAN'!BA224)</f>
        <v>0</v>
      </c>
      <c r="AU139" s="232">
        <f>SUM('PER BULAN'!BB224)</f>
        <v>0</v>
      </c>
      <c r="AV139" s="232">
        <f>SUM('PER BULAN'!BC224)</f>
        <v>0</v>
      </c>
      <c r="AW139" s="232">
        <f>SUM('PER BULAN'!BD224)</f>
        <v>0</v>
      </c>
      <c r="AX139" s="232">
        <f>SUM('PER BULAN'!BE224)</f>
        <v>0</v>
      </c>
      <c r="AY139" s="232">
        <f>SUM('PER BULAN'!BF224)</f>
        <v>0</v>
      </c>
      <c r="AZ139" s="232">
        <f>SUM('PER BULAN'!BG224)</f>
        <v>0</v>
      </c>
      <c r="BA139" s="232">
        <f>SUM('PER BULAN'!BH224)</f>
        <v>0</v>
      </c>
    </row>
    <row r="140" spans="1:53" s="219" customFormat="1" x14ac:dyDescent="0.25">
      <c r="A140" s="218" t="s">
        <v>3885</v>
      </c>
      <c r="B140" s="218" t="s">
        <v>3886</v>
      </c>
      <c r="C140" s="218" t="s">
        <v>3912</v>
      </c>
      <c r="D140" s="218" t="s">
        <v>3913</v>
      </c>
      <c r="E140" s="218" t="s">
        <v>198</v>
      </c>
      <c r="F140" s="218" t="s">
        <v>3920</v>
      </c>
      <c r="G140" s="218" t="s">
        <v>3978</v>
      </c>
      <c r="H140" s="218" t="s">
        <v>3979</v>
      </c>
      <c r="I140" s="218">
        <v>996</v>
      </c>
      <c r="J140" s="218" t="s">
        <v>3980</v>
      </c>
      <c r="K140" s="218">
        <v>301</v>
      </c>
      <c r="L140" s="218" t="s">
        <v>3981</v>
      </c>
      <c r="M140" s="218" t="s">
        <v>514</v>
      </c>
      <c r="N140" s="218" t="s">
        <v>3986</v>
      </c>
      <c r="O140" s="218">
        <v>522192</v>
      </c>
      <c r="P140" s="218" t="s">
        <v>3895</v>
      </c>
      <c r="Q140" s="165" cm="1">
        <f t="array" ref="Q140">SUM(_xlfn._xlws.FILTER(DIPA2[PaguRevisi],DIPA2[Akun]=SP2D[[#This Row],[Kode Akun]],0))</f>
        <v>0</v>
      </c>
      <c r="R140" s="350">
        <v>30000000</v>
      </c>
      <c r="S140" s="350"/>
      <c r="T140" s="350">
        <f>SP2D[[#This Row],[Pagu Semula]]-SP2D[[#This Row],[Pagu]]</f>
        <v>30000000</v>
      </c>
      <c r="U140" s="232">
        <f>SUM('PER BULAN'!J228:L228)</f>
        <v>0</v>
      </c>
      <c r="V140" s="232">
        <f>SUM('PER BULAN'!M226:O226)</f>
        <v>0</v>
      </c>
      <c r="W140" s="232">
        <f>SUM('PER BULAN'!P226:R226)</f>
        <v>0</v>
      </c>
      <c r="X140" s="232">
        <f>SUM('PER BULAN'!S226:U226)</f>
        <v>0</v>
      </c>
      <c r="Y140" s="232">
        <f>SUM('PER BULAN'!V226:X226)</f>
        <v>0</v>
      </c>
      <c r="Z140" s="232">
        <f>SUM('PER BULAN'!Y226:AA226)</f>
        <v>0</v>
      </c>
      <c r="AA140" s="232">
        <f>SUM('PER BULAN'!AB226:AD226)</f>
        <v>0</v>
      </c>
      <c r="AB140" s="232">
        <f>SUM('PER BULAN'!AE226:AG226)</f>
        <v>0</v>
      </c>
      <c r="AC140" s="232">
        <f>SUM('PER BULAN'!AH226:AJ226)</f>
        <v>0</v>
      </c>
      <c r="AD140" s="232">
        <f>SUM('PER BULAN'!AK226:AM226)</f>
        <v>0</v>
      </c>
      <c r="AE140" s="232">
        <f>SUM('PER BULAN'!AN226:AP226)</f>
        <v>0</v>
      </c>
      <c r="AF140" s="232">
        <f>SUM('PER BULAN'!AQ226:AS226)</f>
        <v>0</v>
      </c>
      <c r="AG140" s="218" t="s">
        <v>530</v>
      </c>
      <c r="AH140" s="218" t="s">
        <v>542</v>
      </c>
      <c r="AI140" s="218" t="s">
        <v>543</v>
      </c>
      <c r="AJ140" s="218" t="s">
        <v>3891</v>
      </c>
      <c r="AK140" s="218" t="s">
        <v>3892</v>
      </c>
      <c r="AL140" s="384">
        <f t="shared" si="12"/>
        <v>0</v>
      </c>
      <c r="AM140" s="231">
        <f t="shared" si="14"/>
        <v>0</v>
      </c>
      <c r="AN140" s="384">
        <f t="shared" si="13"/>
        <v>0</v>
      </c>
      <c r="AO140" s="231">
        <f t="shared" si="15"/>
        <v>0</v>
      </c>
      <c r="AP140" s="218" t="str">
        <f t="shared" si="16"/>
        <v>WA.4345.EBC.996.301.D.522192</v>
      </c>
      <c r="AQ140" s="218" t="str">
        <f>IF(ISNUMBER(SEARCH("COVID",SP2D[[#This Row],[Akun]])),"COVID","Non COVID")</f>
        <v>COVID</v>
      </c>
      <c r="AR14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4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0" s="232">
        <f>SUM('PER BULAN'!BA226)</f>
        <v>0</v>
      </c>
      <c r="AU140" s="232">
        <f>SUM('PER BULAN'!BB226)</f>
        <v>0</v>
      </c>
      <c r="AV140" s="232">
        <f>SUM('PER BULAN'!BC226)</f>
        <v>0</v>
      </c>
      <c r="AW140" s="232">
        <f>SUM('PER BULAN'!BD226)</f>
        <v>0</v>
      </c>
      <c r="AX140" s="232">
        <f>SUM('PER BULAN'!BE226)</f>
        <v>0</v>
      </c>
      <c r="AY140" s="232">
        <f>SUM('PER BULAN'!BF226)</f>
        <v>0</v>
      </c>
      <c r="AZ140" s="232">
        <f>SUM('PER BULAN'!BG226)</f>
        <v>0</v>
      </c>
      <c r="BA140" s="232">
        <f>SUM('PER BULAN'!BH226)</f>
        <v>0</v>
      </c>
    </row>
    <row r="141" spans="1:53" s="219" customFormat="1" x14ac:dyDescent="0.25">
      <c r="A141" s="218" t="s">
        <v>3885</v>
      </c>
      <c r="B141" s="218" t="s">
        <v>3886</v>
      </c>
      <c r="C141" s="218" t="s">
        <v>3912</v>
      </c>
      <c r="D141" s="218" t="s">
        <v>3913</v>
      </c>
      <c r="E141" s="218" t="s">
        <v>198</v>
      </c>
      <c r="F141" s="218" t="s">
        <v>3920</v>
      </c>
      <c r="G141" s="218" t="s">
        <v>3978</v>
      </c>
      <c r="H141" s="218" t="s">
        <v>3979</v>
      </c>
      <c r="I141" s="218">
        <v>996</v>
      </c>
      <c r="J141" s="218" t="s">
        <v>3980</v>
      </c>
      <c r="K141" s="218">
        <v>302</v>
      </c>
      <c r="L141" s="218" t="s">
        <v>3996</v>
      </c>
      <c r="M141" s="218" t="s">
        <v>8</v>
      </c>
      <c r="N141" s="218" t="s">
        <v>3997</v>
      </c>
      <c r="O141" s="218">
        <v>521211</v>
      </c>
      <c r="P141" s="218" t="s">
        <v>3890</v>
      </c>
      <c r="Q141" s="165" cm="1">
        <f t="array" ref="Q141">SUM(_xlfn._xlws.FILTER(DIPA2[PaguRevisi],DIPA2[Akun]=SP2D[[#This Row],[Kode Akun]],0))</f>
        <v>25000000</v>
      </c>
      <c r="R141" s="350">
        <v>25000000</v>
      </c>
      <c r="S141" s="350"/>
      <c r="T141" s="350">
        <f>SP2D[[#This Row],[Pagu Semula]]-SP2D[[#This Row],[Pagu]]</f>
        <v>0</v>
      </c>
      <c r="U141" s="232">
        <f>SUM('PER BULAN'!J229:L229)</f>
        <v>0</v>
      </c>
      <c r="V141" s="232">
        <f>SUM('PER BULAN'!M229:O229)</f>
        <v>0</v>
      </c>
      <c r="W141" s="232">
        <f>SUM('PER BULAN'!P229:R229)</f>
        <v>0</v>
      </c>
      <c r="X141" s="232">
        <f>SUM('PER BULAN'!S229:U229)</f>
        <v>0</v>
      </c>
      <c r="Y141" s="232">
        <f>SUM('PER BULAN'!V229:X229)</f>
        <v>2961000</v>
      </c>
      <c r="Z141" s="232">
        <f>SUM('PER BULAN'!Y229:AA229)</f>
        <v>0</v>
      </c>
      <c r="AA141" s="232">
        <f>SUM('PER BULAN'!AB229:AD229)</f>
        <v>0</v>
      </c>
      <c r="AB141" s="232">
        <f>SUM('PER BULAN'!AE229:AG229)</f>
        <v>0</v>
      </c>
      <c r="AC141" s="232">
        <f>SUM('PER BULAN'!AH229:AJ229)</f>
        <v>0</v>
      </c>
      <c r="AD141" s="232">
        <f>SUM('PER BULAN'!AK229:AM229)</f>
        <v>0</v>
      </c>
      <c r="AE141" s="232">
        <f>SUM('PER BULAN'!AN229:AP229)</f>
        <v>0</v>
      </c>
      <c r="AF141" s="232">
        <f>SUM('PER BULAN'!AQ229:AS229)</f>
        <v>0</v>
      </c>
      <c r="AG141" s="218" t="s">
        <v>530</v>
      </c>
      <c r="AH141" s="218" t="s">
        <v>542</v>
      </c>
      <c r="AI141" s="218" t="s">
        <v>543</v>
      </c>
      <c r="AJ141" s="218" t="s">
        <v>3891</v>
      </c>
      <c r="AK141" s="218" t="s">
        <v>3892</v>
      </c>
      <c r="AL141" s="384">
        <f t="shared" si="12"/>
        <v>2961000</v>
      </c>
      <c r="AM141" s="231">
        <f t="shared" si="14"/>
        <v>11.844000000000001</v>
      </c>
      <c r="AN141" s="384">
        <f t="shared" si="13"/>
        <v>22039000</v>
      </c>
      <c r="AO141" s="231">
        <f t="shared" si="15"/>
        <v>88.156000000000006</v>
      </c>
      <c r="AP141" s="218" t="str">
        <f t="shared" si="16"/>
        <v>WA.4345.EBC.996.302.A.521211</v>
      </c>
      <c r="AQ141" s="218" t="str">
        <f>IF(ISNUMBER(SEARCH("COVID",SP2D[[#This Row],[Akun]])),"COVID","Non COVID")</f>
        <v>Non COVID</v>
      </c>
      <c r="AR14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4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1" s="232">
        <f>SUM('PER BULAN'!BA229)</f>
        <v>0</v>
      </c>
      <c r="AU141" s="232">
        <f>SUM('PER BULAN'!BB229)</f>
        <v>0</v>
      </c>
      <c r="AV141" s="232">
        <f>SUM('PER BULAN'!BC229)</f>
        <v>0</v>
      </c>
      <c r="AW141" s="232">
        <f>SUM('PER BULAN'!BD229)</f>
        <v>0</v>
      </c>
      <c r="AX141" s="232">
        <f>SUM('PER BULAN'!BE229)</f>
        <v>0</v>
      </c>
      <c r="AY141" s="232">
        <f>SUM('PER BULAN'!BF229)</f>
        <v>0</v>
      </c>
      <c r="AZ141" s="232">
        <f>SUM('PER BULAN'!BG229)</f>
        <v>2961000</v>
      </c>
      <c r="BA141" s="232">
        <f>SUM('PER BULAN'!BH229)</f>
        <v>0</v>
      </c>
    </row>
    <row r="142" spans="1:53" s="219" customFormat="1" x14ac:dyDescent="0.25">
      <c r="A142" s="218" t="s">
        <v>3885</v>
      </c>
      <c r="B142" s="218" t="s">
        <v>3886</v>
      </c>
      <c r="C142" s="218" t="s">
        <v>3912</v>
      </c>
      <c r="D142" s="218" t="s">
        <v>3913</v>
      </c>
      <c r="E142" s="218" t="s">
        <v>198</v>
      </c>
      <c r="F142" s="218" t="s">
        <v>3920</v>
      </c>
      <c r="G142" s="218" t="s">
        <v>3978</v>
      </c>
      <c r="H142" s="218" t="s">
        <v>3979</v>
      </c>
      <c r="I142" s="218">
        <v>996</v>
      </c>
      <c r="J142" s="218" t="s">
        <v>3980</v>
      </c>
      <c r="K142" s="218">
        <v>302</v>
      </c>
      <c r="L142" s="218" t="s">
        <v>3996</v>
      </c>
      <c r="M142" s="218" t="s">
        <v>8</v>
      </c>
      <c r="N142" s="218" t="s">
        <v>3997</v>
      </c>
      <c r="O142" s="218">
        <v>521811</v>
      </c>
      <c r="P142" s="218" t="s">
        <v>3908</v>
      </c>
      <c r="Q142" s="165" cm="1">
        <f t="array" ref="Q142">SUM(_xlfn._xlws.FILTER(DIPA2[PaguRevisi],DIPA2[Akun]=SP2D[[#This Row],[Kode Akun]],0))</f>
        <v>30000000</v>
      </c>
      <c r="R142" s="350">
        <v>30000000</v>
      </c>
      <c r="S142" s="350"/>
      <c r="T142" s="350">
        <f>SP2D[[#This Row],[Pagu Semula]]-SP2D[[#This Row],[Pagu]]</f>
        <v>0</v>
      </c>
      <c r="U142" s="232">
        <f>SUM('PER BULAN'!J230:L230)</f>
        <v>0</v>
      </c>
      <c r="V142" s="232">
        <f>SUM('PER BULAN'!M230:O230)</f>
        <v>0</v>
      </c>
      <c r="W142" s="232">
        <f>SUM('PER BULAN'!P230:R230)</f>
        <v>0</v>
      </c>
      <c r="X142" s="232">
        <f>SUM('PER BULAN'!S230:U230)</f>
        <v>0</v>
      </c>
      <c r="Y142" s="232">
        <f>SUM('PER BULAN'!V230:X230)</f>
        <v>4845000</v>
      </c>
      <c r="Z142" s="232">
        <f>SUM('PER BULAN'!Y230:AA230)</f>
        <v>0</v>
      </c>
      <c r="AA142" s="232">
        <f>SUM('PER BULAN'!AB230:AD230)</f>
        <v>0</v>
      </c>
      <c r="AB142" s="232">
        <f>SUM('PER BULAN'!AE230:AG230)</f>
        <v>0</v>
      </c>
      <c r="AC142" s="232">
        <f>SUM('PER BULAN'!AH230:AJ230)</f>
        <v>0</v>
      </c>
      <c r="AD142" s="232">
        <f>SUM('PER BULAN'!AK230:AM230)</f>
        <v>0</v>
      </c>
      <c r="AE142" s="232">
        <f>SUM('PER BULAN'!AN230:AP230)</f>
        <v>0</v>
      </c>
      <c r="AF142" s="232">
        <f>SUM('PER BULAN'!AQ230:AS230)</f>
        <v>0</v>
      </c>
      <c r="AG142" s="218" t="s">
        <v>530</v>
      </c>
      <c r="AH142" s="218" t="s">
        <v>542</v>
      </c>
      <c r="AI142" s="218" t="s">
        <v>543</v>
      </c>
      <c r="AJ142" s="218" t="s">
        <v>3891</v>
      </c>
      <c r="AK142" s="218" t="s">
        <v>3892</v>
      </c>
      <c r="AL142" s="384">
        <f t="shared" si="12"/>
        <v>4845000</v>
      </c>
      <c r="AM142" s="231">
        <f t="shared" si="14"/>
        <v>16.150000000000002</v>
      </c>
      <c r="AN142" s="384">
        <f t="shared" si="13"/>
        <v>25155000</v>
      </c>
      <c r="AO142" s="231">
        <f t="shared" si="15"/>
        <v>83.850000000000009</v>
      </c>
      <c r="AP142" s="218" t="str">
        <f t="shared" si="16"/>
        <v>WA.4345.EBC.996.302.A.521811</v>
      </c>
      <c r="AQ142" s="218" t="str">
        <f>IF(ISNUMBER(SEARCH("COVID",SP2D[[#This Row],[Akun]])),"COVID","Non COVID")</f>
        <v>Non COVID</v>
      </c>
      <c r="AR14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4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2" s="232">
        <f>SUM('PER BULAN'!BA230)</f>
        <v>0</v>
      </c>
      <c r="AU142" s="232">
        <f>SUM('PER BULAN'!BB230)</f>
        <v>0</v>
      </c>
      <c r="AV142" s="232">
        <f>SUM('PER BULAN'!BC230)</f>
        <v>0</v>
      </c>
      <c r="AW142" s="232">
        <f>SUM('PER BULAN'!BD230)</f>
        <v>0</v>
      </c>
      <c r="AX142" s="232">
        <f>SUM('PER BULAN'!BE230)</f>
        <v>0</v>
      </c>
      <c r="AY142" s="232">
        <f>SUM('PER BULAN'!BF230)</f>
        <v>0</v>
      </c>
      <c r="AZ142" s="232">
        <f>SUM('PER BULAN'!BG230)</f>
        <v>4845000</v>
      </c>
      <c r="BA142" s="232">
        <f>SUM('PER BULAN'!BH230)</f>
        <v>0</v>
      </c>
    </row>
    <row r="143" spans="1:53" s="219" customFormat="1" x14ac:dyDescent="0.25">
      <c r="A143" s="218" t="s">
        <v>3885</v>
      </c>
      <c r="B143" s="218" t="s">
        <v>3886</v>
      </c>
      <c r="C143" s="218" t="s">
        <v>3912</v>
      </c>
      <c r="D143" s="218" t="s">
        <v>3913</v>
      </c>
      <c r="E143" s="218" t="s">
        <v>198</v>
      </c>
      <c r="F143" s="218" t="s">
        <v>3920</v>
      </c>
      <c r="G143" s="218" t="s">
        <v>3978</v>
      </c>
      <c r="H143" s="218" t="s">
        <v>3979</v>
      </c>
      <c r="I143" s="218">
        <v>996</v>
      </c>
      <c r="J143" s="218" t="s">
        <v>3980</v>
      </c>
      <c r="K143" s="218">
        <v>302</v>
      </c>
      <c r="L143" s="218" t="s">
        <v>3996</v>
      </c>
      <c r="M143" s="218" t="s">
        <v>8</v>
      </c>
      <c r="N143" s="218" t="s">
        <v>3997</v>
      </c>
      <c r="O143" s="218">
        <v>524111</v>
      </c>
      <c r="P143" s="218" t="s">
        <v>3894</v>
      </c>
      <c r="Q143" s="165" cm="1">
        <f t="array" ref="Q143">SUM(_xlfn._xlws.FILTER(DIPA2[PaguRevisi],DIPA2[Akun]=SP2D[[#This Row],[Kode Akun]],0))</f>
        <v>54200000</v>
      </c>
      <c r="R143" s="350">
        <v>54200000</v>
      </c>
      <c r="S143" s="350"/>
      <c r="T143" s="350">
        <f>SP2D[[#This Row],[Pagu Semula]]-SP2D[[#This Row],[Pagu]]</f>
        <v>0</v>
      </c>
      <c r="U143" s="232">
        <f>SUM('PER BULAN'!J231:L231)</f>
        <v>0</v>
      </c>
      <c r="V143" s="232">
        <f>SUM('PER BULAN'!M231:O231)</f>
        <v>0</v>
      </c>
      <c r="W143" s="232">
        <f>SUM('PER BULAN'!P231:R231)</f>
        <v>0</v>
      </c>
      <c r="X143" s="232">
        <f>SUM('PER BULAN'!S231:U231)</f>
        <v>0</v>
      </c>
      <c r="Y143" s="232">
        <f>SUM('PER BULAN'!V231:X231)</f>
        <v>0</v>
      </c>
      <c r="Z143" s="232">
        <f>SUM('PER BULAN'!Y231:AA231)</f>
        <v>0</v>
      </c>
      <c r="AA143" s="232">
        <f>SUM('PER BULAN'!AB231:AD231)</f>
        <v>0</v>
      </c>
      <c r="AB143" s="232">
        <f>SUM('PER BULAN'!AE231:AG231)</f>
        <v>0</v>
      </c>
      <c r="AC143" s="232">
        <f>SUM('PER BULAN'!AH231:AJ231)</f>
        <v>0</v>
      </c>
      <c r="AD143" s="232">
        <f>SUM('PER BULAN'!AK231:AM231)</f>
        <v>0</v>
      </c>
      <c r="AE143" s="232">
        <f>SUM('PER BULAN'!AN231:AP231)</f>
        <v>0</v>
      </c>
      <c r="AF143" s="232">
        <f>SUM('PER BULAN'!AQ231:AS231)</f>
        <v>0</v>
      </c>
      <c r="AG143" s="218" t="s">
        <v>530</v>
      </c>
      <c r="AH143" s="218" t="s">
        <v>542</v>
      </c>
      <c r="AI143" s="218" t="s">
        <v>543</v>
      </c>
      <c r="AJ143" s="218" t="s">
        <v>3891</v>
      </c>
      <c r="AK143" s="218" t="s">
        <v>3892</v>
      </c>
      <c r="AL143" s="384">
        <f t="shared" si="12"/>
        <v>0</v>
      </c>
      <c r="AM143" s="231">
        <f t="shared" si="14"/>
        <v>0</v>
      </c>
      <c r="AN143" s="384">
        <f t="shared" si="13"/>
        <v>54200000</v>
      </c>
      <c r="AO143" s="231">
        <f t="shared" si="15"/>
        <v>100</v>
      </c>
      <c r="AP143" s="218" t="str">
        <f t="shared" si="16"/>
        <v>WA.4345.EBC.996.302.A.524111</v>
      </c>
      <c r="AQ143" s="218" t="str">
        <f>IF(ISNUMBER(SEARCH("COVID",SP2D[[#This Row],[Akun]])),"COVID","Non COVID")</f>
        <v>Non COVID</v>
      </c>
      <c r="AR14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4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3" s="232">
        <f>SUM('PER BULAN'!BA231)</f>
        <v>0</v>
      </c>
      <c r="AU143" s="232">
        <f>SUM('PER BULAN'!BB231)</f>
        <v>0</v>
      </c>
      <c r="AV143" s="232">
        <f>SUM('PER BULAN'!BC231)</f>
        <v>0</v>
      </c>
      <c r="AW143" s="232">
        <f>SUM('PER BULAN'!BD231)</f>
        <v>0</v>
      </c>
      <c r="AX143" s="232">
        <f>SUM('PER BULAN'!BE231)</f>
        <v>0</v>
      </c>
      <c r="AY143" s="232">
        <f>SUM('PER BULAN'!BF231)</f>
        <v>0</v>
      </c>
      <c r="AZ143" s="232">
        <f>SUM('PER BULAN'!BG231)</f>
        <v>0</v>
      </c>
      <c r="BA143" s="232">
        <f>SUM('PER BULAN'!BH231)</f>
        <v>0</v>
      </c>
    </row>
    <row r="144" spans="1:53" x14ac:dyDescent="0.25">
      <c r="Q144" s="237">
        <f t="shared" ref="Q144:AF144" si="17">SUM(Q4:Q143)</f>
        <v>11375804000</v>
      </c>
      <c r="R144" s="237">
        <f t="shared" ref="R144:U144" si="18">SUM(R4:R143)</f>
        <v>16863164000</v>
      </c>
      <c r="S144" s="237">
        <f t="shared" si="18"/>
        <v>100000000</v>
      </c>
      <c r="T144" s="237">
        <f t="shared" si="18"/>
        <v>5387360000</v>
      </c>
      <c r="U144" s="237">
        <f t="shared" si="18"/>
        <v>0</v>
      </c>
      <c r="V144" s="237">
        <f t="shared" si="17"/>
        <v>74237800</v>
      </c>
      <c r="W144" s="237">
        <f t="shared" si="17"/>
        <v>672277677</v>
      </c>
      <c r="X144" s="237">
        <f t="shared" si="17"/>
        <v>1892688850</v>
      </c>
      <c r="Y144" s="237">
        <f t="shared" si="17"/>
        <v>1260934024</v>
      </c>
      <c r="Z144" s="237">
        <f t="shared" si="17"/>
        <v>2167184581</v>
      </c>
      <c r="AA144" s="237">
        <f t="shared" si="17"/>
        <v>0</v>
      </c>
      <c r="AB144" s="237">
        <f t="shared" si="17"/>
        <v>0</v>
      </c>
      <c r="AC144" s="237">
        <f t="shared" si="17"/>
        <v>0</v>
      </c>
      <c r="AD144" s="237">
        <f t="shared" si="17"/>
        <v>0</v>
      </c>
      <c r="AE144" s="237">
        <f t="shared" si="17"/>
        <v>0</v>
      </c>
      <c r="AF144" s="237">
        <f t="shared" si="17"/>
        <v>0</v>
      </c>
      <c r="AL144" s="237">
        <f>SUM(AL4:AL143)</f>
        <v>6067322932</v>
      </c>
      <c r="AM144" s="238">
        <f>AL144/Q144*100</f>
        <v>53.33533288724032</v>
      </c>
      <c r="AN144" s="237">
        <f>SUM(AN4:AN143)</f>
        <v>5308481068</v>
      </c>
      <c r="AO144" s="238">
        <f>AN144/Q144*100</f>
        <v>46.66466711275968</v>
      </c>
      <c r="AT144" s="237">
        <f>SUM(AT4:AT143)</f>
        <v>99961115</v>
      </c>
      <c r="AU144" s="237">
        <f>SUM(AU4:AU143)</f>
        <v>410500187</v>
      </c>
      <c r="AV144" s="237">
        <f t="shared" ref="AV144:AX144" si="19">SUM(AV4:AV143)</f>
        <v>98176375</v>
      </c>
      <c r="AW144" s="237">
        <f t="shared" si="19"/>
        <v>95254996</v>
      </c>
      <c r="AX144" s="237">
        <f t="shared" si="19"/>
        <v>95439616</v>
      </c>
      <c r="AY144" s="237">
        <f t="shared" ref="AY144:AZ144" si="20">SUM(AY4:AY143)</f>
        <v>93838577</v>
      </c>
      <c r="AZ144" s="237">
        <f t="shared" si="20"/>
        <v>312088731</v>
      </c>
      <c r="BA144" s="237">
        <f t="shared" ref="BA144" si="21">SUM(BA4:BA143)</f>
        <v>7559500</v>
      </c>
    </row>
    <row r="145" spans="23:23" x14ac:dyDescent="0.25">
      <c r="W145" s="217"/>
    </row>
  </sheetData>
  <phoneticPr fontId="26" type="noConversion"/>
  <pageMargins left="0.7" right="0.7" top="0.75" bottom="0.75" header="0.3" footer="0.3"/>
  <pageSetup orientation="portrait" horizontalDpi="0" verticalDpi="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7AE7-563C-408F-88D0-54285231161C}">
  <sheetPr codeName="Sheet4"/>
  <dimension ref="A1:BA15"/>
  <sheetViews>
    <sheetView showGridLines="0" topLeftCell="AK1" zoomScale="85" zoomScaleNormal="85" workbookViewId="0">
      <pane ySplit="1" topLeftCell="A2" activePane="bottomLeft" state="frozen"/>
      <selection activeCell="N1" sqref="N1"/>
      <selection pane="bottomLeft" activeCell="AL4" sqref="AL4:AL14"/>
    </sheetView>
  </sheetViews>
  <sheetFormatPr defaultRowHeight="15" x14ac:dyDescent="0.2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216" customWidth="1"/>
    <col min="8" max="8" width="59.85546875" style="216" bestFit="1" customWidth="1"/>
    <col min="9" max="9" width="12.140625" style="216" customWidth="1"/>
    <col min="10" max="10" width="115.42578125" style="216" bestFit="1" customWidth="1"/>
    <col min="11" max="11" width="12.42578125" style="216" customWidth="1"/>
    <col min="12" max="12" width="86.85546875" style="216" bestFit="1" customWidth="1"/>
    <col min="13" max="13" width="13.28515625" style="216" customWidth="1"/>
    <col min="14" max="14" width="79" style="216" bestFit="1" customWidth="1"/>
    <col min="15" max="15" width="9.5703125" customWidth="1"/>
    <col min="16" max="16" width="55.7109375" style="216" bestFit="1" customWidth="1"/>
    <col min="17" max="17" width="15.28515625" style="215" customWidth="1"/>
    <col min="18" max="20" width="15.7109375" style="215" customWidth="1"/>
    <col min="21" max="22" width="12.7109375" bestFit="1" customWidth="1"/>
    <col min="23" max="23" width="13.85546875" customWidth="1"/>
    <col min="24" max="25" width="14.28515625" customWidth="1"/>
    <col min="26" max="26" width="14.28515625" bestFit="1" customWidth="1"/>
    <col min="27" max="28" width="11.5703125" customWidth="1"/>
    <col min="29" max="32" width="10.7109375" customWidth="1"/>
    <col min="33" max="33" width="20" style="216" customWidth="1"/>
    <col min="34" max="34" width="29.85546875" style="216" customWidth="1"/>
    <col min="35" max="35" width="35.140625" style="216" customWidth="1"/>
    <col min="36" max="36" width="13.140625" style="216" customWidth="1"/>
    <col min="37" max="37" width="77.85546875" style="216" customWidth="1"/>
    <col min="38" max="38" width="14.28515625" style="349" customWidth="1"/>
    <col min="39" max="39" width="9.85546875" style="216" customWidth="1"/>
    <col min="40" max="40" width="15.28515625" style="349" customWidth="1"/>
    <col min="41" max="41" width="9.7109375" style="216" customWidth="1"/>
    <col min="42" max="42" width="29.42578125" style="216" customWidth="1"/>
    <col min="43" max="43" width="14" style="216" customWidth="1"/>
    <col min="44" max="44" width="22.140625" style="216" customWidth="1"/>
    <col min="45" max="45" width="32.140625" style="216" customWidth="1"/>
    <col min="46" max="46" width="13.7109375" style="216" customWidth="1"/>
    <col min="47" max="47" width="12.5703125" style="216" customWidth="1"/>
    <col min="48" max="48" width="11.5703125" style="216" customWidth="1"/>
    <col min="49" max="49" width="13.5703125" style="216" customWidth="1"/>
    <col min="50" max="51" width="11.5703125" bestFit="1" customWidth="1"/>
    <col min="52" max="52" width="12.5703125" bestFit="1" customWidth="1"/>
    <col min="53" max="53" width="11.28515625" customWidth="1"/>
    <col min="54" max="54" width="22.28515625" bestFit="1" customWidth="1"/>
  </cols>
  <sheetData>
    <row r="1" spans="1:53" x14ac:dyDescent="0.25">
      <c r="Y1" t="s">
        <v>3842</v>
      </c>
    </row>
    <row r="2" spans="1:53" x14ac:dyDescent="0.25">
      <c r="W2" s="217"/>
    </row>
    <row r="3" spans="1:53" s="216" customFormat="1" x14ac:dyDescent="0.25">
      <c r="A3" s="216" t="s">
        <v>3853</v>
      </c>
      <c r="B3" s="216" t="s">
        <v>3854</v>
      </c>
      <c r="C3" s="216" t="s">
        <v>3855</v>
      </c>
      <c r="D3" s="216" t="s">
        <v>496</v>
      </c>
      <c r="E3" s="216" t="s">
        <v>3856</v>
      </c>
      <c r="F3" s="216" t="s">
        <v>497</v>
      </c>
      <c r="G3" s="216" t="s">
        <v>3857</v>
      </c>
      <c r="H3" s="216" t="s">
        <v>3858</v>
      </c>
      <c r="I3" s="216" t="s">
        <v>3859</v>
      </c>
      <c r="J3" s="216" t="s">
        <v>3860</v>
      </c>
      <c r="K3" s="216" t="s">
        <v>3861</v>
      </c>
      <c r="L3" s="216" t="s">
        <v>498</v>
      </c>
      <c r="M3" s="216" t="s">
        <v>3862</v>
      </c>
      <c r="N3" s="216" t="s">
        <v>3863</v>
      </c>
      <c r="O3" s="216" t="s">
        <v>3864</v>
      </c>
      <c r="P3" s="216" t="s">
        <v>499</v>
      </c>
      <c r="Q3" s="349" t="s">
        <v>3848</v>
      </c>
      <c r="R3" s="349" t="s">
        <v>5415</v>
      </c>
      <c r="S3" s="349" t="s">
        <v>5544</v>
      </c>
      <c r="T3" s="349" t="s">
        <v>5545</v>
      </c>
      <c r="U3" s="216" t="s">
        <v>3865</v>
      </c>
      <c r="V3" s="216" t="s">
        <v>3866</v>
      </c>
      <c r="W3" s="216" t="s">
        <v>3867</v>
      </c>
      <c r="X3" s="216" t="s">
        <v>3868</v>
      </c>
      <c r="Y3" s="216" t="s">
        <v>3869</v>
      </c>
      <c r="Z3" s="216" t="s">
        <v>3870</v>
      </c>
      <c r="AA3" s="216" t="s">
        <v>3871</v>
      </c>
      <c r="AB3" s="216" t="s">
        <v>3872</v>
      </c>
      <c r="AC3" s="216" t="s">
        <v>3873</v>
      </c>
      <c r="AD3" s="216" t="s">
        <v>3874</v>
      </c>
      <c r="AE3" s="216" t="s">
        <v>3875</v>
      </c>
      <c r="AF3" s="216" t="s">
        <v>3876</v>
      </c>
      <c r="AG3" s="216" t="s">
        <v>3877</v>
      </c>
      <c r="AH3" s="216" t="s">
        <v>3878</v>
      </c>
      <c r="AI3" s="216" t="s">
        <v>500</v>
      </c>
      <c r="AJ3" s="216" t="s">
        <v>3879</v>
      </c>
      <c r="AK3" s="216" t="s">
        <v>3880</v>
      </c>
      <c r="AL3" s="349" t="s">
        <v>3849</v>
      </c>
      <c r="AM3" s="216" t="s">
        <v>4005</v>
      </c>
      <c r="AN3" s="349" t="s">
        <v>3850</v>
      </c>
      <c r="AO3" s="216" t="s">
        <v>5429</v>
      </c>
      <c r="AP3" s="216" t="s">
        <v>3881</v>
      </c>
      <c r="AQ3" s="216" t="s">
        <v>3882</v>
      </c>
      <c r="AR3" s="216" t="s">
        <v>3883</v>
      </c>
      <c r="AS3" s="216" t="s">
        <v>3884</v>
      </c>
      <c r="AT3" s="216" t="s">
        <v>4013</v>
      </c>
      <c r="AU3" s="216" t="s">
        <v>4014</v>
      </c>
      <c r="AV3" s="216" t="s">
        <v>4015</v>
      </c>
      <c r="AW3" s="216" t="s">
        <v>4023</v>
      </c>
      <c r="AX3" s="216" t="s">
        <v>4341</v>
      </c>
      <c r="AY3" s="216" t="s">
        <v>4377</v>
      </c>
      <c r="AZ3" s="216" t="s">
        <v>4378</v>
      </c>
      <c r="BA3" s="216" t="s">
        <v>4533</v>
      </c>
    </row>
    <row r="4" spans="1:53" x14ac:dyDescent="0.25">
      <c r="A4" s="218" t="s">
        <v>3885</v>
      </c>
      <c r="B4" s="218" t="s">
        <v>3886</v>
      </c>
      <c r="C4" s="218" t="s">
        <v>3912</v>
      </c>
      <c r="D4" s="218" t="s">
        <v>3913</v>
      </c>
      <c r="E4" s="218" t="s">
        <v>197</v>
      </c>
      <c r="F4" s="218" t="s">
        <v>3914</v>
      </c>
      <c r="G4" s="218" t="s">
        <v>3929</v>
      </c>
      <c r="H4" s="218" t="s">
        <v>3930</v>
      </c>
      <c r="I4" s="348">
        <v>994</v>
      </c>
      <c r="J4" s="218" t="s">
        <v>3943</v>
      </c>
      <c r="K4" s="218" t="s">
        <v>501</v>
      </c>
      <c r="L4" s="218" t="s">
        <v>4187</v>
      </c>
      <c r="M4" s="218" t="s">
        <v>1807</v>
      </c>
      <c r="N4" s="218" t="s">
        <v>5543</v>
      </c>
      <c r="O4" s="218">
        <v>511111</v>
      </c>
      <c r="P4" s="218" t="s">
        <v>5532</v>
      </c>
      <c r="Q4" s="165" cm="1">
        <f t="array" ref="Q4">SUM(_xlfn._xlws.FILTER(DIPA2[PaguRevisi],DIPA2[Akun]=SP2D_GAJI[[#This Row],[Kode Akun]],0))</f>
        <v>2483477000</v>
      </c>
      <c r="R4" s="384">
        <v>2483477000</v>
      </c>
      <c r="S4" s="384"/>
      <c r="T4" s="384"/>
      <c r="U4" s="232">
        <f>SUM('PER BULAN'!J238:L238)</f>
        <v>165683660</v>
      </c>
      <c r="V4" s="232">
        <f>SUM('PER BULAN'!M238:O238)</f>
        <v>164673160</v>
      </c>
      <c r="W4" s="232">
        <f>SUM('PER BULAN'!P238:R238)</f>
        <v>178479060</v>
      </c>
      <c r="X4" s="232">
        <f>SUM('PER BULAN'!S238:U238)</f>
        <v>333776320</v>
      </c>
      <c r="Y4" s="232">
        <f>SUM('PER BULAN'!V238:X238)</f>
        <v>167793300</v>
      </c>
      <c r="Z4" s="232">
        <f>SUM('PER BULAN'!Y238:AA238)</f>
        <v>171027300</v>
      </c>
      <c r="AA4" s="232">
        <f>SUM('PER BULAN'!AB238:AD238)</f>
        <v>0</v>
      </c>
      <c r="AB4" s="232">
        <f>SUM('PER BULAN'!AE238:AG238)</f>
        <v>0</v>
      </c>
      <c r="AC4" s="232">
        <f>SUM('PER BULAN'!AH238:AJ238)</f>
        <v>0</v>
      </c>
      <c r="AD4" s="232">
        <f>SUM('PER BULAN'!AK238:AM238)</f>
        <v>0</v>
      </c>
      <c r="AE4" s="232">
        <f>SUM('PER BULAN'!AN238:AP238)</f>
        <v>0</v>
      </c>
      <c r="AF4" s="217">
        <f>SUM('PER BULAN'!AQ238:AS238)</f>
        <v>0</v>
      </c>
      <c r="AG4" s="218" t="s">
        <v>530</v>
      </c>
      <c r="AH4" s="218" t="s">
        <v>576</v>
      </c>
      <c r="AI4" s="218" t="s">
        <v>546</v>
      </c>
      <c r="AJ4" s="218">
        <v>51</v>
      </c>
      <c r="AK4" s="218" t="s">
        <v>3892</v>
      </c>
      <c r="AL4" s="384">
        <f t="shared" ref="AL4:AL14" si="0">SUM(U4:AF4)</f>
        <v>1181432800</v>
      </c>
      <c r="AM4" s="231">
        <f t="shared" ref="AM4:AM14" si="1">IFERROR(AL4/Q4*100,0)</f>
        <v>47.571723031862184</v>
      </c>
      <c r="AN4" s="384">
        <f t="shared" ref="AN4:AN14" si="2">Q4-AL4</f>
        <v>1302044200</v>
      </c>
      <c r="AO4" s="231">
        <f t="shared" ref="AO4:AO14" si="3">IFERROR(AN4/Q4*100,0)</f>
        <v>52.428276968137823</v>
      </c>
      <c r="AP4" s="218" t="str">
        <f t="shared" ref="AP4:AP14" si="4">_xlfn.TEXTJOIN(".",TRUE,C4,E4,G4,I4,K4,M4,O4)</f>
        <v>WA.2378.EBA.994.001.GA.511111</v>
      </c>
      <c r="AQ4" s="218" t="str">
        <f>IF(ISNUMBER(SEARCH("COVID",SP2D_GAJI[[#This Row],[Akun]])),"COVID","Non COVID")</f>
        <v>Non COVID</v>
      </c>
      <c r="AR4"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4" s="21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4" s="232"/>
      <c r="AU4" s="232"/>
      <c r="AV4" s="232"/>
      <c r="AW4" s="218"/>
      <c r="AX4" s="218"/>
      <c r="AY4" s="218"/>
    </row>
    <row r="5" spans="1:53" x14ac:dyDescent="0.25">
      <c r="A5" s="218" t="s">
        <v>3885</v>
      </c>
      <c r="B5" s="218" t="s">
        <v>3886</v>
      </c>
      <c r="C5" s="218" t="s">
        <v>3912</v>
      </c>
      <c r="D5" s="218" t="s">
        <v>3913</v>
      </c>
      <c r="E5" s="218" t="s">
        <v>197</v>
      </c>
      <c r="F5" s="218" t="s">
        <v>3914</v>
      </c>
      <c r="G5" s="218" t="s">
        <v>3929</v>
      </c>
      <c r="H5" s="218" t="s">
        <v>3930</v>
      </c>
      <c r="I5" s="348">
        <v>994</v>
      </c>
      <c r="J5" s="218" t="s">
        <v>3943</v>
      </c>
      <c r="K5" s="218" t="s">
        <v>501</v>
      </c>
      <c r="L5" s="218" t="s">
        <v>4187</v>
      </c>
      <c r="M5" s="218" t="s">
        <v>1807</v>
      </c>
      <c r="N5" s="218" t="s">
        <v>5543</v>
      </c>
      <c r="O5" s="218">
        <v>511119</v>
      </c>
      <c r="P5" s="218" t="s">
        <v>5533</v>
      </c>
      <c r="Q5" s="165" cm="1">
        <f t="array" ref="Q5">SUM(_xlfn._xlws.FILTER(DIPA2[PaguRevisi],DIPA2[Akun]=SP2D_GAJI[[#This Row],[Kode Akun]],0))</f>
        <v>38000</v>
      </c>
      <c r="R5" s="384">
        <v>38000</v>
      </c>
      <c r="S5" s="384"/>
      <c r="T5" s="384"/>
      <c r="U5" s="232">
        <f>SUM('PER BULAN'!J239:L239)</f>
        <v>2296</v>
      </c>
      <c r="V5" s="232">
        <f>SUM('PER BULAN'!M239:O239)</f>
        <v>2382</v>
      </c>
      <c r="W5" s="232">
        <f>SUM('PER BULAN'!P239:R239)</f>
        <v>3161</v>
      </c>
      <c r="X5" s="232">
        <f>SUM('PER BULAN'!S239:U239)</f>
        <v>5493</v>
      </c>
      <c r="Y5" s="232">
        <f>SUM('PER BULAN'!V239:X239)</f>
        <v>2489</v>
      </c>
      <c r="Z5" s="232">
        <f>SUM('PER BULAN'!Y239:AA239)</f>
        <v>2471</v>
      </c>
      <c r="AA5" s="232">
        <f>SUM('PER BULAN'!AB239:AD239)</f>
        <v>0</v>
      </c>
      <c r="AB5" s="232">
        <f>SUM('PER BULAN'!AE239:AG239)</f>
        <v>0</v>
      </c>
      <c r="AC5" s="232">
        <f>SUM('PER BULAN'!AH239:AJ239)</f>
        <v>0</v>
      </c>
      <c r="AD5" s="232">
        <f>SUM('PER BULAN'!AK239:AM239)</f>
        <v>0</v>
      </c>
      <c r="AE5" s="232">
        <f>SUM('PER BULAN'!AN239:AP239)</f>
        <v>0</v>
      </c>
      <c r="AF5" s="217">
        <f>SUM('PER BULAN'!AQ239:AS239)</f>
        <v>0</v>
      </c>
      <c r="AG5" s="218" t="s">
        <v>530</v>
      </c>
      <c r="AH5" s="218" t="s">
        <v>576</v>
      </c>
      <c r="AI5" s="218" t="s">
        <v>546</v>
      </c>
      <c r="AJ5" s="218">
        <v>51</v>
      </c>
      <c r="AK5" s="218" t="s">
        <v>3892</v>
      </c>
      <c r="AL5" s="350">
        <f t="shared" si="0"/>
        <v>18292</v>
      </c>
      <c r="AM5" s="231">
        <f t="shared" si="1"/>
        <v>48.136842105263156</v>
      </c>
      <c r="AN5" s="350">
        <f t="shared" si="2"/>
        <v>19708</v>
      </c>
      <c r="AO5" s="231">
        <f t="shared" si="3"/>
        <v>51.863157894736844</v>
      </c>
      <c r="AP5" s="218" t="str">
        <f t="shared" si="4"/>
        <v>WA.2378.EBA.994.001.GA.511119</v>
      </c>
      <c r="AQ5" s="218" t="str">
        <f>IF(ISNUMBER(SEARCH("COVID",SP2D_GAJI[[#This Row],[Akun]])),"COVID","Non COVID")</f>
        <v>Non COVID</v>
      </c>
      <c r="AR5"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5" s="383"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5" s="232"/>
      <c r="AU5" s="232"/>
      <c r="AV5" s="232"/>
      <c r="AW5" s="218"/>
      <c r="AX5" s="218"/>
      <c r="AY5" s="218"/>
    </row>
    <row r="6" spans="1:53" x14ac:dyDescent="0.25">
      <c r="A6" s="218" t="s">
        <v>3885</v>
      </c>
      <c r="B6" s="218" t="s">
        <v>3886</v>
      </c>
      <c r="C6" s="218" t="s">
        <v>3912</v>
      </c>
      <c r="D6" s="218" t="s">
        <v>3913</v>
      </c>
      <c r="E6" s="218" t="s">
        <v>197</v>
      </c>
      <c r="F6" s="218" t="s">
        <v>3914</v>
      </c>
      <c r="G6" s="218" t="s">
        <v>3929</v>
      </c>
      <c r="H6" s="218" t="s">
        <v>3930</v>
      </c>
      <c r="I6" s="348">
        <v>994</v>
      </c>
      <c r="J6" s="218" t="s">
        <v>3943</v>
      </c>
      <c r="K6" s="218" t="s">
        <v>501</v>
      </c>
      <c r="L6" s="218" t="s">
        <v>4187</v>
      </c>
      <c r="M6" s="218" t="s">
        <v>1807</v>
      </c>
      <c r="N6" s="218" t="s">
        <v>5543</v>
      </c>
      <c r="O6" s="218">
        <v>511121</v>
      </c>
      <c r="P6" s="218" t="s">
        <v>5534</v>
      </c>
      <c r="Q6" s="165" cm="1">
        <f t="array" ref="Q6">SUM(_xlfn._xlws.FILTER(DIPA2[PaguRevisi],DIPA2[Akun]=SP2D_GAJI[[#This Row],[Kode Akun]],0))</f>
        <v>171959000</v>
      </c>
      <c r="R6" s="384">
        <v>171959000</v>
      </c>
      <c r="S6" s="384"/>
      <c r="T6" s="384"/>
      <c r="U6" s="232">
        <f>SUM('PER BULAN'!J240:L240)</f>
        <v>11298990</v>
      </c>
      <c r="V6" s="232">
        <f>SUM('PER BULAN'!M240:O240)</f>
        <v>10479130</v>
      </c>
      <c r="W6" s="232">
        <f>SUM('PER BULAN'!P240:R240)</f>
        <v>11369370</v>
      </c>
      <c r="X6" s="232">
        <f>SUM('PER BULAN'!S240:U240)</f>
        <v>21754920</v>
      </c>
      <c r="Y6" s="232">
        <f>SUM('PER BULAN'!V240:X240)</f>
        <v>10849200</v>
      </c>
      <c r="Z6" s="232">
        <f>SUM('PER BULAN'!Y240:AA240)</f>
        <v>11193750</v>
      </c>
      <c r="AA6" s="232">
        <f>SUM('PER BULAN'!AB240:AD240)</f>
        <v>0</v>
      </c>
      <c r="AB6" s="232">
        <f>SUM('PER BULAN'!AE240:AG240)</f>
        <v>0</v>
      </c>
      <c r="AC6" s="232">
        <f>SUM('PER BULAN'!AH240:AJ240)</f>
        <v>0</v>
      </c>
      <c r="AD6" s="232">
        <f>SUM('PER BULAN'!AK240:AM240)</f>
        <v>0</v>
      </c>
      <c r="AE6" s="232">
        <f>SUM('PER BULAN'!AN240:AP240)</f>
        <v>0</v>
      </c>
      <c r="AF6" s="217">
        <f>SUM('PER BULAN'!AQ240:AS240)</f>
        <v>0</v>
      </c>
      <c r="AG6" s="218" t="s">
        <v>530</v>
      </c>
      <c r="AH6" s="218" t="s">
        <v>576</v>
      </c>
      <c r="AI6" s="218" t="s">
        <v>546</v>
      </c>
      <c r="AJ6" s="218">
        <v>51</v>
      </c>
      <c r="AK6" s="218" t="s">
        <v>3892</v>
      </c>
      <c r="AL6" s="350">
        <f t="shared" si="0"/>
        <v>76945360</v>
      </c>
      <c r="AM6" s="231">
        <f t="shared" si="1"/>
        <v>44.746340697491846</v>
      </c>
      <c r="AN6" s="350">
        <f t="shared" si="2"/>
        <v>95013640</v>
      </c>
      <c r="AO6" s="231">
        <f t="shared" si="3"/>
        <v>55.253659302508154</v>
      </c>
      <c r="AP6" s="218" t="str">
        <f t="shared" si="4"/>
        <v>WA.2378.EBA.994.001.GA.511121</v>
      </c>
      <c r="AQ6" s="218" t="str">
        <f>IF(ISNUMBER(SEARCH("COVID",SP2D_GAJI[[#This Row],[Akun]])),"COVID","Non COVID")</f>
        <v>Non COVID</v>
      </c>
      <c r="AR6"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6" s="383"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6" s="232"/>
      <c r="AU6" s="232"/>
      <c r="AV6" s="232"/>
      <c r="AW6" s="218"/>
      <c r="AX6" s="218"/>
      <c r="AY6" s="218"/>
    </row>
    <row r="7" spans="1:53" x14ac:dyDescent="0.25">
      <c r="A7" s="218" t="s">
        <v>3885</v>
      </c>
      <c r="B7" s="218" t="s">
        <v>3886</v>
      </c>
      <c r="C7" s="218" t="s">
        <v>3912</v>
      </c>
      <c r="D7" s="218" t="s">
        <v>3913</v>
      </c>
      <c r="E7" s="218" t="s">
        <v>197</v>
      </c>
      <c r="F7" s="218" t="s">
        <v>3914</v>
      </c>
      <c r="G7" s="218" t="s">
        <v>3929</v>
      </c>
      <c r="H7" s="218" t="s">
        <v>3930</v>
      </c>
      <c r="I7" s="348">
        <v>994</v>
      </c>
      <c r="J7" s="218" t="s">
        <v>3943</v>
      </c>
      <c r="K7" s="218" t="s">
        <v>501</v>
      </c>
      <c r="L7" s="218" t="s">
        <v>4187</v>
      </c>
      <c r="M7" s="218" t="s">
        <v>1807</v>
      </c>
      <c r="N7" s="218" t="s">
        <v>5543</v>
      </c>
      <c r="O7" s="218">
        <v>511122</v>
      </c>
      <c r="P7" s="218" t="s">
        <v>5535</v>
      </c>
      <c r="Q7" s="165" cm="1">
        <f t="array" ref="Q7">SUM(_xlfn._xlws.FILTER(DIPA2[PaguRevisi],DIPA2[Akun]=SP2D_GAJI[[#This Row],[Kode Akun]],0))</f>
        <v>46700000</v>
      </c>
      <c r="R7" s="384">
        <v>46700000</v>
      </c>
      <c r="S7" s="384"/>
      <c r="T7" s="384"/>
      <c r="U7" s="232">
        <f>SUM('PER BULAN'!J241:L241)</f>
        <v>3180974</v>
      </c>
      <c r="V7" s="232">
        <f>SUM('PER BULAN'!M241:O241)</f>
        <v>3106994</v>
      </c>
      <c r="W7" s="232">
        <f>SUM('PER BULAN'!P241:R241)</f>
        <v>3451660</v>
      </c>
      <c r="X7" s="232">
        <f>SUM('PER BULAN'!S241:U241)</f>
        <v>6510188</v>
      </c>
      <c r="Y7" s="232">
        <f>SUM('PER BULAN'!V241:X241)</f>
        <v>3249442</v>
      </c>
      <c r="Z7" s="232">
        <f>SUM('PER BULAN'!Y241:AA241)</f>
        <v>3387262</v>
      </c>
      <c r="AA7" s="232">
        <f>SUM('PER BULAN'!AB241:AD241)</f>
        <v>0</v>
      </c>
      <c r="AB7" s="232">
        <f>SUM('PER BULAN'!AE241:AG241)</f>
        <v>0</v>
      </c>
      <c r="AC7" s="232">
        <f>SUM('PER BULAN'!AH241:AJ241)</f>
        <v>0</v>
      </c>
      <c r="AD7" s="232">
        <f>SUM('PER BULAN'!AK241:AM241)</f>
        <v>0</v>
      </c>
      <c r="AE7" s="232">
        <f>SUM('PER BULAN'!AN241:AP241)</f>
        <v>0</v>
      </c>
      <c r="AF7" s="217">
        <f>SUM('PER BULAN'!AQ241:AS241)</f>
        <v>0</v>
      </c>
      <c r="AG7" s="218" t="s">
        <v>530</v>
      </c>
      <c r="AH7" s="218" t="s">
        <v>576</v>
      </c>
      <c r="AI7" s="218" t="s">
        <v>546</v>
      </c>
      <c r="AJ7" s="218">
        <v>51</v>
      </c>
      <c r="AK7" s="218" t="s">
        <v>3892</v>
      </c>
      <c r="AL7" s="350">
        <f t="shared" si="0"/>
        <v>22886520</v>
      </c>
      <c r="AM7" s="231">
        <f t="shared" si="1"/>
        <v>49.007537473233405</v>
      </c>
      <c r="AN7" s="350">
        <f t="shared" si="2"/>
        <v>23813480</v>
      </c>
      <c r="AO7" s="231">
        <f t="shared" si="3"/>
        <v>50.992462526766587</v>
      </c>
      <c r="AP7" s="218" t="str">
        <f t="shared" si="4"/>
        <v>WA.2378.EBA.994.001.GA.511122</v>
      </c>
      <c r="AQ7" s="218" t="str">
        <f>IF(ISNUMBER(SEARCH("COVID",SP2D_GAJI[[#This Row],[Akun]])),"COVID","Non COVID")</f>
        <v>Non COVID</v>
      </c>
      <c r="AR7"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7" s="383"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7" s="232"/>
      <c r="AU7" s="232"/>
      <c r="AV7" s="232"/>
      <c r="AW7" s="218"/>
      <c r="AX7" s="218"/>
      <c r="AY7" s="218"/>
    </row>
    <row r="8" spans="1:53" x14ac:dyDescent="0.25">
      <c r="A8" s="218" t="s">
        <v>3885</v>
      </c>
      <c r="B8" s="218" t="s">
        <v>3886</v>
      </c>
      <c r="C8" s="218" t="s">
        <v>3912</v>
      </c>
      <c r="D8" s="218" t="s">
        <v>3913</v>
      </c>
      <c r="E8" s="218" t="s">
        <v>197</v>
      </c>
      <c r="F8" s="218" t="s">
        <v>3914</v>
      </c>
      <c r="G8" s="218" t="s">
        <v>3929</v>
      </c>
      <c r="H8" s="218" t="s">
        <v>3930</v>
      </c>
      <c r="I8" s="348">
        <v>994</v>
      </c>
      <c r="J8" s="218" t="s">
        <v>3943</v>
      </c>
      <c r="K8" s="218" t="s">
        <v>501</v>
      </c>
      <c r="L8" s="218" t="s">
        <v>4187</v>
      </c>
      <c r="M8" s="218" t="s">
        <v>1807</v>
      </c>
      <c r="N8" s="218" t="s">
        <v>5543</v>
      </c>
      <c r="O8" s="218">
        <v>511123</v>
      </c>
      <c r="P8" s="218" t="s">
        <v>5536</v>
      </c>
      <c r="Q8" s="165" cm="1">
        <f t="array" ref="Q8">SUM(_xlfn._xlws.FILTER(DIPA2[PaguRevisi],DIPA2[Akun]=SP2D_GAJI[[#This Row],[Kode Akun]],0))</f>
        <v>158000000</v>
      </c>
      <c r="R8" s="384">
        <v>158000000</v>
      </c>
      <c r="S8" s="384"/>
      <c r="T8" s="384"/>
      <c r="U8" s="232">
        <f>SUM('PER BULAN'!J242:L242)</f>
        <v>9730000</v>
      </c>
      <c r="V8" s="232">
        <f>SUM('PER BULAN'!M242:O242)</f>
        <v>9730000</v>
      </c>
      <c r="W8" s="232">
        <f>SUM('PER BULAN'!P242:R242)</f>
        <v>9730000</v>
      </c>
      <c r="X8" s="232">
        <f>SUM('PER BULAN'!S242:U242)</f>
        <v>19460000</v>
      </c>
      <c r="Y8" s="232">
        <f>SUM('PER BULAN'!V242:X242)</f>
        <v>9730000</v>
      </c>
      <c r="Z8" s="232">
        <f>SUM('PER BULAN'!Y242:AA242)</f>
        <v>9730000</v>
      </c>
      <c r="AA8" s="232">
        <f>SUM('PER BULAN'!AB242:AD242)</f>
        <v>0</v>
      </c>
      <c r="AB8" s="232">
        <f>SUM('PER BULAN'!AE242:AG242)</f>
        <v>0</v>
      </c>
      <c r="AC8" s="232">
        <f>SUM('PER BULAN'!AH242:AJ242)</f>
        <v>0</v>
      </c>
      <c r="AD8" s="232">
        <f>SUM('PER BULAN'!AK242:AM242)</f>
        <v>0</v>
      </c>
      <c r="AE8" s="232">
        <f>SUM('PER BULAN'!AN242:AP242)</f>
        <v>0</v>
      </c>
      <c r="AF8" s="217">
        <f>SUM('PER BULAN'!AQ242:AS242)</f>
        <v>0</v>
      </c>
      <c r="AG8" s="218" t="s">
        <v>530</v>
      </c>
      <c r="AH8" s="218" t="s">
        <v>576</v>
      </c>
      <c r="AI8" s="218" t="s">
        <v>546</v>
      </c>
      <c r="AJ8" s="218">
        <v>51</v>
      </c>
      <c r="AK8" s="218" t="s">
        <v>3892</v>
      </c>
      <c r="AL8" s="350">
        <f t="shared" si="0"/>
        <v>68110000</v>
      </c>
      <c r="AM8" s="231">
        <f t="shared" si="1"/>
        <v>43.107594936708857</v>
      </c>
      <c r="AN8" s="350">
        <f t="shared" si="2"/>
        <v>89890000</v>
      </c>
      <c r="AO8" s="231">
        <f t="shared" si="3"/>
        <v>56.892405063291143</v>
      </c>
      <c r="AP8" s="218" t="str">
        <f t="shared" si="4"/>
        <v>WA.2378.EBA.994.001.GA.511123</v>
      </c>
      <c r="AQ8" s="218" t="str">
        <f>IF(ISNUMBER(SEARCH("COVID",SP2D_GAJI[[#This Row],[Akun]])),"COVID","Non COVID")</f>
        <v>Non COVID</v>
      </c>
      <c r="AR8"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8" s="383"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8" s="232"/>
      <c r="AU8" s="232"/>
      <c r="AV8" s="232"/>
      <c r="AW8" s="218"/>
      <c r="AX8" s="218"/>
      <c r="AY8" s="218"/>
    </row>
    <row r="9" spans="1:53" x14ac:dyDescent="0.25">
      <c r="A9" s="218" t="s">
        <v>3885</v>
      </c>
      <c r="B9" s="218" t="s">
        <v>3886</v>
      </c>
      <c r="C9" s="218" t="s">
        <v>3912</v>
      </c>
      <c r="D9" s="218" t="s">
        <v>3913</v>
      </c>
      <c r="E9" s="218" t="s">
        <v>197</v>
      </c>
      <c r="F9" s="218" t="s">
        <v>3914</v>
      </c>
      <c r="G9" s="218" t="s">
        <v>3929</v>
      </c>
      <c r="H9" s="218" t="s">
        <v>3930</v>
      </c>
      <c r="I9" s="348">
        <v>994</v>
      </c>
      <c r="J9" s="218" t="s">
        <v>3943</v>
      </c>
      <c r="K9" s="218" t="s">
        <v>501</v>
      </c>
      <c r="L9" s="218" t="s">
        <v>4187</v>
      </c>
      <c r="M9" s="218" t="s">
        <v>1807</v>
      </c>
      <c r="N9" s="218" t="s">
        <v>5543</v>
      </c>
      <c r="O9" s="218">
        <v>511124</v>
      </c>
      <c r="P9" s="218" t="s">
        <v>5537</v>
      </c>
      <c r="Q9" s="165" cm="1">
        <f t="array" ref="Q9">SUM(_xlfn._xlws.FILTER(DIPA2[PaguRevisi],DIPA2[Akun]=SP2D_GAJI[[#This Row],[Kode Akun]],0))</f>
        <v>48180000</v>
      </c>
      <c r="R9" s="384">
        <v>48180000</v>
      </c>
      <c r="S9" s="384"/>
      <c r="T9" s="384"/>
      <c r="U9" s="232">
        <f>SUM('PER BULAN'!J243:L243)</f>
        <v>4480000</v>
      </c>
      <c r="V9" s="232">
        <f>SUM('PER BULAN'!M243:O243)</f>
        <v>4480000</v>
      </c>
      <c r="W9" s="232">
        <f>SUM('PER BULAN'!P243:R243)</f>
        <v>5134000</v>
      </c>
      <c r="X9" s="232">
        <f>SUM('PER BULAN'!S243:U243)</f>
        <v>9614000</v>
      </c>
      <c r="Y9" s="232">
        <f>SUM('PER BULAN'!V243:X243)</f>
        <v>4807000</v>
      </c>
      <c r="Z9" s="232">
        <f>SUM('PER BULAN'!Y243:AA243)</f>
        <v>5287000</v>
      </c>
      <c r="AA9" s="232">
        <f>SUM('PER BULAN'!AB243:AD243)</f>
        <v>0</v>
      </c>
      <c r="AB9" s="232">
        <f>SUM('PER BULAN'!AE243:AG243)</f>
        <v>0</v>
      </c>
      <c r="AC9" s="232">
        <f>SUM('PER BULAN'!AH243:AJ243)</f>
        <v>0</v>
      </c>
      <c r="AD9" s="232">
        <f>SUM('PER BULAN'!AK243:AM243)</f>
        <v>0</v>
      </c>
      <c r="AE9" s="232">
        <f>SUM('PER BULAN'!AN243:AP243)</f>
        <v>0</v>
      </c>
      <c r="AF9" s="217">
        <f>SUM('PER BULAN'!AQ243:AS243)</f>
        <v>0</v>
      </c>
      <c r="AG9" s="218" t="s">
        <v>530</v>
      </c>
      <c r="AH9" s="218" t="s">
        <v>576</v>
      </c>
      <c r="AI9" s="218" t="s">
        <v>546</v>
      </c>
      <c r="AJ9" s="218">
        <v>51</v>
      </c>
      <c r="AK9" s="218" t="s">
        <v>3892</v>
      </c>
      <c r="AL9" s="350">
        <f t="shared" si="0"/>
        <v>33802000</v>
      </c>
      <c r="AM9" s="231">
        <f t="shared" si="1"/>
        <v>70.157741801577416</v>
      </c>
      <c r="AN9" s="350">
        <f t="shared" si="2"/>
        <v>14378000</v>
      </c>
      <c r="AO9" s="231">
        <f t="shared" si="3"/>
        <v>29.842258198422584</v>
      </c>
      <c r="AP9" s="218" t="str">
        <f t="shared" si="4"/>
        <v>WA.2378.EBA.994.001.GA.511124</v>
      </c>
      <c r="AQ9" s="218" t="str">
        <f>IF(ISNUMBER(SEARCH("COVID",SP2D_GAJI[[#This Row],[Akun]])),"COVID","Non COVID")</f>
        <v>Non COVID</v>
      </c>
      <c r="AR9"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9" s="383"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9" s="232"/>
      <c r="AU9" s="232"/>
      <c r="AV9" s="232"/>
      <c r="AW9" s="218"/>
      <c r="AX9" s="218"/>
      <c r="AY9" s="218"/>
    </row>
    <row r="10" spans="1:53" x14ac:dyDescent="0.25">
      <c r="A10" s="218" t="s">
        <v>3885</v>
      </c>
      <c r="B10" s="218" t="s">
        <v>3886</v>
      </c>
      <c r="C10" s="218" t="s">
        <v>3912</v>
      </c>
      <c r="D10" s="218" t="s">
        <v>3913</v>
      </c>
      <c r="E10" s="218" t="s">
        <v>197</v>
      </c>
      <c r="F10" s="218" t="s">
        <v>3914</v>
      </c>
      <c r="G10" s="218" t="s">
        <v>3929</v>
      </c>
      <c r="H10" s="218" t="s">
        <v>3930</v>
      </c>
      <c r="I10" s="348">
        <v>994</v>
      </c>
      <c r="J10" s="218" t="s">
        <v>3943</v>
      </c>
      <c r="K10" s="218" t="s">
        <v>501</v>
      </c>
      <c r="L10" s="218" t="s">
        <v>4187</v>
      </c>
      <c r="M10" s="218" t="s">
        <v>1807</v>
      </c>
      <c r="N10" s="218" t="s">
        <v>5543</v>
      </c>
      <c r="O10" s="218">
        <v>511125</v>
      </c>
      <c r="P10" s="218" t="s">
        <v>5538</v>
      </c>
      <c r="Q10" s="165" cm="1">
        <f t="array" ref="Q10">SUM(_xlfn._xlws.FILTER(DIPA2[PaguRevisi],DIPA2[Akun]=SP2D_GAJI[[#This Row],[Kode Akun]],0))</f>
        <v>13133000</v>
      </c>
      <c r="R10" s="384">
        <v>13133000</v>
      </c>
      <c r="S10" s="384"/>
      <c r="T10" s="384"/>
      <c r="U10" s="232">
        <f>SUM('PER BULAN'!J244:L244)</f>
        <v>265559</v>
      </c>
      <c r="V10" s="232">
        <f>SUM('PER BULAN'!M244:O244)</f>
        <v>273792</v>
      </c>
      <c r="W10" s="232">
        <f>SUM('PER BULAN'!P244:R244)</f>
        <v>399758</v>
      </c>
      <c r="X10" s="232">
        <f>SUM('PER BULAN'!S244:U244)</f>
        <v>2872401</v>
      </c>
      <c r="Y10" s="232">
        <f>SUM('PER BULAN'!V244:X244)</f>
        <v>283217</v>
      </c>
      <c r="Z10" s="232">
        <f>SUM('PER BULAN'!Y244:AA244)</f>
        <v>273209</v>
      </c>
      <c r="AA10" s="232">
        <f>SUM('PER BULAN'!AB244:AD244)</f>
        <v>0</v>
      </c>
      <c r="AB10" s="232">
        <f>SUM('PER BULAN'!AE244:AG244)</f>
        <v>0</v>
      </c>
      <c r="AC10" s="232">
        <f>SUM('PER BULAN'!AH244:AJ244)</f>
        <v>0</v>
      </c>
      <c r="AD10" s="232">
        <f>SUM('PER BULAN'!AK244:AM244)</f>
        <v>0</v>
      </c>
      <c r="AE10" s="232">
        <f>SUM('PER BULAN'!AN244:AP244)</f>
        <v>0</v>
      </c>
      <c r="AF10" s="217">
        <f>SUM('PER BULAN'!AQ244:AS244)</f>
        <v>0</v>
      </c>
      <c r="AG10" s="218" t="s">
        <v>530</v>
      </c>
      <c r="AH10" s="218" t="s">
        <v>576</v>
      </c>
      <c r="AI10" s="218" t="s">
        <v>546</v>
      </c>
      <c r="AJ10" s="218">
        <v>51</v>
      </c>
      <c r="AK10" s="218" t="s">
        <v>3892</v>
      </c>
      <c r="AL10" s="350">
        <f t="shared" si="0"/>
        <v>4367936</v>
      </c>
      <c r="AM10" s="231">
        <f t="shared" si="1"/>
        <v>33.259240082235593</v>
      </c>
      <c r="AN10" s="350">
        <f t="shared" si="2"/>
        <v>8765064</v>
      </c>
      <c r="AO10" s="231">
        <f t="shared" si="3"/>
        <v>66.740759917764407</v>
      </c>
      <c r="AP10" s="218" t="str">
        <f t="shared" si="4"/>
        <v>WA.2378.EBA.994.001.GA.511125</v>
      </c>
      <c r="AQ10" s="218" t="str">
        <f>IF(ISNUMBER(SEARCH("COVID",SP2D_GAJI[[#This Row],[Akun]])),"COVID","Non COVID")</f>
        <v>Non COVID</v>
      </c>
      <c r="AR10"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0" s="383"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0" s="232"/>
      <c r="AU10" s="232"/>
      <c r="AV10" s="232"/>
      <c r="AW10" s="218"/>
      <c r="AX10" s="218"/>
      <c r="AY10" s="218"/>
    </row>
    <row r="11" spans="1:53" x14ac:dyDescent="0.25">
      <c r="A11" s="218" t="s">
        <v>3885</v>
      </c>
      <c r="B11" s="218" t="s">
        <v>3886</v>
      </c>
      <c r="C11" s="218" t="s">
        <v>3912</v>
      </c>
      <c r="D11" s="218" t="s">
        <v>3913</v>
      </c>
      <c r="E11" s="218" t="s">
        <v>197</v>
      </c>
      <c r="F11" s="218" t="s">
        <v>3914</v>
      </c>
      <c r="G11" s="218" t="s">
        <v>3929</v>
      </c>
      <c r="H11" s="218" t="s">
        <v>3930</v>
      </c>
      <c r="I11" s="348">
        <v>994</v>
      </c>
      <c r="J11" s="218" t="s">
        <v>3943</v>
      </c>
      <c r="K11" s="218" t="s">
        <v>501</v>
      </c>
      <c r="L11" s="218" t="s">
        <v>4187</v>
      </c>
      <c r="M11" s="218" t="s">
        <v>1807</v>
      </c>
      <c r="N11" s="218" t="s">
        <v>5543</v>
      </c>
      <c r="O11" s="218">
        <v>511126</v>
      </c>
      <c r="P11" s="218" t="s">
        <v>5539</v>
      </c>
      <c r="Q11" s="165" cm="1">
        <f t="array" ref="Q11">SUM(_xlfn._xlws.FILTER(DIPA2[PaguRevisi],DIPA2[Akun]=SP2D_GAJI[[#This Row],[Kode Akun]],0))</f>
        <v>130333000</v>
      </c>
      <c r="R11" s="384">
        <v>130333000</v>
      </c>
      <c r="S11" s="384"/>
      <c r="T11" s="384"/>
      <c r="U11" s="232">
        <f>SUM('PER BULAN'!J245:L245)</f>
        <v>8762820</v>
      </c>
      <c r="V11" s="232">
        <f>SUM('PER BULAN'!M245:O245)</f>
        <v>8545560</v>
      </c>
      <c r="W11" s="232">
        <f>SUM('PER BULAN'!P245:R245)</f>
        <v>9197340</v>
      </c>
      <c r="X11" s="232">
        <f>SUM('PER BULAN'!S245:U245)</f>
        <v>17670480</v>
      </c>
      <c r="Y11" s="232">
        <f>SUM('PER BULAN'!V245:X245)</f>
        <v>8835240</v>
      </c>
      <c r="Z11" s="232">
        <f>SUM('PER BULAN'!Y245:AA245)</f>
        <v>9124920</v>
      </c>
      <c r="AA11" s="232">
        <f>SUM('PER BULAN'!AB245:AD245)</f>
        <v>0</v>
      </c>
      <c r="AB11" s="232">
        <f>SUM('PER BULAN'!AE245:AG245)</f>
        <v>0</v>
      </c>
      <c r="AC11" s="232">
        <f>SUM('PER BULAN'!AH245:AJ245)</f>
        <v>0</v>
      </c>
      <c r="AD11" s="232">
        <f>SUM('PER BULAN'!AK245:AM245)</f>
        <v>0</v>
      </c>
      <c r="AE11" s="232">
        <f>SUM('PER BULAN'!AN245:AP245)</f>
        <v>0</v>
      </c>
      <c r="AF11" s="217">
        <f>SUM('PER BULAN'!AQ245:AS245)</f>
        <v>0</v>
      </c>
      <c r="AG11" s="218" t="s">
        <v>530</v>
      </c>
      <c r="AH11" s="218" t="s">
        <v>576</v>
      </c>
      <c r="AI11" s="218" t="s">
        <v>546</v>
      </c>
      <c r="AJ11" s="218">
        <v>51</v>
      </c>
      <c r="AK11" s="218" t="s">
        <v>3892</v>
      </c>
      <c r="AL11" s="350">
        <f t="shared" si="0"/>
        <v>62136360</v>
      </c>
      <c r="AM11" s="384">
        <f t="shared" si="1"/>
        <v>47.675078452886069</v>
      </c>
      <c r="AN11" s="350">
        <f t="shared" si="2"/>
        <v>68196640</v>
      </c>
      <c r="AO11" s="231">
        <f t="shared" si="3"/>
        <v>52.324921547113931</v>
      </c>
      <c r="AP11" s="218" t="str">
        <f t="shared" si="4"/>
        <v>WA.2378.EBA.994.001.GA.511126</v>
      </c>
      <c r="AQ11" s="218" t="str">
        <f>IF(ISNUMBER(SEARCH("COVID",SP2D_GAJI[[#This Row],[Akun]])),"COVID","Non COVID")</f>
        <v>Non COVID</v>
      </c>
      <c r="AR11"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1" s="383"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1" s="232"/>
      <c r="AU11" s="232"/>
      <c r="AV11" s="232"/>
      <c r="AW11" s="218"/>
      <c r="AX11" s="218"/>
      <c r="AY11" s="218"/>
    </row>
    <row r="12" spans="1:53" x14ac:dyDescent="0.25">
      <c r="A12" s="218" t="s">
        <v>3885</v>
      </c>
      <c r="B12" s="218" t="s">
        <v>3886</v>
      </c>
      <c r="C12" s="218" t="s">
        <v>3912</v>
      </c>
      <c r="D12" s="218" t="s">
        <v>3913</v>
      </c>
      <c r="E12" s="218" t="s">
        <v>197</v>
      </c>
      <c r="F12" s="218" t="s">
        <v>3914</v>
      </c>
      <c r="G12" s="218" t="s">
        <v>3929</v>
      </c>
      <c r="H12" s="218" t="s">
        <v>3930</v>
      </c>
      <c r="I12" s="348">
        <v>994</v>
      </c>
      <c r="J12" s="218" t="s">
        <v>3943</v>
      </c>
      <c r="K12" s="218" t="s">
        <v>501</v>
      </c>
      <c r="L12" s="218" t="s">
        <v>4187</v>
      </c>
      <c r="M12" s="218" t="s">
        <v>1807</v>
      </c>
      <c r="N12" s="218" t="s">
        <v>5543</v>
      </c>
      <c r="O12" s="218">
        <v>511129</v>
      </c>
      <c r="P12" s="218" t="s">
        <v>5540</v>
      </c>
      <c r="Q12" s="165" cm="1">
        <f t="array" ref="Q12">SUM(_xlfn._xlws.FILTER(DIPA2[PaguRevisi],DIPA2[Akun]=SP2D_GAJI[[#This Row],[Kode Akun]],0))</f>
        <v>379379000</v>
      </c>
      <c r="R12" s="384">
        <v>379379000</v>
      </c>
      <c r="S12" s="384"/>
      <c r="T12" s="384"/>
      <c r="U12" s="232">
        <f>SUM('PER BULAN'!J246:L246)</f>
        <v>0</v>
      </c>
      <c r="V12" s="232">
        <f>SUM('PER BULAN'!M246:O246)</f>
        <v>31515000</v>
      </c>
      <c r="W12" s="232">
        <f>SUM('PER BULAN'!P246:R246)</f>
        <v>24572000</v>
      </c>
      <c r="X12" s="232">
        <f>SUM('PER BULAN'!S246:U246)</f>
        <v>27330000</v>
      </c>
      <c r="Y12" s="232">
        <f>SUM('PER BULAN'!V246:X246)</f>
        <v>26312000</v>
      </c>
      <c r="Z12" s="232">
        <f>SUM('PER BULAN'!Y246:AA246)</f>
        <v>16698000</v>
      </c>
      <c r="AA12" s="232">
        <f>SUM('PER BULAN'!AB246:AD246)</f>
        <v>0</v>
      </c>
      <c r="AB12" s="232">
        <f>SUM('PER BULAN'!AE246:AG246)</f>
        <v>0</v>
      </c>
      <c r="AC12" s="232">
        <f>SUM('PER BULAN'!AH246:AJ246)</f>
        <v>0</v>
      </c>
      <c r="AD12" s="232">
        <f>SUM('PER BULAN'!AK246:AM246)</f>
        <v>0</v>
      </c>
      <c r="AE12" s="232">
        <f>SUM('PER BULAN'!AN246:AP246)</f>
        <v>0</v>
      </c>
      <c r="AF12" s="217">
        <f>SUM('PER BULAN'!AQ246:AS246)</f>
        <v>0</v>
      </c>
      <c r="AG12" s="218" t="s">
        <v>530</v>
      </c>
      <c r="AH12" s="218" t="s">
        <v>576</v>
      </c>
      <c r="AI12" s="218" t="s">
        <v>546</v>
      </c>
      <c r="AJ12" s="218">
        <v>51</v>
      </c>
      <c r="AK12" s="218" t="s">
        <v>3892</v>
      </c>
      <c r="AL12" s="350">
        <f t="shared" si="0"/>
        <v>126427000</v>
      </c>
      <c r="AM12" s="231">
        <f t="shared" si="1"/>
        <v>33.324722770633059</v>
      </c>
      <c r="AN12" s="350">
        <f t="shared" si="2"/>
        <v>252952000</v>
      </c>
      <c r="AO12" s="231">
        <f t="shared" si="3"/>
        <v>66.675277229366941</v>
      </c>
      <c r="AP12" s="218" t="str">
        <f t="shared" si="4"/>
        <v>WA.2378.EBA.994.001.GA.511129</v>
      </c>
      <c r="AQ12" s="218" t="str">
        <f>IF(ISNUMBER(SEARCH("COVID",SP2D_GAJI[[#This Row],[Akun]])),"COVID","Non COVID")</f>
        <v>Non COVID</v>
      </c>
      <c r="AR12"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2" s="383"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2" s="232"/>
      <c r="AU12" s="232"/>
      <c r="AV12" s="232"/>
      <c r="AW12" s="218"/>
      <c r="AX12" s="218"/>
      <c r="AY12" s="218"/>
    </row>
    <row r="13" spans="1:53" x14ac:dyDescent="0.25">
      <c r="A13" s="218" t="s">
        <v>3885</v>
      </c>
      <c r="B13" s="218" t="s">
        <v>3886</v>
      </c>
      <c r="C13" s="218" t="s">
        <v>3912</v>
      </c>
      <c r="D13" s="218" t="s">
        <v>3913</v>
      </c>
      <c r="E13" s="218" t="s">
        <v>197</v>
      </c>
      <c r="F13" s="218" t="s">
        <v>3914</v>
      </c>
      <c r="G13" s="218" t="s">
        <v>3929</v>
      </c>
      <c r="H13" s="218" t="s">
        <v>3930</v>
      </c>
      <c r="I13" s="348">
        <v>994</v>
      </c>
      <c r="J13" s="218" t="s">
        <v>3943</v>
      </c>
      <c r="K13" s="218" t="s">
        <v>501</v>
      </c>
      <c r="L13" s="218" t="s">
        <v>4187</v>
      </c>
      <c r="M13" s="218" t="s">
        <v>1807</v>
      </c>
      <c r="N13" s="218" t="s">
        <v>5543</v>
      </c>
      <c r="O13" s="218">
        <v>511151</v>
      </c>
      <c r="P13" s="218" t="s">
        <v>5541</v>
      </c>
      <c r="Q13" s="165" cm="1">
        <f t="array" ref="Q13">SUM(_xlfn._xlws.FILTER(DIPA2[PaguRevisi],DIPA2[Akun]=SP2D_GAJI[[#This Row],[Kode Akun]],0))</f>
        <v>88360000</v>
      </c>
      <c r="R13" s="384">
        <v>88360000</v>
      </c>
      <c r="S13" s="384"/>
      <c r="T13" s="384"/>
      <c r="U13" s="232">
        <f>SUM('PER BULAN'!J247:L247)</f>
        <v>5545000</v>
      </c>
      <c r="V13" s="232">
        <f>SUM('PER BULAN'!M247:O247)</f>
        <v>5545000</v>
      </c>
      <c r="W13" s="232">
        <f>SUM('PER BULAN'!P247:R247)</f>
        <v>5735000</v>
      </c>
      <c r="X13" s="232">
        <f>SUM('PER BULAN'!S247:U247)</f>
        <v>11070000</v>
      </c>
      <c r="Y13" s="232">
        <f>SUM('PER BULAN'!V247:X247)</f>
        <v>5535000</v>
      </c>
      <c r="Z13" s="232">
        <f>SUM('PER BULAN'!Y247:AA247)</f>
        <v>5535000</v>
      </c>
      <c r="AA13" s="232">
        <f>SUM('PER BULAN'!AB247:AD247)</f>
        <v>0</v>
      </c>
      <c r="AB13" s="232">
        <f>SUM('PER BULAN'!AE247:AG247)</f>
        <v>0</v>
      </c>
      <c r="AC13" s="232">
        <f>SUM('PER BULAN'!AH247:AJ247)</f>
        <v>0</v>
      </c>
      <c r="AD13" s="232">
        <f>SUM('PER BULAN'!AK247:AM247)</f>
        <v>0</v>
      </c>
      <c r="AE13" s="232">
        <f>SUM('PER BULAN'!AN247:AP247)</f>
        <v>0</v>
      </c>
      <c r="AF13" s="217">
        <f>SUM('PER BULAN'!AQ247:AS247)</f>
        <v>0</v>
      </c>
      <c r="AG13" s="218" t="s">
        <v>530</v>
      </c>
      <c r="AH13" s="218" t="s">
        <v>576</v>
      </c>
      <c r="AI13" s="218" t="s">
        <v>546</v>
      </c>
      <c r="AJ13" s="218">
        <v>51</v>
      </c>
      <c r="AK13" s="218" t="s">
        <v>3892</v>
      </c>
      <c r="AL13" s="350">
        <f t="shared" si="0"/>
        <v>38965000</v>
      </c>
      <c r="AM13" s="231">
        <f t="shared" si="1"/>
        <v>44.098008148483473</v>
      </c>
      <c r="AN13" s="350">
        <f t="shared" si="2"/>
        <v>49395000</v>
      </c>
      <c r="AO13" s="231">
        <f t="shared" si="3"/>
        <v>55.90199185151652</v>
      </c>
      <c r="AP13" s="218" t="str">
        <f t="shared" si="4"/>
        <v>WA.2378.EBA.994.001.GA.511151</v>
      </c>
      <c r="AQ13" s="218" t="str">
        <f>IF(ISNUMBER(SEARCH("COVID",SP2D_GAJI[[#This Row],[Akun]])),"COVID","Non COVID")</f>
        <v>Non COVID</v>
      </c>
      <c r="AR13"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3" s="383"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3" s="232"/>
      <c r="AU13" s="232"/>
      <c r="AV13" s="232"/>
      <c r="AW13" s="218"/>
      <c r="AX13" s="218"/>
      <c r="AY13" s="218"/>
    </row>
    <row r="14" spans="1:53" x14ac:dyDescent="0.25">
      <c r="A14" s="218" t="s">
        <v>3885</v>
      </c>
      <c r="B14" s="218" t="s">
        <v>3886</v>
      </c>
      <c r="C14" s="218" t="s">
        <v>3912</v>
      </c>
      <c r="D14" s="218" t="s">
        <v>3913</v>
      </c>
      <c r="E14" s="218" t="s">
        <v>197</v>
      </c>
      <c r="F14" s="218" t="s">
        <v>3914</v>
      </c>
      <c r="G14" s="218" t="s">
        <v>3929</v>
      </c>
      <c r="H14" s="218" t="s">
        <v>3930</v>
      </c>
      <c r="I14" s="348">
        <v>994</v>
      </c>
      <c r="J14" s="218" t="s">
        <v>3943</v>
      </c>
      <c r="K14" s="218" t="s">
        <v>501</v>
      </c>
      <c r="L14" s="218" t="s">
        <v>4187</v>
      </c>
      <c r="M14" s="218" t="s">
        <v>1807</v>
      </c>
      <c r="N14" s="218" t="s">
        <v>5543</v>
      </c>
      <c r="O14" s="218">
        <v>512411</v>
      </c>
      <c r="P14" s="218" t="s">
        <v>5542</v>
      </c>
      <c r="Q14" s="165" cm="1">
        <f t="array" ref="Q14">SUM(_xlfn._xlws.FILTER(DIPA2[PaguRevisi],DIPA2[Akun]=SP2D_GAJI[[#This Row],[Kode Akun]],0))</f>
        <v>2635488000</v>
      </c>
      <c r="R14" s="384">
        <v>2635488000</v>
      </c>
      <c r="S14" s="384"/>
      <c r="T14" s="384"/>
      <c r="U14" s="232">
        <f>SUM('PER BULAN'!J248:L248)</f>
        <v>0</v>
      </c>
      <c r="V14" s="232">
        <f>SUM('PER BULAN'!M248:O248)</f>
        <v>233065910</v>
      </c>
      <c r="W14" s="232">
        <f>SUM('PER BULAN'!P248:R248)</f>
        <v>245174765</v>
      </c>
      <c r="X14" s="232">
        <f>SUM('PER BULAN'!S248:U248)</f>
        <v>361130227</v>
      </c>
      <c r="Y14" s="232">
        <f>SUM('PER BULAN'!V248:X248)</f>
        <v>243208345</v>
      </c>
      <c r="Z14" s="232">
        <f>SUM('PER BULAN'!Y248:AA248)</f>
        <v>242093442</v>
      </c>
      <c r="AA14" s="232">
        <f>SUM('PER BULAN'!AB248:AD248)</f>
        <v>0</v>
      </c>
      <c r="AB14" s="232">
        <f>SUM('PER BULAN'!AE248:AG248)</f>
        <v>0</v>
      </c>
      <c r="AC14" s="232">
        <f>SUM('PER BULAN'!AH248:AJ248)</f>
        <v>0</v>
      </c>
      <c r="AD14" s="232">
        <f>SUM('PER BULAN'!AK248:AM248)</f>
        <v>0</v>
      </c>
      <c r="AE14" s="232">
        <f>SUM('PER BULAN'!AN248:AP248)</f>
        <v>0</v>
      </c>
      <c r="AF14" s="217">
        <f>SUM('PER BULAN'!AQ248:AS248)</f>
        <v>0</v>
      </c>
      <c r="AG14" s="218" t="s">
        <v>530</v>
      </c>
      <c r="AH14" s="218" t="s">
        <v>576</v>
      </c>
      <c r="AI14" s="218" t="s">
        <v>546</v>
      </c>
      <c r="AJ14" s="218">
        <v>51</v>
      </c>
      <c r="AK14" s="218" t="s">
        <v>3892</v>
      </c>
      <c r="AL14" s="350">
        <f t="shared" si="0"/>
        <v>1324672689</v>
      </c>
      <c r="AM14" s="231">
        <f t="shared" si="1"/>
        <v>50.262899660328564</v>
      </c>
      <c r="AN14" s="350">
        <f t="shared" si="2"/>
        <v>1310815311</v>
      </c>
      <c r="AO14" s="231">
        <f t="shared" si="3"/>
        <v>49.737100339671436</v>
      </c>
      <c r="AP14" s="218" t="str">
        <f t="shared" si="4"/>
        <v>WA.2378.EBA.994.001.GA.512411</v>
      </c>
      <c r="AQ14" s="218" t="str">
        <f>IF(ISNUMBER(SEARCH("COVID",SP2D_GAJI[[#This Row],[Akun]])),"COVID","Non COVID")</f>
        <v>Non COVID</v>
      </c>
      <c r="AR14"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4" s="383"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4" s="232"/>
      <c r="AU14" s="232"/>
      <c r="AV14" s="232"/>
      <c r="AW14" s="218"/>
      <c r="AX14" s="218"/>
      <c r="AY14" s="218"/>
    </row>
    <row r="15" spans="1:53" x14ac:dyDescent="0.25">
      <c r="A15" s="411" t="s">
        <v>3885</v>
      </c>
      <c r="B15" s="411" t="s">
        <v>3886</v>
      </c>
      <c r="C15" s="411" t="s">
        <v>3912</v>
      </c>
      <c r="D15" s="411" t="s">
        <v>3913</v>
      </c>
      <c r="E15" s="411" t="s">
        <v>197</v>
      </c>
      <c r="F15" s="411" t="s">
        <v>3914</v>
      </c>
      <c r="G15" s="411" t="s">
        <v>3929</v>
      </c>
      <c r="H15" s="411" t="s">
        <v>3930</v>
      </c>
      <c r="I15" s="411">
        <v>994</v>
      </c>
      <c r="J15" s="411" t="s">
        <v>3943</v>
      </c>
      <c r="K15" s="411" t="s">
        <v>501</v>
      </c>
      <c r="L15" s="411" t="s">
        <v>4187</v>
      </c>
      <c r="M15" s="411" t="s">
        <v>2208</v>
      </c>
      <c r="N15" s="411" t="s">
        <v>5579</v>
      </c>
      <c r="O15" s="411">
        <v>512411</v>
      </c>
      <c r="P15" s="411" t="s">
        <v>5542</v>
      </c>
      <c r="Q15" s="412" cm="1">
        <f t="array" ref="Q15">SUM(_xlfn._xlws.FILTER(DIPA2[PaguRevisi],DIPA2[Akun]=SP2D_GAJI[[#This Row],[Kode Akun]],0))</f>
        <v>0</v>
      </c>
      <c r="R15" s="413">
        <v>323949000</v>
      </c>
      <c r="S15" s="413">
        <v>323949000</v>
      </c>
      <c r="T15" s="413"/>
      <c r="U15" s="414">
        <f>SUM('PER BULAN'!J249:L249)</f>
        <v>0</v>
      </c>
      <c r="V15" s="414">
        <f>SUM('PER BULAN'!M249:O249)</f>
        <v>0</v>
      </c>
      <c r="W15" s="414">
        <f>SUM('PER BULAN'!P249:R249)</f>
        <v>0</v>
      </c>
      <c r="X15" s="414">
        <f>SUM('PER BULAN'!S249:U249)</f>
        <v>0</v>
      </c>
      <c r="Y15" s="414">
        <f>SUM('PER BULAN'!V249:X249)</f>
        <v>0</v>
      </c>
      <c r="Z15" s="414">
        <f>SUM('PER BULAN'!Y249:AA249)</f>
        <v>0</v>
      </c>
      <c r="AA15" s="414">
        <f>SUM('PER BULAN'!AB249:AD249)</f>
        <v>0</v>
      </c>
      <c r="AB15" s="414">
        <f>SUM('PER BULAN'!AE249:AG249)</f>
        <v>0</v>
      </c>
      <c r="AC15" s="414">
        <f>SUM('PER BULAN'!AH249:AJ249)</f>
        <v>0</v>
      </c>
      <c r="AD15" s="414">
        <f>SUM('PER BULAN'!AK249:AM249)</f>
        <v>0</v>
      </c>
      <c r="AE15" s="414">
        <f>SUM('PER BULAN'!AN249:AP249)</f>
        <v>0</v>
      </c>
      <c r="AF15" s="415">
        <f>SUM('PER BULAN'!AQ249:AS249)</f>
        <v>0</v>
      </c>
      <c r="AG15" s="411"/>
      <c r="AH15" s="411"/>
      <c r="AI15" s="411"/>
      <c r="AJ15" s="411"/>
      <c r="AK15" s="411"/>
      <c r="AL15" s="416">
        <f>SUM(U15:AF15)</f>
        <v>0</v>
      </c>
      <c r="AM15" s="417">
        <f>IFERROR(AL15/Q15*100,0)</f>
        <v>0</v>
      </c>
      <c r="AN15" s="416">
        <f>Q15-AL15</f>
        <v>0</v>
      </c>
      <c r="AO15" s="417">
        <f>IFERROR(AN15/Q15*100,0)</f>
        <v>0</v>
      </c>
      <c r="AP15" s="418" t="str">
        <f>_xlfn.TEXTJOIN(".",TRUE,C15,E15,G15,I15,K15,M15,O15)</f>
        <v>WA.2378.EBA.994.001.GB.512411</v>
      </c>
      <c r="AQ15" s="418" t="str">
        <f>IF(ISNUMBER(SEARCH("COVID",SP2D_GAJI[[#This Row],[Akun]])),"COVID","Non COVID")</f>
        <v>Non COVID</v>
      </c>
      <c r="AR15" s="4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5" s="41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5" s="414"/>
      <c r="AU15" s="414"/>
      <c r="AV15" s="414"/>
      <c r="AW15" s="411"/>
      <c r="AX15" s="411"/>
      <c r="AY15" s="411"/>
      <c r="AZ15" s="227"/>
      <c r="BA15" s="227"/>
    </row>
  </sheetData>
  <phoneticPr fontId="26" type="noConversion"/>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L267"/>
  <sheetViews>
    <sheetView showGridLines="0" zoomScale="70" zoomScaleNormal="70" workbookViewId="0">
      <pane xSplit="3" ySplit="14" topLeftCell="X99" activePane="bottomRight" state="frozen"/>
      <selection pane="topRight" activeCell="D1" sqref="D1"/>
      <selection pane="bottomLeft" activeCell="A15" sqref="A15"/>
      <selection pane="bottomRight" activeCell="Y112" sqref="Y112"/>
    </sheetView>
  </sheetViews>
  <sheetFormatPr defaultRowHeight="15" x14ac:dyDescent="0.25"/>
  <cols>
    <col min="1" max="1" width="8.7109375" customWidth="1"/>
    <col min="2" max="2" width="16.28515625" customWidth="1"/>
    <col min="3" max="3" width="62.42578125" customWidth="1"/>
    <col min="4" max="4" width="9.140625" customWidth="1"/>
    <col min="5" max="5" width="10.140625" customWidth="1"/>
    <col min="6" max="9" width="17.42578125" customWidth="1"/>
    <col min="10" max="10" width="13.42578125" customWidth="1"/>
    <col min="11" max="11" width="15.42578125" customWidth="1"/>
    <col min="12" max="12" width="16.42578125" customWidth="1"/>
    <col min="13" max="13" width="13.42578125" customWidth="1"/>
    <col min="14" max="15" width="10.7109375" customWidth="1"/>
    <col min="16" max="16" width="13" customWidth="1"/>
    <col min="17" max="18" width="15.7109375" customWidth="1"/>
    <col min="19" max="19" width="14.28515625" customWidth="1"/>
    <col min="20" max="21" width="11.85546875" customWidth="1"/>
    <col min="22" max="22" width="13" customWidth="1"/>
    <col min="23" max="23" width="15.140625" customWidth="1"/>
    <col min="24" max="24" width="13.28515625" bestFit="1" customWidth="1"/>
    <col min="25" max="25" width="14.85546875" bestFit="1" customWidth="1"/>
    <col min="26" max="26" width="11.85546875" customWidth="1"/>
    <col min="27" max="27" width="12.140625" customWidth="1"/>
    <col min="28" max="28" width="9.140625" customWidth="1"/>
    <col min="29" max="30" width="11.85546875" customWidth="1"/>
    <col min="31" max="31" width="11" customWidth="1"/>
    <col min="32" max="33" width="11.85546875" customWidth="1"/>
    <col min="34" max="34" width="12.85546875" customWidth="1"/>
    <col min="35" max="36" width="11.85546875" customWidth="1"/>
    <col min="37" max="37" width="11.140625" customWidth="1"/>
    <col min="38" max="39" width="11.85546875" customWidth="1"/>
    <col min="40" max="40" width="13" customWidth="1"/>
    <col min="41" max="42" width="11.85546875" customWidth="1"/>
    <col min="43" max="43" width="12.140625" customWidth="1"/>
    <col min="44" max="44" width="11.85546875" customWidth="1"/>
    <col min="45" max="45" width="15" bestFit="1" customWidth="1"/>
    <col min="46" max="46" width="15.85546875" customWidth="1"/>
    <col min="47" max="47" width="7.7109375" customWidth="1"/>
    <col min="48" max="48" width="18.42578125" customWidth="1"/>
    <col min="49" max="49" width="8.5703125" customWidth="1"/>
    <col min="50" max="50" width="28.140625" customWidth="1"/>
    <col min="51" max="51" width="33" customWidth="1"/>
    <col min="52" max="52" width="34.140625" customWidth="1"/>
    <col min="53" max="53" width="11.5703125" customWidth="1"/>
    <col min="54" max="54" width="12.5703125" style="215" customWidth="1"/>
    <col min="55" max="55" width="11.85546875" customWidth="1"/>
    <col min="56" max="56" width="11.85546875" style="215" customWidth="1"/>
    <col min="57" max="57" width="12.7109375" customWidth="1"/>
    <col min="58" max="58" width="15.85546875" customWidth="1"/>
    <col min="59" max="59" width="13.5703125" customWidth="1"/>
    <col min="60" max="60" width="17.85546875" customWidth="1"/>
  </cols>
  <sheetData>
    <row r="4" spans="2:60" x14ac:dyDescent="0.25">
      <c r="B4" s="189" t="s">
        <v>598</v>
      </c>
      <c r="C4" s="189"/>
    </row>
    <row r="5" spans="2:60" x14ac:dyDescent="0.25">
      <c r="B5" s="189" t="s">
        <v>5591</v>
      </c>
      <c r="C5" s="189"/>
    </row>
    <row r="6" spans="2:60" x14ac:dyDescent="0.25">
      <c r="B6" s="189"/>
      <c r="C6" s="189"/>
    </row>
    <row r="7" spans="2:60" x14ac:dyDescent="0.25">
      <c r="B7" s="189" t="s">
        <v>599</v>
      </c>
      <c r="C7" s="189" t="s">
        <v>600</v>
      </c>
    </row>
    <row r="8" spans="2:60" x14ac:dyDescent="0.25">
      <c r="B8" s="189" t="s">
        <v>601</v>
      </c>
      <c r="C8" s="189" t="s">
        <v>602</v>
      </c>
    </row>
    <row r="9" spans="2:60" x14ac:dyDescent="0.25">
      <c r="B9" s="189" t="s">
        <v>603</v>
      </c>
      <c r="C9" s="189" t="s">
        <v>604</v>
      </c>
    </row>
    <row r="10" spans="2:60" x14ac:dyDescent="0.25">
      <c r="B10" s="189" t="s">
        <v>605</v>
      </c>
      <c r="C10" s="189" t="s">
        <v>4003</v>
      </c>
    </row>
    <row r="12" spans="2:60" s="163" customFormat="1" x14ac:dyDescent="0.25">
      <c r="B12" s="245" t="s">
        <v>606</v>
      </c>
      <c r="C12" s="245" t="s">
        <v>607</v>
      </c>
      <c r="D12" s="245" t="s">
        <v>608</v>
      </c>
      <c r="E12" s="245" t="s">
        <v>609</v>
      </c>
      <c r="F12" s="245" t="s">
        <v>5414</v>
      </c>
      <c r="G12" s="344" t="s">
        <v>5415</v>
      </c>
      <c r="H12" s="367" t="s">
        <v>5544</v>
      </c>
      <c r="I12" s="367" t="s">
        <v>5545</v>
      </c>
      <c r="J12" s="458" t="s">
        <v>3827</v>
      </c>
      <c r="K12" s="458"/>
      <c r="L12" s="458"/>
      <c r="M12" s="458" t="s">
        <v>3828</v>
      </c>
      <c r="N12" s="458"/>
      <c r="O12" s="458"/>
      <c r="P12" s="458" t="s">
        <v>3829</v>
      </c>
      <c r="Q12" s="458"/>
      <c r="R12" s="458"/>
      <c r="S12" s="458" t="s">
        <v>3830</v>
      </c>
      <c r="T12" s="458"/>
      <c r="U12" s="458"/>
      <c r="V12" s="458" t="s">
        <v>3831</v>
      </c>
      <c r="W12" s="458"/>
      <c r="X12" s="458"/>
      <c r="Y12" s="458" t="s">
        <v>3832</v>
      </c>
      <c r="Z12" s="458"/>
      <c r="AA12" s="458"/>
      <c r="AB12" s="458" t="s">
        <v>3833</v>
      </c>
      <c r="AC12" s="458"/>
      <c r="AD12" s="458"/>
      <c r="AE12" s="458" t="s">
        <v>3834</v>
      </c>
      <c r="AF12" s="458"/>
      <c r="AG12" s="458"/>
      <c r="AH12" s="458" t="s">
        <v>3835</v>
      </c>
      <c r="AI12" s="458"/>
      <c r="AJ12" s="458"/>
      <c r="AK12" s="458" t="s">
        <v>3836</v>
      </c>
      <c r="AL12" s="458"/>
      <c r="AM12" s="458"/>
      <c r="AN12" s="458" t="s">
        <v>3837</v>
      </c>
      <c r="AO12" s="458"/>
      <c r="AP12" s="458"/>
      <c r="AQ12" s="458" t="s">
        <v>3838</v>
      </c>
      <c r="AR12" s="458"/>
      <c r="AS12" s="458"/>
      <c r="AT12" s="460" t="s">
        <v>3845</v>
      </c>
      <c r="AU12" s="461" t="s">
        <v>3846</v>
      </c>
      <c r="AV12" s="459" t="s">
        <v>3847</v>
      </c>
      <c r="AW12" s="459" t="s">
        <v>3846</v>
      </c>
      <c r="AX12" s="244" t="s">
        <v>4017</v>
      </c>
      <c r="AY12" s="244" t="s">
        <v>500</v>
      </c>
      <c r="AZ12" s="244" t="s">
        <v>4001</v>
      </c>
      <c r="BA12" s="243" t="s">
        <v>4016</v>
      </c>
      <c r="BB12" s="243"/>
      <c r="BC12" s="243"/>
      <c r="BD12" s="243"/>
      <c r="BE12" s="243"/>
      <c r="BF12" s="243"/>
      <c r="BG12" s="243"/>
      <c r="BH12" s="243"/>
    </row>
    <row r="13" spans="2:60" x14ac:dyDescent="0.25">
      <c r="B13" s="245"/>
      <c r="C13" s="245"/>
      <c r="D13" s="245"/>
      <c r="E13" s="245"/>
      <c r="F13" s="245"/>
      <c r="G13" s="344"/>
      <c r="H13" s="367"/>
      <c r="I13" s="367"/>
      <c r="J13" s="246" t="s">
        <v>3841</v>
      </c>
      <c r="K13" s="246" t="s">
        <v>3839</v>
      </c>
      <c r="L13" s="246" t="s">
        <v>3840</v>
      </c>
      <c r="M13" s="246" t="s">
        <v>3841</v>
      </c>
      <c r="N13" s="246" t="s">
        <v>3839</v>
      </c>
      <c r="O13" s="246" t="s">
        <v>3840</v>
      </c>
      <c r="P13" s="246" t="s">
        <v>3841</v>
      </c>
      <c r="Q13" s="246" t="s">
        <v>3839</v>
      </c>
      <c r="R13" s="246" t="s">
        <v>3840</v>
      </c>
      <c r="S13" s="246" t="s">
        <v>3841</v>
      </c>
      <c r="T13" s="246" t="s">
        <v>3839</v>
      </c>
      <c r="U13" s="246" t="s">
        <v>3840</v>
      </c>
      <c r="V13" s="246" t="s">
        <v>3841</v>
      </c>
      <c r="W13" s="246" t="s">
        <v>3839</v>
      </c>
      <c r="X13" s="246" t="s">
        <v>3840</v>
      </c>
      <c r="Y13" s="246" t="s">
        <v>3841</v>
      </c>
      <c r="Z13" s="246" t="s">
        <v>3839</v>
      </c>
      <c r="AA13" s="246" t="s">
        <v>3840</v>
      </c>
      <c r="AB13" s="246" t="s">
        <v>3841</v>
      </c>
      <c r="AC13" s="246" t="s">
        <v>3839</v>
      </c>
      <c r="AD13" s="246" t="s">
        <v>3840</v>
      </c>
      <c r="AE13" s="246" t="s">
        <v>3841</v>
      </c>
      <c r="AF13" s="246" t="s">
        <v>3839</v>
      </c>
      <c r="AG13" s="246" t="s">
        <v>3840</v>
      </c>
      <c r="AH13" s="246" t="s">
        <v>3841</v>
      </c>
      <c r="AI13" s="246" t="s">
        <v>3839</v>
      </c>
      <c r="AJ13" s="246" t="s">
        <v>3840</v>
      </c>
      <c r="AK13" s="246" t="s">
        <v>3841</v>
      </c>
      <c r="AL13" s="246" t="s">
        <v>3839</v>
      </c>
      <c r="AM13" s="246" t="s">
        <v>3840</v>
      </c>
      <c r="AN13" s="246" t="s">
        <v>3841</v>
      </c>
      <c r="AO13" s="246" t="s">
        <v>3839</v>
      </c>
      <c r="AP13" s="246" t="s">
        <v>3840</v>
      </c>
      <c r="AQ13" s="246" t="s">
        <v>3841</v>
      </c>
      <c r="AR13" s="246" t="s">
        <v>3839</v>
      </c>
      <c r="AS13" s="246" t="s">
        <v>3840</v>
      </c>
      <c r="AT13" s="460"/>
      <c r="AU13" s="461"/>
      <c r="AV13" s="459"/>
      <c r="AW13" s="459"/>
      <c r="AX13" s="244"/>
      <c r="AY13" s="244"/>
      <c r="AZ13" s="244"/>
      <c r="BA13" s="242" t="s">
        <v>4013</v>
      </c>
      <c r="BB13" s="241" t="s">
        <v>4014</v>
      </c>
      <c r="BC13" s="242" t="s">
        <v>4015</v>
      </c>
      <c r="BD13" s="241" t="s">
        <v>4023</v>
      </c>
      <c r="BE13" s="294" t="s">
        <v>4341</v>
      </c>
      <c r="BF13" s="294" t="s">
        <v>4377</v>
      </c>
      <c r="BG13" s="294" t="s">
        <v>4378</v>
      </c>
      <c r="BH13" s="294" t="s">
        <v>4533</v>
      </c>
    </row>
    <row r="14" spans="2:60" x14ac:dyDescent="0.25">
      <c r="B14" s="247" t="s">
        <v>3844</v>
      </c>
      <c r="C14" s="248" t="s">
        <v>613</v>
      </c>
      <c r="D14" s="248"/>
      <c r="E14" s="248"/>
      <c r="F14" s="249">
        <f t="shared" ref="F14:K14" si="0">F15+F60</f>
        <v>11475804000</v>
      </c>
      <c r="G14" s="249">
        <f t="shared" si="0"/>
        <v>16863164000</v>
      </c>
      <c r="H14" s="249">
        <f t="shared" si="0"/>
        <v>100000000</v>
      </c>
      <c r="I14" s="249">
        <f t="shared" si="0"/>
        <v>5387360000</v>
      </c>
      <c r="J14" s="249">
        <f t="shared" si="0"/>
        <v>0</v>
      </c>
      <c r="K14" s="249">
        <f t="shared" si="0"/>
        <v>0</v>
      </c>
      <c r="L14" s="249">
        <f t="shared" ref="L14:AS14" si="1">L15+L60</f>
        <v>0</v>
      </c>
      <c r="M14" s="249">
        <f t="shared" si="1"/>
        <v>74237800</v>
      </c>
      <c r="N14" s="249">
        <f t="shared" si="1"/>
        <v>0</v>
      </c>
      <c r="O14" s="249">
        <f t="shared" si="1"/>
        <v>0</v>
      </c>
      <c r="P14" s="249">
        <f t="shared" si="1"/>
        <v>63640000</v>
      </c>
      <c r="Q14" s="249">
        <f t="shared" si="1"/>
        <v>198137490</v>
      </c>
      <c r="R14" s="249">
        <f t="shared" si="1"/>
        <v>410500187</v>
      </c>
      <c r="S14" s="249">
        <f>S15+S60</f>
        <v>1797433854</v>
      </c>
      <c r="T14" s="249">
        <f t="shared" si="1"/>
        <v>95254996</v>
      </c>
      <c r="U14" s="249">
        <f t="shared" si="1"/>
        <v>0</v>
      </c>
      <c r="V14" s="249">
        <f t="shared" si="1"/>
        <v>759567100</v>
      </c>
      <c r="W14" s="249">
        <f t="shared" si="1"/>
        <v>189278193</v>
      </c>
      <c r="X14" s="249">
        <f t="shared" si="1"/>
        <v>312088731</v>
      </c>
      <c r="Y14" s="249">
        <f t="shared" si="1"/>
        <v>2159625081</v>
      </c>
      <c r="Z14" s="249">
        <f t="shared" si="1"/>
        <v>0</v>
      </c>
      <c r="AA14" s="249">
        <f t="shared" si="1"/>
        <v>7559500</v>
      </c>
      <c r="AB14" s="249">
        <f t="shared" si="1"/>
        <v>0</v>
      </c>
      <c r="AC14" s="249">
        <f t="shared" si="1"/>
        <v>0</v>
      </c>
      <c r="AD14" s="249">
        <f t="shared" si="1"/>
        <v>0</v>
      </c>
      <c r="AE14" s="249">
        <f t="shared" si="1"/>
        <v>0</v>
      </c>
      <c r="AF14" s="249">
        <f t="shared" si="1"/>
        <v>0</v>
      </c>
      <c r="AG14" s="249">
        <f t="shared" si="1"/>
        <v>0</v>
      </c>
      <c r="AH14" s="249">
        <f t="shared" si="1"/>
        <v>0</v>
      </c>
      <c r="AI14" s="249">
        <f t="shared" si="1"/>
        <v>0</v>
      </c>
      <c r="AJ14" s="249">
        <f t="shared" si="1"/>
        <v>0</v>
      </c>
      <c r="AK14" s="249">
        <f t="shared" si="1"/>
        <v>0</v>
      </c>
      <c r="AL14" s="249">
        <f t="shared" si="1"/>
        <v>0</v>
      </c>
      <c r="AM14" s="249">
        <f t="shared" si="1"/>
        <v>0</v>
      </c>
      <c r="AN14" s="249">
        <f t="shared" si="1"/>
        <v>0</v>
      </c>
      <c r="AO14" s="249">
        <f t="shared" si="1"/>
        <v>0</v>
      </c>
      <c r="AP14" s="249">
        <f t="shared" si="1"/>
        <v>0</v>
      </c>
      <c r="AQ14" s="249">
        <f>AQ15+AQ60</f>
        <v>0</v>
      </c>
      <c r="AR14" s="249">
        <f>AR15+AR60</f>
        <v>0</v>
      </c>
      <c r="AS14" s="249">
        <f t="shared" si="1"/>
        <v>0</v>
      </c>
      <c r="AT14" s="249">
        <f>SUM(J14:AS14)</f>
        <v>6067322932</v>
      </c>
      <c r="AU14" s="250">
        <f>IFERROR(AT14/F14*100,0)</f>
        <v>52.870569521752032</v>
      </c>
      <c r="AV14" s="251">
        <f>F14-AT14</f>
        <v>5408481068</v>
      </c>
      <c r="AW14" s="250">
        <f>AV14/F14*100</f>
        <v>47.129430478247976</v>
      </c>
      <c r="AX14" s="164"/>
      <c r="AY14" s="164"/>
      <c r="AZ14" s="164" t="s">
        <v>3921</v>
      </c>
      <c r="BA14" s="249">
        <f>BA15+BA60</f>
        <v>99961115</v>
      </c>
      <c r="BB14" s="249">
        <f>BB15+BB60</f>
        <v>410500187</v>
      </c>
      <c r="BC14" s="249">
        <f>BC15+BC60</f>
        <v>98176375</v>
      </c>
      <c r="BD14" s="249">
        <f>BD15+BD60</f>
        <v>95254996</v>
      </c>
      <c r="BE14" s="249">
        <f t="shared" ref="BE14" si="2">BE15+BE60</f>
        <v>95439616</v>
      </c>
      <c r="BF14" s="249">
        <f t="shared" ref="BF14:BG14" si="3">BF15+BF60</f>
        <v>93838577</v>
      </c>
      <c r="BG14" s="249">
        <f t="shared" si="3"/>
        <v>312088731</v>
      </c>
      <c r="BH14" s="249">
        <f t="shared" ref="BH14" si="4">BH15+BH60</f>
        <v>7559500</v>
      </c>
    </row>
    <row r="15" spans="2:60" x14ac:dyDescent="0.25">
      <c r="B15" s="190" t="s">
        <v>0</v>
      </c>
      <c r="C15" s="191" t="s">
        <v>1</v>
      </c>
      <c r="D15" s="191"/>
      <c r="E15" s="191"/>
      <c r="F15" s="192">
        <f>F16</f>
        <v>1000000000</v>
      </c>
      <c r="G15" s="192">
        <f>G16</f>
        <v>1000000000</v>
      </c>
      <c r="H15" s="192">
        <f>H16</f>
        <v>0</v>
      </c>
      <c r="I15" s="192">
        <f>I16</f>
        <v>0</v>
      </c>
      <c r="J15" s="192">
        <f t="shared" ref="J15:AS17" si="5">J16</f>
        <v>0</v>
      </c>
      <c r="K15" s="192">
        <f t="shared" si="5"/>
        <v>0</v>
      </c>
      <c r="L15" s="192">
        <f t="shared" si="5"/>
        <v>0</v>
      </c>
      <c r="M15" s="192">
        <f t="shared" si="5"/>
        <v>0</v>
      </c>
      <c r="N15" s="192">
        <f t="shared" si="5"/>
        <v>0</v>
      </c>
      <c r="O15" s="192">
        <f t="shared" si="5"/>
        <v>0</v>
      </c>
      <c r="P15" s="192">
        <f t="shared" si="5"/>
        <v>0</v>
      </c>
      <c r="Q15" s="192">
        <f t="shared" si="5"/>
        <v>30802300</v>
      </c>
      <c r="R15" s="192">
        <f t="shared" si="5"/>
        <v>89962700</v>
      </c>
      <c r="S15" s="192">
        <f t="shared" si="5"/>
        <v>34256000</v>
      </c>
      <c r="T15" s="192">
        <f t="shared" si="5"/>
        <v>0</v>
      </c>
      <c r="U15" s="192">
        <f t="shared" si="5"/>
        <v>0</v>
      </c>
      <c r="V15" s="192">
        <f t="shared" si="5"/>
        <v>2180000</v>
      </c>
      <c r="W15" s="192">
        <f t="shared" si="5"/>
        <v>10260100</v>
      </c>
      <c r="X15" s="192">
        <f t="shared" si="5"/>
        <v>76123900</v>
      </c>
      <c r="Y15" s="192">
        <f t="shared" si="5"/>
        <v>124937100</v>
      </c>
      <c r="Z15" s="192">
        <f t="shared" si="5"/>
        <v>0</v>
      </c>
      <c r="AA15" s="192">
        <f t="shared" si="5"/>
        <v>0</v>
      </c>
      <c r="AB15" s="192">
        <f t="shared" si="5"/>
        <v>0</v>
      </c>
      <c r="AC15" s="192">
        <f t="shared" si="5"/>
        <v>0</v>
      </c>
      <c r="AD15" s="192">
        <f t="shared" si="5"/>
        <v>0</v>
      </c>
      <c r="AE15" s="192">
        <f t="shared" si="5"/>
        <v>0</v>
      </c>
      <c r="AF15" s="192">
        <f t="shared" si="5"/>
        <v>0</v>
      </c>
      <c r="AG15" s="192">
        <f t="shared" si="5"/>
        <v>0</v>
      </c>
      <c r="AH15" s="192">
        <f t="shared" si="5"/>
        <v>0</v>
      </c>
      <c r="AI15" s="192">
        <f t="shared" si="5"/>
        <v>0</v>
      </c>
      <c r="AJ15" s="192">
        <f t="shared" si="5"/>
        <v>0</v>
      </c>
      <c r="AK15" s="192">
        <f t="shared" si="5"/>
        <v>0</v>
      </c>
      <c r="AL15" s="192">
        <f t="shared" si="5"/>
        <v>0</v>
      </c>
      <c r="AM15" s="192">
        <f t="shared" si="5"/>
        <v>0</v>
      </c>
      <c r="AN15" s="192">
        <f t="shared" si="5"/>
        <v>0</v>
      </c>
      <c r="AO15" s="192">
        <f t="shared" si="5"/>
        <v>0</v>
      </c>
      <c r="AP15" s="192">
        <f t="shared" si="5"/>
        <v>0</v>
      </c>
      <c r="AQ15" s="192">
        <f t="shared" si="5"/>
        <v>0</v>
      </c>
      <c r="AR15" s="192">
        <f t="shared" si="5"/>
        <v>0</v>
      </c>
      <c r="AS15" s="192">
        <f t="shared" si="5"/>
        <v>0</v>
      </c>
      <c r="AT15" s="192">
        <f>SUM(J15:AS15)</f>
        <v>368522100</v>
      </c>
      <c r="AU15" s="193">
        <f t="shared" ref="AU15:AU78" si="6">IFERROR(AT15/F15*100,0)</f>
        <v>36.852209999999999</v>
      </c>
      <c r="AV15" s="194">
        <f t="shared" ref="AV15:AV78" si="7">F15-AT15</f>
        <v>631477900</v>
      </c>
      <c r="AW15" s="193">
        <f>AV15/F15*100</f>
        <v>63.147790000000001</v>
      </c>
      <c r="AX15" s="164"/>
      <c r="AY15" s="164"/>
      <c r="AZ15" s="164" t="s">
        <v>3921</v>
      </c>
      <c r="BA15" s="192">
        <f t="shared" ref="BA15:BH17" si="8">BA16</f>
        <v>0</v>
      </c>
      <c r="BB15" s="192">
        <f t="shared" si="8"/>
        <v>89962700</v>
      </c>
      <c r="BC15" s="192">
        <f t="shared" si="8"/>
        <v>30802300</v>
      </c>
      <c r="BD15" s="192">
        <f t="shared" si="8"/>
        <v>0</v>
      </c>
      <c r="BE15" s="192">
        <f t="shared" si="8"/>
        <v>1500000</v>
      </c>
      <c r="BF15" s="192">
        <f t="shared" si="8"/>
        <v>8760100</v>
      </c>
      <c r="BG15" s="192">
        <f t="shared" si="8"/>
        <v>76123900</v>
      </c>
      <c r="BH15" s="192">
        <f t="shared" si="8"/>
        <v>0</v>
      </c>
    </row>
    <row r="16" spans="2:60" x14ac:dyDescent="0.25">
      <c r="B16" s="184">
        <v>2376</v>
      </c>
      <c r="C16" s="185" t="s">
        <v>47</v>
      </c>
      <c r="D16" s="185"/>
      <c r="E16" s="185"/>
      <c r="F16" s="186">
        <f t="shared" ref="F16:X17" si="9">F17</f>
        <v>1000000000</v>
      </c>
      <c r="G16" s="186">
        <f t="shared" si="9"/>
        <v>1000000000</v>
      </c>
      <c r="H16" s="186">
        <f t="shared" si="9"/>
        <v>0</v>
      </c>
      <c r="I16" s="186">
        <f t="shared" si="9"/>
        <v>0</v>
      </c>
      <c r="J16" s="186">
        <f t="shared" si="9"/>
        <v>0</v>
      </c>
      <c r="K16" s="186">
        <f t="shared" si="9"/>
        <v>0</v>
      </c>
      <c r="L16" s="186">
        <f t="shared" si="9"/>
        <v>0</v>
      </c>
      <c r="M16" s="186">
        <f t="shared" si="9"/>
        <v>0</v>
      </c>
      <c r="N16" s="186">
        <f t="shared" si="9"/>
        <v>0</v>
      </c>
      <c r="O16" s="186">
        <f t="shared" si="9"/>
        <v>0</v>
      </c>
      <c r="P16" s="186">
        <f t="shared" si="9"/>
        <v>0</v>
      </c>
      <c r="Q16" s="186">
        <f t="shared" si="9"/>
        <v>30802300</v>
      </c>
      <c r="R16" s="186">
        <f t="shared" si="9"/>
        <v>89962700</v>
      </c>
      <c r="S16" s="186">
        <f t="shared" si="9"/>
        <v>34256000</v>
      </c>
      <c r="T16" s="186">
        <f t="shared" si="9"/>
        <v>0</v>
      </c>
      <c r="U16" s="186">
        <f t="shared" si="9"/>
        <v>0</v>
      </c>
      <c r="V16" s="186">
        <f t="shared" si="9"/>
        <v>2180000</v>
      </c>
      <c r="W16" s="186">
        <f t="shared" si="9"/>
        <v>10260100</v>
      </c>
      <c r="X16" s="186">
        <f t="shared" si="9"/>
        <v>76123900</v>
      </c>
      <c r="Y16" s="186">
        <f t="shared" si="5"/>
        <v>124937100</v>
      </c>
      <c r="Z16" s="186">
        <f t="shared" si="5"/>
        <v>0</v>
      </c>
      <c r="AA16" s="186">
        <f t="shared" si="5"/>
        <v>0</v>
      </c>
      <c r="AB16" s="186">
        <f t="shared" si="5"/>
        <v>0</v>
      </c>
      <c r="AC16" s="186">
        <f t="shared" si="5"/>
        <v>0</v>
      </c>
      <c r="AD16" s="186">
        <f t="shared" si="5"/>
        <v>0</v>
      </c>
      <c r="AE16" s="186">
        <f t="shared" si="5"/>
        <v>0</v>
      </c>
      <c r="AF16" s="186">
        <f t="shared" si="5"/>
        <v>0</v>
      </c>
      <c r="AG16" s="186">
        <f t="shared" si="5"/>
        <v>0</v>
      </c>
      <c r="AH16" s="186">
        <f t="shared" si="5"/>
        <v>0</v>
      </c>
      <c r="AI16" s="186">
        <f t="shared" si="5"/>
        <v>0</v>
      </c>
      <c r="AJ16" s="186">
        <f t="shared" si="5"/>
        <v>0</v>
      </c>
      <c r="AK16" s="186">
        <f t="shared" si="5"/>
        <v>0</v>
      </c>
      <c r="AL16" s="186">
        <f t="shared" si="5"/>
        <v>0</v>
      </c>
      <c r="AM16" s="186">
        <f t="shared" si="5"/>
        <v>0</v>
      </c>
      <c r="AN16" s="186">
        <f t="shared" si="5"/>
        <v>0</v>
      </c>
      <c r="AO16" s="186">
        <f t="shared" si="5"/>
        <v>0</v>
      </c>
      <c r="AP16" s="186">
        <f t="shared" si="5"/>
        <v>0</v>
      </c>
      <c r="AQ16" s="186">
        <f t="shared" si="5"/>
        <v>0</v>
      </c>
      <c r="AR16" s="186">
        <f t="shared" si="5"/>
        <v>0</v>
      </c>
      <c r="AS16" s="186">
        <f t="shared" si="5"/>
        <v>0</v>
      </c>
      <c r="AT16" s="186">
        <f>SUM(J16:AS16)</f>
        <v>368522100</v>
      </c>
      <c r="AU16" s="187">
        <f t="shared" si="6"/>
        <v>36.852209999999999</v>
      </c>
      <c r="AV16" s="188">
        <f t="shared" si="7"/>
        <v>631477900</v>
      </c>
      <c r="AW16" s="187">
        <f t="shared" ref="AW16:AW78" si="10">AV16/F16*100</f>
        <v>63.147790000000001</v>
      </c>
      <c r="AX16" s="164"/>
      <c r="AY16" s="164"/>
      <c r="AZ16" s="164" t="s">
        <v>3921</v>
      </c>
      <c r="BA16" s="186">
        <f t="shared" si="8"/>
        <v>0</v>
      </c>
      <c r="BB16" s="186">
        <f t="shared" si="8"/>
        <v>89962700</v>
      </c>
      <c r="BC16" s="186">
        <f t="shared" si="8"/>
        <v>30802300</v>
      </c>
      <c r="BD16" s="186">
        <f t="shared" si="8"/>
        <v>0</v>
      </c>
      <c r="BE16" s="186">
        <f t="shared" si="8"/>
        <v>1500000</v>
      </c>
      <c r="BF16" s="186">
        <f t="shared" si="8"/>
        <v>8760100</v>
      </c>
      <c r="BG16" s="186">
        <f t="shared" si="8"/>
        <v>76123900</v>
      </c>
      <c r="BH16" s="186">
        <f t="shared" si="8"/>
        <v>0</v>
      </c>
    </row>
    <row r="17" spans="2:60" x14ac:dyDescent="0.25">
      <c r="B17" s="180" t="s">
        <v>48</v>
      </c>
      <c r="C17" s="181" t="s">
        <v>615</v>
      </c>
      <c r="D17" s="181">
        <v>4</v>
      </c>
      <c r="E17" s="181" t="s">
        <v>3586</v>
      </c>
      <c r="F17" s="179">
        <f t="shared" si="9"/>
        <v>1000000000</v>
      </c>
      <c r="G17" s="179">
        <f t="shared" si="9"/>
        <v>1000000000</v>
      </c>
      <c r="H17" s="179">
        <f t="shared" si="9"/>
        <v>0</v>
      </c>
      <c r="I17" s="179">
        <f t="shared" si="9"/>
        <v>0</v>
      </c>
      <c r="J17" s="179">
        <f t="shared" si="5"/>
        <v>0</v>
      </c>
      <c r="K17" s="179">
        <f t="shared" si="5"/>
        <v>0</v>
      </c>
      <c r="L17" s="179">
        <f t="shared" si="5"/>
        <v>0</v>
      </c>
      <c r="M17" s="179">
        <f t="shared" si="5"/>
        <v>0</v>
      </c>
      <c r="N17" s="179">
        <f t="shared" si="5"/>
        <v>0</v>
      </c>
      <c r="O17" s="179">
        <f t="shared" si="5"/>
        <v>0</v>
      </c>
      <c r="P17" s="179">
        <f t="shared" si="5"/>
        <v>0</v>
      </c>
      <c r="Q17" s="179">
        <f t="shared" si="5"/>
        <v>30802300</v>
      </c>
      <c r="R17" s="179">
        <f t="shared" si="5"/>
        <v>89962700</v>
      </c>
      <c r="S17" s="179">
        <f t="shared" si="5"/>
        <v>34256000</v>
      </c>
      <c r="T17" s="179">
        <f t="shared" si="5"/>
        <v>0</v>
      </c>
      <c r="U17" s="179">
        <f t="shared" si="5"/>
        <v>0</v>
      </c>
      <c r="V17" s="179">
        <f t="shared" si="5"/>
        <v>2180000</v>
      </c>
      <c r="W17" s="179">
        <f t="shared" si="5"/>
        <v>10260100</v>
      </c>
      <c r="X17" s="179">
        <f t="shared" si="5"/>
        <v>76123900</v>
      </c>
      <c r="Y17" s="179">
        <f t="shared" si="5"/>
        <v>124937100</v>
      </c>
      <c r="Z17" s="179">
        <f t="shared" si="5"/>
        <v>0</v>
      </c>
      <c r="AA17" s="179">
        <f t="shared" si="5"/>
        <v>0</v>
      </c>
      <c r="AB17" s="179">
        <f t="shared" si="5"/>
        <v>0</v>
      </c>
      <c r="AC17" s="179">
        <f t="shared" si="5"/>
        <v>0</v>
      </c>
      <c r="AD17" s="179">
        <f t="shared" si="5"/>
        <v>0</v>
      </c>
      <c r="AE17" s="179">
        <f t="shared" si="5"/>
        <v>0</v>
      </c>
      <c r="AF17" s="179">
        <f t="shared" si="5"/>
        <v>0</v>
      </c>
      <c r="AG17" s="179">
        <f t="shared" si="5"/>
        <v>0</v>
      </c>
      <c r="AH17" s="179">
        <f t="shared" si="5"/>
        <v>0</v>
      </c>
      <c r="AI17" s="179">
        <f t="shared" si="5"/>
        <v>0</v>
      </c>
      <c r="AJ17" s="179">
        <f t="shared" si="5"/>
        <v>0</v>
      </c>
      <c r="AK17" s="179">
        <f t="shared" si="5"/>
        <v>0</v>
      </c>
      <c r="AL17" s="179">
        <f t="shared" si="5"/>
        <v>0</v>
      </c>
      <c r="AM17" s="179">
        <f t="shared" si="5"/>
        <v>0</v>
      </c>
      <c r="AN17" s="179">
        <f t="shared" si="5"/>
        <v>0</v>
      </c>
      <c r="AO17" s="179">
        <f t="shared" si="5"/>
        <v>0</v>
      </c>
      <c r="AP17" s="179">
        <f t="shared" si="5"/>
        <v>0</v>
      </c>
      <c r="AQ17" s="179">
        <f t="shared" si="5"/>
        <v>0</v>
      </c>
      <c r="AR17" s="179">
        <f t="shared" si="5"/>
        <v>0</v>
      </c>
      <c r="AS17" s="179">
        <f t="shared" si="5"/>
        <v>0</v>
      </c>
      <c r="AT17" s="179">
        <f>SUM(J17:AS17)</f>
        <v>368522100</v>
      </c>
      <c r="AU17" s="182">
        <f t="shared" si="6"/>
        <v>36.852209999999999</v>
      </c>
      <c r="AV17" s="183">
        <f t="shared" si="7"/>
        <v>631477900</v>
      </c>
      <c r="AW17" s="182">
        <f>AV17/F17*100</f>
        <v>63.147790000000001</v>
      </c>
      <c r="AX17" s="164"/>
      <c r="AY17" s="164"/>
      <c r="AZ17" s="164" t="s">
        <v>3921</v>
      </c>
      <c r="BA17" s="179">
        <f t="shared" si="8"/>
        <v>0</v>
      </c>
      <c r="BB17" s="179">
        <f t="shared" si="8"/>
        <v>89962700</v>
      </c>
      <c r="BC17" s="179">
        <f t="shared" si="8"/>
        <v>30802300</v>
      </c>
      <c r="BD17" s="179">
        <f t="shared" si="8"/>
        <v>0</v>
      </c>
      <c r="BE17" s="179">
        <f t="shared" si="8"/>
        <v>1500000</v>
      </c>
      <c r="BF17" s="179">
        <f t="shared" si="8"/>
        <v>8760100</v>
      </c>
      <c r="BG17" s="179">
        <f t="shared" si="8"/>
        <v>76123900</v>
      </c>
      <c r="BH17" s="179">
        <f t="shared" si="8"/>
        <v>0</v>
      </c>
    </row>
    <row r="18" spans="2:60" x14ac:dyDescent="0.25">
      <c r="B18" s="170" t="s">
        <v>3600</v>
      </c>
      <c r="C18" s="171" t="s">
        <v>49</v>
      </c>
      <c r="D18" s="171">
        <v>4</v>
      </c>
      <c r="E18" s="171" t="s">
        <v>3586</v>
      </c>
      <c r="F18" s="172">
        <f>F19+F28+F32+F53</f>
        <v>1000000000</v>
      </c>
      <c r="G18" s="172">
        <f>G19+G28+G32+G53</f>
        <v>1000000000</v>
      </c>
      <c r="H18" s="172">
        <f>H19+H28+H32+H53</f>
        <v>0</v>
      </c>
      <c r="I18" s="172">
        <f>I19+I28+I32+I53</f>
        <v>0</v>
      </c>
      <c r="J18" s="172">
        <f t="shared" ref="J18:AS18" si="11">J19+J28+J32+J53</f>
        <v>0</v>
      </c>
      <c r="K18" s="172">
        <f t="shared" si="11"/>
        <v>0</v>
      </c>
      <c r="L18" s="172">
        <f t="shared" si="11"/>
        <v>0</v>
      </c>
      <c r="M18" s="172">
        <f t="shared" si="11"/>
        <v>0</v>
      </c>
      <c r="N18" s="172">
        <f t="shared" si="11"/>
        <v>0</v>
      </c>
      <c r="O18" s="172">
        <f t="shared" si="11"/>
        <v>0</v>
      </c>
      <c r="P18" s="172">
        <f t="shared" si="11"/>
        <v>0</v>
      </c>
      <c r="Q18" s="172">
        <f t="shared" si="11"/>
        <v>30802300</v>
      </c>
      <c r="R18" s="172">
        <f t="shared" si="11"/>
        <v>89962700</v>
      </c>
      <c r="S18" s="172">
        <f t="shared" si="11"/>
        <v>34256000</v>
      </c>
      <c r="T18" s="172">
        <f t="shared" si="11"/>
        <v>0</v>
      </c>
      <c r="U18" s="172">
        <f t="shared" si="11"/>
        <v>0</v>
      </c>
      <c r="V18" s="172">
        <f t="shared" si="11"/>
        <v>2180000</v>
      </c>
      <c r="W18" s="172">
        <f t="shared" si="11"/>
        <v>10260100</v>
      </c>
      <c r="X18" s="172">
        <f t="shared" si="11"/>
        <v>76123900</v>
      </c>
      <c r="Y18" s="172">
        <f t="shared" si="11"/>
        <v>124937100</v>
      </c>
      <c r="Z18" s="172">
        <f t="shared" si="11"/>
        <v>0</v>
      </c>
      <c r="AA18" s="172">
        <f t="shared" si="11"/>
        <v>0</v>
      </c>
      <c r="AB18" s="172">
        <f t="shared" si="11"/>
        <v>0</v>
      </c>
      <c r="AC18" s="172">
        <f t="shared" si="11"/>
        <v>0</v>
      </c>
      <c r="AD18" s="172">
        <f t="shared" si="11"/>
        <v>0</v>
      </c>
      <c r="AE18" s="172">
        <f t="shared" si="11"/>
        <v>0</v>
      </c>
      <c r="AF18" s="172">
        <f t="shared" si="11"/>
        <v>0</v>
      </c>
      <c r="AG18" s="172">
        <f t="shared" si="11"/>
        <v>0</v>
      </c>
      <c r="AH18" s="172">
        <f t="shared" si="11"/>
        <v>0</v>
      </c>
      <c r="AI18" s="172">
        <f t="shared" si="11"/>
        <v>0</v>
      </c>
      <c r="AJ18" s="172">
        <f t="shared" si="11"/>
        <v>0</v>
      </c>
      <c r="AK18" s="172">
        <f t="shared" si="11"/>
        <v>0</v>
      </c>
      <c r="AL18" s="172">
        <f t="shared" si="11"/>
        <v>0</v>
      </c>
      <c r="AM18" s="172">
        <f t="shared" si="11"/>
        <v>0</v>
      </c>
      <c r="AN18" s="172">
        <f t="shared" si="11"/>
        <v>0</v>
      </c>
      <c r="AO18" s="172">
        <f t="shared" si="11"/>
        <v>0</v>
      </c>
      <c r="AP18" s="172">
        <f t="shared" si="11"/>
        <v>0</v>
      </c>
      <c r="AQ18" s="172">
        <f t="shared" si="11"/>
        <v>0</v>
      </c>
      <c r="AR18" s="172">
        <f t="shared" si="11"/>
        <v>0</v>
      </c>
      <c r="AS18" s="172">
        <f t="shared" si="11"/>
        <v>0</v>
      </c>
      <c r="AT18" s="172">
        <f>SUM(J18:AS18)</f>
        <v>368522100</v>
      </c>
      <c r="AU18" s="173">
        <f t="shared" si="6"/>
        <v>36.852209999999999</v>
      </c>
      <c r="AV18" s="174">
        <f t="shared" si="7"/>
        <v>631477900</v>
      </c>
      <c r="AW18" s="173">
        <f t="shared" si="10"/>
        <v>63.147790000000001</v>
      </c>
      <c r="AX18" s="164"/>
      <c r="AY18" s="164"/>
      <c r="AZ18" s="164" t="s">
        <v>3921</v>
      </c>
      <c r="BA18" s="172">
        <f>BA19+BA28+BA32+BA53</f>
        <v>0</v>
      </c>
      <c r="BB18" s="172">
        <f>BB19+BB28+BB32+BB53</f>
        <v>89962700</v>
      </c>
      <c r="BC18" s="172">
        <f>BC19+BC28+BC32+BC53</f>
        <v>30802300</v>
      </c>
      <c r="BD18" s="172">
        <f>BD19+BD28+BD32+BD53</f>
        <v>0</v>
      </c>
      <c r="BE18" s="172">
        <f t="shared" ref="BE18" si="12">BE19+BE28+BE32+BE53</f>
        <v>1500000</v>
      </c>
      <c r="BF18" s="172">
        <f t="shared" ref="BF18:BG18" si="13">BF19+BF28+BF32+BF53</f>
        <v>8760100</v>
      </c>
      <c r="BG18" s="172">
        <f t="shared" si="13"/>
        <v>76123900</v>
      </c>
      <c r="BH18" s="172">
        <f t="shared" ref="BH18" si="14">BH19+BH28+BH32+BH53</f>
        <v>0</v>
      </c>
    </row>
    <row r="19" spans="2:60" x14ac:dyDescent="0.25">
      <c r="B19" s="196" t="s">
        <v>502</v>
      </c>
      <c r="C19" s="197" t="s">
        <v>50</v>
      </c>
      <c r="D19" s="197"/>
      <c r="E19" s="197"/>
      <c r="F19" s="198">
        <f>F20+F24</f>
        <v>124100000</v>
      </c>
      <c r="G19" s="198">
        <f>G20+G24</f>
        <v>124100000</v>
      </c>
      <c r="H19" s="198">
        <f>H20+H24</f>
        <v>0</v>
      </c>
      <c r="I19" s="198">
        <f>I20+I24</f>
        <v>0</v>
      </c>
      <c r="J19" s="198">
        <f t="shared" ref="J19:AS19" si="15">J20+J24</f>
        <v>0</v>
      </c>
      <c r="K19" s="198">
        <f t="shared" si="15"/>
        <v>0</v>
      </c>
      <c r="L19" s="198">
        <f t="shared" si="15"/>
        <v>0</v>
      </c>
      <c r="M19" s="198">
        <f t="shared" si="15"/>
        <v>0</v>
      </c>
      <c r="N19" s="198">
        <f t="shared" si="15"/>
        <v>0</v>
      </c>
      <c r="O19" s="198">
        <f t="shared" si="15"/>
        <v>0</v>
      </c>
      <c r="P19" s="198">
        <f t="shared" si="15"/>
        <v>0</v>
      </c>
      <c r="Q19" s="198">
        <f t="shared" si="15"/>
        <v>6196000</v>
      </c>
      <c r="R19" s="198">
        <f t="shared" si="15"/>
        <v>28225000</v>
      </c>
      <c r="S19" s="198">
        <f t="shared" si="15"/>
        <v>11716000</v>
      </c>
      <c r="T19" s="198">
        <f t="shared" si="15"/>
        <v>0</v>
      </c>
      <c r="U19" s="198">
        <f t="shared" si="15"/>
        <v>0</v>
      </c>
      <c r="V19" s="198">
        <f t="shared" si="15"/>
        <v>0</v>
      </c>
      <c r="W19" s="198">
        <f t="shared" si="15"/>
        <v>3406000</v>
      </c>
      <c r="X19" s="198">
        <f t="shared" si="15"/>
        <v>2965000</v>
      </c>
      <c r="Y19" s="198">
        <f t="shared" si="15"/>
        <v>3010000</v>
      </c>
      <c r="Z19" s="198">
        <f t="shared" si="15"/>
        <v>0</v>
      </c>
      <c r="AA19" s="198">
        <f t="shared" si="15"/>
        <v>0</v>
      </c>
      <c r="AB19" s="198">
        <f t="shared" si="15"/>
        <v>0</v>
      </c>
      <c r="AC19" s="198">
        <f t="shared" si="15"/>
        <v>0</v>
      </c>
      <c r="AD19" s="198">
        <f t="shared" si="15"/>
        <v>0</v>
      </c>
      <c r="AE19" s="198">
        <f t="shared" si="15"/>
        <v>0</v>
      </c>
      <c r="AF19" s="198">
        <f t="shared" si="15"/>
        <v>0</v>
      </c>
      <c r="AG19" s="198">
        <f t="shared" si="15"/>
        <v>0</v>
      </c>
      <c r="AH19" s="198">
        <f t="shared" si="15"/>
        <v>0</v>
      </c>
      <c r="AI19" s="198">
        <f t="shared" si="15"/>
        <v>0</v>
      </c>
      <c r="AJ19" s="198">
        <f t="shared" si="15"/>
        <v>0</v>
      </c>
      <c r="AK19" s="198">
        <f t="shared" si="15"/>
        <v>0</v>
      </c>
      <c r="AL19" s="198">
        <f t="shared" si="15"/>
        <v>0</v>
      </c>
      <c r="AM19" s="198">
        <f t="shared" si="15"/>
        <v>0</v>
      </c>
      <c r="AN19" s="198">
        <f t="shared" si="15"/>
        <v>0</v>
      </c>
      <c r="AO19" s="198">
        <f t="shared" si="15"/>
        <v>0</v>
      </c>
      <c r="AP19" s="198">
        <f t="shared" si="15"/>
        <v>0</v>
      </c>
      <c r="AQ19" s="198">
        <f t="shared" si="15"/>
        <v>0</v>
      </c>
      <c r="AR19" s="198">
        <f t="shared" si="15"/>
        <v>0</v>
      </c>
      <c r="AS19" s="198">
        <f t="shared" si="15"/>
        <v>0</v>
      </c>
      <c r="AT19" s="198">
        <f t="shared" ref="AT19:AT23" si="16">SUM(J19:AS19)</f>
        <v>55518000</v>
      </c>
      <c r="AU19" s="199">
        <f t="shared" si="6"/>
        <v>44.736502820306207</v>
      </c>
      <c r="AV19" s="200">
        <f t="shared" si="7"/>
        <v>68582000</v>
      </c>
      <c r="AW19" s="199">
        <f t="shared" si="10"/>
        <v>55.2634971796938</v>
      </c>
      <c r="AX19" s="164" t="s">
        <v>531</v>
      </c>
      <c r="AY19" s="164" t="s">
        <v>532</v>
      </c>
      <c r="AZ19" s="164" t="s">
        <v>3921</v>
      </c>
      <c r="BA19" s="198">
        <f t="shared" ref="BA19:BB19" si="17">BA20+BA24</f>
        <v>0</v>
      </c>
      <c r="BB19" s="198">
        <f t="shared" si="17"/>
        <v>28225000</v>
      </c>
      <c r="BC19" s="198">
        <f t="shared" ref="BC19:BD19" si="18">BC20+BC24</f>
        <v>6196000</v>
      </c>
      <c r="BD19" s="198">
        <f t="shared" si="18"/>
        <v>0</v>
      </c>
      <c r="BE19" s="198">
        <f t="shared" ref="BE19" si="19">BE20+BE24</f>
        <v>0</v>
      </c>
      <c r="BF19" s="198">
        <f t="shared" ref="BF19:BG19" si="20">BF20+BF24</f>
        <v>3406000</v>
      </c>
      <c r="BG19" s="198">
        <f t="shared" si="20"/>
        <v>2965000</v>
      </c>
      <c r="BH19" s="198">
        <f t="shared" ref="BH19" si="21">BH20+BH24</f>
        <v>0</v>
      </c>
    </row>
    <row r="20" spans="2:60" x14ac:dyDescent="0.25">
      <c r="B20" s="230" t="s">
        <v>8</v>
      </c>
      <c r="C20" s="166" t="s">
        <v>51</v>
      </c>
      <c r="D20" s="166"/>
      <c r="E20" s="166"/>
      <c r="F20" s="167">
        <f>SUM(F21:F23)</f>
        <v>83135000</v>
      </c>
      <c r="G20" s="167">
        <f>SUM(G21:G23)</f>
        <v>83135000</v>
      </c>
      <c r="H20" s="167">
        <f>SUM(H21:H23)</f>
        <v>0</v>
      </c>
      <c r="I20" s="167">
        <f>SUM(I21:I23)</f>
        <v>0</v>
      </c>
      <c r="J20" s="167">
        <f>SUM(J21:J23)</f>
        <v>0</v>
      </c>
      <c r="K20" s="167">
        <f t="shared" ref="K20:AS20" si="22">SUM(K21:K23)</f>
        <v>0</v>
      </c>
      <c r="L20" s="167">
        <f t="shared" si="22"/>
        <v>0</v>
      </c>
      <c r="M20" s="167">
        <f t="shared" si="22"/>
        <v>0</v>
      </c>
      <c r="N20" s="167">
        <f t="shared" si="22"/>
        <v>0</v>
      </c>
      <c r="O20" s="167">
        <f t="shared" si="22"/>
        <v>0</v>
      </c>
      <c r="P20" s="167">
        <f t="shared" si="22"/>
        <v>0</v>
      </c>
      <c r="Q20" s="167">
        <f t="shared" si="22"/>
        <v>1500000</v>
      </c>
      <c r="R20" s="167">
        <f t="shared" si="22"/>
        <v>12840000</v>
      </c>
      <c r="S20" s="167">
        <f t="shared" si="22"/>
        <v>11716000</v>
      </c>
      <c r="T20" s="167">
        <f t="shared" si="22"/>
        <v>0</v>
      </c>
      <c r="U20" s="167">
        <f t="shared" si="22"/>
        <v>0</v>
      </c>
      <c r="V20" s="167">
        <f t="shared" si="22"/>
        <v>0</v>
      </c>
      <c r="W20" s="167">
        <f t="shared" si="22"/>
        <v>3406000</v>
      </c>
      <c r="X20" s="167">
        <f t="shared" si="22"/>
        <v>1485000</v>
      </c>
      <c r="Y20" s="167">
        <f t="shared" si="22"/>
        <v>3010000</v>
      </c>
      <c r="Z20" s="167">
        <f t="shared" si="22"/>
        <v>0</v>
      </c>
      <c r="AA20" s="167">
        <f t="shared" si="22"/>
        <v>0</v>
      </c>
      <c r="AB20" s="167">
        <f t="shared" si="22"/>
        <v>0</v>
      </c>
      <c r="AC20" s="167">
        <f t="shared" si="22"/>
        <v>0</v>
      </c>
      <c r="AD20" s="167">
        <f t="shared" si="22"/>
        <v>0</v>
      </c>
      <c r="AE20" s="167">
        <f t="shared" si="22"/>
        <v>0</v>
      </c>
      <c r="AF20" s="167">
        <f t="shared" si="22"/>
        <v>0</v>
      </c>
      <c r="AG20" s="167">
        <f t="shared" si="22"/>
        <v>0</v>
      </c>
      <c r="AH20" s="167">
        <f t="shared" si="22"/>
        <v>0</v>
      </c>
      <c r="AI20" s="167">
        <f t="shared" si="22"/>
        <v>0</v>
      </c>
      <c r="AJ20" s="167">
        <f t="shared" si="22"/>
        <v>0</v>
      </c>
      <c r="AK20" s="167">
        <f t="shared" si="22"/>
        <v>0</v>
      </c>
      <c r="AL20" s="167">
        <f t="shared" si="22"/>
        <v>0</v>
      </c>
      <c r="AM20" s="167">
        <f t="shared" si="22"/>
        <v>0</v>
      </c>
      <c r="AN20" s="167">
        <f t="shared" si="22"/>
        <v>0</v>
      </c>
      <c r="AO20" s="167">
        <f t="shared" si="22"/>
        <v>0</v>
      </c>
      <c r="AP20" s="167">
        <f t="shared" si="22"/>
        <v>0</v>
      </c>
      <c r="AQ20" s="167">
        <f t="shared" si="22"/>
        <v>0</v>
      </c>
      <c r="AR20" s="167">
        <f t="shared" si="22"/>
        <v>0</v>
      </c>
      <c r="AS20" s="167">
        <f t="shared" si="22"/>
        <v>0</v>
      </c>
      <c r="AT20" s="167">
        <f>SUM(J20:AS20)</f>
        <v>33957000</v>
      </c>
      <c r="AU20" s="175">
        <f t="shared" si="6"/>
        <v>40.845612557887776</v>
      </c>
      <c r="AV20" s="176">
        <f t="shared" si="7"/>
        <v>49178000</v>
      </c>
      <c r="AW20" s="175">
        <f t="shared" si="10"/>
        <v>59.154387442112224</v>
      </c>
      <c r="AX20" s="164" t="s">
        <v>531</v>
      </c>
      <c r="AY20" s="164" t="s">
        <v>532</v>
      </c>
      <c r="AZ20" s="164" t="s">
        <v>3921</v>
      </c>
      <c r="BA20" s="167">
        <f>SUM(BA21:BA23)</f>
        <v>0</v>
      </c>
      <c r="BB20" s="167">
        <f>SUM(BB21:BB23)</f>
        <v>12840000</v>
      </c>
      <c r="BC20" s="167">
        <f>SUM(BC21:BC23)</f>
        <v>1500000</v>
      </c>
      <c r="BD20" s="167">
        <f>SUM(BD21:BD23)</f>
        <v>0</v>
      </c>
      <c r="BE20" s="167">
        <f t="shared" ref="BE20" si="23">SUM(BE21:BE23)</f>
        <v>0</v>
      </c>
      <c r="BF20" s="167">
        <f t="shared" ref="BF20:BG20" si="24">SUM(BF21:BF23)</f>
        <v>3406000</v>
      </c>
      <c r="BG20" s="167">
        <f t="shared" si="24"/>
        <v>1485000</v>
      </c>
      <c r="BH20" s="167">
        <f t="shared" ref="BH20" si="25">SUM(BH21:BH23)</f>
        <v>0</v>
      </c>
    </row>
    <row r="21" spans="2:60" x14ac:dyDescent="0.25">
      <c r="B21" s="228">
        <v>521211</v>
      </c>
      <c r="C21" s="164" t="s">
        <v>7</v>
      </c>
      <c r="D21" s="164"/>
      <c r="E21" s="164"/>
      <c r="F21" s="165">
        <v>19875000</v>
      </c>
      <c r="G21" s="165">
        <v>19875000</v>
      </c>
      <c r="H21" s="165"/>
      <c r="I21" s="165">
        <f>G21-F21</f>
        <v>0</v>
      </c>
      <c r="J21" s="165"/>
      <c r="K21" s="165"/>
      <c r="L21" s="165"/>
      <c r="M21" s="165"/>
      <c r="N21" s="165"/>
      <c r="O21" s="165"/>
      <c r="P21" s="165"/>
      <c r="Q21" s="240">
        <v>1500000</v>
      </c>
      <c r="R21" s="240">
        <v>990000</v>
      </c>
      <c r="S21" s="165"/>
      <c r="T21" s="165"/>
      <c r="U21" s="165"/>
      <c r="V21" s="165"/>
      <c r="W21" s="165">
        <v>1606000</v>
      </c>
      <c r="X21" s="165">
        <v>1485000</v>
      </c>
      <c r="Y21" s="165"/>
      <c r="Z21" s="165"/>
      <c r="AA21" s="165"/>
      <c r="AB21" s="165"/>
      <c r="AC21" s="165"/>
      <c r="AD21" s="165"/>
      <c r="AE21" s="165"/>
      <c r="AF21" s="165"/>
      <c r="AG21" s="165"/>
      <c r="AH21" s="165"/>
      <c r="AI21" s="165"/>
      <c r="AJ21" s="165"/>
      <c r="AK21" s="165"/>
      <c r="AL21" s="165"/>
      <c r="AM21" s="165"/>
      <c r="AN21" s="165"/>
      <c r="AO21" s="165"/>
      <c r="AP21" s="165"/>
      <c r="AQ21" s="165"/>
      <c r="AR21" s="165"/>
      <c r="AS21" s="165"/>
      <c r="AT21" s="165">
        <f t="shared" si="16"/>
        <v>5581000</v>
      </c>
      <c r="AU21" s="168">
        <f t="shared" si="6"/>
        <v>28.080503144654088</v>
      </c>
      <c r="AV21" s="169">
        <f t="shared" si="7"/>
        <v>14294000</v>
      </c>
      <c r="AW21" s="168">
        <f t="shared" si="10"/>
        <v>71.919496855345912</v>
      </c>
      <c r="AX21" s="164" t="s">
        <v>531</v>
      </c>
      <c r="AY21" s="164" t="s">
        <v>532</v>
      </c>
      <c r="AZ21" s="164" t="s">
        <v>3921</v>
      </c>
      <c r="BA21" s="165"/>
      <c r="BB21" s="240">
        <v>990000</v>
      </c>
      <c r="BC21" s="240">
        <v>1500000</v>
      </c>
      <c r="BD21" s="165"/>
      <c r="BE21" s="165"/>
      <c r="BF21" s="165">
        <v>1606000</v>
      </c>
      <c r="BG21" s="165">
        <v>1485000</v>
      </c>
      <c r="BH21" s="165"/>
    </row>
    <row r="22" spans="2:60" x14ac:dyDescent="0.25">
      <c r="B22" s="228">
        <v>522151</v>
      </c>
      <c r="C22" s="164" t="s">
        <v>11</v>
      </c>
      <c r="D22" s="164"/>
      <c r="E22" s="164"/>
      <c r="F22" s="165">
        <v>20000000</v>
      </c>
      <c r="G22" s="165">
        <v>20000000</v>
      </c>
      <c r="H22" s="165"/>
      <c r="I22" s="165">
        <f t="shared" ref="I22:I23" si="26">G22-F22</f>
        <v>0</v>
      </c>
      <c r="J22" s="165"/>
      <c r="K22" s="165"/>
      <c r="L22" s="165"/>
      <c r="M22" s="165"/>
      <c r="N22" s="165"/>
      <c r="O22" s="165"/>
      <c r="P22" s="165"/>
      <c r="Q22" s="165"/>
      <c r="R22" s="240">
        <v>900000</v>
      </c>
      <c r="S22" s="165"/>
      <c r="T22" s="165"/>
      <c r="U22" s="165"/>
      <c r="V22" s="165"/>
      <c r="W22" s="165"/>
      <c r="X22" s="165"/>
      <c r="Y22" s="165">
        <v>1200000</v>
      </c>
      <c r="Z22" s="165"/>
      <c r="AA22" s="165"/>
      <c r="AB22" s="165"/>
      <c r="AC22" s="165"/>
      <c r="AD22" s="165"/>
      <c r="AE22" s="165"/>
      <c r="AF22" s="165"/>
      <c r="AG22" s="165"/>
      <c r="AH22" s="165"/>
      <c r="AI22" s="165"/>
      <c r="AJ22" s="165"/>
      <c r="AK22" s="165"/>
      <c r="AL22" s="165"/>
      <c r="AM22" s="165"/>
      <c r="AN22" s="165"/>
      <c r="AO22" s="165"/>
      <c r="AP22" s="165"/>
      <c r="AQ22" s="165"/>
      <c r="AR22" s="165"/>
      <c r="AS22" s="165"/>
      <c r="AT22" s="165">
        <f t="shared" si="16"/>
        <v>2100000</v>
      </c>
      <c r="AU22" s="168">
        <f t="shared" si="6"/>
        <v>10.5</v>
      </c>
      <c r="AV22" s="169">
        <f t="shared" si="7"/>
        <v>17900000</v>
      </c>
      <c r="AW22" s="168">
        <f t="shared" si="10"/>
        <v>89.5</v>
      </c>
      <c r="AX22" s="164" t="s">
        <v>531</v>
      </c>
      <c r="AY22" s="164" t="s">
        <v>532</v>
      </c>
      <c r="AZ22" s="164" t="s">
        <v>3921</v>
      </c>
      <c r="BA22" s="165"/>
      <c r="BB22" s="240">
        <v>900000</v>
      </c>
      <c r="BC22" s="240"/>
      <c r="BD22" s="165"/>
      <c r="BE22" s="165"/>
      <c r="BF22" s="165"/>
      <c r="BG22" s="165"/>
      <c r="BH22" s="165"/>
    </row>
    <row r="23" spans="2:60" x14ac:dyDescent="0.25">
      <c r="B23" s="228">
        <v>524111</v>
      </c>
      <c r="C23" s="164" t="s">
        <v>19</v>
      </c>
      <c r="D23" s="164"/>
      <c r="E23" s="164"/>
      <c r="F23" s="165">
        <v>43260000</v>
      </c>
      <c r="G23" s="165">
        <v>43260000</v>
      </c>
      <c r="H23" s="165"/>
      <c r="I23" s="165">
        <f t="shared" si="26"/>
        <v>0</v>
      </c>
      <c r="J23" s="165"/>
      <c r="K23" s="165"/>
      <c r="L23" s="165"/>
      <c r="M23" s="165"/>
      <c r="N23" s="165"/>
      <c r="O23" s="165"/>
      <c r="P23" s="165"/>
      <c r="Q23" s="165"/>
      <c r="R23" s="240">
        <v>10950000</v>
      </c>
      <c r="S23" s="165">
        <f>6060000+5656000</f>
        <v>11716000</v>
      </c>
      <c r="T23" s="165"/>
      <c r="U23" s="165"/>
      <c r="V23" s="165"/>
      <c r="W23" s="165">
        <v>1800000</v>
      </c>
      <c r="X23" s="165"/>
      <c r="Y23" s="165">
        <v>1810000</v>
      </c>
      <c r="Z23" s="165"/>
      <c r="AA23" s="165"/>
      <c r="AB23" s="165"/>
      <c r="AC23" s="165"/>
      <c r="AD23" s="165"/>
      <c r="AE23" s="165"/>
      <c r="AF23" s="165"/>
      <c r="AG23" s="165"/>
      <c r="AH23" s="165"/>
      <c r="AI23" s="165"/>
      <c r="AJ23" s="165"/>
      <c r="AK23" s="165"/>
      <c r="AL23" s="165"/>
      <c r="AM23" s="165"/>
      <c r="AN23" s="165"/>
      <c r="AO23" s="165"/>
      <c r="AP23" s="165"/>
      <c r="AQ23" s="165"/>
      <c r="AR23" s="165"/>
      <c r="AS23" s="165"/>
      <c r="AT23" s="165">
        <f t="shared" si="16"/>
        <v>26276000</v>
      </c>
      <c r="AU23" s="168">
        <f t="shared" si="6"/>
        <v>60.739713361072589</v>
      </c>
      <c r="AV23" s="169">
        <f t="shared" si="7"/>
        <v>16984000</v>
      </c>
      <c r="AW23" s="168">
        <f t="shared" si="10"/>
        <v>39.260286638927418</v>
      </c>
      <c r="AX23" s="164" t="s">
        <v>531</v>
      </c>
      <c r="AY23" s="164" t="s">
        <v>532</v>
      </c>
      <c r="AZ23" s="164" t="s">
        <v>3921</v>
      </c>
      <c r="BA23" s="165"/>
      <c r="BB23" s="240">
        <v>10950000</v>
      </c>
      <c r="BC23" s="240"/>
      <c r="BD23" s="165"/>
      <c r="BE23" s="165"/>
      <c r="BF23" s="165">
        <v>1800000</v>
      </c>
      <c r="BG23" s="165"/>
      <c r="BH23" s="165"/>
    </row>
    <row r="24" spans="2:60" x14ac:dyDescent="0.25">
      <c r="B24" s="230" t="s">
        <v>511</v>
      </c>
      <c r="C24" s="166" t="s">
        <v>55</v>
      </c>
      <c r="D24" s="166"/>
      <c r="E24" s="166"/>
      <c r="F24" s="167">
        <f>SUM(F25:F27)</f>
        <v>40965000</v>
      </c>
      <c r="G24" s="167">
        <f>SUM(G25:G27)</f>
        <v>40965000</v>
      </c>
      <c r="H24" s="167">
        <f>SUM(H25:H27)</f>
        <v>0</v>
      </c>
      <c r="I24" s="167">
        <f>SUM(I25:I27)</f>
        <v>0</v>
      </c>
      <c r="J24" s="167">
        <f t="shared" ref="J24:AS24" si="27">SUM(J25:J27)</f>
        <v>0</v>
      </c>
      <c r="K24" s="167">
        <f t="shared" si="27"/>
        <v>0</v>
      </c>
      <c r="L24" s="167">
        <f t="shared" si="27"/>
        <v>0</v>
      </c>
      <c r="M24" s="167">
        <f t="shared" si="27"/>
        <v>0</v>
      </c>
      <c r="N24" s="167">
        <f t="shared" si="27"/>
        <v>0</v>
      </c>
      <c r="O24" s="167">
        <f t="shared" si="27"/>
        <v>0</v>
      </c>
      <c r="P24" s="167">
        <f t="shared" si="27"/>
        <v>0</v>
      </c>
      <c r="Q24" s="167">
        <f t="shared" si="27"/>
        <v>4696000</v>
      </c>
      <c r="R24" s="167">
        <f t="shared" si="27"/>
        <v>15385000</v>
      </c>
      <c r="S24" s="167">
        <f t="shared" si="27"/>
        <v>0</v>
      </c>
      <c r="T24" s="167">
        <f t="shared" si="27"/>
        <v>0</v>
      </c>
      <c r="U24" s="167">
        <f t="shared" si="27"/>
        <v>0</v>
      </c>
      <c r="V24" s="167">
        <f t="shared" si="27"/>
        <v>0</v>
      </c>
      <c r="W24" s="167">
        <f t="shared" si="27"/>
        <v>0</v>
      </c>
      <c r="X24" s="167">
        <f t="shared" si="27"/>
        <v>1480000</v>
      </c>
      <c r="Y24" s="167">
        <f t="shared" si="27"/>
        <v>0</v>
      </c>
      <c r="Z24" s="167">
        <f t="shared" si="27"/>
        <v>0</v>
      </c>
      <c r="AA24" s="167">
        <f t="shared" si="27"/>
        <v>0</v>
      </c>
      <c r="AB24" s="167">
        <f t="shared" si="27"/>
        <v>0</v>
      </c>
      <c r="AC24" s="167">
        <f t="shared" si="27"/>
        <v>0</v>
      </c>
      <c r="AD24" s="167">
        <f t="shared" si="27"/>
        <v>0</v>
      </c>
      <c r="AE24" s="167">
        <f t="shared" si="27"/>
        <v>0</v>
      </c>
      <c r="AF24" s="167">
        <f t="shared" si="27"/>
        <v>0</v>
      </c>
      <c r="AG24" s="167">
        <f t="shared" si="27"/>
        <v>0</v>
      </c>
      <c r="AH24" s="167">
        <f t="shared" si="27"/>
        <v>0</v>
      </c>
      <c r="AI24" s="167">
        <f t="shared" si="27"/>
        <v>0</v>
      </c>
      <c r="AJ24" s="167">
        <f t="shared" si="27"/>
        <v>0</v>
      </c>
      <c r="AK24" s="167">
        <f t="shared" si="27"/>
        <v>0</v>
      </c>
      <c r="AL24" s="167">
        <f t="shared" si="27"/>
        <v>0</v>
      </c>
      <c r="AM24" s="167">
        <f t="shared" si="27"/>
        <v>0</v>
      </c>
      <c r="AN24" s="167">
        <f t="shared" si="27"/>
        <v>0</v>
      </c>
      <c r="AO24" s="167">
        <f t="shared" si="27"/>
        <v>0</v>
      </c>
      <c r="AP24" s="167">
        <f t="shared" si="27"/>
        <v>0</v>
      </c>
      <c r="AQ24" s="167">
        <f t="shared" si="27"/>
        <v>0</v>
      </c>
      <c r="AR24" s="167">
        <f t="shared" si="27"/>
        <v>0</v>
      </c>
      <c r="AS24" s="167">
        <f t="shared" si="27"/>
        <v>0</v>
      </c>
      <c r="AT24" s="167">
        <f>SUM(J24:AS24)</f>
        <v>21561000</v>
      </c>
      <c r="AU24" s="175">
        <f t="shared" si="6"/>
        <v>52.632735261808861</v>
      </c>
      <c r="AV24" s="176">
        <f t="shared" si="7"/>
        <v>19404000</v>
      </c>
      <c r="AW24" s="175">
        <f t="shared" si="10"/>
        <v>47.367264738191139</v>
      </c>
      <c r="AX24" s="164" t="s">
        <v>531</v>
      </c>
      <c r="AY24" s="164" t="s">
        <v>532</v>
      </c>
      <c r="AZ24" s="164" t="s">
        <v>3921</v>
      </c>
      <c r="BA24" s="167">
        <f t="shared" ref="BA24:BD24" si="28">SUM(BA25:BA27)</f>
        <v>0</v>
      </c>
      <c r="BB24" s="167">
        <f t="shared" si="28"/>
        <v>15385000</v>
      </c>
      <c r="BC24" s="167">
        <f t="shared" si="28"/>
        <v>4696000</v>
      </c>
      <c r="BD24" s="167">
        <f t="shared" si="28"/>
        <v>0</v>
      </c>
      <c r="BE24" s="167">
        <f t="shared" ref="BE24" si="29">SUM(BE25:BE27)</f>
        <v>0</v>
      </c>
      <c r="BF24" s="167">
        <f t="shared" ref="BF24:BG24" si="30">SUM(BF25:BF27)</f>
        <v>0</v>
      </c>
      <c r="BG24" s="167">
        <f t="shared" si="30"/>
        <v>1480000</v>
      </c>
      <c r="BH24" s="167">
        <f t="shared" ref="BH24" si="31">SUM(BH25:BH27)</f>
        <v>0</v>
      </c>
    </row>
    <row r="25" spans="2:60" x14ac:dyDescent="0.25">
      <c r="B25" s="228">
        <v>521211</v>
      </c>
      <c r="C25" s="164" t="s">
        <v>7</v>
      </c>
      <c r="D25" s="164"/>
      <c r="E25" s="164"/>
      <c r="F25" s="165">
        <v>19500000</v>
      </c>
      <c r="G25" s="165">
        <v>19500000</v>
      </c>
      <c r="H25" s="165"/>
      <c r="I25" s="165">
        <f t="shared" ref="I25:I27" si="32">G25-F25</f>
        <v>0</v>
      </c>
      <c r="J25" s="165"/>
      <c r="K25" s="165"/>
      <c r="L25" s="165"/>
      <c r="M25" s="165"/>
      <c r="N25" s="165"/>
      <c r="O25" s="165"/>
      <c r="P25" s="165"/>
      <c r="Q25" s="240">
        <v>1036000</v>
      </c>
      <c r="R25" s="240">
        <v>1525000</v>
      </c>
      <c r="S25" s="165"/>
      <c r="T25" s="165"/>
      <c r="U25" s="165"/>
      <c r="V25" s="165"/>
      <c r="W25" s="165"/>
      <c r="X25" s="165">
        <v>1480000</v>
      </c>
      <c r="Y25" s="165"/>
      <c r="Z25" s="165"/>
      <c r="AA25" s="165"/>
      <c r="AB25" s="165"/>
      <c r="AC25" s="165"/>
      <c r="AD25" s="165"/>
      <c r="AE25" s="165"/>
      <c r="AF25" s="165"/>
      <c r="AG25" s="165"/>
      <c r="AH25" s="165"/>
      <c r="AI25" s="165"/>
      <c r="AJ25" s="165"/>
      <c r="AK25" s="165"/>
      <c r="AL25" s="165"/>
      <c r="AM25" s="165"/>
      <c r="AN25" s="165"/>
      <c r="AO25" s="165"/>
      <c r="AP25" s="165"/>
      <c r="AQ25" s="165"/>
      <c r="AR25" s="165"/>
      <c r="AS25" s="165"/>
      <c r="AT25" s="165">
        <f t="shared" ref="AT25:AT78" si="33">SUM(J25:AS25)</f>
        <v>4041000</v>
      </c>
      <c r="AU25" s="168">
        <f t="shared" si="6"/>
        <v>20.723076923076921</v>
      </c>
      <c r="AV25" s="169">
        <f t="shared" si="7"/>
        <v>15459000</v>
      </c>
      <c r="AW25" s="168">
        <f t="shared" si="10"/>
        <v>79.276923076923083</v>
      </c>
      <c r="AX25" s="164" t="s">
        <v>531</v>
      </c>
      <c r="AY25" s="164" t="s">
        <v>532</v>
      </c>
      <c r="AZ25" s="164" t="s">
        <v>3921</v>
      </c>
      <c r="BA25" s="165"/>
      <c r="BB25" s="240">
        <v>1525000</v>
      </c>
      <c r="BC25" s="240">
        <v>1036000</v>
      </c>
      <c r="BD25" s="165"/>
      <c r="BE25" s="165"/>
      <c r="BF25" s="165"/>
      <c r="BG25" s="165">
        <v>1480000</v>
      </c>
      <c r="BH25" s="165"/>
    </row>
    <row r="26" spans="2:60" x14ac:dyDescent="0.25">
      <c r="B26" s="228">
        <v>522151</v>
      </c>
      <c r="C26" s="164" t="s">
        <v>11</v>
      </c>
      <c r="D26" s="164"/>
      <c r="E26" s="164"/>
      <c r="F26" s="165">
        <v>4000000</v>
      </c>
      <c r="G26" s="165">
        <v>4000000</v>
      </c>
      <c r="H26" s="165"/>
      <c r="I26" s="165">
        <f t="shared" si="32"/>
        <v>0</v>
      </c>
      <c r="J26" s="165"/>
      <c r="K26" s="165"/>
      <c r="L26" s="165"/>
      <c r="M26" s="165"/>
      <c r="N26" s="165"/>
      <c r="O26" s="165"/>
      <c r="P26" s="165"/>
      <c r="Q26" s="240"/>
      <c r="R26" s="240">
        <v>900000</v>
      </c>
      <c r="S26" s="165"/>
      <c r="T26" s="165"/>
      <c r="U26" s="165"/>
      <c r="V26" s="165"/>
      <c r="W26" s="165"/>
      <c r="X26" s="165"/>
      <c r="Y26" s="165"/>
      <c r="Z26" s="165"/>
      <c r="AA26" s="165"/>
      <c r="AB26" s="165"/>
      <c r="AC26" s="165"/>
      <c r="AD26" s="165"/>
      <c r="AE26" s="165"/>
      <c r="AF26" s="165"/>
      <c r="AG26" s="165"/>
      <c r="AH26" s="165"/>
      <c r="AI26" s="165"/>
      <c r="AJ26" s="165"/>
      <c r="AK26" s="165"/>
      <c r="AL26" s="165"/>
      <c r="AM26" s="165"/>
      <c r="AN26" s="165"/>
      <c r="AO26" s="165"/>
      <c r="AP26" s="165"/>
      <c r="AQ26" s="165"/>
      <c r="AR26" s="165"/>
      <c r="AS26" s="165"/>
      <c r="AT26" s="165">
        <f t="shared" si="33"/>
        <v>900000</v>
      </c>
      <c r="AU26" s="168">
        <f t="shared" si="6"/>
        <v>22.5</v>
      </c>
      <c r="AV26" s="169">
        <f t="shared" si="7"/>
        <v>3100000</v>
      </c>
      <c r="AW26" s="168">
        <f t="shared" si="10"/>
        <v>77.5</v>
      </c>
      <c r="AX26" s="164" t="s">
        <v>531</v>
      </c>
      <c r="AY26" s="164" t="s">
        <v>532</v>
      </c>
      <c r="AZ26" s="164" t="s">
        <v>3921</v>
      </c>
      <c r="BA26" s="165"/>
      <c r="BB26" s="240">
        <v>900000</v>
      </c>
      <c r="BC26" s="240"/>
      <c r="BD26" s="165"/>
      <c r="BE26" s="165"/>
      <c r="BF26" s="165"/>
      <c r="BG26" s="165"/>
      <c r="BH26" s="165"/>
    </row>
    <row r="27" spans="2:60" x14ac:dyDescent="0.25">
      <c r="B27" s="228">
        <v>524111</v>
      </c>
      <c r="C27" s="164" t="s">
        <v>19</v>
      </c>
      <c r="D27" s="164"/>
      <c r="E27" s="164"/>
      <c r="F27" s="165">
        <v>17465000</v>
      </c>
      <c r="G27" s="165">
        <v>17465000</v>
      </c>
      <c r="H27" s="165"/>
      <c r="I27" s="165">
        <f t="shared" si="32"/>
        <v>0</v>
      </c>
      <c r="J27" s="165"/>
      <c r="K27" s="165"/>
      <c r="L27" s="165"/>
      <c r="M27" s="165"/>
      <c r="N27" s="165"/>
      <c r="O27" s="165"/>
      <c r="P27" s="165"/>
      <c r="Q27" s="240">
        <v>3660000</v>
      </c>
      <c r="R27" s="240">
        <v>12960000</v>
      </c>
      <c r="S27" s="165"/>
      <c r="T27" s="165"/>
      <c r="U27" s="165"/>
      <c r="V27" s="165"/>
      <c r="W27" s="165"/>
      <c r="X27" s="165"/>
      <c r="Y27" s="165"/>
      <c r="Z27" s="165"/>
      <c r="AA27" s="165"/>
      <c r="AB27" s="165"/>
      <c r="AC27" s="165"/>
      <c r="AD27" s="165"/>
      <c r="AE27" s="165"/>
      <c r="AF27" s="165"/>
      <c r="AG27" s="165"/>
      <c r="AH27" s="165"/>
      <c r="AI27" s="165"/>
      <c r="AJ27" s="165"/>
      <c r="AK27" s="165"/>
      <c r="AL27" s="165"/>
      <c r="AM27" s="165"/>
      <c r="AN27" s="165"/>
      <c r="AO27" s="165"/>
      <c r="AP27" s="165"/>
      <c r="AQ27" s="165"/>
      <c r="AR27" s="165"/>
      <c r="AS27" s="165"/>
      <c r="AT27" s="165">
        <f t="shared" si="33"/>
        <v>16620000</v>
      </c>
      <c r="AU27" s="168">
        <f t="shared" si="6"/>
        <v>95.161752075579727</v>
      </c>
      <c r="AV27" s="169">
        <f t="shared" si="7"/>
        <v>845000</v>
      </c>
      <c r="AW27" s="168">
        <f t="shared" si="10"/>
        <v>4.8382479244202692</v>
      </c>
      <c r="AX27" s="164" t="s">
        <v>531</v>
      </c>
      <c r="AY27" s="164" t="s">
        <v>532</v>
      </c>
      <c r="AZ27" s="164" t="s">
        <v>3921</v>
      </c>
      <c r="BA27" s="165"/>
      <c r="BB27" s="240">
        <v>12960000</v>
      </c>
      <c r="BC27" s="240">
        <v>3660000</v>
      </c>
      <c r="BD27" s="165"/>
      <c r="BE27" s="165"/>
      <c r="BF27" s="165"/>
      <c r="BG27" s="165"/>
      <c r="BH27" s="165"/>
    </row>
    <row r="28" spans="2:60" x14ac:dyDescent="0.25">
      <c r="B28" s="196" t="s">
        <v>520</v>
      </c>
      <c r="C28" s="197" t="s">
        <v>57</v>
      </c>
      <c r="D28" s="197"/>
      <c r="E28" s="197"/>
      <c r="F28" s="198">
        <f>F29</f>
        <v>54500000</v>
      </c>
      <c r="G28" s="198">
        <f>G29</f>
        <v>54500000</v>
      </c>
      <c r="H28" s="198">
        <f>H29</f>
        <v>0</v>
      </c>
      <c r="I28" s="198">
        <f>I29</f>
        <v>0</v>
      </c>
      <c r="J28" s="198">
        <f t="shared" ref="J28:AR28" si="34">J29</f>
        <v>0</v>
      </c>
      <c r="K28" s="198">
        <f t="shared" si="34"/>
        <v>0</v>
      </c>
      <c r="L28" s="198">
        <f t="shared" si="34"/>
        <v>0</v>
      </c>
      <c r="M28" s="198">
        <f t="shared" si="34"/>
        <v>0</v>
      </c>
      <c r="N28" s="198">
        <f t="shared" si="34"/>
        <v>0</v>
      </c>
      <c r="O28" s="198">
        <f t="shared" si="34"/>
        <v>0</v>
      </c>
      <c r="P28" s="198">
        <f t="shared" si="34"/>
        <v>0</v>
      </c>
      <c r="Q28" s="198">
        <f t="shared" si="34"/>
        <v>2700000</v>
      </c>
      <c r="R28" s="198">
        <f t="shared" si="34"/>
        <v>3540000</v>
      </c>
      <c r="S28" s="198">
        <f t="shared" si="34"/>
        <v>2840000</v>
      </c>
      <c r="T28" s="198">
        <f t="shared" si="34"/>
        <v>0</v>
      </c>
      <c r="U28" s="198">
        <f t="shared" si="34"/>
        <v>0</v>
      </c>
      <c r="V28" s="198">
        <f t="shared" si="34"/>
        <v>1250000</v>
      </c>
      <c r="W28" s="198">
        <f t="shared" si="34"/>
        <v>4280000</v>
      </c>
      <c r="X28" s="198">
        <f t="shared" si="34"/>
        <v>9244500</v>
      </c>
      <c r="Y28" s="198">
        <f t="shared" si="34"/>
        <v>360000</v>
      </c>
      <c r="Z28" s="198">
        <f t="shared" si="34"/>
        <v>0</v>
      </c>
      <c r="AA28" s="198">
        <f t="shared" si="34"/>
        <v>0</v>
      </c>
      <c r="AB28" s="198">
        <f t="shared" si="34"/>
        <v>0</v>
      </c>
      <c r="AC28" s="198">
        <f t="shared" si="34"/>
        <v>0</v>
      </c>
      <c r="AD28" s="198">
        <f t="shared" si="34"/>
        <v>0</v>
      </c>
      <c r="AE28" s="198">
        <f t="shared" si="34"/>
        <v>0</v>
      </c>
      <c r="AF28" s="198">
        <f t="shared" si="34"/>
        <v>0</v>
      </c>
      <c r="AG28" s="198">
        <f t="shared" si="34"/>
        <v>0</v>
      </c>
      <c r="AH28" s="198">
        <f t="shared" si="34"/>
        <v>0</v>
      </c>
      <c r="AI28" s="198">
        <f t="shared" si="34"/>
        <v>0</v>
      </c>
      <c r="AJ28" s="198">
        <f t="shared" si="34"/>
        <v>0</v>
      </c>
      <c r="AK28" s="198">
        <f t="shared" si="34"/>
        <v>0</v>
      </c>
      <c r="AL28" s="198">
        <f t="shared" si="34"/>
        <v>0</v>
      </c>
      <c r="AM28" s="198">
        <f t="shared" si="34"/>
        <v>0</v>
      </c>
      <c r="AN28" s="198">
        <f t="shared" si="34"/>
        <v>0</v>
      </c>
      <c r="AO28" s="198">
        <f t="shared" si="34"/>
        <v>0</v>
      </c>
      <c r="AP28" s="198">
        <f t="shared" si="34"/>
        <v>0</v>
      </c>
      <c r="AQ28" s="198">
        <f t="shared" si="34"/>
        <v>0</v>
      </c>
      <c r="AR28" s="198">
        <f t="shared" si="34"/>
        <v>0</v>
      </c>
      <c r="AS28" s="198">
        <f>AS29</f>
        <v>0</v>
      </c>
      <c r="AT28" s="198">
        <f>SUM(J28:AS28)</f>
        <v>24214500</v>
      </c>
      <c r="AU28" s="199">
        <f t="shared" si="6"/>
        <v>44.430275229357797</v>
      </c>
      <c r="AV28" s="200">
        <f>F28-AT28</f>
        <v>30285500</v>
      </c>
      <c r="AW28" s="199">
        <f t="shared" si="10"/>
        <v>55.569724770642203</v>
      </c>
      <c r="AX28" s="164" t="s">
        <v>531</v>
      </c>
      <c r="AY28" s="164" t="s">
        <v>534</v>
      </c>
      <c r="AZ28" s="164" t="s">
        <v>3921</v>
      </c>
      <c r="BA28" s="198">
        <f t="shared" ref="BA28:BH28" si="35">BA29</f>
        <v>0</v>
      </c>
      <c r="BB28" s="198">
        <f t="shared" si="35"/>
        <v>3540000</v>
      </c>
      <c r="BC28" s="198">
        <f t="shared" si="35"/>
        <v>2700000</v>
      </c>
      <c r="BD28" s="198">
        <f t="shared" si="35"/>
        <v>0</v>
      </c>
      <c r="BE28" s="198">
        <f t="shared" si="35"/>
        <v>0</v>
      </c>
      <c r="BF28" s="198">
        <f t="shared" si="35"/>
        <v>4280000</v>
      </c>
      <c r="BG28" s="198">
        <f t="shared" si="35"/>
        <v>9244500</v>
      </c>
      <c r="BH28" s="198">
        <f t="shared" si="35"/>
        <v>0</v>
      </c>
    </row>
    <row r="29" spans="2:60" x14ac:dyDescent="0.25">
      <c r="B29" s="230" t="s">
        <v>8</v>
      </c>
      <c r="C29" s="166" t="s">
        <v>59</v>
      </c>
      <c r="D29" s="166"/>
      <c r="E29" s="166"/>
      <c r="F29" s="167">
        <f>SUM(F30:F31)</f>
        <v>54500000</v>
      </c>
      <c r="G29" s="167">
        <f>SUM(G30:G31)</f>
        <v>54500000</v>
      </c>
      <c r="H29" s="167">
        <f>SUM(H30:H31)</f>
        <v>0</v>
      </c>
      <c r="I29" s="167">
        <f>SUM(I30:I31)</f>
        <v>0</v>
      </c>
      <c r="J29" s="167">
        <f t="shared" ref="J29:AS29" si="36">SUM(J30:J31)</f>
        <v>0</v>
      </c>
      <c r="K29" s="167">
        <f t="shared" si="36"/>
        <v>0</v>
      </c>
      <c r="L29" s="167">
        <f t="shared" si="36"/>
        <v>0</v>
      </c>
      <c r="M29" s="167">
        <f t="shared" si="36"/>
        <v>0</v>
      </c>
      <c r="N29" s="167">
        <f t="shared" si="36"/>
        <v>0</v>
      </c>
      <c r="O29" s="167">
        <f t="shared" si="36"/>
        <v>0</v>
      </c>
      <c r="P29" s="167">
        <f t="shared" si="36"/>
        <v>0</v>
      </c>
      <c r="Q29" s="167">
        <f t="shared" si="36"/>
        <v>2700000</v>
      </c>
      <c r="R29" s="167">
        <f t="shared" si="36"/>
        <v>3540000</v>
      </c>
      <c r="S29" s="167">
        <f t="shared" si="36"/>
        <v>2840000</v>
      </c>
      <c r="T29" s="167">
        <f t="shared" si="36"/>
        <v>0</v>
      </c>
      <c r="U29" s="167">
        <f t="shared" si="36"/>
        <v>0</v>
      </c>
      <c r="V29" s="167">
        <f t="shared" si="36"/>
        <v>1250000</v>
      </c>
      <c r="W29" s="167">
        <f t="shared" si="36"/>
        <v>4280000</v>
      </c>
      <c r="X29" s="167">
        <f t="shared" si="36"/>
        <v>9244500</v>
      </c>
      <c r="Y29" s="167">
        <f t="shared" si="36"/>
        <v>360000</v>
      </c>
      <c r="Z29" s="167">
        <f t="shared" si="36"/>
        <v>0</v>
      </c>
      <c r="AA29" s="167">
        <f t="shared" si="36"/>
        <v>0</v>
      </c>
      <c r="AB29" s="167">
        <f t="shared" si="36"/>
        <v>0</v>
      </c>
      <c r="AC29" s="167">
        <f t="shared" si="36"/>
        <v>0</v>
      </c>
      <c r="AD29" s="167">
        <f t="shared" si="36"/>
        <v>0</v>
      </c>
      <c r="AE29" s="167">
        <f t="shared" si="36"/>
        <v>0</v>
      </c>
      <c r="AF29" s="167">
        <f t="shared" si="36"/>
        <v>0</v>
      </c>
      <c r="AG29" s="167">
        <f t="shared" si="36"/>
        <v>0</v>
      </c>
      <c r="AH29" s="167">
        <f t="shared" si="36"/>
        <v>0</v>
      </c>
      <c r="AI29" s="167">
        <f t="shared" si="36"/>
        <v>0</v>
      </c>
      <c r="AJ29" s="167">
        <f t="shared" si="36"/>
        <v>0</v>
      </c>
      <c r="AK29" s="167">
        <f t="shared" si="36"/>
        <v>0</v>
      </c>
      <c r="AL29" s="167">
        <f t="shared" si="36"/>
        <v>0</v>
      </c>
      <c r="AM29" s="167">
        <f t="shared" si="36"/>
        <v>0</v>
      </c>
      <c r="AN29" s="167">
        <f t="shared" si="36"/>
        <v>0</v>
      </c>
      <c r="AO29" s="167">
        <f t="shared" si="36"/>
        <v>0</v>
      </c>
      <c r="AP29" s="167">
        <f t="shared" si="36"/>
        <v>0</v>
      </c>
      <c r="AQ29" s="167">
        <f t="shared" si="36"/>
        <v>0</v>
      </c>
      <c r="AR29" s="167">
        <f t="shared" si="36"/>
        <v>0</v>
      </c>
      <c r="AS29" s="167">
        <f t="shared" si="36"/>
        <v>0</v>
      </c>
      <c r="AT29" s="167">
        <f t="shared" si="33"/>
        <v>24214500</v>
      </c>
      <c r="AU29" s="175">
        <f t="shared" si="6"/>
        <v>44.430275229357797</v>
      </c>
      <c r="AV29" s="176">
        <f t="shared" si="7"/>
        <v>30285500</v>
      </c>
      <c r="AW29" s="175">
        <f t="shared" si="10"/>
        <v>55.569724770642203</v>
      </c>
      <c r="AX29" s="164" t="s">
        <v>531</v>
      </c>
      <c r="AY29" s="164" t="s">
        <v>534</v>
      </c>
      <c r="AZ29" s="164" t="s">
        <v>3921</v>
      </c>
      <c r="BA29" s="167">
        <f t="shared" ref="BA29" si="37">SUM(BA30:BA31)</f>
        <v>0</v>
      </c>
      <c r="BB29" s="167">
        <f t="shared" ref="BB29:BC29" si="38">SUM(BB30:BB31)</f>
        <v>3540000</v>
      </c>
      <c r="BC29" s="167">
        <f t="shared" si="38"/>
        <v>2700000</v>
      </c>
      <c r="BD29" s="167">
        <f t="shared" ref="BD29" si="39">SUM(BD30:BD31)</f>
        <v>0</v>
      </c>
      <c r="BE29" s="167">
        <f t="shared" ref="BE29" si="40">SUM(BE30:BE31)</f>
        <v>0</v>
      </c>
      <c r="BF29" s="167">
        <f t="shared" ref="BF29:BG29" si="41">SUM(BF30:BF31)</f>
        <v>4280000</v>
      </c>
      <c r="BG29" s="167">
        <f t="shared" si="41"/>
        <v>9244500</v>
      </c>
      <c r="BH29" s="167">
        <f t="shared" ref="BH29" si="42">SUM(BH30:BH31)</f>
        <v>0</v>
      </c>
    </row>
    <row r="30" spans="2:60" x14ac:dyDescent="0.25">
      <c r="B30" s="228">
        <v>521211</v>
      </c>
      <c r="C30" s="164" t="s">
        <v>7</v>
      </c>
      <c r="D30" s="164"/>
      <c r="E30" s="164"/>
      <c r="F30" s="165">
        <v>21250000</v>
      </c>
      <c r="G30" s="165">
        <v>21250000</v>
      </c>
      <c r="H30" s="165"/>
      <c r="I30" s="165">
        <f t="shared" ref="I30:I31" si="43">G30-F30</f>
        <v>0</v>
      </c>
      <c r="J30" s="165"/>
      <c r="K30" s="165"/>
      <c r="L30" s="165"/>
      <c r="M30" s="165"/>
      <c r="N30" s="165"/>
      <c r="O30" s="165"/>
      <c r="P30" s="165"/>
      <c r="Q30" s="165"/>
      <c r="R30" s="240">
        <v>2460000</v>
      </c>
      <c r="S30" s="165"/>
      <c r="T30" s="165"/>
      <c r="U30" s="165"/>
      <c r="V30" s="165"/>
      <c r="W30" s="165">
        <v>660000</v>
      </c>
      <c r="X30" s="165"/>
      <c r="Y30" s="165"/>
      <c r="Z30" s="165"/>
      <c r="AA30" s="165"/>
      <c r="AB30" s="165"/>
      <c r="AC30" s="165"/>
      <c r="AD30" s="165"/>
      <c r="AE30" s="165"/>
      <c r="AF30" s="165"/>
      <c r="AG30" s="165"/>
      <c r="AH30" s="165"/>
      <c r="AI30" s="165"/>
      <c r="AJ30" s="165"/>
      <c r="AK30" s="165"/>
      <c r="AL30" s="165"/>
      <c r="AM30" s="165"/>
      <c r="AN30" s="165"/>
      <c r="AO30" s="165"/>
      <c r="AP30" s="165"/>
      <c r="AQ30" s="165"/>
      <c r="AR30" s="165"/>
      <c r="AS30" s="165"/>
      <c r="AT30" s="165">
        <f t="shared" si="33"/>
        <v>3120000</v>
      </c>
      <c r="AU30" s="168">
        <f t="shared" si="6"/>
        <v>14.682352941176472</v>
      </c>
      <c r="AV30" s="169">
        <f>F30-AT30</f>
        <v>18130000</v>
      </c>
      <c r="AW30" s="168">
        <f t="shared" si="10"/>
        <v>85.317647058823525</v>
      </c>
      <c r="AX30" s="164" t="s">
        <v>531</v>
      </c>
      <c r="AY30" s="164" t="s">
        <v>534</v>
      </c>
      <c r="AZ30" s="164" t="s">
        <v>3921</v>
      </c>
      <c r="BA30" s="165"/>
      <c r="BB30" s="240">
        <v>2460000</v>
      </c>
      <c r="BC30" s="240"/>
      <c r="BD30" s="165"/>
      <c r="BE30" s="165"/>
      <c r="BF30" s="165">
        <v>660000</v>
      </c>
      <c r="BG30" s="165"/>
      <c r="BH30" s="165"/>
    </row>
    <row r="31" spans="2:60" x14ac:dyDescent="0.25">
      <c r="B31" s="228">
        <v>524111</v>
      </c>
      <c r="C31" s="164" t="s">
        <v>19</v>
      </c>
      <c r="D31" s="164"/>
      <c r="E31" s="164"/>
      <c r="F31" s="165">
        <v>33250000</v>
      </c>
      <c r="G31" s="165">
        <v>33250000</v>
      </c>
      <c r="H31" s="165"/>
      <c r="I31" s="165">
        <f t="shared" si="43"/>
        <v>0</v>
      </c>
      <c r="J31" s="165"/>
      <c r="K31" s="165"/>
      <c r="L31" s="165"/>
      <c r="M31" s="165"/>
      <c r="N31" s="165"/>
      <c r="O31" s="165"/>
      <c r="P31" s="165"/>
      <c r="Q31" s="240">
        <v>2700000</v>
      </c>
      <c r="R31" s="240">
        <v>1080000</v>
      </c>
      <c r="S31" s="165">
        <f>1800000+1040000</f>
        <v>2840000</v>
      </c>
      <c r="T31" s="165"/>
      <c r="U31" s="165"/>
      <c r="V31" s="165">
        <v>1250000</v>
      </c>
      <c r="W31" s="165">
        <v>3620000</v>
      </c>
      <c r="X31" s="165">
        <v>9244500</v>
      </c>
      <c r="Y31" s="165">
        <v>360000</v>
      </c>
      <c r="Z31" s="165"/>
      <c r="AA31" s="165"/>
      <c r="AB31" s="165"/>
      <c r="AC31" s="165"/>
      <c r="AD31" s="165"/>
      <c r="AE31" s="165"/>
      <c r="AF31" s="165"/>
      <c r="AG31" s="165"/>
      <c r="AH31" s="165"/>
      <c r="AI31" s="165"/>
      <c r="AJ31" s="165"/>
      <c r="AK31" s="165"/>
      <c r="AL31" s="165"/>
      <c r="AM31" s="165"/>
      <c r="AN31" s="165"/>
      <c r="AO31" s="165"/>
      <c r="AP31" s="165"/>
      <c r="AQ31" s="165"/>
      <c r="AR31" s="165"/>
      <c r="AS31" s="165"/>
      <c r="AT31" s="165">
        <f t="shared" si="33"/>
        <v>21094500</v>
      </c>
      <c r="AU31" s="168">
        <f t="shared" si="6"/>
        <v>63.442105263157899</v>
      </c>
      <c r="AV31" s="169">
        <f t="shared" si="7"/>
        <v>12155500</v>
      </c>
      <c r="AW31" s="168">
        <f t="shared" si="10"/>
        <v>36.557894736842108</v>
      </c>
      <c r="AX31" s="164" t="s">
        <v>531</v>
      </c>
      <c r="AY31" s="164" t="s">
        <v>534</v>
      </c>
      <c r="AZ31" s="164" t="s">
        <v>3921</v>
      </c>
      <c r="BA31" s="165"/>
      <c r="BB31" s="240">
        <v>1080000</v>
      </c>
      <c r="BC31" s="240">
        <v>2700000</v>
      </c>
      <c r="BD31" s="165"/>
      <c r="BE31" s="165"/>
      <c r="BF31" s="165">
        <v>3620000</v>
      </c>
      <c r="BG31" s="165">
        <v>9244500</v>
      </c>
      <c r="BH31" s="165"/>
    </row>
    <row r="32" spans="2:60" x14ac:dyDescent="0.25">
      <c r="B32" s="196" t="s">
        <v>523</v>
      </c>
      <c r="C32" s="197" t="s">
        <v>61</v>
      </c>
      <c r="D32" s="197"/>
      <c r="E32" s="197"/>
      <c r="F32" s="198">
        <f>F33+F41+F48</f>
        <v>686300000</v>
      </c>
      <c r="G32" s="198">
        <f>G33+G41+G48</f>
        <v>686300000</v>
      </c>
      <c r="H32" s="198">
        <f>H33+H41+H48</f>
        <v>0</v>
      </c>
      <c r="I32" s="198">
        <f>I33+I41+I48</f>
        <v>0</v>
      </c>
      <c r="J32" s="198">
        <f t="shared" ref="J32:AS32" si="44">J33+J41+J48</f>
        <v>0</v>
      </c>
      <c r="K32" s="198">
        <f t="shared" si="44"/>
        <v>0</v>
      </c>
      <c r="L32" s="198">
        <f t="shared" si="44"/>
        <v>0</v>
      </c>
      <c r="M32" s="198">
        <f t="shared" si="44"/>
        <v>0</v>
      </c>
      <c r="N32" s="198">
        <f t="shared" si="44"/>
        <v>0</v>
      </c>
      <c r="O32" s="198">
        <f t="shared" si="44"/>
        <v>0</v>
      </c>
      <c r="P32" s="198">
        <f t="shared" si="44"/>
        <v>0</v>
      </c>
      <c r="Q32" s="198">
        <f t="shared" si="44"/>
        <v>7572800</v>
      </c>
      <c r="R32" s="198">
        <f t="shared" si="44"/>
        <v>35690450</v>
      </c>
      <c r="S32" s="198">
        <f t="shared" si="44"/>
        <v>6180000</v>
      </c>
      <c r="T32" s="198">
        <f t="shared" si="44"/>
        <v>0</v>
      </c>
      <c r="U32" s="198">
        <f t="shared" si="44"/>
        <v>0</v>
      </c>
      <c r="V32" s="198">
        <f t="shared" si="44"/>
        <v>930000</v>
      </c>
      <c r="W32" s="198">
        <f t="shared" si="44"/>
        <v>1074100</v>
      </c>
      <c r="X32" s="198">
        <f t="shared" si="44"/>
        <v>63914400</v>
      </c>
      <c r="Y32" s="198">
        <f t="shared" si="44"/>
        <v>98818490</v>
      </c>
      <c r="Z32" s="198">
        <f t="shared" si="44"/>
        <v>0</v>
      </c>
      <c r="AA32" s="198">
        <f t="shared" si="44"/>
        <v>0</v>
      </c>
      <c r="AB32" s="198">
        <f t="shared" si="44"/>
        <v>0</v>
      </c>
      <c r="AC32" s="198">
        <f t="shared" si="44"/>
        <v>0</v>
      </c>
      <c r="AD32" s="198">
        <f t="shared" si="44"/>
        <v>0</v>
      </c>
      <c r="AE32" s="198">
        <f t="shared" si="44"/>
        <v>0</v>
      </c>
      <c r="AF32" s="198">
        <f t="shared" si="44"/>
        <v>0</v>
      </c>
      <c r="AG32" s="198">
        <f t="shared" si="44"/>
        <v>0</v>
      </c>
      <c r="AH32" s="198">
        <f t="shared" si="44"/>
        <v>0</v>
      </c>
      <c r="AI32" s="198">
        <f t="shared" si="44"/>
        <v>0</v>
      </c>
      <c r="AJ32" s="198">
        <f t="shared" si="44"/>
        <v>0</v>
      </c>
      <c r="AK32" s="198">
        <f t="shared" si="44"/>
        <v>0</v>
      </c>
      <c r="AL32" s="198">
        <f t="shared" si="44"/>
        <v>0</v>
      </c>
      <c r="AM32" s="198">
        <f t="shared" si="44"/>
        <v>0</v>
      </c>
      <c r="AN32" s="198">
        <f t="shared" si="44"/>
        <v>0</v>
      </c>
      <c r="AO32" s="198">
        <f t="shared" si="44"/>
        <v>0</v>
      </c>
      <c r="AP32" s="198">
        <f t="shared" si="44"/>
        <v>0</v>
      </c>
      <c r="AQ32" s="198">
        <f t="shared" si="44"/>
        <v>0</v>
      </c>
      <c r="AR32" s="198">
        <f t="shared" si="44"/>
        <v>0</v>
      </c>
      <c r="AS32" s="198">
        <f t="shared" si="44"/>
        <v>0</v>
      </c>
      <c r="AT32" s="198">
        <f>SUM(J32:AS32)</f>
        <v>214180240</v>
      </c>
      <c r="AU32" s="199">
        <f t="shared" si="6"/>
        <v>31.207961532857354</v>
      </c>
      <c r="AV32" s="200">
        <f t="shared" si="7"/>
        <v>472119760</v>
      </c>
      <c r="AW32" s="199">
        <f t="shared" si="10"/>
        <v>68.792038467142646</v>
      </c>
      <c r="AX32" s="164" t="s">
        <v>535</v>
      </c>
      <c r="AY32" s="164" t="s">
        <v>536</v>
      </c>
      <c r="AZ32" s="164" t="s">
        <v>3921</v>
      </c>
      <c r="BA32" s="198">
        <f t="shared" ref="BA32" si="45">BA33+BA41+BA48</f>
        <v>0</v>
      </c>
      <c r="BB32" s="198">
        <f t="shared" ref="BB32:BC32" si="46">BB33+BB41+BB48</f>
        <v>35690450</v>
      </c>
      <c r="BC32" s="198">
        <f t="shared" si="46"/>
        <v>7572800</v>
      </c>
      <c r="BD32" s="198">
        <f t="shared" ref="BD32" si="47">BD33+BD41+BD48</f>
        <v>0</v>
      </c>
      <c r="BE32" s="198">
        <f t="shared" ref="BE32" si="48">BE33+BE41+BE48</f>
        <v>0</v>
      </c>
      <c r="BF32" s="198">
        <f t="shared" ref="BF32:BG32" si="49">BF33+BF41+BF48</f>
        <v>1074100</v>
      </c>
      <c r="BG32" s="198">
        <f t="shared" si="49"/>
        <v>63914400</v>
      </c>
      <c r="BH32" s="198">
        <f t="shared" ref="BH32" si="50">BH33+BH41+BH48</f>
        <v>0</v>
      </c>
    </row>
    <row r="33" spans="2:60" x14ac:dyDescent="0.25">
      <c r="B33" s="230" t="s">
        <v>8</v>
      </c>
      <c r="C33" s="166" t="s">
        <v>62</v>
      </c>
      <c r="D33" s="166"/>
      <c r="E33" s="166"/>
      <c r="F33" s="167">
        <f>SUM(F34:F40)</f>
        <v>386924000</v>
      </c>
      <c r="G33" s="167">
        <f>SUM(G34:G40)</f>
        <v>386924000</v>
      </c>
      <c r="H33" s="167">
        <f>SUM(H34:H40)</f>
        <v>0</v>
      </c>
      <c r="I33" s="167">
        <f>SUM(I34:I40)</f>
        <v>0</v>
      </c>
      <c r="J33" s="167">
        <f t="shared" ref="J33:AS33" si="51">SUM(J34:J40)</f>
        <v>0</v>
      </c>
      <c r="K33" s="167">
        <f t="shared" si="51"/>
        <v>0</v>
      </c>
      <c r="L33" s="167">
        <f t="shared" si="51"/>
        <v>0</v>
      </c>
      <c r="M33" s="167">
        <f t="shared" si="51"/>
        <v>0</v>
      </c>
      <c r="N33" s="167">
        <f t="shared" si="51"/>
        <v>0</v>
      </c>
      <c r="O33" s="167">
        <f t="shared" si="51"/>
        <v>0</v>
      </c>
      <c r="P33" s="167">
        <f t="shared" si="51"/>
        <v>0</v>
      </c>
      <c r="Q33" s="167">
        <f t="shared" si="51"/>
        <v>7572800</v>
      </c>
      <c r="R33" s="167">
        <f t="shared" si="51"/>
        <v>16947450</v>
      </c>
      <c r="S33" s="167">
        <f t="shared" si="51"/>
        <v>6180000</v>
      </c>
      <c r="T33" s="167">
        <f t="shared" si="51"/>
        <v>0</v>
      </c>
      <c r="U33" s="167">
        <f t="shared" si="51"/>
        <v>0</v>
      </c>
      <c r="V33" s="167">
        <f t="shared" si="51"/>
        <v>930000</v>
      </c>
      <c r="W33" s="167">
        <f t="shared" si="51"/>
        <v>771250</v>
      </c>
      <c r="X33" s="167">
        <f t="shared" si="51"/>
        <v>3813500</v>
      </c>
      <c r="Y33" s="167">
        <f t="shared" si="51"/>
        <v>22708650</v>
      </c>
      <c r="Z33" s="167">
        <f t="shared" si="51"/>
        <v>0</v>
      </c>
      <c r="AA33" s="167">
        <f t="shared" si="51"/>
        <v>0</v>
      </c>
      <c r="AB33" s="167">
        <f t="shared" si="51"/>
        <v>0</v>
      </c>
      <c r="AC33" s="167">
        <f t="shared" si="51"/>
        <v>0</v>
      </c>
      <c r="AD33" s="167">
        <f t="shared" si="51"/>
        <v>0</v>
      </c>
      <c r="AE33" s="167">
        <f t="shared" si="51"/>
        <v>0</v>
      </c>
      <c r="AF33" s="167">
        <f t="shared" si="51"/>
        <v>0</v>
      </c>
      <c r="AG33" s="167">
        <f t="shared" si="51"/>
        <v>0</v>
      </c>
      <c r="AH33" s="167">
        <f t="shared" si="51"/>
        <v>0</v>
      </c>
      <c r="AI33" s="167">
        <f t="shared" si="51"/>
        <v>0</v>
      </c>
      <c r="AJ33" s="167">
        <f t="shared" si="51"/>
        <v>0</v>
      </c>
      <c r="AK33" s="167">
        <f t="shared" si="51"/>
        <v>0</v>
      </c>
      <c r="AL33" s="167">
        <f t="shared" si="51"/>
        <v>0</v>
      </c>
      <c r="AM33" s="167">
        <f t="shared" si="51"/>
        <v>0</v>
      </c>
      <c r="AN33" s="167">
        <f t="shared" si="51"/>
        <v>0</v>
      </c>
      <c r="AO33" s="167">
        <f t="shared" si="51"/>
        <v>0</v>
      </c>
      <c r="AP33" s="167">
        <f t="shared" si="51"/>
        <v>0</v>
      </c>
      <c r="AQ33" s="167">
        <f t="shared" si="51"/>
        <v>0</v>
      </c>
      <c r="AR33" s="167">
        <f t="shared" si="51"/>
        <v>0</v>
      </c>
      <c r="AS33" s="167">
        <f t="shared" si="51"/>
        <v>0</v>
      </c>
      <c r="AT33" s="167">
        <f t="shared" si="33"/>
        <v>58923650</v>
      </c>
      <c r="AU33" s="175">
        <f t="shared" si="6"/>
        <v>15.228740010958225</v>
      </c>
      <c r="AV33" s="176">
        <f t="shared" si="7"/>
        <v>328000350</v>
      </c>
      <c r="AW33" s="175">
        <f t="shared" si="10"/>
        <v>84.771259989041781</v>
      </c>
      <c r="AX33" s="164" t="s">
        <v>535</v>
      </c>
      <c r="AY33" s="164" t="s">
        <v>536</v>
      </c>
      <c r="AZ33" s="164" t="s">
        <v>3921</v>
      </c>
      <c r="BA33" s="167">
        <f t="shared" ref="BA33" si="52">SUM(BA34:BA40)</f>
        <v>0</v>
      </c>
      <c r="BB33" s="167">
        <f t="shared" ref="BB33:BC33" si="53">SUM(BB34:BB40)</f>
        <v>16947450</v>
      </c>
      <c r="BC33" s="167">
        <f t="shared" si="53"/>
        <v>7572800</v>
      </c>
      <c r="BD33" s="167">
        <f t="shared" ref="BD33" si="54">SUM(BD34:BD40)</f>
        <v>0</v>
      </c>
      <c r="BE33" s="167">
        <f t="shared" ref="BE33" si="55">SUM(BE34:BE40)</f>
        <v>0</v>
      </c>
      <c r="BF33" s="167">
        <f t="shared" ref="BF33:BG33" si="56">SUM(BF34:BF40)</f>
        <v>771250</v>
      </c>
      <c r="BG33" s="167">
        <f t="shared" si="56"/>
        <v>3813500</v>
      </c>
      <c r="BH33" s="167">
        <f t="shared" ref="BH33" si="57">SUM(BH34:BH40)</f>
        <v>0</v>
      </c>
    </row>
    <row r="34" spans="2:60" x14ac:dyDescent="0.25">
      <c r="B34" s="228">
        <v>521211</v>
      </c>
      <c r="C34" s="164" t="s">
        <v>7</v>
      </c>
      <c r="D34" s="164"/>
      <c r="E34" s="164"/>
      <c r="F34" s="165">
        <v>64900000</v>
      </c>
      <c r="G34" s="165">
        <v>64900000</v>
      </c>
      <c r="H34" s="165"/>
      <c r="I34" s="165">
        <f t="shared" ref="I34:I40" si="58">G34-F34</f>
        <v>0</v>
      </c>
      <c r="J34" s="165"/>
      <c r="K34" s="165"/>
      <c r="L34" s="165"/>
      <c r="M34" s="165"/>
      <c r="N34" s="165"/>
      <c r="O34" s="165"/>
      <c r="P34" s="165"/>
      <c r="Q34" s="240">
        <v>1461500</v>
      </c>
      <c r="R34" s="240">
        <v>2871000</v>
      </c>
      <c r="S34" s="165"/>
      <c r="T34" s="165"/>
      <c r="U34" s="165"/>
      <c r="V34" s="165"/>
      <c r="W34" s="165">
        <v>440000</v>
      </c>
      <c r="X34" s="165">
        <v>1422500</v>
      </c>
      <c r="Y34" s="165"/>
      <c r="Z34" s="165"/>
      <c r="AA34" s="165"/>
      <c r="AB34" s="165"/>
      <c r="AC34" s="165"/>
      <c r="AD34" s="165"/>
      <c r="AE34" s="165"/>
      <c r="AF34" s="165"/>
      <c r="AG34" s="165"/>
      <c r="AH34" s="165"/>
      <c r="AI34" s="165"/>
      <c r="AJ34" s="165"/>
      <c r="AK34" s="165"/>
      <c r="AL34" s="165"/>
      <c r="AM34" s="165"/>
      <c r="AN34" s="165"/>
      <c r="AO34" s="165"/>
      <c r="AP34" s="165"/>
      <c r="AQ34" s="165"/>
      <c r="AR34" s="165"/>
      <c r="AS34" s="165"/>
      <c r="AT34" s="165">
        <f t="shared" si="33"/>
        <v>6195000</v>
      </c>
      <c r="AU34" s="168">
        <f t="shared" si="6"/>
        <v>9.5454545454545467</v>
      </c>
      <c r="AV34" s="169">
        <f>F34-AT34</f>
        <v>58705000</v>
      </c>
      <c r="AW34" s="168">
        <f t="shared" si="10"/>
        <v>90.454545454545453</v>
      </c>
      <c r="AX34" s="164" t="s">
        <v>535</v>
      </c>
      <c r="AY34" s="164" t="s">
        <v>536</v>
      </c>
      <c r="AZ34" s="164" t="s">
        <v>3921</v>
      </c>
      <c r="BA34" s="165"/>
      <c r="BB34" s="240">
        <v>2871000</v>
      </c>
      <c r="BC34" s="240">
        <v>1461500</v>
      </c>
      <c r="BD34" s="165"/>
      <c r="BE34" s="165"/>
      <c r="BF34" s="165">
        <v>440000</v>
      </c>
      <c r="BG34" s="165">
        <v>1422500</v>
      </c>
      <c r="BH34" s="165"/>
    </row>
    <row r="35" spans="2:60" x14ac:dyDescent="0.25">
      <c r="B35" s="228">
        <v>521219</v>
      </c>
      <c r="C35" s="164" t="s">
        <v>53</v>
      </c>
      <c r="D35" s="164"/>
      <c r="E35" s="164"/>
      <c r="F35" s="165">
        <v>6000000</v>
      </c>
      <c r="G35" s="165">
        <v>6000000</v>
      </c>
      <c r="H35" s="165"/>
      <c r="I35" s="165">
        <f t="shared" si="58"/>
        <v>0</v>
      </c>
      <c r="J35" s="165"/>
      <c r="K35" s="165"/>
      <c r="L35" s="165"/>
      <c r="M35" s="165"/>
      <c r="N35" s="165"/>
      <c r="O35" s="165"/>
      <c r="P35" s="165"/>
      <c r="Q35" s="240">
        <v>331300</v>
      </c>
      <c r="R35" s="240">
        <v>300450</v>
      </c>
      <c r="S35" s="165"/>
      <c r="T35" s="165"/>
      <c r="U35" s="165"/>
      <c r="V35" s="165"/>
      <c r="W35" s="165">
        <v>331250</v>
      </c>
      <c r="X35" s="165"/>
      <c r="Y35" s="165"/>
      <c r="Z35" s="165"/>
      <c r="AA35" s="165"/>
      <c r="AB35" s="165"/>
      <c r="AC35" s="165"/>
      <c r="AD35" s="165"/>
      <c r="AE35" s="165"/>
      <c r="AF35" s="165"/>
      <c r="AG35" s="165"/>
      <c r="AH35" s="165"/>
      <c r="AI35" s="165"/>
      <c r="AJ35" s="165"/>
      <c r="AK35" s="165"/>
      <c r="AL35" s="165"/>
      <c r="AM35" s="165"/>
      <c r="AN35" s="165"/>
      <c r="AO35" s="165"/>
      <c r="AP35" s="165"/>
      <c r="AQ35" s="165"/>
      <c r="AR35" s="165"/>
      <c r="AS35" s="165"/>
      <c r="AT35" s="165">
        <f t="shared" si="33"/>
        <v>963000</v>
      </c>
      <c r="AU35" s="168">
        <f t="shared" si="6"/>
        <v>16.05</v>
      </c>
      <c r="AV35" s="169">
        <f t="shared" si="7"/>
        <v>5037000</v>
      </c>
      <c r="AW35" s="168">
        <f t="shared" si="10"/>
        <v>83.95</v>
      </c>
      <c r="AX35" s="164" t="s">
        <v>535</v>
      </c>
      <c r="AY35" s="164" t="s">
        <v>536</v>
      </c>
      <c r="AZ35" s="164" t="s">
        <v>3921</v>
      </c>
      <c r="BA35" s="165"/>
      <c r="BB35" s="240">
        <v>300450</v>
      </c>
      <c r="BC35" s="240">
        <v>331300</v>
      </c>
      <c r="BD35" s="165"/>
      <c r="BE35" s="165"/>
      <c r="BF35" s="165">
        <v>331250</v>
      </c>
      <c r="BG35" s="165"/>
      <c r="BH35" s="165"/>
    </row>
    <row r="36" spans="2:60" x14ac:dyDescent="0.25">
      <c r="B36" s="228">
        <v>521811</v>
      </c>
      <c r="C36" s="164" t="s">
        <v>64</v>
      </c>
      <c r="D36" s="164"/>
      <c r="E36" s="164"/>
      <c r="F36" s="165">
        <v>30000000</v>
      </c>
      <c r="G36" s="165">
        <v>30000000</v>
      </c>
      <c r="H36" s="165"/>
      <c r="I36" s="165">
        <f t="shared" si="58"/>
        <v>0</v>
      </c>
      <c r="J36" s="165"/>
      <c r="K36" s="165"/>
      <c r="L36" s="165"/>
      <c r="M36" s="165"/>
      <c r="N36" s="165"/>
      <c r="O36" s="165"/>
      <c r="P36" s="165"/>
      <c r="Q36" s="240">
        <v>2300000</v>
      </c>
      <c r="R36" s="240">
        <v>4846000</v>
      </c>
      <c r="S36" s="165"/>
      <c r="T36" s="165"/>
      <c r="U36" s="165"/>
      <c r="V36" s="165"/>
      <c r="W36" s="165"/>
      <c r="X36" s="165">
        <v>2391000</v>
      </c>
      <c r="Y36" s="165"/>
      <c r="Z36" s="165"/>
      <c r="AA36" s="165"/>
      <c r="AB36" s="165"/>
      <c r="AC36" s="165"/>
      <c r="AD36" s="165"/>
      <c r="AE36" s="165"/>
      <c r="AF36" s="165"/>
      <c r="AG36" s="165"/>
      <c r="AH36" s="165"/>
      <c r="AI36" s="165"/>
      <c r="AJ36" s="165"/>
      <c r="AK36" s="165"/>
      <c r="AL36" s="165"/>
      <c r="AM36" s="165"/>
      <c r="AN36" s="165"/>
      <c r="AO36" s="165"/>
      <c r="AP36" s="165"/>
      <c r="AQ36" s="165"/>
      <c r="AR36" s="165"/>
      <c r="AS36" s="165"/>
      <c r="AT36" s="165">
        <f t="shared" si="33"/>
        <v>9537000</v>
      </c>
      <c r="AU36" s="168">
        <f t="shared" si="6"/>
        <v>31.790000000000003</v>
      </c>
      <c r="AV36" s="169">
        <f t="shared" si="7"/>
        <v>20463000</v>
      </c>
      <c r="AW36" s="168">
        <f t="shared" si="10"/>
        <v>68.210000000000008</v>
      </c>
      <c r="AX36" s="164" t="s">
        <v>535</v>
      </c>
      <c r="AY36" s="164" t="s">
        <v>536</v>
      </c>
      <c r="AZ36" s="164" t="s">
        <v>3921</v>
      </c>
      <c r="BA36" s="165"/>
      <c r="BB36" s="240">
        <v>4846000</v>
      </c>
      <c r="BC36" s="240">
        <v>2300000</v>
      </c>
      <c r="BD36" s="165"/>
      <c r="BE36" s="165"/>
      <c r="BF36" s="165"/>
      <c r="BG36" s="165">
        <v>2391000</v>
      </c>
      <c r="BH36" s="165"/>
    </row>
    <row r="37" spans="2:60" x14ac:dyDescent="0.25">
      <c r="B37" s="229">
        <v>522151</v>
      </c>
      <c r="C37" s="164" t="s">
        <v>11</v>
      </c>
      <c r="D37" s="164"/>
      <c r="E37" s="164"/>
      <c r="F37" s="165">
        <v>25200000</v>
      </c>
      <c r="G37" s="165">
        <v>25200000</v>
      </c>
      <c r="H37" s="165"/>
      <c r="I37" s="165">
        <f t="shared" si="58"/>
        <v>0</v>
      </c>
      <c r="J37" s="165"/>
      <c r="K37" s="165"/>
      <c r="L37" s="165"/>
      <c r="M37" s="165"/>
      <c r="N37" s="165"/>
      <c r="O37" s="165"/>
      <c r="P37" s="165"/>
      <c r="Q37" s="165"/>
      <c r="R37" s="240">
        <v>1800000</v>
      </c>
      <c r="S37" s="165"/>
      <c r="T37" s="165"/>
      <c r="U37" s="165"/>
      <c r="V37" s="165"/>
      <c r="W37" s="165"/>
      <c r="X37" s="165"/>
      <c r="Y37" s="165">
        <v>7200000</v>
      </c>
      <c r="Z37" s="165"/>
      <c r="AA37" s="165"/>
      <c r="AB37" s="165"/>
      <c r="AC37" s="165"/>
      <c r="AD37" s="165"/>
      <c r="AE37" s="165"/>
      <c r="AF37" s="165"/>
      <c r="AG37" s="165"/>
      <c r="AH37" s="165"/>
      <c r="AI37" s="165"/>
      <c r="AJ37" s="165"/>
      <c r="AK37" s="165"/>
      <c r="AL37" s="165"/>
      <c r="AM37" s="165"/>
      <c r="AN37" s="165"/>
      <c r="AO37" s="165"/>
      <c r="AP37" s="165"/>
      <c r="AQ37" s="165"/>
      <c r="AR37" s="165"/>
      <c r="AS37" s="165"/>
      <c r="AT37" s="165">
        <f t="shared" si="33"/>
        <v>9000000</v>
      </c>
      <c r="AU37" s="168">
        <f t="shared" si="6"/>
        <v>35.714285714285715</v>
      </c>
      <c r="AV37" s="169">
        <f t="shared" si="7"/>
        <v>16200000</v>
      </c>
      <c r="AW37" s="168">
        <f t="shared" si="10"/>
        <v>64.285714285714292</v>
      </c>
      <c r="AX37" s="164" t="s">
        <v>535</v>
      </c>
      <c r="AY37" s="164" t="s">
        <v>536</v>
      </c>
      <c r="AZ37" s="164" t="s">
        <v>3921</v>
      </c>
      <c r="BA37" s="165"/>
      <c r="BB37" s="240">
        <v>1800000</v>
      </c>
      <c r="BC37" s="240"/>
      <c r="BD37" s="165"/>
      <c r="BE37" s="165"/>
      <c r="BF37" s="165"/>
      <c r="BG37" s="165"/>
      <c r="BH37" s="165"/>
    </row>
    <row r="38" spans="2:60" x14ac:dyDescent="0.25">
      <c r="B38" s="228">
        <v>522192</v>
      </c>
      <c r="C38" s="164" t="s">
        <v>24</v>
      </c>
      <c r="D38" s="164"/>
      <c r="E38" s="164"/>
      <c r="F38" s="165">
        <v>6000000</v>
      </c>
      <c r="G38" s="165">
        <v>6000000</v>
      </c>
      <c r="H38" s="165"/>
      <c r="I38" s="165">
        <f t="shared" si="58"/>
        <v>0</v>
      </c>
      <c r="J38" s="165"/>
      <c r="K38" s="165"/>
      <c r="L38" s="165"/>
      <c r="M38" s="165"/>
      <c r="N38" s="165"/>
      <c r="O38" s="165"/>
      <c r="P38" s="165"/>
      <c r="Q38" s="165"/>
      <c r="R38" s="240"/>
      <c r="S38" s="165"/>
      <c r="T38" s="165"/>
      <c r="U38" s="165"/>
      <c r="V38" s="165"/>
      <c r="W38" s="165"/>
      <c r="X38" s="165"/>
      <c r="Y38" s="165"/>
      <c r="Z38" s="165"/>
      <c r="AA38" s="165"/>
      <c r="AB38" s="165"/>
      <c r="AC38" s="165"/>
      <c r="AD38" s="165"/>
      <c r="AE38" s="165"/>
      <c r="AF38" s="165"/>
      <c r="AG38" s="165"/>
      <c r="AH38" s="165"/>
      <c r="AI38" s="165"/>
      <c r="AJ38" s="165"/>
      <c r="AK38" s="165"/>
      <c r="AL38" s="165"/>
      <c r="AM38" s="165"/>
      <c r="AN38" s="165"/>
      <c r="AO38" s="165"/>
      <c r="AP38" s="165"/>
      <c r="AQ38" s="165"/>
      <c r="AR38" s="165"/>
      <c r="AS38" s="165"/>
      <c r="AT38" s="165">
        <f t="shared" si="33"/>
        <v>0</v>
      </c>
      <c r="AU38" s="168">
        <f t="shared" si="6"/>
        <v>0</v>
      </c>
      <c r="AV38" s="169">
        <f t="shared" si="7"/>
        <v>6000000</v>
      </c>
      <c r="AW38" s="168">
        <f t="shared" si="10"/>
        <v>100</v>
      </c>
      <c r="AX38" s="164" t="s">
        <v>535</v>
      </c>
      <c r="AY38" s="164" t="s">
        <v>536</v>
      </c>
      <c r="AZ38" s="164" t="s">
        <v>3921</v>
      </c>
      <c r="BA38" s="165"/>
      <c r="BB38" s="240"/>
      <c r="BC38" s="240"/>
      <c r="BD38" s="165"/>
      <c r="BE38" s="165"/>
      <c r="BF38" s="165"/>
      <c r="BG38" s="165"/>
      <c r="BH38" s="165"/>
    </row>
    <row r="39" spans="2:60" x14ac:dyDescent="0.25">
      <c r="B39" s="228">
        <v>524111</v>
      </c>
      <c r="C39" s="164" t="s">
        <v>19</v>
      </c>
      <c r="D39" s="164"/>
      <c r="E39" s="164"/>
      <c r="F39" s="165">
        <v>253324000</v>
      </c>
      <c r="G39" s="165">
        <v>253324000</v>
      </c>
      <c r="H39" s="165"/>
      <c r="I39" s="165">
        <f t="shared" si="58"/>
        <v>0</v>
      </c>
      <c r="J39" s="165"/>
      <c r="K39" s="165"/>
      <c r="L39" s="165"/>
      <c r="M39" s="165"/>
      <c r="N39" s="165"/>
      <c r="O39" s="165"/>
      <c r="P39" s="165"/>
      <c r="Q39" s="240">
        <v>3480000</v>
      </c>
      <c r="R39" s="240">
        <v>7130000</v>
      </c>
      <c r="S39" s="165">
        <v>6180000</v>
      </c>
      <c r="T39" s="165"/>
      <c r="U39" s="165"/>
      <c r="V39" s="165">
        <v>930000</v>
      </c>
      <c r="W39" s="165"/>
      <c r="X39" s="165"/>
      <c r="Y39" s="165">
        <v>15508650</v>
      </c>
      <c r="Z39" s="165"/>
      <c r="AA39" s="165"/>
      <c r="AB39" s="165"/>
      <c r="AC39" s="165"/>
      <c r="AD39" s="165"/>
      <c r="AE39" s="165"/>
      <c r="AF39" s="165"/>
      <c r="AG39" s="165"/>
      <c r="AH39" s="165"/>
      <c r="AI39" s="165"/>
      <c r="AJ39" s="165"/>
      <c r="AK39" s="165"/>
      <c r="AL39" s="165"/>
      <c r="AM39" s="165"/>
      <c r="AN39" s="165"/>
      <c r="AO39" s="165"/>
      <c r="AP39" s="165"/>
      <c r="AQ39" s="165"/>
      <c r="AR39" s="165"/>
      <c r="AS39" s="165"/>
      <c r="AT39" s="165">
        <f t="shared" si="33"/>
        <v>33228650</v>
      </c>
      <c r="AU39" s="168">
        <f t="shared" si="6"/>
        <v>13.117055628365257</v>
      </c>
      <c r="AV39" s="169">
        <f>F39-AT39</f>
        <v>220095350</v>
      </c>
      <c r="AW39" s="168">
        <f t="shared" si="10"/>
        <v>86.882944371634736</v>
      </c>
      <c r="AX39" s="164" t="s">
        <v>535</v>
      </c>
      <c r="AY39" s="164" t="s">
        <v>536</v>
      </c>
      <c r="AZ39" s="164" t="s">
        <v>3921</v>
      </c>
      <c r="BA39" s="165"/>
      <c r="BB39" s="240">
        <v>7130000</v>
      </c>
      <c r="BC39" s="240">
        <v>3480000</v>
      </c>
      <c r="BD39" s="165"/>
      <c r="BE39" s="165"/>
      <c r="BF39" s="165"/>
      <c r="BG39" s="165"/>
      <c r="BH39" s="165"/>
    </row>
    <row r="40" spans="2:60" x14ac:dyDescent="0.25">
      <c r="B40" s="228">
        <v>524113</v>
      </c>
      <c r="C40" s="164" t="s">
        <v>13</v>
      </c>
      <c r="D40" s="164"/>
      <c r="E40" s="164"/>
      <c r="F40" s="165">
        <v>1500000</v>
      </c>
      <c r="G40" s="165">
        <v>1500000</v>
      </c>
      <c r="H40" s="165"/>
      <c r="I40" s="165">
        <f t="shared" si="58"/>
        <v>0</v>
      </c>
      <c r="J40" s="165"/>
      <c r="K40" s="165"/>
      <c r="L40" s="165"/>
      <c r="M40" s="165"/>
      <c r="N40" s="165"/>
      <c r="O40" s="165"/>
      <c r="P40" s="165"/>
      <c r="Q40" s="165"/>
      <c r="R40" s="240"/>
      <c r="S40" s="165"/>
      <c r="T40" s="165"/>
      <c r="U40" s="165"/>
      <c r="V40" s="165"/>
      <c r="W40" s="165"/>
      <c r="X40" s="165"/>
      <c r="Y40" s="165"/>
      <c r="Z40" s="165"/>
      <c r="AA40" s="165"/>
      <c r="AB40" s="165"/>
      <c r="AC40" s="165"/>
      <c r="AD40" s="165"/>
      <c r="AE40" s="165"/>
      <c r="AF40" s="165"/>
      <c r="AG40" s="165"/>
      <c r="AH40" s="165"/>
      <c r="AI40" s="165"/>
      <c r="AJ40" s="165"/>
      <c r="AK40" s="165"/>
      <c r="AL40" s="165"/>
      <c r="AM40" s="165"/>
      <c r="AN40" s="165"/>
      <c r="AO40" s="165"/>
      <c r="AP40" s="165"/>
      <c r="AQ40" s="165"/>
      <c r="AR40" s="165"/>
      <c r="AS40" s="165"/>
      <c r="AT40" s="165">
        <f t="shared" si="33"/>
        <v>0</v>
      </c>
      <c r="AU40" s="168">
        <f t="shared" si="6"/>
        <v>0</v>
      </c>
      <c r="AV40" s="169">
        <f t="shared" si="7"/>
        <v>1500000</v>
      </c>
      <c r="AW40" s="168">
        <f t="shared" si="10"/>
        <v>100</v>
      </c>
      <c r="AX40" s="164" t="s">
        <v>535</v>
      </c>
      <c r="AY40" s="164" t="s">
        <v>536</v>
      </c>
      <c r="AZ40" s="164" t="s">
        <v>3921</v>
      </c>
      <c r="BA40" s="165"/>
      <c r="BB40" s="240"/>
      <c r="BC40" s="240"/>
      <c r="BD40" s="165"/>
      <c r="BE40" s="165"/>
      <c r="BF40" s="165"/>
      <c r="BG40" s="165"/>
      <c r="BH40" s="165"/>
    </row>
    <row r="41" spans="2:60" x14ac:dyDescent="0.25">
      <c r="B41" s="230" t="s">
        <v>511</v>
      </c>
      <c r="C41" s="166" t="s">
        <v>65</v>
      </c>
      <c r="D41" s="166"/>
      <c r="E41" s="166"/>
      <c r="F41" s="167">
        <f>SUM(F42:F47)</f>
        <v>247816000</v>
      </c>
      <c r="G41" s="167">
        <f>SUM(G42:G47)</f>
        <v>247816000</v>
      </c>
      <c r="H41" s="167">
        <f>SUM(H42:H47)</f>
        <v>0</v>
      </c>
      <c r="I41" s="167">
        <f>SUM(I42:I47)</f>
        <v>0</v>
      </c>
      <c r="J41" s="167">
        <f t="shared" ref="J41:AS41" si="59">SUM(J42:J47)</f>
        <v>0</v>
      </c>
      <c r="K41" s="167">
        <f t="shared" si="59"/>
        <v>0</v>
      </c>
      <c r="L41" s="167">
        <f t="shared" si="59"/>
        <v>0</v>
      </c>
      <c r="M41" s="167">
        <f t="shared" si="59"/>
        <v>0</v>
      </c>
      <c r="N41" s="167">
        <f t="shared" si="59"/>
        <v>0</v>
      </c>
      <c r="O41" s="167">
        <f t="shared" si="59"/>
        <v>0</v>
      </c>
      <c r="P41" s="167">
        <f t="shared" si="59"/>
        <v>0</v>
      </c>
      <c r="Q41" s="167">
        <f t="shared" si="59"/>
        <v>0</v>
      </c>
      <c r="R41" s="167">
        <f t="shared" si="59"/>
        <v>18743000</v>
      </c>
      <c r="S41" s="167">
        <f t="shared" si="59"/>
        <v>0</v>
      </c>
      <c r="T41" s="167">
        <f t="shared" si="59"/>
        <v>0</v>
      </c>
      <c r="U41" s="167">
        <f t="shared" si="59"/>
        <v>0</v>
      </c>
      <c r="V41" s="167">
        <f t="shared" si="59"/>
        <v>0</v>
      </c>
      <c r="W41" s="167">
        <f t="shared" si="59"/>
        <v>302850</v>
      </c>
      <c r="X41" s="167">
        <f t="shared" si="59"/>
        <v>60100900</v>
      </c>
      <c r="Y41" s="167">
        <f t="shared" si="59"/>
        <v>76109840</v>
      </c>
      <c r="Z41" s="167">
        <f t="shared" si="59"/>
        <v>0</v>
      </c>
      <c r="AA41" s="167">
        <f t="shared" si="59"/>
        <v>0</v>
      </c>
      <c r="AB41" s="167">
        <f t="shared" si="59"/>
        <v>0</v>
      </c>
      <c r="AC41" s="167">
        <f t="shared" si="59"/>
        <v>0</v>
      </c>
      <c r="AD41" s="167">
        <f t="shared" si="59"/>
        <v>0</v>
      </c>
      <c r="AE41" s="167">
        <f t="shared" si="59"/>
        <v>0</v>
      </c>
      <c r="AF41" s="167">
        <f t="shared" si="59"/>
        <v>0</v>
      </c>
      <c r="AG41" s="167">
        <f t="shared" si="59"/>
        <v>0</v>
      </c>
      <c r="AH41" s="167">
        <f t="shared" si="59"/>
        <v>0</v>
      </c>
      <c r="AI41" s="167">
        <f t="shared" si="59"/>
        <v>0</v>
      </c>
      <c r="AJ41" s="167">
        <f t="shared" si="59"/>
        <v>0</v>
      </c>
      <c r="AK41" s="167">
        <f t="shared" si="59"/>
        <v>0</v>
      </c>
      <c r="AL41" s="167">
        <f t="shared" si="59"/>
        <v>0</v>
      </c>
      <c r="AM41" s="167">
        <f t="shared" si="59"/>
        <v>0</v>
      </c>
      <c r="AN41" s="167">
        <f t="shared" si="59"/>
        <v>0</v>
      </c>
      <c r="AO41" s="167">
        <f t="shared" si="59"/>
        <v>0</v>
      </c>
      <c r="AP41" s="167">
        <f t="shared" si="59"/>
        <v>0</v>
      </c>
      <c r="AQ41" s="167">
        <f t="shared" si="59"/>
        <v>0</v>
      </c>
      <c r="AR41" s="167">
        <f t="shared" si="59"/>
        <v>0</v>
      </c>
      <c r="AS41" s="167">
        <f t="shared" si="59"/>
        <v>0</v>
      </c>
      <c r="AT41" s="167">
        <f>SUM(J41:AS41)</f>
        <v>155256590</v>
      </c>
      <c r="AU41" s="175">
        <f t="shared" si="6"/>
        <v>62.649945927623719</v>
      </c>
      <c r="AV41" s="176">
        <f t="shared" si="7"/>
        <v>92559410</v>
      </c>
      <c r="AW41" s="175">
        <f t="shared" si="10"/>
        <v>37.350054072376281</v>
      </c>
      <c r="AX41" s="164" t="s">
        <v>535</v>
      </c>
      <c r="AY41" s="164" t="s">
        <v>536</v>
      </c>
      <c r="AZ41" s="164" t="s">
        <v>3921</v>
      </c>
      <c r="BA41" s="167">
        <f t="shared" ref="BA41:BD41" si="60">SUM(BA42:BA47)</f>
        <v>0</v>
      </c>
      <c r="BB41" s="167">
        <f t="shared" si="60"/>
        <v>18743000</v>
      </c>
      <c r="BC41" s="167">
        <f t="shared" si="60"/>
        <v>0</v>
      </c>
      <c r="BD41" s="167">
        <f t="shared" si="60"/>
        <v>0</v>
      </c>
      <c r="BE41" s="167">
        <f t="shared" ref="BE41" si="61">SUM(BE42:BE47)</f>
        <v>0</v>
      </c>
      <c r="BF41" s="167">
        <f t="shared" ref="BF41:BG41" si="62">SUM(BF42:BF47)</f>
        <v>302850</v>
      </c>
      <c r="BG41" s="167">
        <f t="shared" si="62"/>
        <v>60100900</v>
      </c>
      <c r="BH41" s="167">
        <f t="shared" ref="BH41" si="63">SUM(BH42:BH47)</f>
        <v>0</v>
      </c>
    </row>
    <row r="42" spans="2:60" x14ac:dyDescent="0.25">
      <c r="B42" s="228">
        <v>521211</v>
      </c>
      <c r="C42" s="164" t="s">
        <v>7</v>
      </c>
      <c r="D42" s="164"/>
      <c r="E42" s="164"/>
      <c r="F42" s="165">
        <v>71456000</v>
      </c>
      <c r="G42" s="165">
        <v>71456000</v>
      </c>
      <c r="H42" s="165"/>
      <c r="I42" s="165">
        <f t="shared" ref="I42:I47" si="64">G42-F42</f>
        <v>0</v>
      </c>
      <c r="J42" s="165"/>
      <c r="K42" s="165"/>
      <c r="L42" s="165"/>
      <c r="M42" s="165"/>
      <c r="N42" s="165"/>
      <c r="O42" s="165"/>
      <c r="P42" s="165"/>
      <c r="Q42" s="165"/>
      <c r="R42" s="165"/>
      <c r="S42" s="165"/>
      <c r="T42" s="165"/>
      <c r="U42" s="165"/>
      <c r="V42" s="165"/>
      <c r="W42" s="165"/>
      <c r="X42" s="165">
        <v>10438550</v>
      </c>
      <c r="Y42" s="165"/>
      <c r="Z42" s="165"/>
      <c r="AA42" s="165"/>
      <c r="AB42" s="165"/>
      <c r="AC42" s="165"/>
      <c r="AD42" s="165"/>
      <c r="AE42" s="165"/>
      <c r="AF42" s="165"/>
      <c r="AG42" s="165"/>
      <c r="AH42" s="165"/>
      <c r="AI42" s="165"/>
      <c r="AJ42" s="165"/>
      <c r="AK42" s="165"/>
      <c r="AL42" s="165"/>
      <c r="AM42" s="165"/>
      <c r="AN42" s="165"/>
      <c r="AO42" s="165"/>
      <c r="AP42" s="165"/>
      <c r="AQ42" s="165"/>
      <c r="AR42" s="165"/>
      <c r="AS42" s="165"/>
      <c r="AT42" s="165">
        <f t="shared" si="33"/>
        <v>10438550</v>
      </c>
      <c r="AU42" s="168">
        <f t="shared" si="6"/>
        <v>14.60836038961039</v>
      </c>
      <c r="AV42" s="169">
        <f t="shared" si="7"/>
        <v>61017450</v>
      </c>
      <c r="AW42" s="168">
        <f t="shared" si="10"/>
        <v>85.391639610389618</v>
      </c>
      <c r="AX42" s="164" t="s">
        <v>535</v>
      </c>
      <c r="AY42" s="164" t="s">
        <v>536</v>
      </c>
      <c r="AZ42" s="164" t="s">
        <v>3921</v>
      </c>
      <c r="BA42" s="165"/>
      <c r="BB42" s="240"/>
      <c r="BC42" s="240"/>
      <c r="BD42" s="165"/>
      <c r="BE42" s="165"/>
      <c r="BF42" s="165"/>
      <c r="BG42" s="165">
        <v>10438550</v>
      </c>
      <c r="BH42" s="165"/>
    </row>
    <row r="43" spans="2:60" x14ac:dyDescent="0.25">
      <c r="B43" s="228">
        <v>521219</v>
      </c>
      <c r="C43" s="164" t="s">
        <v>53</v>
      </c>
      <c r="D43" s="164"/>
      <c r="E43" s="164"/>
      <c r="F43" s="165">
        <v>5000000</v>
      </c>
      <c r="G43" s="165">
        <v>5000000</v>
      </c>
      <c r="H43" s="165"/>
      <c r="I43" s="165">
        <f t="shared" si="64"/>
        <v>0</v>
      </c>
      <c r="J43" s="165"/>
      <c r="K43" s="165"/>
      <c r="L43" s="165"/>
      <c r="M43" s="165"/>
      <c r="N43" s="165"/>
      <c r="O43" s="165"/>
      <c r="P43" s="165"/>
      <c r="Q43" s="165"/>
      <c r="R43" s="165"/>
      <c r="S43" s="165"/>
      <c r="T43" s="165"/>
      <c r="U43" s="165"/>
      <c r="V43" s="165"/>
      <c r="W43" s="165">
        <v>302850</v>
      </c>
      <c r="X43" s="165">
        <v>3960000</v>
      </c>
      <c r="Y43" s="165"/>
      <c r="Z43" s="165"/>
      <c r="AA43" s="165"/>
      <c r="AB43" s="165"/>
      <c r="AC43" s="165"/>
      <c r="AD43" s="165"/>
      <c r="AE43" s="165"/>
      <c r="AF43" s="165"/>
      <c r="AG43" s="165"/>
      <c r="AH43" s="165"/>
      <c r="AI43" s="165"/>
      <c r="AJ43" s="165"/>
      <c r="AK43" s="165"/>
      <c r="AL43" s="165"/>
      <c r="AM43" s="165"/>
      <c r="AN43" s="165"/>
      <c r="AO43" s="165"/>
      <c r="AP43" s="165"/>
      <c r="AQ43" s="165"/>
      <c r="AR43" s="165"/>
      <c r="AS43" s="165"/>
      <c r="AT43" s="165">
        <f t="shared" si="33"/>
        <v>4262850</v>
      </c>
      <c r="AU43" s="168">
        <f t="shared" si="6"/>
        <v>85.257000000000005</v>
      </c>
      <c r="AV43" s="169">
        <f t="shared" si="7"/>
        <v>737150</v>
      </c>
      <c r="AW43" s="168">
        <f t="shared" si="10"/>
        <v>14.743</v>
      </c>
      <c r="AX43" s="164" t="s">
        <v>535</v>
      </c>
      <c r="AY43" s="164" t="s">
        <v>536</v>
      </c>
      <c r="AZ43" s="164" t="s">
        <v>3921</v>
      </c>
      <c r="BA43" s="165"/>
      <c r="BB43" s="240"/>
      <c r="BC43" s="240"/>
      <c r="BD43" s="165"/>
      <c r="BE43" s="165"/>
      <c r="BF43" s="165">
        <v>302850</v>
      </c>
      <c r="BG43" s="165">
        <v>3960000</v>
      </c>
      <c r="BH43" s="165"/>
    </row>
    <row r="44" spans="2:60" x14ac:dyDescent="0.25">
      <c r="B44" s="228">
        <v>521811</v>
      </c>
      <c r="C44" s="164" t="s">
        <v>64</v>
      </c>
      <c r="D44" s="164"/>
      <c r="E44" s="164"/>
      <c r="F44" s="165">
        <v>15000000</v>
      </c>
      <c r="G44" s="165">
        <v>15000000</v>
      </c>
      <c r="H44" s="165"/>
      <c r="I44" s="165">
        <f t="shared" si="64"/>
        <v>0</v>
      </c>
      <c r="J44" s="165"/>
      <c r="K44" s="165"/>
      <c r="L44" s="165"/>
      <c r="M44" s="165"/>
      <c r="N44" s="165"/>
      <c r="O44" s="165"/>
      <c r="P44" s="165"/>
      <c r="Q44" s="165"/>
      <c r="R44" s="165"/>
      <c r="S44" s="165"/>
      <c r="T44" s="165"/>
      <c r="U44" s="165"/>
      <c r="V44" s="165"/>
      <c r="W44" s="165"/>
      <c r="X44" s="165">
        <v>2453500</v>
      </c>
      <c r="Y44" s="165"/>
      <c r="Z44" s="165"/>
      <c r="AA44" s="165"/>
      <c r="AB44" s="165"/>
      <c r="AC44" s="165"/>
      <c r="AD44" s="165"/>
      <c r="AE44" s="165"/>
      <c r="AF44" s="165"/>
      <c r="AG44" s="165"/>
      <c r="AH44" s="165"/>
      <c r="AI44" s="165"/>
      <c r="AJ44" s="165"/>
      <c r="AK44" s="165"/>
      <c r="AL44" s="165"/>
      <c r="AM44" s="165"/>
      <c r="AN44" s="165"/>
      <c r="AO44" s="165"/>
      <c r="AP44" s="165"/>
      <c r="AQ44" s="165"/>
      <c r="AR44" s="165"/>
      <c r="AS44" s="165"/>
      <c r="AT44" s="165">
        <f t="shared" si="33"/>
        <v>2453500</v>
      </c>
      <c r="AU44" s="168">
        <f t="shared" si="6"/>
        <v>16.356666666666666</v>
      </c>
      <c r="AV44" s="169">
        <f t="shared" si="7"/>
        <v>12546500</v>
      </c>
      <c r="AW44" s="168">
        <f t="shared" si="10"/>
        <v>83.643333333333331</v>
      </c>
      <c r="AX44" s="164" t="s">
        <v>535</v>
      </c>
      <c r="AY44" s="164" t="s">
        <v>536</v>
      </c>
      <c r="AZ44" s="164" t="s">
        <v>3921</v>
      </c>
      <c r="BA44" s="165"/>
      <c r="BB44" s="240"/>
      <c r="BC44" s="240"/>
      <c r="BD44" s="165"/>
      <c r="BE44" s="165"/>
      <c r="BF44" s="165"/>
      <c r="BG44" s="165">
        <v>2453500</v>
      </c>
      <c r="BH44" s="165"/>
    </row>
    <row r="45" spans="2:60" x14ac:dyDescent="0.25">
      <c r="B45" s="228">
        <v>522151</v>
      </c>
      <c r="C45" s="164" t="s">
        <v>11</v>
      </c>
      <c r="D45" s="164"/>
      <c r="E45" s="164"/>
      <c r="F45" s="165">
        <v>16200000</v>
      </c>
      <c r="G45" s="165">
        <v>16200000</v>
      </c>
      <c r="H45" s="165"/>
      <c r="I45" s="165">
        <f t="shared" si="64"/>
        <v>0</v>
      </c>
      <c r="J45" s="165"/>
      <c r="K45" s="165"/>
      <c r="L45" s="165"/>
      <c r="M45" s="165"/>
      <c r="N45" s="165"/>
      <c r="O45" s="165"/>
      <c r="P45" s="165"/>
      <c r="Q45" s="165"/>
      <c r="R45" s="165"/>
      <c r="S45" s="165"/>
      <c r="T45" s="165"/>
      <c r="U45" s="165"/>
      <c r="V45" s="165"/>
      <c r="W45" s="165"/>
      <c r="X45" s="165">
        <v>6300000</v>
      </c>
      <c r="Y45" s="165"/>
      <c r="Z45" s="165"/>
      <c r="AA45" s="165"/>
      <c r="AB45" s="165"/>
      <c r="AC45" s="165"/>
      <c r="AD45" s="165"/>
      <c r="AE45" s="165"/>
      <c r="AF45" s="165"/>
      <c r="AG45" s="165"/>
      <c r="AH45" s="165"/>
      <c r="AI45" s="165"/>
      <c r="AJ45" s="165"/>
      <c r="AK45" s="165"/>
      <c r="AL45" s="165"/>
      <c r="AM45" s="165"/>
      <c r="AN45" s="165"/>
      <c r="AO45" s="165"/>
      <c r="AP45" s="165"/>
      <c r="AQ45" s="165"/>
      <c r="AR45" s="165"/>
      <c r="AS45" s="165"/>
      <c r="AT45" s="165">
        <f t="shared" si="33"/>
        <v>6300000</v>
      </c>
      <c r="AU45" s="168">
        <f t="shared" si="6"/>
        <v>38.888888888888893</v>
      </c>
      <c r="AV45" s="169">
        <f t="shared" si="7"/>
        <v>9900000</v>
      </c>
      <c r="AW45" s="168">
        <f t="shared" si="10"/>
        <v>61.111111111111114</v>
      </c>
      <c r="AX45" s="164" t="s">
        <v>535</v>
      </c>
      <c r="AY45" s="164" t="s">
        <v>536</v>
      </c>
      <c r="AZ45" s="164" t="s">
        <v>3921</v>
      </c>
      <c r="BA45" s="165"/>
      <c r="BB45" s="240"/>
      <c r="BC45" s="240"/>
      <c r="BD45" s="165"/>
      <c r="BE45" s="165"/>
      <c r="BF45" s="165"/>
      <c r="BG45" s="165">
        <v>6300000</v>
      </c>
      <c r="BH45" s="165"/>
    </row>
    <row r="46" spans="2:60" x14ac:dyDescent="0.25">
      <c r="B46" s="228">
        <v>522192</v>
      </c>
      <c r="C46" s="164" t="s">
        <v>24</v>
      </c>
      <c r="D46" s="164"/>
      <c r="E46" s="164"/>
      <c r="F46" s="165">
        <v>2000000</v>
      </c>
      <c r="G46" s="165">
        <v>2000000</v>
      </c>
      <c r="H46" s="165"/>
      <c r="I46" s="165">
        <f t="shared" si="64"/>
        <v>0</v>
      </c>
      <c r="J46" s="165"/>
      <c r="K46" s="165"/>
      <c r="L46" s="165"/>
      <c r="M46" s="165"/>
      <c r="N46" s="165"/>
      <c r="O46" s="165"/>
      <c r="P46" s="165"/>
      <c r="Q46" s="165"/>
      <c r="R46" s="240">
        <v>365000</v>
      </c>
      <c r="S46" s="165"/>
      <c r="T46" s="165"/>
      <c r="U46" s="165"/>
      <c r="V46" s="165"/>
      <c r="W46" s="165"/>
      <c r="X46" s="165"/>
      <c r="Y46" s="165"/>
      <c r="Z46" s="165"/>
      <c r="AA46" s="165"/>
      <c r="AB46" s="165"/>
      <c r="AC46" s="165"/>
      <c r="AD46" s="165"/>
      <c r="AE46" s="165"/>
      <c r="AF46" s="165"/>
      <c r="AG46" s="165"/>
      <c r="AH46" s="165"/>
      <c r="AI46" s="165"/>
      <c r="AJ46" s="165"/>
      <c r="AK46" s="165"/>
      <c r="AL46" s="165"/>
      <c r="AM46" s="165"/>
      <c r="AN46" s="165"/>
      <c r="AO46" s="165"/>
      <c r="AP46" s="165"/>
      <c r="AQ46" s="165"/>
      <c r="AR46" s="165"/>
      <c r="AS46" s="165"/>
      <c r="AT46" s="165">
        <f t="shared" si="33"/>
        <v>365000</v>
      </c>
      <c r="AU46" s="168">
        <f t="shared" si="6"/>
        <v>18.25</v>
      </c>
      <c r="AV46" s="169">
        <f t="shared" si="7"/>
        <v>1635000</v>
      </c>
      <c r="AW46" s="168">
        <f t="shared" si="10"/>
        <v>81.75</v>
      </c>
      <c r="AX46" s="164" t="s">
        <v>535</v>
      </c>
      <c r="AY46" s="164" t="s">
        <v>536</v>
      </c>
      <c r="AZ46" s="164" t="s">
        <v>3921</v>
      </c>
      <c r="BA46" s="165"/>
      <c r="BB46" s="240">
        <v>365000</v>
      </c>
      <c r="BC46" s="240"/>
      <c r="BD46" s="165"/>
      <c r="BE46" s="165"/>
      <c r="BF46" s="165"/>
      <c r="BG46" s="165"/>
      <c r="BH46" s="165"/>
    </row>
    <row r="47" spans="2:60" x14ac:dyDescent="0.25">
      <c r="B47" s="228">
        <v>524111</v>
      </c>
      <c r="C47" s="164" t="s">
        <v>19</v>
      </c>
      <c r="D47" s="164"/>
      <c r="E47" s="164"/>
      <c r="F47" s="165">
        <v>138160000</v>
      </c>
      <c r="G47" s="165">
        <v>138160000</v>
      </c>
      <c r="H47" s="165"/>
      <c r="I47" s="165">
        <f t="shared" si="64"/>
        <v>0</v>
      </c>
      <c r="J47" s="165"/>
      <c r="K47" s="165"/>
      <c r="L47" s="165"/>
      <c r="M47" s="165"/>
      <c r="N47" s="165"/>
      <c r="O47" s="165"/>
      <c r="P47" s="165"/>
      <c r="Q47" s="165"/>
      <c r="R47" s="240">
        <v>18378000</v>
      </c>
      <c r="S47" s="165"/>
      <c r="T47" s="165"/>
      <c r="U47" s="165"/>
      <c r="V47" s="165"/>
      <c r="W47" s="165"/>
      <c r="X47" s="165">
        <v>36948850</v>
      </c>
      <c r="Y47" s="165">
        <f>27294800+48815040</f>
        <v>76109840</v>
      </c>
      <c r="Z47" s="165"/>
      <c r="AA47" s="165"/>
      <c r="AB47" s="165"/>
      <c r="AC47" s="165"/>
      <c r="AD47" s="165"/>
      <c r="AE47" s="165"/>
      <c r="AF47" s="165"/>
      <c r="AG47" s="165"/>
      <c r="AH47" s="165"/>
      <c r="AI47" s="165"/>
      <c r="AJ47" s="165"/>
      <c r="AK47" s="165"/>
      <c r="AL47" s="165"/>
      <c r="AM47" s="165"/>
      <c r="AN47" s="165"/>
      <c r="AO47" s="165"/>
      <c r="AP47" s="165"/>
      <c r="AQ47" s="165"/>
      <c r="AR47" s="165"/>
      <c r="AS47" s="165"/>
      <c r="AT47" s="165">
        <f t="shared" si="33"/>
        <v>131436690</v>
      </c>
      <c r="AU47" s="168">
        <f t="shared" si="6"/>
        <v>95.133678343949043</v>
      </c>
      <c r="AV47" s="169">
        <f t="shared" si="7"/>
        <v>6723310</v>
      </c>
      <c r="AW47" s="168">
        <f t="shared" si="10"/>
        <v>4.866321656050955</v>
      </c>
      <c r="AX47" s="164" t="s">
        <v>535</v>
      </c>
      <c r="AY47" s="164" t="s">
        <v>536</v>
      </c>
      <c r="AZ47" s="164" t="s">
        <v>3921</v>
      </c>
      <c r="BA47" s="165"/>
      <c r="BB47" s="240">
        <v>18378000</v>
      </c>
      <c r="BC47" s="240"/>
      <c r="BD47" s="165"/>
      <c r="BE47" s="165"/>
      <c r="BF47" s="165"/>
      <c r="BG47" s="165">
        <v>36948850</v>
      </c>
      <c r="BH47" s="165"/>
    </row>
    <row r="48" spans="2:60" x14ac:dyDescent="0.25">
      <c r="B48" s="230" t="s">
        <v>512</v>
      </c>
      <c r="C48" s="166" t="s">
        <v>795</v>
      </c>
      <c r="D48" s="166"/>
      <c r="E48" s="166"/>
      <c r="F48" s="167">
        <f>SUM(F49:F52)</f>
        <v>51560000</v>
      </c>
      <c r="G48" s="167">
        <f>SUM(G49:G52)</f>
        <v>51560000</v>
      </c>
      <c r="H48" s="167">
        <f>SUM(H49:H52)</f>
        <v>0</v>
      </c>
      <c r="I48" s="167">
        <f>SUM(I49:I52)</f>
        <v>0</v>
      </c>
      <c r="J48" s="167">
        <f t="shared" ref="J48:AR48" si="65">SUM(J49:J52)</f>
        <v>0</v>
      </c>
      <c r="K48" s="167">
        <f t="shared" si="65"/>
        <v>0</v>
      </c>
      <c r="L48" s="167">
        <f t="shared" si="65"/>
        <v>0</v>
      </c>
      <c r="M48" s="167">
        <f t="shared" si="65"/>
        <v>0</v>
      </c>
      <c r="N48" s="167">
        <f t="shared" si="65"/>
        <v>0</v>
      </c>
      <c r="O48" s="167">
        <f t="shared" si="65"/>
        <v>0</v>
      </c>
      <c r="P48" s="167">
        <f t="shared" si="65"/>
        <v>0</v>
      </c>
      <c r="Q48" s="167">
        <f t="shared" si="65"/>
        <v>0</v>
      </c>
      <c r="R48" s="167">
        <f t="shared" si="65"/>
        <v>0</v>
      </c>
      <c r="S48" s="167">
        <f t="shared" si="65"/>
        <v>0</v>
      </c>
      <c r="T48" s="167">
        <f t="shared" si="65"/>
        <v>0</v>
      </c>
      <c r="U48" s="167">
        <f t="shared" si="65"/>
        <v>0</v>
      </c>
      <c r="V48" s="167">
        <f t="shared" si="65"/>
        <v>0</v>
      </c>
      <c r="W48" s="167">
        <f t="shared" si="65"/>
        <v>0</v>
      </c>
      <c r="X48" s="167">
        <f t="shared" si="65"/>
        <v>0</v>
      </c>
      <c r="Y48" s="167">
        <f t="shared" si="65"/>
        <v>0</v>
      </c>
      <c r="Z48" s="167">
        <f t="shared" si="65"/>
        <v>0</v>
      </c>
      <c r="AA48" s="167">
        <f t="shared" si="65"/>
        <v>0</v>
      </c>
      <c r="AB48" s="167">
        <f t="shared" si="65"/>
        <v>0</v>
      </c>
      <c r="AC48" s="167">
        <f t="shared" si="65"/>
        <v>0</v>
      </c>
      <c r="AD48" s="167">
        <f t="shared" si="65"/>
        <v>0</v>
      </c>
      <c r="AE48" s="167">
        <f t="shared" si="65"/>
        <v>0</v>
      </c>
      <c r="AF48" s="167">
        <f t="shared" si="65"/>
        <v>0</v>
      </c>
      <c r="AG48" s="167">
        <f t="shared" si="65"/>
        <v>0</v>
      </c>
      <c r="AH48" s="167">
        <f t="shared" si="65"/>
        <v>0</v>
      </c>
      <c r="AI48" s="167">
        <f t="shared" si="65"/>
        <v>0</v>
      </c>
      <c r="AJ48" s="167">
        <f t="shared" si="65"/>
        <v>0</v>
      </c>
      <c r="AK48" s="167">
        <f t="shared" si="65"/>
        <v>0</v>
      </c>
      <c r="AL48" s="167">
        <f t="shared" si="65"/>
        <v>0</v>
      </c>
      <c r="AM48" s="167">
        <f t="shared" si="65"/>
        <v>0</v>
      </c>
      <c r="AN48" s="167">
        <f t="shared" si="65"/>
        <v>0</v>
      </c>
      <c r="AO48" s="167">
        <f t="shared" si="65"/>
        <v>0</v>
      </c>
      <c r="AP48" s="167">
        <f t="shared" si="65"/>
        <v>0</v>
      </c>
      <c r="AQ48" s="167">
        <f t="shared" si="65"/>
        <v>0</v>
      </c>
      <c r="AR48" s="167">
        <f t="shared" si="65"/>
        <v>0</v>
      </c>
      <c r="AS48" s="167">
        <f>SUM(AS49:AS52)</f>
        <v>0</v>
      </c>
      <c r="AT48" s="167">
        <f>SUM(J48:AS48)</f>
        <v>0</v>
      </c>
      <c r="AU48" s="175">
        <f t="shared" si="6"/>
        <v>0</v>
      </c>
      <c r="AV48" s="176">
        <f t="shared" ref="AV48" si="66">F48-AT48</f>
        <v>51560000</v>
      </c>
      <c r="AW48" s="175">
        <f t="shared" ref="AW48" si="67">AV48/F48*100</f>
        <v>100</v>
      </c>
      <c r="AX48" s="164" t="s">
        <v>535</v>
      </c>
      <c r="AY48" s="164" t="s">
        <v>536</v>
      </c>
      <c r="AZ48" s="164" t="s">
        <v>3921</v>
      </c>
      <c r="BA48" s="167">
        <f t="shared" ref="BA48:BD48" si="68">SUM(BA49:BA52)</f>
        <v>0</v>
      </c>
      <c r="BB48" s="167">
        <f t="shared" si="68"/>
        <v>0</v>
      </c>
      <c r="BC48" s="167">
        <f t="shared" si="68"/>
        <v>0</v>
      </c>
      <c r="BD48" s="167">
        <f t="shared" si="68"/>
        <v>0</v>
      </c>
      <c r="BE48" s="167">
        <f t="shared" ref="BE48" si="69">SUM(BE49:BE52)</f>
        <v>0</v>
      </c>
      <c r="BF48" s="167">
        <f t="shared" ref="BF48:BG48" si="70">SUM(BF49:BF52)</f>
        <v>0</v>
      </c>
      <c r="BG48" s="167">
        <f t="shared" si="70"/>
        <v>0</v>
      </c>
      <c r="BH48" s="167">
        <f t="shared" ref="BH48" si="71">SUM(BH49:BH52)</f>
        <v>0</v>
      </c>
    </row>
    <row r="49" spans="2:60" x14ac:dyDescent="0.25">
      <c r="B49" s="228">
        <v>521211</v>
      </c>
      <c r="C49" s="164" t="s">
        <v>7</v>
      </c>
      <c r="D49" s="164"/>
      <c r="E49" s="164"/>
      <c r="F49" s="165">
        <v>20830000</v>
      </c>
      <c r="G49" s="165">
        <v>20830000</v>
      </c>
      <c r="H49" s="165"/>
      <c r="I49" s="165">
        <f t="shared" ref="I49:I52" si="72">G49-F49</f>
        <v>0</v>
      </c>
      <c r="J49" s="165"/>
      <c r="K49" s="165"/>
      <c r="L49" s="165"/>
      <c r="M49" s="165"/>
      <c r="N49" s="165"/>
      <c r="O49" s="165"/>
      <c r="P49" s="165"/>
      <c r="Q49" s="165"/>
      <c r="R49" s="165"/>
      <c r="S49" s="165"/>
      <c r="T49" s="165"/>
      <c r="U49" s="165"/>
      <c r="V49" s="165"/>
      <c r="W49" s="165"/>
      <c r="X49" s="165"/>
      <c r="Y49" s="165"/>
      <c r="Z49" s="165"/>
      <c r="AA49" s="165"/>
      <c r="AB49" s="165"/>
      <c r="AC49" s="165"/>
      <c r="AD49" s="165"/>
      <c r="AE49" s="165"/>
      <c r="AF49" s="165"/>
      <c r="AG49" s="165"/>
      <c r="AH49" s="165"/>
      <c r="AI49" s="165"/>
      <c r="AJ49" s="165"/>
      <c r="AK49" s="165"/>
      <c r="AL49" s="165"/>
      <c r="AM49" s="165"/>
      <c r="AN49" s="165"/>
      <c r="AO49" s="165"/>
      <c r="AP49" s="165"/>
      <c r="AQ49" s="165"/>
      <c r="AR49" s="165"/>
      <c r="AS49" s="165"/>
      <c r="AT49" s="165">
        <f t="shared" si="33"/>
        <v>0</v>
      </c>
      <c r="AU49" s="168">
        <f t="shared" si="6"/>
        <v>0</v>
      </c>
      <c r="AV49" s="169">
        <f t="shared" si="7"/>
        <v>20830000</v>
      </c>
      <c r="AW49" s="168">
        <f t="shared" si="10"/>
        <v>100</v>
      </c>
      <c r="AX49" s="164" t="s">
        <v>535</v>
      </c>
      <c r="AY49" s="164" t="s">
        <v>536</v>
      </c>
      <c r="AZ49" s="164" t="s">
        <v>3921</v>
      </c>
      <c r="BA49" s="165"/>
      <c r="BB49" s="240"/>
      <c r="BC49" s="240"/>
      <c r="BD49" s="165"/>
      <c r="BE49" s="165"/>
      <c r="BF49" s="165"/>
      <c r="BG49" s="165"/>
      <c r="BH49" s="165"/>
    </row>
    <row r="50" spans="2:60" x14ac:dyDescent="0.25">
      <c r="B50" s="228">
        <v>521219</v>
      </c>
      <c r="C50" s="164" t="s">
        <v>53</v>
      </c>
      <c r="D50" s="164"/>
      <c r="E50" s="164"/>
      <c r="F50" s="165">
        <v>500000</v>
      </c>
      <c r="G50" s="165">
        <v>500000</v>
      </c>
      <c r="H50" s="165"/>
      <c r="I50" s="165">
        <f t="shared" si="72"/>
        <v>0</v>
      </c>
      <c r="J50" s="165"/>
      <c r="K50" s="165"/>
      <c r="L50" s="165"/>
      <c r="M50" s="165"/>
      <c r="N50" s="165"/>
      <c r="O50" s="165"/>
      <c r="P50" s="165"/>
      <c r="Q50" s="165"/>
      <c r="R50" s="165"/>
      <c r="S50" s="165"/>
      <c r="T50" s="165"/>
      <c r="U50" s="165"/>
      <c r="V50" s="165"/>
      <c r="W50" s="165"/>
      <c r="X50" s="165"/>
      <c r="Y50" s="165"/>
      <c r="Z50" s="165"/>
      <c r="AA50" s="165"/>
      <c r="AB50" s="165"/>
      <c r="AC50" s="165"/>
      <c r="AD50" s="165"/>
      <c r="AE50" s="165"/>
      <c r="AF50" s="165"/>
      <c r="AG50" s="165"/>
      <c r="AH50" s="165"/>
      <c r="AI50" s="165"/>
      <c r="AJ50" s="165"/>
      <c r="AK50" s="165"/>
      <c r="AL50" s="165"/>
      <c r="AM50" s="165"/>
      <c r="AN50" s="165"/>
      <c r="AO50" s="165"/>
      <c r="AP50" s="165"/>
      <c r="AQ50" s="165"/>
      <c r="AR50" s="165"/>
      <c r="AS50" s="165"/>
      <c r="AT50" s="165">
        <f t="shared" si="33"/>
        <v>0</v>
      </c>
      <c r="AU50" s="168">
        <f t="shared" si="6"/>
        <v>0</v>
      </c>
      <c r="AV50" s="169">
        <f t="shared" si="7"/>
        <v>500000</v>
      </c>
      <c r="AW50" s="168">
        <f t="shared" si="10"/>
        <v>100</v>
      </c>
      <c r="AX50" s="164" t="s">
        <v>535</v>
      </c>
      <c r="AY50" s="164" t="s">
        <v>536</v>
      </c>
      <c r="AZ50" s="164" t="s">
        <v>3921</v>
      </c>
      <c r="BA50" s="165"/>
      <c r="BB50" s="240"/>
      <c r="BC50" s="240"/>
      <c r="BD50" s="165"/>
      <c r="BE50" s="165"/>
      <c r="BF50" s="165"/>
      <c r="BG50" s="165"/>
      <c r="BH50" s="165"/>
    </row>
    <row r="51" spans="2:60" x14ac:dyDescent="0.25">
      <c r="B51" s="228">
        <v>522151</v>
      </c>
      <c r="C51" s="164" t="s">
        <v>11</v>
      </c>
      <c r="D51" s="164"/>
      <c r="E51" s="164"/>
      <c r="F51" s="165">
        <v>7200000</v>
      </c>
      <c r="G51" s="165">
        <v>7200000</v>
      </c>
      <c r="H51" s="165"/>
      <c r="I51" s="165">
        <f t="shared" si="72"/>
        <v>0</v>
      </c>
      <c r="J51" s="165"/>
      <c r="K51" s="165"/>
      <c r="L51" s="165"/>
      <c r="M51" s="165"/>
      <c r="N51" s="165"/>
      <c r="O51" s="165"/>
      <c r="P51" s="165"/>
      <c r="Q51" s="165"/>
      <c r="R51" s="165"/>
      <c r="S51" s="165"/>
      <c r="T51" s="165"/>
      <c r="U51" s="165"/>
      <c r="V51" s="165"/>
      <c r="W51" s="165"/>
      <c r="X51" s="165"/>
      <c r="Y51" s="165"/>
      <c r="Z51" s="165"/>
      <c r="AA51" s="165"/>
      <c r="AB51" s="165"/>
      <c r="AC51" s="165"/>
      <c r="AD51" s="165"/>
      <c r="AE51" s="165"/>
      <c r="AF51" s="165"/>
      <c r="AG51" s="165"/>
      <c r="AH51" s="165"/>
      <c r="AI51" s="165"/>
      <c r="AJ51" s="165"/>
      <c r="AK51" s="165"/>
      <c r="AL51" s="165"/>
      <c r="AM51" s="165"/>
      <c r="AN51" s="165"/>
      <c r="AO51" s="165"/>
      <c r="AP51" s="165"/>
      <c r="AQ51" s="165"/>
      <c r="AR51" s="165"/>
      <c r="AS51" s="165"/>
      <c r="AT51" s="165">
        <f t="shared" si="33"/>
        <v>0</v>
      </c>
      <c r="AU51" s="168">
        <f t="shared" si="6"/>
        <v>0</v>
      </c>
      <c r="AV51" s="169">
        <f t="shared" si="7"/>
        <v>7200000</v>
      </c>
      <c r="AW51" s="168">
        <f t="shared" si="10"/>
        <v>100</v>
      </c>
      <c r="AX51" s="164" t="s">
        <v>535</v>
      </c>
      <c r="AY51" s="164" t="s">
        <v>536</v>
      </c>
      <c r="AZ51" s="164" t="s">
        <v>3921</v>
      </c>
      <c r="BA51" s="165"/>
      <c r="BB51" s="240"/>
      <c r="BC51" s="240"/>
      <c r="BD51" s="165"/>
      <c r="BE51" s="165"/>
      <c r="BF51" s="165"/>
      <c r="BG51" s="165"/>
      <c r="BH51" s="165"/>
    </row>
    <row r="52" spans="2:60" x14ac:dyDescent="0.25">
      <c r="B52" s="228">
        <v>524111</v>
      </c>
      <c r="C52" s="164" t="s">
        <v>19</v>
      </c>
      <c r="D52" s="164"/>
      <c r="E52" s="164"/>
      <c r="F52" s="165">
        <v>23030000</v>
      </c>
      <c r="G52" s="165">
        <v>23030000</v>
      </c>
      <c r="H52" s="165"/>
      <c r="I52" s="165">
        <f t="shared" si="72"/>
        <v>0</v>
      </c>
      <c r="J52" s="165"/>
      <c r="K52" s="165"/>
      <c r="L52" s="165"/>
      <c r="M52" s="165"/>
      <c r="N52" s="165"/>
      <c r="O52" s="165"/>
      <c r="P52" s="165"/>
      <c r="Q52" s="165"/>
      <c r="R52" s="165"/>
      <c r="S52" s="165"/>
      <c r="T52" s="165"/>
      <c r="U52" s="165"/>
      <c r="V52" s="165"/>
      <c r="W52" s="165"/>
      <c r="X52" s="165"/>
      <c r="Y52" s="165"/>
      <c r="Z52" s="165"/>
      <c r="AA52" s="165"/>
      <c r="AB52" s="165"/>
      <c r="AC52" s="165"/>
      <c r="AD52" s="165"/>
      <c r="AE52" s="165"/>
      <c r="AF52" s="165"/>
      <c r="AG52" s="165"/>
      <c r="AH52" s="165"/>
      <c r="AI52" s="165"/>
      <c r="AJ52" s="165"/>
      <c r="AK52" s="165"/>
      <c r="AL52" s="165"/>
      <c r="AM52" s="165"/>
      <c r="AN52" s="165"/>
      <c r="AO52" s="165"/>
      <c r="AP52" s="165"/>
      <c r="AQ52" s="165"/>
      <c r="AR52" s="165"/>
      <c r="AS52" s="165"/>
      <c r="AT52" s="165">
        <f t="shared" si="33"/>
        <v>0</v>
      </c>
      <c r="AU52" s="168">
        <f t="shared" si="6"/>
        <v>0</v>
      </c>
      <c r="AV52" s="169">
        <f t="shared" si="7"/>
        <v>23030000</v>
      </c>
      <c r="AW52" s="168">
        <f t="shared" si="10"/>
        <v>100</v>
      </c>
      <c r="AX52" s="164" t="s">
        <v>535</v>
      </c>
      <c r="AY52" s="164" t="s">
        <v>536</v>
      </c>
      <c r="AZ52" s="164" t="s">
        <v>3921</v>
      </c>
      <c r="BA52" s="165"/>
      <c r="BB52" s="240"/>
      <c r="BC52" s="240"/>
      <c r="BD52" s="165"/>
      <c r="BE52" s="165"/>
      <c r="BF52" s="165"/>
      <c r="BG52" s="165"/>
      <c r="BH52" s="165"/>
    </row>
    <row r="53" spans="2:60" x14ac:dyDescent="0.25">
      <c r="B53" s="196" t="s">
        <v>526</v>
      </c>
      <c r="C53" s="197" t="s">
        <v>67</v>
      </c>
      <c r="D53" s="197"/>
      <c r="E53" s="197"/>
      <c r="F53" s="198">
        <f>F54</f>
        <v>135100000</v>
      </c>
      <c r="G53" s="198">
        <f>G54</f>
        <v>135100000</v>
      </c>
      <c r="H53" s="198">
        <f>H54</f>
        <v>0</v>
      </c>
      <c r="I53" s="198">
        <f>I54</f>
        <v>0</v>
      </c>
      <c r="J53" s="198">
        <f t="shared" ref="J53:AS53" si="73">J54</f>
        <v>0</v>
      </c>
      <c r="K53" s="198">
        <f t="shared" si="73"/>
        <v>0</v>
      </c>
      <c r="L53" s="198">
        <f t="shared" si="73"/>
        <v>0</v>
      </c>
      <c r="M53" s="198">
        <f t="shared" si="73"/>
        <v>0</v>
      </c>
      <c r="N53" s="198">
        <f t="shared" si="73"/>
        <v>0</v>
      </c>
      <c r="O53" s="198">
        <f t="shared" si="73"/>
        <v>0</v>
      </c>
      <c r="P53" s="198">
        <f t="shared" si="73"/>
        <v>0</v>
      </c>
      <c r="Q53" s="198">
        <f t="shared" si="73"/>
        <v>14333500</v>
      </c>
      <c r="R53" s="198">
        <f t="shared" si="73"/>
        <v>22507250</v>
      </c>
      <c r="S53" s="198">
        <f t="shared" si="73"/>
        <v>13520000</v>
      </c>
      <c r="T53" s="198">
        <f t="shared" si="73"/>
        <v>0</v>
      </c>
      <c r="U53" s="198">
        <f t="shared" si="73"/>
        <v>0</v>
      </c>
      <c r="V53" s="198">
        <f t="shared" si="73"/>
        <v>0</v>
      </c>
      <c r="W53" s="198">
        <f t="shared" si="73"/>
        <v>1500000</v>
      </c>
      <c r="X53" s="198">
        <f t="shared" si="73"/>
        <v>0</v>
      </c>
      <c r="Y53" s="198">
        <f t="shared" si="73"/>
        <v>22748610</v>
      </c>
      <c r="Z53" s="198">
        <f t="shared" si="73"/>
        <v>0</v>
      </c>
      <c r="AA53" s="198">
        <f t="shared" si="73"/>
        <v>0</v>
      </c>
      <c r="AB53" s="198">
        <f t="shared" si="73"/>
        <v>0</v>
      </c>
      <c r="AC53" s="198">
        <f t="shared" si="73"/>
        <v>0</v>
      </c>
      <c r="AD53" s="198">
        <f t="shared" si="73"/>
        <v>0</v>
      </c>
      <c r="AE53" s="198">
        <f t="shared" si="73"/>
        <v>0</v>
      </c>
      <c r="AF53" s="198">
        <f t="shared" si="73"/>
        <v>0</v>
      </c>
      <c r="AG53" s="198">
        <f t="shared" si="73"/>
        <v>0</v>
      </c>
      <c r="AH53" s="198">
        <f t="shared" si="73"/>
        <v>0</v>
      </c>
      <c r="AI53" s="198">
        <f t="shared" si="73"/>
        <v>0</v>
      </c>
      <c r="AJ53" s="198">
        <f t="shared" si="73"/>
        <v>0</v>
      </c>
      <c r="AK53" s="198">
        <f t="shared" si="73"/>
        <v>0</v>
      </c>
      <c r="AL53" s="198">
        <f t="shared" si="73"/>
        <v>0</v>
      </c>
      <c r="AM53" s="198">
        <f t="shared" si="73"/>
        <v>0</v>
      </c>
      <c r="AN53" s="198">
        <f t="shared" si="73"/>
        <v>0</v>
      </c>
      <c r="AO53" s="198">
        <f t="shared" si="73"/>
        <v>0</v>
      </c>
      <c r="AP53" s="198">
        <f t="shared" si="73"/>
        <v>0</v>
      </c>
      <c r="AQ53" s="198">
        <f t="shared" si="73"/>
        <v>0</v>
      </c>
      <c r="AR53" s="198">
        <f t="shared" si="73"/>
        <v>0</v>
      </c>
      <c r="AS53" s="198">
        <f t="shared" si="73"/>
        <v>0</v>
      </c>
      <c r="AT53" s="198">
        <f>SUM(J53:AS53)</f>
        <v>74609360</v>
      </c>
      <c r="AU53" s="199">
        <f t="shared" si="6"/>
        <v>55.22528497409327</v>
      </c>
      <c r="AV53" s="200">
        <f t="shared" si="7"/>
        <v>60490640</v>
      </c>
      <c r="AW53" s="199">
        <f t="shared" si="10"/>
        <v>44.774715025906737</v>
      </c>
      <c r="AX53" s="164" t="s">
        <v>535</v>
      </c>
      <c r="AY53" s="164" t="s">
        <v>538</v>
      </c>
      <c r="AZ53" s="164" t="s">
        <v>3921</v>
      </c>
      <c r="BA53" s="198">
        <f t="shared" ref="BA53:BH53" si="74">BA54</f>
        <v>0</v>
      </c>
      <c r="BB53" s="198">
        <f t="shared" si="74"/>
        <v>22507250</v>
      </c>
      <c r="BC53" s="198">
        <f t="shared" si="74"/>
        <v>14333500</v>
      </c>
      <c r="BD53" s="198">
        <f t="shared" si="74"/>
        <v>0</v>
      </c>
      <c r="BE53" s="198">
        <f t="shared" si="74"/>
        <v>1500000</v>
      </c>
      <c r="BF53" s="198">
        <f t="shared" si="74"/>
        <v>0</v>
      </c>
      <c r="BG53" s="198">
        <f t="shared" si="74"/>
        <v>0</v>
      </c>
      <c r="BH53" s="198">
        <f t="shared" si="74"/>
        <v>0</v>
      </c>
    </row>
    <row r="54" spans="2:60" x14ac:dyDescent="0.25">
      <c r="B54" s="230" t="s">
        <v>8</v>
      </c>
      <c r="C54" s="166" t="s">
        <v>68</v>
      </c>
      <c r="D54" s="166"/>
      <c r="E54" s="166"/>
      <c r="F54" s="167">
        <f>SUM(F55:F59)</f>
        <v>135100000</v>
      </c>
      <c r="G54" s="167">
        <f>SUM(G55:G59)</f>
        <v>135100000</v>
      </c>
      <c r="H54" s="167">
        <f>SUM(H55:H59)</f>
        <v>0</v>
      </c>
      <c r="I54" s="167">
        <f>SUM(I55:I59)</f>
        <v>0</v>
      </c>
      <c r="J54" s="167">
        <f t="shared" ref="J54:AS54" si="75">SUM(J55:J59)</f>
        <v>0</v>
      </c>
      <c r="K54" s="167">
        <f t="shared" si="75"/>
        <v>0</v>
      </c>
      <c r="L54" s="167">
        <f t="shared" si="75"/>
        <v>0</v>
      </c>
      <c r="M54" s="167">
        <f t="shared" si="75"/>
        <v>0</v>
      </c>
      <c r="N54" s="167">
        <f t="shared" si="75"/>
        <v>0</v>
      </c>
      <c r="O54" s="167">
        <f t="shared" si="75"/>
        <v>0</v>
      </c>
      <c r="P54" s="167">
        <f t="shared" si="75"/>
        <v>0</v>
      </c>
      <c r="Q54" s="167">
        <f t="shared" si="75"/>
        <v>14333500</v>
      </c>
      <c r="R54" s="167">
        <f t="shared" si="75"/>
        <v>22507250</v>
      </c>
      <c r="S54" s="167">
        <f t="shared" si="75"/>
        <v>13520000</v>
      </c>
      <c r="T54" s="167">
        <f t="shared" si="75"/>
        <v>0</v>
      </c>
      <c r="U54" s="167">
        <f t="shared" si="75"/>
        <v>0</v>
      </c>
      <c r="V54" s="167">
        <f t="shared" si="75"/>
        <v>0</v>
      </c>
      <c r="W54" s="167">
        <f t="shared" si="75"/>
        <v>1500000</v>
      </c>
      <c r="X54" s="167">
        <f t="shared" si="75"/>
        <v>0</v>
      </c>
      <c r="Y54" s="167">
        <f t="shared" si="75"/>
        <v>22748610</v>
      </c>
      <c r="Z54" s="167">
        <f t="shared" si="75"/>
        <v>0</v>
      </c>
      <c r="AA54" s="167">
        <f t="shared" si="75"/>
        <v>0</v>
      </c>
      <c r="AB54" s="167">
        <f t="shared" si="75"/>
        <v>0</v>
      </c>
      <c r="AC54" s="167">
        <f t="shared" si="75"/>
        <v>0</v>
      </c>
      <c r="AD54" s="167">
        <f t="shared" si="75"/>
        <v>0</v>
      </c>
      <c r="AE54" s="167">
        <f t="shared" si="75"/>
        <v>0</v>
      </c>
      <c r="AF54" s="167">
        <f t="shared" si="75"/>
        <v>0</v>
      </c>
      <c r="AG54" s="167">
        <f t="shared" si="75"/>
        <v>0</v>
      </c>
      <c r="AH54" s="167">
        <f t="shared" si="75"/>
        <v>0</v>
      </c>
      <c r="AI54" s="167">
        <f t="shared" si="75"/>
        <v>0</v>
      </c>
      <c r="AJ54" s="167">
        <f t="shared" si="75"/>
        <v>0</v>
      </c>
      <c r="AK54" s="167">
        <f t="shared" si="75"/>
        <v>0</v>
      </c>
      <c r="AL54" s="167">
        <f t="shared" si="75"/>
        <v>0</v>
      </c>
      <c r="AM54" s="167">
        <f t="shared" si="75"/>
        <v>0</v>
      </c>
      <c r="AN54" s="167">
        <f t="shared" si="75"/>
        <v>0</v>
      </c>
      <c r="AO54" s="167">
        <f t="shared" si="75"/>
        <v>0</v>
      </c>
      <c r="AP54" s="167">
        <f t="shared" si="75"/>
        <v>0</v>
      </c>
      <c r="AQ54" s="167">
        <f t="shared" si="75"/>
        <v>0</v>
      </c>
      <c r="AR54" s="167">
        <f t="shared" si="75"/>
        <v>0</v>
      </c>
      <c r="AS54" s="167">
        <f t="shared" si="75"/>
        <v>0</v>
      </c>
      <c r="AT54" s="167">
        <f>SUM(J54:AS54)</f>
        <v>74609360</v>
      </c>
      <c r="AU54" s="175">
        <f t="shared" si="6"/>
        <v>55.22528497409327</v>
      </c>
      <c r="AV54" s="176">
        <f t="shared" si="7"/>
        <v>60490640</v>
      </c>
      <c r="AW54" s="175">
        <f t="shared" si="10"/>
        <v>44.774715025906737</v>
      </c>
      <c r="AX54" s="164" t="s">
        <v>535</v>
      </c>
      <c r="AY54" s="164" t="s">
        <v>538</v>
      </c>
      <c r="AZ54" s="164" t="s">
        <v>3921</v>
      </c>
      <c r="BA54" s="167">
        <f t="shared" ref="BA54" si="76">SUM(BA55:BA59)</f>
        <v>0</v>
      </c>
      <c r="BB54" s="167">
        <f t="shared" ref="BB54:BC54" si="77">SUM(BB55:BB59)</f>
        <v>22507250</v>
      </c>
      <c r="BC54" s="167">
        <f t="shared" si="77"/>
        <v>14333500</v>
      </c>
      <c r="BD54" s="167">
        <f t="shared" ref="BD54" si="78">SUM(BD55:BD59)</f>
        <v>0</v>
      </c>
      <c r="BE54" s="167">
        <f t="shared" ref="BE54" si="79">SUM(BE55:BE59)</f>
        <v>1500000</v>
      </c>
      <c r="BF54" s="167">
        <f t="shared" ref="BF54:BG54" si="80">SUM(BF55:BF59)</f>
        <v>0</v>
      </c>
      <c r="BG54" s="167">
        <f t="shared" si="80"/>
        <v>0</v>
      </c>
      <c r="BH54" s="167">
        <f t="shared" ref="BH54" si="81">SUM(BH55:BH59)</f>
        <v>0</v>
      </c>
    </row>
    <row r="55" spans="2:60" x14ac:dyDescent="0.25">
      <c r="B55" s="228">
        <v>521211</v>
      </c>
      <c r="C55" s="164" t="s">
        <v>7</v>
      </c>
      <c r="D55" s="164"/>
      <c r="E55" s="164"/>
      <c r="F55" s="165">
        <v>13900000</v>
      </c>
      <c r="G55" s="165">
        <v>13900000</v>
      </c>
      <c r="H55" s="165"/>
      <c r="I55" s="165">
        <f t="shared" ref="I55:I59" si="82">G55-F55</f>
        <v>0</v>
      </c>
      <c r="J55" s="165"/>
      <c r="K55" s="165"/>
      <c r="L55" s="165"/>
      <c r="M55" s="165"/>
      <c r="N55" s="165"/>
      <c r="O55" s="165"/>
      <c r="P55" s="165"/>
      <c r="Q55" s="240">
        <v>2493500</v>
      </c>
      <c r="R55" s="240">
        <v>5497250</v>
      </c>
      <c r="S55" s="165"/>
      <c r="T55" s="165"/>
      <c r="U55" s="165"/>
      <c r="V55" s="165"/>
      <c r="W55" s="165">
        <v>1500000</v>
      </c>
      <c r="X55" s="165"/>
      <c r="Y55" s="165"/>
      <c r="Z55" s="165"/>
      <c r="AA55" s="165"/>
      <c r="AB55" s="165"/>
      <c r="AC55" s="165"/>
      <c r="AD55" s="165"/>
      <c r="AE55" s="165"/>
      <c r="AF55" s="165"/>
      <c r="AG55" s="165"/>
      <c r="AH55" s="165"/>
      <c r="AI55" s="165"/>
      <c r="AJ55" s="165"/>
      <c r="AK55" s="165"/>
      <c r="AL55" s="165"/>
      <c r="AM55" s="165"/>
      <c r="AN55" s="165"/>
      <c r="AO55" s="165"/>
      <c r="AP55" s="165"/>
      <c r="AQ55" s="165"/>
      <c r="AR55" s="165"/>
      <c r="AS55" s="165"/>
      <c r="AT55" s="165">
        <f t="shared" si="33"/>
        <v>9490750</v>
      </c>
      <c r="AU55" s="168">
        <f t="shared" si="6"/>
        <v>68.27877697841727</v>
      </c>
      <c r="AV55" s="169">
        <f t="shared" si="7"/>
        <v>4409250</v>
      </c>
      <c r="AW55" s="168">
        <f t="shared" si="10"/>
        <v>31.721223021582734</v>
      </c>
      <c r="AX55" s="164" t="s">
        <v>535</v>
      </c>
      <c r="AY55" s="164" t="s">
        <v>538</v>
      </c>
      <c r="AZ55" s="164" t="s">
        <v>3921</v>
      </c>
      <c r="BA55" s="165"/>
      <c r="BB55" s="240">
        <v>5497250</v>
      </c>
      <c r="BC55" s="240">
        <v>2493500</v>
      </c>
      <c r="BD55" s="165"/>
      <c r="BE55" s="165">
        <v>1500000</v>
      </c>
      <c r="BF55" s="165"/>
      <c r="BG55" s="165"/>
      <c r="BH55" s="165"/>
    </row>
    <row r="56" spans="2:60" x14ac:dyDescent="0.25">
      <c r="B56" s="228">
        <v>521219</v>
      </c>
      <c r="C56" s="164" t="s">
        <v>53</v>
      </c>
      <c r="D56" s="164"/>
      <c r="E56" s="164"/>
      <c r="F56" s="165">
        <v>8784000</v>
      </c>
      <c r="G56" s="165">
        <v>8784000</v>
      </c>
      <c r="H56" s="165"/>
      <c r="I56" s="165">
        <f t="shared" si="82"/>
        <v>0</v>
      </c>
      <c r="J56" s="165"/>
      <c r="K56" s="165"/>
      <c r="L56" s="165"/>
      <c r="M56" s="165"/>
      <c r="N56" s="165"/>
      <c r="O56" s="165"/>
      <c r="P56" s="165"/>
      <c r="Q56" s="165"/>
      <c r="R56" s="240"/>
      <c r="S56" s="165"/>
      <c r="T56" s="165"/>
      <c r="U56" s="165"/>
      <c r="V56" s="165"/>
      <c r="W56" s="165"/>
      <c r="X56" s="165"/>
      <c r="Y56" s="165"/>
      <c r="Z56" s="165"/>
      <c r="AA56" s="165"/>
      <c r="AB56" s="165"/>
      <c r="AC56" s="165"/>
      <c r="AD56" s="165"/>
      <c r="AE56" s="165"/>
      <c r="AF56" s="165"/>
      <c r="AG56" s="165"/>
      <c r="AH56" s="165"/>
      <c r="AI56" s="165"/>
      <c r="AJ56" s="165"/>
      <c r="AK56" s="165"/>
      <c r="AL56" s="165"/>
      <c r="AM56" s="165"/>
      <c r="AN56" s="165"/>
      <c r="AO56" s="165"/>
      <c r="AP56" s="165"/>
      <c r="AQ56" s="165"/>
      <c r="AR56" s="165"/>
      <c r="AS56" s="165"/>
      <c r="AT56" s="165">
        <f t="shared" si="33"/>
        <v>0</v>
      </c>
      <c r="AU56" s="168">
        <f t="shared" si="6"/>
        <v>0</v>
      </c>
      <c r="AV56" s="169">
        <f t="shared" si="7"/>
        <v>8784000</v>
      </c>
      <c r="AW56" s="168">
        <f t="shared" si="10"/>
        <v>100</v>
      </c>
      <c r="AX56" s="164" t="s">
        <v>535</v>
      </c>
      <c r="AY56" s="164" t="s">
        <v>538</v>
      </c>
      <c r="AZ56" s="164" t="s">
        <v>3921</v>
      </c>
      <c r="BA56" s="165"/>
      <c r="BB56" s="240"/>
      <c r="BC56" s="240"/>
      <c r="BD56" s="165"/>
      <c r="BE56" s="165"/>
      <c r="BF56" s="165"/>
      <c r="BG56" s="165"/>
      <c r="BH56" s="165"/>
    </row>
    <row r="57" spans="2:60" x14ac:dyDescent="0.25">
      <c r="B57" s="228">
        <v>522151</v>
      </c>
      <c r="C57" s="164" t="s">
        <v>11</v>
      </c>
      <c r="D57" s="164"/>
      <c r="E57" s="164"/>
      <c r="F57" s="165">
        <v>10000000</v>
      </c>
      <c r="G57" s="165">
        <v>10000000</v>
      </c>
      <c r="H57" s="165"/>
      <c r="I57" s="165">
        <f t="shared" si="82"/>
        <v>0</v>
      </c>
      <c r="J57" s="165"/>
      <c r="K57" s="165"/>
      <c r="L57" s="165"/>
      <c r="M57" s="165"/>
      <c r="N57" s="165"/>
      <c r="O57" s="165"/>
      <c r="P57" s="165"/>
      <c r="Q57" s="165"/>
      <c r="R57" s="240"/>
      <c r="S57" s="165">
        <v>7200000</v>
      </c>
      <c r="T57" s="165"/>
      <c r="U57" s="165"/>
      <c r="V57" s="165"/>
      <c r="W57" s="165"/>
      <c r="X57" s="165"/>
      <c r="Y57" s="165"/>
      <c r="Z57" s="165"/>
      <c r="AA57" s="165"/>
      <c r="AB57" s="165"/>
      <c r="AC57" s="165"/>
      <c r="AD57" s="165"/>
      <c r="AE57" s="165"/>
      <c r="AF57" s="165"/>
      <c r="AG57" s="165"/>
      <c r="AH57" s="165"/>
      <c r="AI57" s="165"/>
      <c r="AJ57" s="165"/>
      <c r="AK57" s="165"/>
      <c r="AL57" s="165"/>
      <c r="AM57" s="165"/>
      <c r="AN57" s="165"/>
      <c r="AO57" s="165"/>
      <c r="AP57" s="165"/>
      <c r="AQ57" s="165"/>
      <c r="AR57" s="165"/>
      <c r="AS57" s="165"/>
      <c r="AT57" s="165">
        <f t="shared" si="33"/>
        <v>7200000</v>
      </c>
      <c r="AU57" s="168">
        <f t="shared" si="6"/>
        <v>72</v>
      </c>
      <c r="AV57" s="169">
        <f t="shared" si="7"/>
        <v>2800000</v>
      </c>
      <c r="AW57" s="168">
        <f t="shared" si="10"/>
        <v>28.000000000000004</v>
      </c>
      <c r="AX57" s="164" t="s">
        <v>535</v>
      </c>
      <c r="AY57" s="164" t="s">
        <v>538</v>
      </c>
      <c r="AZ57" s="164" t="s">
        <v>3921</v>
      </c>
      <c r="BA57" s="165"/>
      <c r="BB57" s="240"/>
      <c r="BC57" s="240"/>
      <c r="BD57" s="165"/>
      <c r="BE57" s="165"/>
      <c r="BF57" s="165"/>
      <c r="BG57" s="165"/>
      <c r="BH57" s="165"/>
    </row>
    <row r="58" spans="2:60" x14ac:dyDescent="0.25">
      <c r="B58" s="228">
        <v>522192</v>
      </c>
      <c r="C58" s="164" t="s">
        <v>24</v>
      </c>
      <c r="D58" s="164"/>
      <c r="E58" s="164"/>
      <c r="F58" s="165">
        <v>5000000</v>
      </c>
      <c r="G58" s="165">
        <v>5000000</v>
      </c>
      <c r="H58" s="165"/>
      <c r="I58" s="165">
        <f t="shared" si="82"/>
        <v>0</v>
      </c>
      <c r="J58" s="165"/>
      <c r="K58" s="165"/>
      <c r="L58" s="165"/>
      <c r="M58" s="165"/>
      <c r="N58" s="165"/>
      <c r="O58" s="165"/>
      <c r="P58" s="165"/>
      <c r="Q58" s="165"/>
      <c r="R58" s="240"/>
      <c r="S58" s="165"/>
      <c r="T58" s="165"/>
      <c r="U58" s="165"/>
      <c r="V58" s="165"/>
      <c r="W58" s="165"/>
      <c r="X58" s="165"/>
      <c r="Y58" s="165"/>
      <c r="Z58" s="165"/>
      <c r="AA58" s="165"/>
      <c r="AB58" s="165"/>
      <c r="AC58" s="165"/>
      <c r="AD58" s="165"/>
      <c r="AE58" s="165"/>
      <c r="AF58" s="165"/>
      <c r="AG58" s="165"/>
      <c r="AH58" s="165"/>
      <c r="AI58" s="165"/>
      <c r="AJ58" s="165"/>
      <c r="AK58" s="165"/>
      <c r="AL58" s="165"/>
      <c r="AM58" s="165"/>
      <c r="AN58" s="165"/>
      <c r="AO58" s="165"/>
      <c r="AP58" s="165"/>
      <c r="AQ58" s="165"/>
      <c r="AR58" s="165"/>
      <c r="AS58" s="165"/>
      <c r="AT58" s="165">
        <f t="shared" si="33"/>
        <v>0</v>
      </c>
      <c r="AU58" s="168">
        <f t="shared" si="6"/>
        <v>0</v>
      </c>
      <c r="AV58" s="169">
        <f t="shared" si="7"/>
        <v>5000000</v>
      </c>
      <c r="AW58" s="168">
        <f t="shared" si="10"/>
        <v>100</v>
      </c>
      <c r="AX58" s="164" t="s">
        <v>535</v>
      </c>
      <c r="AY58" s="164" t="s">
        <v>538</v>
      </c>
      <c r="AZ58" s="164" t="s">
        <v>3921</v>
      </c>
      <c r="BA58" s="165"/>
      <c r="BB58" s="240"/>
      <c r="BC58" s="240"/>
      <c r="BD58" s="165"/>
      <c r="BE58" s="165"/>
      <c r="BF58" s="165"/>
      <c r="BG58" s="165"/>
      <c r="BH58" s="165"/>
    </row>
    <row r="59" spans="2:60" x14ac:dyDescent="0.25">
      <c r="B59" s="228">
        <v>524111</v>
      </c>
      <c r="C59" s="164" t="s">
        <v>19</v>
      </c>
      <c r="D59" s="164"/>
      <c r="E59" s="164"/>
      <c r="F59" s="165">
        <v>97416000</v>
      </c>
      <c r="G59" s="165">
        <v>97416000</v>
      </c>
      <c r="H59" s="165"/>
      <c r="I59" s="165">
        <f t="shared" si="82"/>
        <v>0</v>
      </c>
      <c r="J59" s="165"/>
      <c r="K59" s="165"/>
      <c r="L59" s="165"/>
      <c r="M59" s="165"/>
      <c r="N59" s="165"/>
      <c r="O59" s="165"/>
      <c r="P59" s="165"/>
      <c r="Q59" s="240">
        <v>11840000</v>
      </c>
      <c r="R59" s="240">
        <v>17010000</v>
      </c>
      <c r="S59" s="165">
        <v>6320000</v>
      </c>
      <c r="T59" s="165"/>
      <c r="U59" s="165"/>
      <c r="V59" s="165"/>
      <c r="W59" s="165"/>
      <c r="X59" s="165"/>
      <c r="Y59" s="165">
        <f>11343740+11404870</f>
        <v>22748610</v>
      </c>
      <c r="Z59" s="165"/>
      <c r="AA59" s="165"/>
      <c r="AB59" s="165"/>
      <c r="AC59" s="165"/>
      <c r="AD59" s="165"/>
      <c r="AE59" s="165"/>
      <c r="AF59" s="165"/>
      <c r="AG59" s="165"/>
      <c r="AH59" s="165"/>
      <c r="AI59" s="165"/>
      <c r="AJ59" s="165"/>
      <c r="AK59" s="165"/>
      <c r="AL59" s="165"/>
      <c r="AM59" s="165"/>
      <c r="AN59" s="165"/>
      <c r="AO59" s="165"/>
      <c r="AP59" s="165"/>
      <c r="AQ59" s="165"/>
      <c r="AR59" s="165"/>
      <c r="AS59" s="165"/>
      <c r="AT59" s="165">
        <f t="shared" si="33"/>
        <v>57918610</v>
      </c>
      <c r="AU59" s="168">
        <f t="shared" si="6"/>
        <v>59.454925268949651</v>
      </c>
      <c r="AV59" s="169">
        <f t="shared" si="7"/>
        <v>39497390</v>
      </c>
      <c r="AW59" s="168">
        <f t="shared" si="10"/>
        <v>40.545074731050342</v>
      </c>
      <c r="AX59" s="164" t="s">
        <v>535</v>
      </c>
      <c r="AY59" s="164" t="s">
        <v>538</v>
      </c>
      <c r="AZ59" s="164" t="s">
        <v>3921</v>
      </c>
      <c r="BA59" s="165"/>
      <c r="BB59" s="240">
        <v>17010000</v>
      </c>
      <c r="BC59" s="240">
        <v>11840000</v>
      </c>
      <c r="BD59" s="165"/>
      <c r="BE59" s="165"/>
      <c r="BF59" s="165"/>
      <c r="BG59" s="165"/>
      <c r="BH59" s="165"/>
    </row>
    <row r="60" spans="2:60" x14ac:dyDescent="0.25">
      <c r="B60" s="190" t="s">
        <v>69</v>
      </c>
      <c r="C60" s="191" t="s">
        <v>70</v>
      </c>
      <c r="D60" s="191"/>
      <c r="E60" s="191"/>
      <c r="F60" s="192">
        <f t="shared" ref="F60:AS60" si="83">F61+F204</f>
        <v>10475804000</v>
      </c>
      <c r="G60" s="192">
        <f t="shared" ref="G60:H60" si="84">G61+G204</f>
        <v>15863164000</v>
      </c>
      <c r="H60" s="192">
        <f t="shared" si="84"/>
        <v>100000000</v>
      </c>
      <c r="I60" s="192">
        <f t="shared" ref="I60" si="85">I61+I204</f>
        <v>5387360000</v>
      </c>
      <c r="J60" s="192">
        <f t="shared" si="83"/>
        <v>0</v>
      </c>
      <c r="K60" s="192">
        <f t="shared" si="83"/>
        <v>0</v>
      </c>
      <c r="L60" s="192">
        <f t="shared" si="83"/>
        <v>0</v>
      </c>
      <c r="M60" s="192">
        <f t="shared" si="83"/>
        <v>74237800</v>
      </c>
      <c r="N60" s="192">
        <f t="shared" si="83"/>
        <v>0</v>
      </c>
      <c r="O60" s="192">
        <f t="shared" si="83"/>
        <v>0</v>
      </c>
      <c r="P60" s="192">
        <f t="shared" si="83"/>
        <v>63640000</v>
      </c>
      <c r="Q60" s="192">
        <f t="shared" si="83"/>
        <v>167335190</v>
      </c>
      <c r="R60" s="192">
        <f t="shared" si="83"/>
        <v>320537487</v>
      </c>
      <c r="S60" s="192">
        <f t="shared" si="83"/>
        <v>1763177854</v>
      </c>
      <c r="T60" s="192">
        <f t="shared" si="83"/>
        <v>95254996</v>
      </c>
      <c r="U60" s="192">
        <f t="shared" si="83"/>
        <v>0</v>
      </c>
      <c r="V60" s="192">
        <f t="shared" si="83"/>
        <v>757387100</v>
      </c>
      <c r="W60" s="192">
        <f t="shared" si="83"/>
        <v>179018093</v>
      </c>
      <c r="X60" s="192">
        <f t="shared" si="83"/>
        <v>235964831</v>
      </c>
      <c r="Y60" s="192">
        <f t="shared" si="83"/>
        <v>2034687981</v>
      </c>
      <c r="Z60" s="192">
        <f t="shared" si="83"/>
        <v>0</v>
      </c>
      <c r="AA60" s="192">
        <f t="shared" si="83"/>
        <v>7559500</v>
      </c>
      <c r="AB60" s="192">
        <f t="shared" si="83"/>
        <v>0</v>
      </c>
      <c r="AC60" s="192">
        <f t="shared" si="83"/>
        <v>0</v>
      </c>
      <c r="AD60" s="192">
        <f t="shared" si="83"/>
        <v>0</v>
      </c>
      <c r="AE60" s="192">
        <f t="shared" si="83"/>
        <v>0</v>
      </c>
      <c r="AF60" s="192">
        <f t="shared" si="83"/>
        <v>0</v>
      </c>
      <c r="AG60" s="192">
        <f t="shared" si="83"/>
        <v>0</v>
      </c>
      <c r="AH60" s="192">
        <f t="shared" si="83"/>
        <v>0</v>
      </c>
      <c r="AI60" s="192">
        <f t="shared" si="83"/>
        <v>0</v>
      </c>
      <c r="AJ60" s="192">
        <f t="shared" si="83"/>
        <v>0</v>
      </c>
      <c r="AK60" s="192">
        <f t="shared" si="83"/>
        <v>0</v>
      </c>
      <c r="AL60" s="192">
        <f t="shared" si="83"/>
        <v>0</v>
      </c>
      <c r="AM60" s="192">
        <f t="shared" si="83"/>
        <v>0</v>
      </c>
      <c r="AN60" s="192">
        <f t="shared" si="83"/>
        <v>0</v>
      </c>
      <c r="AO60" s="192">
        <f t="shared" si="83"/>
        <v>0</v>
      </c>
      <c r="AP60" s="192">
        <f t="shared" si="83"/>
        <v>0</v>
      </c>
      <c r="AQ60" s="192">
        <f t="shared" si="83"/>
        <v>0</v>
      </c>
      <c r="AR60" s="192">
        <f t="shared" si="83"/>
        <v>0</v>
      </c>
      <c r="AS60" s="192">
        <f t="shared" si="83"/>
        <v>0</v>
      </c>
      <c r="AT60" s="192">
        <f>SUM(J60:AS60)</f>
        <v>5698800832</v>
      </c>
      <c r="AU60" s="193">
        <f t="shared" si="6"/>
        <v>54.399651158039994</v>
      </c>
      <c r="AV60" s="194">
        <f t="shared" ref="AV60:AV64" si="86">F60-AT60</f>
        <v>4777003168</v>
      </c>
      <c r="AW60" s="193">
        <f t="shared" ref="AW60:AW65" si="87">AV60/F60*100</f>
        <v>45.600348841960006</v>
      </c>
      <c r="AX60" s="164"/>
      <c r="AY60" s="164"/>
      <c r="AZ60" s="164" t="s">
        <v>3921</v>
      </c>
      <c r="BA60" s="192">
        <f>BA61+BA204</f>
        <v>99961115</v>
      </c>
      <c r="BB60" s="192">
        <f>BB61+BB204</f>
        <v>320537487</v>
      </c>
      <c r="BC60" s="192">
        <f>BC61+BC204</f>
        <v>67374075</v>
      </c>
      <c r="BD60" s="192">
        <f>BD61+BD204</f>
        <v>95254996</v>
      </c>
      <c r="BE60" s="192">
        <f t="shared" ref="BE60" si="88">BE61+BE204</f>
        <v>93939616</v>
      </c>
      <c r="BF60" s="192">
        <f t="shared" ref="BF60:BG60" si="89">BF61+BF204</f>
        <v>85078477</v>
      </c>
      <c r="BG60" s="192">
        <f t="shared" si="89"/>
        <v>235964831</v>
      </c>
      <c r="BH60" s="192">
        <f t="shared" ref="BH60" si="90">BH61+BH204</f>
        <v>7559500</v>
      </c>
    </row>
    <row r="61" spans="2:60" x14ac:dyDescent="0.25">
      <c r="B61" s="184">
        <v>2378</v>
      </c>
      <c r="C61" s="185" t="s">
        <v>71</v>
      </c>
      <c r="D61" s="185"/>
      <c r="E61" s="185"/>
      <c r="F61" s="186">
        <f t="shared" ref="F61:AS61" si="91">F62+F67+F141+F146</f>
        <v>4393304000</v>
      </c>
      <c r="G61" s="186">
        <f t="shared" ref="G61:H61" si="92">G62+G67+G141+G146</f>
        <v>7280664000</v>
      </c>
      <c r="H61" s="186">
        <f t="shared" si="92"/>
        <v>100000000</v>
      </c>
      <c r="I61" s="186">
        <f t="shared" ref="I61" si="93">I62+I67+I141+I146</f>
        <v>2887360000</v>
      </c>
      <c r="J61" s="186">
        <f t="shared" si="91"/>
        <v>0</v>
      </c>
      <c r="K61" s="186">
        <f t="shared" si="91"/>
        <v>0</v>
      </c>
      <c r="L61" s="186">
        <f t="shared" si="91"/>
        <v>0</v>
      </c>
      <c r="M61" s="186">
        <f t="shared" si="91"/>
        <v>74237800</v>
      </c>
      <c r="N61" s="186">
        <f t="shared" si="91"/>
        <v>0</v>
      </c>
      <c r="O61" s="186">
        <f t="shared" si="91"/>
        <v>0</v>
      </c>
      <c r="P61" s="186">
        <f t="shared" si="91"/>
        <v>63640000</v>
      </c>
      <c r="Q61" s="186">
        <f t="shared" si="91"/>
        <v>167335190</v>
      </c>
      <c r="R61" s="186">
        <f t="shared" si="91"/>
        <v>320537487</v>
      </c>
      <c r="S61" s="186">
        <f t="shared" si="91"/>
        <v>207482498</v>
      </c>
      <c r="T61" s="186">
        <f t="shared" si="91"/>
        <v>95254996</v>
      </c>
      <c r="U61" s="186">
        <f t="shared" si="91"/>
        <v>0</v>
      </c>
      <c r="V61" s="186">
        <f t="shared" si="91"/>
        <v>757387100</v>
      </c>
      <c r="W61" s="186">
        <f t="shared" si="91"/>
        <v>179018093</v>
      </c>
      <c r="X61" s="186">
        <f t="shared" si="91"/>
        <v>198072198</v>
      </c>
      <c r="Y61" s="186">
        <f t="shared" si="91"/>
        <v>154451558</v>
      </c>
      <c r="Z61" s="186">
        <f t="shared" si="91"/>
        <v>0</v>
      </c>
      <c r="AA61" s="186">
        <f t="shared" si="91"/>
        <v>4670000</v>
      </c>
      <c r="AB61" s="186">
        <f t="shared" si="91"/>
        <v>0</v>
      </c>
      <c r="AC61" s="186">
        <f t="shared" si="91"/>
        <v>0</v>
      </c>
      <c r="AD61" s="186">
        <f t="shared" si="91"/>
        <v>0</v>
      </c>
      <c r="AE61" s="186">
        <f t="shared" si="91"/>
        <v>0</v>
      </c>
      <c r="AF61" s="186">
        <f t="shared" si="91"/>
        <v>0</v>
      </c>
      <c r="AG61" s="186">
        <f t="shared" si="91"/>
        <v>0</v>
      </c>
      <c r="AH61" s="186">
        <f t="shared" si="91"/>
        <v>0</v>
      </c>
      <c r="AI61" s="186">
        <f t="shared" si="91"/>
        <v>0</v>
      </c>
      <c r="AJ61" s="186">
        <f t="shared" si="91"/>
        <v>0</v>
      </c>
      <c r="AK61" s="186">
        <f t="shared" si="91"/>
        <v>0</v>
      </c>
      <c r="AL61" s="186">
        <f t="shared" si="91"/>
        <v>0</v>
      </c>
      <c r="AM61" s="186">
        <f t="shared" si="91"/>
        <v>0</v>
      </c>
      <c r="AN61" s="186">
        <f t="shared" si="91"/>
        <v>0</v>
      </c>
      <c r="AO61" s="186">
        <f t="shared" si="91"/>
        <v>0</v>
      </c>
      <c r="AP61" s="186">
        <f t="shared" si="91"/>
        <v>0</v>
      </c>
      <c r="AQ61" s="186">
        <f t="shared" si="91"/>
        <v>0</v>
      </c>
      <c r="AR61" s="186">
        <f t="shared" si="91"/>
        <v>0</v>
      </c>
      <c r="AS61" s="186">
        <f t="shared" si="91"/>
        <v>0</v>
      </c>
      <c r="AT61" s="186">
        <f t="shared" si="33"/>
        <v>2222086920</v>
      </c>
      <c r="AU61" s="187">
        <f t="shared" si="6"/>
        <v>50.578947416340867</v>
      </c>
      <c r="AV61" s="188">
        <f t="shared" si="86"/>
        <v>2171217080</v>
      </c>
      <c r="AW61" s="187">
        <f t="shared" si="87"/>
        <v>49.421052583659133</v>
      </c>
      <c r="AX61" s="164"/>
      <c r="AY61" s="164"/>
      <c r="AZ61" s="164" t="s">
        <v>3921</v>
      </c>
      <c r="BA61" s="186">
        <f>BA62+BA67+BA141+BA146</f>
        <v>99961115</v>
      </c>
      <c r="BB61" s="186">
        <f>BB62+BB67+BB141+BB146</f>
        <v>320537487</v>
      </c>
      <c r="BC61" s="186">
        <f>BC62+BC67+BC141+BC146</f>
        <v>67374075</v>
      </c>
      <c r="BD61" s="186">
        <f>BD62+BD67+BD141+BD146</f>
        <v>95254996</v>
      </c>
      <c r="BE61" s="186">
        <f t="shared" ref="BE61" si="94">BE62+BE67+BE141+BE146</f>
        <v>93939616</v>
      </c>
      <c r="BF61" s="186">
        <f t="shared" ref="BF61:BG61" si="95">BF62+BF67+BF141+BF146</f>
        <v>85078477</v>
      </c>
      <c r="BG61" s="186">
        <f t="shared" si="95"/>
        <v>198072198</v>
      </c>
      <c r="BH61" s="186">
        <f t="shared" ref="BH61" si="96">BH62+BH67+BH141+BH146</f>
        <v>4670000</v>
      </c>
    </row>
    <row r="62" spans="2:60" x14ac:dyDescent="0.25">
      <c r="B62" s="180" t="s">
        <v>820</v>
      </c>
      <c r="C62" s="181" t="s">
        <v>821</v>
      </c>
      <c r="D62" s="181">
        <v>1</v>
      </c>
      <c r="E62" s="181" t="s">
        <v>42</v>
      </c>
      <c r="F62" s="179">
        <f t="shared" ref="F62:X64" si="97">F63</f>
        <v>114200000</v>
      </c>
      <c r="G62" s="179">
        <f t="shared" si="97"/>
        <v>115000000</v>
      </c>
      <c r="H62" s="179">
        <f t="shared" si="97"/>
        <v>0</v>
      </c>
      <c r="I62" s="179">
        <f t="shared" si="97"/>
        <v>800000</v>
      </c>
      <c r="J62" s="179">
        <f t="shared" si="97"/>
        <v>0</v>
      </c>
      <c r="K62" s="179">
        <f t="shared" si="97"/>
        <v>0</v>
      </c>
      <c r="L62" s="179">
        <f t="shared" si="97"/>
        <v>0</v>
      </c>
      <c r="M62" s="179">
        <f t="shared" si="97"/>
        <v>0</v>
      </c>
      <c r="N62" s="179">
        <f t="shared" si="97"/>
        <v>0</v>
      </c>
      <c r="O62" s="179">
        <f t="shared" si="97"/>
        <v>0</v>
      </c>
      <c r="P62" s="179">
        <f t="shared" si="97"/>
        <v>0</v>
      </c>
      <c r="Q62" s="179">
        <f t="shared" si="97"/>
        <v>0</v>
      </c>
      <c r="R62" s="179">
        <f t="shared" si="97"/>
        <v>0</v>
      </c>
      <c r="S62" s="179">
        <f t="shared" si="97"/>
        <v>0</v>
      </c>
      <c r="T62" s="179">
        <f t="shared" si="97"/>
        <v>0</v>
      </c>
      <c r="U62" s="179">
        <f t="shared" si="97"/>
        <v>0</v>
      </c>
      <c r="V62" s="179">
        <f t="shared" si="97"/>
        <v>114200000</v>
      </c>
      <c r="W62" s="179">
        <f t="shared" si="97"/>
        <v>0</v>
      </c>
      <c r="X62" s="179">
        <f t="shared" si="97"/>
        <v>0</v>
      </c>
      <c r="Y62" s="179">
        <f t="shared" ref="J62:AS64" si="98">Y63</f>
        <v>0</v>
      </c>
      <c r="Z62" s="179">
        <f t="shared" si="98"/>
        <v>0</v>
      </c>
      <c r="AA62" s="179">
        <f t="shared" si="98"/>
        <v>0</v>
      </c>
      <c r="AB62" s="179">
        <f t="shared" si="98"/>
        <v>0</v>
      </c>
      <c r="AC62" s="179">
        <f t="shared" si="98"/>
        <v>0</v>
      </c>
      <c r="AD62" s="179">
        <f t="shared" si="98"/>
        <v>0</v>
      </c>
      <c r="AE62" s="179">
        <f t="shared" si="98"/>
        <v>0</v>
      </c>
      <c r="AF62" s="179">
        <f t="shared" si="98"/>
        <v>0</v>
      </c>
      <c r="AG62" s="179">
        <f t="shared" si="98"/>
        <v>0</v>
      </c>
      <c r="AH62" s="179">
        <f t="shared" si="98"/>
        <v>0</v>
      </c>
      <c r="AI62" s="179">
        <f t="shared" si="98"/>
        <v>0</v>
      </c>
      <c r="AJ62" s="179">
        <f t="shared" si="98"/>
        <v>0</v>
      </c>
      <c r="AK62" s="179">
        <f t="shared" si="98"/>
        <v>0</v>
      </c>
      <c r="AL62" s="179">
        <f t="shared" si="98"/>
        <v>0</v>
      </c>
      <c r="AM62" s="179">
        <f t="shared" si="98"/>
        <v>0</v>
      </c>
      <c r="AN62" s="179">
        <f t="shared" si="98"/>
        <v>0</v>
      </c>
      <c r="AO62" s="179">
        <f t="shared" si="98"/>
        <v>0</v>
      </c>
      <c r="AP62" s="179">
        <f t="shared" si="98"/>
        <v>0</v>
      </c>
      <c r="AQ62" s="179">
        <f t="shared" si="98"/>
        <v>0</v>
      </c>
      <c r="AR62" s="179">
        <f t="shared" si="98"/>
        <v>0</v>
      </c>
      <c r="AS62" s="179">
        <f t="shared" si="98"/>
        <v>0</v>
      </c>
      <c r="AT62" s="179">
        <f t="shared" si="33"/>
        <v>114200000</v>
      </c>
      <c r="AU62" s="182">
        <f t="shared" si="6"/>
        <v>100</v>
      </c>
      <c r="AV62" s="183">
        <f t="shared" si="86"/>
        <v>0</v>
      </c>
      <c r="AW62" s="182">
        <f t="shared" si="87"/>
        <v>0</v>
      </c>
      <c r="AX62" s="164" t="s">
        <v>576</v>
      </c>
      <c r="AY62" s="164" t="s">
        <v>560</v>
      </c>
      <c r="AZ62" s="164" t="s">
        <v>3998</v>
      </c>
      <c r="BA62" s="179">
        <f t="shared" ref="BA62:BH64" si="99">BA63</f>
        <v>0</v>
      </c>
      <c r="BB62" s="179">
        <f t="shared" si="99"/>
        <v>0</v>
      </c>
      <c r="BC62" s="179">
        <f t="shared" si="99"/>
        <v>0</v>
      </c>
      <c r="BD62" s="179">
        <f t="shared" si="99"/>
        <v>0</v>
      </c>
      <c r="BE62" s="179">
        <f t="shared" si="99"/>
        <v>0</v>
      </c>
      <c r="BF62" s="179">
        <f t="shared" si="99"/>
        <v>0</v>
      </c>
      <c r="BG62" s="179">
        <f t="shared" si="99"/>
        <v>0</v>
      </c>
      <c r="BH62" s="179">
        <f t="shared" si="99"/>
        <v>0</v>
      </c>
    </row>
    <row r="63" spans="2:60" x14ac:dyDescent="0.25">
      <c r="B63" s="170" t="s">
        <v>3625</v>
      </c>
      <c r="C63" s="171" t="s">
        <v>824</v>
      </c>
      <c r="D63" s="171">
        <v>1</v>
      </c>
      <c r="E63" s="171" t="s">
        <v>42</v>
      </c>
      <c r="F63" s="172">
        <f t="shared" si="97"/>
        <v>114200000</v>
      </c>
      <c r="G63" s="172">
        <f t="shared" si="97"/>
        <v>115000000</v>
      </c>
      <c r="H63" s="172">
        <f t="shared" si="97"/>
        <v>0</v>
      </c>
      <c r="I63" s="172">
        <f t="shared" si="97"/>
        <v>800000</v>
      </c>
      <c r="J63" s="172">
        <f t="shared" si="98"/>
        <v>0</v>
      </c>
      <c r="K63" s="172">
        <f t="shared" si="98"/>
        <v>0</v>
      </c>
      <c r="L63" s="172">
        <f t="shared" si="98"/>
        <v>0</v>
      </c>
      <c r="M63" s="172">
        <f t="shared" si="98"/>
        <v>0</v>
      </c>
      <c r="N63" s="172">
        <f t="shared" si="98"/>
        <v>0</v>
      </c>
      <c r="O63" s="172">
        <f t="shared" si="98"/>
        <v>0</v>
      </c>
      <c r="P63" s="172">
        <f t="shared" si="98"/>
        <v>0</v>
      </c>
      <c r="Q63" s="172">
        <f t="shared" si="98"/>
        <v>0</v>
      </c>
      <c r="R63" s="172">
        <f t="shared" si="98"/>
        <v>0</v>
      </c>
      <c r="S63" s="172">
        <f t="shared" si="98"/>
        <v>0</v>
      </c>
      <c r="T63" s="172">
        <f t="shared" si="98"/>
        <v>0</v>
      </c>
      <c r="U63" s="172">
        <f t="shared" si="98"/>
        <v>0</v>
      </c>
      <c r="V63" s="172">
        <f t="shared" si="98"/>
        <v>114200000</v>
      </c>
      <c r="W63" s="172">
        <f t="shared" si="98"/>
        <v>0</v>
      </c>
      <c r="X63" s="172">
        <f t="shared" si="98"/>
        <v>0</v>
      </c>
      <c r="Y63" s="172">
        <f t="shared" si="98"/>
        <v>0</v>
      </c>
      <c r="Z63" s="172">
        <f t="shared" si="98"/>
        <v>0</v>
      </c>
      <c r="AA63" s="172">
        <f t="shared" si="98"/>
        <v>0</v>
      </c>
      <c r="AB63" s="172">
        <f t="shared" si="98"/>
        <v>0</v>
      </c>
      <c r="AC63" s="172">
        <f t="shared" si="98"/>
        <v>0</v>
      </c>
      <c r="AD63" s="172">
        <f t="shared" si="98"/>
        <v>0</v>
      </c>
      <c r="AE63" s="172">
        <f t="shared" si="98"/>
        <v>0</v>
      </c>
      <c r="AF63" s="172">
        <f t="shared" si="98"/>
        <v>0</v>
      </c>
      <c r="AG63" s="172">
        <f t="shared" si="98"/>
        <v>0</v>
      </c>
      <c r="AH63" s="172">
        <f t="shared" si="98"/>
        <v>0</v>
      </c>
      <c r="AI63" s="172">
        <f t="shared" si="98"/>
        <v>0</v>
      </c>
      <c r="AJ63" s="172">
        <f t="shared" si="98"/>
        <v>0</v>
      </c>
      <c r="AK63" s="172">
        <f t="shared" si="98"/>
        <v>0</v>
      </c>
      <c r="AL63" s="172">
        <f t="shared" si="98"/>
        <v>0</v>
      </c>
      <c r="AM63" s="172">
        <f t="shared" si="98"/>
        <v>0</v>
      </c>
      <c r="AN63" s="172">
        <f t="shared" si="98"/>
        <v>0</v>
      </c>
      <c r="AO63" s="172">
        <f t="shared" si="98"/>
        <v>0</v>
      </c>
      <c r="AP63" s="172">
        <f t="shared" si="98"/>
        <v>0</v>
      </c>
      <c r="AQ63" s="172">
        <f t="shared" si="98"/>
        <v>0</v>
      </c>
      <c r="AR63" s="172">
        <f t="shared" si="98"/>
        <v>0</v>
      </c>
      <c r="AS63" s="172">
        <f t="shared" si="98"/>
        <v>0</v>
      </c>
      <c r="AT63" s="172">
        <f t="shared" si="33"/>
        <v>114200000</v>
      </c>
      <c r="AU63" s="173">
        <f t="shared" si="6"/>
        <v>100</v>
      </c>
      <c r="AV63" s="174">
        <f t="shared" si="86"/>
        <v>0</v>
      </c>
      <c r="AW63" s="173">
        <f t="shared" si="87"/>
        <v>0</v>
      </c>
      <c r="AX63" s="164" t="s">
        <v>576</v>
      </c>
      <c r="AY63" s="164" t="s">
        <v>560</v>
      </c>
      <c r="AZ63" s="164" t="s">
        <v>3998</v>
      </c>
      <c r="BA63" s="172">
        <f t="shared" si="99"/>
        <v>0</v>
      </c>
      <c r="BB63" s="172">
        <f t="shared" si="99"/>
        <v>0</v>
      </c>
      <c r="BC63" s="172">
        <f t="shared" si="99"/>
        <v>0</v>
      </c>
      <c r="BD63" s="172">
        <f t="shared" si="99"/>
        <v>0</v>
      </c>
      <c r="BE63" s="172">
        <f t="shared" si="99"/>
        <v>0</v>
      </c>
      <c r="BF63" s="172">
        <f t="shared" si="99"/>
        <v>0</v>
      </c>
      <c r="BG63" s="172">
        <f t="shared" si="99"/>
        <v>0</v>
      </c>
      <c r="BH63" s="172">
        <f t="shared" si="99"/>
        <v>0</v>
      </c>
    </row>
    <row r="64" spans="2:60" x14ac:dyDescent="0.25">
      <c r="B64" s="170">
        <v>301</v>
      </c>
      <c r="C64" s="171" t="s">
        <v>834</v>
      </c>
      <c r="D64" s="171"/>
      <c r="E64" s="171"/>
      <c r="F64" s="172">
        <f t="shared" si="97"/>
        <v>114200000</v>
      </c>
      <c r="G64" s="172">
        <f t="shared" si="97"/>
        <v>115000000</v>
      </c>
      <c r="H64" s="172">
        <f t="shared" si="97"/>
        <v>0</v>
      </c>
      <c r="I64" s="172">
        <f t="shared" si="97"/>
        <v>800000</v>
      </c>
      <c r="J64" s="172">
        <f t="shared" si="98"/>
        <v>0</v>
      </c>
      <c r="K64" s="172">
        <f t="shared" si="98"/>
        <v>0</v>
      </c>
      <c r="L64" s="172">
        <f t="shared" si="98"/>
        <v>0</v>
      </c>
      <c r="M64" s="172">
        <f t="shared" si="98"/>
        <v>0</v>
      </c>
      <c r="N64" s="172">
        <f t="shared" si="98"/>
        <v>0</v>
      </c>
      <c r="O64" s="172">
        <f t="shared" si="98"/>
        <v>0</v>
      </c>
      <c r="P64" s="172">
        <f t="shared" si="98"/>
        <v>0</v>
      </c>
      <c r="Q64" s="172">
        <f t="shared" si="98"/>
        <v>0</v>
      </c>
      <c r="R64" s="172">
        <f t="shared" si="98"/>
        <v>0</v>
      </c>
      <c r="S64" s="172">
        <f t="shared" si="98"/>
        <v>0</v>
      </c>
      <c r="T64" s="172">
        <f t="shared" si="98"/>
        <v>0</v>
      </c>
      <c r="U64" s="172">
        <f t="shared" si="98"/>
        <v>0</v>
      </c>
      <c r="V64" s="172">
        <f t="shared" si="98"/>
        <v>114200000</v>
      </c>
      <c r="W64" s="172">
        <f t="shared" si="98"/>
        <v>0</v>
      </c>
      <c r="X64" s="172">
        <f t="shared" si="98"/>
        <v>0</v>
      </c>
      <c r="Y64" s="172">
        <f t="shared" si="98"/>
        <v>0</v>
      </c>
      <c r="Z64" s="172">
        <f t="shared" si="98"/>
        <v>0</v>
      </c>
      <c r="AA64" s="172">
        <f t="shared" si="98"/>
        <v>0</v>
      </c>
      <c r="AB64" s="172">
        <f t="shared" si="98"/>
        <v>0</v>
      </c>
      <c r="AC64" s="172">
        <f t="shared" si="98"/>
        <v>0</v>
      </c>
      <c r="AD64" s="172">
        <f t="shared" si="98"/>
        <v>0</v>
      </c>
      <c r="AE64" s="172">
        <f t="shared" si="98"/>
        <v>0</v>
      </c>
      <c r="AF64" s="172">
        <f t="shared" si="98"/>
        <v>0</v>
      </c>
      <c r="AG64" s="172">
        <f t="shared" si="98"/>
        <v>0</v>
      </c>
      <c r="AH64" s="172">
        <f t="shared" si="98"/>
        <v>0</v>
      </c>
      <c r="AI64" s="172">
        <f t="shared" si="98"/>
        <v>0</v>
      </c>
      <c r="AJ64" s="172">
        <f t="shared" si="98"/>
        <v>0</v>
      </c>
      <c r="AK64" s="172">
        <f t="shared" si="98"/>
        <v>0</v>
      </c>
      <c r="AL64" s="172">
        <f t="shared" si="98"/>
        <v>0</v>
      </c>
      <c r="AM64" s="172">
        <f t="shared" si="98"/>
        <v>0</v>
      </c>
      <c r="AN64" s="172">
        <f t="shared" si="98"/>
        <v>0</v>
      </c>
      <c r="AO64" s="172">
        <f t="shared" si="98"/>
        <v>0</v>
      </c>
      <c r="AP64" s="172">
        <f t="shared" si="98"/>
        <v>0</v>
      </c>
      <c r="AQ64" s="172">
        <f t="shared" si="98"/>
        <v>0</v>
      </c>
      <c r="AR64" s="172">
        <f t="shared" si="98"/>
        <v>0</v>
      </c>
      <c r="AS64" s="172">
        <f t="shared" si="98"/>
        <v>0</v>
      </c>
      <c r="AT64" s="172">
        <f t="shared" si="33"/>
        <v>114200000</v>
      </c>
      <c r="AU64" s="173">
        <f t="shared" si="6"/>
        <v>100</v>
      </c>
      <c r="AV64" s="174">
        <f t="shared" si="86"/>
        <v>0</v>
      </c>
      <c r="AW64" s="173">
        <f t="shared" si="87"/>
        <v>0</v>
      </c>
      <c r="AX64" s="164" t="s">
        <v>576</v>
      </c>
      <c r="AY64" s="164" t="s">
        <v>560</v>
      </c>
      <c r="AZ64" s="164" t="s">
        <v>3998</v>
      </c>
      <c r="BA64" s="172">
        <f t="shared" si="99"/>
        <v>0</v>
      </c>
      <c r="BB64" s="172">
        <f t="shared" si="99"/>
        <v>0</v>
      </c>
      <c r="BC64" s="172">
        <f t="shared" si="99"/>
        <v>0</v>
      </c>
      <c r="BD64" s="172">
        <f t="shared" si="99"/>
        <v>0</v>
      </c>
      <c r="BE64" s="172">
        <f t="shared" si="99"/>
        <v>0</v>
      </c>
      <c r="BF64" s="172">
        <f t="shared" si="99"/>
        <v>0</v>
      </c>
      <c r="BG64" s="172">
        <f t="shared" si="99"/>
        <v>0</v>
      </c>
      <c r="BH64" s="172">
        <f t="shared" si="99"/>
        <v>0</v>
      </c>
    </row>
    <row r="65" spans="2:60" x14ac:dyDescent="0.25">
      <c r="B65" s="230" t="s">
        <v>8</v>
      </c>
      <c r="C65" s="166" t="s">
        <v>836</v>
      </c>
      <c r="D65" s="166"/>
      <c r="E65" s="166"/>
      <c r="F65" s="167">
        <f>SUM(F66)</f>
        <v>114200000</v>
      </c>
      <c r="G65" s="167">
        <f>SUM(G66)</f>
        <v>115000000</v>
      </c>
      <c r="H65" s="167">
        <f>SUM(H66)</f>
        <v>0</v>
      </c>
      <c r="I65" s="167">
        <f>SUM(I66)</f>
        <v>800000</v>
      </c>
      <c r="J65" s="167">
        <f t="shared" ref="J65:AS65" si="100">SUM(J66)</f>
        <v>0</v>
      </c>
      <c r="K65" s="167">
        <f t="shared" si="100"/>
        <v>0</v>
      </c>
      <c r="L65" s="167">
        <f t="shared" si="100"/>
        <v>0</v>
      </c>
      <c r="M65" s="167">
        <f t="shared" si="100"/>
        <v>0</v>
      </c>
      <c r="N65" s="167">
        <f t="shared" si="100"/>
        <v>0</v>
      </c>
      <c r="O65" s="167">
        <f t="shared" si="100"/>
        <v>0</v>
      </c>
      <c r="P65" s="167">
        <f t="shared" si="100"/>
        <v>0</v>
      </c>
      <c r="Q65" s="167">
        <f t="shared" si="100"/>
        <v>0</v>
      </c>
      <c r="R65" s="167">
        <f t="shared" si="100"/>
        <v>0</v>
      </c>
      <c r="S65" s="167">
        <f t="shared" si="100"/>
        <v>0</v>
      </c>
      <c r="T65" s="167">
        <f t="shared" si="100"/>
        <v>0</v>
      </c>
      <c r="U65" s="167">
        <f t="shared" si="100"/>
        <v>0</v>
      </c>
      <c r="V65" s="167">
        <f t="shared" si="100"/>
        <v>114200000</v>
      </c>
      <c r="W65" s="167">
        <f t="shared" si="100"/>
        <v>0</v>
      </c>
      <c r="X65" s="167">
        <f t="shared" si="100"/>
        <v>0</v>
      </c>
      <c r="Y65" s="167">
        <f t="shared" si="100"/>
        <v>0</v>
      </c>
      <c r="Z65" s="167">
        <f t="shared" si="100"/>
        <v>0</v>
      </c>
      <c r="AA65" s="167">
        <f t="shared" si="100"/>
        <v>0</v>
      </c>
      <c r="AB65" s="167">
        <f t="shared" si="100"/>
        <v>0</v>
      </c>
      <c r="AC65" s="167">
        <f t="shared" si="100"/>
        <v>0</v>
      </c>
      <c r="AD65" s="167">
        <f t="shared" si="100"/>
        <v>0</v>
      </c>
      <c r="AE65" s="167">
        <f t="shared" si="100"/>
        <v>0</v>
      </c>
      <c r="AF65" s="167">
        <f t="shared" si="100"/>
        <v>0</v>
      </c>
      <c r="AG65" s="167">
        <f t="shared" si="100"/>
        <v>0</v>
      </c>
      <c r="AH65" s="167">
        <f t="shared" si="100"/>
        <v>0</v>
      </c>
      <c r="AI65" s="167">
        <f t="shared" si="100"/>
        <v>0</v>
      </c>
      <c r="AJ65" s="167">
        <f t="shared" si="100"/>
        <v>0</v>
      </c>
      <c r="AK65" s="167">
        <f t="shared" si="100"/>
        <v>0</v>
      </c>
      <c r="AL65" s="167">
        <f t="shared" si="100"/>
        <v>0</v>
      </c>
      <c r="AM65" s="167">
        <f t="shared" si="100"/>
        <v>0</v>
      </c>
      <c r="AN65" s="167">
        <f t="shared" si="100"/>
        <v>0</v>
      </c>
      <c r="AO65" s="167">
        <f t="shared" si="100"/>
        <v>0</v>
      </c>
      <c r="AP65" s="167">
        <f t="shared" si="100"/>
        <v>0</v>
      </c>
      <c r="AQ65" s="167">
        <f t="shared" si="100"/>
        <v>0</v>
      </c>
      <c r="AR65" s="167">
        <f t="shared" si="100"/>
        <v>0</v>
      </c>
      <c r="AS65" s="167">
        <f t="shared" si="100"/>
        <v>0</v>
      </c>
      <c r="AT65" s="167">
        <f t="shared" si="33"/>
        <v>114200000</v>
      </c>
      <c r="AU65" s="175">
        <f t="shared" si="6"/>
        <v>100</v>
      </c>
      <c r="AV65" s="176">
        <f>F65-AT65</f>
        <v>0</v>
      </c>
      <c r="AW65" s="175">
        <f t="shared" si="87"/>
        <v>0</v>
      </c>
      <c r="AX65" s="164" t="s">
        <v>576</v>
      </c>
      <c r="AY65" s="164" t="s">
        <v>560</v>
      </c>
      <c r="AZ65" s="164" t="s">
        <v>3998</v>
      </c>
      <c r="BA65" s="167">
        <f t="shared" ref="BA65:BH65" si="101">SUM(BA66)</f>
        <v>0</v>
      </c>
      <c r="BB65" s="167">
        <f t="shared" si="101"/>
        <v>0</v>
      </c>
      <c r="BC65" s="167">
        <f t="shared" si="101"/>
        <v>0</v>
      </c>
      <c r="BD65" s="167">
        <f t="shared" si="101"/>
        <v>0</v>
      </c>
      <c r="BE65" s="167">
        <f t="shared" si="101"/>
        <v>0</v>
      </c>
      <c r="BF65" s="167">
        <f t="shared" si="101"/>
        <v>0</v>
      </c>
      <c r="BG65" s="167">
        <f t="shared" si="101"/>
        <v>0</v>
      </c>
      <c r="BH65" s="167">
        <f t="shared" si="101"/>
        <v>0</v>
      </c>
    </row>
    <row r="66" spans="2:60" x14ac:dyDescent="0.25">
      <c r="B66" s="228">
        <v>532111</v>
      </c>
      <c r="C66" s="164" t="s">
        <v>43</v>
      </c>
      <c r="D66" s="164"/>
      <c r="E66" s="164"/>
      <c r="F66" s="165">
        <v>114200000</v>
      </c>
      <c r="G66" s="165">
        <v>115000000</v>
      </c>
      <c r="H66" s="165"/>
      <c r="I66" s="165">
        <f>G66-F66</f>
        <v>800000</v>
      </c>
      <c r="J66" s="165"/>
      <c r="K66" s="165"/>
      <c r="L66" s="165"/>
      <c r="M66" s="165"/>
      <c r="N66" s="165"/>
      <c r="O66" s="165"/>
      <c r="P66" s="165"/>
      <c r="Q66" s="165"/>
      <c r="R66" s="165"/>
      <c r="S66" s="165"/>
      <c r="T66" s="165"/>
      <c r="U66" s="165"/>
      <c r="V66" s="165">
        <v>114200000</v>
      </c>
      <c r="W66" s="165"/>
      <c r="X66" s="165"/>
      <c r="Y66" s="165"/>
      <c r="Z66" s="165"/>
      <c r="AA66" s="165"/>
      <c r="AB66" s="165"/>
      <c r="AC66" s="165"/>
      <c r="AD66" s="165"/>
      <c r="AE66" s="165"/>
      <c r="AF66" s="165"/>
      <c r="AG66" s="165"/>
      <c r="AH66" s="165"/>
      <c r="AI66" s="165"/>
      <c r="AJ66" s="165"/>
      <c r="AK66" s="165"/>
      <c r="AL66" s="165"/>
      <c r="AM66" s="165"/>
      <c r="AN66" s="165"/>
      <c r="AO66" s="165"/>
      <c r="AP66" s="165"/>
      <c r="AQ66" s="165"/>
      <c r="AR66" s="165"/>
      <c r="AS66" s="165"/>
      <c r="AT66" s="165">
        <f t="shared" si="33"/>
        <v>114200000</v>
      </c>
      <c r="AU66" s="168">
        <f t="shared" si="6"/>
        <v>100</v>
      </c>
      <c r="AV66" s="169">
        <f>F66-AT66</f>
        <v>0</v>
      </c>
      <c r="AW66" s="168">
        <f t="shared" si="10"/>
        <v>0</v>
      </c>
      <c r="AX66" s="164" t="s">
        <v>576</v>
      </c>
      <c r="AY66" s="164" t="s">
        <v>560</v>
      </c>
      <c r="AZ66" s="164" t="s">
        <v>3998</v>
      </c>
      <c r="BA66" s="165"/>
      <c r="BB66" s="165"/>
      <c r="BC66" s="240"/>
      <c r="BD66" s="165"/>
      <c r="BE66" s="165"/>
      <c r="BF66" s="165"/>
      <c r="BG66" s="165"/>
      <c r="BH66" s="165"/>
    </row>
    <row r="67" spans="2:60" x14ac:dyDescent="0.25">
      <c r="B67" s="180" t="s">
        <v>841</v>
      </c>
      <c r="C67" s="181" t="s">
        <v>842</v>
      </c>
      <c r="D67" s="181">
        <v>9</v>
      </c>
      <c r="E67" s="181" t="s">
        <v>3627</v>
      </c>
      <c r="F67" s="179">
        <f t="shared" ref="F67:AS67" si="102">F68+F76+F123</f>
        <v>3190814000</v>
      </c>
      <c r="G67" s="179">
        <f t="shared" ref="G67:H67" si="103">G68+G76+G123</f>
        <v>5085940000</v>
      </c>
      <c r="H67" s="179">
        <f t="shared" si="103"/>
        <v>100000000</v>
      </c>
      <c r="I67" s="179">
        <f t="shared" ref="I67" si="104">I68+I76+I123</f>
        <v>1895126000</v>
      </c>
      <c r="J67" s="179">
        <f t="shared" si="102"/>
        <v>0</v>
      </c>
      <c r="K67" s="179">
        <f t="shared" si="102"/>
        <v>0</v>
      </c>
      <c r="L67" s="179">
        <f t="shared" si="102"/>
        <v>0</v>
      </c>
      <c r="M67" s="179">
        <f t="shared" si="102"/>
        <v>63640000</v>
      </c>
      <c r="N67" s="179">
        <f t="shared" si="102"/>
        <v>0</v>
      </c>
      <c r="O67" s="179">
        <f t="shared" si="102"/>
        <v>0</v>
      </c>
      <c r="P67" s="179">
        <f t="shared" si="102"/>
        <v>63640000</v>
      </c>
      <c r="Q67" s="179">
        <f t="shared" si="102"/>
        <v>136990690</v>
      </c>
      <c r="R67" s="179">
        <f t="shared" si="102"/>
        <v>226935794</v>
      </c>
      <c r="S67" s="179">
        <f t="shared" si="102"/>
        <v>184892998</v>
      </c>
      <c r="T67" s="179">
        <f t="shared" si="102"/>
        <v>75325796</v>
      </c>
      <c r="U67" s="179">
        <f t="shared" si="102"/>
        <v>0</v>
      </c>
      <c r="V67" s="179">
        <f t="shared" si="102"/>
        <v>94014600</v>
      </c>
      <c r="W67" s="179">
        <f t="shared" si="102"/>
        <v>158835210</v>
      </c>
      <c r="X67" s="179">
        <f t="shared" si="102"/>
        <v>115921543</v>
      </c>
      <c r="Y67" s="179">
        <f t="shared" si="102"/>
        <v>103366027</v>
      </c>
      <c r="Z67" s="179">
        <f t="shared" si="102"/>
        <v>0</v>
      </c>
      <c r="AA67" s="179">
        <f t="shared" si="102"/>
        <v>0</v>
      </c>
      <c r="AB67" s="179">
        <f t="shared" si="102"/>
        <v>0</v>
      </c>
      <c r="AC67" s="179">
        <f t="shared" si="102"/>
        <v>0</v>
      </c>
      <c r="AD67" s="179">
        <f t="shared" si="102"/>
        <v>0</v>
      </c>
      <c r="AE67" s="179">
        <f t="shared" si="102"/>
        <v>0</v>
      </c>
      <c r="AF67" s="179">
        <f t="shared" si="102"/>
        <v>0</v>
      </c>
      <c r="AG67" s="179">
        <f t="shared" si="102"/>
        <v>0</v>
      </c>
      <c r="AH67" s="179">
        <f t="shared" si="102"/>
        <v>0</v>
      </c>
      <c r="AI67" s="179">
        <f t="shared" si="102"/>
        <v>0</v>
      </c>
      <c r="AJ67" s="179">
        <f t="shared" si="102"/>
        <v>0</v>
      </c>
      <c r="AK67" s="179">
        <f t="shared" si="102"/>
        <v>0</v>
      </c>
      <c r="AL67" s="179">
        <f t="shared" si="102"/>
        <v>0</v>
      </c>
      <c r="AM67" s="179">
        <f t="shared" si="102"/>
        <v>0</v>
      </c>
      <c r="AN67" s="179">
        <f t="shared" si="102"/>
        <v>0</v>
      </c>
      <c r="AO67" s="179">
        <f t="shared" si="102"/>
        <v>0</v>
      </c>
      <c r="AP67" s="179">
        <f t="shared" si="102"/>
        <v>0</v>
      </c>
      <c r="AQ67" s="179">
        <f t="shared" si="102"/>
        <v>0</v>
      </c>
      <c r="AR67" s="179">
        <f t="shared" si="102"/>
        <v>0</v>
      </c>
      <c r="AS67" s="179">
        <f t="shared" si="102"/>
        <v>0</v>
      </c>
      <c r="AT67" s="179">
        <f>SUM(J67:AS67)</f>
        <v>1223562658</v>
      </c>
      <c r="AU67" s="182">
        <f t="shared" si="6"/>
        <v>38.346411229234924</v>
      </c>
      <c r="AV67" s="183">
        <f>F67-AT67</f>
        <v>1967251342</v>
      </c>
      <c r="AW67" s="182">
        <f>AV67/F67*100</f>
        <v>61.653588770765076</v>
      </c>
      <c r="AX67" s="164"/>
      <c r="AY67" s="164"/>
      <c r="AZ67" s="164" t="s">
        <v>3921</v>
      </c>
      <c r="BA67" s="179">
        <f>BA68+BA76+BA123</f>
        <v>99961115</v>
      </c>
      <c r="BB67" s="179">
        <f>BB68+BB76+BB123</f>
        <v>226935794</v>
      </c>
      <c r="BC67" s="179">
        <f>BC68+BC76+BC123</f>
        <v>37029575</v>
      </c>
      <c r="BD67" s="179">
        <f>BD68+BD76+BD123</f>
        <v>75325796</v>
      </c>
      <c r="BE67" s="179">
        <f t="shared" ref="BE67" si="105">BE68+BE76+BE123</f>
        <v>83939616</v>
      </c>
      <c r="BF67" s="179">
        <f t="shared" ref="BF67:BG67" si="106">BF68+BF76+BF123</f>
        <v>74895594</v>
      </c>
      <c r="BG67" s="179">
        <f t="shared" si="106"/>
        <v>115921543</v>
      </c>
      <c r="BH67" s="179">
        <f t="shared" ref="BH67" si="107">BH68+BH76+BH123</f>
        <v>0</v>
      </c>
    </row>
    <row r="68" spans="2:60" x14ac:dyDescent="0.25">
      <c r="B68" s="170" t="s">
        <v>3628</v>
      </c>
      <c r="C68" s="171" t="s">
        <v>1037</v>
      </c>
      <c r="D68" s="171">
        <v>2</v>
      </c>
      <c r="E68" s="171" t="s">
        <v>3627</v>
      </c>
      <c r="F68" s="172">
        <f t="shared" ref="F68:I69" si="108">F69</f>
        <v>113346000</v>
      </c>
      <c r="G68" s="172">
        <f t="shared" si="108"/>
        <v>153780000</v>
      </c>
      <c r="H68" s="172">
        <f t="shared" si="108"/>
        <v>0</v>
      </c>
      <c r="I68" s="172">
        <f t="shared" si="108"/>
        <v>40434000</v>
      </c>
      <c r="J68" s="172">
        <f t="shared" ref="J68:X68" si="109">J69</f>
        <v>0</v>
      </c>
      <c r="K68" s="172">
        <f t="shared" si="109"/>
        <v>0</v>
      </c>
      <c r="L68" s="172">
        <f t="shared" si="109"/>
        <v>0</v>
      </c>
      <c r="M68" s="172">
        <f t="shared" si="109"/>
        <v>0</v>
      </c>
      <c r="N68" s="172">
        <f t="shared" si="109"/>
        <v>0</v>
      </c>
      <c r="O68" s="172">
        <f t="shared" si="109"/>
        <v>0</v>
      </c>
      <c r="P68" s="172">
        <f t="shared" si="109"/>
        <v>0</v>
      </c>
      <c r="Q68" s="172">
        <f t="shared" si="109"/>
        <v>1890000</v>
      </c>
      <c r="R68" s="172">
        <f t="shared" si="109"/>
        <v>3436750</v>
      </c>
      <c r="S68" s="172">
        <f t="shared" si="109"/>
        <v>3570000</v>
      </c>
      <c r="T68" s="172">
        <f t="shared" si="109"/>
        <v>0</v>
      </c>
      <c r="U68" s="172">
        <f t="shared" si="109"/>
        <v>0</v>
      </c>
      <c r="V68" s="172">
        <f t="shared" si="109"/>
        <v>10960600</v>
      </c>
      <c r="W68" s="172">
        <f t="shared" si="109"/>
        <v>0</v>
      </c>
      <c r="X68" s="172">
        <f t="shared" si="109"/>
        <v>5000500</v>
      </c>
      <c r="Y68" s="172">
        <f t="shared" ref="J68:AS69" si="110">Y69</f>
        <v>3840000</v>
      </c>
      <c r="Z68" s="172">
        <f t="shared" si="110"/>
        <v>0</v>
      </c>
      <c r="AA68" s="172">
        <f t="shared" si="110"/>
        <v>0</v>
      </c>
      <c r="AB68" s="172">
        <f t="shared" si="110"/>
        <v>0</v>
      </c>
      <c r="AC68" s="172">
        <f t="shared" si="110"/>
        <v>0</v>
      </c>
      <c r="AD68" s="172">
        <f t="shared" si="110"/>
        <v>0</v>
      </c>
      <c r="AE68" s="172">
        <f t="shared" si="110"/>
        <v>0</v>
      </c>
      <c r="AF68" s="172">
        <f t="shared" si="110"/>
        <v>0</v>
      </c>
      <c r="AG68" s="172">
        <f t="shared" si="110"/>
        <v>0</v>
      </c>
      <c r="AH68" s="172">
        <f t="shared" si="110"/>
        <v>0</v>
      </c>
      <c r="AI68" s="172">
        <f t="shared" si="110"/>
        <v>0</v>
      </c>
      <c r="AJ68" s="172">
        <f t="shared" si="110"/>
        <v>0</v>
      </c>
      <c r="AK68" s="172">
        <f t="shared" si="110"/>
        <v>0</v>
      </c>
      <c r="AL68" s="172">
        <f t="shared" si="110"/>
        <v>0</v>
      </c>
      <c r="AM68" s="172">
        <f t="shared" si="110"/>
        <v>0</v>
      </c>
      <c r="AN68" s="172">
        <f t="shared" si="110"/>
        <v>0</v>
      </c>
      <c r="AO68" s="172">
        <f t="shared" si="110"/>
        <v>0</v>
      </c>
      <c r="AP68" s="172">
        <f t="shared" si="110"/>
        <v>0</v>
      </c>
      <c r="AQ68" s="172">
        <f t="shared" si="110"/>
        <v>0</v>
      </c>
      <c r="AR68" s="172">
        <f t="shared" si="110"/>
        <v>0</v>
      </c>
      <c r="AS68" s="172">
        <f t="shared" si="110"/>
        <v>0</v>
      </c>
      <c r="AT68" s="172">
        <f t="shared" si="33"/>
        <v>28697850</v>
      </c>
      <c r="AU68" s="173">
        <f t="shared" si="6"/>
        <v>25.318802604414802</v>
      </c>
      <c r="AV68" s="174">
        <f t="shared" si="7"/>
        <v>84648150</v>
      </c>
      <c r="AW68" s="173">
        <f t="shared" si="10"/>
        <v>74.681197395585201</v>
      </c>
      <c r="AX68" s="164" t="s">
        <v>542</v>
      </c>
      <c r="AY68" s="164" t="s">
        <v>543</v>
      </c>
      <c r="AZ68" s="164" t="s">
        <v>3921</v>
      </c>
      <c r="BA68" s="172">
        <f t="shared" ref="BA68:BH69" si="111">BA69</f>
        <v>0</v>
      </c>
      <c r="BB68" s="172">
        <f t="shared" si="111"/>
        <v>3436750</v>
      </c>
      <c r="BC68" s="172">
        <f t="shared" si="111"/>
        <v>1890000</v>
      </c>
      <c r="BD68" s="172">
        <f t="shared" si="111"/>
        <v>0</v>
      </c>
      <c r="BE68" s="172">
        <f t="shared" si="111"/>
        <v>0</v>
      </c>
      <c r="BF68" s="172">
        <f t="shared" si="111"/>
        <v>0</v>
      </c>
      <c r="BG68" s="172">
        <f t="shared" si="111"/>
        <v>5000500</v>
      </c>
      <c r="BH68" s="172">
        <f t="shared" si="111"/>
        <v>0</v>
      </c>
    </row>
    <row r="69" spans="2:60" x14ac:dyDescent="0.25">
      <c r="B69" s="170">
        <v>311</v>
      </c>
      <c r="C69" s="171" t="s">
        <v>1186</v>
      </c>
      <c r="D69" s="171"/>
      <c r="E69" s="171"/>
      <c r="F69" s="172">
        <f t="shared" si="108"/>
        <v>113346000</v>
      </c>
      <c r="G69" s="172">
        <f t="shared" si="108"/>
        <v>153780000</v>
      </c>
      <c r="H69" s="172">
        <f t="shared" si="108"/>
        <v>0</v>
      </c>
      <c r="I69" s="172">
        <f t="shared" si="108"/>
        <v>40434000</v>
      </c>
      <c r="J69" s="172">
        <f t="shared" si="110"/>
        <v>0</v>
      </c>
      <c r="K69" s="172">
        <f t="shared" si="110"/>
        <v>0</v>
      </c>
      <c r="L69" s="172">
        <f t="shared" si="110"/>
        <v>0</v>
      </c>
      <c r="M69" s="172">
        <f t="shared" si="110"/>
        <v>0</v>
      </c>
      <c r="N69" s="172">
        <f t="shared" si="110"/>
        <v>0</v>
      </c>
      <c r="O69" s="172">
        <f t="shared" si="110"/>
        <v>0</v>
      </c>
      <c r="P69" s="172">
        <f t="shared" si="110"/>
        <v>0</v>
      </c>
      <c r="Q69" s="172">
        <f t="shared" si="110"/>
        <v>1890000</v>
      </c>
      <c r="R69" s="172">
        <f t="shared" si="110"/>
        <v>3436750</v>
      </c>
      <c r="S69" s="172">
        <f t="shared" si="110"/>
        <v>3570000</v>
      </c>
      <c r="T69" s="172">
        <f t="shared" si="110"/>
        <v>0</v>
      </c>
      <c r="U69" s="172">
        <f t="shared" si="110"/>
        <v>0</v>
      </c>
      <c r="V69" s="172">
        <f t="shared" si="110"/>
        <v>10960600</v>
      </c>
      <c r="W69" s="172">
        <f t="shared" si="110"/>
        <v>0</v>
      </c>
      <c r="X69" s="172">
        <f t="shared" si="110"/>
        <v>5000500</v>
      </c>
      <c r="Y69" s="172">
        <f t="shared" si="110"/>
        <v>3840000</v>
      </c>
      <c r="Z69" s="172">
        <f t="shared" si="110"/>
        <v>0</v>
      </c>
      <c r="AA69" s="172">
        <f t="shared" si="110"/>
        <v>0</v>
      </c>
      <c r="AB69" s="172">
        <f t="shared" si="110"/>
        <v>0</v>
      </c>
      <c r="AC69" s="172">
        <f t="shared" si="110"/>
        <v>0</v>
      </c>
      <c r="AD69" s="172">
        <f t="shared" si="110"/>
        <v>0</v>
      </c>
      <c r="AE69" s="172">
        <f t="shared" si="110"/>
        <v>0</v>
      </c>
      <c r="AF69" s="172">
        <f t="shared" si="110"/>
        <v>0</v>
      </c>
      <c r="AG69" s="172">
        <f t="shared" si="110"/>
        <v>0</v>
      </c>
      <c r="AH69" s="172">
        <f t="shared" si="110"/>
        <v>0</v>
      </c>
      <c r="AI69" s="172">
        <f t="shared" si="110"/>
        <v>0</v>
      </c>
      <c r="AJ69" s="172">
        <f t="shared" si="110"/>
        <v>0</v>
      </c>
      <c r="AK69" s="172">
        <f t="shared" si="110"/>
        <v>0</v>
      </c>
      <c r="AL69" s="172">
        <f t="shared" si="110"/>
        <v>0</v>
      </c>
      <c r="AM69" s="172">
        <f t="shared" si="110"/>
        <v>0</v>
      </c>
      <c r="AN69" s="172">
        <f t="shared" si="110"/>
        <v>0</v>
      </c>
      <c r="AO69" s="172">
        <f t="shared" si="110"/>
        <v>0</v>
      </c>
      <c r="AP69" s="172">
        <f t="shared" si="110"/>
        <v>0</v>
      </c>
      <c r="AQ69" s="172">
        <f t="shared" si="110"/>
        <v>0</v>
      </c>
      <c r="AR69" s="172">
        <f t="shared" si="110"/>
        <v>0</v>
      </c>
      <c r="AS69" s="172">
        <f t="shared" si="110"/>
        <v>0</v>
      </c>
      <c r="AT69" s="172">
        <f t="shared" si="33"/>
        <v>28697850</v>
      </c>
      <c r="AU69" s="173">
        <f t="shared" si="6"/>
        <v>25.318802604414802</v>
      </c>
      <c r="AV69" s="174">
        <f t="shared" si="7"/>
        <v>84648150</v>
      </c>
      <c r="AW69" s="173">
        <f t="shared" si="10"/>
        <v>74.681197395585201</v>
      </c>
      <c r="AX69" s="164" t="s">
        <v>542</v>
      </c>
      <c r="AY69" s="164" t="s">
        <v>543</v>
      </c>
      <c r="AZ69" s="164" t="s">
        <v>3921</v>
      </c>
      <c r="BA69" s="172">
        <f t="shared" si="111"/>
        <v>0</v>
      </c>
      <c r="BB69" s="172">
        <f t="shared" si="111"/>
        <v>3436750</v>
      </c>
      <c r="BC69" s="172">
        <f t="shared" si="111"/>
        <v>1890000</v>
      </c>
      <c r="BD69" s="172">
        <f t="shared" si="111"/>
        <v>0</v>
      </c>
      <c r="BE69" s="172">
        <f t="shared" si="111"/>
        <v>0</v>
      </c>
      <c r="BF69" s="172">
        <f t="shared" si="111"/>
        <v>0</v>
      </c>
      <c r="BG69" s="172">
        <f t="shared" si="111"/>
        <v>5000500</v>
      </c>
      <c r="BH69" s="172">
        <f t="shared" si="111"/>
        <v>0</v>
      </c>
    </row>
    <row r="70" spans="2:60" x14ac:dyDescent="0.25">
      <c r="B70" s="230" t="s">
        <v>8</v>
      </c>
      <c r="C70" s="166" t="s">
        <v>75</v>
      </c>
      <c r="D70" s="166"/>
      <c r="E70" s="166"/>
      <c r="F70" s="167">
        <f>SUM(F71:F75)</f>
        <v>113346000</v>
      </c>
      <c r="G70" s="167">
        <f>SUM(G71:G75)</f>
        <v>153780000</v>
      </c>
      <c r="H70" s="167">
        <f>SUM(H71:H75)</f>
        <v>0</v>
      </c>
      <c r="I70" s="167">
        <f>SUM(I71:I75)</f>
        <v>40434000</v>
      </c>
      <c r="J70" s="167">
        <f t="shared" ref="J70:AS70" si="112">SUM(J71:J75)</f>
        <v>0</v>
      </c>
      <c r="K70" s="167">
        <f t="shared" si="112"/>
        <v>0</v>
      </c>
      <c r="L70" s="167">
        <f t="shared" si="112"/>
        <v>0</v>
      </c>
      <c r="M70" s="167">
        <f t="shared" si="112"/>
        <v>0</v>
      </c>
      <c r="N70" s="167">
        <f t="shared" si="112"/>
        <v>0</v>
      </c>
      <c r="O70" s="167">
        <f t="shared" si="112"/>
        <v>0</v>
      </c>
      <c r="P70" s="167">
        <f t="shared" si="112"/>
        <v>0</v>
      </c>
      <c r="Q70" s="167">
        <f t="shared" si="112"/>
        <v>1890000</v>
      </c>
      <c r="R70" s="167">
        <f t="shared" si="112"/>
        <v>3436750</v>
      </c>
      <c r="S70" s="167">
        <f t="shared" si="112"/>
        <v>3570000</v>
      </c>
      <c r="T70" s="167">
        <f t="shared" si="112"/>
        <v>0</v>
      </c>
      <c r="U70" s="167">
        <f t="shared" si="112"/>
        <v>0</v>
      </c>
      <c r="V70" s="167">
        <f t="shared" si="112"/>
        <v>10960600</v>
      </c>
      <c r="W70" s="167">
        <f t="shared" si="112"/>
        <v>0</v>
      </c>
      <c r="X70" s="167">
        <f t="shared" si="112"/>
        <v>5000500</v>
      </c>
      <c r="Y70" s="167">
        <f t="shared" si="112"/>
        <v>3840000</v>
      </c>
      <c r="Z70" s="167">
        <f t="shared" si="112"/>
        <v>0</v>
      </c>
      <c r="AA70" s="167">
        <f t="shared" si="112"/>
        <v>0</v>
      </c>
      <c r="AB70" s="167">
        <f t="shared" si="112"/>
        <v>0</v>
      </c>
      <c r="AC70" s="167">
        <f t="shared" si="112"/>
        <v>0</v>
      </c>
      <c r="AD70" s="167">
        <f t="shared" si="112"/>
        <v>0</v>
      </c>
      <c r="AE70" s="167">
        <f t="shared" si="112"/>
        <v>0</v>
      </c>
      <c r="AF70" s="167">
        <f t="shared" si="112"/>
        <v>0</v>
      </c>
      <c r="AG70" s="167">
        <f t="shared" si="112"/>
        <v>0</v>
      </c>
      <c r="AH70" s="167">
        <f t="shared" si="112"/>
        <v>0</v>
      </c>
      <c r="AI70" s="167">
        <f t="shared" si="112"/>
        <v>0</v>
      </c>
      <c r="AJ70" s="167">
        <f t="shared" si="112"/>
        <v>0</v>
      </c>
      <c r="AK70" s="167">
        <f t="shared" si="112"/>
        <v>0</v>
      </c>
      <c r="AL70" s="167">
        <f t="shared" si="112"/>
        <v>0</v>
      </c>
      <c r="AM70" s="167">
        <f t="shared" si="112"/>
        <v>0</v>
      </c>
      <c r="AN70" s="167">
        <f t="shared" si="112"/>
        <v>0</v>
      </c>
      <c r="AO70" s="167">
        <f t="shared" si="112"/>
        <v>0</v>
      </c>
      <c r="AP70" s="167">
        <f t="shared" si="112"/>
        <v>0</v>
      </c>
      <c r="AQ70" s="167">
        <f t="shared" si="112"/>
        <v>0</v>
      </c>
      <c r="AR70" s="167">
        <f t="shared" si="112"/>
        <v>0</v>
      </c>
      <c r="AS70" s="167">
        <f t="shared" si="112"/>
        <v>0</v>
      </c>
      <c r="AT70" s="167">
        <f>SUM(J70:AS70)</f>
        <v>28697850</v>
      </c>
      <c r="AU70" s="175">
        <f t="shared" si="6"/>
        <v>25.318802604414802</v>
      </c>
      <c r="AV70" s="176">
        <f t="shared" si="7"/>
        <v>84648150</v>
      </c>
      <c r="AW70" s="175">
        <f t="shared" si="10"/>
        <v>74.681197395585201</v>
      </c>
      <c r="AX70" s="164" t="s">
        <v>542</v>
      </c>
      <c r="AY70" s="164" t="s">
        <v>543</v>
      </c>
      <c r="AZ70" s="164" t="s">
        <v>3921</v>
      </c>
      <c r="BA70" s="167">
        <f t="shared" ref="BA70" si="113">SUM(BA71:BA75)</f>
        <v>0</v>
      </c>
      <c r="BB70" s="167">
        <f t="shared" ref="BB70:BC70" si="114">SUM(BB71:BB75)</f>
        <v>3436750</v>
      </c>
      <c r="BC70" s="167">
        <f t="shared" si="114"/>
        <v>1890000</v>
      </c>
      <c r="BD70" s="167">
        <f t="shared" ref="BD70" si="115">SUM(BD71:BD75)</f>
        <v>0</v>
      </c>
      <c r="BE70" s="167">
        <f t="shared" ref="BE70" si="116">SUM(BE71:BE75)</f>
        <v>0</v>
      </c>
      <c r="BF70" s="167">
        <f t="shared" ref="BF70:BG70" si="117">SUM(BF71:BF75)</f>
        <v>0</v>
      </c>
      <c r="BG70" s="167">
        <f t="shared" si="117"/>
        <v>5000500</v>
      </c>
      <c r="BH70" s="167">
        <f t="shared" ref="BH70" si="118">SUM(BH71:BH75)</f>
        <v>0</v>
      </c>
    </row>
    <row r="71" spans="2:60" x14ac:dyDescent="0.25">
      <c r="B71" s="228">
        <v>521211</v>
      </c>
      <c r="C71" s="164" t="s">
        <v>7</v>
      </c>
      <c r="D71" s="164"/>
      <c r="E71" s="164"/>
      <c r="F71" s="165">
        <v>12400000</v>
      </c>
      <c r="G71" s="165">
        <v>14400000</v>
      </c>
      <c r="H71" s="165"/>
      <c r="I71" s="165">
        <f t="shared" ref="I71:I75" si="119">G71-F71</f>
        <v>2000000</v>
      </c>
      <c r="J71" s="165"/>
      <c r="K71" s="165"/>
      <c r="L71" s="165"/>
      <c r="M71" s="165"/>
      <c r="N71" s="165"/>
      <c r="O71" s="165"/>
      <c r="P71" s="165"/>
      <c r="Q71" s="240">
        <v>1890000</v>
      </c>
      <c r="R71" s="165">
        <v>986000</v>
      </c>
      <c r="S71" s="165"/>
      <c r="T71" s="165"/>
      <c r="U71" s="165"/>
      <c r="V71" s="165"/>
      <c r="W71" s="165"/>
      <c r="X71" s="165">
        <v>3071500</v>
      </c>
      <c r="Y71" s="165"/>
      <c r="Z71" s="165"/>
      <c r="AA71" s="165"/>
      <c r="AB71" s="165"/>
      <c r="AC71" s="165"/>
      <c r="AD71" s="165"/>
      <c r="AE71" s="165"/>
      <c r="AF71" s="165"/>
      <c r="AG71" s="165"/>
      <c r="AH71" s="165"/>
      <c r="AI71" s="165"/>
      <c r="AJ71" s="165"/>
      <c r="AK71" s="165"/>
      <c r="AL71" s="165"/>
      <c r="AM71" s="165"/>
      <c r="AN71" s="165"/>
      <c r="AO71" s="165"/>
      <c r="AP71" s="165"/>
      <c r="AQ71" s="165"/>
      <c r="AR71" s="165"/>
      <c r="AS71" s="165"/>
      <c r="AT71" s="165">
        <f t="shared" si="33"/>
        <v>5947500</v>
      </c>
      <c r="AU71" s="168">
        <f t="shared" si="6"/>
        <v>47.963709677419352</v>
      </c>
      <c r="AV71" s="169">
        <f t="shared" si="7"/>
        <v>6452500</v>
      </c>
      <c r="AW71" s="168">
        <f t="shared" si="10"/>
        <v>52.036290322580648</v>
      </c>
      <c r="AX71" s="164" t="s">
        <v>542</v>
      </c>
      <c r="AY71" s="164" t="s">
        <v>543</v>
      </c>
      <c r="AZ71" s="164" t="s">
        <v>3921</v>
      </c>
      <c r="BA71" s="165"/>
      <c r="BB71" s="165">
        <v>986000</v>
      </c>
      <c r="BC71" s="240">
        <v>1890000</v>
      </c>
      <c r="BD71" s="165"/>
      <c r="BE71" s="165"/>
      <c r="BF71" s="165"/>
      <c r="BG71" s="165">
        <v>3071500</v>
      </c>
      <c r="BH71" s="165"/>
    </row>
    <row r="72" spans="2:60" x14ac:dyDescent="0.25">
      <c r="B72" s="228">
        <v>521219</v>
      </c>
      <c r="C72" s="164" t="s">
        <v>53</v>
      </c>
      <c r="D72" s="164"/>
      <c r="E72" s="164"/>
      <c r="F72" s="165">
        <v>0</v>
      </c>
      <c r="G72" s="165">
        <v>8000000</v>
      </c>
      <c r="H72" s="165"/>
      <c r="I72" s="165">
        <f t="shared" si="119"/>
        <v>8000000</v>
      </c>
      <c r="J72" s="165"/>
      <c r="K72" s="165"/>
      <c r="L72" s="165"/>
      <c r="M72" s="165"/>
      <c r="N72" s="165"/>
      <c r="O72" s="165"/>
      <c r="P72" s="165"/>
      <c r="Q72" s="165"/>
      <c r="R72" s="165"/>
      <c r="S72" s="165"/>
      <c r="T72" s="165"/>
      <c r="U72" s="165"/>
      <c r="V72" s="165"/>
      <c r="W72" s="165"/>
      <c r="X72" s="165"/>
      <c r="Y72" s="165"/>
      <c r="Z72" s="165"/>
      <c r="AA72" s="165"/>
      <c r="AB72" s="165"/>
      <c r="AC72" s="165"/>
      <c r="AD72" s="165"/>
      <c r="AE72" s="165"/>
      <c r="AF72" s="165"/>
      <c r="AG72" s="165"/>
      <c r="AH72" s="165"/>
      <c r="AI72" s="165"/>
      <c r="AJ72" s="165"/>
      <c r="AK72" s="165"/>
      <c r="AL72" s="165"/>
      <c r="AM72" s="165"/>
      <c r="AN72" s="165"/>
      <c r="AO72" s="165"/>
      <c r="AP72" s="165"/>
      <c r="AQ72" s="165"/>
      <c r="AR72" s="165"/>
      <c r="AS72" s="165"/>
      <c r="AT72" s="165">
        <f t="shared" si="33"/>
        <v>0</v>
      </c>
      <c r="AU72" s="168">
        <f t="shared" si="6"/>
        <v>0</v>
      </c>
      <c r="AV72" s="169">
        <f t="shared" si="7"/>
        <v>0</v>
      </c>
      <c r="AW72" s="168" t="e">
        <f t="shared" si="10"/>
        <v>#DIV/0!</v>
      </c>
      <c r="AX72" s="164" t="s">
        <v>542</v>
      </c>
      <c r="AY72" s="164" t="s">
        <v>543</v>
      </c>
      <c r="AZ72" s="164" t="s">
        <v>3921</v>
      </c>
      <c r="BA72" s="165"/>
      <c r="BB72" s="165"/>
      <c r="BC72" s="240"/>
      <c r="BD72" s="165"/>
      <c r="BE72" s="165"/>
      <c r="BF72" s="165"/>
      <c r="BG72" s="165"/>
      <c r="BH72" s="165"/>
    </row>
    <row r="73" spans="2:60" x14ac:dyDescent="0.25">
      <c r="B73" s="228">
        <v>521811</v>
      </c>
      <c r="C73" s="164" t="s">
        <v>64</v>
      </c>
      <c r="D73" s="164"/>
      <c r="E73" s="164"/>
      <c r="F73" s="165">
        <v>10000000</v>
      </c>
      <c r="G73" s="165">
        <v>12000000</v>
      </c>
      <c r="H73" s="165"/>
      <c r="I73" s="165">
        <f t="shared" si="119"/>
        <v>2000000</v>
      </c>
      <c r="J73" s="165"/>
      <c r="K73" s="165"/>
      <c r="L73" s="165"/>
      <c r="M73" s="165"/>
      <c r="N73" s="165"/>
      <c r="O73" s="165"/>
      <c r="P73" s="165"/>
      <c r="Q73" s="165"/>
      <c r="R73" s="165">
        <v>2450750</v>
      </c>
      <c r="S73" s="165"/>
      <c r="T73" s="165"/>
      <c r="U73" s="165"/>
      <c r="V73" s="165"/>
      <c r="W73" s="165"/>
      <c r="X73" s="165">
        <v>1929000</v>
      </c>
      <c r="Y73" s="165"/>
      <c r="Z73" s="165"/>
      <c r="AA73" s="165"/>
      <c r="AB73" s="165"/>
      <c r="AC73" s="165"/>
      <c r="AD73" s="165"/>
      <c r="AE73" s="165"/>
      <c r="AF73" s="165"/>
      <c r="AG73" s="165"/>
      <c r="AH73" s="165"/>
      <c r="AI73" s="165"/>
      <c r="AJ73" s="165"/>
      <c r="AK73" s="165"/>
      <c r="AL73" s="165"/>
      <c r="AM73" s="165"/>
      <c r="AN73" s="165"/>
      <c r="AO73" s="165"/>
      <c r="AP73" s="165"/>
      <c r="AQ73" s="165"/>
      <c r="AR73" s="165"/>
      <c r="AS73" s="165"/>
      <c r="AT73" s="165">
        <f t="shared" si="33"/>
        <v>4379750</v>
      </c>
      <c r="AU73" s="168">
        <f t="shared" si="6"/>
        <v>43.797499999999999</v>
      </c>
      <c r="AV73" s="169">
        <f>F73-AT73</f>
        <v>5620250</v>
      </c>
      <c r="AW73" s="168">
        <f t="shared" si="10"/>
        <v>56.202500000000001</v>
      </c>
      <c r="AX73" s="164" t="s">
        <v>542</v>
      </c>
      <c r="AY73" s="164" t="s">
        <v>543</v>
      </c>
      <c r="AZ73" s="164" t="s">
        <v>3921</v>
      </c>
      <c r="BA73" s="165"/>
      <c r="BB73" s="165">
        <v>2450750</v>
      </c>
      <c r="BC73" s="240"/>
      <c r="BD73" s="165"/>
      <c r="BE73" s="165"/>
      <c r="BF73" s="165"/>
      <c r="BG73" s="165">
        <v>1929000</v>
      </c>
      <c r="BH73" s="165"/>
    </row>
    <row r="74" spans="2:60" x14ac:dyDescent="0.25">
      <c r="B74" s="228">
        <v>522151</v>
      </c>
      <c r="C74" s="164" t="s">
        <v>11</v>
      </c>
      <c r="D74" s="164"/>
      <c r="E74" s="164"/>
      <c r="F74" s="165">
        <v>0</v>
      </c>
      <c r="G74" s="165">
        <v>4000000</v>
      </c>
      <c r="H74" s="165"/>
      <c r="I74" s="165">
        <f t="shared" si="119"/>
        <v>4000000</v>
      </c>
      <c r="J74" s="165"/>
      <c r="K74" s="165"/>
      <c r="L74" s="165"/>
      <c r="M74" s="165"/>
      <c r="N74" s="165"/>
      <c r="O74" s="165"/>
      <c r="P74" s="165"/>
      <c r="Q74" s="165"/>
      <c r="R74" s="165"/>
      <c r="S74" s="165"/>
      <c r="T74" s="165"/>
      <c r="U74" s="165"/>
      <c r="V74" s="165"/>
      <c r="W74" s="165"/>
      <c r="X74" s="165"/>
      <c r="Y74" s="165"/>
      <c r="Z74" s="165"/>
      <c r="AA74" s="165"/>
      <c r="AB74" s="165"/>
      <c r="AC74" s="165"/>
      <c r="AD74" s="165"/>
      <c r="AE74" s="165"/>
      <c r="AF74" s="165"/>
      <c r="AG74" s="165"/>
      <c r="AH74" s="165"/>
      <c r="AI74" s="165"/>
      <c r="AJ74" s="165"/>
      <c r="AK74" s="165"/>
      <c r="AL74" s="165"/>
      <c r="AM74" s="165"/>
      <c r="AN74" s="165"/>
      <c r="AO74" s="165"/>
      <c r="AP74" s="165"/>
      <c r="AQ74" s="165"/>
      <c r="AR74" s="165"/>
      <c r="AS74" s="165"/>
      <c r="AT74" s="165">
        <f t="shared" si="33"/>
        <v>0</v>
      </c>
      <c r="AU74" s="168">
        <f t="shared" si="6"/>
        <v>0</v>
      </c>
      <c r="AV74" s="169">
        <f t="shared" si="7"/>
        <v>0</v>
      </c>
      <c r="AW74" s="168" t="e">
        <f t="shared" si="10"/>
        <v>#DIV/0!</v>
      </c>
      <c r="AX74" s="164" t="s">
        <v>542</v>
      </c>
      <c r="AY74" s="164" t="s">
        <v>543</v>
      </c>
      <c r="AZ74" s="164" t="s">
        <v>3921</v>
      </c>
      <c r="BA74" s="165"/>
      <c r="BB74" s="165"/>
      <c r="BC74" s="240"/>
      <c r="BD74" s="165"/>
      <c r="BE74" s="165"/>
      <c r="BF74" s="165"/>
      <c r="BG74" s="165"/>
      <c r="BH74" s="165"/>
    </row>
    <row r="75" spans="2:60" x14ac:dyDescent="0.25">
      <c r="B75" s="228">
        <v>524111</v>
      </c>
      <c r="C75" s="164" t="s">
        <v>19</v>
      </c>
      <c r="D75" s="164"/>
      <c r="E75" s="164"/>
      <c r="F75" s="165">
        <v>90946000</v>
      </c>
      <c r="G75" s="165">
        <v>115380000</v>
      </c>
      <c r="H75" s="165"/>
      <c r="I75" s="165">
        <f t="shared" si="119"/>
        <v>24434000</v>
      </c>
      <c r="J75" s="165"/>
      <c r="K75" s="165"/>
      <c r="L75" s="165"/>
      <c r="M75" s="165"/>
      <c r="N75" s="165"/>
      <c r="O75" s="165"/>
      <c r="P75" s="165"/>
      <c r="Q75" s="165"/>
      <c r="R75" s="165"/>
      <c r="S75" s="165">
        <v>3570000</v>
      </c>
      <c r="T75" s="165"/>
      <c r="U75" s="165"/>
      <c r="V75" s="165">
        <v>10960600</v>
      </c>
      <c r="W75" s="165"/>
      <c r="X75" s="165"/>
      <c r="Y75" s="165">
        <v>3840000</v>
      </c>
      <c r="Z75" s="165"/>
      <c r="AA75" s="165"/>
      <c r="AB75" s="165"/>
      <c r="AC75" s="165"/>
      <c r="AD75" s="165"/>
      <c r="AE75" s="165"/>
      <c r="AF75" s="165"/>
      <c r="AG75" s="165"/>
      <c r="AH75" s="165"/>
      <c r="AI75" s="165"/>
      <c r="AJ75" s="165"/>
      <c r="AK75" s="165"/>
      <c r="AL75" s="165"/>
      <c r="AM75" s="165"/>
      <c r="AN75" s="165"/>
      <c r="AO75" s="165"/>
      <c r="AP75" s="165"/>
      <c r="AQ75" s="165"/>
      <c r="AR75" s="165"/>
      <c r="AS75" s="165"/>
      <c r="AT75" s="165">
        <f t="shared" si="33"/>
        <v>18370600</v>
      </c>
      <c r="AU75" s="168">
        <f t="shared" si="6"/>
        <v>20.199459019638027</v>
      </c>
      <c r="AV75" s="169">
        <f t="shared" si="7"/>
        <v>72575400</v>
      </c>
      <c r="AW75" s="168">
        <f t="shared" si="10"/>
        <v>79.800540980361973</v>
      </c>
      <c r="AX75" s="164" t="s">
        <v>542</v>
      </c>
      <c r="AY75" s="164" t="s">
        <v>543</v>
      </c>
      <c r="AZ75" s="164" t="s">
        <v>3921</v>
      </c>
      <c r="BA75" s="165"/>
      <c r="BB75" s="165"/>
      <c r="BC75" s="240"/>
      <c r="BD75" s="165"/>
      <c r="BE75" s="165"/>
      <c r="BF75" s="165"/>
      <c r="BG75" s="165"/>
      <c r="BH75" s="165"/>
    </row>
    <row r="76" spans="2:60" x14ac:dyDescent="0.25">
      <c r="B76" s="170" t="s">
        <v>3632</v>
      </c>
      <c r="C76" s="171" t="s">
        <v>1270</v>
      </c>
      <c r="D76" s="171">
        <v>1</v>
      </c>
      <c r="E76" s="171" t="s">
        <v>3627</v>
      </c>
      <c r="F76" s="172">
        <f t="shared" ref="F76:AS76" si="120">F77</f>
        <v>881810000</v>
      </c>
      <c r="G76" s="172">
        <f t="shared" si="120"/>
        <v>2736502000</v>
      </c>
      <c r="H76" s="172">
        <f t="shared" si="120"/>
        <v>0</v>
      </c>
      <c r="I76" s="172">
        <f t="shared" si="120"/>
        <v>1854692000</v>
      </c>
      <c r="J76" s="172">
        <f t="shared" si="120"/>
        <v>0</v>
      </c>
      <c r="K76" s="172">
        <f t="shared" si="120"/>
        <v>0</v>
      </c>
      <c r="L76" s="172">
        <f t="shared" si="120"/>
        <v>0</v>
      </c>
      <c r="M76" s="172">
        <f t="shared" si="120"/>
        <v>0</v>
      </c>
      <c r="N76" s="172">
        <f t="shared" si="120"/>
        <v>0</v>
      </c>
      <c r="O76" s="172">
        <f t="shared" si="120"/>
        <v>0</v>
      </c>
      <c r="P76" s="172">
        <f t="shared" si="120"/>
        <v>0</v>
      </c>
      <c r="Q76" s="172">
        <f t="shared" si="120"/>
        <v>85679153</v>
      </c>
      <c r="R76" s="172">
        <f t="shared" si="120"/>
        <v>142958644</v>
      </c>
      <c r="S76" s="172">
        <f t="shared" si="120"/>
        <v>54042998</v>
      </c>
      <c r="T76" s="172">
        <f t="shared" si="120"/>
        <v>40187000</v>
      </c>
      <c r="U76" s="172">
        <f t="shared" si="120"/>
        <v>0</v>
      </c>
      <c r="V76" s="172">
        <f t="shared" si="120"/>
        <v>19414000</v>
      </c>
      <c r="W76" s="172">
        <f t="shared" si="120"/>
        <v>42454302</v>
      </c>
      <c r="X76" s="172">
        <f t="shared" si="120"/>
        <v>110921043</v>
      </c>
      <c r="Y76" s="172">
        <f t="shared" si="120"/>
        <v>35886027</v>
      </c>
      <c r="Z76" s="172">
        <f t="shared" si="120"/>
        <v>0</v>
      </c>
      <c r="AA76" s="172">
        <f t="shared" si="120"/>
        <v>0</v>
      </c>
      <c r="AB76" s="172">
        <f t="shared" si="120"/>
        <v>0</v>
      </c>
      <c r="AC76" s="172">
        <f t="shared" si="120"/>
        <v>0</v>
      </c>
      <c r="AD76" s="172">
        <f t="shared" si="120"/>
        <v>0</v>
      </c>
      <c r="AE76" s="172">
        <f t="shared" si="120"/>
        <v>0</v>
      </c>
      <c r="AF76" s="172">
        <f t="shared" si="120"/>
        <v>0</v>
      </c>
      <c r="AG76" s="172">
        <f t="shared" si="120"/>
        <v>0</v>
      </c>
      <c r="AH76" s="172">
        <f t="shared" si="120"/>
        <v>0</v>
      </c>
      <c r="AI76" s="172">
        <f t="shared" si="120"/>
        <v>0</v>
      </c>
      <c r="AJ76" s="172">
        <f t="shared" si="120"/>
        <v>0</v>
      </c>
      <c r="AK76" s="172">
        <f t="shared" si="120"/>
        <v>0</v>
      </c>
      <c r="AL76" s="172">
        <f t="shared" si="120"/>
        <v>0</v>
      </c>
      <c r="AM76" s="172">
        <f t="shared" si="120"/>
        <v>0</v>
      </c>
      <c r="AN76" s="172">
        <f t="shared" si="120"/>
        <v>0</v>
      </c>
      <c r="AO76" s="172">
        <f t="shared" si="120"/>
        <v>0</v>
      </c>
      <c r="AP76" s="172">
        <f t="shared" si="120"/>
        <v>0</v>
      </c>
      <c r="AQ76" s="172">
        <f t="shared" si="120"/>
        <v>0</v>
      </c>
      <c r="AR76" s="172">
        <f t="shared" si="120"/>
        <v>0</v>
      </c>
      <c r="AS76" s="172">
        <f t="shared" si="120"/>
        <v>0</v>
      </c>
      <c r="AT76" s="172">
        <f t="shared" si="33"/>
        <v>531543167</v>
      </c>
      <c r="AU76" s="173">
        <f t="shared" si="6"/>
        <v>60.278650389539699</v>
      </c>
      <c r="AV76" s="174">
        <f t="shared" si="7"/>
        <v>350266833</v>
      </c>
      <c r="AW76" s="173">
        <f t="shared" si="10"/>
        <v>39.721349610460308</v>
      </c>
      <c r="AX76" s="164"/>
      <c r="AY76" s="164"/>
      <c r="AZ76" s="164" t="s">
        <v>3921</v>
      </c>
      <c r="BA76" s="172">
        <f t="shared" ref="BA76:BH76" si="121">BA77</f>
        <v>59308000</v>
      </c>
      <c r="BB76" s="172">
        <f t="shared" si="121"/>
        <v>142958644</v>
      </c>
      <c r="BC76" s="172">
        <f t="shared" si="121"/>
        <v>26371153</v>
      </c>
      <c r="BD76" s="172">
        <f t="shared" si="121"/>
        <v>40187000</v>
      </c>
      <c r="BE76" s="172">
        <f t="shared" si="121"/>
        <v>18988905</v>
      </c>
      <c r="BF76" s="172">
        <f t="shared" si="121"/>
        <v>23465397</v>
      </c>
      <c r="BG76" s="172">
        <f t="shared" si="121"/>
        <v>110921043</v>
      </c>
      <c r="BH76" s="172">
        <f t="shared" si="121"/>
        <v>0</v>
      </c>
    </row>
    <row r="77" spans="2:60" x14ac:dyDescent="0.25">
      <c r="B77" s="170">
        <v>301</v>
      </c>
      <c r="C77" s="171" t="s">
        <v>1389</v>
      </c>
      <c r="D77" s="171"/>
      <c r="E77" s="171"/>
      <c r="F77" s="172">
        <f t="shared" ref="F77:AS77" si="122">F78+F82+F86+F91+F95+F102+F108+F113+F118</f>
        <v>881810000</v>
      </c>
      <c r="G77" s="172">
        <f t="shared" ref="G77:H77" si="123">G78+G82+G86+G91+G95+G102+G108+G113+G118</f>
        <v>2736502000</v>
      </c>
      <c r="H77" s="172">
        <f t="shared" si="123"/>
        <v>0</v>
      </c>
      <c r="I77" s="172">
        <f t="shared" ref="I77" si="124">I78+I82+I86+I91+I95+I102+I108+I113+I118</f>
        <v>1854692000</v>
      </c>
      <c r="J77" s="172">
        <f t="shared" si="122"/>
        <v>0</v>
      </c>
      <c r="K77" s="172">
        <f t="shared" si="122"/>
        <v>0</v>
      </c>
      <c r="L77" s="172">
        <f t="shared" si="122"/>
        <v>0</v>
      </c>
      <c r="M77" s="172">
        <f t="shared" si="122"/>
        <v>0</v>
      </c>
      <c r="N77" s="172">
        <f t="shared" si="122"/>
        <v>0</v>
      </c>
      <c r="O77" s="172">
        <f t="shared" si="122"/>
        <v>0</v>
      </c>
      <c r="P77" s="172">
        <f t="shared" si="122"/>
        <v>0</v>
      </c>
      <c r="Q77" s="172">
        <f t="shared" si="122"/>
        <v>85679153</v>
      </c>
      <c r="R77" s="172">
        <f t="shared" si="122"/>
        <v>142958644</v>
      </c>
      <c r="S77" s="172">
        <f t="shared" si="122"/>
        <v>54042998</v>
      </c>
      <c r="T77" s="172">
        <f t="shared" si="122"/>
        <v>40187000</v>
      </c>
      <c r="U77" s="172">
        <f t="shared" si="122"/>
        <v>0</v>
      </c>
      <c r="V77" s="172">
        <f t="shared" si="122"/>
        <v>19414000</v>
      </c>
      <c r="W77" s="172">
        <f t="shared" si="122"/>
        <v>42454302</v>
      </c>
      <c r="X77" s="172">
        <f t="shared" si="122"/>
        <v>110921043</v>
      </c>
      <c r="Y77" s="172">
        <f t="shared" si="122"/>
        <v>35886027</v>
      </c>
      <c r="Z77" s="172">
        <f t="shared" si="122"/>
        <v>0</v>
      </c>
      <c r="AA77" s="172">
        <f t="shared" si="122"/>
        <v>0</v>
      </c>
      <c r="AB77" s="172">
        <f t="shared" si="122"/>
        <v>0</v>
      </c>
      <c r="AC77" s="172">
        <f t="shared" si="122"/>
        <v>0</v>
      </c>
      <c r="AD77" s="172">
        <f t="shared" si="122"/>
        <v>0</v>
      </c>
      <c r="AE77" s="172">
        <f t="shared" si="122"/>
        <v>0</v>
      </c>
      <c r="AF77" s="172">
        <f t="shared" si="122"/>
        <v>0</v>
      </c>
      <c r="AG77" s="172">
        <f t="shared" si="122"/>
        <v>0</v>
      </c>
      <c r="AH77" s="172">
        <f t="shared" si="122"/>
        <v>0</v>
      </c>
      <c r="AI77" s="172">
        <f t="shared" si="122"/>
        <v>0</v>
      </c>
      <c r="AJ77" s="172">
        <f t="shared" si="122"/>
        <v>0</v>
      </c>
      <c r="AK77" s="172">
        <f t="shared" si="122"/>
        <v>0</v>
      </c>
      <c r="AL77" s="172">
        <f t="shared" si="122"/>
        <v>0</v>
      </c>
      <c r="AM77" s="172">
        <f t="shared" si="122"/>
        <v>0</v>
      </c>
      <c r="AN77" s="172">
        <f t="shared" si="122"/>
        <v>0</v>
      </c>
      <c r="AO77" s="172">
        <f t="shared" si="122"/>
        <v>0</v>
      </c>
      <c r="AP77" s="172">
        <f t="shared" si="122"/>
        <v>0</v>
      </c>
      <c r="AQ77" s="172">
        <f t="shared" si="122"/>
        <v>0</v>
      </c>
      <c r="AR77" s="172">
        <f t="shared" si="122"/>
        <v>0</v>
      </c>
      <c r="AS77" s="172">
        <f t="shared" si="122"/>
        <v>0</v>
      </c>
      <c r="AT77" s="172">
        <f t="shared" si="33"/>
        <v>531543167</v>
      </c>
      <c r="AU77" s="173">
        <f t="shared" si="6"/>
        <v>60.278650389539699</v>
      </c>
      <c r="AV77" s="174">
        <f t="shared" si="7"/>
        <v>350266833</v>
      </c>
      <c r="AW77" s="173">
        <f t="shared" si="10"/>
        <v>39.721349610460308</v>
      </c>
      <c r="AX77" s="164"/>
      <c r="AY77" s="164"/>
      <c r="AZ77" s="164" t="s">
        <v>3921</v>
      </c>
      <c r="BA77" s="172">
        <f>BA78+BA82+BA86+BA91+BA95+BA102+BA108+BA113+BA118</f>
        <v>59308000</v>
      </c>
      <c r="BB77" s="172">
        <f>BB78+BB82+BB86+BB91+BB95+BB102+BB108+BB113+BB118</f>
        <v>142958644</v>
      </c>
      <c r="BC77" s="172">
        <f>BC78+BC82+BC86+BC91+BC95+BC102+BC108+BC113+BC118</f>
        <v>26371153</v>
      </c>
      <c r="BD77" s="172">
        <f>BD78+BD82+BD86+BD91+BD95+BD102+BD108+BD113+BD118</f>
        <v>40187000</v>
      </c>
      <c r="BE77" s="172">
        <f t="shared" ref="BE77" si="125">BE78+BE82+BE86+BE91+BE95+BE102+BE108+BE113+BE118</f>
        <v>18988905</v>
      </c>
      <c r="BF77" s="172">
        <f t="shared" ref="BF77:BG77" si="126">BF78+BF82+BF86+BF91+BF95+BF102+BF108+BF113+BF118</f>
        <v>23465397</v>
      </c>
      <c r="BG77" s="172">
        <f t="shared" si="126"/>
        <v>110921043</v>
      </c>
      <c r="BH77" s="172">
        <f t="shared" ref="BH77" si="127">BH78+BH82+BH86+BH91+BH95+BH102+BH108+BH113+BH118</f>
        <v>0</v>
      </c>
    </row>
    <row r="78" spans="2:60" x14ac:dyDescent="0.25">
      <c r="B78" s="230" t="s">
        <v>8</v>
      </c>
      <c r="C78" s="166" t="s">
        <v>148</v>
      </c>
      <c r="D78" s="166"/>
      <c r="E78" s="166"/>
      <c r="F78" s="167">
        <f t="shared" ref="F78:G78" si="128">SUM(F79:F81)</f>
        <v>18739000</v>
      </c>
      <c r="G78" s="167">
        <f t="shared" si="128"/>
        <v>51100000</v>
      </c>
      <c r="H78" s="167">
        <f t="shared" ref="H78" si="129">SUM(H79:H81)</f>
        <v>0</v>
      </c>
      <c r="I78" s="167">
        <f t="shared" ref="I78" si="130">SUM(I79:I81)</f>
        <v>32361000</v>
      </c>
      <c r="J78" s="167">
        <f t="shared" ref="J78:AS78" si="131">SUM(J79:J81)</f>
        <v>0</v>
      </c>
      <c r="K78" s="167">
        <f t="shared" si="131"/>
        <v>0</v>
      </c>
      <c r="L78" s="167">
        <f t="shared" si="131"/>
        <v>0</v>
      </c>
      <c r="M78" s="167">
        <f t="shared" si="131"/>
        <v>0</v>
      </c>
      <c r="N78" s="167">
        <f t="shared" si="131"/>
        <v>0</v>
      </c>
      <c r="O78" s="167">
        <f t="shared" si="131"/>
        <v>0</v>
      </c>
      <c r="P78" s="167">
        <f t="shared" si="131"/>
        <v>0</v>
      </c>
      <c r="Q78" s="167">
        <f t="shared" si="131"/>
        <v>3135000</v>
      </c>
      <c r="R78" s="167">
        <f t="shared" si="131"/>
        <v>5948800</v>
      </c>
      <c r="S78" s="167">
        <f t="shared" si="131"/>
        <v>0</v>
      </c>
      <c r="T78" s="167">
        <f t="shared" si="131"/>
        <v>3960000</v>
      </c>
      <c r="U78" s="167">
        <f t="shared" si="131"/>
        <v>0</v>
      </c>
      <c r="V78" s="167">
        <f t="shared" si="131"/>
        <v>0</v>
      </c>
      <c r="W78" s="167">
        <f t="shared" si="131"/>
        <v>3043500</v>
      </c>
      <c r="X78" s="167">
        <f t="shared" si="131"/>
        <v>0</v>
      </c>
      <c r="Y78" s="167">
        <f t="shared" si="131"/>
        <v>0</v>
      </c>
      <c r="Z78" s="167">
        <f t="shared" si="131"/>
        <v>0</v>
      </c>
      <c r="AA78" s="167">
        <f t="shared" si="131"/>
        <v>0</v>
      </c>
      <c r="AB78" s="167">
        <f t="shared" si="131"/>
        <v>0</v>
      </c>
      <c r="AC78" s="167">
        <f t="shared" si="131"/>
        <v>0</v>
      </c>
      <c r="AD78" s="167">
        <f t="shared" si="131"/>
        <v>0</v>
      </c>
      <c r="AE78" s="167">
        <f t="shared" si="131"/>
        <v>0</v>
      </c>
      <c r="AF78" s="167">
        <f t="shared" si="131"/>
        <v>0</v>
      </c>
      <c r="AG78" s="167">
        <f t="shared" si="131"/>
        <v>0</v>
      </c>
      <c r="AH78" s="167">
        <f t="shared" si="131"/>
        <v>0</v>
      </c>
      <c r="AI78" s="167">
        <f t="shared" si="131"/>
        <v>0</v>
      </c>
      <c r="AJ78" s="167">
        <f t="shared" si="131"/>
        <v>0</v>
      </c>
      <c r="AK78" s="167">
        <f t="shared" si="131"/>
        <v>0</v>
      </c>
      <c r="AL78" s="167">
        <f t="shared" si="131"/>
        <v>0</v>
      </c>
      <c r="AM78" s="167">
        <f t="shared" si="131"/>
        <v>0</v>
      </c>
      <c r="AN78" s="167">
        <f t="shared" si="131"/>
        <v>0</v>
      </c>
      <c r="AO78" s="167">
        <f t="shared" si="131"/>
        <v>0</v>
      </c>
      <c r="AP78" s="167">
        <f t="shared" si="131"/>
        <v>0</v>
      </c>
      <c r="AQ78" s="167">
        <f t="shared" si="131"/>
        <v>0</v>
      </c>
      <c r="AR78" s="167">
        <f t="shared" si="131"/>
        <v>0</v>
      </c>
      <c r="AS78" s="167">
        <f t="shared" si="131"/>
        <v>0</v>
      </c>
      <c r="AT78" s="167">
        <f t="shared" si="33"/>
        <v>16087300</v>
      </c>
      <c r="AU78" s="175">
        <f t="shared" si="6"/>
        <v>85.849298254976247</v>
      </c>
      <c r="AV78" s="176">
        <f t="shared" si="7"/>
        <v>2651700</v>
      </c>
      <c r="AW78" s="175">
        <f t="shared" si="10"/>
        <v>14.150701745023747</v>
      </c>
      <c r="AX78" s="164" t="s">
        <v>576</v>
      </c>
      <c r="AY78" s="164" t="s">
        <v>560</v>
      </c>
      <c r="AZ78" s="164" t="s">
        <v>3921</v>
      </c>
      <c r="BA78" s="167">
        <f t="shared" ref="BA78" si="132">SUM(BA79:BA81)</f>
        <v>3135000</v>
      </c>
      <c r="BB78" s="167">
        <f t="shared" ref="BB78:BC78" si="133">SUM(BB79:BB81)</f>
        <v>5948800</v>
      </c>
      <c r="BC78" s="167">
        <f t="shared" si="133"/>
        <v>0</v>
      </c>
      <c r="BD78" s="167">
        <f t="shared" ref="BD78" si="134">SUM(BD79:BD81)</f>
        <v>3960000</v>
      </c>
      <c r="BE78" s="167">
        <f t="shared" ref="BE78" si="135">SUM(BE79:BE81)</f>
        <v>0</v>
      </c>
      <c r="BF78" s="167">
        <f t="shared" ref="BF78:BG78" si="136">SUM(BF79:BF81)</f>
        <v>3043500</v>
      </c>
      <c r="BG78" s="167">
        <f t="shared" si="136"/>
        <v>0</v>
      </c>
      <c r="BH78" s="167">
        <f t="shared" ref="BH78" si="137">SUM(BH79:BH81)</f>
        <v>0</v>
      </c>
    </row>
    <row r="79" spans="2:60" x14ac:dyDescent="0.25">
      <c r="B79" s="228">
        <v>521211</v>
      </c>
      <c r="C79" s="164" t="s">
        <v>7</v>
      </c>
      <c r="D79" s="164"/>
      <c r="E79" s="164"/>
      <c r="F79" s="165">
        <v>5000000</v>
      </c>
      <c r="G79" s="165">
        <v>22000000</v>
      </c>
      <c r="H79" s="165"/>
      <c r="I79" s="165">
        <f t="shared" ref="I79:I81" si="138">G79-F79</f>
        <v>17000000</v>
      </c>
      <c r="J79" s="165"/>
      <c r="K79" s="165"/>
      <c r="L79" s="165"/>
      <c r="M79" s="165"/>
      <c r="N79" s="165"/>
      <c r="O79" s="165"/>
      <c r="P79" s="165"/>
      <c r="Q79" s="165"/>
      <c r="R79" s="165">
        <v>3998800</v>
      </c>
      <c r="S79" s="165"/>
      <c r="T79" s="165"/>
      <c r="U79" s="165"/>
      <c r="V79" s="165"/>
      <c r="W79" s="165"/>
      <c r="X79" s="165"/>
      <c r="Y79" s="165"/>
      <c r="Z79" s="165"/>
      <c r="AA79" s="165"/>
      <c r="AB79" s="165"/>
      <c r="AC79" s="165"/>
      <c r="AD79" s="165"/>
      <c r="AE79" s="165"/>
      <c r="AF79" s="165"/>
      <c r="AG79" s="165"/>
      <c r="AH79" s="165"/>
      <c r="AI79" s="165"/>
      <c r="AJ79" s="165"/>
      <c r="AK79" s="165"/>
      <c r="AL79" s="165"/>
      <c r="AM79" s="165"/>
      <c r="AN79" s="165"/>
      <c r="AO79" s="165"/>
      <c r="AP79" s="165"/>
      <c r="AQ79" s="165"/>
      <c r="AR79" s="165"/>
      <c r="AS79" s="165"/>
      <c r="AT79" s="165">
        <f t="shared" ref="AT79:AT127" si="139">SUM(J79:AS79)</f>
        <v>3998800</v>
      </c>
      <c r="AU79" s="168">
        <f t="shared" ref="AU79:AU142" si="140">IFERROR(AT79/F79*100,0)</f>
        <v>79.975999999999999</v>
      </c>
      <c r="AV79" s="169">
        <f t="shared" ref="AV79:AV122" si="141">F79-AT79</f>
        <v>1001200</v>
      </c>
      <c r="AW79" s="168">
        <f t="shared" ref="AW79:AW127" si="142">AV79/F79*100</f>
        <v>20.024000000000001</v>
      </c>
      <c r="AX79" s="164" t="s">
        <v>576</v>
      </c>
      <c r="AY79" s="164" t="s">
        <v>560</v>
      </c>
      <c r="AZ79" s="164" t="s">
        <v>3921</v>
      </c>
      <c r="BA79" s="165"/>
      <c r="BB79" s="165">
        <v>3998800</v>
      </c>
      <c r="BC79" s="240"/>
      <c r="BD79" s="165"/>
      <c r="BE79" s="165"/>
      <c r="BF79" s="165"/>
      <c r="BG79" s="165"/>
      <c r="BH79" s="165"/>
    </row>
    <row r="80" spans="2:60" x14ac:dyDescent="0.25">
      <c r="B80" s="228">
        <v>524111</v>
      </c>
      <c r="C80" s="164" t="s">
        <v>19</v>
      </c>
      <c r="D80" s="164"/>
      <c r="E80" s="164"/>
      <c r="F80" s="165">
        <v>12989000</v>
      </c>
      <c r="G80" s="165">
        <v>27000000</v>
      </c>
      <c r="H80" s="165"/>
      <c r="I80" s="165">
        <f t="shared" si="138"/>
        <v>14011000</v>
      </c>
      <c r="J80" s="165"/>
      <c r="K80" s="165"/>
      <c r="L80" s="165"/>
      <c r="M80" s="165"/>
      <c r="N80" s="165"/>
      <c r="O80" s="165"/>
      <c r="P80" s="165"/>
      <c r="Q80" s="165">
        <v>2685000</v>
      </c>
      <c r="R80" s="165">
        <v>1650000</v>
      </c>
      <c r="S80" s="165"/>
      <c r="T80" s="165">
        <v>3960000</v>
      </c>
      <c r="U80" s="165"/>
      <c r="V80" s="165"/>
      <c r="W80" s="165">
        <v>3043500</v>
      </c>
      <c r="X80" s="165"/>
      <c r="Y80" s="165"/>
      <c r="Z80" s="165"/>
      <c r="AA80" s="165"/>
      <c r="AB80" s="165"/>
      <c r="AC80" s="165"/>
      <c r="AD80" s="165"/>
      <c r="AE80" s="165"/>
      <c r="AF80" s="165"/>
      <c r="AG80" s="165"/>
      <c r="AH80" s="165"/>
      <c r="AI80" s="165"/>
      <c r="AJ80" s="165"/>
      <c r="AK80" s="165"/>
      <c r="AL80" s="165"/>
      <c r="AM80" s="165"/>
      <c r="AN80" s="165"/>
      <c r="AO80" s="165"/>
      <c r="AP80" s="165"/>
      <c r="AQ80" s="165"/>
      <c r="AR80" s="165"/>
      <c r="AS80" s="165"/>
      <c r="AT80" s="165">
        <f t="shared" si="139"/>
        <v>11338500</v>
      </c>
      <c r="AU80" s="168">
        <f t="shared" si="140"/>
        <v>87.293094156594037</v>
      </c>
      <c r="AV80" s="169">
        <f t="shared" si="141"/>
        <v>1650500</v>
      </c>
      <c r="AW80" s="168">
        <f t="shared" si="142"/>
        <v>12.706905843405957</v>
      </c>
      <c r="AX80" s="164" t="s">
        <v>576</v>
      </c>
      <c r="AY80" s="164" t="s">
        <v>560</v>
      </c>
      <c r="AZ80" s="164" t="s">
        <v>3921</v>
      </c>
      <c r="BA80" s="165">
        <v>2685000</v>
      </c>
      <c r="BB80" s="165">
        <v>1650000</v>
      </c>
      <c r="BC80" s="240"/>
      <c r="BD80" s="165">
        <v>3960000</v>
      </c>
      <c r="BE80" s="165"/>
      <c r="BF80" s="165">
        <v>3043500</v>
      </c>
      <c r="BG80" s="165"/>
      <c r="BH80" s="165"/>
    </row>
    <row r="81" spans="2:62" x14ac:dyDescent="0.25">
      <c r="B81" s="228">
        <v>524113</v>
      </c>
      <c r="C81" s="164" t="s">
        <v>13</v>
      </c>
      <c r="D81" s="164"/>
      <c r="E81" s="164"/>
      <c r="F81" s="165">
        <v>750000</v>
      </c>
      <c r="G81" s="165">
        <v>2100000</v>
      </c>
      <c r="H81" s="165"/>
      <c r="I81" s="165">
        <f t="shared" si="138"/>
        <v>1350000</v>
      </c>
      <c r="J81" s="165"/>
      <c r="K81" s="165"/>
      <c r="L81" s="165"/>
      <c r="M81" s="165"/>
      <c r="N81" s="165"/>
      <c r="O81" s="165"/>
      <c r="P81" s="165"/>
      <c r="Q81" s="165">
        <v>450000</v>
      </c>
      <c r="R81" s="165">
        <v>300000</v>
      </c>
      <c r="S81" s="165"/>
      <c r="T81" s="165"/>
      <c r="U81" s="165"/>
      <c r="V81" s="165"/>
      <c r="W81" s="165"/>
      <c r="X81" s="165"/>
      <c r="Y81" s="165"/>
      <c r="Z81" s="165"/>
      <c r="AA81" s="165"/>
      <c r="AB81" s="165"/>
      <c r="AC81" s="165"/>
      <c r="AD81" s="165"/>
      <c r="AE81" s="165"/>
      <c r="AF81" s="165"/>
      <c r="AG81" s="165"/>
      <c r="AH81" s="165"/>
      <c r="AI81" s="165"/>
      <c r="AJ81" s="165"/>
      <c r="AK81" s="165"/>
      <c r="AL81" s="165"/>
      <c r="AM81" s="165"/>
      <c r="AN81" s="165"/>
      <c r="AO81" s="165"/>
      <c r="AP81" s="165"/>
      <c r="AQ81" s="165"/>
      <c r="AR81" s="165"/>
      <c r="AS81" s="165"/>
      <c r="AT81" s="165">
        <f t="shared" si="139"/>
        <v>750000</v>
      </c>
      <c r="AU81" s="168">
        <f t="shared" si="140"/>
        <v>100</v>
      </c>
      <c r="AV81" s="169">
        <f t="shared" si="141"/>
        <v>0</v>
      </c>
      <c r="AW81" s="168">
        <f t="shared" si="142"/>
        <v>0</v>
      </c>
      <c r="AX81" s="164" t="s">
        <v>576</v>
      </c>
      <c r="AY81" s="164" t="s">
        <v>560</v>
      </c>
      <c r="AZ81" s="164" t="s">
        <v>3921</v>
      </c>
      <c r="BA81" s="165">
        <v>450000</v>
      </c>
      <c r="BB81" s="165">
        <v>300000</v>
      </c>
      <c r="BC81" s="240"/>
      <c r="BD81" s="165"/>
      <c r="BE81" s="165"/>
      <c r="BF81" s="165"/>
      <c r="BG81" s="165"/>
      <c r="BH81" s="165"/>
    </row>
    <row r="82" spans="2:62" x14ac:dyDescent="0.25">
      <c r="B82" s="230" t="s">
        <v>511</v>
      </c>
      <c r="C82" s="166" t="s">
        <v>150</v>
      </c>
      <c r="D82" s="166"/>
      <c r="E82" s="166"/>
      <c r="F82" s="167">
        <f t="shared" ref="F82:AS82" si="143">SUM(F83:F85)</f>
        <v>385665000</v>
      </c>
      <c r="G82" s="167">
        <f t="shared" ref="G82:H82" si="144">SUM(G83:G85)</f>
        <v>548180000</v>
      </c>
      <c r="H82" s="167">
        <f t="shared" si="144"/>
        <v>0</v>
      </c>
      <c r="I82" s="167">
        <f t="shared" ref="I82" si="145">SUM(I83:I85)</f>
        <v>162515000</v>
      </c>
      <c r="J82" s="167">
        <f t="shared" si="143"/>
        <v>0</v>
      </c>
      <c r="K82" s="167">
        <f t="shared" si="143"/>
        <v>0</v>
      </c>
      <c r="L82" s="167">
        <f t="shared" si="143"/>
        <v>0</v>
      </c>
      <c r="M82" s="167">
        <f t="shared" si="143"/>
        <v>0</v>
      </c>
      <c r="N82" s="167">
        <f t="shared" si="143"/>
        <v>0</v>
      </c>
      <c r="O82" s="167">
        <f t="shared" si="143"/>
        <v>0</v>
      </c>
      <c r="P82" s="167">
        <f t="shared" si="143"/>
        <v>0</v>
      </c>
      <c r="Q82" s="167">
        <f t="shared" si="143"/>
        <v>49559600</v>
      </c>
      <c r="R82" s="167">
        <f t="shared" si="143"/>
        <v>23771900</v>
      </c>
      <c r="S82" s="167">
        <f t="shared" si="143"/>
        <v>34977460</v>
      </c>
      <c r="T82" s="167">
        <f t="shared" si="143"/>
        <v>31588000</v>
      </c>
      <c r="U82" s="167">
        <f t="shared" si="143"/>
        <v>0</v>
      </c>
      <c r="V82" s="167">
        <f t="shared" si="143"/>
        <v>0</v>
      </c>
      <c r="W82" s="167">
        <f t="shared" si="143"/>
        <v>14558751</v>
      </c>
      <c r="X82" s="167">
        <f t="shared" si="143"/>
        <v>13125750</v>
      </c>
      <c r="Y82" s="167">
        <f t="shared" si="143"/>
        <v>0</v>
      </c>
      <c r="Z82" s="167">
        <f t="shared" si="143"/>
        <v>0</v>
      </c>
      <c r="AA82" s="167">
        <f t="shared" si="143"/>
        <v>0</v>
      </c>
      <c r="AB82" s="167">
        <f t="shared" si="143"/>
        <v>0</v>
      </c>
      <c r="AC82" s="167">
        <f t="shared" si="143"/>
        <v>0</v>
      </c>
      <c r="AD82" s="167">
        <f t="shared" si="143"/>
        <v>0</v>
      </c>
      <c r="AE82" s="167">
        <f t="shared" si="143"/>
        <v>0</v>
      </c>
      <c r="AF82" s="167">
        <f t="shared" si="143"/>
        <v>0</v>
      </c>
      <c r="AG82" s="167">
        <f t="shared" si="143"/>
        <v>0</v>
      </c>
      <c r="AH82" s="167">
        <f t="shared" si="143"/>
        <v>0</v>
      </c>
      <c r="AI82" s="167">
        <f t="shared" si="143"/>
        <v>0</v>
      </c>
      <c r="AJ82" s="167">
        <f t="shared" si="143"/>
        <v>0</v>
      </c>
      <c r="AK82" s="167">
        <f t="shared" si="143"/>
        <v>0</v>
      </c>
      <c r="AL82" s="167">
        <f t="shared" si="143"/>
        <v>0</v>
      </c>
      <c r="AM82" s="167">
        <f t="shared" si="143"/>
        <v>0</v>
      </c>
      <c r="AN82" s="167">
        <f t="shared" si="143"/>
        <v>0</v>
      </c>
      <c r="AO82" s="167">
        <f t="shared" si="143"/>
        <v>0</v>
      </c>
      <c r="AP82" s="167">
        <f t="shared" si="143"/>
        <v>0</v>
      </c>
      <c r="AQ82" s="167">
        <f t="shared" si="143"/>
        <v>0</v>
      </c>
      <c r="AR82" s="167">
        <f t="shared" si="143"/>
        <v>0</v>
      </c>
      <c r="AS82" s="167">
        <f t="shared" si="143"/>
        <v>0</v>
      </c>
      <c r="AT82" s="167">
        <f t="shared" si="139"/>
        <v>167581461</v>
      </c>
      <c r="AU82" s="175">
        <f t="shared" si="140"/>
        <v>43.452597720819881</v>
      </c>
      <c r="AV82" s="176">
        <f t="shared" si="141"/>
        <v>218083539</v>
      </c>
      <c r="AW82" s="175">
        <f t="shared" si="142"/>
        <v>56.547402279180112</v>
      </c>
      <c r="AX82" s="164" t="s">
        <v>576</v>
      </c>
      <c r="AY82" s="164" t="s">
        <v>560</v>
      </c>
      <c r="AZ82" s="164" t="s">
        <v>3921</v>
      </c>
      <c r="BA82" s="167">
        <f>SUM(BA83:BA85)</f>
        <v>49105600</v>
      </c>
      <c r="BB82" s="167">
        <f>SUM(BB83:BB85)</f>
        <v>23771900</v>
      </c>
      <c r="BC82" s="167">
        <f>SUM(BC83:BC85)</f>
        <v>454000</v>
      </c>
      <c r="BD82" s="167">
        <f>SUM(BD83:BD85)</f>
        <v>31588000</v>
      </c>
      <c r="BE82" s="167">
        <f t="shared" ref="BE82" si="146">SUM(BE83:BE85)</f>
        <v>10477701</v>
      </c>
      <c r="BF82" s="167">
        <f t="shared" ref="BF82:BG82" si="147">SUM(BF83:BF85)</f>
        <v>4081050</v>
      </c>
      <c r="BG82" s="167">
        <f t="shared" si="147"/>
        <v>13125750</v>
      </c>
      <c r="BH82" s="167">
        <f t="shared" ref="BH82" si="148">SUM(BH83:BH85)</f>
        <v>0</v>
      </c>
    </row>
    <row r="83" spans="2:62" x14ac:dyDescent="0.25">
      <c r="B83" s="228">
        <v>521211</v>
      </c>
      <c r="C83" s="164" t="s">
        <v>7</v>
      </c>
      <c r="D83" s="164"/>
      <c r="E83" s="164"/>
      <c r="F83" s="165">
        <v>10000000</v>
      </c>
      <c r="G83" s="165">
        <v>10000000</v>
      </c>
      <c r="H83" s="165"/>
      <c r="I83" s="165">
        <f t="shared" ref="I83:I85" si="149">G83-F83</f>
        <v>0</v>
      </c>
      <c r="J83" s="165"/>
      <c r="K83" s="165"/>
      <c r="L83" s="165"/>
      <c r="M83" s="165"/>
      <c r="N83" s="165"/>
      <c r="O83" s="165"/>
      <c r="P83" s="165"/>
      <c r="Q83" s="165">
        <v>2485000</v>
      </c>
      <c r="R83" s="165"/>
      <c r="S83" s="165"/>
      <c r="T83" s="165"/>
      <c r="U83" s="165"/>
      <c r="V83" s="165"/>
      <c r="W83" s="165"/>
      <c r="X83" s="165">
        <v>2485000</v>
      </c>
      <c r="Y83" s="165"/>
      <c r="Z83" s="165"/>
      <c r="AA83" s="165"/>
      <c r="AB83" s="165"/>
      <c r="AC83" s="165"/>
      <c r="AD83" s="165"/>
      <c r="AE83" s="165"/>
      <c r="AF83" s="165"/>
      <c r="AG83" s="165"/>
      <c r="AH83" s="165"/>
      <c r="AI83" s="165"/>
      <c r="AJ83" s="165"/>
      <c r="AK83" s="165"/>
      <c r="AL83" s="165"/>
      <c r="AM83" s="165"/>
      <c r="AN83" s="165"/>
      <c r="AO83" s="165"/>
      <c r="AP83" s="165"/>
      <c r="AQ83" s="165"/>
      <c r="AR83" s="165"/>
      <c r="AS83" s="165"/>
      <c r="AT83" s="165">
        <f t="shared" si="139"/>
        <v>4970000</v>
      </c>
      <c r="AU83" s="168">
        <f t="shared" si="140"/>
        <v>49.7</v>
      </c>
      <c r="AV83" s="169">
        <f t="shared" si="141"/>
        <v>5030000</v>
      </c>
      <c r="AW83" s="168">
        <f t="shared" si="142"/>
        <v>50.3</v>
      </c>
      <c r="AX83" s="164" t="s">
        <v>576</v>
      </c>
      <c r="AY83" s="164" t="s">
        <v>560</v>
      </c>
      <c r="AZ83" s="164" t="s">
        <v>3921</v>
      </c>
      <c r="BA83" s="165">
        <v>2485000</v>
      </c>
      <c r="BB83" s="165"/>
      <c r="BC83" s="240"/>
      <c r="BD83" s="165"/>
      <c r="BE83" s="165"/>
      <c r="BF83" s="165"/>
      <c r="BG83" s="165">
        <v>2485000</v>
      </c>
      <c r="BH83" s="165"/>
    </row>
    <row r="84" spans="2:62" x14ac:dyDescent="0.25">
      <c r="B84" s="228">
        <v>522192</v>
      </c>
      <c r="C84" s="164" t="s">
        <v>24</v>
      </c>
      <c r="D84" s="164"/>
      <c r="E84" s="164"/>
      <c r="F84" s="165">
        <v>2031000</v>
      </c>
      <c r="G84" s="165">
        <v>23680000</v>
      </c>
      <c r="H84" s="165"/>
      <c r="I84" s="165">
        <f t="shared" si="149"/>
        <v>21649000</v>
      </c>
      <c r="J84" s="165"/>
      <c r="K84" s="165"/>
      <c r="L84" s="165"/>
      <c r="M84" s="165"/>
      <c r="N84" s="165"/>
      <c r="O84" s="165"/>
      <c r="P84" s="165"/>
      <c r="Q84" s="165">
        <f>1235000+454000</f>
        <v>1689000</v>
      </c>
      <c r="R84" s="165">
        <v>342000</v>
      </c>
      <c r="S84" s="165"/>
      <c r="T84" s="165"/>
      <c r="U84" s="165"/>
      <c r="V84" s="165"/>
      <c r="W84" s="165"/>
      <c r="X84" s="165"/>
      <c r="Y84" s="165"/>
      <c r="Z84" s="165"/>
      <c r="AA84" s="165"/>
      <c r="AB84" s="165"/>
      <c r="AC84" s="165"/>
      <c r="AD84" s="165"/>
      <c r="AE84" s="165"/>
      <c r="AF84" s="165"/>
      <c r="AG84" s="165"/>
      <c r="AH84" s="165"/>
      <c r="AI84" s="165"/>
      <c r="AJ84" s="165"/>
      <c r="AK84" s="165"/>
      <c r="AL84" s="165"/>
      <c r="AM84" s="165"/>
      <c r="AN84" s="165"/>
      <c r="AO84" s="165"/>
      <c r="AP84" s="165"/>
      <c r="AQ84" s="165"/>
      <c r="AR84" s="165"/>
      <c r="AS84" s="165"/>
      <c r="AT84" s="165">
        <f t="shared" si="139"/>
        <v>2031000</v>
      </c>
      <c r="AU84" s="168">
        <f t="shared" si="140"/>
        <v>100</v>
      </c>
      <c r="AV84" s="169">
        <f t="shared" si="141"/>
        <v>0</v>
      </c>
      <c r="AW84" s="168">
        <f t="shared" si="142"/>
        <v>0</v>
      </c>
      <c r="AX84" s="164" t="s">
        <v>576</v>
      </c>
      <c r="AY84" s="164" t="s">
        <v>560</v>
      </c>
      <c r="AZ84" s="164" t="s">
        <v>3921</v>
      </c>
      <c r="BA84" s="165">
        <v>1235000</v>
      </c>
      <c r="BB84" s="165">
        <v>342000</v>
      </c>
      <c r="BC84" s="240">
        <v>454000</v>
      </c>
      <c r="BD84" s="165"/>
      <c r="BE84" s="165"/>
      <c r="BF84" s="165"/>
      <c r="BG84" s="165"/>
      <c r="BH84" s="165"/>
    </row>
    <row r="85" spans="2:62" x14ac:dyDescent="0.25">
      <c r="B85" s="228">
        <v>524111</v>
      </c>
      <c r="C85" s="164" t="s">
        <v>19</v>
      </c>
      <c r="D85" s="164"/>
      <c r="E85" s="164"/>
      <c r="F85" s="165">
        <v>373634000</v>
      </c>
      <c r="G85" s="165">
        <v>514500000</v>
      </c>
      <c r="H85" s="165"/>
      <c r="I85" s="165">
        <f t="shared" si="149"/>
        <v>140866000</v>
      </c>
      <c r="J85" s="165"/>
      <c r="K85" s="165"/>
      <c r="L85" s="165"/>
      <c r="M85" s="165"/>
      <c r="N85" s="165"/>
      <c r="O85" s="165"/>
      <c r="P85" s="165"/>
      <c r="Q85" s="165">
        <v>45385600</v>
      </c>
      <c r="R85" s="165">
        <v>23429900</v>
      </c>
      <c r="S85" s="165">
        <v>34977460</v>
      </c>
      <c r="T85" s="165">
        <v>31588000</v>
      </c>
      <c r="U85" s="165"/>
      <c r="V85" s="165"/>
      <c r="W85" s="165">
        <f>10477701+4081050</f>
        <v>14558751</v>
      </c>
      <c r="X85" s="165">
        <v>10640750</v>
      </c>
      <c r="Y85" s="165"/>
      <c r="Z85" s="165"/>
      <c r="AA85" s="165"/>
      <c r="AB85" s="165"/>
      <c r="AC85" s="165"/>
      <c r="AD85" s="165"/>
      <c r="AE85" s="165"/>
      <c r="AF85" s="165"/>
      <c r="AG85" s="165"/>
      <c r="AH85" s="165"/>
      <c r="AI85" s="165"/>
      <c r="AJ85" s="165"/>
      <c r="AK85" s="165"/>
      <c r="AL85" s="165"/>
      <c r="AM85" s="165"/>
      <c r="AN85" s="165"/>
      <c r="AO85" s="165"/>
      <c r="AP85" s="165"/>
      <c r="AQ85" s="165"/>
      <c r="AR85" s="165"/>
      <c r="AS85" s="165"/>
      <c r="AT85" s="165">
        <f t="shared" si="139"/>
        <v>160580461</v>
      </c>
      <c r="AU85" s="168">
        <f t="shared" si="140"/>
        <v>42.978010834131794</v>
      </c>
      <c r="AV85" s="169">
        <f t="shared" si="141"/>
        <v>213053539</v>
      </c>
      <c r="AW85" s="168">
        <f t="shared" si="142"/>
        <v>57.021989165868206</v>
      </c>
      <c r="AX85" s="164" t="s">
        <v>576</v>
      </c>
      <c r="AY85" s="164" t="s">
        <v>560</v>
      </c>
      <c r="AZ85" s="164" t="s">
        <v>3921</v>
      </c>
      <c r="BA85" s="165">
        <v>45385600</v>
      </c>
      <c r="BB85" s="165">
        <v>23429900</v>
      </c>
      <c r="BC85" s="240"/>
      <c r="BD85" s="165">
        <v>31588000</v>
      </c>
      <c r="BE85" s="165">
        <v>10477701</v>
      </c>
      <c r="BF85" s="165">
        <v>4081050</v>
      </c>
      <c r="BG85" s="165">
        <v>10640750</v>
      </c>
      <c r="BH85" s="165"/>
    </row>
    <row r="86" spans="2:62" x14ac:dyDescent="0.25">
      <c r="B86" s="230" t="s">
        <v>512</v>
      </c>
      <c r="C86" s="166" t="s">
        <v>1418</v>
      </c>
      <c r="D86" s="166"/>
      <c r="E86" s="166"/>
      <c r="F86" s="167">
        <f t="shared" ref="F86:AS86" si="150">SUM(F87:F90)</f>
        <v>56750000</v>
      </c>
      <c r="G86" s="167">
        <f t="shared" ref="G86:H86" si="151">SUM(G87:G90)</f>
        <v>74500000</v>
      </c>
      <c r="H86" s="167">
        <f t="shared" si="151"/>
        <v>0</v>
      </c>
      <c r="I86" s="167">
        <f t="shared" ref="I86" si="152">SUM(I87:I90)</f>
        <v>17750000</v>
      </c>
      <c r="J86" s="167">
        <f t="shared" si="150"/>
        <v>0</v>
      </c>
      <c r="K86" s="167">
        <f t="shared" si="150"/>
        <v>0</v>
      </c>
      <c r="L86" s="167">
        <f t="shared" si="150"/>
        <v>0</v>
      </c>
      <c r="M86" s="167">
        <f t="shared" si="150"/>
        <v>0</v>
      </c>
      <c r="N86" s="167">
        <f t="shared" si="150"/>
        <v>0</v>
      </c>
      <c r="O86" s="167">
        <f t="shared" si="150"/>
        <v>0</v>
      </c>
      <c r="P86" s="167">
        <f t="shared" si="150"/>
        <v>0</v>
      </c>
      <c r="Q86" s="167">
        <f t="shared" si="150"/>
        <v>600000</v>
      </c>
      <c r="R86" s="167">
        <f t="shared" si="150"/>
        <v>5277000</v>
      </c>
      <c r="S86" s="167">
        <f t="shared" si="150"/>
        <v>0</v>
      </c>
      <c r="T86" s="167">
        <f t="shared" si="150"/>
        <v>0</v>
      </c>
      <c r="U86" s="167">
        <f t="shared" si="150"/>
        <v>0</v>
      </c>
      <c r="V86" s="167">
        <f t="shared" si="150"/>
        <v>0</v>
      </c>
      <c r="W86" s="167">
        <f t="shared" si="150"/>
        <v>7020000</v>
      </c>
      <c r="X86" s="167">
        <f t="shared" si="150"/>
        <v>29384740</v>
      </c>
      <c r="Y86" s="167">
        <f t="shared" si="150"/>
        <v>0</v>
      </c>
      <c r="Z86" s="167">
        <f t="shared" si="150"/>
        <v>0</v>
      </c>
      <c r="AA86" s="167">
        <f t="shared" si="150"/>
        <v>0</v>
      </c>
      <c r="AB86" s="167">
        <f t="shared" si="150"/>
        <v>0</v>
      </c>
      <c r="AC86" s="167">
        <f t="shared" si="150"/>
        <v>0</v>
      </c>
      <c r="AD86" s="167">
        <f t="shared" si="150"/>
        <v>0</v>
      </c>
      <c r="AE86" s="167">
        <f t="shared" si="150"/>
        <v>0</v>
      </c>
      <c r="AF86" s="167">
        <f t="shared" si="150"/>
        <v>0</v>
      </c>
      <c r="AG86" s="167">
        <f t="shared" si="150"/>
        <v>0</v>
      </c>
      <c r="AH86" s="167">
        <f t="shared" si="150"/>
        <v>0</v>
      </c>
      <c r="AI86" s="167">
        <f t="shared" si="150"/>
        <v>0</v>
      </c>
      <c r="AJ86" s="167">
        <f t="shared" si="150"/>
        <v>0</v>
      </c>
      <c r="AK86" s="167">
        <f t="shared" si="150"/>
        <v>0</v>
      </c>
      <c r="AL86" s="167">
        <f t="shared" si="150"/>
        <v>0</v>
      </c>
      <c r="AM86" s="167">
        <f t="shared" si="150"/>
        <v>0</v>
      </c>
      <c r="AN86" s="167">
        <f t="shared" si="150"/>
        <v>0</v>
      </c>
      <c r="AO86" s="167">
        <f t="shared" si="150"/>
        <v>0</v>
      </c>
      <c r="AP86" s="167">
        <f t="shared" si="150"/>
        <v>0</v>
      </c>
      <c r="AQ86" s="167">
        <f t="shared" si="150"/>
        <v>0</v>
      </c>
      <c r="AR86" s="167">
        <f t="shared" si="150"/>
        <v>0</v>
      </c>
      <c r="AS86" s="167">
        <f t="shared" si="150"/>
        <v>0</v>
      </c>
      <c r="AT86" s="167">
        <f t="shared" si="139"/>
        <v>42281740</v>
      </c>
      <c r="AU86" s="175">
        <f t="shared" si="140"/>
        <v>74.505268722466951</v>
      </c>
      <c r="AV86" s="176">
        <f t="shared" si="141"/>
        <v>14468260</v>
      </c>
      <c r="AW86" s="175">
        <f t="shared" si="142"/>
        <v>25.494731277533038</v>
      </c>
      <c r="AX86" s="164" t="s">
        <v>576</v>
      </c>
      <c r="AY86" s="164" t="s">
        <v>560</v>
      </c>
      <c r="AZ86" s="164" t="s">
        <v>3921</v>
      </c>
      <c r="BA86" s="167">
        <f t="shared" ref="BA86:BD86" si="153">SUM(BA87:BA90)</f>
        <v>600000</v>
      </c>
      <c r="BB86" s="167">
        <f t="shared" si="153"/>
        <v>5277000</v>
      </c>
      <c r="BC86" s="167">
        <f t="shared" si="153"/>
        <v>0</v>
      </c>
      <c r="BD86" s="167">
        <f t="shared" si="153"/>
        <v>0</v>
      </c>
      <c r="BE86" s="167">
        <f t="shared" ref="BE86" si="154">SUM(BE87:BE90)</f>
        <v>3300000</v>
      </c>
      <c r="BF86" s="167">
        <f t="shared" ref="BF86:BG86" si="155">SUM(BF87:BF90)</f>
        <v>3720000</v>
      </c>
      <c r="BG86" s="167">
        <f t="shared" si="155"/>
        <v>29384740</v>
      </c>
      <c r="BH86" s="167">
        <f t="shared" ref="BH86" si="156">SUM(BH87:BH90)</f>
        <v>0</v>
      </c>
    </row>
    <row r="87" spans="2:62" x14ac:dyDescent="0.25">
      <c r="B87" s="228">
        <v>521211</v>
      </c>
      <c r="C87" s="164" t="s">
        <v>7</v>
      </c>
      <c r="D87" s="164"/>
      <c r="E87" s="164"/>
      <c r="F87" s="165">
        <v>33500000</v>
      </c>
      <c r="G87" s="165">
        <v>46000000</v>
      </c>
      <c r="H87" s="165"/>
      <c r="I87" s="165">
        <f t="shared" ref="I87:I90" si="157">G87-F87</f>
        <v>12500000</v>
      </c>
      <c r="J87" s="165"/>
      <c r="K87" s="165"/>
      <c r="L87" s="165"/>
      <c r="M87" s="165"/>
      <c r="N87" s="165"/>
      <c r="O87" s="165"/>
      <c r="P87" s="165"/>
      <c r="Q87" s="165"/>
      <c r="R87" s="165">
        <v>3987000</v>
      </c>
      <c r="S87" s="165"/>
      <c r="T87" s="165"/>
      <c r="U87" s="165"/>
      <c r="V87" s="165"/>
      <c r="W87" s="165"/>
      <c r="X87" s="165">
        <v>29384740</v>
      </c>
      <c r="Y87" s="165"/>
      <c r="Z87" s="165"/>
      <c r="AA87" s="165"/>
      <c r="AB87" s="165"/>
      <c r="AC87" s="165"/>
      <c r="AD87" s="165"/>
      <c r="AE87" s="165"/>
      <c r="AF87" s="165"/>
      <c r="AG87" s="165"/>
      <c r="AH87" s="165"/>
      <c r="AI87" s="165"/>
      <c r="AJ87" s="165"/>
      <c r="AK87" s="165"/>
      <c r="AL87" s="165"/>
      <c r="AM87" s="165"/>
      <c r="AN87" s="165"/>
      <c r="AO87" s="165"/>
      <c r="AP87" s="165"/>
      <c r="AQ87" s="165"/>
      <c r="AR87" s="165"/>
      <c r="AS87" s="165"/>
      <c r="AT87" s="165">
        <f t="shared" si="139"/>
        <v>33371740</v>
      </c>
      <c r="AU87" s="168">
        <f t="shared" si="140"/>
        <v>99.617134328358219</v>
      </c>
      <c r="AV87" s="169">
        <f t="shared" si="141"/>
        <v>128260</v>
      </c>
      <c r="AW87" s="168">
        <f t="shared" si="142"/>
        <v>0.38286567164179103</v>
      </c>
      <c r="AX87" s="164" t="s">
        <v>576</v>
      </c>
      <c r="AY87" s="164" t="s">
        <v>560</v>
      </c>
      <c r="AZ87" s="164" t="s">
        <v>3921</v>
      </c>
      <c r="BA87" s="165"/>
      <c r="BB87" s="165">
        <v>3987000</v>
      </c>
      <c r="BC87" s="240"/>
      <c r="BD87" s="165"/>
      <c r="BE87" s="165"/>
      <c r="BF87" s="165"/>
      <c r="BG87" s="165">
        <v>29384740</v>
      </c>
      <c r="BH87" s="165"/>
    </row>
    <row r="88" spans="2:62" x14ac:dyDescent="0.25">
      <c r="B88" s="228">
        <v>522141</v>
      </c>
      <c r="C88" s="164" t="s">
        <v>95</v>
      </c>
      <c r="D88" s="164"/>
      <c r="E88" s="164"/>
      <c r="F88" s="165">
        <v>3000000</v>
      </c>
      <c r="G88" s="165">
        <v>6000000</v>
      </c>
      <c r="H88" s="165"/>
      <c r="I88" s="165">
        <f t="shared" si="157"/>
        <v>3000000</v>
      </c>
      <c r="J88" s="165"/>
      <c r="K88" s="165"/>
      <c r="L88" s="165"/>
      <c r="M88" s="165"/>
      <c r="N88" s="165"/>
      <c r="O88" s="165"/>
      <c r="P88" s="165"/>
      <c r="Q88" s="165"/>
      <c r="R88" s="165"/>
      <c r="S88" s="165"/>
      <c r="T88" s="165"/>
      <c r="U88" s="165"/>
      <c r="V88" s="165"/>
      <c r="W88" s="165"/>
      <c r="X88" s="165"/>
      <c r="Y88" s="165"/>
      <c r="Z88" s="165"/>
      <c r="AA88" s="165"/>
      <c r="AB88" s="165"/>
      <c r="AC88" s="165"/>
      <c r="AD88" s="165"/>
      <c r="AE88" s="165"/>
      <c r="AF88" s="165"/>
      <c r="AG88" s="165"/>
      <c r="AH88" s="165"/>
      <c r="AI88" s="165"/>
      <c r="AJ88" s="165"/>
      <c r="AK88" s="165"/>
      <c r="AL88" s="165"/>
      <c r="AM88" s="165"/>
      <c r="AN88" s="165"/>
      <c r="AO88" s="165"/>
      <c r="AP88" s="165"/>
      <c r="AQ88" s="165"/>
      <c r="AR88" s="165"/>
      <c r="AS88" s="165"/>
      <c r="AT88" s="165">
        <f t="shared" si="139"/>
        <v>0</v>
      </c>
      <c r="AU88" s="168">
        <f t="shared" si="140"/>
        <v>0</v>
      </c>
      <c r="AV88" s="169">
        <f t="shared" si="141"/>
        <v>3000000</v>
      </c>
      <c r="AW88" s="168">
        <f t="shared" si="142"/>
        <v>100</v>
      </c>
      <c r="AX88" s="164" t="s">
        <v>576</v>
      </c>
      <c r="AY88" s="164" t="s">
        <v>560</v>
      </c>
      <c r="AZ88" s="164" t="s">
        <v>3921</v>
      </c>
      <c r="BA88" s="165"/>
      <c r="BB88" s="165"/>
      <c r="BC88" s="240"/>
      <c r="BD88" s="165"/>
      <c r="BE88" s="165"/>
      <c r="BF88" s="165"/>
      <c r="BG88" s="165"/>
      <c r="BH88" s="165"/>
    </row>
    <row r="89" spans="2:62" x14ac:dyDescent="0.25">
      <c r="B89" s="228">
        <v>524111</v>
      </c>
      <c r="C89" s="164" t="s">
        <v>19</v>
      </c>
      <c r="D89" s="164"/>
      <c r="E89" s="164"/>
      <c r="F89" s="165">
        <v>18000000</v>
      </c>
      <c r="G89" s="165">
        <v>18000000</v>
      </c>
      <c r="H89" s="165"/>
      <c r="I89" s="165">
        <f t="shared" si="157"/>
        <v>0</v>
      </c>
      <c r="J89" s="165"/>
      <c r="K89" s="165"/>
      <c r="L89" s="165"/>
      <c r="M89" s="165"/>
      <c r="N89" s="165"/>
      <c r="O89" s="165"/>
      <c r="P89" s="165"/>
      <c r="Q89" s="165"/>
      <c r="R89" s="165">
        <v>1290000</v>
      </c>
      <c r="S89" s="165"/>
      <c r="T89" s="165"/>
      <c r="U89" s="165"/>
      <c r="V89" s="165"/>
      <c r="W89" s="165">
        <f>3300000+3720000</f>
        <v>7020000</v>
      </c>
      <c r="X89" s="165"/>
      <c r="Y89" s="165"/>
      <c r="Z89" s="165"/>
      <c r="AA89" s="165"/>
      <c r="AB89" s="165"/>
      <c r="AC89" s="165"/>
      <c r="AD89" s="165"/>
      <c r="AE89" s="165"/>
      <c r="AF89" s="165"/>
      <c r="AG89" s="165"/>
      <c r="AH89" s="165"/>
      <c r="AI89" s="165"/>
      <c r="AJ89" s="165"/>
      <c r="AK89" s="165"/>
      <c r="AL89" s="165"/>
      <c r="AM89" s="165"/>
      <c r="AN89" s="165"/>
      <c r="AO89" s="165"/>
      <c r="AP89" s="165"/>
      <c r="AQ89" s="165"/>
      <c r="AR89" s="165"/>
      <c r="AS89" s="165"/>
      <c r="AT89" s="165">
        <f t="shared" si="139"/>
        <v>8310000</v>
      </c>
      <c r="AU89" s="168">
        <f t="shared" si="140"/>
        <v>46.166666666666664</v>
      </c>
      <c r="AV89" s="169">
        <f t="shared" si="141"/>
        <v>9690000</v>
      </c>
      <c r="AW89" s="168">
        <f t="shared" si="142"/>
        <v>53.833333333333336</v>
      </c>
      <c r="AX89" s="164" t="s">
        <v>576</v>
      </c>
      <c r="AY89" s="164" t="s">
        <v>560</v>
      </c>
      <c r="AZ89" s="164" t="s">
        <v>3921</v>
      </c>
      <c r="BA89" s="165"/>
      <c r="BB89" s="165">
        <v>1290000</v>
      </c>
      <c r="BC89" s="240"/>
      <c r="BD89" s="165"/>
      <c r="BE89" s="165">
        <v>3300000</v>
      </c>
      <c r="BF89" s="165">
        <v>3720000</v>
      </c>
      <c r="BG89" s="165"/>
      <c r="BH89" s="165"/>
      <c r="BJ89" t="s">
        <v>3842</v>
      </c>
    </row>
    <row r="90" spans="2:62" x14ac:dyDescent="0.25">
      <c r="B90" s="228">
        <v>524113</v>
      </c>
      <c r="C90" s="164" t="s">
        <v>13</v>
      </c>
      <c r="D90" s="164"/>
      <c r="E90" s="164"/>
      <c r="F90" s="165">
        <v>2250000</v>
      </c>
      <c r="G90" s="165">
        <v>4500000</v>
      </c>
      <c r="H90" s="165"/>
      <c r="I90" s="165">
        <f t="shared" si="157"/>
        <v>2250000</v>
      </c>
      <c r="J90" s="165"/>
      <c r="K90" s="165"/>
      <c r="L90" s="165"/>
      <c r="M90" s="165"/>
      <c r="N90" s="165"/>
      <c r="O90" s="165"/>
      <c r="P90" s="165"/>
      <c r="Q90" s="165">
        <v>600000</v>
      </c>
      <c r="R90" s="165"/>
      <c r="S90" s="165"/>
      <c r="T90" s="165"/>
      <c r="U90" s="165"/>
      <c r="V90" s="165"/>
      <c r="W90" s="165"/>
      <c r="X90" s="165"/>
      <c r="Y90" s="165"/>
      <c r="Z90" s="165"/>
      <c r="AA90" s="165"/>
      <c r="AB90" s="165"/>
      <c r="AC90" s="165"/>
      <c r="AD90" s="165"/>
      <c r="AE90" s="165"/>
      <c r="AF90" s="165"/>
      <c r="AG90" s="165"/>
      <c r="AH90" s="165"/>
      <c r="AI90" s="165"/>
      <c r="AJ90" s="165"/>
      <c r="AK90" s="165"/>
      <c r="AL90" s="165"/>
      <c r="AM90" s="165"/>
      <c r="AN90" s="165"/>
      <c r="AO90" s="165"/>
      <c r="AP90" s="165"/>
      <c r="AQ90" s="165"/>
      <c r="AR90" s="165"/>
      <c r="AS90" s="165"/>
      <c r="AT90" s="165">
        <f t="shared" si="139"/>
        <v>600000</v>
      </c>
      <c r="AU90" s="168">
        <f t="shared" si="140"/>
        <v>26.666666666666668</v>
      </c>
      <c r="AV90" s="169">
        <f t="shared" si="141"/>
        <v>1650000</v>
      </c>
      <c r="AW90" s="168">
        <f t="shared" si="142"/>
        <v>73.333333333333329</v>
      </c>
      <c r="AX90" s="164" t="s">
        <v>576</v>
      </c>
      <c r="AY90" s="164" t="s">
        <v>560</v>
      </c>
      <c r="AZ90" s="164" t="s">
        <v>3921</v>
      </c>
      <c r="BA90" s="165">
        <v>600000</v>
      </c>
      <c r="BB90" s="165"/>
      <c r="BC90" s="240"/>
      <c r="BD90" s="165"/>
      <c r="BE90" s="165"/>
      <c r="BF90" s="165"/>
      <c r="BG90" s="165"/>
      <c r="BH90" s="165"/>
    </row>
    <row r="91" spans="2:62" x14ac:dyDescent="0.25">
      <c r="B91" s="230" t="s">
        <v>514</v>
      </c>
      <c r="C91" s="166" t="s">
        <v>151</v>
      </c>
      <c r="D91" s="166"/>
      <c r="E91" s="166"/>
      <c r="F91" s="167">
        <f t="shared" ref="F91:AS91" si="158">SUM(F92:F94)</f>
        <v>61193000</v>
      </c>
      <c r="G91" s="167">
        <f t="shared" ref="G91:H91" si="159">SUM(G92:G94)</f>
        <v>101050000</v>
      </c>
      <c r="H91" s="167">
        <f t="shared" si="159"/>
        <v>0</v>
      </c>
      <c r="I91" s="167">
        <f t="shared" ref="I91" si="160">SUM(I92:I94)</f>
        <v>39857000</v>
      </c>
      <c r="J91" s="167">
        <f t="shared" si="158"/>
        <v>0</v>
      </c>
      <c r="K91" s="167">
        <f t="shared" si="158"/>
        <v>0</v>
      </c>
      <c r="L91" s="167">
        <f t="shared" si="158"/>
        <v>0</v>
      </c>
      <c r="M91" s="167">
        <f t="shared" si="158"/>
        <v>0</v>
      </c>
      <c r="N91" s="167">
        <f t="shared" si="158"/>
        <v>0</v>
      </c>
      <c r="O91" s="167">
        <f t="shared" si="158"/>
        <v>0</v>
      </c>
      <c r="P91" s="167">
        <f t="shared" si="158"/>
        <v>0</v>
      </c>
      <c r="Q91" s="167">
        <f t="shared" si="158"/>
        <v>4907400</v>
      </c>
      <c r="R91" s="167">
        <f t="shared" si="158"/>
        <v>8779000</v>
      </c>
      <c r="S91" s="167">
        <f t="shared" si="158"/>
        <v>14352838</v>
      </c>
      <c r="T91" s="167">
        <f t="shared" si="158"/>
        <v>1410000</v>
      </c>
      <c r="U91" s="167">
        <f t="shared" si="158"/>
        <v>0</v>
      </c>
      <c r="V91" s="167">
        <f t="shared" si="158"/>
        <v>0</v>
      </c>
      <c r="W91" s="167">
        <f t="shared" si="158"/>
        <v>0</v>
      </c>
      <c r="X91" s="167">
        <f t="shared" si="158"/>
        <v>3691500</v>
      </c>
      <c r="Y91" s="167">
        <f t="shared" si="158"/>
        <v>0</v>
      </c>
      <c r="Z91" s="167">
        <f t="shared" si="158"/>
        <v>0</v>
      </c>
      <c r="AA91" s="167">
        <f t="shared" si="158"/>
        <v>0</v>
      </c>
      <c r="AB91" s="167">
        <f t="shared" si="158"/>
        <v>0</v>
      </c>
      <c r="AC91" s="167">
        <f t="shared" si="158"/>
        <v>0</v>
      </c>
      <c r="AD91" s="167">
        <f t="shared" si="158"/>
        <v>0</v>
      </c>
      <c r="AE91" s="167">
        <f t="shared" si="158"/>
        <v>0</v>
      </c>
      <c r="AF91" s="167">
        <f t="shared" si="158"/>
        <v>0</v>
      </c>
      <c r="AG91" s="167">
        <f t="shared" si="158"/>
        <v>0</v>
      </c>
      <c r="AH91" s="167">
        <f t="shared" si="158"/>
        <v>0</v>
      </c>
      <c r="AI91" s="167">
        <f t="shared" si="158"/>
        <v>0</v>
      </c>
      <c r="AJ91" s="167">
        <f t="shared" si="158"/>
        <v>0</v>
      </c>
      <c r="AK91" s="167">
        <f t="shared" si="158"/>
        <v>0</v>
      </c>
      <c r="AL91" s="167">
        <f t="shared" si="158"/>
        <v>0</v>
      </c>
      <c r="AM91" s="167">
        <f t="shared" si="158"/>
        <v>0</v>
      </c>
      <c r="AN91" s="167">
        <f t="shared" si="158"/>
        <v>0</v>
      </c>
      <c r="AO91" s="167">
        <f t="shared" si="158"/>
        <v>0</v>
      </c>
      <c r="AP91" s="167">
        <f t="shared" si="158"/>
        <v>0</v>
      </c>
      <c r="AQ91" s="167">
        <f t="shared" si="158"/>
        <v>0</v>
      </c>
      <c r="AR91" s="167">
        <f t="shared" si="158"/>
        <v>0</v>
      </c>
      <c r="AS91" s="167">
        <f t="shared" si="158"/>
        <v>0</v>
      </c>
      <c r="AT91" s="167">
        <f t="shared" si="139"/>
        <v>33140738</v>
      </c>
      <c r="AU91" s="175">
        <f t="shared" si="140"/>
        <v>54.15772719101858</v>
      </c>
      <c r="AV91" s="176">
        <f t="shared" si="141"/>
        <v>28052262</v>
      </c>
      <c r="AW91" s="175">
        <f t="shared" si="142"/>
        <v>45.84227280898142</v>
      </c>
      <c r="AX91" s="164" t="s">
        <v>576</v>
      </c>
      <c r="AY91" s="164" t="s">
        <v>560</v>
      </c>
      <c r="AZ91" s="164" t="s">
        <v>3921</v>
      </c>
      <c r="BA91" s="167">
        <f t="shared" ref="BA91:BD91" si="161">SUM(BA92:BA94)</f>
        <v>4907400</v>
      </c>
      <c r="BB91" s="167">
        <f t="shared" si="161"/>
        <v>8779000</v>
      </c>
      <c r="BC91" s="167">
        <f t="shared" si="161"/>
        <v>0</v>
      </c>
      <c r="BD91" s="167">
        <f t="shared" si="161"/>
        <v>1410000</v>
      </c>
      <c r="BE91" s="167">
        <f t="shared" ref="BE91" si="162">SUM(BE92:BE94)</f>
        <v>0</v>
      </c>
      <c r="BF91" s="167">
        <f t="shared" ref="BF91:BG91" si="163">SUM(BF92:BF94)</f>
        <v>0</v>
      </c>
      <c r="BG91" s="167">
        <f t="shared" si="163"/>
        <v>3691500</v>
      </c>
      <c r="BH91" s="167">
        <f t="shared" ref="BH91" si="164">SUM(BH92:BH94)</f>
        <v>0</v>
      </c>
    </row>
    <row r="92" spans="2:62" x14ac:dyDescent="0.25">
      <c r="B92" s="228">
        <v>521211</v>
      </c>
      <c r="C92" s="164" t="s">
        <v>7</v>
      </c>
      <c r="D92" s="164"/>
      <c r="E92" s="164"/>
      <c r="F92" s="165">
        <v>13500000</v>
      </c>
      <c r="G92" s="165">
        <v>28000000</v>
      </c>
      <c r="H92" s="165"/>
      <c r="I92" s="165">
        <f t="shared" ref="I92:I94" si="165">G92-F92</f>
        <v>14500000</v>
      </c>
      <c r="J92" s="165"/>
      <c r="K92" s="165"/>
      <c r="L92" s="165"/>
      <c r="M92" s="165"/>
      <c r="N92" s="165"/>
      <c r="O92" s="165"/>
      <c r="P92" s="165"/>
      <c r="Q92" s="165"/>
      <c r="R92" s="165">
        <v>5459000</v>
      </c>
      <c r="S92" s="165"/>
      <c r="T92" s="165"/>
      <c r="U92" s="165"/>
      <c r="V92" s="165"/>
      <c r="W92" s="165"/>
      <c r="X92" s="165"/>
      <c r="Y92" s="165"/>
      <c r="Z92" s="165"/>
      <c r="AA92" s="165"/>
      <c r="AB92" s="165"/>
      <c r="AC92" s="165"/>
      <c r="AD92" s="165"/>
      <c r="AE92" s="165"/>
      <c r="AF92" s="165"/>
      <c r="AG92" s="165"/>
      <c r="AH92" s="165"/>
      <c r="AI92" s="165"/>
      <c r="AJ92" s="165"/>
      <c r="AK92" s="165"/>
      <c r="AL92" s="165"/>
      <c r="AM92" s="165"/>
      <c r="AN92" s="165"/>
      <c r="AO92" s="165"/>
      <c r="AP92" s="165"/>
      <c r="AQ92" s="165"/>
      <c r="AR92" s="165"/>
      <c r="AS92" s="165"/>
      <c r="AT92" s="165">
        <f t="shared" si="139"/>
        <v>5459000</v>
      </c>
      <c r="AU92" s="168">
        <f t="shared" si="140"/>
        <v>40.437037037037037</v>
      </c>
      <c r="AV92" s="169">
        <f t="shared" si="141"/>
        <v>8041000</v>
      </c>
      <c r="AW92" s="168">
        <f t="shared" si="142"/>
        <v>59.562962962962963</v>
      </c>
      <c r="AX92" s="164" t="s">
        <v>576</v>
      </c>
      <c r="AY92" s="164" t="s">
        <v>560</v>
      </c>
      <c r="AZ92" s="164" t="s">
        <v>3921</v>
      </c>
      <c r="BA92" s="165"/>
      <c r="BB92" s="165">
        <v>5459000</v>
      </c>
      <c r="BC92" s="240"/>
      <c r="BD92" s="165"/>
      <c r="BE92" s="165"/>
      <c r="BF92" s="165"/>
      <c r="BG92" s="165"/>
      <c r="BH92" s="165"/>
    </row>
    <row r="93" spans="2:62" x14ac:dyDescent="0.25">
      <c r="B93" s="228">
        <v>524111</v>
      </c>
      <c r="C93" s="164" t="s">
        <v>19</v>
      </c>
      <c r="D93" s="164"/>
      <c r="E93" s="164"/>
      <c r="F93" s="165">
        <v>47693000</v>
      </c>
      <c r="G93" s="165">
        <v>71250000</v>
      </c>
      <c r="H93" s="165"/>
      <c r="I93" s="165">
        <f t="shared" si="165"/>
        <v>23557000</v>
      </c>
      <c r="J93" s="165"/>
      <c r="K93" s="165"/>
      <c r="L93" s="165"/>
      <c r="M93" s="165"/>
      <c r="N93" s="165"/>
      <c r="O93" s="165"/>
      <c r="P93" s="165"/>
      <c r="Q93" s="165">
        <v>4907400</v>
      </c>
      <c r="R93" s="165">
        <v>3320000</v>
      </c>
      <c r="S93" s="165">
        <v>14352838</v>
      </c>
      <c r="T93" s="165">
        <v>1410000</v>
      </c>
      <c r="U93" s="165"/>
      <c r="V93" s="165"/>
      <c r="W93" s="165"/>
      <c r="X93" s="165">
        <v>3691500</v>
      </c>
      <c r="Y93" s="165"/>
      <c r="Z93" s="165"/>
      <c r="AA93" s="165"/>
      <c r="AB93" s="165"/>
      <c r="AC93" s="165"/>
      <c r="AD93" s="165"/>
      <c r="AE93" s="165"/>
      <c r="AF93" s="165"/>
      <c r="AG93" s="165"/>
      <c r="AH93" s="165"/>
      <c r="AI93" s="165"/>
      <c r="AJ93" s="165"/>
      <c r="AK93" s="165"/>
      <c r="AL93" s="165"/>
      <c r="AM93" s="165"/>
      <c r="AN93" s="165"/>
      <c r="AO93" s="165"/>
      <c r="AP93" s="165"/>
      <c r="AQ93" s="165"/>
      <c r="AR93" s="165"/>
      <c r="AS93" s="165"/>
      <c r="AT93" s="165">
        <f t="shared" si="139"/>
        <v>27681738</v>
      </c>
      <c r="AU93" s="168">
        <f t="shared" si="140"/>
        <v>58.041511332900008</v>
      </c>
      <c r="AV93" s="169">
        <f t="shared" si="141"/>
        <v>20011262</v>
      </c>
      <c r="AW93" s="168">
        <f t="shared" si="142"/>
        <v>41.958488667099992</v>
      </c>
      <c r="AX93" s="164" t="s">
        <v>576</v>
      </c>
      <c r="AY93" s="164" t="s">
        <v>560</v>
      </c>
      <c r="AZ93" s="164" t="s">
        <v>3921</v>
      </c>
      <c r="BA93" s="165">
        <v>4907400</v>
      </c>
      <c r="BB93" s="165">
        <v>3320000</v>
      </c>
      <c r="BC93" s="240"/>
      <c r="BD93" s="165">
        <v>1410000</v>
      </c>
      <c r="BE93" s="165"/>
      <c r="BF93" s="165"/>
      <c r="BG93" s="165">
        <v>3691500</v>
      </c>
      <c r="BH93" s="165"/>
    </row>
    <row r="94" spans="2:62" x14ac:dyDescent="0.25">
      <c r="B94" s="228">
        <v>524113</v>
      </c>
      <c r="C94" s="164" t="s">
        <v>13</v>
      </c>
      <c r="D94" s="164"/>
      <c r="E94" s="164"/>
      <c r="F94" s="165">
        <v>0</v>
      </c>
      <c r="G94" s="165">
        <v>1800000</v>
      </c>
      <c r="H94" s="165"/>
      <c r="I94" s="165">
        <f t="shared" si="165"/>
        <v>1800000</v>
      </c>
      <c r="J94" s="165"/>
      <c r="K94" s="165"/>
      <c r="L94" s="165"/>
      <c r="M94" s="165"/>
      <c r="N94" s="165"/>
      <c r="O94" s="165"/>
      <c r="P94" s="165"/>
      <c r="Q94" s="165"/>
      <c r="R94" s="165"/>
      <c r="S94" s="165"/>
      <c r="T94" s="165"/>
      <c r="U94" s="165"/>
      <c r="V94" s="165"/>
      <c r="W94" s="165"/>
      <c r="X94" s="165"/>
      <c r="Y94" s="165"/>
      <c r="Z94" s="165"/>
      <c r="AA94" s="165"/>
      <c r="AB94" s="165"/>
      <c r="AC94" s="165"/>
      <c r="AD94" s="165"/>
      <c r="AE94" s="165"/>
      <c r="AF94" s="165"/>
      <c r="AG94" s="165"/>
      <c r="AH94" s="165"/>
      <c r="AI94" s="165"/>
      <c r="AJ94" s="165"/>
      <c r="AK94" s="165"/>
      <c r="AL94" s="165"/>
      <c r="AM94" s="165"/>
      <c r="AN94" s="165"/>
      <c r="AO94" s="165"/>
      <c r="AP94" s="165"/>
      <c r="AQ94" s="165"/>
      <c r="AR94" s="165"/>
      <c r="AS94" s="165"/>
      <c r="AT94" s="165">
        <f t="shared" si="139"/>
        <v>0</v>
      </c>
      <c r="AU94" s="168">
        <f t="shared" si="140"/>
        <v>0</v>
      </c>
      <c r="AV94" s="169">
        <f t="shared" si="141"/>
        <v>0</v>
      </c>
      <c r="AW94" s="168" t="e">
        <f t="shared" si="142"/>
        <v>#DIV/0!</v>
      </c>
      <c r="AX94" s="164" t="s">
        <v>576</v>
      </c>
      <c r="AY94" s="164" t="s">
        <v>560</v>
      </c>
      <c r="AZ94" s="164" t="s">
        <v>3921</v>
      </c>
      <c r="BA94" s="165"/>
      <c r="BB94" s="165"/>
      <c r="BC94" s="240"/>
      <c r="BD94" s="165"/>
      <c r="BE94" s="165"/>
      <c r="BF94" s="165"/>
      <c r="BG94" s="165"/>
      <c r="BH94" s="165"/>
    </row>
    <row r="95" spans="2:62" x14ac:dyDescent="0.25">
      <c r="B95" s="230" t="s">
        <v>519</v>
      </c>
      <c r="C95" s="166" t="s">
        <v>152</v>
      </c>
      <c r="D95" s="166"/>
      <c r="E95" s="166"/>
      <c r="F95" s="167">
        <f t="shared" ref="F95:AS95" si="166">SUM(F96:F101)</f>
        <v>148337000</v>
      </c>
      <c r="G95" s="167">
        <f t="shared" ref="G95:H95" si="167">SUM(G96:G101)</f>
        <v>411672000</v>
      </c>
      <c r="H95" s="167">
        <f t="shared" si="167"/>
        <v>0</v>
      </c>
      <c r="I95" s="167">
        <f t="shared" ref="I95" si="168">SUM(I96:I101)</f>
        <v>263335000</v>
      </c>
      <c r="J95" s="167">
        <f t="shared" si="166"/>
        <v>0</v>
      </c>
      <c r="K95" s="167">
        <f t="shared" si="166"/>
        <v>0</v>
      </c>
      <c r="L95" s="167">
        <f t="shared" si="166"/>
        <v>0</v>
      </c>
      <c r="M95" s="167">
        <f t="shared" si="166"/>
        <v>0</v>
      </c>
      <c r="N95" s="167">
        <f t="shared" si="166"/>
        <v>0</v>
      </c>
      <c r="O95" s="167">
        <f t="shared" si="166"/>
        <v>0</v>
      </c>
      <c r="P95" s="167">
        <f t="shared" si="166"/>
        <v>0</v>
      </c>
      <c r="Q95" s="167">
        <f t="shared" si="166"/>
        <v>13360000</v>
      </c>
      <c r="R95" s="167">
        <f t="shared" si="166"/>
        <v>74319450</v>
      </c>
      <c r="S95" s="167">
        <f t="shared" si="166"/>
        <v>3712700</v>
      </c>
      <c r="T95" s="167">
        <f t="shared" si="166"/>
        <v>3229000</v>
      </c>
      <c r="U95" s="167">
        <f t="shared" si="166"/>
        <v>0</v>
      </c>
      <c r="V95" s="167">
        <f t="shared" si="166"/>
        <v>0</v>
      </c>
      <c r="W95" s="167">
        <f t="shared" si="166"/>
        <v>5608000</v>
      </c>
      <c r="X95" s="167">
        <f t="shared" si="166"/>
        <v>31126830</v>
      </c>
      <c r="Y95" s="167">
        <f t="shared" si="166"/>
        <v>0</v>
      </c>
      <c r="Z95" s="167">
        <f t="shared" si="166"/>
        <v>0</v>
      </c>
      <c r="AA95" s="167">
        <f t="shared" si="166"/>
        <v>0</v>
      </c>
      <c r="AB95" s="167">
        <f t="shared" si="166"/>
        <v>0</v>
      </c>
      <c r="AC95" s="167">
        <f t="shared" si="166"/>
        <v>0</v>
      </c>
      <c r="AD95" s="167">
        <f t="shared" si="166"/>
        <v>0</v>
      </c>
      <c r="AE95" s="167">
        <f t="shared" si="166"/>
        <v>0</v>
      </c>
      <c r="AF95" s="167">
        <f t="shared" si="166"/>
        <v>0</v>
      </c>
      <c r="AG95" s="167">
        <f t="shared" si="166"/>
        <v>0</v>
      </c>
      <c r="AH95" s="167">
        <f t="shared" si="166"/>
        <v>0</v>
      </c>
      <c r="AI95" s="167">
        <f t="shared" si="166"/>
        <v>0</v>
      </c>
      <c r="AJ95" s="167">
        <f t="shared" si="166"/>
        <v>0</v>
      </c>
      <c r="AK95" s="167">
        <f t="shared" si="166"/>
        <v>0</v>
      </c>
      <c r="AL95" s="167">
        <f t="shared" si="166"/>
        <v>0</v>
      </c>
      <c r="AM95" s="167">
        <f t="shared" si="166"/>
        <v>0</v>
      </c>
      <c r="AN95" s="167">
        <f t="shared" si="166"/>
        <v>0</v>
      </c>
      <c r="AO95" s="167">
        <f t="shared" si="166"/>
        <v>0</v>
      </c>
      <c r="AP95" s="167">
        <f t="shared" si="166"/>
        <v>0</v>
      </c>
      <c r="AQ95" s="167">
        <f t="shared" si="166"/>
        <v>0</v>
      </c>
      <c r="AR95" s="167">
        <f t="shared" si="166"/>
        <v>0</v>
      </c>
      <c r="AS95" s="167">
        <f t="shared" si="166"/>
        <v>0</v>
      </c>
      <c r="AT95" s="167">
        <f t="shared" si="139"/>
        <v>131355980</v>
      </c>
      <c r="AU95" s="175">
        <f t="shared" si="140"/>
        <v>88.55240432258978</v>
      </c>
      <c r="AV95" s="176">
        <f t="shared" si="141"/>
        <v>16981020</v>
      </c>
      <c r="AW95" s="175">
        <f t="shared" si="142"/>
        <v>11.447595677410222</v>
      </c>
      <c r="AX95" s="164" t="s">
        <v>576</v>
      </c>
      <c r="AY95" s="164" t="s">
        <v>560</v>
      </c>
      <c r="AZ95" s="164" t="s">
        <v>3921</v>
      </c>
      <c r="BA95" s="167">
        <f t="shared" ref="BA95:BD95" si="169">SUM(BA96:BA101)</f>
        <v>1560000</v>
      </c>
      <c r="BB95" s="167">
        <f t="shared" si="169"/>
        <v>74319450</v>
      </c>
      <c r="BC95" s="167">
        <f t="shared" si="169"/>
        <v>11800000</v>
      </c>
      <c r="BD95" s="167">
        <f t="shared" si="169"/>
        <v>3229000</v>
      </c>
      <c r="BE95" s="167">
        <f t="shared" ref="BE95" si="170">SUM(BE96:BE101)</f>
        <v>1860000</v>
      </c>
      <c r="BF95" s="167">
        <f t="shared" ref="BF95:BG95" si="171">SUM(BF96:BF101)</f>
        <v>3748000</v>
      </c>
      <c r="BG95" s="167">
        <f t="shared" si="171"/>
        <v>31126830</v>
      </c>
      <c r="BH95" s="167">
        <f t="shared" ref="BH95" si="172">SUM(BH96:BH101)</f>
        <v>0</v>
      </c>
    </row>
    <row r="96" spans="2:62" x14ac:dyDescent="0.25">
      <c r="B96" s="228">
        <v>521211</v>
      </c>
      <c r="C96" s="164" t="s">
        <v>7</v>
      </c>
      <c r="D96" s="164"/>
      <c r="E96" s="164"/>
      <c r="F96" s="165">
        <v>38100000</v>
      </c>
      <c r="G96" s="165">
        <v>57600000</v>
      </c>
      <c r="H96" s="165"/>
      <c r="I96" s="165">
        <f t="shared" ref="I96:I101" si="173">G96-F96</f>
        <v>19500000</v>
      </c>
      <c r="J96" s="165"/>
      <c r="K96" s="165"/>
      <c r="L96" s="165"/>
      <c r="M96" s="165"/>
      <c r="N96" s="165"/>
      <c r="O96" s="165"/>
      <c r="P96" s="165"/>
      <c r="Q96" s="165"/>
      <c r="R96" s="165">
        <v>31495000</v>
      </c>
      <c r="S96" s="165"/>
      <c r="T96" s="165"/>
      <c r="U96" s="165"/>
      <c r="V96" s="165"/>
      <c r="W96" s="165"/>
      <c r="X96" s="165">
        <v>6600000</v>
      </c>
      <c r="Y96" s="165"/>
      <c r="Z96" s="165"/>
      <c r="AA96" s="165"/>
      <c r="AB96" s="165"/>
      <c r="AC96" s="165"/>
      <c r="AD96" s="165"/>
      <c r="AE96" s="165"/>
      <c r="AF96" s="165"/>
      <c r="AG96" s="165"/>
      <c r="AH96" s="165"/>
      <c r="AI96" s="165"/>
      <c r="AJ96" s="165"/>
      <c r="AK96" s="165"/>
      <c r="AL96" s="165"/>
      <c r="AM96" s="165"/>
      <c r="AN96" s="165"/>
      <c r="AO96" s="165"/>
      <c r="AP96" s="165"/>
      <c r="AQ96" s="165"/>
      <c r="AR96" s="165"/>
      <c r="AS96" s="165"/>
      <c r="AT96" s="165">
        <f t="shared" si="139"/>
        <v>38095000</v>
      </c>
      <c r="AU96" s="168">
        <f t="shared" si="140"/>
        <v>99.98687664041995</v>
      </c>
      <c r="AV96" s="169">
        <f t="shared" si="141"/>
        <v>5000</v>
      </c>
      <c r="AW96" s="168">
        <f t="shared" si="142"/>
        <v>1.3123359580052493E-2</v>
      </c>
      <c r="AX96" s="164" t="s">
        <v>576</v>
      </c>
      <c r="AY96" s="164" t="s">
        <v>560</v>
      </c>
      <c r="AZ96" s="164" t="s">
        <v>3921</v>
      </c>
      <c r="BA96" s="165"/>
      <c r="BB96" s="165">
        <v>31495000</v>
      </c>
      <c r="BC96" s="240"/>
      <c r="BD96" s="165"/>
      <c r="BE96" s="165"/>
      <c r="BF96" s="165"/>
      <c r="BG96" s="165">
        <v>6600000</v>
      </c>
      <c r="BH96" s="165"/>
    </row>
    <row r="97" spans="2:60" x14ac:dyDescent="0.25">
      <c r="B97" s="228">
        <v>521241</v>
      </c>
      <c r="C97" s="164" t="s">
        <v>642</v>
      </c>
      <c r="D97" s="164"/>
      <c r="E97" s="164"/>
      <c r="F97" s="165">
        <v>82534000</v>
      </c>
      <c r="G97" s="165">
        <v>226200000</v>
      </c>
      <c r="H97" s="165"/>
      <c r="I97" s="165">
        <f t="shared" si="173"/>
        <v>143666000</v>
      </c>
      <c r="J97" s="165"/>
      <c r="K97" s="165"/>
      <c r="L97" s="165"/>
      <c r="M97" s="165"/>
      <c r="N97" s="165"/>
      <c r="O97" s="165"/>
      <c r="P97" s="165"/>
      <c r="Q97" s="240">
        <v>11800000</v>
      </c>
      <c r="R97" s="165">
        <v>35332450</v>
      </c>
      <c r="S97" s="165"/>
      <c r="T97" s="165"/>
      <c r="U97" s="165"/>
      <c r="V97" s="165"/>
      <c r="W97" s="165"/>
      <c r="X97" s="165">
        <v>20031830</v>
      </c>
      <c r="Y97" s="165"/>
      <c r="Z97" s="165"/>
      <c r="AA97" s="165"/>
      <c r="AB97" s="165"/>
      <c r="AC97" s="165"/>
      <c r="AD97" s="165"/>
      <c r="AE97" s="165"/>
      <c r="AF97" s="165"/>
      <c r="AG97" s="165"/>
      <c r="AH97" s="165"/>
      <c r="AI97" s="165"/>
      <c r="AJ97" s="165"/>
      <c r="AK97" s="165"/>
      <c r="AL97" s="165"/>
      <c r="AM97" s="165"/>
      <c r="AN97" s="165"/>
      <c r="AO97" s="165"/>
      <c r="AP97" s="165"/>
      <c r="AQ97" s="165"/>
      <c r="AR97" s="165"/>
      <c r="AS97" s="165"/>
      <c r="AT97" s="165">
        <f t="shared" si="139"/>
        <v>67164280</v>
      </c>
      <c r="AU97" s="168">
        <f t="shared" si="140"/>
        <v>81.377711003949884</v>
      </c>
      <c r="AV97" s="169">
        <f t="shared" si="141"/>
        <v>15369720</v>
      </c>
      <c r="AW97" s="168">
        <f t="shared" si="142"/>
        <v>18.622288996050113</v>
      </c>
      <c r="AX97" s="164" t="s">
        <v>576</v>
      </c>
      <c r="AY97" s="164" t="s">
        <v>560</v>
      </c>
      <c r="AZ97" s="164" t="s">
        <v>3921</v>
      </c>
      <c r="BA97" s="165"/>
      <c r="BB97" s="165">
        <v>35332450</v>
      </c>
      <c r="BC97" s="240">
        <v>11800000</v>
      </c>
      <c r="BD97" s="165"/>
      <c r="BE97" s="165"/>
      <c r="BF97" s="165"/>
      <c r="BG97" s="165">
        <v>20031830</v>
      </c>
      <c r="BH97" s="165"/>
    </row>
    <row r="98" spans="2:60" x14ac:dyDescent="0.25">
      <c r="B98" s="228">
        <v>522191</v>
      </c>
      <c r="C98" s="164" t="s">
        <v>22</v>
      </c>
      <c r="D98" s="164"/>
      <c r="E98" s="164"/>
      <c r="F98" s="165">
        <v>1606000</v>
      </c>
      <c r="G98" s="165">
        <v>35000000</v>
      </c>
      <c r="H98" s="165"/>
      <c r="I98" s="165">
        <f t="shared" si="173"/>
        <v>33394000</v>
      </c>
      <c r="J98" s="165"/>
      <c r="K98" s="165"/>
      <c r="L98" s="165"/>
      <c r="M98" s="165"/>
      <c r="N98" s="165"/>
      <c r="O98" s="165"/>
      <c r="P98" s="165"/>
      <c r="Q98" s="240"/>
      <c r="R98" s="165"/>
      <c r="S98" s="165"/>
      <c r="T98" s="165"/>
      <c r="U98" s="165"/>
      <c r="V98" s="165"/>
      <c r="W98" s="165"/>
      <c r="X98" s="165"/>
      <c r="Y98" s="165"/>
      <c r="Z98" s="165"/>
      <c r="AA98" s="165"/>
      <c r="AB98" s="165"/>
      <c r="AC98" s="165"/>
      <c r="AD98" s="165"/>
      <c r="AE98" s="165"/>
      <c r="AF98" s="165"/>
      <c r="AG98" s="165"/>
      <c r="AH98" s="165"/>
      <c r="AI98" s="165"/>
      <c r="AJ98" s="165"/>
      <c r="AK98" s="165"/>
      <c r="AL98" s="165"/>
      <c r="AM98" s="165"/>
      <c r="AN98" s="165"/>
      <c r="AO98" s="165"/>
      <c r="AP98" s="165"/>
      <c r="AQ98" s="165"/>
      <c r="AR98" s="165"/>
      <c r="AS98" s="165"/>
      <c r="AT98" s="165"/>
      <c r="AU98" s="168">
        <f t="shared" si="140"/>
        <v>0</v>
      </c>
      <c r="AV98" s="169"/>
      <c r="AW98" s="168"/>
      <c r="AX98" s="164" t="s">
        <v>576</v>
      </c>
      <c r="AY98" s="164" t="s">
        <v>560</v>
      </c>
      <c r="AZ98" s="164" t="s">
        <v>3921</v>
      </c>
      <c r="BA98" s="165"/>
      <c r="BB98" s="165"/>
      <c r="BC98" s="240"/>
      <c r="BD98" s="165"/>
      <c r="BE98" s="165"/>
      <c r="BF98" s="165"/>
      <c r="BG98" s="165"/>
      <c r="BH98" s="165"/>
    </row>
    <row r="99" spans="2:60" x14ac:dyDescent="0.25">
      <c r="B99" s="228">
        <v>522192</v>
      </c>
      <c r="C99" s="164" t="s">
        <v>24</v>
      </c>
      <c r="D99" s="164"/>
      <c r="E99" s="164"/>
      <c r="F99" s="165">
        <v>4246000</v>
      </c>
      <c r="G99" s="165">
        <v>48000000</v>
      </c>
      <c r="H99" s="165"/>
      <c r="I99" s="165">
        <f t="shared" si="173"/>
        <v>43754000</v>
      </c>
      <c r="J99" s="165"/>
      <c r="K99" s="165"/>
      <c r="L99" s="165"/>
      <c r="M99" s="165"/>
      <c r="N99" s="165"/>
      <c r="O99" s="165"/>
      <c r="P99" s="165"/>
      <c r="Q99" s="165"/>
      <c r="R99" s="165">
        <v>802000</v>
      </c>
      <c r="S99" s="165"/>
      <c r="T99" s="165">
        <v>3229000</v>
      </c>
      <c r="U99" s="165"/>
      <c r="V99" s="165"/>
      <c r="W99" s="165"/>
      <c r="X99" s="165">
        <v>215000</v>
      </c>
      <c r="Y99" s="165"/>
      <c r="Z99" s="165"/>
      <c r="AA99" s="165"/>
      <c r="AB99" s="165"/>
      <c r="AC99" s="165"/>
      <c r="AD99" s="165"/>
      <c r="AE99" s="165"/>
      <c r="AF99" s="165"/>
      <c r="AG99" s="165"/>
      <c r="AH99" s="165"/>
      <c r="AI99" s="165"/>
      <c r="AJ99" s="165"/>
      <c r="AK99" s="165"/>
      <c r="AL99" s="165"/>
      <c r="AM99" s="165"/>
      <c r="AN99" s="165"/>
      <c r="AO99" s="165"/>
      <c r="AP99" s="165"/>
      <c r="AQ99" s="165"/>
      <c r="AR99" s="165"/>
      <c r="AS99" s="165"/>
      <c r="AT99" s="165">
        <f t="shared" si="139"/>
        <v>4246000</v>
      </c>
      <c r="AU99" s="168">
        <f t="shared" si="140"/>
        <v>100</v>
      </c>
      <c r="AV99" s="169">
        <f t="shared" si="141"/>
        <v>0</v>
      </c>
      <c r="AW99" s="168">
        <f t="shared" si="142"/>
        <v>0</v>
      </c>
      <c r="AX99" s="164" t="s">
        <v>576</v>
      </c>
      <c r="AY99" s="164" t="s">
        <v>560</v>
      </c>
      <c r="AZ99" s="164" t="s">
        <v>3921</v>
      </c>
      <c r="BA99" s="165"/>
      <c r="BB99" s="165">
        <v>802000</v>
      </c>
      <c r="BC99" s="240"/>
      <c r="BD99" s="165">
        <v>3229000</v>
      </c>
      <c r="BE99" s="165"/>
      <c r="BF99" s="165"/>
      <c r="BG99" s="165">
        <v>215000</v>
      </c>
      <c r="BH99" s="165"/>
    </row>
    <row r="100" spans="2:60" x14ac:dyDescent="0.25">
      <c r="B100" s="228">
        <v>524111</v>
      </c>
      <c r="C100" s="164" t="s">
        <v>19</v>
      </c>
      <c r="D100" s="164"/>
      <c r="E100" s="164"/>
      <c r="F100" s="165">
        <v>21851000</v>
      </c>
      <c r="G100" s="165">
        <v>42772000</v>
      </c>
      <c r="H100" s="165"/>
      <c r="I100" s="165">
        <f t="shared" si="173"/>
        <v>20921000</v>
      </c>
      <c r="J100" s="165"/>
      <c r="K100" s="165"/>
      <c r="L100" s="165"/>
      <c r="M100" s="165"/>
      <c r="N100" s="165"/>
      <c r="O100" s="165"/>
      <c r="P100" s="165"/>
      <c r="Q100" s="165">
        <v>1560000</v>
      </c>
      <c r="R100" s="165">
        <v>6690000</v>
      </c>
      <c r="S100" s="165">
        <v>3712700</v>
      </c>
      <c r="T100" s="165"/>
      <c r="U100" s="165"/>
      <c r="V100" s="165"/>
      <c r="W100" s="165">
        <f>1860000+3748000</f>
        <v>5608000</v>
      </c>
      <c r="X100" s="165">
        <v>4280000</v>
      </c>
      <c r="Y100" s="165"/>
      <c r="Z100" s="165"/>
      <c r="AA100" s="165"/>
      <c r="AB100" s="165"/>
      <c r="AC100" s="165"/>
      <c r="AD100" s="165"/>
      <c r="AE100" s="165"/>
      <c r="AF100" s="165"/>
      <c r="AG100" s="165"/>
      <c r="AH100" s="165"/>
      <c r="AI100" s="165"/>
      <c r="AJ100" s="165"/>
      <c r="AK100" s="165"/>
      <c r="AL100" s="165"/>
      <c r="AM100" s="165"/>
      <c r="AN100" s="165"/>
      <c r="AO100" s="165"/>
      <c r="AP100" s="165"/>
      <c r="AQ100" s="165"/>
      <c r="AR100" s="165"/>
      <c r="AS100" s="165"/>
      <c r="AT100" s="165">
        <f t="shared" si="139"/>
        <v>21850700</v>
      </c>
      <c r="AU100" s="168">
        <f t="shared" si="140"/>
        <v>99.998627065122875</v>
      </c>
      <c r="AV100" s="169">
        <f t="shared" si="141"/>
        <v>300</v>
      </c>
      <c r="AW100" s="168">
        <f t="shared" si="142"/>
        <v>1.3729348771223285E-3</v>
      </c>
      <c r="AX100" s="164" t="s">
        <v>576</v>
      </c>
      <c r="AY100" s="164" t="s">
        <v>560</v>
      </c>
      <c r="AZ100" s="164" t="s">
        <v>3921</v>
      </c>
      <c r="BA100" s="165">
        <v>1560000</v>
      </c>
      <c r="BB100" s="165">
        <v>6690000</v>
      </c>
      <c r="BC100" s="240"/>
      <c r="BD100" s="165"/>
      <c r="BE100" s="165">
        <v>1860000</v>
      </c>
      <c r="BF100" s="165">
        <v>3748000</v>
      </c>
      <c r="BG100" s="165">
        <v>4280000</v>
      </c>
      <c r="BH100" s="165"/>
    </row>
    <row r="101" spans="2:60" x14ac:dyDescent="0.25">
      <c r="B101" s="228">
        <v>524113</v>
      </c>
      <c r="C101" s="164" t="s">
        <v>13</v>
      </c>
      <c r="D101" s="164"/>
      <c r="E101" s="164"/>
      <c r="F101" s="165">
        <v>0</v>
      </c>
      <c r="G101" s="165">
        <v>2100000</v>
      </c>
      <c r="H101" s="165"/>
      <c r="I101" s="165">
        <f t="shared" si="173"/>
        <v>2100000</v>
      </c>
      <c r="J101" s="165"/>
      <c r="K101" s="165"/>
      <c r="L101" s="165"/>
      <c r="M101" s="165"/>
      <c r="N101" s="165"/>
      <c r="O101" s="165"/>
      <c r="P101" s="165"/>
      <c r="Q101" s="165"/>
      <c r="R101" s="165"/>
      <c r="S101" s="165"/>
      <c r="T101" s="165"/>
      <c r="U101" s="165"/>
      <c r="V101" s="165"/>
      <c r="W101" s="165"/>
      <c r="X101" s="165"/>
      <c r="Y101" s="165"/>
      <c r="Z101" s="165"/>
      <c r="AA101" s="165"/>
      <c r="AB101" s="165"/>
      <c r="AC101" s="165"/>
      <c r="AD101" s="165"/>
      <c r="AE101" s="165"/>
      <c r="AF101" s="165"/>
      <c r="AG101" s="165"/>
      <c r="AH101" s="165"/>
      <c r="AI101" s="165"/>
      <c r="AJ101" s="165"/>
      <c r="AK101" s="165"/>
      <c r="AL101" s="165"/>
      <c r="AM101" s="165"/>
      <c r="AN101" s="165"/>
      <c r="AO101" s="165"/>
      <c r="AP101" s="165"/>
      <c r="AQ101" s="165"/>
      <c r="AR101" s="165"/>
      <c r="AS101" s="165"/>
      <c r="AT101" s="165">
        <f t="shared" si="139"/>
        <v>0</v>
      </c>
      <c r="AU101" s="168">
        <f t="shared" si="140"/>
        <v>0</v>
      </c>
      <c r="AV101" s="169">
        <f t="shared" si="141"/>
        <v>0</v>
      </c>
      <c r="AW101" s="168" t="e">
        <f t="shared" si="142"/>
        <v>#DIV/0!</v>
      </c>
      <c r="AX101" s="164" t="s">
        <v>576</v>
      </c>
      <c r="AY101" s="164" t="s">
        <v>560</v>
      </c>
      <c r="AZ101" s="164" t="s">
        <v>3921</v>
      </c>
      <c r="BA101" s="165"/>
      <c r="BB101" s="165"/>
      <c r="BC101" s="240"/>
      <c r="BD101" s="165"/>
      <c r="BE101" s="165"/>
      <c r="BF101" s="165"/>
      <c r="BG101" s="165"/>
      <c r="BH101" s="165"/>
    </row>
    <row r="102" spans="2:60" x14ac:dyDescent="0.25">
      <c r="B102" s="230" t="s">
        <v>578</v>
      </c>
      <c r="C102" s="166" t="s">
        <v>154</v>
      </c>
      <c r="D102" s="166"/>
      <c r="E102" s="166"/>
      <c r="F102" s="167">
        <f t="shared" ref="F102:AS102" si="174">SUM(F103:F107)</f>
        <v>17357000</v>
      </c>
      <c r="G102" s="167">
        <f t="shared" ref="G102:H102" si="175">SUM(G103:G107)</f>
        <v>450000000</v>
      </c>
      <c r="H102" s="167">
        <f t="shared" si="175"/>
        <v>0</v>
      </c>
      <c r="I102" s="167">
        <f t="shared" ref="I102" si="176">SUM(I103:I107)</f>
        <v>432643000</v>
      </c>
      <c r="J102" s="167">
        <f t="shared" si="174"/>
        <v>0</v>
      </c>
      <c r="K102" s="167">
        <f t="shared" si="174"/>
        <v>0</v>
      </c>
      <c r="L102" s="167">
        <f t="shared" si="174"/>
        <v>0</v>
      </c>
      <c r="M102" s="167">
        <f t="shared" si="174"/>
        <v>0</v>
      </c>
      <c r="N102" s="167">
        <f t="shared" si="174"/>
        <v>0</v>
      </c>
      <c r="O102" s="167">
        <f t="shared" si="174"/>
        <v>0</v>
      </c>
      <c r="P102" s="167">
        <f t="shared" si="174"/>
        <v>0</v>
      </c>
      <c r="Q102" s="167">
        <f t="shared" si="174"/>
        <v>1743940</v>
      </c>
      <c r="R102" s="167">
        <f t="shared" si="174"/>
        <v>2949500</v>
      </c>
      <c r="S102" s="167">
        <f t="shared" si="174"/>
        <v>0</v>
      </c>
      <c r="T102" s="167">
        <f t="shared" si="174"/>
        <v>0</v>
      </c>
      <c r="U102" s="167">
        <f t="shared" si="174"/>
        <v>0</v>
      </c>
      <c r="V102" s="167">
        <f t="shared" si="174"/>
        <v>0</v>
      </c>
      <c r="W102" s="167">
        <f t="shared" si="174"/>
        <v>3603218</v>
      </c>
      <c r="X102" s="167">
        <f t="shared" si="174"/>
        <v>0</v>
      </c>
      <c r="Y102" s="167">
        <f t="shared" si="174"/>
        <v>5350700</v>
      </c>
      <c r="Z102" s="167">
        <f t="shared" si="174"/>
        <v>0</v>
      </c>
      <c r="AA102" s="167">
        <f t="shared" si="174"/>
        <v>0</v>
      </c>
      <c r="AB102" s="167">
        <f t="shared" si="174"/>
        <v>0</v>
      </c>
      <c r="AC102" s="167">
        <f t="shared" si="174"/>
        <v>0</v>
      </c>
      <c r="AD102" s="167">
        <f t="shared" si="174"/>
        <v>0</v>
      </c>
      <c r="AE102" s="167">
        <f t="shared" si="174"/>
        <v>0</v>
      </c>
      <c r="AF102" s="167">
        <f t="shared" si="174"/>
        <v>0</v>
      </c>
      <c r="AG102" s="167">
        <f t="shared" si="174"/>
        <v>0</v>
      </c>
      <c r="AH102" s="167">
        <f t="shared" si="174"/>
        <v>0</v>
      </c>
      <c r="AI102" s="167">
        <f t="shared" si="174"/>
        <v>0</v>
      </c>
      <c r="AJ102" s="167">
        <f t="shared" si="174"/>
        <v>0</v>
      </c>
      <c r="AK102" s="167">
        <f t="shared" si="174"/>
        <v>0</v>
      </c>
      <c r="AL102" s="167">
        <f t="shared" si="174"/>
        <v>0</v>
      </c>
      <c r="AM102" s="167">
        <f t="shared" si="174"/>
        <v>0</v>
      </c>
      <c r="AN102" s="167">
        <f t="shared" si="174"/>
        <v>0</v>
      </c>
      <c r="AO102" s="167">
        <f t="shared" si="174"/>
        <v>0</v>
      </c>
      <c r="AP102" s="167">
        <f t="shared" si="174"/>
        <v>0</v>
      </c>
      <c r="AQ102" s="167">
        <f t="shared" si="174"/>
        <v>0</v>
      </c>
      <c r="AR102" s="167">
        <f t="shared" si="174"/>
        <v>0</v>
      </c>
      <c r="AS102" s="167">
        <f t="shared" si="174"/>
        <v>0</v>
      </c>
      <c r="AT102" s="167">
        <f t="shared" si="139"/>
        <v>13647358</v>
      </c>
      <c r="AU102" s="175">
        <f t="shared" si="140"/>
        <v>78.627401048568302</v>
      </c>
      <c r="AV102" s="176">
        <f t="shared" si="141"/>
        <v>3709642</v>
      </c>
      <c r="AW102" s="175">
        <f>AV102/F102*100</f>
        <v>21.372598951431698</v>
      </c>
      <c r="AX102" s="164" t="s">
        <v>535</v>
      </c>
      <c r="AY102" s="164" t="s">
        <v>538</v>
      </c>
      <c r="AZ102" s="164" t="s">
        <v>3921</v>
      </c>
      <c r="BA102" s="167">
        <f t="shared" ref="BA102:BD102" si="177">SUM(BA103:BA107)</f>
        <v>0</v>
      </c>
      <c r="BB102" s="167">
        <f t="shared" si="177"/>
        <v>2949500</v>
      </c>
      <c r="BC102" s="167">
        <f t="shared" si="177"/>
        <v>1743940</v>
      </c>
      <c r="BD102" s="167">
        <f t="shared" si="177"/>
        <v>0</v>
      </c>
      <c r="BE102" s="167">
        <f t="shared" ref="BE102" si="178">SUM(BE103:BE107)</f>
        <v>3351204</v>
      </c>
      <c r="BF102" s="167">
        <f t="shared" ref="BF102:BG102" si="179">SUM(BF103:BF107)</f>
        <v>252014</v>
      </c>
      <c r="BG102" s="167">
        <f t="shared" si="179"/>
        <v>0</v>
      </c>
      <c r="BH102" s="167">
        <f t="shared" ref="BH102" si="180">SUM(BH103:BH107)</f>
        <v>0</v>
      </c>
    </row>
    <row r="103" spans="2:60" x14ac:dyDescent="0.25">
      <c r="B103" s="228">
        <v>521211</v>
      </c>
      <c r="C103" s="164" t="s">
        <v>7</v>
      </c>
      <c r="D103" s="164"/>
      <c r="E103" s="164"/>
      <c r="F103" s="165">
        <v>4000000</v>
      </c>
      <c r="G103" s="165">
        <v>32000000</v>
      </c>
      <c r="H103" s="165"/>
      <c r="I103" s="165">
        <f t="shared" ref="I103:I107" si="181">G103-F103</f>
        <v>28000000</v>
      </c>
      <c r="J103" s="165"/>
      <c r="K103" s="165"/>
      <c r="L103" s="165"/>
      <c r="M103" s="165"/>
      <c r="N103" s="165"/>
      <c r="O103" s="165"/>
      <c r="P103" s="165"/>
      <c r="Q103" s="240">
        <v>1499700</v>
      </c>
      <c r="R103" s="165">
        <v>2499500</v>
      </c>
      <c r="S103" s="165"/>
      <c r="T103" s="165"/>
      <c r="U103" s="165"/>
      <c r="V103" s="165"/>
      <c r="W103" s="165"/>
      <c r="X103" s="165"/>
      <c r="Y103" s="165"/>
      <c r="Z103" s="165"/>
      <c r="AA103" s="165"/>
      <c r="AB103" s="165"/>
      <c r="AC103" s="165"/>
      <c r="AD103" s="165"/>
      <c r="AE103" s="165"/>
      <c r="AF103" s="165"/>
      <c r="AG103" s="165"/>
      <c r="AH103" s="165"/>
      <c r="AI103" s="165"/>
      <c r="AJ103" s="165"/>
      <c r="AK103" s="165"/>
      <c r="AL103" s="165"/>
      <c r="AM103" s="165"/>
      <c r="AN103" s="165"/>
      <c r="AO103" s="165"/>
      <c r="AP103" s="165"/>
      <c r="AQ103" s="165"/>
      <c r="AR103" s="165"/>
      <c r="AS103" s="165"/>
      <c r="AT103" s="165">
        <f t="shared" si="139"/>
        <v>3999200</v>
      </c>
      <c r="AU103" s="168">
        <f t="shared" si="140"/>
        <v>99.98</v>
      </c>
      <c r="AV103" s="169">
        <f t="shared" si="141"/>
        <v>800</v>
      </c>
      <c r="AW103" s="168">
        <f t="shared" si="142"/>
        <v>0.02</v>
      </c>
      <c r="AX103" s="164" t="s">
        <v>535</v>
      </c>
      <c r="AY103" s="164" t="s">
        <v>538</v>
      </c>
      <c r="AZ103" s="164" t="s">
        <v>3921</v>
      </c>
      <c r="BA103" s="165"/>
      <c r="BB103" s="165">
        <v>2499500</v>
      </c>
      <c r="BC103" s="240">
        <v>1499700</v>
      </c>
      <c r="BD103" s="165"/>
      <c r="BE103" s="165"/>
      <c r="BF103" s="165"/>
      <c r="BG103" s="165"/>
      <c r="BH103" s="165"/>
    </row>
    <row r="104" spans="2:60" x14ac:dyDescent="0.25">
      <c r="B104" s="228">
        <v>521219</v>
      </c>
      <c r="C104" s="164" t="s">
        <v>53</v>
      </c>
      <c r="D104" s="164"/>
      <c r="E104" s="164"/>
      <c r="F104" s="165">
        <v>4298000</v>
      </c>
      <c r="G104" s="165">
        <v>298141000</v>
      </c>
      <c r="H104" s="165"/>
      <c r="I104" s="165">
        <f t="shared" si="181"/>
        <v>293843000</v>
      </c>
      <c r="J104" s="165"/>
      <c r="K104" s="165"/>
      <c r="L104" s="165"/>
      <c r="M104" s="165"/>
      <c r="N104" s="165"/>
      <c r="O104" s="165"/>
      <c r="P104" s="165"/>
      <c r="Q104" s="240">
        <v>244240</v>
      </c>
      <c r="R104" s="165">
        <v>450000</v>
      </c>
      <c r="S104" s="165"/>
      <c r="T104" s="165"/>
      <c r="U104" s="165"/>
      <c r="V104" s="165"/>
      <c r="W104" s="165">
        <f>3351204+252014</f>
        <v>3603218</v>
      </c>
      <c r="X104" s="165"/>
      <c r="Y104" s="165"/>
      <c r="Z104" s="165"/>
      <c r="AA104" s="165"/>
      <c r="AB104" s="165"/>
      <c r="AC104" s="165"/>
      <c r="AD104" s="165"/>
      <c r="AE104" s="165"/>
      <c r="AF104" s="165"/>
      <c r="AG104" s="165"/>
      <c r="AH104" s="165"/>
      <c r="AI104" s="165"/>
      <c r="AJ104" s="165"/>
      <c r="AK104" s="165"/>
      <c r="AL104" s="165"/>
      <c r="AM104" s="165"/>
      <c r="AN104" s="165"/>
      <c r="AO104" s="165"/>
      <c r="AP104" s="165"/>
      <c r="AQ104" s="165"/>
      <c r="AR104" s="165"/>
      <c r="AS104" s="165"/>
      <c r="AT104" s="165">
        <f t="shared" si="139"/>
        <v>4297458</v>
      </c>
      <c r="AU104" s="168">
        <f t="shared" si="140"/>
        <v>99.987389483480698</v>
      </c>
      <c r="AV104" s="169">
        <f t="shared" si="141"/>
        <v>542</v>
      </c>
      <c r="AW104" s="168">
        <f>AV104/F104*100</f>
        <v>1.2610516519311306E-2</v>
      </c>
      <c r="AX104" s="164" t="s">
        <v>535</v>
      </c>
      <c r="AY104" s="164" t="s">
        <v>538</v>
      </c>
      <c r="AZ104" s="164" t="s">
        <v>3921</v>
      </c>
      <c r="BA104" s="165"/>
      <c r="BB104" s="165">
        <v>450000</v>
      </c>
      <c r="BC104" s="240">
        <v>244240</v>
      </c>
      <c r="BD104" s="165"/>
      <c r="BE104" s="165">
        <v>3351204</v>
      </c>
      <c r="BF104" s="165">
        <v>252014</v>
      </c>
      <c r="BG104" s="165"/>
      <c r="BH104" s="165"/>
    </row>
    <row r="105" spans="2:60" x14ac:dyDescent="0.25">
      <c r="B105" s="228">
        <v>522151</v>
      </c>
      <c r="C105" s="164" t="s">
        <v>11</v>
      </c>
      <c r="D105" s="164"/>
      <c r="E105" s="164"/>
      <c r="F105" s="165">
        <v>0</v>
      </c>
      <c r="G105" s="165">
        <v>30000000</v>
      </c>
      <c r="H105" s="165"/>
      <c r="I105" s="165">
        <f t="shared" si="181"/>
        <v>30000000</v>
      </c>
      <c r="J105" s="165"/>
      <c r="K105" s="165"/>
      <c r="L105" s="165"/>
      <c r="M105" s="165"/>
      <c r="N105" s="165"/>
      <c r="O105" s="165"/>
      <c r="P105" s="165"/>
      <c r="Q105" s="165"/>
      <c r="R105" s="165"/>
      <c r="S105" s="165"/>
      <c r="T105" s="165"/>
      <c r="U105" s="165"/>
      <c r="V105" s="165"/>
      <c r="W105" s="165"/>
      <c r="X105" s="165"/>
      <c r="Y105" s="165"/>
      <c r="Z105" s="165"/>
      <c r="AA105" s="165"/>
      <c r="AB105" s="165"/>
      <c r="AC105" s="165"/>
      <c r="AD105" s="165"/>
      <c r="AE105" s="165"/>
      <c r="AF105" s="165"/>
      <c r="AG105" s="165"/>
      <c r="AH105" s="165"/>
      <c r="AI105" s="165"/>
      <c r="AJ105" s="165"/>
      <c r="AK105" s="165"/>
      <c r="AL105" s="165"/>
      <c r="AM105" s="165"/>
      <c r="AN105" s="165"/>
      <c r="AO105" s="165"/>
      <c r="AP105" s="165"/>
      <c r="AQ105" s="165"/>
      <c r="AR105" s="165"/>
      <c r="AS105" s="165"/>
      <c r="AT105" s="165">
        <f t="shared" si="139"/>
        <v>0</v>
      </c>
      <c r="AU105" s="168">
        <f t="shared" si="140"/>
        <v>0</v>
      </c>
      <c r="AV105" s="169">
        <f t="shared" si="141"/>
        <v>0</v>
      </c>
      <c r="AW105" s="168" t="e">
        <f t="shared" si="142"/>
        <v>#DIV/0!</v>
      </c>
      <c r="AX105" s="164" t="s">
        <v>535</v>
      </c>
      <c r="AY105" s="164" t="s">
        <v>538</v>
      </c>
      <c r="AZ105" s="164" t="s">
        <v>3921</v>
      </c>
      <c r="BA105" s="165"/>
      <c r="BB105" s="165"/>
      <c r="BC105" s="240"/>
      <c r="BD105" s="165"/>
      <c r="BE105" s="165"/>
      <c r="BF105" s="165"/>
      <c r="BG105" s="165"/>
      <c r="BH105" s="165"/>
    </row>
    <row r="106" spans="2:60" x14ac:dyDescent="0.25">
      <c r="B106" s="228">
        <v>522192</v>
      </c>
      <c r="C106" s="164" t="s">
        <v>24</v>
      </c>
      <c r="D106" s="164"/>
      <c r="E106" s="164"/>
      <c r="F106" s="165">
        <v>0</v>
      </c>
      <c r="G106" s="165">
        <v>8000000</v>
      </c>
      <c r="H106" s="165"/>
      <c r="I106" s="165">
        <f t="shared" si="181"/>
        <v>8000000</v>
      </c>
      <c r="J106" s="165"/>
      <c r="K106" s="165"/>
      <c r="L106" s="165"/>
      <c r="M106" s="165"/>
      <c r="N106" s="165"/>
      <c r="O106" s="165"/>
      <c r="P106" s="165"/>
      <c r="Q106" s="165"/>
      <c r="R106" s="165"/>
      <c r="S106" s="165"/>
      <c r="T106" s="165"/>
      <c r="U106" s="165"/>
      <c r="V106" s="165"/>
      <c r="W106" s="165"/>
      <c r="X106" s="165"/>
      <c r="Y106" s="165"/>
      <c r="Z106" s="165"/>
      <c r="AA106" s="165"/>
      <c r="AB106" s="165"/>
      <c r="AC106" s="165"/>
      <c r="AD106" s="165"/>
      <c r="AE106" s="165"/>
      <c r="AF106" s="165"/>
      <c r="AG106" s="165"/>
      <c r="AH106" s="165"/>
      <c r="AI106" s="165"/>
      <c r="AJ106" s="165"/>
      <c r="AK106" s="165"/>
      <c r="AL106" s="165"/>
      <c r="AM106" s="165"/>
      <c r="AN106" s="165"/>
      <c r="AO106" s="165"/>
      <c r="AP106" s="165"/>
      <c r="AQ106" s="165"/>
      <c r="AR106" s="165"/>
      <c r="AS106" s="165"/>
      <c r="AT106" s="165">
        <f t="shared" si="139"/>
        <v>0</v>
      </c>
      <c r="AU106" s="168">
        <f t="shared" si="140"/>
        <v>0</v>
      </c>
      <c r="AV106" s="169">
        <f t="shared" si="141"/>
        <v>0</v>
      </c>
      <c r="AW106" s="168" t="e">
        <f t="shared" si="142"/>
        <v>#DIV/0!</v>
      </c>
      <c r="AX106" s="164" t="s">
        <v>535</v>
      </c>
      <c r="AY106" s="164" t="s">
        <v>538</v>
      </c>
      <c r="AZ106" s="164" t="s">
        <v>3921</v>
      </c>
      <c r="BA106" s="165"/>
      <c r="BB106" s="165"/>
      <c r="BC106" s="240"/>
      <c r="BD106" s="165"/>
      <c r="BE106" s="165"/>
      <c r="BF106" s="165"/>
      <c r="BG106" s="165"/>
      <c r="BH106" s="165"/>
    </row>
    <row r="107" spans="2:60" x14ac:dyDescent="0.25">
      <c r="B107" s="228">
        <v>524111</v>
      </c>
      <c r="C107" s="164" t="s">
        <v>19</v>
      </c>
      <c r="D107" s="164"/>
      <c r="E107" s="164"/>
      <c r="F107" s="165">
        <v>9059000</v>
      </c>
      <c r="G107" s="165">
        <v>81859000</v>
      </c>
      <c r="H107" s="165"/>
      <c r="I107" s="165">
        <f t="shared" si="181"/>
        <v>72800000</v>
      </c>
      <c r="J107" s="165"/>
      <c r="K107" s="165"/>
      <c r="L107" s="165"/>
      <c r="M107" s="165"/>
      <c r="N107" s="165"/>
      <c r="O107" s="165"/>
      <c r="P107" s="165"/>
      <c r="Q107" s="165"/>
      <c r="R107" s="165"/>
      <c r="S107" s="165"/>
      <c r="T107" s="165"/>
      <c r="U107" s="165"/>
      <c r="V107" s="165"/>
      <c r="W107" s="165"/>
      <c r="X107" s="165"/>
      <c r="Y107" s="165">
        <f>1650000+3700700</f>
        <v>5350700</v>
      </c>
      <c r="Z107" s="165"/>
      <c r="AA107" s="165"/>
      <c r="AB107" s="165"/>
      <c r="AC107" s="165"/>
      <c r="AD107" s="165"/>
      <c r="AE107" s="165"/>
      <c r="AF107" s="165"/>
      <c r="AG107" s="165"/>
      <c r="AH107" s="165"/>
      <c r="AI107" s="165"/>
      <c r="AJ107" s="165"/>
      <c r="AK107" s="165"/>
      <c r="AL107" s="165"/>
      <c r="AM107" s="165"/>
      <c r="AN107" s="165"/>
      <c r="AO107" s="165"/>
      <c r="AP107" s="165"/>
      <c r="AQ107" s="165"/>
      <c r="AR107" s="165"/>
      <c r="AS107" s="165"/>
      <c r="AT107" s="165">
        <f t="shared" si="139"/>
        <v>5350700</v>
      </c>
      <c r="AU107" s="168">
        <f t="shared" si="140"/>
        <v>59.065018213930898</v>
      </c>
      <c r="AV107" s="169">
        <f t="shared" si="141"/>
        <v>3708300</v>
      </c>
      <c r="AW107" s="168">
        <f t="shared" si="142"/>
        <v>40.934981786069102</v>
      </c>
      <c r="AX107" s="164" t="s">
        <v>535</v>
      </c>
      <c r="AY107" s="164" t="s">
        <v>538</v>
      </c>
      <c r="AZ107" s="164" t="s">
        <v>3921</v>
      </c>
      <c r="BA107" s="165"/>
      <c r="BB107" s="165"/>
      <c r="BC107" s="240"/>
      <c r="BD107" s="165"/>
      <c r="BE107" s="165"/>
      <c r="BF107" s="165"/>
      <c r="BG107" s="165"/>
      <c r="BH107" s="165"/>
    </row>
    <row r="108" spans="2:60" x14ac:dyDescent="0.25">
      <c r="B108" s="230" t="s">
        <v>579</v>
      </c>
      <c r="C108" s="166" t="s">
        <v>56</v>
      </c>
      <c r="D108" s="166"/>
      <c r="E108" s="166"/>
      <c r="F108" s="167">
        <f t="shared" ref="F108:AS108" si="182">SUM(F109:F112)</f>
        <v>83506000</v>
      </c>
      <c r="G108" s="167">
        <f t="shared" ref="G108:H108" si="183">SUM(G109:G112)</f>
        <v>350000000</v>
      </c>
      <c r="H108" s="167">
        <f t="shared" si="183"/>
        <v>0</v>
      </c>
      <c r="I108" s="167">
        <f t="shared" ref="I108" si="184">SUM(I109:I112)</f>
        <v>266494000</v>
      </c>
      <c r="J108" s="167">
        <f t="shared" si="182"/>
        <v>0</v>
      </c>
      <c r="K108" s="167">
        <f t="shared" si="182"/>
        <v>0</v>
      </c>
      <c r="L108" s="167">
        <f t="shared" si="182"/>
        <v>0</v>
      </c>
      <c r="M108" s="167">
        <f t="shared" si="182"/>
        <v>0</v>
      </c>
      <c r="N108" s="167">
        <f t="shared" si="182"/>
        <v>0</v>
      </c>
      <c r="O108" s="167">
        <f t="shared" si="182"/>
        <v>0</v>
      </c>
      <c r="P108" s="167">
        <f t="shared" si="182"/>
        <v>0</v>
      </c>
      <c r="Q108" s="167">
        <f t="shared" si="182"/>
        <v>3173213</v>
      </c>
      <c r="R108" s="167">
        <f t="shared" si="182"/>
        <v>3236994</v>
      </c>
      <c r="S108" s="167">
        <f t="shared" si="182"/>
        <v>1000000</v>
      </c>
      <c r="T108" s="167">
        <f t="shared" si="182"/>
        <v>0</v>
      </c>
      <c r="U108" s="167">
        <f t="shared" si="182"/>
        <v>0</v>
      </c>
      <c r="V108" s="167">
        <f t="shared" si="182"/>
        <v>19414000</v>
      </c>
      <c r="W108" s="167">
        <f t="shared" si="182"/>
        <v>8092833</v>
      </c>
      <c r="X108" s="167">
        <f t="shared" si="182"/>
        <v>12845223</v>
      </c>
      <c r="Y108" s="167">
        <f t="shared" si="182"/>
        <v>30535327</v>
      </c>
      <c r="Z108" s="167">
        <f t="shared" si="182"/>
        <v>0</v>
      </c>
      <c r="AA108" s="167">
        <f t="shared" si="182"/>
        <v>0</v>
      </c>
      <c r="AB108" s="167">
        <f t="shared" si="182"/>
        <v>0</v>
      </c>
      <c r="AC108" s="167">
        <f t="shared" si="182"/>
        <v>0</v>
      </c>
      <c r="AD108" s="167">
        <f t="shared" si="182"/>
        <v>0</v>
      </c>
      <c r="AE108" s="167">
        <f t="shared" si="182"/>
        <v>0</v>
      </c>
      <c r="AF108" s="167">
        <f t="shared" si="182"/>
        <v>0</v>
      </c>
      <c r="AG108" s="167">
        <f t="shared" si="182"/>
        <v>0</v>
      </c>
      <c r="AH108" s="167">
        <f t="shared" si="182"/>
        <v>0</v>
      </c>
      <c r="AI108" s="167">
        <f t="shared" si="182"/>
        <v>0</v>
      </c>
      <c r="AJ108" s="167">
        <f t="shared" si="182"/>
        <v>0</v>
      </c>
      <c r="AK108" s="167">
        <f t="shared" si="182"/>
        <v>0</v>
      </c>
      <c r="AL108" s="167">
        <f t="shared" si="182"/>
        <v>0</v>
      </c>
      <c r="AM108" s="167">
        <f t="shared" si="182"/>
        <v>0</v>
      </c>
      <c r="AN108" s="167">
        <f t="shared" si="182"/>
        <v>0</v>
      </c>
      <c r="AO108" s="167">
        <f t="shared" si="182"/>
        <v>0</v>
      </c>
      <c r="AP108" s="167">
        <f t="shared" si="182"/>
        <v>0</v>
      </c>
      <c r="AQ108" s="167">
        <f t="shared" si="182"/>
        <v>0</v>
      </c>
      <c r="AR108" s="167">
        <f t="shared" si="182"/>
        <v>0</v>
      </c>
      <c r="AS108" s="167">
        <f t="shared" si="182"/>
        <v>0</v>
      </c>
      <c r="AT108" s="167">
        <f t="shared" si="139"/>
        <v>78297590</v>
      </c>
      <c r="AU108" s="175">
        <f t="shared" si="140"/>
        <v>93.762831413311616</v>
      </c>
      <c r="AV108" s="176">
        <f t="shared" si="141"/>
        <v>5208410</v>
      </c>
      <c r="AW108" s="175">
        <f t="shared" si="142"/>
        <v>6.2371685866883819</v>
      </c>
      <c r="AX108" s="164" t="s">
        <v>531</v>
      </c>
      <c r="AY108" s="164" t="s">
        <v>532</v>
      </c>
      <c r="AZ108" s="164" t="s">
        <v>3921</v>
      </c>
      <c r="BA108" s="167">
        <f t="shared" ref="BA108:BD108" si="185">SUM(BA109:BA112)</f>
        <v>0</v>
      </c>
      <c r="BB108" s="167">
        <f t="shared" si="185"/>
        <v>3236994</v>
      </c>
      <c r="BC108" s="167">
        <f t="shared" si="185"/>
        <v>3173213</v>
      </c>
      <c r="BD108" s="167">
        <f t="shared" si="185"/>
        <v>0</v>
      </c>
      <c r="BE108" s="167">
        <f t="shared" ref="BE108" si="186">SUM(BE109:BE112)</f>
        <v>0</v>
      </c>
      <c r="BF108" s="167">
        <f t="shared" ref="BF108:BG108" si="187">SUM(BF109:BF112)</f>
        <v>8092833</v>
      </c>
      <c r="BG108" s="167">
        <f t="shared" si="187"/>
        <v>12845223</v>
      </c>
      <c r="BH108" s="167">
        <f t="shared" ref="BH108" si="188">SUM(BH109:BH112)</f>
        <v>0</v>
      </c>
    </row>
    <row r="109" spans="2:60" x14ac:dyDescent="0.25">
      <c r="B109" s="228">
        <v>521211</v>
      </c>
      <c r="C109" s="164" t="s">
        <v>7</v>
      </c>
      <c r="D109" s="164"/>
      <c r="E109" s="164"/>
      <c r="F109" s="165">
        <v>12550000</v>
      </c>
      <c r="G109" s="165">
        <v>31000000</v>
      </c>
      <c r="H109" s="165"/>
      <c r="I109" s="165">
        <f t="shared" ref="I109:I112" si="189">G109-F109</f>
        <v>18450000</v>
      </c>
      <c r="J109" s="165"/>
      <c r="K109" s="165"/>
      <c r="L109" s="165"/>
      <c r="M109" s="165"/>
      <c r="N109" s="165"/>
      <c r="O109" s="165"/>
      <c r="P109" s="165"/>
      <c r="Q109" s="165"/>
      <c r="R109" s="165">
        <v>1200000</v>
      </c>
      <c r="S109" s="165"/>
      <c r="T109" s="165"/>
      <c r="U109" s="165"/>
      <c r="V109" s="165"/>
      <c r="W109" s="165">
        <v>7854000</v>
      </c>
      <c r="X109" s="165">
        <v>2488500</v>
      </c>
      <c r="Y109" s="165"/>
      <c r="Z109" s="165"/>
      <c r="AA109" s="165"/>
      <c r="AB109" s="165"/>
      <c r="AC109" s="165"/>
      <c r="AD109" s="165"/>
      <c r="AE109" s="165"/>
      <c r="AF109" s="165"/>
      <c r="AG109" s="165"/>
      <c r="AH109" s="165"/>
      <c r="AI109" s="165"/>
      <c r="AJ109" s="165"/>
      <c r="AK109" s="165"/>
      <c r="AL109" s="165"/>
      <c r="AM109" s="165"/>
      <c r="AN109" s="165"/>
      <c r="AO109" s="165"/>
      <c r="AP109" s="165"/>
      <c r="AQ109" s="165"/>
      <c r="AR109" s="165"/>
      <c r="AS109" s="165"/>
      <c r="AT109" s="165">
        <f t="shared" si="139"/>
        <v>11542500</v>
      </c>
      <c r="AU109" s="168">
        <f t="shared" si="140"/>
        <v>91.972111553784856</v>
      </c>
      <c r="AV109" s="169">
        <f t="shared" si="141"/>
        <v>1007500</v>
      </c>
      <c r="AW109" s="168">
        <f t="shared" si="142"/>
        <v>8.0278884462151403</v>
      </c>
      <c r="AX109" s="164" t="s">
        <v>531</v>
      </c>
      <c r="AY109" s="164" t="s">
        <v>532</v>
      </c>
      <c r="AZ109" s="164" t="s">
        <v>3921</v>
      </c>
      <c r="BA109" s="165"/>
      <c r="BB109" s="165">
        <v>1200000</v>
      </c>
      <c r="BC109" s="240"/>
      <c r="BD109" s="165"/>
      <c r="BE109" s="165"/>
      <c r="BF109" s="165">
        <v>7854000</v>
      </c>
      <c r="BG109" s="165">
        <v>2488500</v>
      </c>
      <c r="BH109" s="165"/>
    </row>
    <row r="110" spans="2:60" x14ac:dyDescent="0.25">
      <c r="B110" s="228">
        <v>521219</v>
      </c>
      <c r="C110" s="164" t="s">
        <v>53</v>
      </c>
      <c r="D110" s="164"/>
      <c r="E110" s="164"/>
      <c r="F110" s="165">
        <v>1192000</v>
      </c>
      <c r="G110" s="165">
        <v>3000000</v>
      </c>
      <c r="H110" s="165"/>
      <c r="I110" s="165">
        <f t="shared" si="189"/>
        <v>1808000</v>
      </c>
      <c r="J110" s="165"/>
      <c r="K110" s="165"/>
      <c r="L110" s="165"/>
      <c r="M110" s="165"/>
      <c r="N110" s="165"/>
      <c r="O110" s="165"/>
      <c r="P110" s="165"/>
      <c r="Q110" s="240">
        <v>473213</v>
      </c>
      <c r="R110" s="165">
        <v>236994</v>
      </c>
      <c r="S110" s="165"/>
      <c r="T110" s="165"/>
      <c r="U110" s="165"/>
      <c r="V110" s="165"/>
      <c r="W110" s="165">
        <v>238833</v>
      </c>
      <c r="X110" s="165">
        <v>242378</v>
      </c>
      <c r="Y110" s="165"/>
      <c r="Z110" s="165"/>
      <c r="AA110" s="165"/>
      <c r="AB110" s="165"/>
      <c r="AC110" s="165"/>
      <c r="AD110" s="165"/>
      <c r="AE110" s="165"/>
      <c r="AF110" s="165"/>
      <c r="AG110" s="165"/>
      <c r="AH110" s="165"/>
      <c r="AI110" s="165"/>
      <c r="AJ110" s="165"/>
      <c r="AK110" s="165"/>
      <c r="AL110" s="165"/>
      <c r="AM110" s="165"/>
      <c r="AN110" s="165"/>
      <c r="AO110" s="165"/>
      <c r="AP110" s="165"/>
      <c r="AQ110" s="165"/>
      <c r="AR110" s="165"/>
      <c r="AS110" s="165"/>
      <c r="AT110" s="165">
        <f t="shared" si="139"/>
        <v>1191418</v>
      </c>
      <c r="AU110" s="168">
        <f t="shared" si="140"/>
        <v>99.951174496644285</v>
      </c>
      <c r="AV110" s="169">
        <f t="shared" si="141"/>
        <v>582</v>
      </c>
      <c r="AW110" s="168">
        <f t="shared" si="142"/>
        <v>4.8825503355704701E-2</v>
      </c>
      <c r="AX110" s="164" t="s">
        <v>531</v>
      </c>
      <c r="AY110" s="164" t="s">
        <v>532</v>
      </c>
      <c r="AZ110" s="164" t="s">
        <v>3921</v>
      </c>
      <c r="BA110" s="165"/>
      <c r="BB110" s="165">
        <v>236994</v>
      </c>
      <c r="BC110" s="240">
        <v>473213</v>
      </c>
      <c r="BD110" s="165"/>
      <c r="BE110" s="165"/>
      <c r="BF110" s="165">
        <v>238833</v>
      </c>
      <c r="BG110" s="165">
        <v>242378</v>
      </c>
      <c r="BH110" s="165"/>
    </row>
    <row r="111" spans="2:60" x14ac:dyDescent="0.25">
      <c r="B111" s="228">
        <v>522151</v>
      </c>
      <c r="C111" s="164" t="s">
        <v>11</v>
      </c>
      <c r="D111" s="164"/>
      <c r="E111" s="164"/>
      <c r="F111" s="165">
        <v>9000000</v>
      </c>
      <c r="G111" s="165">
        <v>70000000</v>
      </c>
      <c r="H111" s="165"/>
      <c r="I111" s="165">
        <f t="shared" si="189"/>
        <v>61000000</v>
      </c>
      <c r="J111" s="165"/>
      <c r="K111" s="165"/>
      <c r="L111" s="165"/>
      <c r="M111" s="165"/>
      <c r="N111" s="165"/>
      <c r="O111" s="165"/>
      <c r="P111" s="165"/>
      <c r="Q111" s="165"/>
      <c r="R111" s="165">
        <v>1800000</v>
      </c>
      <c r="S111" s="165">
        <v>1000000</v>
      </c>
      <c r="T111" s="165"/>
      <c r="U111" s="165"/>
      <c r="V111" s="165"/>
      <c r="W111" s="165"/>
      <c r="X111" s="165">
        <v>2000000</v>
      </c>
      <c r="Y111" s="165"/>
      <c r="Z111" s="165"/>
      <c r="AA111" s="165"/>
      <c r="AB111" s="165"/>
      <c r="AC111" s="165"/>
      <c r="AD111" s="165"/>
      <c r="AE111" s="165"/>
      <c r="AF111" s="165"/>
      <c r="AG111" s="165"/>
      <c r="AH111" s="165"/>
      <c r="AI111" s="165"/>
      <c r="AJ111" s="165"/>
      <c r="AK111" s="165"/>
      <c r="AL111" s="165"/>
      <c r="AM111" s="165"/>
      <c r="AN111" s="165"/>
      <c r="AO111" s="165"/>
      <c r="AP111" s="165"/>
      <c r="AQ111" s="165"/>
      <c r="AR111" s="165"/>
      <c r="AS111" s="165"/>
      <c r="AT111" s="165">
        <f t="shared" si="139"/>
        <v>4800000</v>
      </c>
      <c r="AU111" s="168">
        <f t="shared" si="140"/>
        <v>53.333333333333336</v>
      </c>
      <c r="AV111" s="169">
        <f t="shared" si="141"/>
        <v>4200000</v>
      </c>
      <c r="AW111" s="168">
        <f t="shared" si="142"/>
        <v>46.666666666666664</v>
      </c>
      <c r="AX111" s="164" t="s">
        <v>531</v>
      </c>
      <c r="AY111" s="164" t="s">
        <v>532</v>
      </c>
      <c r="AZ111" s="164" t="s">
        <v>3921</v>
      </c>
      <c r="BA111" s="165"/>
      <c r="BB111" s="165">
        <v>1800000</v>
      </c>
      <c r="BC111" s="240"/>
      <c r="BD111" s="165"/>
      <c r="BE111" s="165"/>
      <c r="BF111" s="165"/>
      <c r="BG111" s="165">
        <v>2000000</v>
      </c>
      <c r="BH111" s="165"/>
    </row>
    <row r="112" spans="2:60" x14ac:dyDescent="0.25">
      <c r="B112" s="228">
        <v>524111</v>
      </c>
      <c r="C112" s="164" t="s">
        <v>19</v>
      </c>
      <c r="D112" s="164"/>
      <c r="E112" s="164"/>
      <c r="F112" s="165">
        <v>60764000</v>
      </c>
      <c r="G112" s="165">
        <v>246000000</v>
      </c>
      <c r="H112" s="165"/>
      <c r="I112" s="165">
        <f t="shared" si="189"/>
        <v>185236000</v>
      </c>
      <c r="J112" s="165"/>
      <c r="K112" s="165"/>
      <c r="L112" s="165"/>
      <c r="M112" s="165"/>
      <c r="N112" s="165"/>
      <c r="O112" s="165"/>
      <c r="P112" s="165"/>
      <c r="Q112" s="240">
        <v>2700000</v>
      </c>
      <c r="R112" s="165"/>
      <c r="S112" s="165"/>
      <c r="T112" s="165"/>
      <c r="U112" s="165"/>
      <c r="V112" s="165">
        <f>872000+14922000+3620000</f>
        <v>19414000</v>
      </c>
      <c r="W112" s="165"/>
      <c r="X112" s="165">
        <v>8114345</v>
      </c>
      <c r="Y112" s="165">
        <f>3000000+25425327+2110000</f>
        <v>30535327</v>
      </c>
      <c r="Z112" s="165"/>
      <c r="AA112" s="165"/>
      <c r="AB112" s="165"/>
      <c r="AC112" s="165"/>
      <c r="AD112" s="165"/>
      <c r="AE112" s="165"/>
      <c r="AF112" s="165"/>
      <c r="AG112" s="165"/>
      <c r="AH112" s="165"/>
      <c r="AI112" s="165"/>
      <c r="AJ112" s="165"/>
      <c r="AK112" s="165"/>
      <c r="AL112" s="165"/>
      <c r="AM112" s="165"/>
      <c r="AN112" s="165"/>
      <c r="AO112" s="165"/>
      <c r="AP112" s="165"/>
      <c r="AQ112" s="165"/>
      <c r="AR112" s="165"/>
      <c r="AS112" s="165"/>
      <c r="AT112" s="165">
        <f t="shared" si="139"/>
        <v>60763672</v>
      </c>
      <c r="AU112" s="168">
        <f t="shared" si="140"/>
        <v>99.999460206701343</v>
      </c>
      <c r="AV112" s="169">
        <f t="shared" si="141"/>
        <v>328</v>
      </c>
      <c r="AW112" s="168">
        <f t="shared" si="142"/>
        <v>5.3979329866368244E-4</v>
      </c>
      <c r="AX112" s="164" t="s">
        <v>531</v>
      </c>
      <c r="AY112" s="164" t="s">
        <v>532</v>
      </c>
      <c r="AZ112" s="164" t="s">
        <v>3921</v>
      </c>
      <c r="BA112" s="165"/>
      <c r="BB112" s="165"/>
      <c r="BC112" s="240">
        <v>2700000</v>
      </c>
      <c r="BD112" s="165"/>
      <c r="BE112" s="165"/>
      <c r="BF112" s="165"/>
      <c r="BG112" s="165">
        <v>8114345</v>
      </c>
      <c r="BH112" s="165"/>
    </row>
    <row r="113" spans="2:60" x14ac:dyDescent="0.25">
      <c r="B113" s="230" t="s">
        <v>580</v>
      </c>
      <c r="C113" s="166" t="s">
        <v>1505</v>
      </c>
      <c r="D113" s="166"/>
      <c r="E113" s="166"/>
      <c r="F113" s="167">
        <f t="shared" ref="F113:AS113" si="190">SUM(F114:F117)</f>
        <v>0</v>
      </c>
      <c r="G113" s="167">
        <f t="shared" ref="G113:H113" si="191">SUM(G114:G117)</f>
        <v>639737000</v>
      </c>
      <c r="H113" s="167">
        <f t="shared" si="191"/>
        <v>0</v>
      </c>
      <c r="I113" s="167">
        <f t="shared" ref="I113" si="192">SUM(I114:I117)</f>
        <v>639737000</v>
      </c>
      <c r="J113" s="167">
        <f t="shared" si="190"/>
        <v>0</v>
      </c>
      <c r="K113" s="167">
        <f t="shared" si="190"/>
        <v>0</v>
      </c>
      <c r="L113" s="167">
        <f t="shared" si="190"/>
        <v>0</v>
      </c>
      <c r="M113" s="167">
        <f t="shared" si="190"/>
        <v>0</v>
      </c>
      <c r="N113" s="167">
        <f t="shared" si="190"/>
        <v>0</v>
      </c>
      <c r="O113" s="167">
        <f t="shared" si="190"/>
        <v>0</v>
      </c>
      <c r="P113" s="167">
        <f t="shared" si="190"/>
        <v>0</v>
      </c>
      <c r="Q113" s="167">
        <f t="shared" si="190"/>
        <v>0</v>
      </c>
      <c r="R113" s="167">
        <f t="shared" si="190"/>
        <v>0</v>
      </c>
      <c r="S113" s="167">
        <f t="shared" si="190"/>
        <v>0</v>
      </c>
      <c r="T113" s="167">
        <f t="shared" si="190"/>
        <v>0</v>
      </c>
      <c r="U113" s="167">
        <f t="shared" si="190"/>
        <v>0</v>
      </c>
      <c r="V113" s="167">
        <f t="shared" si="190"/>
        <v>0</v>
      </c>
      <c r="W113" s="167">
        <f t="shared" si="190"/>
        <v>0</v>
      </c>
      <c r="X113" s="167">
        <f t="shared" si="190"/>
        <v>0</v>
      </c>
      <c r="Y113" s="167">
        <f t="shared" si="190"/>
        <v>0</v>
      </c>
      <c r="Z113" s="167">
        <f t="shared" si="190"/>
        <v>0</v>
      </c>
      <c r="AA113" s="167">
        <f t="shared" si="190"/>
        <v>0</v>
      </c>
      <c r="AB113" s="167">
        <f t="shared" si="190"/>
        <v>0</v>
      </c>
      <c r="AC113" s="167">
        <f t="shared" si="190"/>
        <v>0</v>
      </c>
      <c r="AD113" s="167">
        <f t="shared" si="190"/>
        <v>0</v>
      </c>
      <c r="AE113" s="167">
        <f t="shared" si="190"/>
        <v>0</v>
      </c>
      <c r="AF113" s="167">
        <f t="shared" si="190"/>
        <v>0</v>
      </c>
      <c r="AG113" s="167">
        <f t="shared" si="190"/>
        <v>0</v>
      </c>
      <c r="AH113" s="167">
        <f t="shared" si="190"/>
        <v>0</v>
      </c>
      <c r="AI113" s="167">
        <f t="shared" si="190"/>
        <v>0</v>
      </c>
      <c r="AJ113" s="167">
        <f t="shared" si="190"/>
        <v>0</v>
      </c>
      <c r="AK113" s="167">
        <f t="shared" si="190"/>
        <v>0</v>
      </c>
      <c r="AL113" s="167">
        <f t="shared" si="190"/>
        <v>0</v>
      </c>
      <c r="AM113" s="167">
        <f t="shared" si="190"/>
        <v>0</v>
      </c>
      <c r="AN113" s="167">
        <f t="shared" si="190"/>
        <v>0</v>
      </c>
      <c r="AO113" s="167">
        <f t="shared" si="190"/>
        <v>0</v>
      </c>
      <c r="AP113" s="167">
        <f t="shared" si="190"/>
        <v>0</v>
      </c>
      <c r="AQ113" s="167">
        <f t="shared" si="190"/>
        <v>0</v>
      </c>
      <c r="AR113" s="167">
        <f t="shared" si="190"/>
        <v>0</v>
      </c>
      <c r="AS113" s="167">
        <f t="shared" si="190"/>
        <v>0</v>
      </c>
      <c r="AT113" s="167">
        <f t="shared" si="139"/>
        <v>0</v>
      </c>
      <c r="AU113" s="175">
        <f t="shared" si="140"/>
        <v>0</v>
      </c>
      <c r="AV113" s="176">
        <f t="shared" si="141"/>
        <v>0</v>
      </c>
      <c r="AW113" s="175" t="e">
        <f t="shared" si="142"/>
        <v>#DIV/0!</v>
      </c>
      <c r="AX113" s="164" t="s">
        <v>531</v>
      </c>
      <c r="AY113" s="164" t="s">
        <v>534</v>
      </c>
      <c r="AZ113" s="164" t="s">
        <v>3921</v>
      </c>
      <c r="BA113" s="167">
        <f t="shared" ref="BA113:BD113" si="193">SUM(BA114:BA117)</f>
        <v>0</v>
      </c>
      <c r="BB113" s="167">
        <f t="shared" si="193"/>
        <v>0</v>
      </c>
      <c r="BC113" s="167">
        <f t="shared" si="193"/>
        <v>0</v>
      </c>
      <c r="BD113" s="167">
        <f t="shared" si="193"/>
        <v>0</v>
      </c>
      <c r="BE113" s="167">
        <f t="shared" ref="BE113" si="194">SUM(BE114:BE117)</f>
        <v>0</v>
      </c>
      <c r="BF113" s="167">
        <f t="shared" ref="BF113:BG113" si="195">SUM(BF114:BF117)</f>
        <v>0</v>
      </c>
      <c r="BG113" s="167">
        <f t="shared" si="195"/>
        <v>0</v>
      </c>
      <c r="BH113" s="167">
        <f t="shared" ref="BH113" si="196">SUM(BH114:BH117)</f>
        <v>0</v>
      </c>
    </row>
    <row r="114" spans="2:60" x14ac:dyDescent="0.25">
      <c r="B114" s="228">
        <v>521211</v>
      </c>
      <c r="C114" s="164" t="s">
        <v>7</v>
      </c>
      <c r="D114" s="164"/>
      <c r="E114" s="164"/>
      <c r="F114" s="165">
        <v>0</v>
      </c>
      <c r="G114" s="165">
        <v>118575000</v>
      </c>
      <c r="H114" s="165"/>
      <c r="I114" s="165">
        <f t="shared" ref="I114:I117" si="197">G114-F114</f>
        <v>118575000</v>
      </c>
      <c r="J114" s="165"/>
      <c r="K114" s="165"/>
      <c r="L114" s="165"/>
      <c r="M114" s="165"/>
      <c r="N114" s="165"/>
      <c r="O114" s="165"/>
      <c r="P114" s="165"/>
      <c r="Q114" s="165"/>
      <c r="R114" s="165"/>
      <c r="S114" s="165"/>
      <c r="T114" s="165"/>
      <c r="U114" s="165"/>
      <c r="V114" s="165"/>
      <c r="W114" s="165"/>
      <c r="X114" s="165"/>
      <c r="Y114" s="165"/>
      <c r="Z114" s="165"/>
      <c r="AA114" s="165"/>
      <c r="AB114" s="165"/>
      <c r="AC114" s="165"/>
      <c r="AD114" s="165"/>
      <c r="AE114" s="165"/>
      <c r="AF114" s="165"/>
      <c r="AG114" s="165"/>
      <c r="AH114" s="165"/>
      <c r="AI114" s="165"/>
      <c r="AJ114" s="165"/>
      <c r="AK114" s="165"/>
      <c r="AL114" s="165"/>
      <c r="AM114" s="165"/>
      <c r="AN114" s="165"/>
      <c r="AO114" s="165"/>
      <c r="AP114" s="165"/>
      <c r="AQ114" s="165"/>
      <c r="AR114" s="165"/>
      <c r="AS114" s="165"/>
      <c r="AT114" s="165">
        <f t="shared" si="139"/>
        <v>0</v>
      </c>
      <c r="AU114" s="168">
        <f t="shared" si="140"/>
        <v>0</v>
      </c>
      <c r="AV114" s="169">
        <f t="shared" si="141"/>
        <v>0</v>
      </c>
      <c r="AW114" s="168" t="e">
        <f t="shared" si="142"/>
        <v>#DIV/0!</v>
      </c>
      <c r="AX114" s="164" t="s">
        <v>531</v>
      </c>
      <c r="AY114" s="164" t="s">
        <v>534</v>
      </c>
      <c r="AZ114" s="164" t="s">
        <v>3921</v>
      </c>
      <c r="BA114" s="165"/>
      <c r="BB114" s="165"/>
      <c r="BC114" s="240"/>
      <c r="BD114" s="165"/>
      <c r="BE114" s="165"/>
      <c r="BF114" s="165"/>
      <c r="BG114" s="165"/>
      <c r="BH114" s="165"/>
    </row>
    <row r="115" spans="2:60" x14ac:dyDescent="0.25">
      <c r="B115" s="228">
        <v>521219</v>
      </c>
      <c r="C115" s="164" t="s">
        <v>53</v>
      </c>
      <c r="D115" s="164"/>
      <c r="E115" s="164"/>
      <c r="F115" s="165">
        <v>0</v>
      </c>
      <c r="G115" s="165">
        <v>393200000</v>
      </c>
      <c r="H115" s="165"/>
      <c r="I115" s="165">
        <f t="shared" si="197"/>
        <v>393200000</v>
      </c>
      <c r="J115" s="165"/>
      <c r="K115" s="165"/>
      <c r="L115" s="165"/>
      <c r="M115" s="165"/>
      <c r="N115" s="165"/>
      <c r="O115" s="165"/>
      <c r="P115" s="165"/>
      <c r="Q115" s="165"/>
      <c r="R115" s="165"/>
      <c r="S115" s="165"/>
      <c r="T115" s="165"/>
      <c r="U115" s="165"/>
      <c r="V115" s="165"/>
      <c r="W115" s="165"/>
      <c r="X115" s="165"/>
      <c r="Y115" s="165"/>
      <c r="Z115" s="165"/>
      <c r="AA115" s="165"/>
      <c r="AB115" s="165"/>
      <c r="AC115" s="165"/>
      <c r="AD115" s="165"/>
      <c r="AE115" s="165"/>
      <c r="AF115" s="165"/>
      <c r="AG115" s="165"/>
      <c r="AH115" s="165"/>
      <c r="AI115" s="165"/>
      <c r="AJ115" s="165"/>
      <c r="AK115" s="165"/>
      <c r="AL115" s="165"/>
      <c r="AM115" s="165"/>
      <c r="AN115" s="165"/>
      <c r="AO115" s="165"/>
      <c r="AP115" s="165"/>
      <c r="AQ115" s="165"/>
      <c r="AR115" s="165"/>
      <c r="AS115" s="165"/>
      <c r="AT115" s="165">
        <f t="shared" si="139"/>
        <v>0</v>
      </c>
      <c r="AU115" s="168">
        <f t="shared" si="140"/>
        <v>0</v>
      </c>
      <c r="AV115" s="169">
        <f t="shared" si="141"/>
        <v>0</v>
      </c>
      <c r="AW115" s="168" t="e">
        <f t="shared" si="142"/>
        <v>#DIV/0!</v>
      </c>
      <c r="AX115" s="164" t="s">
        <v>531</v>
      </c>
      <c r="AY115" s="164" t="s">
        <v>534</v>
      </c>
      <c r="AZ115" s="164" t="s">
        <v>3921</v>
      </c>
      <c r="BA115" s="165"/>
      <c r="BB115" s="165"/>
      <c r="BC115" s="240"/>
      <c r="BD115" s="165"/>
      <c r="BE115" s="165"/>
      <c r="BF115" s="165"/>
      <c r="BG115" s="165"/>
      <c r="BH115" s="165"/>
    </row>
    <row r="116" spans="2:60" x14ac:dyDescent="0.25">
      <c r="B116" s="228">
        <v>522141</v>
      </c>
      <c r="C116" s="164" t="s">
        <v>95</v>
      </c>
      <c r="D116" s="164"/>
      <c r="E116" s="164"/>
      <c r="F116" s="165">
        <v>0</v>
      </c>
      <c r="G116" s="165">
        <v>120000000</v>
      </c>
      <c r="H116" s="165"/>
      <c r="I116" s="165">
        <f t="shared" si="197"/>
        <v>120000000</v>
      </c>
      <c r="J116" s="165"/>
      <c r="K116" s="165"/>
      <c r="L116" s="165"/>
      <c r="M116" s="165"/>
      <c r="N116" s="165"/>
      <c r="O116" s="165"/>
      <c r="P116" s="165"/>
      <c r="Q116" s="165"/>
      <c r="R116" s="165"/>
      <c r="S116" s="165"/>
      <c r="T116" s="165"/>
      <c r="U116" s="165"/>
      <c r="V116" s="165"/>
      <c r="W116" s="165"/>
      <c r="X116" s="165"/>
      <c r="Y116" s="165"/>
      <c r="Z116" s="165"/>
      <c r="AA116" s="165"/>
      <c r="AB116" s="165"/>
      <c r="AC116" s="165"/>
      <c r="AD116" s="165"/>
      <c r="AE116" s="165"/>
      <c r="AF116" s="165"/>
      <c r="AG116" s="165"/>
      <c r="AH116" s="165"/>
      <c r="AI116" s="165"/>
      <c r="AJ116" s="165"/>
      <c r="AK116" s="165"/>
      <c r="AL116" s="165"/>
      <c r="AM116" s="165"/>
      <c r="AN116" s="165"/>
      <c r="AO116" s="165"/>
      <c r="AP116" s="165"/>
      <c r="AQ116" s="165"/>
      <c r="AR116" s="165"/>
      <c r="AS116" s="165"/>
      <c r="AT116" s="165">
        <f t="shared" si="139"/>
        <v>0</v>
      </c>
      <c r="AU116" s="168">
        <f t="shared" si="140"/>
        <v>0</v>
      </c>
      <c r="AV116" s="169">
        <f>F116-AT116</f>
        <v>0</v>
      </c>
      <c r="AW116" s="168" t="e">
        <f t="shared" si="142"/>
        <v>#DIV/0!</v>
      </c>
      <c r="AX116" s="164" t="s">
        <v>531</v>
      </c>
      <c r="AY116" s="164" t="s">
        <v>534</v>
      </c>
      <c r="AZ116" s="164" t="s">
        <v>3921</v>
      </c>
      <c r="BA116" s="165"/>
      <c r="BB116" s="165"/>
      <c r="BC116" s="240"/>
      <c r="BD116" s="165"/>
      <c r="BE116" s="165"/>
      <c r="BF116" s="165"/>
      <c r="BG116" s="165"/>
      <c r="BH116" s="165"/>
    </row>
    <row r="117" spans="2:60" x14ac:dyDescent="0.25">
      <c r="B117" s="228">
        <v>524111</v>
      </c>
      <c r="C117" s="164" t="s">
        <v>19</v>
      </c>
      <c r="D117" s="164"/>
      <c r="E117" s="164"/>
      <c r="F117" s="165">
        <v>0</v>
      </c>
      <c r="G117" s="165">
        <v>7962000</v>
      </c>
      <c r="H117" s="165"/>
      <c r="I117" s="165">
        <f t="shared" si="197"/>
        <v>7962000</v>
      </c>
      <c r="J117" s="165"/>
      <c r="K117" s="165"/>
      <c r="L117" s="165"/>
      <c r="M117" s="165"/>
      <c r="N117" s="165"/>
      <c r="O117" s="165"/>
      <c r="P117" s="165"/>
      <c r="Q117" s="165"/>
      <c r="R117" s="165"/>
      <c r="S117" s="165"/>
      <c r="T117" s="165"/>
      <c r="U117" s="165"/>
      <c r="V117" s="165"/>
      <c r="W117" s="165"/>
      <c r="X117" s="165"/>
      <c r="Y117" s="165"/>
      <c r="Z117" s="165"/>
      <c r="AA117" s="165"/>
      <c r="AB117" s="165"/>
      <c r="AC117" s="165"/>
      <c r="AD117" s="165"/>
      <c r="AE117" s="165"/>
      <c r="AF117" s="165"/>
      <c r="AG117" s="165"/>
      <c r="AH117" s="165"/>
      <c r="AI117" s="165"/>
      <c r="AJ117" s="165"/>
      <c r="AK117" s="165"/>
      <c r="AL117" s="165"/>
      <c r="AM117" s="165"/>
      <c r="AN117" s="165"/>
      <c r="AO117" s="165"/>
      <c r="AP117" s="165"/>
      <c r="AQ117" s="165"/>
      <c r="AR117" s="165"/>
      <c r="AS117" s="165"/>
      <c r="AT117" s="165">
        <f t="shared" si="139"/>
        <v>0</v>
      </c>
      <c r="AU117" s="168">
        <f t="shared" si="140"/>
        <v>0</v>
      </c>
      <c r="AV117" s="169">
        <f t="shared" si="141"/>
        <v>0</v>
      </c>
      <c r="AW117" s="168" t="e">
        <f t="shared" si="142"/>
        <v>#DIV/0!</v>
      </c>
      <c r="AX117" s="164" t="s">
        <v>531</v>
      </c>
      <c r="AY117" s="164" t="s">
        <v>534</v>
      </c>
      <c r="AZ117" s="164" t="s">
        <v>3921</v>
      </c>
      <c r="BA117" s="165"/>
      <c r="BB117" s="165"/>
      <c r="BC117" s="240"/>
      <c r="BD117" s="165"/>
      <c r="BE117" s="165"/>
      <c r="BF117" s="165"/>
      <c r="BG117" s="165"/>
      <c r="BH117" s="165"/>
    </row>
    <row r="118" spans="2:60" x14ac:dyDescent="0.25">
      <c r="B118" s="230" t="s">
        <v>581</v>
      </c>
      <c r="C118" s="166" t="s">
        <v>1537</v>
      </c>
      <c r="D118" s="166"/>
      <c r="E118" s="166"/>
      <c r="F118" s="167">
        <f>SUM(F119:F122)</f>
        <v>110263000</v>
      </c>
      <c r="G118" s="167">
        <f>SUM(G119:G122)</f>
        <v>110263000</v>
      </c>
      <c r="H118" s="167">
        <f>SUM(H119:H122)</f>
        <v>0</v>
      </c>
      <c r="I118" s="167">
        <f>SUM(I119:I122)</f>
        <v>0</v>
      </c>
      <c r="J118" s="167">
        <f t="shared" ref="J118:AS118" si="198">SUM(J119:J122)</f>
        <v>0</v>
      </c>
      <c r="K118" s="167">
        <f t="shared" si="198"/>
        <v>0</v>
      </c>
      <c r="L118" s="167">
        <f t="shared" si="198"/>
        <v>0</v>
      </c>
      <c r="M118" s="167">
        <f t="shared" si="198"/>
        <v>0</v>
      </c>
      <c r="N118" s="167">
        <f t="shared" si="198"/>
        <v>0</v>
      </c>
      <c r="O118" s="167">
        <f t="shared" si="198"/>
        <v>0</v>
      </c>
      <c r="P118" s="167">
        <f t="shared" si="198"/>
        <v>0</v>
      </c>
      <c r="Q118" s="167">
        <f t="shared" si="198"/>
        <v>9200000</v>
      </c>
      <c r="R118" s="167">
        <f t="shared" si="198"/>
        <v>18676000</v>
      </c>
      <c r="S118" s="167">
        <f t="shared" si="198"/>
        <v>0</v>
      </c>
      <c r="T118" s="167">
        <f t="shared" si="198"/>
        <v>0</v>
      </c>
      <c r="U118" s="167">
        <f t="shared" si="198"/>
        <v>0</v>
      </c>
      <c r="V118" s="167">
        <f t="shared" si="198"/>
        <v>0</v>
      </c>
      <c r="W118" s="167">
        <f t="shared" si="198"/>
        <v>528000</v>
      </c>
      <c r="X118" s="167">
        <f t="shared" si="198"/>
        <v>20747000</v>
      </c>
      <c r="Y118" s="167">
        <f t="shared" si="198"/>
        <v>0</v>
      </c>
      <c r="Z118" s="167">
        <f t="shared" si="198"/>
        <v>0</v>
      </c>
      <c r="AA118" s="167">
        <f t="shared" si="198"/>
        <v>0</v>
      </c>
      <c r="AB118" s="167">
        <f t="shared" si="198"/>
        <v>0</v>
      </c>
      <c r="AC118" s="167">
        <f t="shared" si="198"/>
        <v>0</v>
      </c>
      <c r="AD118" s="167">
        <f t="shared" si="198"/>
        <v>0</v>
      </c>
      <c r="AE118" s="167">
        <f t="shared" si="198"/>
        <v>0</v>
      </c>
      <c r="AF118" s="167">
        <f t="shared" si="198"/>
        <v>0</v>
      </c>
      <c r="AG118" s="167">
        <f t="shared" si="198"/>
        <v>0</v>
      </c>
      <c r="AH118" s="167">
        <f t="shared" si="198"/>
        <v>0</v>
      </c>
      <c r="AI118" s="167">
        <f t="shared" si="198"/>
        <v>0</v>
      </c>
      <c r="AJ118" s="167">
        <f t="shared" si="198"/>
        <v>0</v>
      </c>
      <c r="AK118" s="167">
        <f t="shared" si="198"/>
        <v>0</v>
      </c>
      <c r="AL118" s="167">
        <f t="shared" si="198"/>
        <v>0</v>
      </c>
      <c r="AM118" s="167">
        <f t="shared" si="198"/>
        <v>0</v>
      </c>
      <c r="AN118" s="167">
        <f t="shared" si="198"/>
        <v>0</v>
      </c>
      <c r="AO118" s="167">
        <f t="shared" si="198"/>
        <v>0</v>
      </c>
      <c r="AP118" s="167">
        <f t="shared" si="198"/>
        <v>0</v>
      </c>
      <c r="AQ118" s="167">
        <f t="shared" si="198"/>
        <v>0</v>
      </c>
      <c r="AR118" s="167">
        <f t="shared" si="198"/>
        <v>0</v>
      </c>
      <c r="AS118" s="167">
        <f t="shared" si="198"/>
        <v>0</v>
      </c>
      <c r="AT118" s="167">
        <f t="shared" si="139"/>
        <v>49151000</v>
      </c>
      <c r="AU118" s="175">
        <f t="shared" si="140"/>
        <v>44.576149751049762</v>
      </c>
      <c r="AV118" s="176">
        <f t="shared" si="141"/>
        <v>61112000</v>
      </c>
      <c r="AW118" s="175">
        <f t="shared" si="142"/>
        <v>55.423850248950238</v>
      </c>
      <c r="AX118" s="164" t="s">
        <v>531</v>
      </c>
      <c r="AY118" s="164" t="s">
        <v>534</v>
      </c>
      <c r="AZ118" s="164" t="s">
        <v>3921</v>
      </c>
      <c r="BA118" s="167">
        <f t="shared" ref="BA118:BD118" si="199">SUM(BA119:BA122)</f>
        <v>0</v>
      </c>
      <c r="BB118" s="167">
        <f t="shared" si="199"/>
        <v>18676000</v>
      </c>
      <c r="BC118" s="167">
        <f t="shared" si="199"/>
        <v>9200000</v>
      </c>
      <c r="BD118" s="167">
        <f t="shared" si="199"/>
        <v>0</v>
      </c>
      <c r="BE118" s="167">
        <f t="shared" ref="BE118" si="200">SUM(BE119:BE122)</f>
        <v>0</v>
      </c>
      <c r="BF118" s="167">
        <f t="shared" ref="BF118:BG118" si="201">SUM(BF119:BF122)</f>
        <v>528000</v>
      </c>
      <c r="BG118" s="167">
        <f t="shared" si="201"/>
        <v>20747000</v>
      </c>
      <c r="BH118" s="167">
        <f t="shared" ref="BH118" si="202">SUM(BH119:BH122)</f>
        <v>0</v>
      </c>
    </row>
    <row r="119" spans="2:60" x14ac:dyDescent="0.25">
      <c r="B119" s="228">
        <v>521211</v>
      </c>
      <c r="C119" s="164" t="s">
        <v>7</v>
      </c>
      <c r="D119" s="164"/>
      <c r="E119" s="164"/>
      <c r="F119" s="165">
        <v>17550000</v>
      </c>
      <c r="G119" s="165">
        <v>17550000</v>
      </c>
      <c r="H119" s="165"/>
      <c r="I119" s="165">
        <f t="shared" ref="I119:I122" si="203">G119-F119</f>
        <v>0</v>
      </c>
      <c r="J119" s="165"/>
      <c r="K119" s="165"/>
      <c r="L119" s="165"/>
      <c r="M119" s="165"/>
      <c r="N119" s="165"/>
      <c r="O119" s="165"/>
      <c r="P119" s="165"/>
      <c r="Q119" s="240"/>
      <c r="R119" s="165">
        <v>2444000</v>
      </c>
      <c r="S119" s="165"/>
      <c r="T119" s="165"/>
      <c r="U119" s="165"/>
      <c r="V119" s="165"/>
      <c r="W119" s="165">
        <v>528000</v>
      </c>
      <c r="X119" s="165">
        <v>6497000</v>
      </c>
      <c r="Y119" s="165"/>
      <c r="Z119" s="165"/>
      <c r="AA119" s="165"/>
      <c r="AB119" s="165"/>
      <c r="AC119" s="165"/>
      <c r="AD119" s="165"/>
      <c r="AE119" s="165"/>
      <c r="AF119" s="165"/>
      <c r="AG119" s="165"/>
      <c r="AH119" s="165"/>
      <c r="AI119" s="165"/>
      <c r="AJ119" s="165"/>
      <c r="AK119" s="165"/>
      <c r="AL119" s="165"/>
      <c r="AM119" s="165"/>
      <c r="AN119" s="165"/>
      <c r="AO119" s="165"/>
      <c r="AP119" s="165"/>
      <c r="AQ119" s="165"/>
      <c r="AR119" s="165"/>
      <c r="AS119" s="165"/>
      <c r="AT119" s="165">
        <f t="shared" si="139"/>
        <v>9469000</v>
      </c>
      <c r="AU119" s="168">
        <f t="shared" si="140"/>
        <v>53.954415954415957</v>
      </c>
      <c r="AV119" s="169">
        <f t="shared" si="141"/>
        <v>8081000</v>
      </c>
      <c r="AW119" s="168">
        <f t="shared" si="142"/>
        <v>46.04558404558405</v>
      </c>
      <c r="AX119" s="164" t="s">
        <v>531</v>
      </c>
      <c r="AY119" s="164" t="s">
        <v>534</v>
      </c>
      <c r="AZ119" s="164" t="s">
        <v>3921</v>
      </c>
      <c r="BA119" s="165"/>
      <c r="BB119" s="165">
        <v>2444000</v>
      </c>
      <c r="BC119" s="240"/>
      <c r="BD119" s="165"/>
      <c r="BE119" s="165"/>
      <c r="BF119" s="165">
        <v>528000</v>
      </c>
      <c r="BG119" s="165">
        <v>6497000</v>
      </c>
      <c r="BH119" s="165"/>
    </row>
    <row r="120" spans="2:60" x14ac:dyDescent="0.25">
      <c r="B120" s="228">
        <v>521219</v>
      </c>
      <c r="C120" s="164" t="s">
        <v>53</v>
      </c>
      <c r="D120" s="164"/>
      <c r="E120" s="164"/>
      <c r="F120" s="165">
        <v>27651000</v>
      </c>
      <c r="G120" s="165">
        <v>27651000</v>
      </c>
      <c r="H120" s="165"/>
      <c r="I120" s="165">
        <f t="shared" si="203"/>
        <v>0</v>
      </c>
      <c r="J120" s="165"/>
      <c r="K120" s="165"/>
      <c r="L120" s="165"/>
      <c r="M120" s="165"/>
      <c r="N120" s="165"/>
      <c r="O120" s="165"/>
      <c r="P120" s="165"/>
      <c r="Q120" s="240">
        <v>120000</v>
      </c>
      <c r="R120" s="165">
        <v>250000</v>
      </c>
      <c r="S120" s="165"/>
      <c r="T120" s="165"/>
      <c r="U120" s="165"/>
      <c r="V120" s="165"/>
      <c r="W120" s="165"/>
      <c r="X120" s="165">
        <v>250000</v>
      </c>
      <c r="Y120" s="165"/>
      <c r="Z120" s="165"/>
      <c r="AA120" s="165"/>
      <c r="AB120" s="165"/>
      <c r="AC120" s="165"/>
      <c r="AD120" s="165"/>
      <c r="AE120" s="165"/>
      <c r="AF120" s="165"/>
      <c r="AG120" s="165"/>
      <c r="AH120" s="165"/>
      <c r="AI120" s="165"/>
      <c r="AJ120" s="165"/>
      <c r="AK120" s="165"/>
      <c r="AL120" s="165"/>
      <c r="AM120" s="165"/>
      <c r="AN120" s="165"/>
      <c r="AO120" s="165"/>
      <c r="AP120" s="165"/>
      <c r="AQ120" s="165"/>
      <c r="AR120" s="165"/>
      <c r="AS120" s="165"/>
      <c r="AT120" s="165">
        <f t="shared" si="139"/>
        <v>620000</v>
      </c>
      <c r="AU120" s="168">
        <f t="shared" si="140"/>
        <v>2.2422335539401832</v>
      </c>
      <c r="AV120" s="169">
        <f t="shared" si="141"/>
        <v>27031000</v>
      </c>
      <c r="AW120" s="168">
        <f t="shared" si="142"/>
        <v>97.757766446059819</v>
      </c>
      <c r="AX120" s="164" t="s">
        <v>531</v>
      </c>
      <c r="AY120" s="164" t="s">
        <v>534</v>
      </c>
      <c r="AZ120" s="319" t="s">
        <v>3921</v>
      </c>
      <c r="BA120" s="165"/>
      <c r="BB120" s="165">
        <v>250000</v>
      </c>
      <c r="BC120" s="240">
        <v>120000</v>
      </c>
      <c r="BD120" s="165"/>
      <c r="BE120" s="165"/>
      <c r="BF120" s="165"/>
      <c r="BG120" s="165">
        <v>250000</v>
      </c>
      <c r="BH120" s="165"/>
    </row>
    <row r="121" spans="2:60" x14ac:dyDescent="0.25">
      <c r="B121" s="228">
        <v>522151</v>
      </c>
      <c r="C121" s="164" t="s">
        <v>11</v>
      </c>
      <c r="D121" s="164"/>
      <c r="E121" s="164"/>
      <c r="F121" s="165">
        <v>40000000</v>
      </c>
      <c r="G121" s="165">
        <v>40000000</v>
      </c>
      <c r="H121" s="165"/>
      <c r="I121" s="165">
        <f t="shared" si="203"/>
        <v>0</v>
      </c>
      <c r="J121" s="165"/>
      <c r="K121" s="165"/>
      <c r="L121" s="165"/>
      <c r="M121" s="165"/>
      <c r="N121" s="165"/>
      <c r="O121" s="165"/>
      <c r="P121" s="165"/>
      <c r="Q121" s="165"/>
      <c r="R121" s="165"/>
      <c r="S121" s="165"/>
      <c r="T121" s="165"/>
      <c r="U121" s="165"/>
      <c r="V121" s="165"/>
      <c r="W121" s="165"/>
      <c r="X121" s="165">
        <v>14000000</v>
      </c>
      <c r="Y121" s="165"/>
      <c r="Z121" s="165"/>
      <c r="AA121" s="165"/>
      <c r="AB121" s="165"/>
      <c r="AC121" s="165"/>
      <c r="AD121" s="165"/>
      <c r="AE121" s="165"/>
      <c r="AF121" s="165"/>
      <c r="AG121" s="165"/>
      <c r="AH121" s="165"/>
      <c r="AI121" s="165"/>
      <c r="AJ121" s="165"/>
      <c r="AK121" s="165"/>
      <c r="AL121" s="165"/>
      <c r="AM121" s="165"/>
      <c r="AN121" s="165"/>
      <c r="AO121" s="165"/>
      <c r="AP121" s="165"/>
      <c r="AQ121" s="165"/>
      <c r="AR121" s="165"/>
      <c r="AS121" s="165"/>
      <c r="AT121" s="165">
        <f t="shared" si="139"/>
        <v>14000000</v>
      </c>
      <c r="AU121" s="168">
        <f t="shared" si="140"/>
        <v>35</v>
      </c>
      <c r="AV121" s="169">
        <f>F121-AT121</f>
        <v>26000000</v>
      </c>
      <c r="AW121" s="168">
        <f t="shared" si="142"/>
        <v>65</v>
      </c>
      <c r="AX121" s="164" t="s">
        <v>531</v>
      </c>
      <c r="AY121" s="164" t="s">
        <v>534</v>
      </c>
      <c r="AZ121" s="164" t="s">
        <v>3921</v>
      </c>
      <c r="BA121" s="165"/>
      <c r="BB121" s="165"/>
      <c r="BC121" s="240"/>
      <c r="BD121" s="165"/>
      <c r="BE121" s="165"/>
      <c r="BF121" s="165"/>
      <c r="BG121" s="165">
        <v>14000000</v>
      </c>
      <c r="BH121" s="165"/>
    </row>
    <row r="122" spans="2:60" x14ac:dyDescent="0.25">
      <c r="B122" s="228">
        <v>524111</v>
      </c>
      <c r="C122" s="164" t="s">
        <v>19</v>
      </c>
      <c r="D122" s="164"/>
      <c r="E122" s="164"/>
      <c r="F122" s="165">
        <v>25062000</v>
      </c>
      <c r="G122" s="165">
        <v>25062000</v>
      </c>
      <c r="H122" s="165"/>
      <c r="I122" s="165">
        <f t="shared" si="203"/>
        <v>0</v>
      </c>
      <c r="J122" s="165"/>
      <c r="K122" s="165"/>
      <c r="L122" s="165"/>
      <c r="M122" s="165"/>
      <c r="N122" s="165"/>
      <c r="O122" s="165"/>
      <c r="P122" s="165"/>
      <c r="Q122" s="240">
        <v>9080000</v>
      </c>
      <c r="R122" s="165">
        <v>15982000</v>
      </c>
      <c r="S122" s="165"/>
      <c r="T122" s="165"/>
      <c r="U122" s="165"/>
      <c r="V122" s="165"/>
      <c r="W122" s="165"/>
      <c r="X122" s="165"/>
      <c r="Y122" s="165"/>
      <c r="Z122" s="165"/>
      <c r="AA122" s="165"/>
      <c r="AB122" s="165"/>
      <c r="AC122" s="165"/>
      <c r="AD122" s="165"/>
      <c r="AE122" s="165"/>
      <c r="AF122" s="165"/>
      <c r="AG122" s="165"/>
      <c r="AH122" s="165"/>
      <c r="AI122" s="165"/>
      <c r="AJ122" s="165"/>
      <c r="AK122" s="165"/>
      <c r="AL122" s="165"/>
      <c r="AM122" s="165"/>
      <c r="AN122" s="165"/>
      <c r="AO122" s="165"/>
      <c r="AP122" s="165"/>
      <c r="AQ122" s="165"/>
      <c r="AR122" s="165"/>
      <c r="AS122" s="165"/>
      <c r="AT122" s="165">
        <f t="shared" si="139"/>
        <v>25062000</v>
      </c>
      <c r="AU122" s="168">
        <f t="shared" si="140"/>
        <v>100</v>
      </c>
      <c r="AV122" s="169">
        <f t="shared" si="141"/>
        <v>0</v>
      </c>
      <c r="AW122" s="168">
        <f t="shared" si="142"/>
        <v>0</v>
      </c>
      <c r="AX122" s="164" t="s">
        <v>531</v>
      </c>
      <c r="AY122" s="164" t="s">
        <v>534</v>
      </c>
      <c r="AZ122" s="164" t="s">
        <v>3921</v>
      </c>
      <c r="BA122" s="165"/>
      <c r="BB122" s="165">
        <v>15982000</v>
      </c>
      <c r="BC122" s="240">
        <v>9080000</v>
      </c>
      <c r="BD122" s="165"/>
      <c r="BE122" s="165"/>
      <c r="BF122" s="165"/>
      <c r="BG122" s="165"/>
      <c r="BH122" s="165"/>
    </row>
    <row r="123" spans="2:60" x14ac:dyDescent="0.25">
      <c r="B123" s="170" t="s">
        <v>3673</v>
      </c>
      <c r="C123" s="171" t="s">
        <v>1701</v>
      </c>
      <c r="D123" s="171">
        <v>1</v>
      </c>
      <c r="E123" s="171" t="s">
        <v>3627</v>
      </c>
      <c r="F123" s="172">
        <f>F124</f>
        <v>2195658000</v>
      </c>
      <c r="G123" s="172">
        <f>G124</f>
        <v>2195658000</v>
      </c>
      <c r="H123" s="172">
        <f>H124</f>
        <v>100000000</v>
      </c>
      <c r="I123" s="172">
        <f>I124</f>
        <v>0</v>
      </c>
      <c r="J123" s="172">
        <f t="shared" ref="J123:AS123" si="204">J124</f>
        <v>0</v>
      </c>
      <c r="K123" s="172">
        <f t="shared" si="204"/>
        <v>0</v>
      </c>
      <c r="L123" s="172">
        <f t="shared" si="204"/>
        <v>0</v>
      </c>
      <c r="M123" s="172">
        <f t="shared" si="204"/>
        <v>63640000</v>
      </c>
      <c r="N123" s="172">
        <f t="shared" si="204"/>
        <v>0</v>
      </c>
      <c r="O123" s="172">
        <f t="shared" si="204"/>
        <v>0</v>
      </c>
      <c r="P123" s="172">
        <f t="shared" si="204"/>
        <v>63640000</v>
      </c>
      <c r="Q123" s="172">
        <f t="shared" si="204"/>
        <v>49421537</v>
      </c>
      <c r="R123" s="172">
        <f t="shared" si="204"/>
        <v>80540400</v>
      </c>
      <c r="S123" s="172">
        <f t="shared" si="204"/>
        <v>127280000</v>
      </c>
      <c r="T123" s="172">
        <f t="shared" si="204"/>
        <v>35138796</v>
      </c>
      <c r="U123" s="172">
        <f t="shared" si="204"/>
        <v>0</v>
      </c>
      <c r="V123" s="172">
        <f t="shared" si="204"/>
        <v>63640000</v>
      </c>
      <c r="W123" s="172">
        <f t="shared" si="204"/>
        <v>116380908</v>
      </c>
      <c r="X123" s="172">
        <f t="shared" si="204"/>
        <v>0</v>
      </c>
      <c r="Y123" s="172">
        <f t="shared" si="204"/>
        <v>63640000</v>
      </c>
      <c r="Z123" s="172">
        <f t="shared" si="204"/>
        <v>0</v>
      </c>
      <c r="AA123" s="172">
        <f t="shared" si="204"/>
        <v>0</v>
      </c>
      <c r="AB123" s="172">
        <f t="shared" si="204"/>
        <v>0</v>
      </c>
      <c r="AC123" s="172">
        <f t="shared" si="204"/>
        <v>0</v>
      </c>
      <c r="AD123" s="172">
        <f t="shared" si="204"/>
        <v>0</v>
      </c>
      <c r="AE123" s="172">
        <f t="shared" si="204"/>
        <v>0</v>
      </c>
      <c r="AF123" s="172">
        <f t="shared" si="204"/>
        <v>0</v>
      </c>
      <c r="AG123" s="172">
        <f t="shared" si="204"/>
        <v>0</v>
      </c>
      <c r="AH123" s="172">
        <f t="shared" si="204"/>
        <v>0</v>
      </c>
      <c r="AI123" s="172">
        <f t="shared" si="204"/>
        <v>0</v>
      </c>
      <c r="AJ123" s="172">
        <f t="shared" si="204"/>
        <v>0</v>
      </c>
      <c r="AK123" s="172">
        <f t="shared" si="204"/>
        <v>0</v>
      </c>
      <c r="AL123" s="172">
        <f t="shared" si="204"/>
        <v>0</v>
      </c>
      <c r="AM123" s="172">
        <f t="shared" si="204"/>
        <v>0</v>
      </c>
      <c r="AN123" s="172">
        <f t="shared" si="204"/>
        <v>0</v>
      </c>
      <c r="AO123" s="172">
        <f t="shared" si="204"/>
        <v>0</v>
      </c>
      <c r="AP123" s="172">
        <f t="shared" si="204"/>
        <v>0</v>
      </c>
      <c r="AQ123" s="172">
        <f t="shared" si="204"/>
        <v>0</v>
      </c>
      <c r="AR123" s="172">
        <f t="shared" si="204"/>
        <v>0</v>
      </c>
      <c r="AS123" s="172">
        <f t="shared" si="204"/>
        <v>0</v>
      </c>
      <c r="AT123" s="172">
        <f>SUM(J123:AS123)</f>
        <v>663321641</v>
      </c>
      <c r="AU123" s="173">
        <f t="shared" si="140"/>
        <v>30.210608437197411</v>
      </c>
      <c r="AV123" s="174">
        <f>F123-AT123</f>
        <v>1532336359</v>
      </c>
      <c r="AW123" s="173">
        <f>AV123/F123*100</f>
        <v>69.789391562802578</v>
      </c>
      <c r="AX123" s="164" t="s">
        <v>576</v>
      </c>
      <c r="AY123" s="164" t="s">
        <v>560</v>
      </c>
      <c r="AZ123" s="164" t="s">
        <v>3999</v>
      </c>
      <c r="BA123" s="172">
        <f t="shared" ref="BA123:BH123" si="205">BA124</f>
        <v>40653115</v>
      </c>
      <c r="BB123" s="172">
        <f t="shared" si="205"/>
        <v>80540400</v>
      </c>
      <c r="BC123" s="172">
        <f t="shared" si="205"/>
        <v>8768422</v>
      </c>
      <c r="BD123" s="172">
        <f t="shared" si="205"/>
        <v>35138796</v>
      </c>
      <c r="BE123" s="172">
        <f t="shared" si="205"/>
        <v>64950711</v>
      </c>
      <c r="BF123" s="172">
        <f t="shared" si="205"/>
        <v>51430197</v>
      </c>
      <c r="BG123" s="172">
        <f t="shared" si="205"/>
        <v>0</v>
      </c>
      <c r="BH123" s="172">
        <f t="shared" si="205"/>
        <v>0</v>
      </c>
    </row>
    <row r="124" spans="2:60" x14ac:dyDescent="0.25">
      <c r="B124" s="170" t="s">
        <v>557</v>
      </c>
      <c r="C124" s="171" t="s">
        <v>89</v>
      </c>
      <c r="D124" s="171"/>
      <c r="E124" s="171"/>
      <c r="F124" s="172">
        <f>F125+F128+F131+F134+F137</f>
        <v>2195658000</v>
      </c>
      <c r="G124" s="172">
        <f>G125+G128+G131+G134+G137</f>
        <v>2195658000</v>
      </c>
      <c r="H124" s="172">
        <f>H125+H128+H131+H134+H137</f>
        <v>100000000</v>
      </c>
      <c r="I124" s="172">
        <f>I125+I128+I131+I134+I137</f>
        <v>0</v>
      </c>
      <c r="J124" s="172">
        <f t="shared" ref="J124:AS124" si="206">J125+J128+J131+J134+J137</f>
        <v>0</v>
      </c>
      <c r="K124" s="172">
        <f t="shared" si="206"/>
        <v>0</v>
      </c>
      <c r="L124" s="172">
        <f t="shared" si="206"/>
        <v>0</v>
      </c>
      <c r="M124" s="172">
        <f t="shared" si="206"/>
        <v>63640000</v>
      </c>
      <c r="N124" s="172">
        <f t="shared" si="206"/>
        <v>0</v>
      </c>
      <c r="O124" s="172">
        <f t="shared" si="206"/>
        <v>0</v>
      </c>
      <c r="P124" s="172">
        <f t="shared" si="206"/>
        <v>63640000</v>
      </c>
      <c r="Q124" s="172">
        <f t="shared" si="206"/>
        <v>49421537</v>
      </c>
      <c r="R124" s="172">
        <f t="shared" si="206"/>
        <v>80540400</v>
      </c>
      <c r="S124" s="172">
        <f t="shared" si="206"/>
        <v>127280000</v>
      </c>
      <c r="T124" s="172">
        <f t="shared" si="206"/>
        <v>35138796</v>
      </c>
      <c r="U124" s="172">
        <f t="shared" si="206"/>
        <v>0</v>
      </c>
      <c r="V124" s="172">
        <f t="shared" si="206"/>
        <v>63640000</v>
      </c>
      <c r="W124" s="172">
        <f t="shared" si="206"/>
        <v>116380908</v>
      </c>
      <c r="X124" s="172">
        <f t="shared" si="206"/>
        <v>0</v>
      </c>
      <c r="Y124" s="172">
        <f t="shared" si="206"/>
        <v>63640000</v>
      </c>
      <c r="Z124" s="172">
        <f t="shared" si="206"/>
        <v>0</v>
      </c>
      <c r="AA124" s="172">
        <f t="shared" si="206"/>
        <v>0</v>
      </c>
      <c r="AB124" s="172">
        <f t="shared" si="206"/>
        <v>0</v>
      </c>
      <c r="AC124" s="172">
        <f t="shared" si="206"/>
        <v>0</v>
      </c>
      <c r="AD124" s="172">
        <f t="shared" si="206"/>
        <v>0</v>
      </c>
      <c r="AE124" s="172">
        <f t="shared" si="206"/>
        <v>0</v>
      </c>
      <c r="AF124" s="172">
        <f t="shared" si="206"/>
        <v>0</v>
      </c>
      <c r="AG124" s="172">
        <f t="shared" si="206"/>
        <v>0</v>
      </c>
      <c r="AH124" s="172">
        <f t="shared" si="206"/>
        <v>0</v>
      </c>
      <c r="AI124" s="172">
        <f t="shared" si="206"/>
        <v>0</v>
      </c>
      <c r="AJ124" s="172">
        <f t="shared" si="206"/>
        <v>0</v>
      </c>
      <c r="AK124" s="172">
        <f t="shared" si="206"/>
        <v>0</v>
      </c>
      <c r="AL124" s="172">
        <f t="shared" si="206"/>
        <v>0</v>
      </c>
      <c r="AM124" s="172">
        <f t="shared" si="206"/>
        <v>0</v>
      </c>
      <c r="AN124" s="172">
        <f t="shared" si="206"/>
        <v>0</v>
      </c>
      <c r="AO124" s="172">
        <f t="shared" si="206"/>
        <v>0</v>
      </c>
      <c r="AP124" s="172">
        <f t="shared" si="206"/>
        <v>0</v>
      </c>
      <c r="AQ124" s="172">
        <f t="shared" si="206"/>
        <v>0</v>
      </c>
      <c r="AR124" s="172">
        <f t="shared" si="206"/>
        <v>0</v>
      </c>
      <c r="AS124" s="172">
        <f t="shared" si="206"/>
        <v>0</v>
      </c>
      <c r="AT124" s="172">
        <f>SUM(J124:AS124)</f>
        <v>663321641</v>
      </c>
      <c r="AU124" s="173">
        <f t="shared" si="140"/>
        <v>30.210608437197411</v>
      </c>
      <c r="AV124" s="174">
        <f>F124-AT124</f>
        <v>1532336359</v>
      </c>
      <c r="AW124" s="173">
        <f t="shared" si="142"/>
        <v>69.789391562802578</v>
      </c>
      <c r="AX124" s="164" t="s">
        <v>576</v>
      </c>
      <c r="AY124" s="164" t="s">
        <v>560</v>
      </c>
      <c r="AZ124" s="164" t="s">
        <v>3999</v>
      </c>
      <c r="BA124" s="172">
        <f t="shared" ref="BA124:BC124" si="207">BA125+BA128+BA131+BA134+BA137</f>
        <v>40653115</v>
      </c>
      <c r="BB124" s="172">
        <f t="shared" si="207"/>
        <v>80540400</v>
      </c>
      <c r="BC124" s="172">
        <f t="shared" si="207"/>
        <v>8768422</v>
      </c>
      <c r="BD124" s="172">
        <f t="shared" ref="BD124" si="208">BD125+BD128+BD131+BD134+BD137</f>
        <v>35138796</v>
      </c>
      <c r="BE124" s="172">
        <f t="shared" ref="BE124" si="209">BE125+BE128+BE131+BE134+BE137</f>
        <v>64950711</v>
      </c>
      <c r="BF124" s="172">
        <f t="shared" ref="BF124:BG124" si="210">BF125+BF128+BF131+BF134+BF137</f>
        <v>51430197</v>
      </c>
      <c r="BG124" s="172">
        <f t="shared" si="210"/>
        <v>0</v>
      </c>
      <c r="BH124" s="172">
        <f t="shared" ref="BH124" si="211">BH125+BH128+BH131+BH134+BH137</f>
        <v>0</v>
      </c>
    </row>
    <row r="125" spans="2:60" x14ac:dyDescent="0.25">
      <c r="B125" s="230" t="s">
        <v>1807</v>
      </c>
      <c r="C125" s="166" t="s">
        <v>2171</v>
      </c>
      <c r="D125" s="166"/>
      <c r="E125" s="166"/>
      <c r="F125" s="167">
        <f>SUM(F126:F127)</f>
        <v>1254380000</v>
      </c>
      <c r="G125" s="167">
        <f>SUM(G126:G127)</f>
        <v>1254380000</v>
      </c>
      <c r="H125" s="167">
        <f>SUM(H126:H127)</f>
        <v>0</v>
      </c>
      <c r="I125" s="167">
        <f>SUM(I126:I127)</f>
        <v>0</v>
      </c>
      <c r="J125" s="167">
        <f t="shared" ref="J125:AS125" si="212">SUM(J126:J127)</f>
        <v>0</v>
      </c>
      <c r="K125" s="167">
        <f t="shared" si="212"/>
        <v>0</v>
      </c>
      <c r="L125" s="167">
        <f t="shared" si="212"/>
        <v>0</v>
      </c>
      <c r="M125" s="167">
        <f t="shared" si="212"/>
        <v>63640000</v>
      </c>
      <c r="N125" s="167">
        <f t="shared" si="212"/>
        <v>0</v>
      </c>
      <c r="O125" s="167">
        <f t="shared" si="212"/>
        <v>0</v>
      </c>
      <c r="P125" s="167">
        <f t="shared" si="212"/>
        <v>63640000</v>
      </c>
      <c r="Q125" s="167">
        <f t="shared" si="212"/>
        <v>22203587</v>
      </c>
      <c r="R125" s="167">
        <f t="shared" si="212"/>
        <v>27406900</v>
      </c>
      <c r="S125" s="167">
        <f t="shared" si="212"/>
        <v>127280000</v>
      </c>
      <c r="T125" s="167">
        <f t="shared" si="212"/>
        <v>17187096</v>
      </c>
      <c r="U125" s="167">
        <f t="shared" si="212"/>
        <v>0</v>
      </c>
      <c r="V125" s="167">
        <f t="shared" si="212"/>
        <v>63640000</v>
      </c>
      <c r="W125" s="167">
        <f t="shared" si="212"/>
        <v>39128568</v>
      </c>
      <c r="X125" s="167">
        <f t="shared" si="212"/>
        <v>0</v>
      </c>
      <c r="Y125" s="167">
        <f t="shared" si="212"/>
        <v>63640000</v>
      </c>
      <c r="Z125" s="167">
        <f t="shared" si="212"/>
        <v>0</v>
      </c>
      <c r="AA125" s="167">
        <f t="shared" si="212"/>
        <v>0</v>
      </c>
      <c r="AB125" s="167">
        <f t="shared" si="212"/>
        <v>0</v>
      </c>
      <c r="AC125" s="167">
        <f t="shared" si="212"/>
        <v>0</v>
      </c>
      <c r="AD125" s="167">
        <f t="shared" si="212"/>
        <v>0</v>
      </c>
      <c r="AE125" s="167">
        <f t="shared" si="212"/>
        <v>0</v>
      </c>
      <c r="AF125" s="167">
        <f t="shared" si="212"/>
        <v>0</v>
      </c>
      <c r="AG125" s="167">
        <f t="shared" si="212"/>
        <v>0</v>
      </c>
      <c r="AH125" s="167">
        <f t="shared" si="212"/>
        <v>0</v>
      </c>
      <c r="AI125" s="167">
        <f t="shared" si="212"/>
        <v>0</v>
      </c>
      <c r="AJ125" s="167">
        <f t="shared" si="212"/>
        <v>0</v>
      </c>
      <c r="AK125" s="167">
        <f t="shared" si="212"/>
        <v>0</v>
      </c>
      <c r="AL125" s="167">
        <f t="shared" si="212"/>
        <v>0</v>
      </c>
      <c r="AM125" s="167">
        <f t="shared" si="212"/>
        <v>0</v>
      </c>
      <c r="AN125" s="167">
        <f t="shared" si="212"/>
        <v>0</v>
      </c>
      <c r="AO125" s="167">
        <f t="shared" si="212"/>
        <v>0</v>
      </c>
      <c r="AP125" s="167">
        <f t="shared" si="212"/>
        <v>0</v>
      </c>
      <c r="AQ125" s="167">
        <f t="shared" si="212"/>
        <v>0</v>
      </c>
      <c r="AR125" s="167">
        <f t="shared" si="212"/>
        <v>0</v>
      </c>
      <c r="AS125" s="167">
        <f t="shared" si="212"/>
        <v>0</v>
      </c>
      <c r="AT125" s="167">
        <f>SUM(J125:AS125)</f>
        <v>487766151</v>
      </c>
      <c r="AU125" s="175">
        <f t="shared" si="140"/>
        <v>38.885038903681505</v>
      </c>
      <c r="AV125" s="176">
        <f>F125-AT125</f>
        <v>766613849</v>
      </c>
      <c r="AW125" s="175">
        <f>AV125/F125*100</f>
        <v>61.114961096318495</v>
      </c>
      <c r="AX125" s="164" t="s">
        <v>576</v>
      </c>
      <c r="AY125" s="164" t="s">
        <v>560</v>
      </c>
      <c r="AZ125" s="164" t="s">
        <v>3999</v>
      </c>
      <c r="BA125" s="167">
        <f t="shared" ref="BA125:BC125" si="213">SUM(BA126:BA127)</f>
        <v>15353865</v>
      </c>
      <c r="BB125" s="167">
        <f t="shared" si="213"/>
        <v>27406900</v>
      </c>
      <c r="BC125" s="167">
        <f t="shared" si="213"/>
        <v>6849722</v>
      </c>
      <c r="BD125" s="167">
        <f t="shared" ref="BD125" si="214">SUM(BD126:BD127)</f>
        <v>17187096</v>
      </c>
      <c r="BE125" s="167">
        <f t="shared" ref="BE125" si="215">SUM(BE126:BE127)</f>
        <v>10296711</v>
      </c>
      <c r="BF125" s="167">
        <f t="shared" ref="BF125:BG125" si="216">SUM(BF126:BF127)</f>
        <v>28831857</v>
      </c>
      <c r="BG125" s="167">
        <f t="shared" si="216"/>
        <v>0</v>
      </c>
      <c r="BH125" s="167">
        <f t="shared" ref="BH125" si="217">SUM(BH126:BH127)</f>
        <v>0</v>
      </c>
    </row>
    <row r="126" spans="2:60" x14ac:dyDescent="0.25">
      <c r="B126" s="228">
        <v>521111</v>
      </c>
      <c r="C126" s="164" t="s">
        <v>90</v>
      </c>
      <c r="D126" s="164"/>
      <c r="E126" s="164"/>
      <c r="F126" s="165">
        <v>1076220000</v>
      </c>
      <c r="G126" s="165">
        <v>1076220000</v>
      </c>
      <c r="H126" s="165"/>
      <c r="I126" s="165">
        <f t="shared" ref="I126:I127" si="218">G126-F126</f>
        <v>0</v>
      </c>
      <c r="J126" s="165"/>
      <c r="K126" s="165"/>
      <c r="L126" s="165"/>
      <c r="M126" s="165">
        <v>63640000</v>
      </c>
      <c r="N126" s="165"/>
      <c r="O126" s="165"/>
      <c r="P126" s="165">
        <v>63640000</v>
      </c>
      <c r="Q126" s="165">
        <f>2178865+6849722</f>
        <v>9028587</v>
      </c>
      <c r="R126" s="165">
        <v>8107900</v>
      </c>
      <c r="S126" s="165">
        <f>63640000+63640000</f>
        <v>127280000</v>
      </c>
      <c r="T126" s="165">
        <v>8235096</v>
      </c>
      <c r="U126" s="165"/>
      <c r="V126" s="165">
        <v>63640000</v>
      </c>
      <c r="W126" s="165">
        <f>8616711+7229857</f>
        <v>15846568</v>
      </c>
      <c r="X126" s="165"/>
      <c r="Y126" s="165">
        <v>63640000</v>
      </c>
      <c r="Z126" s="165"/>
      <c r="AA126" s="165"/>
      <c r="AB126" s="165"/>
      <c r="AC126" s="165"/>
      <c r="AD126" s="165"/>
      <c r="AE126" s="165"/>
      <c r="AF126" s="165"/>
      <c r="AG126" s="165"/>
      <c r="AH126" s="165"/>
      <c r="AI126" s="165"/>
      <c r="AJ126" s="165"/>
      <c r="AK126" s="165"/>
      <c r="AL126" s="165"/>
      <c r="AM126" s="165"/>
      <c r="AN126" s="165"/>
      <c r="AO126" s="165"/>
      <c r="AP126" s="165"/>
      <c r="AQ126" s="165"/>
      <c r="AR126" s="165"/>
      <c r="AS126" s="165"/>
      <c r="AT126" s="165">
        <f>SUM(J126:AS126)</f>
        <v>423058151</v>
      </c>
      <c r="AU126" s="168">
        <f t="shared" si="140"/>
        <v>39.309634740108898</v>
      </c>
      <c r="AV126" s="169">
        <f>F126-AT126</f>
        <v>653161849</v>
      </c>
      <c r="AW126" s="168">
        <f>AV126/F126*100</f>
        <v>60.690365259891102</v>
      </c>
      <c r="AX126" s="164" t="s">
        <v>576</v>
      </c>
      <c r="AY126" s="164" t="s">
        <v>560</v>
      </c>
      <c r="AZ126" s="164" t="s">
        <v>3999</v>
      </c>
      <c r="BA126" s="165">
        <v>2178865</v>
      </c>
      <c r="BB126" s="165">
        <v>8107900</v>
      </c>
      <c r="BC126" s="240">
        <v>6849722</v>
      </c>
      <c r="BD126" s="165">
        <v>8235096</v>
      </c>
      <c r="BE126" s="165">
        <v>8616711</v>
      </c>
      <c r="BF126" s="165">
        <v>7229857</v>
      </c>
      <c r="BG126" s="165"/>
      <c r="BH126" s="165"/>
    </row>
    <row r="127" spans="2:60" x14ac:dyDescent="0.25">
      <c r="B127" s="228">
        <v>521811</v>
      </c>
      <c r="C127" s="164" t="s">
        <v>64</v>
      </c>
      <c r="D127" s="164"/>
      <c r="E127" s="164"/>
      <c r="F127" s="165">
        <v>178160000</v>
      </c>
      <c r="G127" s="165">
        <v>178160000</v>
      </c>
      <c r="H127" s="165"/>
      <c r="I127" s="165">
        <f t="shared" si="218"/>
        <v>0</v>
      </c>
      <c r="J127" s="165"/>
      <c r="K127" s="165"/>
      <c r="L127" s="165"/>
      <c r="M127" s="165"/>
      <c r="N127" s="165"/>
      <c r="O127" s="165"/>
      <c r="P127" s="165"/>
      <c r="Q127" s="165">
        <v>13175000</v>
      </c>
      <c r="R127" s="165">
        <v>19299000</v>
      </c>
      <c r="S127" s="165"/>
      <c r="T127" s="165">
        <v>8952000</v>
      </c>
      <c r="U127" s="165"/>
      <c r="V127" s="165"/>
      <c r="W127" s="165">
        <f>1680000+21602000</f>
        <v>23282000</v>
      </c>
      <c r="X127" s="165"/>
      <c r="Y127" s="165"/>
      <c r="Z127" s="165"/>
      <c r="AA127" s="165"/>
      <c r="AB127" s="165"/>
      <c r="AC127" s="165"/>
      <c r="AD127" s="165"/>
      <c r="AE127" s="165"/>
      <c r="AF127" s="165"/>
      <c r="AG127" s="165"/>
      <c r="AH127" s="165"/>
      <c r="AI127" s="165"/>
      <c r="AJ127" s="165"/>
      <c r="AK127" s="165"/>
      <c r="AL127" s="165"/>
      <c r="AM127" s="165"/>
      <c r="AN127" s="165"/>
      <c r="AO127" s="165"/>
      <c r="AP127" s="165"/>
      <c r="AQ127" s="165"/>
      <c r="AR127" s="165"/>
      <c r="AS127" s="165"/>
      <c r="AT127" s="165">
        <f t="shared" si="139"/>
        <v>64708000</v>
      </c>
      <c r="AU127" s="168">
        <f t="shared" si="140"/>
        <v>36.320161652447233</v>
      </c>
      <c r="AV127" s="169">
        <f>F127-AT127</f>
        <v>113452000</v>
      </c>
      <c r="AW127" s="168">
        <f t="shared" si="142"/>
        <v>63.679838347552767</v>
      </c>
      <c r="AX127" s="164" t="s">
        <v>576</v>
      </c>
      <c r="AY127" s="164" t="s">
        <v>560</v>
      </c>
      <c r="AZ127" s="164" t="s">
        <v>3999</v>
      </c>
      <c r="BA127" s="165">
        <v>13175000</v>
      </c>
      <c r="BB127" s="165">
        <v>19299000</v>
      </c>
      <c r="BC127" s="240"/>
      <c r="BD127" s="165">
        <v>8952000</v>
      </c>
      <c r="BE127" s="165">
        <v>1680000</v>
      </c>
      <c r="BF127" s="165">
        <v>21602000</v>
      </c>
      <c r="BG127" s="165"/>
      <c r="BH127" s="165"/>
    </row>
    <row r="128" spans="2:60" x14ac:dyDescent="0.25">
      <c r="B128" s="230" t="s">
        <v>2208</v>
      </c>
      <c r="C128" s="166" t="s">
        <v>2209</v>
      </c>
      <c r="D128" s="166"/>
      <c r="E128" s="166"/>
      <c r="F128" s="167">
        <f t="shared" ref="F128:AS128" si="219">SUM(F129:F130)</f>
        <v>148852000</v>
      </c>
      <c r="G128" s="167">
        <f t="shared" ref="G128:H128" si="220">SUM(G129:G130)</f>
        <v>148852000</v>
      </c>
      <c r="H128" s="167">
        <f t="shared" si="220"/>
        <v>0</v>
      </c>
      <c r="I128" s="167">
        <f t="shared" ref="I128" si="221">SUM(I129:I130)</f>
        <v>0</v>
      </c>
      <c r="J128" s="167">
        <f t="shared" si="219"/>
        <v>0</v>
      </c>
      <c r="K128" s="167">
        <f t="shared" si="219"/>
        <v>0</v>
      </c>
      <c r="L128" s="167">
        <f t="shared" si="219"/>
        <v>0</v>
      </c>
      <c r="M128" s="167">
        <f t="shared" si="219"/>
        <v>0</v>
      </c>
      <c r="N128" s="167">
        <f t="shared" si="219"/>
        <v>0</v>
      </c>
      <c r="O128" s="167">
        <f t="shared" si="219"/>
        <v>0</v>
      </c>
      <c r="P128" s="167">
        <f t="shared" si="219"/>
        <v>0</v>
      </c>
      <c r="Q128" s="167">
        <f t="shared" si="219"/>
        <v>354050</v>
      </c>
      <c r="R128" s="167">
        <f t="shared" si="219"/>
        <v>4950000</v>
      </c>
      <c r="S128" s="167">
        <f t="shared" si="219"/>
        <v>0</v>
      </c>
      <c r="T128" s="167">
        <f t="shared" si="219"/>
        <v>10503000</v>
      </c>
      <c r="U128" s="167">
        <f t="shared" si="219"/>
        <v>0</v>
      </c>
      <c r="V128" s="167">
        <f t="shared" si="219"/>
        <v>0</v>
      </c>
      <c r="W128" s="167">
        <f t="shared" si="219"/>
        <v>6279000</v>
      </c>
      <c r="X128" s="167">
        <f t="shared" si="219"/>
        <v>0</v>
      </c>
      <c r="Y128" s="167">
        <f t="shared" si="219"/>
        <v>0</v>
      </c>
      <c r="Z128" s="167">
        <f t="shared" si="219"/>
        <v>0</v>
      </c>
      <c r="AA128" s="167">
        <f t="shared" si="219"/>
        <v>0</v>
      </c>
      <c r="AB128" s="167">
        <f t="shared" si="219"/>
        <v>0</v>
      </c>
      <c r="AC128" s="167">
        <f t="shared" si="219"/>
        <v>0</v>
      </c>
      <c r="AD128" s="167">
        <f t="shared" si="219"/>
        <v>0</v>
      </c>
      <c r="AE128" s="167">
        <f t="shared" si="219"/>
        <v>0</v>
      </c>
      <c r="AF128" s="167">
        <f t="shared" si="219"/>
        <v>0</v>
      </c>
      <c r="AG128" s="167">
        <f t="shared" si="219"/>
        <v>0</v>
      </c>
      <c r="AH128" s="167">
        <f t="shared" si="219"/>
        <v>0</v>
      </c>
      <c r="AI128" s="167">
        <f t="shared" si="219"/>
        <v>0</v>
      </c>
      <c r="AJ128" s="167">
        <f t="shared" si="219"/>
        <v>0</v>
      </c>
      <c r="AK128" s="167">
        <f t="shared" si="219"/>
        <v>0</v>
      </c>
      <c r="AL128" s="167">
        <f t="shared" si="219"/>
        <v>0</v>
      </c>
      <c r="AM128" s="167">
        <f t="shared" si="219"/>
        <v>0</v>
      </c>
      <c r="AN128" s="167">
        <f t="shared" si="219"/>
        <v>0</v>
      </c>
      <c r="AO128" s="167">
        <f t="shared" si="219"/>
        <v>0</v>
      </c>
      <c r="AP128" s="167">
        <f t="shared" si="219"/>
        <v>0</v>
      </c>
      <c r="AQ128" s="167">
        <f t="shared" si="219"/>
        <v>0</v>
      </c>
      <c r="AR128" s="167">
        <f t="shared" si="219"/>
        <v>0</v>
      </c>
      <c r="AS128" s="167">
        <f t="shared" si="219"/>
        <v>0</v>
      </c>
      <c r="AT128" s="167">
        <f t="shared" ref="AT128:AT138" si="222">SUM(J128:AS128)</f>
        <v>22086050</v>
      </c>
      <c r="AU128" s="175">
        <f t="shared" si="140"/>
        <v>14.837590358208153</v>
      </c>
      <c r="AV128" s="176">
        <f t="shared" ref="AV128" si="223">F128-AT128</f>
        <v>126765950</v>
      </c>
      <c r="AW128" s="175">
        <f t="shared" ref="AW128:AW135" si="224">AV128/F128*100</f>
        <v>85.162409641791854</v>
      </c>
      <c r="AX128" s="164" t="s">
        <v>576</v>
      </c>
      <c r="AY128" s="164" t="s">
        <v>560</v>
      </c>
      <c r="AZ128" s="164" t="s">
        <v>3999</v>
      </c>
      <c r="BA128" s="167">
        <f>SUM(BA129:BA130)</f>
        <v>295050</v>
      </c>
      <c r="BB128" s="167">
        <f t="shared" ref="BB128:BD128" si="225">SUM(BB129:BB130)</f>
        <v>4950000</v>
      </c>
      <c r="BC128" s="167">
        <f t="shared" si="225"/>
        <v>59000</v>
      </c>
      <c r="BD128" s="167">
        <f t="shared" si="225"/>
        <v>10503000</v>
      </c>
      <c r="BE128" s="167">
        <f t="shared" ref="BE128" si="226">SUM(BE129:BE130)</f>
        <v>276000</v>
      </c>
      <c r="BF128" s="167">
        <f t="shared" ref="BF128:BG128" si="227">SUM(BF129:BF130)</f>
        <v>6003000</v>
      </c>
      <c r="BG128" s="167">
        <f t="shared" si="227"/>
        <v>0</v>
      </c>
      <c r="BH128" s="167">
        <f t="shared" ref="BH128" si="228">SUM(BH129:BH130)</f>
        <v>0</v>
      </c>
    </row>
    <row r="129" spans="2:60" x14ac:dyDescent="0.25">
      <c r="B129" s="228">
        <v>521114</v>
      </c>
      <c r="C129" s="164" t="s">
        <v>94</v>
      </c>
      <c r="D129" s="164"/>
      <c r="E129" s="164"/>
      <c r="F129" s="165">
        <v>30000000</v>
      </c>
      <c r="G129" s="165">
        <v>30000000</v>
      </c>
      <c r="H129" s="165"/>
      <c r="I129" s="165">
        <f t="shared" ref="I129:I130" si="229">G129-F129</f>
        <v>0</v>
      </c>
      <c r="J129" s="165"/>
      <c r="K129" s="165"/>
      <c r="L129" s="165"/>
      <c r="M129" s="165"/>
      <c r="N129" s="165"/>
      <c r="O129" s="165"/>
      <c r="P129" s="165"/>
      <c r="Q129" s="165">
        <f>295050+59000</f>
        <v>354050</v>
      </c>
      <c r="R129" s="165"/>
      <c r="S129" s="165"/>
      <c r="T129" s="165">
        <v>603000</v>
      </c>
      <c r="U129" s="165"/>
      <c r="V129" s="165"/>
      <c r="W129" s="165">
        <f>276000+1053000</f>
        <v>1329000</v>
      </c>
      <c r="X129" s="165"/>
      <c r="Y129" s="165"/>
      <c r="Z129" s="165"/>
      <c r="AA129" s="165"/>
      <c r="AB129" s="165"/>
      <c r="AC129" s="165"/>
      <c r="AD129" s="165"/>
      <c r="AE129" s="165"/>
      <c r="AF129" s="165"/>
      <c r="AG129" s="165"/>
      <c r="AH129" s="165"/>
      <c r="AI129" s="165"/>
      <c r="AJ129" s="165"/>
      <c r="AK129" s="165"/>
      <c r="AL129" s="165"/>
      <c r="AM129" s="165"/>
      <c r="AN129" s="165"/>
      <c r="AO129" s="165"/>
      <c r="AP129" s="165"/>
      <c r="AQ129" s="165"/>
      <c r="AR129" s="165"/>
      <c r="AS129" s="165"/>
      <c r="AT129" s="165">
        <f t="shared" si="222"/>
        <v>2286050</v>
      </c>
      <c r="AU129" s="168">
        <f t="shared" si="140"/>
        <v>7.620166666666667</v>
      </c>
      <c r="AV129" s="169">
        <f t="shared" ref="AV129:AV138" si="230">F129-AT129</f>
        <v>27713950</v>
      </c>
      <c r="AW129" s="168">
        <f t="shared" si="224"/>
        <v>92.379833333333337</v>
      </c>
      <c r="AX129" s="164" t="s">
        <v>576</v>
      </c>
      <c r="AY129" s="164" t="s">
        <v>560</v>
      </c>
      <c r="AZ129" s="164" t="s">
        <v>3999</v>
      </c>
      <c r="BA129" s="165">
        <v>295050</v>
      </c>
      <c r="BB129" s="165"/>
      <c r="BC129" s="240">
        <v>59000</v>
      </c>
      <c r="BD129" s="165">
        <v>603000</v>
      </c>
      <c r="BE129" s="165">
        <v>276000</v>
      </c>
      <c r="BF129" s="165">
        <v>1053000</v>
      </c>
      <c r="BG129" s="165"/>
      <c r="BH129" s="165"/>
    </row>
    <row r="130" spans="2:60" x14ac:dyDescent="0.25">
      <c r="B130" s="228">
        <v>522141</v>
      </c>
      <c r="C130" s="164" t="s">
        <v>95</v>
      </c>
      <c r="D130" s="164"/>
      <c r="E130" s="164"/>
      <c r="F130" s="165">
        <v>118852000</v>
      </c>
      <c r="G130" s="165">
        <v>118852000</v>
      </c>
      <c r="H130" s="165"/>
      <c r="I130" s="165">
        <f t="shared" si="229"/>
        <v>0</v>
      </c>
      <c r="J130" s="165"/>
      <c r="K130" s="165"/>
      <c r="L130" s="165"/>
      <c r="M130" s="165"/>
      <c r="N130" s="165"/>
      <c r="O130" s="165"/>
      <c r="P130" s="165"/>
      <c r="Q130" s="165"/>
      <c r="R130" s="165">
        <v>4950000</v>
      </c>
      <c r="S130" s="165"/>
      <c r="T130" s="165">
        <v>9900000</v>
      </c>
      <c r="U130" s="165"/>
      <c r="V130" s="165"/>
      <c r="W130" s="165">
        <v>4950000</v>
      </c>
      <c r="X130" s="165"/>
      <c r="Y130" s="165"/>
      <c r="Z130" s="165"/>
      <c r="AA130" s="165"/>
      <c r="AB130" s="165"/>
      <c r="AC130" s="165"/>
      <c r="AD130" s="165"/>
      <c r="AE130" s="165"/>
      <c r="AF130" s="165"/>
      <c r="AG130" s="165"/>
      <c r="AH130" s="165"/>
      <c r="AI130" s="165"/>
      <c r="AJ130" s="165"/>
      <c r="AK130" s="165"/>
      <c r="AL130" s="165"/>
      <c r="AM130" s="165"/>
      <c r="AN130" s="165"/>
      <c r="AO130" s="165"/>
      <c r="AP130" s="165"/>
      <c r="AQ130" s="165"/>
      <c r="AR130" s="165"/>
      <c r="AS130" s="165"/>
      <c r="AT130" s="165">
        <f t="shared" si="222"/>
        <v>19800000</v>
      </c>
      <c r="AU130" s="168">
        <f t="shared" si="140"/>
        <v>16.659374684481541</v>
      </c>
      <c r="AV130" s="169">
        <f t="shared" si="230"/>
        <v>99052000</v>
      </c>
      <c r="AW130" s="168">
        <f t="shared" si="224"/>
        <v>83.340625315518452</v>
      </c>
      <c r="AX130" s="164" t="s">
        <v>576</v>
      </c>
      <c r="AY130" s="164" t="s">
        <v>560</v>
      </c>
      <c r="AZ130" s="164" t="s">
        <v>3999</v>
      </c>
      <c r="BA130" s="165"/>
      <c r="BB130" s="165">
        <v>4950000</v>
      </c>
      <c r="BC130" s="240"/>
      <c r="BD130" s="165">
        <v>9900000</v>
      </c>
      <c r="BE130" s="165"/>
      <c r="BF130" s="165">
        <v>4950000</v>
      </c>
      <c r="BG130" s="165"/>
      <c r="BH130" s="165"/>
    </row>
    <row r="131" spans="2:60" x14ac:dyDescent="0.25">
      <c r="B131" s="230" t="s">
        <v>2219</v>
      </c>
      <c r="C131" s="166" t="s">
        <v>2220</v>
      </c>
      <c r="D131" s="166"/>
      <c r="E131" s="166"/>
      <c r="F131" s="167">
        <f>SUM(F132:F133)</f>
        <v>533050000</v>
      </c>
      <c r="G131" s="167">
        <f>SUM(G132:G133)</f>
        <v>533050000</v>
      </c>
      <c r="H131" s="167">
        <f>SUM(H132:H133)</f>
        <v>0</v>
      </c>
      <c r="I131" s="167">
        <f>SUM(I132:I133)</f>
        <v>0</v>
      </c>
      <c r="J131" s="167">
        <f t="shared" ref="J131:BD131" si="231">SUM(J132:J133)</f>
        <v>0</v>
      </c>
      <c r="K131" s="167">
        <f t="shared" si="231"/>
        <v>0</v>
      </c>
      <c r="L131" s="167">
        <f t="shared" si="231"/>
        <v>0</v>
      </c>
      <c r="M131" s="167">
        <f t="shared" si="231"/>
        <v>0</v>
      </c>
      <c r="N131" s="167">
        <f t="shared" si="231"/>
        <v>0</v>
      </c>
      <c r="O131" s="167">
        <f t="shared" si="231"/>
        <v>0</v>
      </c>
      <c r="P131" s="167">
        <f t="shared" si="231"/>
        <v>0</v>
      </c>
      <c r="Q131" s="167">
        <f t="shared" si="231"/>
        <v>26863900</v>
      </c>
      <c r="R131" s="167">
        <f t="shared" si="231"/>
        <v>38727500</v>
      </c>
      <c r="S131" s="167">
        <f t="shared" si="231"/>
        <v>0</v>
      </c>
      <c r="T131" s="167">
        <f t="shared" si="231"/>
        <v>7448700</v>
      </c>
      <c r="U131" s="167">
        <f t="shared" si="231"/>
        <v>0</v>
      </c>
      <c r="V131" s="167">
        <f t="shared" si="231"/>
        <v>0</v>
      </c>
      <c r="W131" s="167">
        <f t="shared" si="231"/>
        <v>21835340</v>
      </c>
      <c r="X131" s="167">
        <f t="shared" si="231"/>
        <v>0</v>
      </c>
      <c r="Y131" s="167">
        <f t="shared" si="231"/>
        <v>0</v>
      </c>
      <c r="Z131" s="167">
        <f t="shared" si="231"/>
        <v>0</v>
      </c>
      <c r="AA131" s="167">
        <f t="shared" si="231"/>
        <v>0</v>
      </c>
      <c r="AB131" s="167">
        <f t="shared" si="231"/>
        <v>0</v>
      </c>
      <c r="AC131" s="167">
        <f t="shared" si="231"/>
        <v>0</v>
      </c>
      <c r="AD131" s="167">
        <f t="shared" si="231"/>
        <v>0</v>
      </c>
      <c r="AE131" s="167">
        <f t="shared" si="231"/>
        <v>0</v>
      </c>
      <c r="AF131" s="167">
        <f t="shared" si="231"/>
        <v>0</v>
      </c>
      <c r="AG131" s="167">
        <f t="shared" si="231"/>
        <v>0</v>
      </c>
      <c r="AH131" s="167">
        <f t="shared" si="231"/>
        <v>0</v>
      </c>
      <c r="AI131" s="167">
        <f t="shared" si="231"/>
        <v>0</v>
      </c>
      <c r="AJ131" s="167">
        <f t="shared" si="231"/>
        <v>0</v>
      </c>
      <c r="AK131" s="167">
        <f t="shared" si="231"/>
        <v>0</v>
      </c>
      <c r="AL131" s="167">
        <f t="shared" si="231"/>
        <v>0</v>
      </c>
      <c r="AM131" s="167">
        <f t="shared" si="231"/>
        <v>0</v>
      </c>
      <c r="AN131" s="167">
        <f t="shared" si="231"/>
        <v>0</v>
      </c>
      <c r="AO131" s="167">
        <f t="shared" si="231"/>
        <v>0</v>
      </c>
      <c r="AP131" s="167">
        <f t="shared" si="231"/>
        <v>0</v>
      </c>
      <c r="AQ131" s="167">
        <f t="shared" si="231"/>
        <v>0</v>
      </c>
      <c r="AR131" s="167">
        <f t="shared" si="231"/>
        <v>0</v>
      </c>
      <c r="AS131" s="167">
        <f t="shared" si="231"/>
        <v>0</v>
      </c>
      <c r="AT131" s="167">
        <f t="shared" si="222"/>
        <v>94875440</v>
      </c>
      <c r="AU131" s="175">
        <f t="shared" si="140"/>
        <v>17.798600506519087</v>
      </c>
      <c r="AV131" s="176">
        <f t="shared" si="230"/>
        <v>438174560</v>
      </c>
      <c r="AW131" s="175">
        <f t="shared" si="224"/>
        <v>82.201399493480906</v>
      </c>
      <c r="AX131" s="164" t="s">
        <v>576</v>
      </c>
      <c r="AY131" s="164" t="s">
        <v>560</v>
      </c>
      <c r="AZ131" s="164" t="s">
        <v>3999</v>
      </c>
      <c r="BA131" s="167">
        <f t="shared" si="231"/>
        <v>25004200</v>
      </c>
      <c r="BB131" s="167">
        <f t="shared" si="231"/>
        <v>38727500</v>
      </c>
      <c r="BC131" s="167">
        <f t="shared" si="231"/>
        <v>1859700</v>
      </c>
      <c r="BD131" s="167">
        <f t="shared" si="231"/>
        <v>7448700</v>
      </c>
      <c r="BE131" s="167">
        <f t="shared" ref="BE131" si="232">SUM(BE132:BE133)</f>
        <v>9968000</v>
      </c>
      <c r="BF131" s="167">
        <f t="shared" ref="BF131:BG131" si="233">SUM(BF132:BF133)</f>
        <v>11867340</v>
      </c>
      <c r="BG131" s="167">
        <f t="shared" si="233"/>
        <v>0</v>
      </c>
      <c r="BH131" s="167">
        <f t="shared" ref="BH131" si="234">SUM(BH132:BH133)</f>
        <v>0</v>
      </c>
    </row>
    <row r="132" spans="2:60" x14ac:dyDescent="0.25">
      <c r="B132" s="228">
        <v>523121</v>
      </c>
      <c r="C132" s="164" t="s">
        <v>99</v>
      </c>
      <c r="D132" s="164"/>
      <c r="E132" s="164"/>
      <c r="F132" s="165">
        <v>497050000</v>
      </c>
      <c r="G132" s="165">
        <v>497050000</v>
      </c>
      <c r="H132" s="165"/>
      <c r="I132" s="165">
        <f t="shared" ref="I132:I133" si="235">G132-F132</f>
        <v>0</v>
      </c>
      <c r="J132" s="165"/>
      <c r="K132" s="165"/>
      <c r="L132" s="165"/>
      <c r="M132" s="165"/>
      <c r="N132" s="165"/>
      <c r="O132" s="165"/>
      <c r="P132" s="165"/>
      <c r="Q132" s="165">
        <f>25004200+1859700</f>
        <v>26863900</v>
      </c>
      <c r="R132" s="165">
        <v>32727500</v>
      </c>
      <c r="S132" s="165"/>
      <c r="T132" s="165">
        <v>7448700</v>
      </c>
      <c r="U132" s="165"/>
      <c r="V132" s="165"/>
      <c r="W132" s="165">
        <f>6968000+11867340</f>
        <v>18835340</v>
      </c>
      <c r="X132" s="165"/>
      <c r="Y132" s="165"/>
      <c r="Z132" s="165"/>
      <c r="AA132" s="165"/>
      <c r="AB132" s="165"/>
      <c r="AC132" s="165"/>
      <c r="AD132" s="165"/>
      <c r="AE132" s="165"/>
      <c r="AF132" s="165"/>
      <c r="AG132" s="165"/>
      <c r="AH132" s="165"/>
      <c r="AI132" s="165"/>
      <c r="AJ132" s="165"/>
      <c r="AK132" s="165"/>
      <c r="AL132" s="165"/>
      <c r="AM132" s="165"/>
      <c r="AN132" s="165"/>
      <c r="AO132" s="165"/>
      <c r="AP132" s="165"/>
      <c r="AQ132" s="165"/>
      <c r="AR132" s="165"/>
      <c r="AS132" s="165"/>
      <c r="AT132" s="165">
        <f t="shared" si="222"/>
        <v>85875440</v>
      </c>
      <c r="AU132" s="168">
        <f t="shared" si="140"/>
        <v>17.277022432350869</v>
      </c>
      <c r="AV132" s="169">
        <f t="shared" si="230"/>
        <v>411174560</v>
      </c>
      <c r="AW132" s="168">
        <f t="shared" si="224"/>
        <v>82.722977567649124</v>
      </c>
      <c r="AX132" s="164" t="s">
        <v>576</v>
      </c>
      <c r="AY132" s="164" t="s">
        <v>560</v>
      </c>
      <c r="AZ132" s="164" t="s">
        <v>3999</v>
      </c>
      <c r="BA132" s="165">
        <v>25004200</v>
      </c>
      <c r="BB132" s="165">
        <v>32727500</v>
      </c>
      <c r="BC132" s="240">
        <v>1859700</v>
      </c>
      <c r="BD132" s="165">
        <v>7448700</v>
      </c>
      <c r="BE132" s="165">
        <v>6968000</v>
      </c>
      <c r="BF132" s="165">
        <v>11867340</v>
      </c>
      <c r="BG132" s="165"/>
      <c r="BH132" s="165"/>
    </row>
    <row r="133" spans="2:60" x14ac:dyDescent="0.25">
      <c r="B133" s="228">
        <v>523199</v>
      </c>
      <c r="C133" s="164" t="s">
        <v>102</v>
      </c>
      <c r="D133" s="164"/>
      <c r="E133" s="164"/>
      <c r="F133" s="165">
        <v>36000000</v>
      </c>
      <c r="G133" s="165">
        <v>36000000</v>
      </c>
      <c r="H133" s="165"/>
      <c r="I133" s="165">
        <f t="shared" si="235"/>
        <v>0</v>
      </c>
      <c r="J133" s="165"/>
      <c r="K133" s="165"/>
      <c r="L133" s="165"/>
      <c r="M133" s="165"/>
      <c r="N133" s="165"/>
      <c r="O133" s="165"/>
      <c r="P133" s="165"/>
      <c r="Q133" s="165"/>
      <c r="R133" s="165">
        <v>6000000</v>
      </c>
      <c r="S133" s="165"/>
      <c r="T133" s="165"/>
      <c r="U133" s="165"/>
      <c r="V133" s="165"/>
      <c r="W133" s="165">
        <v>3000000</v>
      </c>
      <c r="X133" s="165"/>
      <c r="Y133" s="165"/>
      <c r="Z133" s="165"/>
      <c r="AA133" s="165"/>
      <c r="AB133" s="165"/>
      <c r="AC133" s="165"/>
      <c r="AD133" s="165"/>
      <c r="AE133" s="165"/>
      <c r="AF133" s="165"/>
      <c r="AG133" s="165"/>
      <c r="AH133" s="165"/>
      <c r="AI133" s="165"/>
      <c r="AJ133" s="165"/>
      <c r="AK133" s="165"/>
      <c r="AL133" s="165"/>
      <c r="AM133" s="165"/>
      <c r="AN133" s="165"/>
      <c r="AO133" s="165"/>
      <c r="AP133" s="165"/>
      <c r="AQ133" s="165"/>
      <c r="AR133" s="165"/>
      <c r="AS133" s="165"/>
      <c r="AT133" s="165">
        <f t="shared" si="222"/>
        <v>9000000</v>
      </c>
      <c r="AU133" s="168">
        <f t="shared" si="140"/>
        <v>25</v>
      </c>
      <c r="AV133" s="169">
        <f t="shared" si="230"/>
        <v>27000000</v>
      </c>
      <c r="AW133" s="168">
        <f t="shared" si="224"/>
        <v>75</v>
      </c>
      <c r="AX133" s="164" t="s">
        <v>576</v>
      </c>
      <c r="AY133" s="164" t="s">
        <v>560</v>
      </c>
      <c r="AZ133" s="164" t="s">
        <v>3999</v>
      </c>
      <c r="BA133" s="165"/>
      <c r="BB133" s="165">
        <v>6000000</v>
      </c>
      <c r="BC133" s="240"/>
      <c r="BD133" s="165"/>
      <c r="BE133" s="165">
        <v>3000000</v>
      </c>
      <c r="BF133" s="165"/>
      <c r="BG133" s="165"/>
      <c r="BH133" s="165"/>
    </row>
    <row r="134" spans="2:60" x14ac:dyDescent="0.25">
      <c r="B134" s="230" t="s">
        <v>2239</v>
      </c>
      <c r="C134" s="166" t="s">
        <v>2240</v>
      </c>
      <c r="D134" s="166"/>
      <c r="E134" s="166"/>
      <c r="F134" s="167">
        <f t="shared" ref="F134:BD134" si="236">SUM(F135:F136)</f>
        <v>159376000</v>
      </c>
      <c r="G134" s="167">
        <f t="shared" ref="G134:H134" si="237">SUM(G135:G136)</f>
        <v>159376000</v>
      </c>
      <c r="H134" s="167">
        <f t="shared" si="237"/>
        <v>0</v>
      </c>
      <c r="I134" s="167">
        <f t="shared" ref="I134" si="238">SUM(I135:I136)</f>
        <v>0</v>
      </c>
      <c r="J134" s="167">
        <f t="shared" si="236"/>
        <v>0</v>
      </c>
      <c r="K134" s="167">
        <f t="shared" si="236"/>
        <v>0</v>
      </c>
      <c r="L134" s="167">
        <f t="shared" si="236"/>
        <v>0</v>
      </c>
      <c r="M134" s="167">
        <f t="shared" si="236"/>
        <v>0</v>
      </c>
      <c r="N134" s="167">
        <f t="shared" si="236"/>
        <v>0</v>
      </c>
      <c r="O134" s="167">
        <f t="shared" si="236"/>
        <v>0</v>
      </c>
      <c r="P134" s="167">
        <f t="shared" si="236"/>
        <v>0</v>
      </c>
      <c r="Q134" s="167">
        <f t="shared" si="236"/>
        <v>0</v>
      </c>
      <c r="R134" s="167">
        <f t="shared" si="236"/>
        <v>9456000</v>
      </c>
      <c r="S134" s="167">
        <f t="shared" si="236"/>
        <v>0</v>
      </c>
      <c r="T134" s="167">
        <f t="shared" si="236"/>
        <v>0</v>
      </c>
      <c r="U134" s="167">
        <f t="shared" si="236"/>
        <v>0</v>
      </c>
      <c r="V134" s="167">
        <f t="shared" si="236"/>
        <v>0</v>
      </c>
      <c r="W134" s="167">
        <f t="shared" si="236"/>
        <v>49138000</v>
      </c>
      <c r="X134" s="167">
        <f t="shared" si="236"/>
        <v>0</v>
      </c>
      <c r="Y134" s="167">
        <f t="shared" si="236"/>
        <v>0</v>
      </c>
      <c r="Z134" s="167">
        <f t="shared" si="236"/>
        <v>0</v>
      </c>
      <c r="AA134" s="167">
        <f t="shared" si="236"/>
        <v>0</v>
      </c>
      <c r="AB134" s="167">
        <f t="shared" si="236"/>
        <v>0</v>
      </c>
      <c r="AC134" s="167">
        <f t="shared" si="236"/>
        <v>0</v>
      </c>
      <c r="AD134" s="167">
        <f t="shared" si="236"/>
        <v>0</v>
      </c>
      <c r="AE134" s="167">
        <f t="shared" si="236"/>
        <v>0</v>
      </c>
      <c r="AF134" s="167">
        <f t="shared" si="236"/>
        <v>0</v>
      </c>
      <c r="AG134" s="167">
        <f t="shared" si="236"/>
        <v>0</v>
      </c>
      <c r="AH134" s="167">
        <f t="shared" si="236"/>
        <v>0</v>
      </c>
      <c r="AI134" s="167">
        <f t="shared" si="236"/>
        <v>0</v>
      </c>
      <c r="AJ134" s="167">
        <f t="shared" si="236"/>
        <v>0</v>
      </c>
      <c r="AK134" s="167">
        <f t="shared" si="236"/>
        <v>0</v>
      </c>
      <c r="AL134" s="167">
        <f t="shared" si="236"/>
        <v>0</v>
      </c>
      <c r="AM134" s="167">
        <f t="shared" si="236"/>
        <v>0</v>
      </c>
      <c r="AN134" s="167">
        <f t="shared" si="236"/>
        <v>0</v>
      </c>
      <c r="AO134" s="167">
        <f t="shared" si="236"/>
        <v>0</v>
      </c>
      <c r="AP134" s="167">
        <f t="shared" si="236"/>
        <v>0</v>
      </c>
      <c r="AQ134" s="167">
        <f t="shared" si="236"/>
        <v>0</v>
      </c>
      <c r="AR134" s="167">
        <f t="shared" si="236"/>
        <v>0</v>
      </c>
      <c r="AS134" s="167">
        <f t="shared" si="236"/>
        <v>0</v>
      </c>
      <c r="AT134" s="167">
        <f t="shared" si="222"/>
        <v>58594000</v>
      </c>
      <c r="AU134" s="175">
        <f t="shared" si="140"/>
        <v>36.764632065053711</v>
      </c>
      <c r="AV134" s="176">
        <f t="shared" si="230"/>
        <v>100782000</v>
      </c>
      <c r="AW134" s="175">
        <f t="shared" si="224"/>
        <v>63.235367934946296</v>
      </c>
      <c r="AX134" s="164" t="s">
        <v>576</v>
      </c>
      <c r="AY134" s="164" t="s">
        <v>560</v>
      </c>
      <c r="AZ134" s="164" t="s">
        <v>3999</v>
      </c>
      <c r="BA134" s="167">
        <f t="shared" si="236"/>
        <v>0</v>
      </c>
      <c r="BB134" s="167">
        <f t="shared" si="236"/>
        <v>9456000</v>
      </c>
      <c r="BC134" s="167">
        <f t="shared" si="236"/>
        <v>0</v>
      </c>
      <c r="BD134" s="167">
        <f t="shared" si="236"/>
        <v>0</v>
      </c>
      <c r="BE134" s="167">
        <f t="shared" ref="BE134" si="239">SUM(BE135:BE136)</f>
        <v>44410000</v>
      </c>
      <c r="BF134" s="167">
        <f t="shared" ref="BF134:BG134" si="240">SUM(BF135:BF136)</f>
        <v>4728000</v>
      </c>
      <c r="BG134" s="167">
        <f t="shared" si="240"/>
        <v>0</v>
      </c>
      <c r="BH134" s="167">
        <f t="shared" ref="BH134" si="241">SUM(BH135:BH136)</f>
        <v>0</v>
      </c>
    </row>
    <row r="135" spans="2:60" x14ac:dyDescent="0.25">
      <c r="B135" s="228">
        <v>521111</v>
      </c>
      <c r="C135" s="164" t="s">
        <v>90</v>
      </c>
      <c r="D135" s="164"/>
      <c r="E135" s="164"/>
      <c r="F135" s="165">
        <v>101040000</v>
      </c>
      <c r="G135" s="165">
        <v>101040000</v>
      </c>
      <c r="H135" s="165"/>
      <c r="I135" s="165">
        <f t="shared" ref="I135:I136" si="242">G135-F135</f>
        <v>0</v>
      </c>
      <c r="J135" s="165"/>
      <c r="K135" s="165"/>
      <c r="L135" s="165"/>
      <c r="M135" s="165"/>
      <c r="N135" s="165"/>
      <c r="O135" s="165"/>
      <c r="P135" s="165"/>
      <c r="Q135" s="165"/>
      <c r="R135" s="165"/>
      <c r="S135" s="165"/>
      <c r="T135" s="165"/>
      <c r="U135" s="165"/>
      <c r="V135" s="165"/>
      <c r="W135" s="165">
        <f>44410000</f>
        <v>44410000</v>
      </c>
      <c r="X135" s="165"/>
      <c r="Y135" s="165"/>
      <c r="Z135" s="165"/>
      <c r="AA135" s="165"/>
      <c r="AB135" s="165"/>
      <c r="AC135" s="165"/>
      <c r="AD135" s="165"/>
      <c r="AE135" s="165"/>
      <c r="AF135" s="165"/>
      <c r="AG135" s="165"/>
      <c r="AH135" s="165"/>
      <c r="AI135" s="165"/>
      <c r="AJ135" s="165"/>
      <c r="AK135" s="165"/>
      <c r="AL135" s="165"/>
      <c r="AM135" s="165"/>
      <c r="AN135" s="165"/>
      <c r="AO135" s="165"/>
      <c r="AP135" s="165"/>
      <c r="AQ135" s="165"/>
      <c r="AR135" s="165"/>
      <c r="AS135" s="165"/>
      <c r="AT135" s="165">
        <f t="shared" si="222"/>
        <v>44410000</v>
      </c>
      <c r="AU135" s="168">
        <f t="shared" si="140"/>
        <v>43.952889944576405</v>
      </c>
      <c r="AV135" s="169">
        <f t="shared" si="230"/>
        <v>56630000</v>
      </c>
      <c r="AW135" s="168">
        <f t="shared" si="224"/>
        <v>56.047110055423602</v>
      </c>
      <c r="AX135" s="164" t="s">
        <v>576</v>
      </c>
      <c r="AY135" s="164" t="s">
        <v>560</v>
      </c>
      <c r="AZ135" s="164" t="s">
        <v>3999</v>
      </c>
      <c r="BA135" s="165"/>
      <c r="BB135" s="165"/>
      <c r="BC135" s="240"/>
      <c r="BD135" s="165"/>
      <c r="BE135" s="165">
        <v>44410000</v>
      </c>
      <c r="BF135" s="165"/>
      <c r="BG135" s="165"/>
      <c r="BH135" s="165"/>
    </row>
    <row r="136" spans="2:60" x14ac:dyDescent="0.25">
      <c r="B136" s="228">
        <v>521115</v>
      </c>
      <c r="C136" s="164" t="s">
        <v>104</v>
      </c>
      <c r="D136" s="164"/>
      <c r="E136" s="164"/>
      <c r="F136" s="165">
        <v>58336000</v>
      </c>
      <c r="G136" s="165">
        <v>58336000</v>
      </c>
      <c r="H136" s="165"/>
      <c r="I136" s="165">
        <f t="shared" si="242"/>
        <v>0</v>
      </c>
      <c r="J136" s="165"/>
      <c r="K136" s="165"/>
      <c r="L136" s="165"/>
      <c r="M136" s="165"/>
      <c r="N136" s="165"/>
      <c r="O136" s="165"/>
      <c r="P136" s="165"/>
      <c r="Q136" s="165"/>
      <c r="R136" s="165">
        <v>9456000</v>
      </c>
      <c r="S136" s="165"/>
      <c r="T136" s="165"/>
      <c r="U136" s="165"/>
      <c r="V136" s="165"/>
      <c r="W136" s="165">
        <v>4728000</v>
      </c>
      <c r="X136" s="165"/>
      <c r="Y136" s="165"/>
      <c r="Z136" s="165"/>
      <c r="AA136" s="165"/>
      <c r="AB136" s="165"/>
      <c r="AC136" s="165"/>
      <c r="AD136" s="165"/>
      <c r="AE136" s="165"/>
      <c r="AF136" s="165"/>
      <c r="AG136" s="165"/>
      <c r="AH136" s="165"/>
      <c r="AI136" s="165"/>
      <c r="AJ136" s="165"/>
      <c r="AK136" s="165"/>
      <c r="AL136" s="165"/>
      <c r="AM136" s="165"/>
      <c r="AN136" s="165"/>
      <c r="AO136" s="165"/>
      <c r="AP136" s="165"/>
      <c r="AQ136" s="165"/>
      <c r="AR136" s="165"/>
      <c r="AS136" s="165"/>
      <c r="AT136" s="165">
        <f t="shared" si="222"/>
        <v>14184000</v>
      </c>
      <c r="AU136" s="168">
        <f t="shared" si="140"/>
        <v>24.314317059791552</v>
      </c>
      <c r="AV136" s="169">
        <f t="shared" si="230"/>
        <v>44152000</v>
      </c>
      <c r="AW136" s="168">
        <f t="shared" ref="AW136:AW189" si="243">AV136/F136*100</f>
        <v>75.685682940208437</v>
      </c>
      <c r="AX136" s="164" t="s">
        <v>576</v>
      </c>
      <c r="AY136" s="164" t="s">
        <v>560</v>
      </c>
      <c r="AZ136" s="164" t="s">
        <v>3999</v>
      </c>
      <c r="BA136" s="165"/>
      <c r="BB136" s="165">
        <v>9456000</v>
      </c>
      <c r="BC136" s="240"/>
      <c r="BD136" s="165"/>
      <c r="BE136" s="165"/>
      <c r="BF136" s="165">
        <v>4728000</v>
      </c>
      <c r="BG136" s="165"/>
      <c r="BH136" s="165"/>
    </row>
    <row r="137" spans="2:60" x14ac:dyDescent="0.25">
      <c r="B137" s="230" t="s">
        <v>3750</v>
      </c>
      <c r="C137" s="166" t="s">
        <v>3751</v>
      </c>
      <c r="D137" s="166"/>
      <c r="E137" s="166"/>
      <c r="F137" s="167">
        <f t="shared" ref="F137:BD137" si="244">SUM(F138:F140)</f>
        <v>100000000</v>
      </c>
      <c r="G137" s="167">
        <f t="shared" ref="G137:H137" si="245">SUM(G138:G140)</f>
        <v>100000000</v>
      </c>
      <c r="H137" s="167">
        <f t="shared" si="245"/>
        <v>100000000</v>
      </c>
      <c r="I137" s="167">
        <f t="shared" ref="I137" si="246">SUM(I138:I140)</f>
        <v>0</v>
      </c>
      <c r="J137" s="167">
        <f t="shared" si="244"/>
        <v>0</v>
      </c>
      <c r="K137" s="167">
        <f t="shared" si="244"/>
        <v>0</v>
      </c>
      <c r="L137" s="167">
        <f t="shared" si="244"/>
        <v>0</v>
      </c>
      <c r="M137" s="167">
        <f t="shared" si="244"/>
        <v>0</v>
      </c>
      <c r="N137" s="167">
        <f t="shared" si="244"/>
        <v>0</v>
      </c>
      <c r="O137" s="167">
        <f t="shared" si="244"/>
        <v>0</v>
      </c>
      <c r="P137" s="167">
        <f t="shared" si="244"/>
        <v>0</v>
      </c>
      <c r="Q137" s="167">
        <f t="shared" si="244"/>
        <v>0</v>
      </c>
      <c r="R137" s="167">
        <f t="shared" si="244"/>
        <v>0</v>
      </c>
      <c r="S137" s="167">
        <f t="shared" si="244"/>
        <v>0</v>
      </c>
      <c r="T137" s="167">
        <f t="shared" si="244"/>
        <v>0</v>
      </c>
      <c r="U137" s="167">
        <f t="shared" si="244"/>
        <v>0</v>
      </c>
      <c r="V137" s="167">
        <f t="shared" si="244"/>
        <v>0</v>
      </c>
      <c r="W137" s="167">
        <f t="shared" si="244"/>
        <v>0</v>
      </c>
      <c r="X137" s="167">
        <f t="shared" si="244"/>
        <v>0</v>
      </c>
      <c r="Y137" s="167">
        <f t="shared" si="244"/>
        <v>0</v>
      </c>
      <c r="Z137" s="167">
        <f t="shared" si="244"/>
        <v>0</v>
      </c>
      <c r="AA137" s="167">
        <f t="shared" si="244"/>
        <v>0</v>
      </c>
      <c r="AB137" s="167">
        <f t="shared" si="244"/>
        <v>0</v>
      </c>
      <c r="AC137" s="167">
        <f t="shared" si="244"/>
        <v>0</v>
      </c>
      <c r="AD137" s="167">
        <f t="shared" si="244"/>
        <v>0</v>
      </c>
      <c r="AE137" s="167">
        <f t="shared" si="244"/>
        <v>0</v>
      </c>
      <c r="AF137" s="167">
        <f t="shared" si="244"/>
        <v>0</v>
      </c>
      <c r="AG137" s="167">
        <f t="shared" si="244"/>
        <v>0</v>
      </c>
      <c r="AH137" s="167">
        <f t="shared" si="244"/>
        <v>0</v>
      </c>
      <c r="AI137" s="167">
        <f t="shared" si="244"/>
        <v>0</v>
      </c>
      <c r="AJ137" s="167">
        <f t="shared" si="244"/>
        <v>0</v>
      </c>
      <c r="AK137" s="167">
        <f t="shared" si="244"/>
        <v>0</v>
      </c>
      <c r="AL137" s="167">
        <f t="shared" si="244"/>
        <v>0</v>
      </c>
      <c r="AM137" s="167">
        <f t="shared" si="244"/>
        <v>0</v>
      </c>
      <c r="AN137" s="167">
        <f t="shared" si="244"/>
        <v>0</v>
      </c>
      <c r="AO137" s="167">
        <f t="shared" si="244"/>
        <v>0</v>
      </c>
      <c r="AP137" s="167">
        <f t="shared" si="244"/>
        <v>0</v>
      </c>
      <c r="AQ137" s="167">
        <f t="shared" si="244"/>
        <v>0</v>
      </c>
      <c r="AR137" s="167">
        <f t="shared" si="244"/>
        <v>0</v>
      </c>
      <c r="AS137" s="167">
        <f t="shared" si="244"/>
        <v>0</v>
      </c>
      <c r="AT137" s="167">
        <f t="shared" si="222"/>
        <v>0</v>
      </c>
      <c r="AU137" s="175">
        <f t="shared" si="140"/>
        <v>0</v>
      </c>
      <c r="AV137" s="176">
        <f t="shared" si="230"/>
        <v>100000000</v>
      </c>
      <c r="AW137" s="175">
        <f>AV137/F137*100</f>
        <v>100</v>
      </c>
      <c r="AX137" s="164" t="s">
        <v>576</v>
      </c>
      <c r="AY137" s="164" t="s">
        <v>560</v>
      </c>
      <c r="AZ137" s="164" t="s">
        <v>3999</v>
      </c>
      <c r="BA137" s="167">
        <f t="shared" si="244"/>
        <v>0</v>
      </c>
      <c r="BB137" s="167">
        <f t="shared" si="244"/>
        <v>0</v>
      </c>
      <c r="BC137" s="167">
        <f t="shared" si="244"/>
        <v>0</v>
      </c>
      <c r="BD137" s="167">
        <f t="shared" si="244"/>
        <v>0</v>
      </c>
      <c r="BE137" s="167">
        <f t="shared" ref="BE137" si="247">SUM(BE138:BE140)</f>
        <v>0</v>
      </c>
      <c r="BF137" s="167">
        <f t="shared" ref="BF137:BG137" si="248">SUM(BF138:BF140)</f>
        <v>0</v>
      </c>
      <c r="BG137" s="167">
        <f t="shared" si="248"/>
        <v>0</v>
      </c>
      <c r="BH137" s="167">
        <f t="shared" ref="BH137" si="249">SUM(BH138:BH140)</f>
        <v>0</v>
      </c>
    </row>
    <row r="138" spans="2:60" x14ac:dyDescent="0.25">
      <c r="B138" s="228">
        <v>521111</v>
      </c>
      <c r="C138" s="164" t="s">
        <v>90</v>
      </c>
      <c r="D138" s="164"/>
      <c r="E138" s="164"/>
      <c r="F138" s="165">
        <v>45000000</v>
      </c>
      <c r="G138" s="165">
        <v>45000000</v>
      </c>
      <c r="H138" s="165">
        <v>45000000</v>
      </c>
      <c r="I138" s="165"/>
      <c r="J138" s="165"/>
      <c r="K138" s="165"/>
      <c r="L138" s="165"/>
      <c r="M138" s="165"/>
      <c r="N138" s="165"/>
      <c r="O138" s="165"/>
      <c r="P138" s="165"/>
      <c r="Q138" s="165"/>
      <c r="R138" s="165"/>
      <c r="S138" s="165"/>
      <c r="T138" s="165"/>
      <c r="U138" s="165"/>
      <c r="V138" s="165"/>
      <c r="W138" s="165"/>
      <c r="X138" s="165"/>
      <c r="Y138" s="165"/>
      <c r="Z138" s="165"/>
      <c r="AA138" s="165"/>
      <c r="AB138" s="165"/>
      <c r="AC138" s="165"/>
      <c r="AD138" s="165"/>
      <c r="AE138" s="165"/>
      <c r="AF138" s="165"/>
      <c r="AG138" s="165"/>
      <c r="AH138" s="165"/>
      <c r="AI138" s="165"/>
      <c r="AJ138" s="165"/>
      <c r="AK138" s="165"/>
      <c r="AL138" s="165"/>
      <c r="AM138" s="165"/>
      <c r="AN138" s="165"/>
      <c r="AO138" s="165"/>
      <c r="AP138" s="165"/>
      <c r="AQ138" s="165"/>
      <c r="AR138" s="165"/>
      <c r="AS138" s="165"/>
      <c r="AT138" s="165">
        <f t="shared" si="222"/>
        <v>0</v>
      </c>
      <c r="AU138" s="168">
        <f t="shared" si="140"/>
        <v>0</v>
      </c>
      <c r="AV138" s="169">
        <f t="shared" si="230"/>
        <v>45000000</v>
      </c>
      <c r="AW138" s="168">
        <f>AV138/F138*100</f>
        <v>100</v>
      </c>
      <c r="AX138" s="164" t="s">
        <v>576</v>
      </c>
      <c r="AY138" s="164" t="s">
        <v>560</v>
      </c>
      <c r="AZ138" s="164" t="s">
        <v>3999</v>
      </c>
      <c r="BA138" s="165"/>
      <c r="BB138" s="165"/>
      <c r="BC138" s="240"/>
      <c r="BD138" s="165"/>
      <c r="BE138" s="165"/>
      <c r="BF138" s="165"/>
      <c r="BG138" s="165"/>
      <c r="BH138" s="165"/>
    </row>
    <row r="139" spans="2:60" x14ac:dyDescent="0.25">
      <c r="B139" s="228">
        <v>521811</v>
      </c>
      <c r="C139" s="164" t="s">
        <v>64</v>
      </c>
      <c r="D139" s="164"/>
      <c r="E139" s="164"/>
      <c r="F139" s="165">
        <v>26000000</v>
      </c>
      <c r="G139" s="165">
        <v>26000000</v>
      </c>
      <c r="H139" s="165">
        <v>26000000</v>
      </c>
      <c r="I139" s="165"/>
      <c r="J139" s="165"/>
      <c r="K139" s="165"/>
      <c r="L139" s="165"/>
      <c r="M139" s="165"/>
      <c r="N139" s="165"/>
      <c r="O139" s="165"/>
      <c r="P139" s="165"/>
      <c r="Q139" s="165"/>
      <c r="R139" s="165"/>
      <c r="S139" s="165"/>
      <c r="T139" s="165"/>
      <c r="U139" s="165"/>
      <c r="V139" s="165"/>
      <c r="W139" s="165"/>
      <c r="X139" s="165"/>
      <c r="Y139" s="165"/>
      <c r="Z139" s="165"/>
      <c r="AA139" s="165"/>
      <c r="AB139" s="165"/>
      <c r="AC139" s="165"/>
      <c r="AD139" s="165"/>
      <c r="AE139" s="165"/>
      <c r="AF139" s="165"/>
      <c r="AG139" s="165"/>
      <c r="AH139" s="165"/>
      <c r="AI139" s="165"/>
      <c r="AJ139" s="165"/>
      <c r="AK139" s="165"/>
      <c r="AL139" s="165"/>
      <c r="AM139" s="165"/>
      <c r="AN139" s="165"/>
      <c r="AO139" s="165"/>
      <c r="AP139" s="165"/>
      <c r="AQ139" s="165"/>
      <c r="AR139" s="165"/>
      <c r="AS139" s="165"/>
      <c r="AT139" s="165">
        <f t="shared" ref="AT139:AT140" si="250">SUM(J139:AS139)</f>
        <v>0</v>
      </c>
      <c r="AU139" s="168">
        <f t="shared" si="140"/>
        <v>0</v>
      </c>
      <c r="AV139" s="169">
        <f t="shared" ref="AV139:AV140" si="251">F139-AT139</f>
        <v>26000000</v>
      </c>
      <c r="AW139" s="168">
        <f t="shared" ref="AW139:AW140" si="252">AV139/F139*100</f>
        <v>100</v>
      </c>
      <c r="AX139" s="164" t="s">
        <v>576</v>
      </c>
      <c r="AY139" s="164" t="s">
        <v>560</v>
      </c>
      <c r="AZ139" s="164" t="s">
        <v>3999</v>
      </c>
      <c r="BA139" s="165"/>
      <c r="BB139" s="165"/>
      <c r="BC139" s="240"/>
      <c r="BD139" s="165"/>
      <c r="BE139" s="165"/>
      <c r="BF139" s="165"/>
      <c r="BG139" s="165"/>
      <c r="BH139" s="165"/>
    </row>
    <row r="140" spans="2:60" x14ac:dyDescent="0.25">
      <c r="B140" s="228">
        <v>523121</v>
      </c>
      <c r="C140" s="164" t="s">
        <v>99</v>
      </c>
      <c r="D140" s="164"/>
      <c r="E140" s="164"/>
      <c r="F140" s="165">
        <v>29000000</v>
      </c>
      <c r="G140" s="165">
        <v>29000000</v>
      </c>
      <c r="H140" s="165">
        <v>29000000</v>
      </c>
      <c r="I140" s="165"/>
      <c r="J140" s="165"/>
      <c r="K140" s="165"/>
      <c r="L140" s="165"/>
      <c r="M140" s="165"/>
      <c r="N140" s="165"/>
      <c r="O140" s="165"/>
      <c r="P140" s="165"/>
      <c r="Q140" s="165"/>
      <c r="R140" s="165"/>
      <c r="S140" s="165"/>
      <c r="T140" s="165"/>
      <c r="U140" s="165"/>
      <c r="V140" s="165"/>
      <c r="W140" s="165"/>
      <c r="X140" s="165"/>
      <c r="Y140" s="165"/>
      <c r="Z140" s="165"/>
      <c r="AA140" s="165"/>
      <c r="AB140" s="165"/>
      <c r="AC140" s="165"/>
      <c r="AD140" s="165"/>
      <c r="AE140" s="165"/>
      <c r="AF140" s="165"/>
      <c r="AG140" s="165"/>
      <c r="AH140" s="165"/>
      <c r="AI140" s="165"/>
      <c r="AJ140" s="165"/>
      <c r="AK140" s="165"/>
      <c r="AL140" s="165"/>
      <c r="AM140" s="165"/>
      <c r="AN140" s="165"/>
      <c r="AO140" s="165"/>
      <c r="AP140" s="165"/>
      <c r="AQ140" s="165"/>
      <c r="AR140" s="165"/>
      <c r="AS140" s="165"/>
      <c r="AT140" s="165">
        <f t="shared" si="250"/>
        <v>0</v>
      </c>
      <c r="AU140" s="168">
        <f t="shared" si="140"/>
        <v>0</v>
      </c>
      <c r="AV140" s="169">
        <f t="shared" si="251"/>
        <v>29000000</v>
      </c>
      <c r="AW140" s="168">
        <f t="shared" si="252"/>
        <v>100</v>
      </c>
      <c r="AX140" s="164" t="s">
        <v>576</v>
      </c>
      <c r="AY140" s="164" t="s">
        <v>560</v>
      </c>
      <c r="AZ140" s="164" t="s">
        <v>3999</v>
      </c>
      <c r="BA140" s="165"/>
      <c r="BB140" s="165"/>
      <c r="BC140" s="240"/>
      <c r="BD140" s="165"/>
      <c r="BE140" s="165"/>
      <c r="BF140" s="165"/>
      <c r="BG140" s="165"/>
      <c r="BH140" s="165"/>
    </row>
    <row r="141" spans="2:60" x14ac:dyDescent="0.25">
      <c r="B141" s="180" t="s">
        <v>2269</v>
      </c>
      <c r="C141" s="181" t="s">
        <v>2270</v>
      </c>
      <c r="D141" s="181">
        <v>2</v>
      </c>
      <c r="E141" s="181" t="s">
        <v>42</v>
      </c>
      <c r="F141" s="179">
        <f t="shared" ref="F141:X143" si="253">F142</f>
        <v>540000000</v>
      </c>
      <c r="G141" s="179">
        <f t="shared" si="253"/>
        <v>540934000</v>
      </c>
      <c r="H141" s="179">
        <f t="shared" si="253"/>
        <v>0</v>
      </c>
      <c r="I141" s="179">
        <f t="shared" si="253"/>
        <v>934000</v>
      </c>
      <c r="J141" s="179">
        <f t="shared" si="253"/>
        <v>0</v>
      </c>
      <c r="K141" s="179">
        <f t="shared" si="253"/>
        <v>0</v>
      </c>
      <c r="L141" s="179">
        <f t="shared" si="253"/>
        <v>0</v>
      </c>
      <c r="M141" s="179">
        <f t="shared" si="253"/>
        <v>0</v>
      </c>
      <c r="N141" s="179">
        <f t="shared" si="253"/>
        <v>0</v>
      </c>
      <c r="O141" s="179">
        <f t="shared" si="253"/>
        <v>0</v>
      </c>
      <c r="P141" s="179">
        <f t="shared" si="253"/>
        <v>0</v>
      </c>
      <c r="Q141" s="179">
        <f t="shared" si="253"/>
        <v>0</v>
      </c>
      <c r="R141" s="179">
        <f t="shared" si="253"/>
        <v>0</v>
      </c>
      <c r="S141" s="179">
        <f t="shared" si="253"/>
        <v>0</v>
      </c>
      <c r="T141" s="179">
        <f t="shared" si="253"/>
        <v>0</v>
      </c>
      <c r="U141" s="179">
        <f t="shared" si="253"/>
        <v>0</v>
      </c>
      <c r="V141" s="179">
        <f t="shared" si="253"/>
        <v>540000000</v>
      </c>
      <c r="W141" s="179">
        <f t="shared" si="253"/>
        <v>0</v>
      </c>
      <c r="X141" s="179">
        <f t="shared" si="253"/>
        <v>0</v>
      </c>
      <c r="Y141" s="179">
        <f t="shared" ref="Y141:BB141" si="254">Y142</f>
        <v>0</v>
      </c>
      <c r="Z141" s="179">
        <f t="shared" si="254"/>
        <v>0</v>
      </c>
      <c r="AA141" s="179">
        <f t="shared" si="254"/>
        <v>0</v>
      </c>
      <c r="AB141" s="179">
        <f t="shared" si="254"/>
        <v>0</v>
      </c>
      <c r="AC141" s="179">
        <f t="shared" si="254"/>
        <v>0</v>
      </c>
      <c r="AD141" s="179">
        <f t="shared" si="254"/>
        <v>0</v>
      </c>
      <c r="AE141" s="179">
        <f t="shared" si="254"/>
        <v>0</v>
      </c>
      <c r="AF141" s="179">
        <f t="shared" si="254"/>
        <v>0</v>
      </c>
      <c r="AG141" s="179">
        <f t="shared" si="254"/>
        <v>0</v>
      </c>
      <c r="AH141" s="179">
        <f t="shared" si="254"/>
        <v>0</v>
      </c>
      <c r="AI141" s="179">
        <f t="shared" si="254"/>
        <v>0</v>
      </c>
      <c r="AJ141" s="179">
        <f t="shared" si="254"/>
        <v>0</v>
      </c>
      <c r="AK141" s="179">
        <f t="shared" si="254"/>
        <v>0</v>
      </c>
      <c r="AL141" s="179">
        <f t="shared" si="254"/>
        <v>0</v>
      </c>
      <c r="AM141" s="179">
        <f t="shared" si="254"/>
        <v>0</v>
      </c>
      <c r="AN141" s="179">
        <f t="shared" si="254"/>
        <v>0</v>
      </c>
      <c r="AO141" s="179">
        <f t="shared" si="254"/>
        <v>0</v>
      </c>
      <c r="AP141" s="179">
        <f t="shared" si="254"/>
        <v>0</v>
      </c>
      <c r="AQ141" s="179">
        <f t="shared" si="254"/>
        <v>0</v>
      </c>
      <c r="AR141" s="179">
        <f t="shared" si="254"/>
        <v>0</v>
      </c>
      <c r="AS141" s="179">
        <f t="shared" si="254"/>
        <v>0</v>
      </c>
      <c r="AT141" s="179">
        <f t="shared" ref="AT141:AT150" si="255">SUM(J141:AS141)</f>
        <v>540000000</v>
      </c>
      <c r="AU141" s="182">
        <f t="shared" si="140"/>
        <v>100</v>
      </c>
      <c r="AV141" s="183">
        <f>F141-AT141</f>
        <v>0</v>
      </c>
      <c r="AW141" s="182">
        <f>AV141/F141*100</f>
        <v>0</v>
      </c>
      <c r="AX141" s="164" t="s">
        <v>576</v>
      </c>
      <c r="AY141" s="164" t="s">
        <v>560</v>
      </c>
      <c r="AZ141" s="164" t="s">
        <v>3998</v>
      </c>
      <c r="BA141" s="179">
        <f>BA142</f>
        <v>0</v>
      </c>
      <c r="BB141" s="179">
        <f t="shared" si="254"/>
        <v>0</v>
      </c>
      <c r="BC141" s="179">
        <f t="shared" ref="BB141:BH142" si="256">BC142</f>
        <v>0</v>
      </c>
      <c r="BD141" s="179">
        <f t="shared" si="256"/>
        <v>0</v>
      </c>
      <c r="BE141" s="179">
        <f t="shared" si="256"/>
        <v>0</v>
      </c>
      <c r="BF141" s="179">
        <f t="shared" si="256"/>
        <v>0</v>
      </c>
      <c r="BG141" s="179">
        <f t="shared" si="256"/>
        <v>0</v>
      </c>
      <c r="BH141" s="179">
        <f t="shared" si="256"/>
        <v>0</v>
      </c>
    </row>
    <row r="142" spans="2:60" x14ac:dyDescent="0.25">
      <c r="B142" s="170" t="s">
        <v>3779</v>
      </c>
      <c r="C142" s="171" t="s">
        <v>2273</v>
      </c>
      <c r="D142" s="171">
        <v>1</v>
      </c>
      <c r="E142" s="171" t="s">
        <v>42</v>
      </c>
      <c r="F142" s="172">
        <f t="shared" si="253"/>
        <v>540000000</v>
      </c>
      <c r="G142" s="172">
        <f t="shared" si="253"/>
        <v>540934000</v>
      </c>
      <c r="H142" s="172">
        <f t="shared" si="253"/>
        <v>0</v>
      </c>
      <c r="I142" s="172">
        <f t="shared" si="253"/>
        <v>934000</v>
      </c>
      <c r="J142" s="172">
        <f t="shared" ref="J142:AS143" si="257">J143</f>
        <v>0</v>
      </c>
      <c r="K142" s="172">
        <f t="shared" si="257"/>
        <v>0</v>
      </c>
      <c r="L142" s="172">
        <f t="shared" si="257"/>
        <v>0</v>
      </c>
      <c r="M142" s="172">
        <f t="shared" si="257"/>
        <v>0</v>
      </c>
      <c r="N142" s="172">
        <f t="shared" si="257"/>
        <v>0</v>
      </c>
      <c r="O142" s="172">
        <f t="shared" si="257"/>
        <v>0</v>
      </c>
      <c r="P142" s="172">
        <f t="shared" si="257"/>
        <v>0</v>
      </c>
      <c r="Q142" s="172">
        <f t="shared" si="257"/>
        <v>0</v>
      </c>
      <c r="R142" s="172">
        <f t="shared" si="257"/>
        <v>0</v>
      </c>
      <c r="S142" s="172">
        <f t="shared" si="257"/>
        <v>0</v>
      </c>
      <c r="T142" s="172">
        <f t="shared" si="257"/>
        <v>0</v>
      </c>
      <c r="U142" s="172">
        <f t="shared" si="257"/>
        <v>0</v>
      </c>
      <c r="V142" s="172">
        <f t="shared" si="257"/>
        <v>540000000</v>
      </c>
      <c r="W142" s="172">
        <f t="shared" si="257"/>
        <v>0</v>
      </c>
      <c r="X142" s="172">
        <f t="shared" si="257"/>
        <v>0</v>
      </c>
      <c r="Y142" s="172">
        <f t="shared" si="257"/>
        <v>0</v>
      </c>
      <c r="Z142" s="172">
        <f t="shared" si="257"/>
        <v>0</v>
      </c>
      <c r="AA142" s="172">
        <f t="shared" si="257"/>
        <v>0</v>
      </c>
      <c r="AB142" s="172">
        <f t="shared" si="257"/>
        <v>0</v>
      </c>
      <c r="AC142" s="172">
        <f t="shared" si="257"/>
        <v>0</v>
      </c>
      <c r="AD142" s="172">
        <f t="shared" si="257"/>
        <v>0</v>
      </c>
      <c r="AE142" s="172">
        <f t="shared" si="257"/>
        <v>0</v>
      </c>
      <c r="AF142" s="172">
        <f t="shared" si="257"/>
        <v>0</v>
      </c>
      <c r="AG142" s="172">
        <f t="shared" si="257"/>
        <v>0</v>
      </c>
      <c r="AH142" s="172">
        <f t="shared" si="257"/>
        <v>0</v>
      </c>
      <c r="AI142" s="172">
        <f t="shared" si="257"/>
        <v>0</v>
      </c>
      <c r="AJ142" s="172">
        <f t="shared" si="257"/>
        <v>0</v>
      </c>
      <c r="AK142" s="172">
        <f t="shared" si="257"/>
        <v>0</v>
      </c>
      <c r="AL142" s="172">
        <f t="shared" si="257"/>
        <v>0</v>
      </c>
      <c r="AM142" s="172">
        <f t="shared" si="257"/>
        <v>0</v>
      </c>
      <c r="AN142" s="172">
        <f t="shared" si="257"/>
        <v>0</v>
      </c>
      <c r="AO142" s="172">
        <f t="shared" si="257"/>
        <v>0</v>
      </c>
      <c r="AP142" s="172">
        <f t="shared" si="257"/>
        <v>0</v>
      </c>
      <c r="AQ142" s="172">
        <f t="shared" si="257"/>
        <v>0</v>
      </c>
      <c r="AR142" s="172">
        <f t="shared" si="257"/>
        <v>0</v>
      </c>
      <c r="AS142" s="172">
        <f t="shared" si="257"/>
        <v>0</v>
      </c>
      <c r="AT142" s="172">
        <f t="shared" si="255"/>
        <v>540000000</v>
      </c>
      <c r="AU142" s="173">
        <f t="shared" si="140"/>
        <v>100</v>
      </c>
      <c r="AV142" s="174">
        <f t="shared" ref="AV142" si="258">F142-AT142</f>
        <v>0</v>
      </c>
      <c r="AW142" s="173">
        <f t="shared" ref="AW142" si="259">AV142/F142*100</f>
        <v>0</v>
      </c>
      <c r="AX142" s="164" t="s">
        <v>576</v>
      </c>
      <c r="AY142" s="164" t="s">
        <v>560</v>
      </c>
      <c r="AZ142" s="164" t="s">
        <v>3998</v>
      </c>
      <c r="BA142" s="172">
        <f>BA143</f>
        <v>0</v>
      </c>
      <c r="BB142" s="172">
        <f t="shared" si="256"/>
        <v>0</v>
      </c>
      <c r="BC142" s="172">
        <f t="shared" si="256"/>
        <v>0</v>
      </c>
      <c r="BD142" s="172">
        <f t="shared" si="256"/>
        <v>0</v>
      </c>
      <c r="BE142" s="172">
        <f t="shared" si="256"/>
        <v>0</v>
      </c>
      <c r="BF142" s="172">
        <f t="shared" si="256"/>
        <v>0</v>
      </c>
      <c r="BG142" s="172">
        <f t="shared" si="256"/>
        <v>0</v>
      </c>
      <c r="BH142" s="172">
        <f t="shared" si="256"/>
        <v>0</v>
      </c>
    </row>
    <row r="143" spans="2:60" x14ac:dyDescent="0.25">
      <c r="B143" s="170">
        <v>301</v>
      </c>
      <c r="C143" s="171" t="s">
        <v>2290</v>
      </c>
      <c r="D143" s="171"/>
      <c r="E143" s="171"/>
      <c r="F143" s="172">
        <f t="shared" si="253"/>
        <v>540000000</v>
      </c>
      <c r="G143" s="172">
        <f t="shared" si="253"/>
        <v>540934000</v>
      </c>
      <c r="H143" s="172">
        <f t="shared" si="253"/>
        <v>0</v>
      </c>
      <c r="I143" s="172">
        <f t="shared" si="253"/>
        <v>934000</v>
      </c>
      <c r="J143" s="172">
        <f t="shared" si="257"/>
        <v>0</v>
      </c>
      <c r="K143" s="172">
        <f t="shared" ref="K143:BH143" si="260">K144</f>
        <v>0</v>
      </c>
      <c r="L143" s="172">
        <f t="shared" si="260"/>
        <v>0</v>
      </c>
      <c r="M143" s="172">
        <f t="shared" si="260"/>
        <v>0</v>
      </c>
      <c r="N143" s="172">
        <f t="shared" si="260"/>
        <v>0</v>
      </c>
      <c r="O143" s="172">
        <f t="shared" si="260"/>
        <v>0</v>
      </c>
      <c r="P143" s="172">
        <f t="shared" si="260"/>
        <v>0</v>
      </c>
      <c r="Q143" s="172">
        <f t="shared" si="260"/>
        <v>0</v>
      </c>
      <c r="R143" s="172">
        <f t="shared" si="260"/>
        <v>0</v>
      </c>
      <c r="S143" s="172">
        <f t="shared" si="260"/>
        <v>0</v>
      </c>
      <c r="T143" s="172">
        <f t="shared" si="260"/>
        <v>0</v>
      </c>
      <c r="U143" s="172">
        <f t="shared" si="260"/>
        <v>0</v>
      </c>
      <c r="V143" s="172">
        <f t="shared" si="260"/>
        <v>540000000</v>
      </c>
      <c r="W143" s="172">
        <f t="shared" si="260"/>
        <v>0</v>
      </c>
      <c r="X143" s="172">
        <f t="shared" si="260"/>
        <v>0</v>
      </c>
      <c r="Y143" s="172">
        <f t="shared" si="260"/>
        <v>0</v>
      </c>
      <c r="Z143" s="172">
        <f t="shared" si="260"/>
        <v>0</v>
      </c>
      <c r="AA143" s="172">
        <f t="shared" si="260"/>
        <v>0</v>
      </c>
      <c r="AB143" s="172">
        <f t="shared" si="260"/>
        <v>0</v>
      </c>
      <c r="AC143" s="172">
        <f t="shared" si="260"/>
        <v>0</v>
      </c>
      <c r="AD143" s="172">
        <f t="shared" si="260"/>
        <v>0</v>
      </c>
      <c r="AE143" s="172">
        <f t="shared" si="260"/>
        <v>0</v>
      </c>
      <c r="AF143" s="172">
        <f t="shared" si="260"/>
        <v>0</v>
      </c>
      <c r="AG143" s="172">
        <f t="shared" si="260"/>
        <v>0</v>
      </c>
      <c r="AH143" s="172">
        <f t="shared" si="260"/>
        <v>0</v>
      </c>
      <c r="AI143" s="172">
        <f t="shared" si="260"/>
        <v>0</v>
      </c>
      <c r="AJ143" s="172">
        <f t="shared" si="260"/>
        <v>0</v>
      </c>
      <c r="AK143" s="172">
        <f t="shared" si="260"/>
        <v>0</v>
      </c>
      <c r="AL143" s="172">
        <f t="shared" si="260"/>
        <v>0</v>
      </c>
      <c r="AM143" s="172">
        <f t="shared" si="260"/>
        <v>0</v>
      </c>
      <c r="AN143" s="172">
        <f t="shared" si="260"/>
        <v>0</v>
      </c>
      <c r="AO143" s="172">
        <f t="shared" si="260"/>
        <v>0</v>
      </c>
      <c r="AP143" s="172">
        <f t="shared" si="260"/>
        <v>0</v>
      </c>
      <c r="AQ143" s="172">
        <f t="shared" si="260"/>
        <v>0</v>
      </c>
      <c r="AR143" s="172">
        <f t="shared" si="260"/>
        <v>0</v>
      </c>
      <c r="AS143" s="172">
        <f t="shared" si="260"/>
        <v>0</v>
      </c>
      <c r="AT143" s="172">
        <f t="shared" si="255"/>
        <v>540000000</v>
      </c>
      <c r="AU143" s="173">
        <f t="shared" ref="AU143:AU206" si="261">IFERROR(AT143/F143*100,0)</f>
        <v>100</v>
      </c>
      <c r="AV143" s="174">
        <f t="shared" ref="AV143" si="262">F143-AT143</f>
        <v>0</v>
      </c>
      <c r="AW143" s="173">
        <f t="shared" ref="AW143" si="263">AV143/F143*100</f>
        <v>0</v>
      </c>
      <c r="AX143" s="164" t="s">
        <v>576</v>
      </c>
      <c r="AY143" s="164" t="s">
        <v>560</v>
      </c>
      <c r="AZ143" s="164" t="s">
        <v>3998</v>
      </c>
      <c r="BA143" s="172">
        <f>BA144</f>
        <v>0</v>
      </c>
      <c r="BB143" s="172">
        <f t="shared" si="260"/>
        <v>0</v>
      </c>
      <c r="BC143" s="172">
        <f t="shared" si="260"/>
        <v>0</v>
      </c>
      <c r="BD143" s="172">
        <f t="shared" si="260"/>
        <v>0</v>
      </c>
      <c r="BE143" s="172">
        <f t="shared" si="260"/>
        <v>0</v>
      </c>
      <c r="BF143" s="172">
        <f t="shared" si="260"/>
        <v>0</v>
      </c>
      <c r="BG143" s="172">
        <f t="shared" si="260"/>
        <v>0</v>
      </c>
      <c r="BH143" s="172">
        <f t="shared" si="260"/>
        <v>0</v>
      </c>
    </row>
    <row r="144" spans="2:60" x14ac:dyDescent="0.25">
      <c r="B144" s="230" t="s">
        <v>8</v>
      </c>
      <c r="C144" s="166" t="s">
        <v>2292</v>
      </c>
      <c r="D144" s="166"/>
      <c r="E144" s="166"/>
      <c r="F144" s="167">
        <f t="shared" ref="F144:BA144" si="264">SUM(F145)</f>
        <v>540000000</v>
      </c>
      <c r="G144" s="167">
        <f t="shared" si="264"/>
        <v>540934000</v>
      </c>
      <c r="H144" s="167">
        <f t="shared" si="264"/>
        <v>0</v>
      </c>
      <c r="I144" s="167">
        <f t="shared" si="264"/>
        <v>934000</v>
      </c>
      <c r="J144" s="167">
        <f t="shared" si="264"/>
        <v>0</v>
      </c>
      <c r="K144" s="167">
        <f t="shared" si="264"/>
        <v>0</v>
      </c>
      <c r="L144" s="167">
        <f t="shared" si="264"/>
        <v>0</v>
      </c>
      <c r="M144" s="167">
        <f t="shared" si="264"/>
        <v>0</v>
      </c>
      <c r="N144" s="167">
        <f t="shared" si="264"/>
        <v>0</v>
      </c>
      <c r="O144" s="167">
        <f t="shared" si="264"/>
        <v>0</v>
      </c>
      <c r="P144" s="167">
        <f t="shared" si="264"/>
        <v>0</v>
      </c>
      <c r="Q144" s="167">
        <f t="shared" si="264"/>
        <v>0</v>
      </c>
      <c r="R144" s="167">
        <f t="shared" si="264"/>
        <v>0</v>
      </c>
      <c r="S144" s="167">
        <f t="shared" si="264"/>
        <v>0</v>
      </c>
      <c r="T144" s="167">
        <f t="shared" si="264"/>
        <v>0</v>
      </c>
      <c r="U144" s="167">
        <f t="shared" si="264"/>
        <v>0</v>
      </c>
      <c r="V144" s="167">
        <f t="shared" si="264"/>
        <v>540000000</v>
      </c>
      <c r="W144" s="167">
        <f t="shared" si="264"/>
        <v>0</v>
      </c>
      <c r="X144" s="167">
        <f t="shared" si="264"/>
        <v>0</v>
      </c>
      <c r="Y144" s="167">
        <f t="shared" si="264"/>
        <v>0</v>
      </c>
      <c r="Z144" s="167">
        <f t="shared" si="264"/>
        <v>0</v>
      </c>
      <c r="AA144" s="167">
        <f t="shared" si="264"/>
        <v>0</v>
      </c>
      <c r="AB144" s="167">
        <f t="shared" si="264"/>
        <v>0</v>
      </c>
      <c r="AC144" s="167">
        <f t="shared" si="264"/>
        <v>0</v>
      </c>
      <c r="AD144" s="167">
        <f t="shared" si="264"/>
        <v>0</v>
      </c>
      <c r="AE144" s="167">
        <f t="shared" si="264"/>
        <v>0</v>
      </c>
      <c r="AF144" s="167">
        <f t="shared" si="264"/>
        <v>0</v>
      </c>
      <c r="AG144" s="167">
        <f t="shared" si="264"/>
        <v>0</v>
      </c>
      <c r="AH144" s="167">
        <f t="shared" si="264"/>
        <v>0</v>
      </c>
      <c r="AI144" s="167">
        <f t="shared" si="264"/>
        <v>0</v>
      </c>
      <c r="AJ144" s="167">
        <f t="shared" si="264"/>
        <v>0</v>
      </c>
      <c r="AK144" s="167">
        <f t="shared" si="264"/>
        <v>0</v>
      </c>
      <c r="AL144" s="167">
        <f t="shared" si="264"/>
        <v>0</v>
      </c>
      <c r="AM144" s="167">
        <f t="shared" si="264"/>
        <v>0</v>
      </c>
      <c r="AN144" s="167">
        <f t="shared" si="264"/>
        <v>0</v>
      </c>
      <c r="AO144" s="167">
        <f t="shared" si="264"/>
        <v>0</v>
      </c>
      <c r="AP144" s="167">
        <f t="shared" si="264"/>
        <v>0</v>
      </c>
      <c r="AQ144" s="167">
        <f t="shared" si="264"/>
        <v>0</v>
      </c>
      <c r="AR144" s="167">
        <f t="shared" si="264"/>
        <v>0</v>
      </c>
      <c r="AS144" s="167">
        <f t="shared" si="264"/>
        <v>0</v>
      </c>
      <c r="AT144" s="167">
        <f>SUM(J144:AS144)</f>
        <v>540000000</v>
      </c>
      <c r="AU144" s="175">
        <f t="shared" si="261"/>
        <v>100</v>
      </c>
      <c r="AV144" s="176">
        <f>F144-AT144</f>
        <v>0</v>
      </c>
      <c r="AW144" s="175">
        <f>AV144/F144*100</f>
        <v>0</v>
      </c>
      <c r="AX144" s="164" t="s">
        <v>576</v>
      </c>
      <c r="AY144" s="164" t="s">
        <v>560</v>
      </c>
      <c r="AZ144" s="164" t="s">
        <v>3998</v>
      </c>
      <c r="BA144" s="167">
        <f t="shared" si="264"/>
        <v>0</v>
      </c>
      <c r="BB144" s="167">
        <f>SUM(BB145)</f>
        <v>0</v>
      </c>
      <c r="BC144" s="167">
        <f>SUM(BC145)</f>
        <v>0</v>
      </c>
      <c r="BD144" s="167">
        <f t="shared" ref="BD144:BH144" si="265">SUM(BD145)</f>
        <v>0</v>
      </c>
      <c r="BE144" s="167">
        <f t="shared" si="265"/>
        <v>0</v>
      </c>
      <c r="BF144" s="167">
        <f t="shared" si="265"/>
        <v>0</v>
      </c>
      <c r="BG144" s="167">
        <f t="shared" si="265"/>
        <v>0</v>
      </c>
      <c r="BH144" s="167">
        <f t="shared" si="265"/>
        <v>0</v>
      </c>
    </row>
    <row r="145" spans="2:60" x14ac:dyDescent="0.25">
      <c r="B145" s="228">
        <v>532111</v>
      </c>
      <c r="C145" s="164" t="s">
        <v>43</v>
      </c>
      <c r="D145" s="164"/>
      <c r="E145" s="164"/>
      <c r="F145" s="165">
        <v>540000000</v>
      </c>
      <c r="G145" s="165">
        <v>540934000</v>
      </c>
      <c r="H145" s="165"/>
      <c r="I145" s="165">
        <f t="shared" ref="I145" si="266">G145-F145</f>
        <v>934000</v>
      </c>
      <c r="J145" s="165"/>
      <c r="K145" s="165"/>
      <c r="L145" s="165"/>
      <c r="M145" s="165"/>
      <c r="N145" s="165"/>
      <c r="O145" s="165"/>
      <c r="P145" s="165"/>
      <c r="Q145" s="165"/>
      <c r="R145" s="165"/>
      <c r="S145" s="165"/>
      <c r="T145" s="165"/>
      <c r="U145" s="165"/>
      <c r="V145" s="165">
        <v>540000000</v>
      </c>
      <c r="W145" s="165"/>
      <c r="X145" s="165"/>
      <c r="Y145" s="165"/>
      <c r="Z145" s="165"/>
      <c r="AA145" s="165"/>
      <c r="AB145" s="165"/>
      <c r="AC145" s="165"/>
      <c r="AD145" s="165"/>
      <c r="AE145" s="165"/>
      <c r="AF145" s="165"/>
      <c r="AG145" s="165"/>
      <c r="AH145" s="165"/>
      <c r="AI145" s="165"/>
      <c r="AJ145" s="165"/>
      <c r="AK145" s="165"/>
      <c r="AL145" s="165"/>
      <c r="AM145" s="165"/>
      <c r="AN145" s="165"/>
      <c r="AO145" s="165"/>
      <c r="AP145" s="165"/>
      <c r="AQ145" s="165"/>
      <c r="AR145" s="165"/>
      <c r="AS145" s="165"/>
      <c r="AT145" s="165">
        <f t="shared" si="255"/>
        <v>540000000</v>
      </c>
      <c r="AU145" s="168">
        <f t="shared" si="261"/>
        <v>100</v>
      </c>
      <c r="AV145" s="169">
        <f>F145-AT145</f>
        <v>0</v>
      </c>
      <c r="AW145" s="168">
        <f>AV145/F145*100</f>
        <v>0</v>
      </c>
      <c r="AX145" s="164" t="s">
        <v>576</v>
      </c>
      <c r="AY145" s="164" t="s">
        <v>560</v>
      </c>
      <c r="AZ145" s="164" t="s">
        <v>3998</v>
      </c>
      <c r="BA145" s="165"/>
      <c r="BB145" s="165"/>
      <c r="BC145" s="165"/>
      <c r="BD145" s="165"/>
      <c r="BE145" s="165"/>
      <c r="BF145" s="165"/>
      <c r="BG145" s="165"/>
      <c r="BH145" s="165"/>
    </row>
    <row r="146" spans="2:60" x14ac:dyDescent="0.25">
      <c r="B146" s="180" t="s">
        <v>2466</v>
      </c>
      <c r="C146" s="181" t="s">
        <v>2467</v>
      </c>
      <c r="D146" s="181">
        <v>5</v>
      </c>
      <c r="E146" s="181" t="s">
        <v>3782</v>
      </c>
      <c r="F146" s="179">
        <f>F147+F165+F182</f>
        <v>548290000</v>
      </c>
      <c r="G146" s="179">
        <f>G147+G165+G182</f>
        <v>1538790000</v>
      </c>
      <c r="H146" s="179">
        <f>H147+H165+H182</f>
        <v>0</v>
      </c>
      <c r="I146" s="179">
        <f>I147+I165+I182</f>
        <v>990500000</v>
      </c>
      <c r="J146" s="179">
        <f t="shared" ref="J146" si="267">J147+J165+J182</f>
        <v>0</v>
      </c>
      <c r="K146" s="179">
        <f t="shared" ref="K146:BA146" si="268">K147+K165+K182</f>
        <v>0</v>
      </c>
      <c r="L146" s="179">
        <f t="shared" si="268"/>
        <v>0</v>
      </c>
      <c r="M146" s="179">
        <f t="shared" si="268"/>
        <v>10597800</v>
      </c>
      <c r="N146" s="179">
        <f t="shared" si="268"/>
        <v>0</v>
      </c>
      <c r="O146" s="179">
        <f t="shared" si="268"/>
        <v>0</v>
      </c>
      <c r="P146" s="179">
        <f t="shared" si="268"/>
        <v>0</v>
      </c>
      <c r="Q146" s="179">
        <f t="shared" si="268"/>
        <v>30344500</v>
      </c>
      <c r="R146" s="179">
        <f t="shared" si="268"/>
        <v>93601693</v>
      </c>
      <c r="S146" s="179">
        <f t="shared" si="268"/>
        <v>22589500</v>
      </c>
      <c r="T146" s="179">
        <f t="shared" si="268"/>
        <v>19929200</v>
      </c>
      <c r="U146" s="179">
        <f t="shared" si="268"/>
        <v>0</v>
      </c>
      <c r="V146" s="179">
        <f t="shared" si="268"/>
        <v>9172500</v>
      </c>
      <c r="W146" s="179">
        <f t="shared" si="268"/>
        <v>20182883</v>
      </c>
      <c r="X146" s="179">
        <f t="shared" si="268"/>
        <v>82150655</v>
      </c>
      <c r="Y146" s="179">
        <f t="shared" si="268"/>
        <v>51085531</v>
      </c>
      <c r="Z146" s="179">
        <f t="shared" si="268"/>
        <v>0</v>
      </c>
      <c r="AA146" s="179">
        <f t="shared" si="268"/>
        <v>4670000</v>
      </c>
      <c r="AB146" s="179">
        <f t="shared" si="268"/>
        <v>0</v>
      </c>
      <c r="AC146" s="179">
        <f t="shared" si="268"/>
        <v>0</v>
      </c>
      <c r="AD146" s="179">
        <f t="shared" si="268"/>
        <v>0</v>
      </c>
      <c r="AE146" s="179">
        <f t="shared" si="268"/>
        <v>0</v>
      </c>
      <c r="AF146" s="179">
        <f t="shared" si="268"/>
        <v>0</v>
      </c>
      <c r="AG146" s="179">
        <f t="shared" si="268"/>
        <v>0</v>
      </c>
      <c r="AH146" s="179">
        <f t="shared" si="268"/>
        <v>0</v>
      </c>
      <c r="AI146" s="179">
        <f t="shared" si="268"/>
        <v>0</v>
      </c>
      <c r="AJ146" s="179">
        <f t="shared" si="268"/>
        <v>0</v>
      </c>
      <c r="AK146" s="179">
        <f t="shared" si="268"/>
        <v>0</v>
      </c>
      <c r="AL146" s="179">
        <f t="shared" si="268"/>
        <v>0</v>
      </c>
      <c r="AM146" s="179">
        <f t="shared" si="268"/>
        <v>0</v>
      </c>
      <c r="AN146" s="179">
        <f t="shared" si="268"/>
        <v>0</v>
      </c>
      <c r="AO146" s="179">
        <f t="shared" si="268"/>
        <v>0</v>
      </c>
      <c r="AP146" s="179">
        <f t="shared" si="268"/>
        <v>0</v>
      </c>
      <c r="AQ146" s="179">
        <f t="shared" si="268"/>
        <v>0</v>
      </c>
      <c r="AR146" s="179">
        <f t="shared" si="268"/>
        <v>0</v>
      </c>
      <c r="AS146" s="179">
        <f t="shared" si="268"/>
        <v>0</v>
      </c>
      <c r="AT146" s="179">
        <f t="shared" si="255"/>
        <v>344324262</v>
      </c>
      <c r="AU146" s="182">
        <f t="shared" si="261"/>
        <v>62.799661128235066</v>
      </c>
      <c r="AV146" s="183">
        <f>F146-AT146</f>
        <v>203965738</v>
      </c>
      <c r="AW146" s="182">
        <f>AV146/F146*100</f>
        <v>37.200338871764941</v>
      </c>
      <c r="AX146" s="164"/>
      <c r="AY146" s="164"/>
      <c r="AZ146" s="164" t="s">
        <v>3921</v>
      </c>
      <c r="BA146" s="179">
        <f t="shared" si="268"/>
        <v>0</v>
      </c>
      <c r="BB146" s="179">
        <f t="shared" ref="BB146:BC146" si="269">BB147+BB165+BB182</f>
        <v>93601693</v>
      </c>
      <c r="BC146" s="179">
        <f t="shared" si="269"/>
        <v>30344500</v>
      </c>
      <c r="BD146" s="179">
        <f t="shared" ref="BD146" si="270">BD147+BD165+BD182</f>
        <v>19929200</v>
      </c>
      <c r="BE146" s="179">
        <f t="shared" ref="BE146" si="271">BE147+BE165+BE182</f>
        <v>10000000</v>
      </c>
      <c r="BF146" s="179">
        <f t="shared" ref="BF146:BG146" si="272">BF147+BF165+BF182</f>
        <v>10182883</v>
      </c>
      <c r="BG146" s="179">
        <f t="shared" si="272"/>
        <v>82150655</v>
      </c>
      <c r="BH146" s="179">
        <f t="shared" ref="BH146" si="273">BH147+BH165+BH182</f>
        <v>4670000</v>
      </c>
    </row>
    <row r="147" spans="2:60" x14ac:dyDescent="0.25">
      <c r="B147" s="170" t="s">
        <v>3783</v>
      </c>
      <c r="C147" s="171" t="s">
        <v>2470</v>
      </c>
      <c r="D147" s="171">
        <v>1</v>
      </c>
      <c r="E147" s="171" t="s">
        <v>3782</v>
      </c>
      <c r="F147" s="172">
        <f>F148</f>
        <v>180572000</v>
      </c>
      <c r="G147" s="172">
        <f>G148</f>
        <v>615138000</v>
      </c>
      <c r="H147" s="172">
        <f>H148</f>
        <v>0</v>
      </c>
      <c r="I147" s="172">
        <f>I148</f>
        <v>434566000</v>
      </c>
      <c r="J147" s="172">
        <f t="shared" ref="J147:BH147" si="274">J148</f>
        <v>0</v>
      </c>
      <c r="K147" s="172">
        <f t="shared" si="274"/>
        <v>0</v>
      </c>
      <c r="L147" s="172">
        <f t="shared" si="274"/>
        <v>0</v>
      </c>
      <c r="M147" s="172">
        <f t="shared" si="274"/>
        <v>10597800</v>
      </c>
      <c r="N147" s="172">
        <f t="shared" si="274"/>
        <v>0</v>
      </c>
      <c r="O147" s="172">
        <f t="shared" si="274"/>
        <v>0</v>
      </c>
      <c r="P147" s="172">
        <f t="shared" si="274"/>
        <v>0</v>
      </c>
      <c r="Q147" s="172">
        <f t="shared" si="274"/>
        <v>7845000</v>
      </c>
      <c r="R147" s="172">
        <f t="shared" si="274"/>
        <v>37430665</v>
      </c>
      <c r="S147" s="172">
        <f t="shared" si="274"/>
        <v>6535000</v>
      </c>
      <c r="T147" s="172">
        <f t="shared" si="274"/>
        <v>0</v>
      </c>
      <c r="U147" s="172">
        <f t="shared" si="274"/>
        <v>0</v>
      </c>
      <c r="V147" s="172">
        <f t="shared" si="274"/>
        <v>9172500</v>
      </c>
      <c r="W147" s="172">
        <f t="shared" si="274"/>
        <v>0</v>
      </c>
      <c r="X147" s="172">
        <f t="shared" si="274"/>
        <v>19898480</v>
      </c>
      <c r="Y147" s="172">
        <f t="shared" si="274"/>
        <v>10500000</v>
      </c>
      <c r="Z147" s="172">
        <f t="shared" si="274"/>
        <v>0</v>
      </c>
      <c r="AA147" s="172">
        <f t="shared" si="274"/>
        <v>0</v>
      </c>
      <c r="AB147" s="172">
        <f t="shared" si="274"/>
        <v>0</v>
      </c>
      <c r="AC147" s="172">
        <f t="shared" si="274"/>
        <v>0</v>
      </c>
      <c r="AD147" s="172">
        <f t="shared" si="274"/>
        <v>0</v>
      </c>
      <c r="AE147" s="172">
        <f t="shared" si="274"/>
        <v>0</v>
      </c>
      <c r="AF147" s="172">
        <f t="shared" si="274"/>
        <v>0</v>
      </c>
      <c r="AG147" s="172">
        <f t="shared" si="274"/>
        <v>0</v>
      </c>
      <c r="AH147" s="172">
        <f t="shared" si="274"/>
        <v>0</v>
      </c>
      <c r="AI147" s="172">
        <f t="shared" si="274"/>
        <v>0</v>
      </c>
      <c r="AJ147" s="172">
        <f t="shared" si="274"/>
        <v>0</v>
      </c>
      <c r="AK147" s="172">
        <f t="shared" si="274"/>
        <v>0</v>
      </c>
      <c r="AL147" s="172">
        <f t="shared" si="274"/>
        <v>0</v>
      </c>
      <c r="AM147" s="172">
        <f t="shared" si="274"/>
        <v>0</v>
      </c>
      <c r="AN147" s="172">
        <f t="shared" si="274"/>
        <v>0</v>
      </c>
      <c r="AO147" s="172">
        <f t="shared" si="274"/>
        <v>0</v>
      </c>
      <c r="AP147" s="172">
        <f t="shared" si="274"/>
        <v>0</v>
      </c>
      <c r="AQ147" s="172">
        <f t="shared" si="274"/>
        <v>0</v>
      </c>
      <c r="AR147" s="172">
        <f t="shared" si="274"/>
        <v>0</v>
      </c>
      <c r="AS147" s="172">
        <f t="shared" si="274"/>
        <v>0</v>
      </c>
      <c r="AT147" s="172">
        <f t="shared" si="255"/>
        <v>101979445</v>
      </c>
      <c r="AU147" s="173">
        <f t="shared" si="261"/>
        <v>56.475779744367891</v>
      </c>
      <c r="AV147" s="174">
        <f t="shared" ref="AV147:AV148" si="275">F147-AT147</f>
        <v>78592555</v>
      </c>
      <c r="AW147" s="173">
        <f t="shared" ref="AW147:AW148" si="276">AV147/F147*100</f>
        <v>43.524220255632102</v>
      </c>
      <c r="AX147" s="164" t="s">
        <v>542</v>
      </c>
      <c r="AY147" s="164" t="s">
        <v>543</v>
      </c>
      <c r="AZ147" s="164" t="s">
        <v>3921</v>
      </c>
      <c r="BA147" s="172">
        <f t="shared" si="274"/>
        <v>0</v>
      </c>
      <c r="BB147" s="172">
        <f t="shared" si="274"/>
        <v>37430665</v>
      </c>
      <c r="BC147" s="172">
        <f t="shared" si="274"/>
        <v>7845000</v>
      </c>
      <c r="BD147" s="172">
        <f t="shared" si="274"/>
        <v>0</v>
      </c>
      <c r="BE147" s="172">
        <f t="shared" si="274"/>
        <v>0</v>
      </c>
      <c r="BF147" s="172">
        <f t="shared" si="274"/>
        <v>0</v>
      </c>
      <c r="BG147" s="172">
        <f t="shared" si="274"/>
        <v>19898480</v>
      </c>
      <c r="BH147" s="172">
        <f t="shared" si="274"/>
        <v>0</v>
      </c>
    </row>
    <row r="148" spans="2:60" x14ac:dyDescent="0.25">
      <c r="B148" s="170">
        <v>301</v>
      </c>
      <c r="C148" s="171" t="s">
        <v>2740</v>
      </c>
      <c r="D148" s="171"/>
      <c r="E148" s="171"/>
      <c r="F148" s="172">
        <f>F149+F154+F160</f>
        <v>180572000</v>
      </c>
      <c r="G148" s="172">
        <f>G149+G154+G160</f>
        <v>615138000</v>
      </c>
      <c r="H148" s="172">
        <f>H149+H154+H160</f>
        <v>0</v>
      </c>
      <c r="I148" s="172">
        <f>I149+I154+I160</f>
        <v>434566000</v>
      </c>
      <c r="J148" s="172">
        <f t="shared" ref="J148" si="277">J149+J154+J160</f>
        <v>0</v>
      </c>
      <c r="K148" s="172">
        <f t="shared" ref="K148:BA148" si="278">K149+K154+K160</f>
        <v>0</v>
      </c>
      <c r="L148" s="172">
        <f t="shared" si="278"/>
        <v>0</v>
      </c>
      <c r="M148" s="172">
        <f t="shared" si="278"/>
        <v>10597800</v>
      </c>
      <c r="N148" s="172">
        <f t="shared" si="278"/>
        <v>0</v>
      </c>
      <c r="O148" s="172">
        <f t="shared" si="278"/>
        <v>0</v>
      </c>
      <c r="P148" s="172">
        <f t="shared" si="278"/>
        <v>0</v>
      </c>
      <c r="Q148" s="172">
        <f t="shared" si="278"/>
        <v>7845000</v>
      </c>
      <c r="R148" s="172">
        <f t="shared" si="278"/>
        <v>37430665</v>
      </c>
      <c r="S148" s="172">
        <f t="shared" si="278"/>
        <v>6535000</v>
      </c>
      <c r="T148" s="172">
        <f t="shared" si="278"/>
        <v>0</v>
      </c>
      <c r="U148" s="172">
        <f t="shared" si="278"/>
        <v>0</v>
      </c>
      <c r="V148" s="172">
        <f t="shared" si="278"/>
        <v>9172500</v>
      </c>
      <c r="W148" s="172">
        <f t="shared" si="278"/>
        <v>0</v>
      </c>
      <c r="X148" s="172">
        <f t="shared" si="278"/>
        <v>19898480</v>
      </c>
      <c r="Y148" s="172">
        <f t="shared" si="278"/>
        <v>10500000</v>
      </c>
      <c r="Z148" s="172">
        <f t="shared" si="278"/>
        <v>0</v>
      </c>
      <c r="AA148" s="172">
        <f t="shared" si="278"/>
        <v>0</v>
      </c>
      <c r="AB148" s="172">
        <f t="shared" si="278"/>
        <v>0</v>
      </c>
      <c r="AC148" s="172">
        <f t="shared" si="278"/>
        <v>0</v>
      </c>
      <c r="AD148" s="172">
        <f t="shared" si="278"/>
        <v>0</v>
      </c>
      <c r="AE148" s="172">
        <f t="shared" si="278"/>
        <v>0</v>
      </c>
      <c r="AF148" s="172">
        <f t="shared" si="278"/>
        <v>0</v>
      </c>
      <c r="AG148" s="172">
        <f t="shared" si="278"/>
        <v>0</v>
      </c>
      <c r="AH148" s="172">
        <f t="shared" si="278"/>
        <v>0</v>
      </c>
      <c r="AI148" s="172">
        <f t="shared" si="278"/>
        <v>0</v>
      </c>
      <c r="AJ148" s="172">
        <f t="shared" si="278"/>
        <v>0</v>
      </c>
      <c r="AK148" s="172">
        <f t="shared" si="278"/>
        <v>0</v>
      </c>
      <c r="AL148" s="172">
        <f t="shared" si="278"/>
        <v>0</v>
      </c>
      <c r="AM148" s="172">
        <f t="shared" si="278"/>
        <v>0</v>
      </c>
      <c r="AN148" s="172">
        <f t="shared" si="278"/>
        <v>0</v>
      </c>
      <c r="AO148" s="172">
        <f t="shared" si="278"/>
        <v>0</v>
      </c>
      <c r="AP148" s="172">
        <f t="shared" si="278"/>
        <v>0</v>
      </c>
      <c r="AQ148" s="172">
        <f t="shared" si="278"/>
        <v>0</v>
      </c>
      <c r="AR148" s="172">
        <f t="shared" si="278"/>
        <v>0</v>
      </c>
      <c r="AS148" s="172">
        <f t="shared" si="278"/>
        <v>0</v>
      </c>
      <c r="AT148" s="172">
        <f t="shared" si="255"/>
        <v>101979445</v>
      </c>
      <c r="AU148" s="173">
        <f t="shared" si="261"/>
        <v>56.475779744367891</v>
      </c>
      <c r="AV148" s="174">
        <f t="shared" si="275"/>
        <v>78592555</v>
      </c>
      <c r="AW148" s="173">
        <f t="shared" si="276"/>
        <v>43.524220255632102</v>
      </c>
      <c r="AX148" s="164" t="s">
        <v>542</v>
      </c>
      <c r="AY148" s="164" t="s">
        <v>543</v>
      </c>
      <c r="AZ148" s="164" t="s">
        <v>3921</v>
      </c>
      <c r="BA148" s="172">
        <f t="shared" si="278"/>
        <v>0</v>
      </c>
      <c r="BB148" s="172">
        <f t="shared" ref="BB148:BC148" si="279">BB149+BB154+BB160</f>
        <v>37430665</v>
      </c>
      <c r="BC148" s="172">
        <f t="shared" si="279"/>
        <v>7845000</v>
      </c>
      <c r="BD148" s="172">
        <f t="shared" ref="BD148" si="280">BD149+BD154+BD160</f>
        <v>0</v>
      </c>
      <c r="BE148" s="172">
        <f t="shared" ref="BE148" si="281">BE149+BE154+BE160</f>
        <v>0</v>
      </c>
      <c r="BF148" s="172">
        <f t="shared" ref="BF148:BG148" si="282">BF149+BF154+BF160</f>
        <v>0</v>
      </c>
      <c r="BG148" s="172">
        <f t="shared" si="282"/>
        <v>19898480</v>
      </c>
      <c r="BH148" s="172">
        <f t="shared" ref="BH148" si="283">BH149+BH154+BH160</f>
        <v>0</v>
      </c>
    </row>
    <row r="149" spans="2:60" x14ac:dyDescent="0.25">
      <c r="B149" s="230" t="s">
        <v>8</v>
      </c>
      <c r="C149" s="166" t="s">
        <v>129</v>
      </c>
      <c r="D149" s="166"/>
      <c r="E149" s="166"/>
      <c r="F149" s="167">
        <f>SUM(F150:F153)</f>
        <v>22164000</v>
      </c>
      <c r="G149" s="167">
        <f>SUM(G150:G153)</f>
        <v>101050000</v>
      </c>
      <c r="H149" s="167">
        <f>SUM(H150:H153)</f>
        <v>0</v>
      </c>
      <c r="I149" s="167">
        <f>SUM(I150:I153)</f>
        <v>78886000</v>
      </c>
      <c r="J149" s="167">
        <f t="shared" ref="J149" si="284">SUM(J150:J153)</f>
        <v>0</v>
      </c>
      <c r="K149" s="167">
        <f t="shared" ref="K149:BA149" si="285">SUM(K150:K153)</f>
        <v>0</v>
      </c>
      <c r="L149" s="167">
        <f t="shared" si="285"/>
        <v>0</v>
      </c>
      <c r="M149" s="167">
        <f t="shared" si="285"/>
        <v>1010000</v>
      </c>
      <c r="N149" s="167">
        <f t="shared" si="285"/>
        <v>0</v>
      </c>
      <c r="O149" s="167">
        <f t="shared" si="285"/>
        <v>0</v>
      </c>
      <c r="P149" s="167">
        <f t="shared" si="285"/>
        <v>0</v>
      </c>
      <c r="Q149" s="167">
        <f t="shared" si="285"/>
        <v>2805000</v>
      </c>
      <c r="R149" s="167">
        <f t="shared" si="285"/>
        <v>4303915</v>
      </c>
      <c r="S149" s="167">
        <f t="shared" si="285"/>
        <v>0</v>
      </c>
      <c r="T149" s="167">
        <f t="shared" si="285"/>
        <v>0</v>
      </c>
      <c r="U149" s="167">
        <f t="shared" si="285"/>
        <v>0</v>
      </c>
      <c r="V149" s="167">
        <f t="shared" si="285"/>
        <v>1348500</v>
      </c>
      <c r="W149" s="167">
        <f t="shared" si="285"/>
        <v>0</v>
      </c>
      <c r="X149" s="167">
        <f t="shared" si="285"/>
        <v>4238980</v>
      </c>
      <c r="Y149" s="167">
        <f t="shared" si="285"/>
        <v>0</v>
      </c>
      <c r="Z149" s="167">
        <f t="shared" si="285"/>
        <v>0</v>
      </c>
      <c r="AA149" s="167">
        <f t="shared" si="285"/>
        <v>0</v>
      </c>
      <c r="AB149" s="167">
        <f t="shared" si="285"/>
        <v>0</v>
      </c>
      <c r="AC149" s="167">
        <f t="shared" si="285"/>
        <v>0</v>
      </c>
      <c r="AD149" s="167">
        <f t="shared" si="285"/>
        <v>0</v>
      </c>
      <c r="AE149" s="167">
        <f t="shared" si="285"/>
        <v>0</v>
      </c>
      <c r="AF149" s="167">
        <f t="shared" si="285"/>
        <v>0</v>
      </c>
      <c r="AG149" s="167">
        <f t="shared" si="285"/>
        <v>0</v>
      </c>
      <c r="AH149" s="167">
        <f t="shared" si="285"/>
        <v>0</v>
      </c>
      <c r="AI149" s="167">
        <f t="shared" si="285"/>
        <v>0</v>
      </c>
      <c r="AJ149" s="167">
        <f t="shared" si="285"/>
        <v>0</v>
      </c>
      <c r="AK149" s="167">
        <f t="shared" si="285"/>
        <v>0</v>
      </c>
      <c r="AL149" s="167">
        <f t="shared" si="285"/>
        <v>0</v>
      </c>
      <c r="AM149" s="167">
        <f t="shared" si="285"/>
        <v>0</v>
      </c>
      <c r="AN149" s="167">
        <f t="shared" si="285"/>
        <v>0</v>
      </c>
      <c r="AO149" s="167">
        <f t="shared" si="285"/>
        <v>0</v>
      </c>
      <c r="AP149" s="167">
        <f t="shared" si="285"/>
        <v>0</v>
      </c>
      <c r="AQ149" s="167">
        <f t="shared" si="285"/>
        <v>0</v>
      </c>
      <c r="AR149" s="167">
        <f t="shared" si="285"/>
        <v>0</v>
      </c>
      <c r="AS149" s="167">
        <f t="shared" si="285"/>
        <v>0</v>
      </c>
      <c r="AT149" s="167">
        <f t="shared" si="255"/>
        <v>13706395</v>
      </c>
      <c r="AU149" s="175">
        <f t="shared" si="261"/>
        <v>61.84080039704024</v>
      </c>
      <c r="AV149" s="176">
        <f>F149-AT149</f>
        <v>8457605</v>
      </c>
      <c r="AW149" s="175">
        <f>AV149/F149*100</f>
        <v>38.159199602959752</v>
      </c>
      <c r="AX149" s="164" t="s">
        <v>542</v>
      </c>
      <c r="AY149" s="164" t="s">
        <v>543</v>
      </c>
      <c r="AZ149" s="164" t="s">
        <v>3921</v>
      </c>
      <c r="BA149" s="167">
        <f t="shared" si="285"/>
        <v>0</v>
      </c>
      <c r="BB149" s="167">
        <f t="shared" ref="BB149:BC149" si="286">SUM(BB150:BB153)</f>
        <v>4303915</v>
      </c>
      <c r="BC149" s="167">
        <f t="shared" si="286"/>
        <v>2805000</v>
      </c>
      <c r="BD149" s="167">
        <f t="shared" ref="BD149" si="287">SUM(BD150:BD153)</f>
        <v>0</v>
      </c>
      <c r="BE149" s="167">
        <f t="shared" ref="BE149" si="288">SUM(BE150:BE153)</f>
        <v>0</v>
      </c>
      <c r="BF149" s="167">
        <f t="shared" ref="BF149:BG149" si="289">SUM(BF150:BF153)</f>
        <v>0</v>
      </c>
      <c r="BG149" s="167">
        <f t="shared" si="289"/>
        <v>4238980</v>
      </c>
      <c r="BH149" s="167">
        <f t="shared" ref="BH149" si="290">SUM(BH150:BH153)</f>
        <v>0</v>
      </c>
    </row>
    <row r="150" spans="2:60" x14ac:dyDescent="0.25">
      <c r="B150" s="228">
        <v>521211</v>
      </c>
      <c r="C150" s="164" t="s">
        <v>7</v>
      </c>
      <c r="D150" s="164"/>
      <c r="E150" s="164"/>
      <c r="F150" s="165">
        <v>6000000</v>
      </c>
      <c r="G150" s="165">
        <v>22650000</v>
      </c>
      <c r="H150" s="165"/>
      <c r="I150" s="165">
        <f t="shared" ref="I150:I153" si="291">G150-F150</f>
        <v>16650000</v>
      </c>
      <c r="J150" s="165"/>
      <c r="K150" s="165"/>
      <c r="L150" s="165"/>
      <c r="M150" s="165"/>
      <c r="N150" s="165"/>
      <c r="O150" s="165"/>
      <c r="P150" s="165"/>
      <c r="Q150" s="165"/>
      <c r="R150" s="165">
        <v>1498000</v>
      </c>
      <c r="S150" s="165"/>
      <c r="T150" s="165"/>
      <c r="U150" s="165"/>
      <c r="V150" s="165"/>
      <c r="W150" s="165"/>
      <c r="X150" s="240">
        <v>1493000</v>
      </c>
      <c r="Y150" s="165"/>
      <c r="Z150" s="165"/>
      <c r="AA150" s="165"/>
      <c r="AB150" s="165"/>
      <c r="AC150" s="165"/>
      <c r="AD150" s="165"/>
      <c r="AE150" s="165"/>
      <c r="AF150" s="165"/>
      <c r="AG150" s="165"/>
      <c r="AH150" s="165"/>
      <c r="AI150" s="165"/>
      <c r="AJ150" s="165"/>
      <c r="AK150" s="165"/>
      <c r="AL150" s="165"/>
      <c r="AM150" s="165"/>
      <c r="AN150" s="165"/>
      <c r="AO150" s="165"/>
      <c r="AP150" s="165"/>
      <c r="AQ150" s="165"/>
      <c r="AR150" s="165"/>
      <c r="AS150" s="165"/>
      <c r="AT150" s="165">
        <f t="shared" si="255"/>
        <v>2991000</v>
      </c>
      <c r="AU150" s="168">
        <f t="shared" si="261"/>
        <v>49.85</v>
      </c>
      <c r="AV150" s="169">
        <f>F150-AT150</f>
        <v>3009000</v>
      </c>
      <c r="AW150" s="168">
        <f>AV150/F150*100</f>
        <v>50.149999999999991</v>
      </c>
      <c r="AX150" s="164" t="s">
        <v>542</v>
      </c>
      <c r="AY150" s="164" t="s">
        <v>543</v>
      </c>
      <c r="AZ150" s="164" t="s">
        <v>3921</v>
      </c>
      <c r="BA150" s="165"/>
      <c r="BB150" s="165">
        <v>1498000</v>
      </c>
      <c r="BC150" s="240"/>
      <c r="BD150" s="240"/>
      <c r="BE150" s="240"/>
      <c r="BF150" s="240"/>
      <c r="BG150" s="240">
        <v>1493000</v>
      </c>
      <c r="BH150" s="240"/>
    </row>
    <row r="151" spans="2:60" x14ac:dyDescent="0.25">
      <c r="B151" s="228">
        <v>521219</v>
      </c>
      <c r="C151" s="164" t="s">
        <v>53</v>
      </c>
      <c r="D151" s="164"/>
      <c r="E151" s="164"/>
      <c r="F151" s="165">
        <v>1000000</v>
      </c>
      <c r="G151" s="165">
        <v>1000000</v>
      </c>
      <c r="H151" s="165"/>
      <c r="I151" s="165">
        <f t="shared" si="291"/>
        <v>0</v>
      </c>
      <c r="J151" s="165"/>
      <c r="K151" s="165"/>
      <c r="L151" s="165"/>
      <c r="M151" s="165"/>
      <c r="N151" s="165"/>
      <c r="O151" s="165"/>
      <c r="P151" s="165"/>
      <c r="Q151" s="165"/>
      <c r="R151" s="165">
        <v>346915</v>
      </c>
      <c r="S151" s="165"/>
      <c r="T151" s="165"/>
      <c r="U151" s="165"/>
      <c r="V151" s="165"/>
      <c r="W151" s="165"/>
      <c r="X151" s="165">
        <v>355980</v>
      </c>
      <c r="Y151" s="165"/>
      <c r="Z151" s="165"/>
      <c r="AA151" s="165"/>
      <c r="AB151" s="165"/>
      <c r="AC151" s="165"/>
      <c r="AD151" s="165"/>
      <c r="AE151" s="165"/>
      <c r="AF151" s="165"/>
      <c r="AG151" s="165"/>
      <c r="AH151" s="165"/>
      <c r="AI151" s="165"/>
      <c r="AJ151" s="165"/>
      <c r="AK151" s="165"/>
      <c r="AL151" s="165"/>
      <c r="AM151" s="165"/>
      <c r="AN151" s="165"/>
      <c r="AO151" s="165"/>
      <c r="AP151" s="165"/>
      <c r="AQ151" s="165"/>
      <c r="AR151" s="165"/>
      <c r="AS151" s="165"/>
      <c r="AT151" s="165">
        <f t="shared" ref="AT151:AT153" si="292">SUM(J151:AS151)</f>
        <v>702895</v>
      </c>
      <c r="AU151" s="168">
        <f t="shared" si="261"/>
        <v>70.289500000000004</v>
      </c>
      <c r="AV151" s="169">
        <f t="shared" ref="AV151:AV154" si="293">F151-AT151</f>
        <v>297105</v>
      </c>
      <c r="AW151" s="168">
        <f t="shared" ref="AW151:AW153" si="294">AV151/F151*100</f>
        <v>29.7105</v>
      </c>
      <c r="AX151" s="164" t="s">
        <v>542</v>
      </c>
      <c r="AY151" s="164" t="s">
        <v>543</v>
      </c>
      <c r="AZ151" s="319" t="s">
        <v>3921</v>
      </c>
      <c r="BA151" s="165"/>
      <c r="BB151" s="165">
        <v>346915</v>
      </c>
      <c r="BC151" s="240"/>
      <c r="BD151" s="165"/>
      <c r="BE151" s="165"/>
      <c r="BF151" s="165"/>
      <c r="BG151" s="165">
        <v>355980</v>
      </c>
      <c r="BH151" s="165"/>
    </row>
    <row r="152" spans="2:60" x14ac:dyDescent="0.25">
      <c r="B152" s="228">
        <v>521811</v>
      </c>
      <c r="C152" s="164" t="s">
        <v>64</v>
      </c>
      <c r="D152" s="164"/>
      <c r="E152" s="164"/>
      <c r="F152" s="165">
        <v>10000000</v>
      </c>
      <c r="G152" s="165">
        <v>15000000</v>
      </c>
      <c r="H152" s="165"/>
      <c r="I152" s="165">
        <f t="shared" si="291"/>
        <v>5000000</v>
      </c>
      <c r="J152" s="165"/>
      <c r="K152" s="165"/>
      <c r="L152" s="165"/>
      <c r="M152" s="165"/>
      <c r="N152" s="165"/>
      <c r="O152" s="165"/>
      <c r="P152" s="165"/>
      <c r="Q152" s="165"/>
      <c r="R152" s="165">
        <v>2459000</v>
      </c>
      <c r="S152" s="165"/>
      <c r="T152" s="165"/>
      <c r="U152" s="165"/>
      <c r="V152" s="165"/>
      <c r="W152" s="165"/>
      <c r="X152" s="165">
        <v>2390000</v>
      </c>
      <c r="Y152" s="165"/>
      <c r="Z152" s="165"/>
      <c r="AA152" s="165"/>
      <c r="AB152" s="165"/>
      <c r="AC152" s="165"/>
      <c r="AD152" s="165"/>
      <c r="AE152" s="165"/>
      <c r="AF152" s="165"/>
      <c r="AG152" s="165"/>
      <c r="AH152" s="165"/>
      <c r="AI152" s="165"/>
      <c r="AJ152" s="165"/>
      <c r="AK152" s="165"/>
      <c r="AL152" s="165"/>
      <c r="AM152" s="165"/>
      <c r="AN152" s="165"/>
      <c r="AO152" s="165"/>
      <c r="AP152" s="165"/>
      <c r="AQ152" s="165"/>
      <c r="AR152" s="165"/>
      <c r="AS152" s="165"/>
      <c r="AT152" s="165">
        <f>SUM(J152:AS152)</f>
        <v>4849000</v>
      </c>
      <c r="AU152" s="168">
        <f t="shared" si="261"/>
        <v>48.49</v>
      </c>
      <c r="AV152" s="169">
        <f t="shared" si="293"/>
        <v>5151000</v>
      </c>
      <c r="AW152" s="168">
        <f t="shared" si="294"/>
        <v>51.51</v>
      </c>
      <c r="AX152" s="164" t="s">
        <v>542</v>
      </c>
      <c r="AY152" s="164" t="s">
        <v>543</v>
      </c>
      <c r="AZ152" s="164" t="s">
        <v>3921</v>
      </c>
      <c r="BA152" s="165"/>
      <c r="BB152" s="165">
        <v>2459000</v>
      </c>
      <c r="BC152" s="240"/>
      <c r="BD152" s="165"/>
      <c r="BE152" s="165"/>
      <c r="BF152" s="165"/>
      <c r="BG152" s="165">
        <v>2390000</v>
      </c>
      <c r="BH152" s="165"/>
    </row>
    <row r="153" spans="2:60" x14ac:dyDescent="0.25">
      <c r="B153" s="228">
        <v>524111</v>
      </c>
      <c r="C153" s="164" t="s">
        <v>19</v>
      </c>
      <c r="D153" s="164"/>
      <c r="E153" s="164"/>
      <c r="F153" s="165">
        <v>5164000</v>
      </c>
      <c r="G153" s="165">
        <v>62400000</v>
      </c>
      <c r="H153" s="165"/>
      <c r="I153" s="165">
        <f t="shared" si="291"/>
        <v>57236000</v>
      </c>
      <c r="J153" s="165"/>
      <c r="K153" s="165"/>
      <c r="L153" s="165"/>
      <c r="M153" s="165">
        <v>1010000</v>
      </c>
      <c r="N153" s="165"/>
      <c r="O153" s="165"/>
      <c r="P153" s="165"/>
      <c r="Q153" s="240">
        <v>2805000</v>
      </c>
      <c r="R153" s="165"/>
      <c r="S153" s="165"/>
      <c r="T153" s="165"/>
      <c r="U153" s="165"/>
      <c r="V153" s="165">
        <f>900500+448000</f>
        <v>1348500</v>
      </c>
      <c r="W153" s="165"/>
      <c r="X153" s="165"/>
      <c r="Y153" s="165"/>
      <c r="Z153" s="165"/>
      <c r="AA153" s="165"/>
      <c r="AB153" s="165"/>
      <c r="AC153" s="165"/>
      <c r="AD153" s="165"/>
      <c r="AE153" s="165"/>
      <c r="AF153" s="165"/>
      <c r="AG153" s="165"/>
      <c r="AH153" s="165"/>
      <c r="AI153" s="165"/>
      <c r="AJ153" s="165"/>
      <c r="AK153" s="165"/>
      <c r="AL153" s="165"/>
      <c r="AM153" s="165"/>
      <c r="AN153" s="165"/>
      <c r="AO153" s="165"/>
      <c r="AP153" s="165"/>
      <c r="AQ153" s="165"/>
      <c r="AR153" s="165"/>
      <c r="AS153" s="165"/>
      <c r="AT153" s="165">
        <f t="shared" si="292"/>
        <v>5163500</v>
      </c>
      <c r="AU153" s="168">
        <f t="shared" si="261"/>
        <v>99.990317583268791</v>
      </c>
      <c r="AV153" s="169">
        <f t="shared" si="293"/>
        <v>500</v>
      </c>
      <c r="AW153" s="168">
        <f t="shared" si="294"/>
        <v>9.6824167312161129E-3</v>
      </c>
      <c r="AX153" s="164" t="s">
        <v>542</v>
      </c>
      <c r="AY153" s="164" t="s">
        <v>543</v>
      </c>
      <c r="AZ153" s="164" t="s">
        <v>3921</v>
      </c>
      <c r="BA153" s="165"/>
      <c r="BB153" s="165"/>
      <c r="BC153" s="240">
        <v>2805000</v>
      </c>
      <c r="BD153" s="165"/>
      <c r="BE153" s="165"/>
      <c r="BF153" s="165"/>
      <c r="BG153" s="165"/>
      <c r="BH153" s="165"/>
    </row>
    <row r="154" spans="2:60" x14ac:dyDescent="0.25">
      <c r="B154" s="230" t="s">
        <v>511</v>
      </c>
      <c r="C154" s="166" t="s">
        <v>130</v>
      </c>
      <c r="D154" s="166"/>
      <c r="E154" s="166"/>
      <c r="F154" s="167">
        <f t="shared" ref="F154:AS154" si="295">SUM(F155:F159)</f>
        <v>78000000</v>
      </c>
      <c r="G154" s="167">
        <f t="shared" ref="G154:H154" si="296">SUM(G155:G159)</f>
        <v>345988000</v>
      </c>
      <c r="H154" s="167">
        <f t="shared" si="296"/>
        <v>0</v>
      </c>
      <c r="I154" s="167">
        <f t="shared" ref="I154" si="297">SUM(I155:I159)</f>
        <v>267988000</v>
      </c>
      <c r="J154" s="167">
        <f t="shared" si="295"/>
        <v>0</v>
      </c>
      <c r="K154" s="167">
        <f t="shared" si="295"/>
        <v>0</v>
      </c>
      <c r="L154" s="167">
        <f t="shared" si="295"/>
        <v>0</v>
      </c>
      <c r="M154" s="167">
        <f t="shared" si="295"/>
        <v>0</v>
      </c>
      <c r="N154" s="167">
        <f t="shared" si="295"/>
        <v>0</v>
      </c>
      <c r="O154" s="167">
        <f t="shared" si="295"/>
        <v>0</v>
      </c>
      <c r="P154" s="167">
        <f t="shared" si="295"/>
        <v>0</v>
      </c>
      <c r="Q154" s="167">
        <f t="shared" si="295"/>
        <v>0</v>
      </c>
      <c r="R154" s="167">
        <f t="shared" si="295"/>
        <v>7874000</v>
      </c>
      <c r="S154" s="167">
        <f t="shared" si="295"/>
        <v>205000</v>
      </c>
      <c r="T154" s="167">
        <f t="shared" si="295"/>
        <v>0</v>
      </c>
      <c r="U154" s="167">
        <f t="shared" si="295"/>
        <v>0</v>
      </c>
      <c r="V154" s="167">
        <f t="shared" si="295"/>
        <v>4224000</v>
      </c>
      <c r="W154" s="167">
        <f t="shared" si="295"/>
        <v>0</v>
      </c>
      <c r="X154" s="167">
        <f t="shared" si="295"/>
        <v>7848000</v>
      </c>
      <c r="Y154" s="167">
        <f t="shared" si="295"/>
        <v>0</v>
      </c>
      <c r="Z154" s="167">
        <f t="shared" si="295"/>
        <v>0</v>
      </c>
      <c r="AA154" s="167">
        <f t="shared" si="295"/>
        <v>0</v>
      </c>
      <c r="AB154" s="167">
        <f t="shared" si="295"/>
        <v>0</v>
      </c>
      <c r="AC154" s="167">
        <f t="shared" si="295"/>
        <v>0</v>
      </c>
      <c r="AD154" s="167">
        <f t="shared" si="295"/>
        <v>0</v>
      </c>
      <c r="AE154" s="167">
        <f t="shared" si="295"/>
        <v>0</v>
      </c>
      <c r="AF154" s="167">
        <f t="shared" si="295"/>
        <v>0</v>
      </c>
      <c r="AG154" s="167">
        <f t="shared" si="295"/>
        <v>0</v>
      </c>
      <c r="AH154" s="167">
        <f t="shared" si="295"/>
        <v>0</v>
      </c>
      <c r="AI154" s="167">
        <f t="shared" si="295"/>
        <v>0</v>
      </c>
      <c r="AJ154" s="167">
        <f t="shared" si="295"/>
        <v>0</v>
      </c>
      <c r="AK154" s="167">
        <f t="shared" si="295"/>
        <v>0</v>
      </c>
      <c r="AL154" s="167">
        <f t="shared" si="295"/>
        <v>0</v>
      </c>
      <c r="AM154" s="167">
        <f t="shared" si="295"/>
        <v>0</v>
      </c>
      <c r="AN154" s="167">
        <f t="shared" si="295"/>
        <v>0</v>
      </c>
      <c r="AO154" s="167">
        <f t="shared" si="295"/>
        <v>0</v>
      </c>
      <c r="AP154" s="167">
        <f t="shared" si="295"/>
        <v>0</v>
      </c>
      <c r="AQ154" s="167">
        <f t="shared" si="295"/>
        <v>0</v>
      </c>
      <c r="AR154" s="167">
        <f t="shared" si="295"/>
        <v>0</v>
      </c>
      <c r="AS154" s="167">
        <f t="shared" si="295"/>
        <v>0</v>
      </c>
      <c r="AT154" s="167">
        <f>SUM(J154:AS154)</f>
        <v>20151000</v>
      </c>
      <c r="AU154" s="175">
        <f t="shared" si="261"/>
        <v>25.834615384615383</v>
      </c>
      <c r="AV154" s="176">
        <f t="shared" si="293"/>
        <v>57849000</v>
      </c>
      <c r="AW154" s="175">
        <f>AV154/F154*100</f>
        <v>74.16538461538461</v>
      </c>
      <c r="AX154" s="164" t="s">
        <v>542</v>
      </c>
      <c r="AY154" s="164" t="s">
        <v>543</v>
      </c>
      <c r="AZ154" s="164" t="s">
        <v>3921</v>
      </c>
      <c r="BA154" s="167">
        <f>SUM(BA155:BA159)</f>
        <v>0</v>
      </c>
      <c r="BB154" s="167">
        <f>SUM(BB155:BB159)</f>
        <v>7874000</v>
      </c>
      <c r="BC154" s="167">
        <f>SUM(BC155:BC159)</f>
        <v>0</v>
      </c>
      <c r="BD154" s="167">
        <f t="shared" ref="BD154" si="298">SUM(BD155:BD159)</f>
        <v>0</v>
      </c>
      <c r="BE154" s="167">
        <f t="shared" ref="BE154" si="299">SUM(BE155:BE159)</f>
        <v>0</v>
      </c>
      <c r="BF154" s="167">
        <f t="shared" ref="BF154:BG154" si="300">SUM(BF155:BF159)</f>
        <v>0</v>
      </c>
      <c r="BG154" s="167">
        <f t="shared" si="300"/>
        <v>7848000</v>
      </c>
      <c r="BH154" s="167">
        <f t="shared" ref="BH154" si="301">SUM(BH155:BH159)</f>
        <v>0</v>
      </c>
    </row>
    <row r="155" spans="2:60" x14ac:dyDescent="0.25">
      <c r="B155" s="228">
        <v>521211</v>
      </c>
      <c r="C155" s="164" t="s">
        <v>7</v>
      </c>
      <c r="D155" s="164"/>
      <c r="E155" s="164"/>
      <c r="F155" s="165">
        <v>12000000</v>
      </c>
      <c r="G155" s="165">
        <v>49300000</v>
      </c>
      <c r="H155" s="165"/>
      <c r="I155" s="165">
        <f t="shared" ref="I155:I159" si="302">G155-F155</f>
        <v>37300000</v>
      </c>
      <c r="J155" s="165"/>
      <c r="K155" s="165"/>
      <c r="L155" s="165"/>
      <c r="M155" s="165"/>
      <c r="N155" s="165"/>
      <c r="O155" s="165"/>
      <c r="P155" s="165"/>
      <c r="Q155" s="165"/>
      <c r="R155" s="165">
        <v>2964000</v>
      </c>
      <c r="S155" s="165"/>
      <c r="T155" s="165"/>
      <c r="U155" s="165"/>
      <c r="V155" s="165"/>
      <c r="W155" s="165"/>
      <c r="X155" s="165">
        <v>2975000</v>
      </c>
      <c r="Y155" s="165"/>
      <c r="Z155" s="165"/>
      <c r="AA155" s="165"/>
      <c r="AB155" s="165"/>
      <c r="AC155" s="165"/>
      <c r="AD155" s="165"/>
      <c r="AE155" s="165"/>
      <c r="AF155" s="165"/>
      <c r="AG155" s="165"/>
      <c r="AH155" s="165"/>
      <c r="AI155" s="165"/>
      <c r="AJ155" s="165"/>
      <c r="AK155" s="165"/>
      <c r="AL155" s="165"/>
      <c r="AM155" s="165"/>
      <c r="AN155" s="165"/>
      <c r="AO155" s="165"/>
      <c r="AP155" s="165"/>
      <c r="AQ155" s="165"/>
      <c r="AR155" s="165"/>
      <c r="AS155" s="165"/>
      <c r="AT155" s="165">
        <f>SUM(J155:AS155)</f>
        <v>5939000</v>
      </c>
      <c r="AU155" s="168">
        <f t="shared" si="261"/>
        <v>49.491666666666667</v>
      </c>
      <c r="AV155" s="169">
        <f t="shared" ref="AV155:AV189" si="303">F155-AT155</f>
        <v>6061000</v>
      </c>
      <c r="AW155" s="168">
        <f t="shared" si="243"/>
        <v>50.508333333333333</v>
      </c>
      <c r="AX155" s="164" t="s">
        <v>542</v>
      </c>
      <c r="AY155" s="164" t="s">
        <v>543</v>
      </c>
      <c r="AZ155" s="164" t="s">
        <v>3921</v>
      </c>
      <c r="BA155" s="165"/>
      <c r="BB155" s="165">
        <v>2964000</v>
      </c>
      <c r="BC155" s="240"/>
      <c r="BD155" s="165"/>
      <c r="BE155" s="165"/>
      <c r="BF155" s="165"/>
      <c r="BG155" s="165">
        <v>2975000</v>
      </c>
      <c r="BH155" s="165"/>
    </row>
    <row r="156" spans="2:60" x14ac:dyDescent="0.25">
      <c r="B156" s="228">
        <v>521219</v>
      </c>
      <c r="C156" s="164" t="s">
        <v>53</v>
      </c>
      <c r="D156" s="164"/>
      <c r="E156" s="164"/>
      <c r="F156" s="165">
        <v>1000000</v>
      </c>
      <c r="G156" s="165">
        <v>1000000</v>
      </c>
      <c r="H156" s="165"/>
      <c r="I156" s="165">
        <f t="shared" si="302"/>
        <v>0</v>
      </c>
      <c r="J156" s="165"/>
      <c r="K156" s="165"/>
      <c r="L156" s="165"/>
      <c r="M156" s="165"/>
      <c r="N156" s="165"/>
      <c r="O156" s="165"/>
      <c r="P156" s="165"/>
      <c r="Q156" s="165"/>
      <c r="R156" s="165"/>
      <c r="S156" s="165"/>
      <c r="T156" s="165"/>
      <c r="U156" s="165"/>
      <c r="V156" s="165"/>
      <c r="W156" s="165"/>
      <c r="X156" s="165"/>
      <c r="Y156" s="165"/>
      <c r="Z156" s="165"/>
      <c r="AA156" s="165"/>
      <c r="AB156" s="165"/>
      <c r="AC156" s="165"/>
      <c r="AD156" s="165"/>
      <c r="AE156" s="165"/>
      <c r="AF156" s="165"/>
      <c r="AG156" s="165"/>
      <c r="AH156" s="165"/>
      <c r="AI156" s="165"/>
      <c r="AJ156" s="165"/>
      <c r="AK156" s="165"/>
      <c r="AL156" s="165"/>
      <c r="AM156" s="165"/>
      <c r="AN156" s="165"/>
      <c r="AO156" s="165"/>
      <c r="AP156" s="165"/>
      <c r="AQ156" s="165"/>
      <c r="AR156" s="165"/>
      <c r="AS156" s="165"/>
      <c r="AT156" s="165">
        <f t="shared" ref="AT156:AT189" si="304">SUM(J156:AS156)</f>
        <v>0</v>
      </c>
      <c r="AU156" s="168">
        <f t="shared" si="261"/>
        <v>0</v>
      </c>
      <c r="AV156" s="169">
        <f t="shared" si="303"/>
        <v>1000000</v>
      </c>
      <c r="AW156" s="168">
        <f t="shared" si="243"/>
        <v>100</v>
      </c>
      <c r="AX156" s="164" t="s">
        <v>542</v>
      </c>
      <c r="AY156" s="164" t="s">
        <v>543</v>
      </c>
      <c r="AZ156" s="319" t="s">
        <v>3921</v>
      </c>
      <c r="BA156" s="165"/>
      <c r="BB156" s="165"/>
      <c r="BC156" s="240"/>
      <c r="BD156" s="165"/>
      <c r="BE156" s="165"/>
      <c r="BF156" s="165"/>
      <c r="BG156" s="165"/>
      <c r="BH156" s="165"/>
    </row>
    <row r="157" spans="2:60" x14ac:dyDescent="0.25">
      <c r="B157" s="228">
        <v>521811</v>
      </c>
      <c r="C157" s="164" t="s">
        <v>64</v>
      </c>
      <c r="D157" s="164"/>
      <c r="E157" s="164"/>
      <c r="F157" s="165">
        <v>20000000</v>
      </c>
      <c r="G157" s="165">
        <v>25000000</v>
      </c>
      <c r="H157" s="165"/>
      <c r="I157" s="165">
        <f t="shared" si="302"/>
        <v>5000000</v>
      </c>
      <c r="J157" s="165"/>
      <c r="K157" s="165"/>
      <c r="L157" s="165"/>
      <c r="M157" s="165"/>
      <c r="N157" s="165"/>
      <c r="O157" s="165"/>
      <c r="P157" s="165"/>
      <c r="Q157" s="165"/>
      <c r="R157" s="165">
        <v>4910000</v>
      </c>
      <c r="S157" s="165"/>
      <c r="T157" s="165"/>
      <c r="U157" s="165"/>
      <c r="V157" s="165"/>
      <c r="W157" s="165"/>
      <c r="X157" s="165">
        <v>4873000</v>
      </c>
      <c r="Y157" s="165"/>
      <c r="Z157" s="165"/>
      <c r="AA157" s="165"/>
      <c r="AB157" s="165"/>
      <c r="AC157" s="165"/>
      <c r="AD157" s="165"/>
      <c r="AE157" s="165"/>
      <c r="AF157" s="165"/>
      <c r="AG157" s="165"/>
      <c r="AH157" s="165"/>
      <c r="AI157" s="165"/>
      <c r="AJ157" s="165"/>
      <c r="AK157" s="165"/>
      <c r="AL157" s="165"/>
      <c r="AM157" s="165"/>
      <c r="AN157" s="165"/>
      <c r="AO157" s="165"/>
      <c r="AP157" s="165"/>
      <c r="AQ157" s="165"/>
      <c r="AR157" s="165"/>
      <c r="AS157" s="165"/>
      <c r="AT157" s="165">
        <f t="shared" si="304"/>
        <v>9783000</v>
      </c>
      <c r="AU157" s="168">
        <f t="shared" si="261"/>
        <v>48.914999999999999</v>
      </c>
      <c r="AV157" s="169">
        <f t="shared" si="303"/>
        <v>10217000</v>
      </c>
      <c r="AW157" s="168">
        <f t="shared" si="243"/>
        <v>51.085000000000001</v>
      </c>
      <c r="AX157" s="164" t="s">
        <v>542</v>
      </c>
      <c r="AY157" s="164" t="s">
        <v>543</v>
      </c>
      <c r="AZ157" s="164" t="s">
        <v>3921</v>
      </c>
      <c r="BA157" s="165"/>
      <c r="BB157" s="165">
        <v>4910000</v>
      </c>
      <c r="BC157" s="240"/>
      <c r="BD157" s="165"/>
      <c r="BE157" s="165"/>
      <c r="BF157" s="165"/>
      <c r="BG157" s="165">
        <v>4873000</v>
      </c>
      <c r="BH157" s="165"/>
    </row>
    <row r="158" spans="2:60" x14ac:dyDescent="0.25">
      <c r="B158" s="228">
        <v>522151</v>
      </c>
      <c r="C158" s="164" t="s">
        <v>11</v>
      </c>
      <c r="D158" s="164"/>
      <c r="E158" s="164"/>
      <c r="F158" s="165">
        <v>0</v>
      </c>
      <c r="G158" s="165">
        <v>12000000</v>
      </c>
      <c r="H158" s="165"/>
      <c r="I158" s="165">
        <f t="shared" si="302"/>
        <v>12000000</v>
      </c>
      <c r="J158" s="165"/>
      <c r="K158" s="165"/>
      <c r="L158" s="165"/>
      <c r="M158" s="165"/>
      <c r="N158" s="165"/>
      <c r="O158" s="165"/>
      <c r="P158" s="165"/>
      <c r="Q158" s="165"/>
      <c r="R158" s="165"/>
      <c r="S158" s="165"/>
      <c r="T158" s="165"/>
      <c r="U158" s="165"/>
      <c r="V158" s="165"/>
      <c r="W158" s="165"/>
      <c r="X158" s="165"/>
      <c r="Y158" s="165"/>
      <c r="Z158" s="165"/>
      <c r="AA158" s="165"/>
      <c r="AB158" s="165"/>
      <c r="AC158" s="165"/>
      <c r="AD158" s="165"/>
      <c r="AE158" s="165"/>
      <c r="AF158" s="165"/>
      <c r="AG158" s="165"/>
      <c r="AH158" s="165"/>
      <c r="AI158" s="165"/>
      <c r="AJ158" s="165"/>
      <c r="AK158" s="165"/>
      <c r="AL158" s="165"/>
      <c r="AM158" s="165"/>
      <c r="AN158" s="165"/>
      <c r="AO158" s="165"/>
      <c r="AP158" s="165"/>
      <c r="AQ158" s="165"/>
      <c r="AR158" s="165"/>
      <c r="AS158" s="165"/>
      <c r="AT158" s="165">
        <f t="shared" si="304"/>
        <v>0</v>
      </c>
      <c r="AU158" s="168">
        <f t="shared" si="261"/>
        <v>0</v>
      </c>
      <c r="AV158" s="169">
        <f t="shared" si="303"/>
        <v>0</v>
      </c>
      <c r="AW158" s="168" t="e">
        <f t="shared" si="243"/>
        <v>#DIV/0!</v>
      </c>
      <c r="AX158" s="164" t="s">
        <v>542</v>
      </c>
      <c r="AY158" s="164" t="s">
        <v>543</v>
      </c>
      <c r="AZ158" s="164" t="s">
        <v>3921</v>
      </c>
      <c r="BA158" s="165"/>
      <c r="BB158" s="165"/>
      <c r="BC158" s="240"/>
      <c r="BD158" s="165"/>
      <c r="BE158" s="165"/>
      <c r="BF158" s="165"/>
      <c r="BG158" s="165"/>
      <c r="BH158" s="165"/>
    </row>
    <row r="159" spans="2:60" x14ac:dyDescent="0.25">
      <c r="B159" s="228">
        <v>524111</v>
      </c>
      <c r="C159" s="164" t="s">
        <v>19</v>
      </c>
      <c r="D159" s="164"/>
      <c r="E159" s="164"/>
      <c r="F159" s="165">
        <v>45000000</v>
      </c>
      <c r="G159" s="165">
        <v>258688000</v>
      </c>
      <c r="H159" s="165"/>
      <c r="I159" s="165">
        <f t="shared" si="302"/>
        <v>213688000</v>
      </c>
      <c r="J159" s="165"/>
      <c r="K159" s="165"/>
      <c r="L159" s="165"/>
      <c r="M159" s="165"/>
      <c r="N159" s="165"/>
      <c r="O159" s="165"/>
      <c r="P159" s="165"/>
      <c r="Q159" s="165"/>
      <c r="R159" s="165"/>
      <c r="S159" s="165">
        <v>205000</v>
      </c>
      <c r="T159" s="165"/>
      <c r="U159" s="165"/>
      <c r="V159" s="165">
        <f>1040000+3184000</f>
        <v>4224000</v>
      </c>
      <c r="W159" s="165"/>
      <c r="X159" s="165"/>
      <c r="Y159" s="165"/>
      <c r="Z159" s="165"/>
      <c r="AA159" s="165"/>
      <c r="AB159" s="165"/>
      <c r="AC159" s="165"/>
      <c r="AD159" s="165"/>
      <c r="AE159" s="165"/>
      <c r="AF159" s="165"/>
      <c r="AG159" s="165"/>
      <c r="AH159" s="165"/>
      <c r="AI159" s="165"/>
      <c r="AJ159" s="165"/>
      <c r="AK159" s="165"/>
      <c r="AL159" s="165"/>
      <c r="AM159" s="165"/>
      <c r="AN159" s="165"/>
      <c r="AO159" s="165"/>
      <c r="AP159" s="165"/>
      <c r="AQ159" s="165"/>
      <c r="AR159" s="165"/>
      <c r="AS159" s="165"/>
      <c r="AT159" s="165">
        <f t="shared" si="304"/>
        <v>4429000</v>
      </c>
      <c r="AU159" s="168">
        <f t="shared" si="261"/>
        <v>9.8422222222222224</v>
      </c>
      <c r="AV159" s="169">
        <f t="shared" si="303"/>
        <v>40571000</v>
      </c>
      <c r="AW159" s="168">
        <f t="shared" si="243"/>
        <v>90.157777777777781</v>
      </c>
      <c r="AX159" s="164" t="s">
        <v>542</v>
      </c>
      <c r="AY159" s="164" t="s">
        <v>543</v>
      </c>
      <c r="AZ159" s="164" t="s">
        <v>3921</v>
      </c>
      <c r="BA159" s="165"/>
      <c r="BB159" s="165"/>
      <c r="BC159" s="240"/>
      <c r="BD159" s="165"/>
      <c r="BE159" s="165"/>
      <c r="BF159" s="165"/>
      <c r="BG159" s="165"/>
      <c r="BH159" s="165"/>
    </row>
    <row r="160" spans="2:60" x14ac:dyDescent="0.25">
      <c r="B160" s="230" t="s">
        <v>512</v>
      </c>
      <c r="C160" s="166" t="s">
        <v>131</v>
      </c>
      <c r="D160" s="166"/>
      <c r="E160" s="166"/>
      <c r="F160" s="167">
        <f t="shared" ref="F160:AS160" si="305">SUM(F161:F164)</f>
        <v>80408000</v>
      </c>
      <c r="G160" s="167">
        <f t="shared" ref="G160:H160" si="306">SUM(G161:G164)</f>
        <v>168100000</v>
      </c>
      <c r="H160" s="167">
        <f t="shared" si="306"/>
        <v>0</v>
      </c>
      <c r="I160" s="167">
        <f t="shared" ref="I160" si="307">SUM(I161:I164)</f>
        <v>87692000</v>
      </c>
      <c r="J160" s="167">
        <f t="shared" si="305"/>
        <v>0</v>
      </c>
      <c r="K160" s="167">
        <f t="shared" si="305"/>
        <v>0</v>
      </c>
      <c r="L160" s="167">
        <f t="shared" si="305"/>
        <v>0</v>
      </c>
      <c r="M160" s="167">
        <f t="shared" si="305"/>
        <v>9587800</v>
      </c>
      <c r="N160" s="167">
        <f t="shared" si="305"/>
        <v>0</v>
      </c>
      <c r="O160" s="167">
        <f t="shared" si="305"/>
        <v>0</v>
      </c>
      <c r="P160" s="167">
        <f t="shared" si="305"/>
        <v>0</v>
      </c>
      <c r="Q160" s="167">
        <f t="shared" si="305"/>
        <v>5040000</v>
      </c>
      <c r="R160" s="167">
        <f t="shared" si="305"/>
        <v>25252750</v>
      </c>
      <c r="S160" s="167">
        <f t="shared" si="305"/>
        <v>6330000</v>
      </c>
      <c r="T160" s="167">
        <f t="shared" si="305"/>
        <v>0</v>
      </c>
      <c r="U160" s="167">
        <f t="shared" si="305"/>
        <v>0</v>
      </c>
      <c r="V160" s="167">
        <f t="shared" si="305"/>
        <v>3600000</v>
      </c>
      <c r="W160" s="167">
        <f t="shared" si="305"/>
        <v>0</v>
      </c>
      <c r="X160" s="167">
        <f t="shared" si="305"/>
        <v>7811500</v>
      </c>
      <c r="Y160" s="167">
        <f t="shared" si="305"/>
        <v>10500000</v>
      </c>
      <c r="Z160" s="167">
        <f t="shared" si="305"/>
        <v>0</v>
      </c>
      <c r="AA160" s="167">
        <f t="shared" si="305"/>
        <v>0</v>
      </c>
      <c r="AB160" s="167">
        <f t="shared" si="305"/>
        <v>0</v>
      </c>
      <c r="AC160" s="167">
        <f t="shared" si="305"/>
        <v>0</v>
      </c>
      <c r="AD160" s="167">
        <f t="shared" si="305"/>
        <v>0</v>
      </c>
      <c r="AE160" s="167">
        <f t="shared" si="305"/>
        <v>0</v>
      </c>
      <c r="AF160" s="167">
        <f t="shared" si="305"/>
        <v>0</v>
      </c>
      <c r="AG160" s="167">
        <f t="shared" si="305"/>
        <v>0</v>
      </c>
      <c r="AH160" s="167">
        <f t="shared" si="305"/>
        <v>0</v>
      </c>
      <c r="AI160" s="167">
        <f t="shared" si="305"/>
        <v>0</v>
      </c>
      <c r="AJ160" s="167">
        <f t="shared" si="305"/>
        <v>0</v>
      </c>
      <c r="AK160" s="167">
        <f t="shared" si="305"/>
        <v>0</v>
      </c>
      <c r="AL160" s="167">
        <f t="shared" si="305"/>
        <v>0</v>
      </c>
      <c r="AM160" s="167">
        <f t="shared" si="305"/>
        <v>0</v>
      </c>
      <c r="AN160" s="167">
        <f t="shared" si="305"/>
        <v>0</v>
      </c>
      <c r="AO160" s="167">
        <f t="shared" si="305"/>
        <v>0</v>
      </c>
      <c r="AP160" s="167">
        <f t="shared" si="305"/>
        <v>0</v>
      </c>
      <c r="AQ160" s="167">
        <f t="shared" si="305"/>
        <v>0</v>
      </c>
      <c r="AR160" s="167">
        <f t="shared" si="305"/>
        <v>0</v>
      </c>
      <c r="AS160" s="167">
        <f t="shared" si="305"/>
        <v>0</v>
      </c>
      <c r="AT160" s="167">
        <f t="shared" si="304"/>
        <v>68122050</v>
      </c>
      <c r="AU160" s="175">
        <f t="shared" si="261"/>
        <v>84.720488011143175</v>
      </c>
      <c r="AV160" s="176">
        <f t="shared" si="303"/>
        <v>12285950</v>
      </c>
      <c r="AW160" s="175">
        <f t="shared" si="243"/>
        <v>15.27951198885683</v>
      </c>
      <c r="AX160" s="164" t="s">
        <v>542</v>
      </c>
      <c r="AY160" s="164" t="s">
        <v>543</v>
      </c>
      <c r="AZ160" s="164" t="s">
        <v>3921</v>
      </c>
      <c r="BA160" s="167">
        <f t="shared" ref="BA160:BD160" si="308">SUM(BA161:BA164)</f>
        <v>0</v>
      </c>
      <c r="BB160" s="167">
        <f t="shared" si="308"/>
        <v>25252750</v>
      </c>
      <c r="BC160" s="167">
        <f t="shared" si="308"/>
        <v>5040000</v>
      </c>
      <c r="BD160" s="167">
        <f t="shared" si="308"/>
        <v>0</v>
      </c>
      <c r="BE160" s="167">
        <f t="shared" ref="BE160" si="309">SUM(BE161:BE164)</f>
        <v>0</v>
      </c>
      <c r="BF160" s="167">
        <f t="shared" ref="BF160:BG160" si="310">SUM(BF161:BF164)</f>
        <v>0</v>
      </c>
      <c r="BG160" s="167">
        <f t="shared" si="310"/>
        <v>7811500</v>
      </c>
      <c r="BH160" s="167">
        <f t="shared" ref="BH160" si="311">SUM(BH161:BH164)</f>
        <v>0</v>
      </c>
    </row>
    <row r="161" spans="2:60" x14ac:dyDescent="0.25">
      <c r="B161" s="228">
        <v>521211</v>
      </c>
      <c r="C161" s="164" t="s">
        <v>7</v>
      </c>
      <c r="D161" s="164"/>
      <c r="E161" s="164"/>
      <c r="F161" s="165">
        <v>21000000</v>
      </c>
      <c r="G161" s="165">
        <v>39500000</v>
      </c>
      <c r="H161" s="165"/>
      <c r="I161" s="165">
        <f t="shared" ref="I161:I164" si="312">G161-F161</f>
        <v>18500000</v>
      </c>
      <c r="J161" s="165"/>
      <c r="K161" s="165"/>
      <c r="L161" s="165"/>
      <c r="M161" s="165"/>
      <c r="N161" s="165"/>
      <c r="O161" s="165"/>
      <c r="P161" s="165"/>
      <c r="Q161" s="165"/>
      <c r="R161" s="165">
        <v>2955000</v>
      </c>
      <c r="S161" s="165"/>
      <c r="T161" s="165"/>
      <c r="U161" s="165"/>
      <c r="V161" s="165"/>
      <c r="W161" s="165"/>
      <c r="X161" s="165">
        <v>2933500</v>
      </c>
      <c r="Y161" s="165">
        <v>10500000</v>
      </c>
      <c r="Z161" s="165"/>
      <c r="AA161" s="165"/>
      <c r="AB161" s="165"/>
      <c r="AC161" s="165"/>
      <c r="AD161" s="165"/>
      <c r="AE161" s="165"/>
      <c r="AF161" s="165"/>
      <c r="AG161" s="165"/>
      <c r="AH161" s="165"/>
      <c r="AI161" s="165"/>
      <c r="AJ161" s="165"/>
      <c r="AK161" s="165"/>
      <c r="AL161" s="165"/>
      <c r="AM161" s="165"/>
      <c r="AN161" s="165"/>
      <c r="AO161" s="165"/>
      <c r="AP161" s="165"/>
      <c r="AQ161" s="165"/>
      <c r="AR161" s="165"/>
      <c r="AS161" s="165"/>
      <c r="AT161" s="165">
        <f t="shared" si="304"/>
        <v>16388500</v>
      </c>
      <c r="AU161" s="168">
        <f t="shared" si="261"/>
        <v>78.040476190476198</v>
      </c>
      <c r="AV161" s="169">
        <f t="shared" si="303"/>
        <v>4611500</v>
      </c>
      <c r="AW161" s="168">
        <f t="shared" si="243"/>
        <v>21.959523809523809</v>
      </c>
      <c r="AX161" s="164" t="s">
        <v>542</v>
      </c>
      <c r="AY161" s="164" t="s">
        <v>543</v>
      </c>
      <c r="AZ161" s="164" t="s">
        <v>3921</v>
      </c>
      <c r="BA161" s="165"/>
      <c r="BB161" s="165">
        <v>2955000</v>
      </c>
      <c r="BC161" s="240"/>
      <c r="BD161" s="165"/>
      <c r="BE161" s="165"/>
      <c r="BF161" s="165"/>
      <c r="BG161" s="165">
        <v>2933500</v>
      </c>
      <c r="BH161" s="165"/>
    </row>
    <row r="162" spans="2:60" x14ac:dyDescent="0.25">
      <c r="B162" s="228">
        <v>521811</v>
      </c>
      <c r="C162" s="164" t="s">
        <v>64</v>
      </c>
      <c r="D162" s="164"/>
      <c r="E162" s="164"/>
      <c r="F162" s="165">
        <v>17500000</v>
      </c>
      <c r="G162" s="165">
        <v>25000000</v>
      </c>
      <c r="H162" s="165"/>
      <c r="I162" s="165">
        <f t="shared" si="312"/>
        <v>7500000</v>
      </c>
      <c r="J162" s="165"/>
      <c r="K162" s="165"/>
      <c r="L162" s="165"/>
      <c r="M162" s="165"/>
      <c r="N162" s="165"/>
      <c r="O162" s="165"/>
      <c r="P162" s="165"/>
      <c r="Q162" s="165"/>
      <c r="R162" s="165">
        <v>4947750</v>
      </c>
      <c r="S162" s="165"/>
      <c r="T162" s="165"/>
      <c r="U162" s="165"/>
      <c r="V162" s="165"/>
      <c r="W162" s="165"/>
      <c r="X162" s="165">
        <v>4878000</v>
      </c>
      <c r="Y162" s="165"/>
      <c r="Z162" s="165"/>
      <c r="AA162" s="165"/>
      <c r="AB162" s="165"/>
      <c r="AC162" s="165"/>
      <c r="AD162" s="165"/>
      <c r="AE162" s="165"/>
      <c r="AF162" s="165"/>
      <c r="AG162" s="165"/>
      <c r="AH162" s="165"/>
      <c r="AI162" s="165"/>
      <c r="AJ162" s="165"/>
      <c r="AK162" s="165"/>
      <c r="AL162" s="165"/>
      <c r="AM162" s="165"/>
      <c r="AN162" s="165"/>
      <c r="AO162" s="165"/>
      <c r="AP162" s="165"/>
      <c r="AQ162" s="165"/>
      <c r="AR162" s="165"/>
      <c r="AS162" s="165"/>
      <c r="AT162" s="165">
        <f t="shared" si="304"/>
        <v>9825750</v>
      </c>
      <c r="AU162" s="168">
        <f t="shared" si="261"/>
        <v>56.14714285714286</v>
      </c>
      <c r="AV162" s="169">
        <f t="shared" si="303"/>
        <v>7674250</v>
      </c>
      <c r="AW162" s="168">
        <f t="shared" si="243"/>
        <v>43.852857142857147</v>
      </c>
      <c r="AX162" s="164" t="s">
        <v>542</v>
      </c>
      <c r="AY162" s="164" t="s">
        <v>543</v>
      </c>
      <c r="AZ162" s="164" t="s">
        <v>3921</v>
      </c>
      <c r="BA162" s="165"/>
      <c r="BB162" s="165">
        <v>4947750</v>
      </c>
      <c r="BC162" s="240"/>
      <c r="BD162" s="165"/>
      <c r="BE162" s="165"/>
      <c r="BF162" s="165"/>
      <c r="BG162" s="165">
        <v>4878000</v>
      </c>
      <c r="BH162" s="165"/>
    </row>
    <row r="163" spans="2:60" x14ac:dyDescent="0.25">
      <c r="B163" s="228">
        <v>522151</v>
      </c>
      <c r="C163" s="164" t="s">
        <v>11</v>
      </c>
      <c r="D163" s="164"/>
      <c r="E163" s="164"/>
      <c r="F163" s="165">
        <v>0</v>
      </c>
      <c r="G163" s="165">
        <v>10000000</v>
      </c>
      <c r="H163" s="165"/>
      <c r="I163" s="165">
        <f t="shared" si="312"/>
        <v>10000000</v>
      </c>
      <c r="J163" s="165"/>
      <c r="K163" s="165"/>
      <c r="L163" s="165"/>
      <c r="M163" s="165"/>
      <c r="N163" s="165"/>
      <c r="O163" s="165"/>
      <c r="P163" s="165"/>
      <c r="Q163" s="165"/>
      <c r="R163" s="165"/>
      <c r="S163" s="165"/>
      <c r="T163" s="165"/>
      <c r="U163" s="165"/>
      <c r="V163" s="165"/>
      <c r="W163" s="165"/>
      <c r="X163" s="165"/>
      <c r="Y163" s="165"/>
      <c r="Z163" s="165"/>
      <c r="AA163" s="165"/>
      <c r="AB163" s="165"/>
      <c r="AC163" s="165"/>
      <c r="AD163" s="165"/>
      <c r="AE163" s="165"/>
      <c r="AF163" s="165"/>
      <c r="AG163" s="165"/>
      <c r="AH163" s="165"/>
      <c r="AI163" s="165"/>
      <c r="AJ163" s="165"/>
      <c r="AK163" s="165"/>
      <c r="AL163" s="165"/>
      <c r="AM163" s="165"/>
      <c r="AN163" s="165"/>
      <c r="AO163" s="165"/>
      <c r="AP163" s="165"/>
      <c r="AQ163" s="165"/>
      <c r="AR163" s="165"/>
      <c r="AS163" s="165"/>
      <c r="AT163" s="165">
        <f t="shared" si="304"/>
        <v>0</v>
      </c>
      <c r="AU163" s="168">
        <f t="shared" si="261"/>
        <v>0</v>
      </c>
      <c r="AV163" s="169">
        <f t="shared" si="303"/>
        <v>0</v>
      </c>
      <c r="AW163" s="168" t="e">
        <f t="shared" si="243"/>
        <v>#DIV/0!</v>
      </c>
      <c r="AX163" s="164" t="s">
        <v>542</v>
      </c>
      <c r="AY163" s="164" t="s">
        <v>543</v>
      </c>
      <c r="AZ163" s="164" t="s">
        <v>3921</v>
      </c>
      <c r="BA163" s="165"/>
      <c r="BB163" s="165"/>
      <c r="BC163" s="240"/>
      <c r="BD163" s="165"/>
      <c r="BE163" s="165"/>
      <c r="BF163" s="165"/>
      <c r="BG163" s="165"/>
      <c r="BH163" s="165"/>
    </row>
    <row r="164" spans="2:60" x14ac:dyDescent="0.25">
      <c r="B164" s="228">
        <v>524111</v>
      </c>
      <c r="C164" s="164" t="s">
        <v>19</v>
      </c>
      <c r="D164" s="164"/>
      <c r="E164" s="164"/>
      <c r="F164" s="165">
        <v>41908000</v>
      </c>
      <c r="G164" s="165">
        <v>93600000</v>
      </c>
      <c r="H164" s="165"/>
      <c r="I164" s="165">
        <f t="shared" si="312"/>
        <v>51692000</v>
      </c>
      <c r="J164" s="165"/>
      <c r="K164" s="165"/>
      <c r="L164" s="165"/>
      <c r="M164" s="165">
        <v>9587800</v>
      </c>
      <c r="N164" s="165"/>
      <c r="O164" s="165"/>
      <c r="P164" s="165"/>
      <c r="Q164" s="240">
        <v>5040000</v>
      </c>
      <c r="R164" s="165">
        <v>17350000</v>
      </c>
      <c r="S164" s="165">
        <v>6330000</v>
      </c>
      <c r="T164" s="165"/>
      <c r="U164" s="165"/>
      <c r="V164" s="165">
        <v>3600000</v>
      </c>
      <c r="W164" s="165"/>
      <c r="X164" s="165"/>
      <c r="Y164" s="165"/>
      <c r="Z164" s="165"/>
      <c r="AA164" s="165"/>
      <c r="AB164" s="165"/>
      <c r="AC164" s="165"/>
      <c r="AD164" s="165"/>
      <c r="AE164" s="165"/>
      <c r="AF164" s="165"/>
      <c r="AG164" s="165"/>
      <c r="AH164" s="165"/>
      <c r="AI164" s="165"/>
      <c r="AJ164" s="165"/>
      <c r="AK164" s="165"/>
      <c r="AL164" s="165"/>
      <c r="AM164" s="165"/>
      <c r="AN164" s="165"/>
      <c r="AO164" s="165"/>
      <c r="AP164" s="165"/>
      <c r="AQ164" s="165"/>
      <c r="AR164" s="165"/>
      <c r="AS164" s="165"/>
      <c r="AT164" s="165">
        <f t="shared" si="304"/>
        <v>41907800</v>
      </c>
      <c r="AU164" s="168">
        <f t="shared" si="261"/>
        <v>99.999522764150043</v>
      </c>
      <c r="AV164" s="169">
        <f t="shared" si="303"/>
        <v>200</v>
      </c>
      <c r="AW164" s="168">
        <f t="shared" si="243"/>
        <v>4.7723584995704876E-4</v>
      </c>
      <c r="AX164" s="164" t="s">
        <v>542</v>
      </c>
      <c r="AY164" s="164" t="s">
        <v>543</v>
      </c>
      <c r="AZ164" s="164" t="s">
        <v>3921</v>
      </c>
      <c r="BA164" s="165"/>
      <c r="BB164" s="165">
        <v>17350000</v>
      </c>
      <c r="BC164" s="240">
        <v>5040000</v>
      </c>
      <c r="BD164" s="165"/>
      <c r="BE164" s="165"/>
      <c r="BF164" s="165"/>
      <c r="BG164" s="165"/>
      <c r="BH164" s="165"/>
    </row>
    <row r="165" spans="2:60" x14ac:dyDescent="0.25">
      <c r="B165" s="170" t="s">
        <v>3789</v>
      </c>
      <c r="C165" s="171" t="s">
        <v>2786</v>
      </c>
      <c r="D165" s="171">
        <v>2</v>
      </c>
      <c r="E165" s="171" t="s">
        <v>3782</v>
      </c>
      <c r="F165" s="172">
        <f>F166+F177</f>
        <v>169798000</v>
      </c>
      <c r="G165" s="172">
        <f>G166+G177</f>
        <v>633732000</v>
      </c>
      <c r="H165" s="172">
        <f>H166+H177</f>
        <v>0</v>
      </c>
      <c r="I165" s="172">
        <f>I166+I177</f>
        <v>463934000</v>
      </c>
      <c r="J165" s="172">
        <f t="shared" ref="J165:AS165" si="313">J166+J177</f>
        <v>0</v>
      </c>
      <c r="K165" s="172">
        <f t="shared" si="313"/>
        <v>0</v>
      </c>
      <c r="L165" s="172">
        <f t="shared" si="313"/>
        <v>0</v>
      </c>
      <c r="M165" s="172">
        <f t="shared" si="313"/>
        <v>0</v>
      </c>
      <c r="N165" s="172">
        <f t="shared" si="313"/>
        <v>0</v>
      </c>
      <c r="O165" s="172">
        <f t="shared" si="313"/>
        <v>0</v>
      </c>
      <c r="P165" s="172">
        <f t="shared" si="313"/>
        <v>0</v>
      </c>
      <c r="Q165" s="172">
        <f t="shared" si="313"/>
        <v>4230000</v>
      </c>
      <c r="R165" s="172">
        <f t="shared" si="313"/>
        <v>5496528</v>
      </c>
      <c r="S165" s="172">
        <f t="shared" si="313"/>
        <v>16054500</v>
      </c>
      <c r="T165" s="172">
        <f t="shared" si="313"/>
        <v>0</v>
      </c>
      <c r="U165" s="172">
        <f t="shared" si="313"/>
        <v>0</v>
      </c>
      <c r="V165" s="172">
        <f t="shared" si="313"/>
        <v>0</v>
      </c>
      <c r="W165" s="172">
        <f t="shared" si="313"/>
        <v>300383</v>
      </c>
      <c r="X165" s="172">
        <f t="shared" si="313"/>
        <v>36489355</v>
      </c>
      <c r="Y165" s="172">
        <f t="shared" si="313"/>
        <v>40585531</v>
      </c>
      <c r="Z165" s="172">
        <f t="shared" si="313"/>
        <v>0</v>
      </c>
      <c r="AA165" s="172">
        <f t="shared" si="313"/>
        <v>2640000</v>
      </c>
      <c r="AB165" s="172">
        <f t="shared" si="313"/>
        <v>0</v>
      </c>
      <c r="AC165" s="172">
        <f t="shared" si="313"/>
        <v>0</v>
      </c>
      <c r="AD165" s="172">
        <f t="shared" si="313"/>
        <v>0</v>
      </c>
      <c r="AE165" s="172">
        <f t="shared" si="313"/>
        <v>0</v>
      </c>
      <c r="AF165" s="172">
        <f t="shared" si="313"/>
        <v>0</v>
      </c>
      <c r="AG165" s="172">
        <f t="shared" si="313"/>
        <v>0</v>
      </c>
      <c r="AH165" s="172">
        <f t="shared" si="313"/>
        <v>0</v>
      </c>
      <c r="AI165" s="172">
        <f t="shared" si="313"/>
        <v>0</v>
      </c>
      <c r="AJ165" s="172">
        <f t="shared" si="313"/>
        <v>0</v>
      </c>
      <c r="AK165" s="172">
        <f t="shared" si="313"/>
        <v>0</v>
      </c>
      <c r="AL165" s="172">
        <f t="shared" si="313"/>
        <v>0</v>
      </c>
      <c r="AM165" s="172">
        <f t="shared" si="313"/>
        <v>0</v>
      </c>
      <c r="AN165" s="172">
        <f t="shared" si="313"/>
        <v>0</v>
      </c>
      <c r="AO165" s="172">
        <f t="shared" si="313"/>
        <v>0</v>
      </c>
      <c r="AP165" s="172">
        <f t="shared" si="313"/>
        <v>0</v>
      </c>
      <c r="AQ165" s="172">
        <f t="shared" si="313"/>
        <v>0</v>
      </c>
      <c r="AR165" s="172">
        <f t="shared" si="313"/>
        <v>0</v>
      </c>
      <c r="AS165" s="172">
        <f t="shared" si="313"/>
        <v>0</v>
      </c>
      <c r="AT165" s="172">
        <f t="shared" si="304"/>
        <v>105796297</v>
      </c>
      <c r="AU165" s="173">
        <f t="shared" si="261"/>
        <v>62.307151438768415</v>
      </c>
      <c r="AV165" s="174">
        <f t="shared" si="303"/>
        <v>64001703</v>
      </c>
      <c r="AW165" s="173">
        <f t="shared" si="243"/>
        <v>37.692848561231578</v>
      </c>
      <c r="AX165" s="164"/>
      <c r="AY165" s="164"/>
      <c r="AZ165" s="164" t="s">
        <v>3921</v>
      </c>
      <c r="BA165" s="172">
        <f t="shared" ref="BA165:BC165" si="314">BA166+BA177</f>
        <v>0</v>
      </c>
      <c r="BB165" s="172">
        <f t="shared" si="314"/>
        <v>5496528</v>
      </c>
      <c r="BC165" s="172">
        <f t="shared" si="314"/>
        <v>4230000</v>
      </c>
      <c r="BD165" s="172">
        <f t="shared" ref="BD165" si="315">BD166+BD177</f>
        <v>0</v>
      </c>
      <c r="BE165" s="172">
        <f t="shared" ref="BE165" si="316">BE166+BE177</f>
        <v>0</v>
      </c>
      <c r="BF165" s="172">
        <f t="shared" ref="BF165:BG165" si="317">BF166+BF177</f>
        <v>300383</v>
      </c>
      <c r="BG165" s="172">
        <f t="shared" si="317"/>
        <v>36489355</v>
      </c>
      <c r="BH165" s="172">
        <f t="shared" ref="BH165" si="318">BH166+BH177</f>
        <v>2640000</v>
      </c>
    </row>
    <row r="166" spans="2:60" x14ac:dyDescent="0.25">
      <c r="B166" s="170">
        <v>301</v>
      </c>
      <c r="C166" s="171" t="s">
        <v>3053</v>
      </c>
      <c r="D166" s="171"/>
      <c r="E166" s="171"/>
      <c r="F166" s="172">
        <f>F167+F171</f>
        <v>119729000</v>
      </c>
      <c r="G166" s="172">
        <f>G167+G171</f>
        <v>507200000</v>
      </c>
      <c r="H166" s="172">
        <f>H167+H171</f>
        <v>0</v>
      </c>
      <c r="I166" s="172">
        <f>I167+I171</f>
        <v>387471000</v>
      </c>
      <c r="J166" s="172">
        <f t="shared" ref="J166:AS166" si="319">J167+J171</f>
        <v>0</v>
      </c>
      <c r="K166" s="172">
        <f t="shared" si="319"/>
        <v>0</v>
      </c>
      <c r="L166" s="172">
        <f t="shared" si="319"/>
        <v>0</v>
      </c>
      <c r="M166" s="172">
        <f t="shared" si="319"/>
        <v>0</v>
      </c>
      <c r="N166" s="172">
        <f t="shared" si="319"/>
        <v>0</v>
      </c>
      <c r="O166" s="172">
        <f t="shared" si="319"/>
        <v>0</v>
      </c>
      <c r="P166" s="172">
        <f t="shared" si="319"/>
        <v>0</v>
      </c>
      <c r="Q166" s="172">
        <f t="shared" si="319"/>
        <v>880000</v>
      </c>
      <c r="R166" s="172">
        <f t="shared" si="319"/>
        <v>2998528</v>
      </c>
      <c r="S166" s="172">
        <f t="shared" si="319"/>
        <v>524500</v>
      </c>
      <c r="T166" s="172">
        <f t="shared" si="319"/>
        <v>0</v>
      </c>
      <c r="U166" s="172">
        <f t="shared" si="319"/>
        <v>0</v>
      </c>
      <c r="V166" s="172">
        <f t="shared" si="319"/>
        <v>0</v>
      </c>
      <c r="W166" s="172">
        <f t="shared" si="319"/>
        <v>300383</v>
      </c>
      <c r="X166" s="172">
        <f t="shared" si="319"/>
        <v>31503355</v>
      </c>
      <c r="Y166" s="172">
        <f t="shared" si="319"/>
        <v>38467531</v>
      </c>
      <c r="Z166" s="172">
        <f t="shared" si="319"/>
        <v>0</v>
      </c>
      <c r="AA166" s="172">
        <f t="shared" si="319"/>
        <v>2640000</v>
      </c>
      <c r="AB166" s="172">
        <f t="shared" si="319"/>
        <v>0</v>
      </c>
      <c r="AC166" s="172">
        <f t="shared" si="319"/>
        <v>0</v>
      </c>
      <c r="AD166" s="172">
        <f t="shared" si="319"/>
        <v>0</v>
      </c>
      <c r="AE166" s="172">
        <f t="shared" si="319"/>
        <v>0</v>
      </c>
      <c r="AF166" s="172">
        <f t="shared" si="319"/>
        <v>0</v>
      </c>
      <c r="AG166" s="172">
        <f t="shared" si="319"/>
        <v>0</v>
      </c>
      <c r="AH166" s="172">
        <f t="shared" si="319"/>
        <v>0</v>
      </c>
      <c r="AI166" s="172">
        <f t="shared" si="319"/>
        <v>0</v>
      </c>
      <c r="AJ166" s="172">
        <f t="shared" si="319"/>
        <v>0</v>
      </c>
      <c r="AK166" s="172">
        <f t="shared" si="319"/>
        <v>0</v>
      </c>
      <c r="AL166" s="172">
        <f t="shared" si="319"/>
        <v>0</v>
      </c>
      <c r="AM166" s="172">
        <f t="shared" si="319"/>
        <v>0</v>
      </c>
      <c r="AN166" s="172">
        <f t="shared" si="319"/>
        <v>0</v>
      </c>
      <c r="AO166" s="172">
        <f t="shared" si="319"/>
        <v>0</v>
      </c>
      <c r="AP166" s="172">
        <f t="shared" si="319"/>
        <v>0</v>
      </c>
      <c r="AQ166" s="172">
        <f t="shared" si="319"/>
        <v>0</v>
      </c>
      <c r="AR166" s="172">
        <f t="shared" si="319"/>
        <v>0</v>
      </c>
      <c r="AS166" s="172">
        <f t="shared" si="319"/>
        <v>0</v>
      </c>
      <c r="AT166" s="172">
        <f t="shared" si="304"/>
        <v>77314297</v>
      </c>
      <c r="AU166" s="173">
        <f t="shared" si="261"/>
        <v>64.574411379030977</v>
      </c>
      <c r="AV166" s="174">
        <f t="shared" si="303"/>
        <v>42414703</v>
      </c>
      <c r="AW166" s="173">
        <f t="shared" si="243"/>
        <v>35.425588620969023</v>
      </c>
      <c r="AX166" s="164" t="s">
        <v>542</v>
      </c>
      <c r="AY166" s="164" t="s">
        <v>591</v>
      </c>
      <c r="AZ166" s="164" t="s">
        <v>3921</v>
      </c>
      <c r="BA166" s="172">
        <f t="shared" ref="BA166:BC166" si="320">BA167+BA171</f>
        <v>0</v>
      </c>
      <c r="BB166" s="172">
        <f t="shared" si="320"/>
        <v>2998528</v>
      </c>
      <c r="BC166" s="172">
        <f t="shared" si="320"/>
        <v>880000</v>
      </c>
      <c r="BD166" s="172">
        <f t="shared" ref="BD166" si="321">BD167+BD171</f>
        <v>0</v>
      </c>
      <c r="BE166" s="172">
        <f t="shared" ref="BE166" si="322">BE167+BE171</f>
        <v>0</v>
      </c>
      <c r="BF166" s="172">
        <f t="shared" ref="BF166:BG166" si="323">BF167+BF171</f>
        <v>300383</v>
      </c>
      <c r="BG166" s="172">
        <f t="shared" si="323"/>
        <v>31503355</v>
      </c>
      <c r="BH166" s="172">
        <f t="shared" ref="BH166" si="324">BH167+BH171</f>
        <v>2640000</v>
      </c>
    </row>
    <row r="167" spans="2:60" x14ac:dyDescent="0.25">
      <c r="B167" s="230" t="s">
        <v>8</v>
      </c>
      <c r="C167" s="166" t="s">
        <v>174</v>
      </c>
      <c r="D167" s="166"/>
      <c r="E167" s="166"/>
      <c r="F167" s="167">
        <f>SUM(F168:F170)</f>
        <v>43789000</v>
      </c>
      <c r="G167" s="167">
        <f>SUM(G168:G170)</f>
        <v>295200000</v>
      </c>
      <c r="H167" s="167">
        <f>SUM(H168:H170)</f>
        <v>0</v>
      </c>
      <c r="I167" s="167">
        <f>SUM(I168:I170)</f>
        <v>251411000</v>
      </c>
      <c r="J167" s="167">
        <f t="shared" ref="J167:AS167" si="325">SUM(J168:J170)</f>
        <v>0</v>
      </c>
      <c r="K167" s="167">
        <f t="shared" si="325"/>
        <v>0</v>
      </c>
      <c r="L167" s="167">
        <f t="shared" si="325"/>
        <v>0</v>
      </c>
      <c r="M167" s="167">
        <f t="shared" si="325"/>
        <v>0</v>
      </c>
      <c r="N167" s="167">
        <f t="shared" si="325"/>
        <v>0</v>
      </c>
      <c r="O167" s="167">
        <f t="shared" si="325"/>
        <v>0</v>
      </c>
      <c r="P167" s="167">
        <f t="shared" si="325"/>
        <v>0</v>
      </c>
      <c r="Q167" s="167">
        <f t="shared" si="325"/>
        <v>0</v>
      </c>
      <c r="R167" s="167">
        <f t="shared" si="325"/>
        <v>499528</v>
      </c>
      <c r="S167" s="167">
        <f t="shared" si="325"/>
        <v>0</v>
      </c>
      <c r="T167" s="167">
        <f t="shared" si="325"/>
        <v>0</v>
      </c>
      <c r="U167" s="167">
        <f t="shared" si="325"/>
        <v>0</v>
      </c>
      <c r="V167" s="167">
        <f t="shared" si="325"/>
        <v>0</v>
      </c>
      <c r="W167" s="167">
        <f t="shared" si="325"/>
        <v>0</v>
      </c>
      <c r="X167" s="167">
        <f t="shared" si="325"/>
        <v>6278500</v>
      </c>
      <c r="Y167" s="167">
        <f t="shared" si="325"/>
        <v>0</v>
      </c>
      <c r="Z167" s="167">
        <f t="shared" si="325"/>
        <v>0</v>
      </c>
      <c r="AA167" s="167">
        <f t="shared" si="325"/>
        <v>0</v>
      </c>
      <c r="AB167" s="167">
        <f t="shared" si="325"/>
        <v>0</v>
      </c>
      <c r="AC167" s="167">
        <f t="shared" si="325"/>
        <v>0</v>
      </c>
      <c r="AD167" s="167">
        <f t="shared" si="325"/>
        <v>0</v>
      </c>
      <c r="AE167" s="167">
        <f t="shared" si="325"/>
        <v>0</v>
      </c>
      <c r="AF167" s="167">
        <f t="shared" si="325"/>
        <v>0</v>
      </c>
      <c r="AG167" s="167">
        <f t="shared" si="325"/>
        <v>0</v>
      </c>
      <c r="AH167" s="167">
        <f t="shared" si="325"/>
        <v>0</v>
      </c>
      <c r="AI167" s="167">
        <f t="shared" si="325"/>
        <v>0</v>
      </c>
      <c r="AJ167" s="167">
        <f t="shared" si="325"/>
        <v>0</v>
      </c>
      <c r="AK167" s="167">
        <f t="shared" si="325"/>
        <v>0</v>
      </c>
      <c r="AL167" s="167">
        <f t="shared" si="325"/>
        <v>0</v>
      </c>
      <c r="AM167" s="167">
        <f t="shared" si="325"/>
        <v>0</v>
      </c>
      <c r="AN167" s="167">
        <f t="shared" si="325"/>
        <v>0</v>
      </c>
      <c r="AO167" s="167">
        <f t="shared" si="325"/>
        <v>0</v>
      </c>
      <c r="AP167" s="167">
        <f t="shared" si="325"/>
        <v>0</v>
      </c>
      <c r="AQ167" s="167">
        <f t="shared" si="325"/>
        <v>0</v>
      </c>
      <c r="AR167" s="167">
        <f t="shared" si="325"/>
        <v>0</v>
      </c>
      <c r="AS167" s="167">
        <f t="shared" si="325"/>
        <v>0</v>
      </c>
      <c r="AT167" s="167">
        <f>SUM(J167:AS167)</f>
        <v>6778028</v>
      </c>
      <c r="AU167" s="175">
        <f t="shared" si="261"/>
        <v>15.47883715088264</v>
      </c>
      <c r="AV167" s="176">
        <f t="shared" si="303"/>
        <v>37010972</v>
      </c>
      <c r="AW167" s="175">
        <f t="shared" si="243"/>
        <v>84.52116284911736</v>
      </c>
      <c r="AX167" s="164" t="s">
        <v>542</v>
      </c>
      <c r="AY167" s="164" t="s">
        <v>591</v>
      </c>
      <c r="AZ167" s="164" t="s">
        <v>3921</v>
      </c>
      <c r="BA167" s="167">
        <f t="shared" ref="BA167" si="326">SUM(BA168:BA170)</f>
        <v>0</v>
      </c>
      <c r="BB167" s="167">
        <f>SUM(BB168:BB170)</f>
        <v>499528</v>
      </c>
      <c r="BC167" s="167">
        <f>SUM(BC168:BC170)</f>
        <v>0</v>
      </c>
      <c r="BD167" s="167">
        <f t="shared" ref="BD167" si="327">SUM(BD168:BD170)</f>
        <v>0</v>
      </c>
      <c r="BE167" s="167">
        <f t="shared" ref="BE167" si="328">SUM(BE168:BE170)</f>
        <v>0</v>
      </c>
      <c r="BF167" s="167">
        <f t="shared" ref="BF167:BG167" si="329">SUM(BF168:BF170)</f>
        <v>0</v>
      </c>
      <c r="BG167" s="167">
        <f t="shared" si="329"/>
        <v>6278500</v>
      </c>
      <c r="BH167" s="167">
        <f t="shared" ref="BH167" si="330">SUM(BH168:BH170)</f>
        <v>0</v>
      </c>
    </row>
    <row r="168" spans="2:60" x14ac:dyDescent="0.25">
      <c r="B168" s="228">
        <v>521211</v>
      </c>
      <c r="C168" s="164" t="s">
        <v>7</v>
      </c>
      <c r="D168" s="164"/>
      <c r="E168" s="164"/>
      <c r="F168" s="165">
        <v>23250000</v>
      </c>
      <c r="G168" s="165">
        <v>46000000</v>
      </c>
      <c r="H168" s="165"/>
      <c r="I168" s="165">
        <f t="shared" ref="I168:I170" si="331">G168-F168</f>
        <v>22750000</v>
      </c>
      <c r="J168" s="165"/>
      <c r="K168" s="165"/>
      <c r="L168" s="165"/>
      <c r="M168" s="165"/>
      <c r="N168" s="165"/>
      <c r="O168" s="165"/>
      <c r="P168" s="165"/>
      <c r="Q168" s="165"/>
      <c r="R168" s="165"/>
      <c r="S168" s="165"/>
      <c r="T168" s="165"/>
      <c r="U168" s="165"/>
      <c r="V168" s="165"/>
      <c r="W168" s="165"/>
      <c r="X168" s="165">
        <v>6278500</v>
      </c>
      <c r="Y168" s="165"/>
      <c r="Z168" s="165"/>
      <c r="AA168" s="165"/>
      <c r="AB168" s="165"/>
      <c r="AC168" s="165"/>
      <c r="AD168" s="165"/>
      <c r="AE168" s="165"/>
      <c r="AF168" s="165"/>
      <c r="AG168" s="165"/>
      <c r="AH168" s="165"/>
      <c r="AI168" s="165"/>
      <c r="AJ168" s="165"/>
      <c r="AK168" s="165"/>
      <c r="AL168" s="165"/>
      <c r="AM168" s="165"/>
      <c r="AN168" s="165"/>
      <c r="AO168" s="165"/>
      <c r="AP168" s="165"/>
      <c r="AQ168" s="165"/>
      <c r="AR168" s="165"/>
      <c r="AS168" s="165"/>
      <c r="AT168" s="165">
        <f t="shared" si="304"/>
        <v>6278500</v>
      </c>
      <c r="AU168" s="168">
        <f t="shared" si="261"/>
        <v>27.004301075268817</v>
      </c>
      <c r="AV168" s="169">
        <f t="shared" si="303"/>
        <v>16971500</v>
      </c>
      <c r="AW168" s="168">
        <f t="shared" si="243"/>
        <v>72.995698924731172</v>
      </c>
      <c r="AX168" s="164" t="s">
        <v>542</v>
      </c>
      <c r="AY168" s="164" t="s">
        <v>591</v>
      </c>
      <c r="AZ168" s="164" t="s">
        <v>3921</v>
      </c>
      <c r="BA168" s="165"/>
      <c r="BB168" s="165"/>
      <c r="BC168" s="240"/>
      <c r="BD168" s="165"/>
      <c r="BE168" s="165"/>
      <c r="BF168" s="165"/>
      <c r="BG168" s="165">
        <v>6278500</v>
      </c>
      <c r="BH168" s="165"/>
    </row>
    <row r="169" spans="2:60" x14ac:dyDescent="0.25">
      <c r="B169" s="228">
        <v>521219</v>
      </c>
      <c r="C169" s="164" t="s">
        <v>53</v>
      </c>
      <c r="D169" s="164"/>
      <c r="E169" s="164"/>
      <c r="F169" s="165">
        <v>2000000</v>
      </c>
      <c r="G169" s="165">
        <v>2000000</v>
      </c>
      <c r="H169" s="165"/>
      <c r="I169" s="165">
        <f t="shared" si="331"/>
        <v>0</v>
      </c>
      <c r="J169" s="165"/>
      <c r="K169" s="165"/>
      <c r="L169" s="165"/>
      <c r="M169" s="165"/>
      <c r="N169" s="165"/>
      <c r="O169" s="165"/>
      <c r="P169" s="165"/>
      <c r="Q169" s="165"/>
      <c r="R169" s="165">
        <v>499528</v>
      </c>
      <c r="S169" s="165"/>
      <c r="T169" s="165"/>
      <c r="U169" s="165"/>
      <c r="V169" s="165"/>
      <c r="W169" s="165"/>
      <c r="X169" s="165"/>
      <c r="Y169" s="165"/>
      <c r="Z169" s="165"/>
      <c r="AA169" s="165"/>
      <c r="AB169" s="165"/>
      <c r="AC169" s="165"/>
      <c r="AD169" s="165"/>
      <c r="AE169" s="165"/>
      <c r="AF169" s="165"/>
      <c r="AG169" s="165"/>
      <c r="AH169" s="165"/>
      <c r="AI169" s="165"/>
      <c r="AJ169" s="165"/>
      <c r="AK169" s="165"/>
      <c r="AL169" s="165"/>
      <c r="AM169" s="165"/>
      <c r="AN169" s="165"/>
      <c r="AO169" s="165"/>
      <c r="AP169" s="165"/>
      <c r="AQ169" s="165"/>
      <c r="AR169" s="165"/>
      <c r="AS169" s="165"/>
      <c r="AT169" s="165">
        <f t="shared" si="304"/>
        <v>499528</v>
      </c>
      <c r="AU169" s="168">
        <f t="shared" si="261"/>
        <v>24.976400000000002</v>
      </c>
      <c r="AV169" s="169">
        <f t="shared" si="303"/>
        <v>1500472</v>
      </c>
      <c r="AW169" s="168">
        <f t="shared" si="243"/>
        <v>75.023600000000002</v>
      </c>
      <c r="AX169" s="164" t="s">
        <v>542</v>
      </c>
      <c r="AY169" s="164" t="s">
        <v>591</v>
      </c>
      <c r="AZ169" s="319" t="s">
        <v>3921</v>
      </c>
      <c r="BA169" s="165"/>
      <c r="BB169" s="165">
        <v>499528</v>
      </c>
      <c r="BC169" s="240"/>
      <c r="BD169" s="165"/>
      <c r="BE169" s="165"/>
      <c r="BF169" s="165"/>
      <c r="BG169" s="165"/>
      <c r="BH169" s="165"/>
    </row>
    <row r="170" spans="2:60" x14ac:dyDescent="0.25">
      <c r="B170" s="228">
        <v>524111</v>
      </c>
      <c r="C170" s="164" t="s">
        <v>19</v>
      </c>
      <c r="D170" s="164"/>
      <c r="E170" s="164"/>
      <c r="F170" s="165">
        <v>18539000</v>
      </c>
      <c r="G170" s="165">
        <v>247200000</v>
      </c>
      <c r="H170" s="165"/>
      <c r="I170" s="165">
        <f t="shared" si="331"/>
        <v>228661000</v>
      </c>
      <c r="J170" s="165"/>
      <c r="K170" s="165"/>
      <c r="L170" s="165"/>
      <c r="M170" s="165"/>
      <c r="N170" s="165"/>
      <c r="O170" s="165"/>
      <c r="P170" s="165"/>
      <c r="Q170" s="165"/>
      <c r="R170" s="165"/>
      <c r="S170" s="165"/>
      <c r="T170" s="165"/>
      <c r="U170" s="165"/>
      <c r="V170" s="165"/>
      <c r="W170" s="165"/>
      <c r="X170" s="165"/>
      <c r="Y170" s="165"/>
      <c r="Z170" s="165"/>
      <c r="AA170" s="165"/>
      <c r="AB170" s="165"/>
      <c r="AC170" s="165"/>
      <c r="AD170" s="165"/>
      <c r="AE170" s="165"/>
      <c r="AF170" s="165"/>
      <c r="AG170" s="165"/>
      <c r="AH170" s="165"/>
      <c r="AI170" s="165"/>
      <c r="AJ170" s="165"/>
      <c r="AK170" s="165"/>
      <c r="AL170" s="165"/>
      <c r="AM170" s="165"/>
      <c r="AN170" s="165"/>
      <c r="AO170" s="165"/>
      <c r="AP170" s="165"/>
      <c r="AQ170" s="165"/>
      <c r="AR170" s="165"/>
      <c r="AS170" s="165"/>
      <c r="AT170" s="165">
        <f t="shared" si="304"/>
        <v>0</v>
      </c>
      <c r="AU170" s="168">
        <f t="shared" si="261"/>
        <v>0</v>
      </c>
      <c r="AV170" s="169">
        <f t="shared" si="303"/>
        <v>18539000</v>
      </c>
      <c r="AW170" s="168">
        <f t="shared" si="243"/>
        <v>100</v>
      </c>
      <c r="AX170" s="164" t="s">
        <v>542</v>
      </c>
      <c r="AY170" s="164" t="s">
        <v>591</v>
      </c>
      <c r="AZ170" s="164" t="s">
        <v>3921</v>
      </c>
      <c r="BA170" s="165"/>
      <c r="BB170" s="165"/>
      <c r="BC170" s="240"/>
      <c r="BD170" s="165"/>
      <c r="BE170" s="165"/>
      <c r="BF170" s="165"/>
      <c r="BG170" s="165"/>
      <c r="BH170" s="165"/>
    </row>
    <row r="171" spans="2:60" x14ac:dyDescent="0.25">
      <c r="B171" s="230" t="s">
        <v>511</v>
      </c>
      <c r="C171" s="166" t="s">
        <v>175</v>
      </c>
      <c r="D171" s="166"/>
      <c r="E171" s="166"/>
      <c r="F171" s="167">
        <f t="shared" ref="F171:AS171" si="332">SUM(F172:F176)</f>
        <v>75940000</v>
      </c>
      <c r="G171" s="167">
        <f t="shared" ref="G171:H171" si="333">SUM(G172:G176)</f>
        <v>212000000</v>
      </c>
      <c r="H171" s="167">
        <f t="shared" si="333"/>
        <v>0</v>
      </c>
      <c r="I171" s="167">
        <f t="shared" ref="I171" si="334">SUM(I172:I176)</f>
        <v>136060000</v>
      </c>
      <c r="J171" s="167">
        <f t="shared" si="332"/>
        <v>0</v>
      </c>
      <c r="K171" s="167">
        <f t="shared" si="332"/>
        <v>0</v>
      </c>
      <c r="L171" s="167">
        <f t="shared" si="332"/>
        <v>0</v>
      </c>
      <c r="M171" s="167">
        <f t="shared" si="332"/>
        <v>0</v>
      </c>
      <c r="N171" s="167">
        <f t="shared" si="332"/>
        <v>0</v>
      </c>
      <c r="O171" s="167">
        <f t="shared" si="332"/>
        <v>0</v>
      </c>
      <c r="P171" s="167">
        <f t="shared" si="332"/>
        <v>0</v>
      </c>
      <c r="Q171" s="167">
        <f t="shared" si="332"/>
        <v>880000</v>
      </c>
      <c r="R171" s="167">
        <f t="shared" si="332"/>
        <v>2499000</v>
      </c>
      <c r="S171" s="167">
        <f t="shared" si="332"/>
        <v>524500</v>
      </c>
      <c r="T171" s="167">
        <f t="shared" si="332"/>
        <v>0</v>
      </c>
      <c r="U171" s="167">
        <f t="shared" si="332"/>
        <v>0</v>
      </c>
      <c r="V171" s="167">
        <f t="shared" si="332"/>
        <v>0</v>
      </c>
      <c r="W171" s="167">
        <f t="shared" si="332"/>
        <v>300383</v>
      </c>
      <c r="X171" s="167">
        <f t="shared" si="332"/>
        <v>25224855</v>
      </c>
      <c r="Y171" s="167">
        <f t="shared" si="332"/>
        <v>38467531</v>
      </c>
      <c r="Z171" s="167">
        <f t="shared" si="332"/>
        <v>0</v>
      </c>
      <c r="AA171" s="167">
        <f t="shared" si="332"/>
        <v>2640000</v>
      </c>
      <c r="AB171" s="167">
        <f t="shared" si="332"/>
        <v>0</v>
      </c>
      <c r="AC171" s="167">
        <f t="shared" si="332"/>
        <v>0</v>
      </c>
      <c r="AD171" s="167">
        <f t="shared" si="332"/>
        <v>0</v>
      </c>
      <c r="AE171" s="167">
        <f t="shared" si="332"/>
        <v>0</v>
      </c>
      <c r="AF171" s="167">
        <f t="shared" si="332"/>
        <v>0</v>
      </c>
      <c r="AG171" s="167">
        <f t="shared" si="332"/>
        <v>0</v>
      </c>
      <c r="AH171" s="167">
        <f t="shared" si="332"/>
        <v>0</v>
      </c>
      <c r="AI171" s="167">
        <f t="shared" si="332"/>
        <v>0</v>
      </c>
      <c r="AJ171" s="167">
        <f t="shared" si="332"/>
        <v>0</v>
      </c>
      <c r="AK171" s="167">
        <f t="shared" si="332"/>
        <v>0</v>
      </c>
      <c r="AL171" s="167">
        <f t="shared" si="332"/>
        <v>0</v>
      </c>
      <c r="AM171" s="167">
        <f t="shared" si="332"/>
        <v>0</v>
      </c>
      <c r="AN171" s="167">
        <f t="shared" si="332"/>
        <v>0</v>
      </c>
      <c r="AO171" s="167">
        <f t="shared" si="332"/>
        <v>0</v>
      </c>
      <c r="AP171" s="167">
        <f t="shared" si="332"/>
        <v>0</v>
      </c>
      <c r="AQ171" s="167">
        <f t="shared" si="332"/>
        <v>0</v>
      </c>
      <c r="AR171" s="167">
        <f t="shared" si="332"/>
        <v>0</v>
      </c>
      <c r="AS171" s="167">
        <f t="shared" si="332"/>
        <v>0</v>
      </c>
      <c r="AT171" s="167">
        <f t="shared" si="304"/>
        <v>70536269</v>
      </c>
      <c r="AU171" s="175">
        <f t="shared" si="261"/>
        <v>92.884209902554645</v>
      </c>
      <c r="AV171" s="176">
        <f>F171-AT171</f>
        <v>5403731</v>
      </c>
      <c r="AW171" s="175">
        <f t="shared" si="243"/>
        <v>7.1157900974453518</v>
      </c>
      <c r="AX171" s="164" t="s">
        <v>542</v>
      </c>
      <c r="AY171" s="164" t="s">
        <v>591</v>
      </c>
      <c r="AZ171" s="164" t="s">
        <v>3921</v>
      </c>
      <c r="BA171" s="167">
        <f t="shared" ref="BA171:BD171" si="335">SUM(BA172:BA176)</f>
        <v>0</v>
      </c>
      <c r="BB171" s="167">
        <f t="shared" si="335"/>
        <v>2499000</v>
      </c>
      <c r="BC171" s="167">
        <f t="shared" si="335"/>
        <v>880000</v>
      </c>
      <c r="BD171" s="167">
        <f t="shared" si="335"/>
        <v>0</v>
      </c>
      <c r="BE171" s="167">
        <f t="shared" ref="BE171" si="336">SUM(BE172:BE176)</f>
        <v>0</v>
      </c>
      <c r="BF171" s="167">
        <f t="shared" ref="BF171:BG171" si="337">SUM(BF172:BF176)</f>
        <v>300383</v>
      </c>
      <c r="BG171" s="167">
        <f t="shared" si="337"/>
        <v>25224855</v>
      </c>
      <c r="BH171" s="167">
        <f t="shared" ref="BH171" si="338">SUM(BH172:BH176)</f>
        <v>2640000</v>
      </c>
    </row>
    <row r="172" spans="2:60" x14ac:dyDescent="0.25">
      <c r="B172" s="228">
        <v>521211</v>
      </c>
      <c r="C172" s="164" t="s">
        <v>7</v>
      </c>
      <c r="D172" s="164"/>
      <c r="E172" s="164"/>
      <c r="F172" s="165">
        <v>13525000</v>
      </c>
      <c r="G172" s="165">
        <v>41000000</v>
      </c>
      <c r="H172" s="165"/>
      <c r="I172" s="165">
        <f t="shared" ref="I172:I176" si="339">G172-F172</f>
        <v>27475000</v>
      </c>
      <c r="J172" s="165"/>
      <c r="K172" s="165"/>
      <c r="L172" s="165"/>
      <c r="M172" s="165"/>
      <c r="N172" s="165"/>
      <c r="O172" s="165"/>
      <c r="P172" s="165"/>
      <c r="Q172" s="240">
        <v>880000</v>
      </c>
      <c r="R172" s="165">
        <v>2499000</v>
      </c>
      <c r="S172" s="165"/>
      <c r="T172" s="165"/>
      <c r="U172" s="165"/>
      <c r="V172" s="165"/>
      <c r="W172" s="165"/>
      <c r="X172" s="165">
        <v>3500000</v>
      </c>
      <c r="Y172" s="165"/>
      <c r="Z172" s="165"/>
      <c r="AA172" s="165">
        <v>2640000</v>
      </c>
      <c r="AB172" s="165"/>
      <c r="AC172" s="165"/>
      <c r="AD172" s="165"/>
      <c r="AE172" s="165"/>
      <c r="AF172" s="165"/>
      <c r="AG172" s="165"/>
      <c r="AH172" s="165"/>
      <c r="AI172" s="165"/>
      <c r="AJ172" s="165"/>
      <c r="AK172" s="165"/>
      <c r="AL172" s="165"/>
      <c r="AM172" s="165"/>
      <c r="AN172" s="165"/>
      <c r="AO172" s="165"/>
      <c r="AP172" s="165"/>
      <c r="AQ172" s="165"/>
      <c r="AR172" s="165"/>
      <c r="AS172" s="165"/>
      <c r="AT172" s="165">
        <f t="shared" si="304"/>
        <v>9519000</v>
      </c>
      <c r="AU172" s="168">
        <f t="shared" si="261"/>
        <v>70.380776340110913</v>
      </c>
      <c r="AV172" s="169">
        <f t="shared" si="303"/>
        <v>4006000</v>
      </c>
      <c r="AW172" s="168">
        <f t="shared" si="243"/>
        <v>29.619223659889094</v>
      </c>
      <c r="AX172" s="164" t="s">
        <v>542</v>
      </c>
      <c r="AY172" s="164" t="s">
        <v>591</v>
      </c>
      <c r="AZ172" s="164" t="s">
        <v>3921</v>
      </c>
      <c r="BA172" s="165"/>
      <c r="BB172" s="165">
        <v>2499000</v>
      </c>
      <c r="BC172" s="240">
        <v>880000</v>
      </c>
      <c r="BD172" s="165"/>
      <c r="BE172" s="165"/>
      <c r="BF172" s="165"/>
      <c r="BG172" s="165">
        <v>3500000</v>
      </c>
      <c r="BH172" s="165">
        <v>2640000</v>
      </c>
    </row>
    <row r="173" spans="2:60" x14ac:dyDescent="0.25">
      <c r="B173" s="228">
        <v>521219</v>
      </c>
      <c r="C173" s="164" t="s">
        <v>53</v>
      </c>
      <c r="D173" s="164"/>
      <c r="E173" s="164"/>
      <c r="F173" s="165">
        <v>2000000</v>
      </c>
      <c r="G173" s="165">
        <v>32000000</v>
      </c>
      <c r="H173" s="165"/>
      <c r="I173" s="165">
        <f t="shared" si="339"/>
        <v>30000000</v>
      </c>
      <c r="J173" s="165"/>
      <c r="K173" s="165"/>
      <c r="L173" s="165"/>
      <c r="M173" s="165"/>
      <c r="N173" s="165"/>
      <c r="O173" s="165"/>
      <c r="P173" s="165"/>
      <c r="Q173" s="165"/>
      <c r="R173" s="165"/>
      <c r="S173" s="165"/>
      <c r="T173" s="165"/>
      <c r="U173" s="165"/>
      <c r="V173" s="165"/>
      <c r="W173" s="165">
        <v>300383</v>
      </c>
      <c r="X173" s="165">
        <v>302631</v>
      </c>
      <c r="Y173" s="165"/>
      <c r="Z173" s="165"/>
      <c r="AA173" s="165"/>
      <c r="AB173" s="165"/>
      <c r="AC173" s="165"/>
      <c r="AD173" s="165"/>
      <c r="AE173" s="165"/>
      <c r="AF173" s="165"/>
      <c r="AG173" s="165"/>
      <c r="AH173" s="165"/>
      <c r="AI173" s="165"/>
      <c r="AJ173" s="165"/>
      <c r="AK173" s="165"/>
      <c r="AL173" s="165"/>
      <c r="AM173" s="165"/>
      <c r="AN173" s="165"/>
      <c r="AO173" s="165"/>
      <c r="AP173" s="165"/>
      <c r="AQ173" s="165"/>
      <c r="AR173" s="165"/>
      <c r="AS173" s="165"/>
      <c r="AT173" s="165">
        <f t="shared" si="304"/>
        <v>603014</v>
      </c>
      <c r="AU173" s="168">
        <f t="shared" si="261"/>
        <v>30.150700000000004</v>
      </c>
      <c r="AV173" s="169">
        <f t="shared" si="303"/>
        <v>1396986</v>
      </c>
      <c r="AW173" s="168">
        <f t="shared" si="243"/>
        <v>69.849299999999999</v>
      </c>
      <c r="AX173" s="164" t="s">
        <v>542</v>
      </c>
      <c r="AY173" s="164" t="s">
        <v>591</v>
      </c>
      <c r="AZ173" s="319" t="s">
        <v>3921</v>
      </c>
      <c r="BA173" s="165"/>
      <c r="BB173" s="165"/>
      <c r="BC173" s="240"/>
      <c r="BD173" s="165"/>
      <c r="BE173" s="165"/>
      <c r="BF173" s="165">
        <v>300383</v>
      </c>
      <c r="BG173" s="165">
        <v>302631</v>
      </c>
      <c r="BH173" s="165"/>
    </row>
    <row r="174" spans="2:60" x14ac:dyDescent="0.25">
      <c r="B174" s="228">
        <v>522151</v>
      </c>
      <c r="C174" s="164" t="s">
        <v>11</v>
      </c>
      <c r="D174" s="164"/>
      <c r="E174" s="164"/>
      <c r="F174" s="165">
        <v>0</v>
      </c>
      <c r="G174" s="165">
        <v>10000000</v>
      </c>
      <c r="H174" s="165"/>
      <c r="I174" s="165">
        <f t="shared" si="339"/>
        <v>10000000</v>
      </c>
      <c r="J174" s="165"/>
      <c r="K174" s="165"/>
      <c r="L174" s="165"/>
      <c r="M174" s="165"/>
      <c r="N174" s="165"/>
      <c r="O174" s="165"/>
      <c r="P174" s="165"/>
      <c r="Q174" s="165"/>
      <c r="R174" s="165"/>
      <c r="S174" s="165"/>
      <c r="T174" s="165"/>
      <c r="U174" s="165"/>
      <c r="V174" s="165"/>
      <c r="W174" s="165"/>
      <c r="X174" s="165"/>
      <c r="Y174" s="165"/>
      <c r="Z174" s="165"/>
      <c r="AA174" s="165"/>
      <c r="AB174" s="165"/>
      <c r="AC174" s="165"/>
      <c r="AD174" s="165"/>
      <c r="AE174" s="165"/>
      <c r="AF174" s="165"/>
      <c r="AG174" s="165"/>
      <c r="AH174" s="165"/>
      <c r="AI174" s="165"/>
      <c r="AJ174" s="165"/>
      <c r="AK174" s="165"/>
      <c r="AL174" s="165"/>
      <c r="AM174" s="165"/>
      <c r="AN174" s="165"/>
      <c r="AO174" s="165"/>
      <c r="AP174" s="165"/>
      <c r="AQ174" s="165"/>
      <c r="AR174" s="165"/>
      <c r="AS174" s="165"/>
      <c r="AT174" s="165">
        <f t="shared" si="304"/>
        <v>0</v>
      </c>
      <c r="AU174" s="168">
        <f t="shared" si="261"/>
        <v>0</v>
      </c>
      <c r="AV174" s="169">
        <f t="shared" si="303"/>
        <v>0</v>
      </c>
      <c r="AW174" s="168" t="e">
        <f t="shared" si="243"/>
        <v>#DIV/0!</v>
      </c>
      <c r="AX174" s="164" t="s">
        <v>542</v>
      </c>
      <c r="AY174" s="164" t="s">
        <v>591</v>
      </c>
      <c r="AZ174" s="164" t="s">
        <v>3921</v>
      </c>
      <c r="BA174" s="165"/>
      <c r="BB174" s="165"/>
      <c r="BC174" s="240"/>
      <c r="BD174" s="165"/>
      <c r="BE174" s="165"/>
      <c r="BF174" s="165"/>
      <c r="BG174" s="165"/>
      <c r="BH174" s="165"/>
    </row>
    <row r="175" spans="2:60" x14ac:dyDescent="0.25">
      <c r="B175" s="228">
        <v>524111</v>
      </c>
      <c r="C175" s="164" t="s">
        <v>19</v>
      </c>
      <c r="D175" s="164"/>
      <c r="E175" s="164"/>
      <c r="F175" s="165">
        <v>60415000</v>
      </c>
      <c r="G175" s="165">
        <v>120000000</v>
      </c>
      <c r="H175" s="165"/>
      <c r="I175" s="165">
        <f t="shared" si="339"/>
        <v>59585000</v>
      </c>
      <c r="J175" s="165"/>
      <c r="K175" s="165"/>
      <c r="L175" s="165"/>
      <c r="M175" s="165"/>
      <c r="N175" s="165"/>
      <c r="O175" s="165"/>
      <c r="P175" s="165"/>
      <c r="Q175" s="165"/>
      <c r="R175" s="165"/>
      <c r="S175" s="165">
        <v>524500</v>
      </c>
      <c r="T175" s="165"/>
      <c r="U175" s="165"/>
      <c r="V175" s="165"/>
      <c r="W175" s="165"/>
      <c r="X175" s="165">
        <v>21422224</v>
      </c>
      <c r="Y175" s="165">
        <f>4074431+9185000+25208100</f>
        <v>38467531</v>
      </c>
      <c r="Z175" s="165"/>
      <c r="AA175" s="165"/>
      <c r="AB175" s="165"/>
      <c r="AC175" s="165"/>
      <c r="AD175" s="165"/>
      <c r="AE175" s="165"/>
      <c r="AF175" s="165"/>
      <c r="AG175" s="165"/>
      <c r="AH175" s="165"/>
      <c r="AI175" s="165"/>
      <c r="AJ175" s="165"/>
      <c r="AK175" s="165"/>
      <c r="AL175" s="165"/>
      <c r="AM175" s="165"/>
      <c r="AN175" s="165"/>
      <c r="AO175" s="165"/>
      <c r="AP175" s="165"/>
      <c r="AQ175" s="165"/>
      <c r="AR175" s="165"/>
      <c r="AS175" s="165"/>
      <c r="AT175" s="165">
        <f t="shared" si="304"/>
        <v>60414255</v>
      </c>
      <c r="AU175" s="168">
        <f t="shared" si="261"/>
        <v>99.99876686253414</v>
      </c>
      <c r="AV175" s="169">
        <f t="shared" si="303"/>
        <v>745</v>
      </c>
      <c r="AW175" s="168">
        <f t="shared" si="243"/>
        <v>1.2331374658611273E-3</v>
      </c>
      <c r="AX175" s="164" t="s">
        <v>542</v>
      </c>
      <c r="AY175" s="164" t="s">
        <v>591</v>
      </c>
      <c r="AZ175" s="164" t="s">
        <v>3921</v>
      </c>
      <c r="BA175" s="165"/>
      <c r="BB175" s="165"/>
      <c r="BC175" s="240"/>
      <c r="BD175" s="165"/>
      <c r="BE175" s="165"/>
      <c r="BF175" s="165"/>
      <c r="BG175" s="165">
        <v>21422224</v>
      </c>
      <c r="BH175" s="165"/>
    </row>
    <row r="176" spans="2:60" x14ac:dyDescent="0.25">
      <c r="B176" s="228">
        <v>524113</v>
      </c>
      <c r="C176" s="164" t="s">
        <v>13</v>
      </c>
      <c r="D176" s="164"/>
      <c r="E176" s="164"/>
      <c r="F176" s="165">
        <v>0</v>
      </c>
      <c r="G176" s="165">
        <v>9000000</v>
      </c>
      <c r="H176" s="165"/>
      <c r="I176" s="165">
        <f t="shared" si="339"/>
        <v>9000000</v>
      </c>
      <c r="J176" s="165"/>
      <c r="K176" s="165"/>
      <c r="L176" s="165"/>
      <c r="M176" s="165"/>
      <c r="N176" s="165"/>
      <c r="O176" s="165"/>
      <c r="P176" s="165"/>
      <c r="Q176" s="165"/>
      <c r="R176" s="165"/>
      <c r="S176" s="165"/>
      <c r="T176" s="165"/>
      <c r="U176" s="165"/>
      <c r="V176" s="165"/>
      <c r="W176" s="165"/>
      <c r="X176" s="165"/>
      <c r="Y176" s="165"/>
      <c r="Z176" s="165"/>
      <c r="AA176" s="165"/>
      <c r="AB176" s="165"/>
      <c r="AC176" s="165"/>
      <c r="AD176" s="165"/>
      <c r="AE176" s="165"/>
      <c r="AF176" s="165"/>
      <c r="AG176" s="165"/>
      <c r="AH176" s="165"/>
      <c r="AI176" s="165"/>
      <c r="AJ176" s="165"/>
      <c r="AK176" s="165"/>
      <c r="AL176" s="165"/>
      <c r="AM176" s="165"/>
      <c r="AN176" s="165"/>
      <c r="AO176" s="165"/>
      <c r="AP176" s="165"/>
      <c r="AQ176" s="165"/>
      <c r="AR176" s="165"/>
      <c r="AS176" s="165"/>
      <c r="AT176" s="165">
        <f t="shared" si="304"/>
        <v>0</v>
      </c>
      <c r="AU176" s="168">
        <f t="shared" si="261"/>
        <v>0</v>
      </c>
      <c r="AV176" s="169">
        <f t="shared" si="303"/>
        <v>0</v>
      </c>
      <c r="AW176" s="168" t="e">
        <f t="shared" si="243"/>
        <v>#DIV/0!</v>
      </c>
      <c r="AX176" s="164" t="s">
        <v>542</v>
      </c>
      <c r="AY176" s="164" t="s">
        <v>591</v>
      </c>
      <c r="AZ176" s="164" t="s">
        <v>3921</v>
      </c>
      <c r="BA176" s="165"/>
      <c r="BB176" s="165"/>
      <c r="BC176" s="240"/>
      <c r="BD176" s="165"/>
      <c r="BE176" s="165"/>
      <c r="BF176" s="165"/>
      <c r="BG176" s="165"/>
      <c r="BH176" s="165"/>
    </row>
    <row r="177" spans="2:60" x14ac:dyDescent="0.25">
      <c r="B177" s="170">
        <v>302</v>
      </c>
      <c r="C177" s="171" t="s">
        <v>3091</v>
      </c>
      <c r="D177" s="171"/>
      <c r="E177" s="171"/>
      <c r="F177" s="172">
        <f t="shared" ref="F177:AS177" si="340">F178</f>
        <v>50069000</v>
      </c>
      <c r="G177" s="172">
        <f t="shared" si="340"/>
        <v>126532000</v>
      </c>
      <c r="H177" s="172">
        <f t="shared" si="340"/>
        <v>0</v>
      </c>
      <c r="I177" s="172">
        <f t="shared" si="340"/>
        <v>76463000</v>
      </c>
      <c r="J177" s="172">
        <f t="shared" si="340"/>
        <v>0</v>
      </c>
      <c r="K177" s="172">
        <f t="shared" si="340"/>
        <v>0</v>
      </c>
      <c r="L177" s="172">
        <f t="shared" si="340"/>
        <v>0</v>
      </c>
      <c r="M177" s="172">
        <f t="shared" si="340"/>
        <v>0</v>
      </c>
      <c r="N177" s="172">
        <f t="shared" si="340"/>
        <v>0</v>
      </c>
      <c r="O177" s="172">
        <f t="shared" si="340"/>
        <v>0</v>
      </c>
      <c r="P177" s="172">
        <f t="shared" si="340"/>
        <v>0</v>
      </c>
      <c r="Q177" s="172">
        <f t="shared" si="340"/>
        <v>3350000</v>
      </c>
      <c r="R177" s="172">
        <f t="shared" si="340"/>
        <v>2498000</v>
      </c>
      <c r="S177" s="172">
        <f t="shared" si="340"/>
        <v>15530000</v>
      </c>
      <c r="T177" s="172">
        <f t="shared" si="340"/>
        <v>0</v>
      </c>
      <c r="U177" s="172">
        <f t="shared" si="340"/>
        <v>0</v>
      </c>
      <c r="V177" s="172">
        <f t="shared" si="340"/>
        <v>0</v>
      </c>
      <c r="W177" s="172">
        <f t="shared" si="340"/>
        <v>0</v>
      </c>
      <c r="X177" s="172">
        <f t="shared" si="340"/>
        <v>4986000</v>
      </c>
      <c r="Y177" s="172">
        <f t="shared" si="340"/>
        <v>2118000</v>
      </c>
      <c r="Z177" s="172">
        <f t="shared" si="340"/>
        <v>0</v>
      </c>
      <c r="AA177" s="172">
        <f t="shared" si="340"/>
        <v>0</v>
      </c>
      <c r="AB177" s="172">
        <f t="shared" si="340"/>
        <v>0</v>
      </c>
      <c r="AC177" s="172">
        <f t="shared" si="340"/>
        <v>0</v>
      </c>
      <c r="AD177" s="172">
        <f t="shared" si="340"/>
        <v>0</v>
      </c>
      <c r="AE177" s="172">
        <f t="shared" si="340"/>
        <v>0</v>
      </c>
      <c r="AF177" s="172">
        <f t="shared" si="340"/>
        <v>0</v>
      </c>
      <c r="AG177" s="172">
        <f t="shared" si="340"/>
        <v>0</v>
      </c>
      <c r="AH177" s="172">
        <f t="shared" si="340"/>
        <v>0</v>
      </c>
      <c r="AI177" s="172">
        <f t="shared" si="340"/>
        <v>0</v>
      </c>
      <c r="AJ177" s="172">
        <f t="shared" si="340"/>
        <v>0</v>
      </c>
      <c r="AK177" s="172">
        <f t="shared" si="340"/>
        <v>0</v>
      </c>
      <c r="AL177" s="172">
        <f t="shared" si="340"/>
        <v>0</v>
      </c>
      <c r="AM177" s="172">
        <f t="shared" si="340"/>
        <v>0</v>
      </c>
      <c r="AN177" s="172">
        <f t="shared" si="340"/>
        <v>0</v>
      </c>
      <c r="AO177" s="172">
        <f t="shared" si="340"/>
        <v>0</v>
      </c>
      <c r="AP177" s="172">
        <f t="shared" si="340"/>
        <v>0</v>
      </c>
      <c r="AQ177" s="172">
        <f t="shared" si="340"/>
        <v>0</v>
      </c>
      <c r="AR177" s="172">
        <f t="shared" si="340"/>
        <v>0</v>
      </c>
      <c r="AS177" s="172">
        <f t="shared" si="340"/>
        <v>0</v>
      </c>
      <c r="AT177" s="172">
        <f t="shared" ref="AT177" si="341">SUM(J177:AS177)</f>
        <v>28482000</v>
      </c>
      <c r="AU177" s="173">
        <f t="shared" si="261"/>
        <v>56.885498012742417</v>
      </c>
      <c r="AV177" s="174">
        <f t="shared" ref="AV177:AV178" si="342">F177-AT177</f>
        <v>21587000</v>
      </c>
      <c r="AW177" s="173">
        <f t="shared" ref="AW177:AW178" si="343">AV177/F177*100</f>
        <v>43.114501987257583</v>
      </c>
      <c r="AX177" s="164" t="s">
        <v>542</v>
      </c>
      <c r="AY177" s="164" t="s">
        <v>591</v>
      </c>
      <c r="AZ177" s="164" t="s">
        <v>3921</v>
      </c>
      <c r="BA177" s="172">
        <f t="shared" ref="BA177:BB177" si="344">BA178</f>
        <v>0</v>
      </c>
      <c r="BB177" s="172">
        <f t="shared" si="344"/>
        <v>2498000</v>
      </c>
      <c r="BC177" s="172">
        <f>BC178</f>
        <v>3350000</v>
      </c>
      <c r="BD177" s="172">
        <f t="shared" ref="BD177:BH177" si="345">BD178</f>
        <v>0</v>
      </c>
      <c r="BE177" s="172">
        <f t="shared" si="345"/>
        <v>0</v>
      </c>
      <c r="BF177" s="172">
        <f t="shared" si="345"/>
        <v>0</v>
      </c>
      <c r="BG177" s="172">
        <f t="shared" si="345"/>
        <v>4986000</v>
      </c>
      <c r="BH177" s="172">
        <f t="shared" si="345"/>
        <v>0</v>
      </c>
    </row>
    <row r="178" spans="2:60" x14ac:dyDescent="0.25">
      <c r="B178" s="230" t="s">
        <v>8</v>
      </c>
      <c r="C178" s="166" t="s">
        <v>178</v>
      </c>
      <c r="D178" s="166"/>
      <c r="E178" s="166"/>
      <c r="F178" s="167">
        <f>SUM(F179:F181)</f>
        <v>50069000</v>
      </c>
      <c r="G178" s="167">
        <f>SUM(G179:G181)</f>
        <v>126532000</v>
      </c>
      <c r="H178" s="167">
        <f>SUM(H179:H181)</f>
        <v>0</v>
      </c>
      <c r="I178" s="167">
        <f>SUM(I179:I181)</f>
        <v>76463000</v>
      </c>
      <c r="J178" s="167">
        <f t="shared" ref="J178:AS178" si="346">SUM(J179:J181)</f>
        <v>0</v>
      </c>
      <c r="K178" s="167">
        <f t="shared" si="346"/>
        <v>0</v>
      </c>
      <c r="L178" s="167">
        <f t="shared" si="346"/>
        <v>0</v>
      </c>
      <c r="M178" s="167">
        <f t="shared" si="346"/>
        <v>0</v>
      </c>
      <c r="N178" s="167">
        <f t="shared" si="346"/>
        <v>0</v>
      </c>
      <c r="O178" s="167">
        <f t="shared" si="346"/>
        <v>0</v>
      </c>
      <c r="P178" s="167">
        <f t="shared" si="346"/>
        <v>0</v>
      </c>
      <c r="Q178" s="167">
        <f t="shared" si="346"/>
        <v>3350000</v>
      </c>
      <c r="R178" s="167">
        <f t="shared" si="346"/>
        <v>2498000</v>
      </c>
      <c r="S178" s="167">
        <f t="shared" si="346"/>
        <v>15530000</v>
      </c>
      <c r="T178" s="167">
        <f t="shared" si="346"/>
        <v>0</v>
      </c>
      <c r="U178" s="167">
        <f t="shared" si="346"/>
        <v>0</v>
      </c>
      <c r="V178" s="167">
        <f t="shared" si="346"/>
        <v>0</v>
      </c>
      <c r="W178" s="167">
        <f t="shared" si="346"/>
        <v>0</v>
      </c>
      <c r="X178" s="167">
        <f t="shared" si="346"/>
        <v>4986000</v>
      </c>
      <c r="Y178" s="167">
        <f t="shared" si="346"/>
        <v>2118000</v>
      </c>
      <c r="Z178" s="167">
        <f t="shared" si="346"/>
        <v>0</v>
      </c>
      <c r="AA178" s="167">
        <f t="shared" si="346"/>
        <v>0</v>
      </c>
      <c r="AB178" s="167">
        <f t="shared" si="346"/>
        <v>0</v>
      </c>
      <c r="AC178" s="167">
        <f t="shared" si="346"/>
        <v>0</v>
      </c>
      <c r="AD178" s="167">
        <f t="shared" si="346"/>
        <v>0</v>
      </c>
      <c r="AE178" s="167">
        <f t="shared" si="346"/>
        <v>0</v>
      </c>
      <c r="AF178" s="167">
        <f t="shared" si="346"/>
        <v>0</v>
      </c>
      <c r="AG178" s="167">
        <f t="shared" si="346"/>
        <v>0</v>
      </c>
      <c r="AH178" s="167">
        <f t="shared" si="346"/>
        <v>0</v>
      </c>
      <c r="AI178" s="167">
        <f t="shared" si="346"/>
        <v>0</v>
      </c>
      <c r="AJ178" s="167">
        <f t="shared" si="346"/>
        <v>0</v>
      </c>
      <c r="AK178" s="167">
        <f t="shared" si="346"/>
        <v>0</v>
      </c>
      <c r="AL178" s="167">
        <f t="shared" si="346"/>
        <v>0</v>
      </c>
      <c r="AM178" s="167">
        <f t="shared" si="346"/>
        <v>0</v>
      </c>
      <c r="AN178" s="167">
        <f t="shared" si="346"/>
        <v>0</v>
      </c>
      <c r="AO178" s="167">
        <f t="shared" si="346"/>
        <v>0</v>
      </c>
      <c r="AP178" s="167">
        <f t="shared" si="346"/>
        <v>0</v>
      </c>
      <c r="AQ178" s="167">
        <f t="shared" si="346"/>
        <v>0</v>
      </c>
      <c r="AR178" s="167">
        <f t="shared" si="346"/>
        <v>0</v>
      </c>
      <c r="AS178" s="167">
        <f t="shared" si="346"/>
        <v>0</v>
      </c>
      <c r="AT178" s="167">
        <f>SUM(J178:AS178)</f>
        <v>28482000</v>
      </c>
      <c r="AU178" s="175">
        <f t="shared" si="261"/>
        <v>56.885498012742417</v>
      </c>
      <c r="AV178" s="176">
        <f t="shared" si="342"/>
        <v>21587000</v>
      </c>
      <c r="AW178" s="175">
        <f t="shared" si="343"/>
        <v>43.114501987257583</v>
      </c>
      <c r="AX178" s="164" t="s">
        <v>542</v>
      </c>
      <c r="AY178" s="164" t="s">
        <v>591</v>
      </c>
      <c r="AZ178" s="164" t="s">
        <v>3921</v>
      </c>
      <c r="BA178" s="167">
        <f t="shared" ref="BA178:BB178" si="347">SUM(BA179:BA181)</f>
        <v>0</v>
      </c>
      <c r="BB178" s="167">
        <f t="shared" si="347"/>
        <v>2498000</v>
      </c>
      <c r="BC178" s="167">
        <f>SUM(BC179:BC181)</f>
        <v>3350000</v>
      </c>
      <c r="BD178" s="167">
        <f t="shared" ref="BD178" si="348">SUM(BD179:BD181)</f>
        <v>0</v>
      </c>
      <c r="BE178" s="167">
        <f t="shared" ref="BE178" si="349">SUM(BE179:BE181)</f>
        <v>0</v>
      </c>
      <c r="BF178" s="167">
        <f t="shared" ref="BF178:BG178" si="350">SUM(BF179:BF181)</f>
        <v>0</v>
      </c>
      <c r="BG178" s="167">
        <f t="shared" si="350"/>
        <v>4986000</v>
      </c>
      <c r="BH178" s="167">
        <f t="shared" ref="BH178" si="351">SUM(BH179:BH181)</f>
        <v>0</v>
      </c>
    </row>
    <row r="179" spans="2:60" x14ac:dyDescent="0.25">
      <c r="B179" s="228">
        <v>521211</v>
      </c>
      <c r="C179" s="164" t="s">
        <v>7</v>
      </c>
      <c r="D179" s="164"/>
      <c r="E179" s="164"/>
      <c r="F179" s="165">
        <v>17900000</v>
      </c>
      <c r="G179" s="165">
        <v>35500000</v>
      </c>
      <c r="H179" s="165"/>
      <c r="I179" s="165">
        <f t="shared" ref="I179:I181" si="352">G179-F179</f>
        <v>17600000</v>
      </c>
      <c r="J179" s="165"/>
      <c r="K179" s="165"/>
      <c r="L179" s="165"/>
      <c r="M179" s="165"/>
      <c r="N179" s="165"/>
      <c r="O179" s="165"/>
      <c r="P179" s="165"/>
      <c r="Q179" s="240">
        <v>860000</v>
      </c>
      <c r="R179" s="165">
        <v>2498000</v>
      </c>
      <c r="S179" s="165"/>
      <c r="T179" s="165"/>
      <c r="U179" s="165"/>
      <c r="V179" s="165"/>
      <c r="W179" s="165"/>
      <c r="X179" s="165">
        <v>4986000</v>
      </c>
      <c r="Y179" s="165"/>
      <c r="Z179" s="165"/>
      <c r="AA179" s="165"/>
      <c r="AB179" s="165"/>
      <c r="AC179" s="165"/>
      <c r="AD179" s="165"/>
      <c r="AE179" s="165"/>
      <c r="AF179" s="165"/>
      <c r="AG179" s="165"/>
      <c r="AH179" s="165"/>
      <c r="AI179" s="165"/>
      <c r="AJ179" s="165"/>
      <c r="AK179" s="165"/>
      <c r="AL179" s="165"/>
      <c r="AM179" s="165"/>
      <c r="AN179" s="165"/>
      <c r="AO179" s="165"/>
      <c r="AP179" s="165"/>
      <c r="AQ179" s="165"/>
      <c r="AR179" s="165"/>
      <c r="AS179" s="165"/>
      <c r="AT179" s="165">
        <f t="shared" si="304"/>
        <v>8344000</v>
      </c>
      <c r="AU179" s="168">
        <f t="shared" si="261"/>
        <v>46.614525139664806</v>
      </c>
      <c r="AV179" s="169">
        <f t="shared" si="303"/>
        <v>9556000</v>
      </c>
      <c r="AW179" s="168">
        <f t="shared" si="243"/>
        <v>53.385474860335194</v>
      </c>
      <c r="AX179" s="164" t="s">
        <v>542</v>
      </c>
      <c r="AY179" s="164" t="s">
        <v>591</v>
      </c>
      <c r="AZ179" s="164" t="s">
        <v>3921</v>
      </c>
      <c r="BA179" s="165"/>
      <c r="BB179" s="165">
        <v>2498000</v>
      </c>
      <c r="BC179" s="240">
        <v>860000</v>
      </c>
      <c r="BD179" s="165"/>
      <c r="BE179" s="165"/>
      <c r="BF179" s="165"/>
      <c r="BG179" s="165">
        <v>4986000</v>
      </c>
      <c r="BH179" s="165"/>
    </row>
    <row r="180" spans="2:60" x14ac:dyDescent="0.25">
      <c r="B180" s="228">
        <v>521219</v>
      </c>
      <c r="C180" s="164" t="s">
        <v>53</v>
      </c>
      <c r="D180" s="164"/>
      <c r="E180" s="164"/>
      <c r="F180" s="165">
        <v>2000000</v>
      </c>
      <c r="G180" s="165">
        <v>2000000</v>
      </c>
      <c r="H180" s="165"/>
      <c r="I180" s="165">
        <f t="shared" si="352"/>
        <v>0</v>
      </c>
      <c r="J180" s="165"/>
      <c r="K180" s="165"/>
      <c r="L180" s="165"/>
      <c r="M180" s="165"/>
      <c r="N180" s="165"/>
      <c r="O180" s="165"/>
      <c r="P180" s="165"/>
      <c r="Q180" s="165"/>
      <c r="R180" s="165"/>
      <c r="S180" s="165"/>
      <c r="T180" s="165"/>
      <c r="U180" s="165"/>
      <c r="V180" s="165"/>
      <c r="W180" s="165"/>
      <c r="X180" s="165"/>
      <c r="Y180" s="165"/>
      <c r="Z180" s="165"/>
      <c r="AA180" s="165"/>
      <c r="AB180" s="165"/>
      <c r="AC180" s="165"/>
      <c r="AD180" s="165"/>
      <c r="AE180" s="165"/>
      <c r="AF180" s="165"/>
      <c r="AG180" s="165"/>
      <c r="AH180" s="165"/>
      <c r="AI180" s="165"/>
      <c r="AJ180" s="165"/>
      <c r="AK180" s="165"/>
      <c r="AL180" s="165"/>
      <c r="AM180" s="165"/>
      <c r="AN180" s="165"/>
      <c r="AO180" s="165"/>
      <c r="AP180" s="165"/>
      <c r="AQ180" s="165"/>
      <c r="AR180" s="165"/>
      <c r="AS180" s="165"/>
      <c r="AT180" s="165">
        <f t="shared" si="304"/>
        <v>0</v>
      </c>
      <c r="AU180" s="168">
        <f t="shared" si="261"/>
        <v>0</v>
      </c>
      <c r="AV180" s="169">
        <f t="shared" si="303"/>
        <v>2000000</v>
      </c>
      <c r="AW180" s="168">
        <f t="shared" si="243"/>
        <v>100</v>
      </c>
      <c r="AX180" s="164" t="s">
        <v>542</v>
      </c>
      <c r="AY180" s="164" t="s">
        <v>591</v>
      </c>
      <c r="AZ180" s="164" t="s">
        <v>3921</v>
      </c>
      <c r="BA180" s="165"/>
      <c r="BB180" s="165"/>
      <c r="BC180" s="240"/>
      <c r="BD180" s="165"/>
      <c r="BE180" s="165"/>
      <c r="BF180" s="165"/>
      <c r="BG180" s="165"/>
      <c r="BH180" s="165"/>
    </row>
    <row r="181" spans="2:60" x14ac:dyDescent="0.25">
      <c r="B181" s="228">
        <v>524111</v>
      </c>
      <c r="C181" s="164" t="s">
        <v>19</v>
      </c>
      <c r="D181" s="164"/>
      <c r="E181" s="164"/>
      <c r="F181" s="165">
        <v>30169000</v>
      </c>
      <c r="G181" s="165">
        <v>89032000</v>
      </c>
      <c r="H181" s="165"/>
      <c r="I181" s="165">
        <f t="shared" si="352"/>
        <v>58863000</v>
      </c>
      <c r="J181" s="165"/>
      <c r="K181" s="165"/>
      <c r="L181" s="165"/>
      <c r="M181" s="165"/>
      <c r="N181" s="165"/>
      <c r="O181" s="165"/>
      <c r="P181" s="165"/>
      <c r="Q181" s="240">
        <v>2490000</v>
      </c>
      <c r="R181" s="165"/>
      <c r="S181" s="165">
        <f>8760000+4980000+1790000</f>
        <v>15530000</v>
      </c>
      <c r="T181" s="165"/>
      <c r="U181" s="165"/>
      <c r="V181" s="165"/>
      <c r="W181" s="165"/>
      <c r="X181" s="165"/>
      <c r="Y181" s="165">
        <v>2118000</v>
      </c>
      <c r="Z181" s="165"/>
      <c r="AA181" s="165"/>
      <c r="AB181" s="165"/>
      <c r="AC181" s="165"/>
      <c r="AD181" s="165"/>
      <c r="AE181" s="165"/>
      <c r="AF181" s="165"/>
      <c r="AG181" s="165"/>
      <c r="AH181" s="165"/>
      <c r="AI181" s="165"/>
      <c r="AJ181" s="165"/>
      <c r="AK181" s="165"/>
      <c r="AL181" s="165"/>
      <c r="AM181" s="165"/>
      <c r="AN181" s="165"/>
      <c r="AO181" s="165"/>
      <c r="AP181" s="165"/>
      <c r="AQ181" s="165"/>
      <c r="AR181" s="165"/>
      <c r="AS181" s="165"/>
      <c r="AT181" s="165">
        <f t="shared" si="304"/>
        <v>20138000</v>
      </c>
      <c r="AU181" s="168">
        <f t="shared" si="261"/>
        <v>66.750638072193311</v>
      </c>
      <c r="AV181" s="169">
        <f t="shared" si="303"/>
        <v>10031000</v>
      </c>
      <c r="AW181" s="168">
        <f t="shared" si="243"/>
        <v>33.249361927806689</v>
      </c>
      <c r="AX181" s="164" t="s">
        <v>542</v>
      </c>
      <c r="AY181" s="164" t="s">
        <v>591</v>
      </c>
      <c r="AZ181" s="164" t="s">
        <v>3921</v>
      </c>
      <c r="BA181" s="165"/>
      <c r="BB181" s="165"/>
      <c r="BC181" s="240">
        <v>2490000</v>
      </c>
      <c r="BD181" s="165"/>
      <c r="BE181" s="165"/>
      <c r="BF181" s="165"/>
      <c r="BG181" s="165"/>
      <c r="BH181" s="165"/>
    </row>
    <row r="182" spans="2:60" x14ac:dyDescent="0.25">
      <c r="B182" s="170" t="s">
        <v>3798</v>
      </c>
      <c r="C182" s="171" t="s">
        <v>3106</v>
      </c>
      <c r="D182" s="171">
        <v>1</v>
      </c>
      <c r="E182" s="171" t="s">
        <v>3782</v>
      </c>
      <c r="F182" s="172">
        <f>F183</f>
        <v>197920000</v>
      </c>
      <c r="G182" s="172">
        <f>G183</f>
        <v>289920000</v>
      </c>
      <c r="H182" s="172">
        <f>H183</f>
        <v>0</v>
      </c>
      <c r="I182" s="172">
        <f>I183</f>
        <v>92000000</v>
      </c>
      <c r="J182" s="172">
        <f t="shared" ref="J182:AS182" si="353">J183</f>
        <v>0</v>
      </c>
      <c r="K182" s="172">
        <f t="shared" si="353"/>
        <v>0</v>
      </c>
      <c r="L182" s="172">
        <f t="shared" si="353"/>
        <v>0</v>
      </c>
      <c r="M182" s="172">
        <f t="shared" si="353"/>
        <v>0</v>
      </c>
      <c r="N182" s="172">
        <f t="shared" si="353"/>
        <v>0</v>
      </c>
      <c r="O182" s="172">
        <f t="shared" si="353"/>
        <v>0</v>
      </c>
      <c r="P182" s="172">
        <f t="shared" si="353"/>
        <v>0</v>
      </c>
      <c r="Q182" s="172">
        <f t="shared" si="353"/>
        <v>18269500</v>
      </c>
      <c r="R182" s="172">
        <f t="shared" si="353"/>
        <v>50674500</v>
      </c>
      <c r="S182" s="172">
        <f t="shared" si="353"/>
        <v>0</v>
      </c>
      <c r="T182" s="172">
        <f t="shared" si="353"/>
        <v>19929200</v>
      </c>
      <c r="U182" s="172">
        <f t="shared" si="353"/>
        <v>0</v>
      </c>
      <c r="V182" s="172">
        <f t="shared" si="353"/>
        <v>0</v>
      </c>
      <c r="W182" s="172">
        <f t="shared" si="353"/>
        <v>19882500</v>
      </c>
      <c r="X182" s="172">
        <f t="shared" si="353"/>
        <v>25762820</v>
      </c>
      <c r="Y182" s="172">
        <f t="shared" si="353"/>
        <v>0</v>
      </c>
      <c r="Z182" s="172">
        <f t="shared" si="353"/>
        <v>0</v>
      </c>
      <c r="AA182" s="172">
        <f t="shared" si="353"/>
        <v>2030000</v>
      </c>
      <c r="AB182" s="172">
        <f t="shared" si="353"/>
        <v>0</v>
      </c>
      <c r="AC182" s="172">
        <f t="shared" si="353"/>
        <v>0</v>
      </c>
      <c r="AD182" s="172">
        <f t="shared" si="353"/>
        <v>0</v>
      </c>
      <c r="AE182" s="172">
        <f t="shared" si="353"/>
        <v>0</v>
      </c>
      <c r="AF182" s="172">
        <f t="shared" si="353"/>
        <v>0</v>
      </c>
      <c r="AG182" s="172">
        <f t="shared" si="353"/>
        <v>0</v>
      </c>
      <c r="AH182" s="172">
        <f t="shared" si="353"/>
        <v>0</v>
      </c>
      <c r="AI182" s="172">
        <f t="shared" si="353"/>
        <v>0</v>
      </c>
      <c r="AJ182" s="172">
        <f t="shared" si="353"/>
        <v>0</v>
      </c>
      <c r="AK182" s="172">
        <f t="shared" si="353"/>
        <v>0</v>
      </c>
      <c r="AL182" s="172">
        <f t="shared" si="353"/>
        <v>0</v>
      </c>
      <c r="AM182" s="172">
        <f t="shared" si="353"/>
        <v>0</v>
      </c>
      <c r="AN182" s="172">
        <f t="shared" si="353"/>
        <v>0</v>
      </c>
      <c r="AO182" s="172">
        <f t="shared" si="353"/>
        <v>0</v>
      </c>
      <c r="AP182" s="172">
        <f t="shared" si="353"/>
        <v>0</v>
      </c>
      <c r="AQ182" s="172">
        <f t="shared" si="353"/>
        <v>0</v>
      </c>
      <c r="AR182" s="172">
        <f t="shared" si="353"/>
        <v>0</v>
      </c>
      <c r="AS182" s="172">
        <f t="shared" si="353"/>
        <v>0</v>
      </c>
      <c r="AT182" s="172">
        <f t="shared" si="304"/>
        <v>136548520</v>
      </c>
      <c r="AU182" s="173">
        <f t="shared" si="261"/>
        <v>68.991774454324982</v>
      </c>
      <c r="AV182" s="174">
        <f t="shared" si="303"/>
        <v>61371480</v>
      </c>
      <c r="AW182" s="173">
        <f t="shared" si="243"/>
        <v>31.008225545675021</v>
      </c>
      <c r="AX182" s="164" t="s">
        <v>576</v>
      </c>
      <c r="AY182" s="164" t="s">
        <v>546</v>
      </c>
      <c r="AZ182" s="164" t="s">
        <v>3921</v>
      </c>
      <c r="BA182" s="172">
        <f t="shared" ref="BA182:BH182" si="354">BA183</f>
        <v>0</v>
      </c>
      <c r="BB182" s="172">
        <f t="shared" si="354"/>
        <v>50674500</v>
      </c>
      <c r="BC182" s="172">
        <f t="shared" si="354"/>
        <v>18269500</v>
      </c>
      <c r="BD182" s="172">
        <f t="shared" si="354"/>
        <v>19929200</v>
      </c>
      <c r="BE182" s="172">
        <f t="shared" si="354"/>
        <v>10000000</v>
      </c>
      <c r="BF182" s="172">
        <f t="shared" si="354"/>
        <v>9882500</v>
      </c>
      <c r="BG182" s="172">
        <f t="shared" si="354"/>
        <v>25762820</v>
      </c>
      <c r="BH182" s="172">
        <f t="shared" si="354"/>
        <v>2030000</v>
      </c>
    </row>
    <row r="183" spans="2:60" x14ac:dyDescent="0.25">
      <c r="B183" s="170">
        <v>301</v>
      </c>
      <c r="C183" s="171" t="s">
        <v>3319</v>
      </c>
      <c r="D183" s="171"/>
      <c r="E183" s="171"/>
      <c r="F183" s="172">
        <f t="shared" ref="F183:AS183" si="355">F184+F187+F190+F193+F197+F200</f>
        <v>197920000</v>
      </c>
      <c r="G183" s="172">
        <f t="shared" ref="G183:H183" si="356">G184+G187+G190+G193+G197+G200</f>
        <v>289920000</v>
      </c>
      <c r="H183" s="172">
        <f t="shared" si="356"/>
        <v>0</v>
      </c>
      <c r="I183" s="172">
        <f t="shared" ref="I183" si="357">I184+I187+I190+I193+I197+I200</f>
        <v>92000000</v>
      </c>
      <c r="J183" s="172">
        <f t="shared" si="355"/>
        <v>0</v>
      </c>
      <c r="K183" s="172">
        <f t="shared" si="355"/>
        <v>0</v>
      </c>
      <c r="L183" s="172">
        <f t="shared" si="355"/>
        <v>0</v>
      </c>
      <c r="M183" s="172">
        <f t="shared" si="355"/>
        <v>0</v>
      </c>
      <c r="N183" s="172">
        <f t="shared" si="355"/>
        <v>0</v>
      </c>
      <c r="O183" s="172">
        <f t="shared" si="355"/>
        <v>0</v>
      </c>
      <c r="P183" s="172">
        <f t="shared" si="355"/>
        <v>0</v>
      </c>
      <c r="Q183" s="172">
        <f t="shared" si="355"/>
        <v>18269500</v>
      </c>
      <c r="R183" s="172">
        <f t="shared" si="355"/>
        <v>50674500</v>
      </c>
      <c r="S183" s="172">
        <f t="shared" si="355"/>
        <v>0</v>
      </c>
      <c r="T183" s="172">
        <f t="shared" si="355"/>
        <v>19929200</v>
      </c>
      <c r="U183" s="172">
        <f t="shared" si="355"/>
        <v>0</v>
      </c>
      <c r="V183" s="172">
        <f t="shared" si="355"/>
        <v>0</v>
      </c>
      <c r="W183" s="172">
        <f t="shared" si="355"/>
        <v>19882500</v>
      </c>
      <c r="X183" s="172">
        <f t="shared" si="355"/>
        <v>25762820</v>
      </c>
      <c r="Y183" s="172">
        <f t="shared" si="355"/>
        <v>0</v>
      </c>
      <c r="Z183" s="172">
        <f t="shared" si="355"/>
        <v>0</v>
      </c>
      <c r="AA183" s="172">
        <f t="shared" si="355"/>
        <v>2030000</v>
      </c>
      <c r="AB183" s="172">
        <f t="shared" si="355"/>
        <v>0</v>
      </c>
      <c r="AC183" s="172">
        <f t="shared" si="355"/>
        <v>0</v>
      </c>
      <c r="AD183" s="172">
        <f t="shared" si="355"/>
        <v>0</v>
      </c>
      <c r="AE183" s="172">
        <f t="shared" si="355"/>
        <v>0</v>
      </c>
      <c r="AF183" s="172">
        <f t="shared" si="355"/>
        <v>0</v>
      </c>
      <c r="AG183" s="172">
        <f t="shared" si="355"/>
        <v>0</v>
      </c>
      <c r="AH183" s="172">
        <f t="shared" si="355"/>
        <v>0</v>
      </c>
      <c r="AI183" s="172">
        <f t="shared" si="355"/>
        <v>0</v>
      </c>
      <c r="AJ183" s="172">
        <f t="shared" si="355"/>
        <v>0</v>
      </c>
      <c r="AK183" s="172">
        <f t="shared" si="355"/>
        <v>0</v>
      </c>
      <c r="AL183" s="172">
        <f t="shared" si="355"/>
        <v>0</v>
      </c>
      <c r="AM183" s="172">
        <f t="shared" si="355"/>
        <v>0</v>
      </c>
      <c r="AN183" s="172">
        <f t="shared" si="355"/>
        <v>0</v>
      </c>
      <c r="AO183" s="172">
        <f t="shared" si="355"/>
        <v>0</v>
      </c>
      <c r="AP183" s="172">
        <f t="shared" si="355"/>
        <v>0</v>
      </c>
      <c r="AQ183" s="172">
        <f t="shared" si="355"/>
        <v>0</v>
      </c>
      <c r="AR183" s="172">
        <f t="shared" si="355"/>
        <v>0</v>
      </c>
      <c r="AS183" s="172">
        <f t="shared" si="355"/>
        <v>0</v>
      </c>
      <c r="AT183" s="172">
        <f t="shared" si="304"/>
        <v>136548520</v>
      </c>
      <c r="AU183" s="173">
        <f t="shared" si="261"/>
        <v>68.991774454324982</v>
      </c>
      <c r="AV183" s="174">
        <f t="shared" si="303"/>
        <v>61371480</v>
      </c>
      <c r="AW183" s="173">
        <f t="shared" si="243"/>
        <v>31.008225545675021</v>
      </c>
      <c r="AX183" s="164" t="s">
        <v>576</v>
      </c>
      <c r="AY183" s="164" t="s">
        <v>546</v>
      </c>
      <c r="AZ183" s="164" t="s">
        <v>3921</v>
      </c>
      <c r="BA183" s="172">
        <f>BA184+BA187+BA190+BA193+BA197+BA200</f>
        <v>0</v>
      </c>
      <c r="BB183" s="172">
        <f>BB184+BB187+BB190+BB193+BB197+BB200</f>
        <v>50674500</v>
      </c>
      <c r="BC183" s="172">
        <f>BC184+BC187+BC190+BC193+BC197+BC200</f>
        <v>18269500</v>
      </c>
      <c r="BD183" s="172">
        <f t="shared" ref="BD183" si="358">BD184+BD187+BD190+BD193+BD197+BD200</f>
        <v>19929200</v>
      </c>
      <c r="BE183" s="172">
        <f t="shared" ref="BE183" si="359">BE184+BE187+BE190+BE193+BE197+BE200</f>
        <v>10000000</v>
      </c>
      <c r="BF183" s="172">
        <f t="shared" ref="BF183:BG183" si="360">BF184+BF187+BF190+BF193+BF197+BF200</f>
        <v>9882500</v>
      </c>
      <c r="BG183" s="172">
        <f t="shared" si="360"/>
        <v>25762820</v>
      </c>
      <c r="BH183" s="172">
        <f t="shared" ref="BH183" si="361">BH184+BH187+BH190+BH193+BH197+BH200</f>
        <v>2030000</v>
      </c>
    </row>
    <row r="184" spans="2:60" x14ac:dyDescent="0.25">
      <c r="B184" s="230" t="s">
        <v>8</v>
      </c>
      <c r="C184" s="166" t="s">
        <v>143</v>
      </c>
      <c r="D184" s="166"/>
      <c r="E184" s="166"/>
      <c r="F184" s="167">
        <f t="shared" ref="F184:AS184" si="362">SUM(F185:F186)</f>
        <v>27102000</v>
      </c>
      <c r="G184" s="167">
        <f t="shared" ref="G184:H184" si="363">SUM(G185:G186)</f>
        <v>38900000</v>
      </c>
      <c r="H184" s="167">
        <f t="shared" si="363"/>
        <v>0</v>
      </c>
      <c r="I184" s="167">
        <f t="shared" ref="I184" si="364">SUM(I185:I186)</f>
        <v>11798000</v>
      </c>
      <c r="J184" s="167">
        <f t="shared" si="362"/>
        <v>0</v>
      </c>
      <c r="K184" s="167">
        <f t="shared" si="362"/>
        <v>0</v>
      </c>
      <c r="L184" s="167">
        <f t="shared" si="362"/>
        <v>0</v>
      </c>
      <c r="M184" s="167">
        <f t="shared" si="362"/>
        <v>0</v>
      </c>
      <c r="N184" s="167">
        <f t="shared" si="362"/>
        <v>0</v>
      </c>
      <c r="O184" s="167">
        <f t="shared" si="362"/>
        <v>0</v>
      </c>
      <c r="P184" s="167">
        <f t="shared" si="362"/>
        <v>0</v>
      </c>
      <c r="Q184" s="167">
        <f t="shared" si="362"/>
        <v>2450000</v>
      </c>
      <c r="R184" s="167">
        <f t="shared" si="362"/>
        <v>3275000</v>
      </c>
      <c r="S184" s="167">
        <f t="shared" si="362"/>
        <v>0</v>
      </c>
      <c r="T184" s="167">
        <f t="shared" si="362"/>
        <v>2446000</v>
      </c>
      <c r="U184" s="167">
        <f t="shared" si="362"/>
        <v>0</v>
      </c>
      <c r="V184" s="167">
        <f t="shared" si="362"/>
        <v>0</v>
      </c>
      <c r="W184" s="167">
        <f t="shared" si="362"/>
        <v>1810000</v>
      </c>
      <c r="X184" s="167">
        <f t="shared" si="362"/>
        <v>12551552</v>
      </c>
      <c r="Y184" s="167">
        <f t="shared" si="362"/>
        <v>0</v>
      </c>
      <c r="Z184" s="167">
        <f t="shared" si="362"/>
        <v>0</v>
      </c>
      <c r="AA184" s="167">
        <f t="shared" si="362"/>
        <v>0</v>
      </c>
      <c r="AB184" s="167">
        <f t="shared" si="362"/>
        <v>0</v>
      </c>
      <c r="AC184" s="167">
        <f t="shared" si="362"/>
        <v>0</v>
      </c>
      <c r="AD184" s="167">
        <f t="shared" si="362"/>
        <v>0</v>
      </c>
      <c r="AE184" s="167">
        <f t="shared" si="362"/>
        <v>0</v>
      </c>
      <c r="AF184" s="167">
        <f t="shared" si="362"/>
        <v>0</v>
      </c>
      <c r="AG184" s="167">
        <f t="shared" si="362"/>
        <v>0</v>
      </c>
      <c r="AH184" s="167">
        <f t="shared" si="362"/>
        <v>0</v>
      </c>
      <c r="AI184" s="167">
        <f t="shared" si="362"/>
        <v>0</v>
      </c>
      <c r="AJ184" s="167">
        <f t="shared" si="362"/>
        <v>0</v>
      </c>
      <c r="AK184" s="167">
        <f t="shared" si="362"/>
        <v>0</v>
      </c>
      <c r="AL184" s="167">
        <f t="shared" si="362"/>
        <v>0</v>
      </c>
      <c r="AM184" s="167">
        <f t="shared" si="362"/>
        <v>0</v>
      </c>
      <c r="AN184" s="167">
        <f t="shared" si="362"/>
        <v>0</v>
      </c>
      <c r="AO184" s="167">
        <f t="shared" si="362"/>
        <v>0</v>
      </c>
      <c r="AP184" s="167">
        <f t="shared" si="362"/>
        <v>0</v>
      </c>
      <c r="AQ184" s="167">
        <f t="shared" si="362"/>
        <v>0</v>
      </c>
      <c r="AR184" s="167">
        <f t="shared" si="362"/>
        <v>0</v>
      </c>
      <c r="AS184" s="167">
        <f t="shared" si="362"/>
        <v>0</v>
      </c>
      <c r="AT184" s="167">
        <f t="shared" si="304"/>
        <v>22532552</v>
      </c>
      <c r="AU184" s="175">
        <f t="shared" si="261"/>
        <v>83.139812559958671</v>
      </c>
      <c r="AV184" s="176">
        <f t="shared" si="303"/>
        <v>4569448</v>
      </c>
      <c r="AW184" s="175">
        <f t="shared" si="243"/>
        <v>16.860187440041326</v>
      </c>
      <c r="AX184" s="164" t="s">
        <v>576</v>
      </c>
      <c r="AY184" s="164" t="s">
        <v>546</v>
      </c>
      <c r="AZ184" s="164" t="s">
        <v>3921</v>
      </c>
      <c r="BA184" s="167">
        <f>SUM(BA185:BA186)</f>
        <v>0</v>
      </c>
      <c r="BB184" s="167">
        <f>SUM(BB185:BB186)</f>
        <v>3275000</v>
      </c>
      <c r="BC184" s="167">
        <f>SUM(BC185:BC186)</f>
        <v>2450000</v>
      </c>
      <c r="BD184" s="167">
        <f t="shared" ref="BD184" si="365">SUM(BD185:BD186)</f>
        <v>2446000</v>
      </c>
      <c r="BE184" s="167">
        <f t="shared" ref="BE184" si="366">SUM(BE185:BE186)</f>
        <v>1810000</v>
      </c>
      <c r="BF184" s="167">
        <f t="shared" ref="BF184:BG184" si="367">SUM(BF185:BF186)</f>
        <v>0</v>
      </c>
      <c r="BG184" s="167">
        <f t="shared" si="367"/>
        <v>12551552</v>
      </c>
      <c r="BH184" s="167">
        <f t="shared" ref="BH184" si="368">SUM(BH185:BH186)</f>
        <v>0</v>
      </c>
    </row>
    <row r="185" spans="2:60" x14ac:dyDescent="0.25">
      <c r="B185" s="228">
        <v>521211</v>
      </c>
      <c r="C185" s="164" t="s">
        <v>7</v>
      </c>
      <c r="D185" s="164"/>
      <c r="E185" s="164"/>
      <c r="F185" s="165">
        <v>18400000</v>
      </c>
      <c r="G185" s="165">
        <v>23900000</v>
      </c>
      <c r="H185" s="165"/>
      <c r="I185" s="165">
        <f t="shared" ref="I185:I186" si="369">G185-F185</f>
        <v>5500000</v>
      </c>
      <c r="J185" s="165"/>
      <c r="K185" s="165"/>
      <c r="L185" s="165"/>
      <c r="M185" s="165"/>
      <c r="N185" s="165"/>
      <c r="O185" s="165"/>
      <c r="P185" s="165"/>
      <c r="Q185" s="240">
        <v>2450000</v>
      </c>
      <c r="R185" s="165">
        <v>3275000</v>
      </c>
      <c r="S185" s="165"/>
      <c r="T185" s="165">
        <v>2446000</v>
      </c>
      <c r="U185" s="165"/>
      <c r="V185" s="165"/>
      <c r="W185" s="165">
        <f>1810000</f>
        <v>1810000</v>
      </c>
      <c r="X185" s="165">
        <v>3850000</v>
      </c>
      <c r="Y185" s="165"/>
      <c r="Z185" s="165"/>
      <c r="AA185" s="165"/>
      <c r="AB185" s="165"/>
      <c r="AC185" s="165"/>
      <c r="AD185" s="165"/>
      <c r="AE185" s="165"/>
      <c r="AF185" s="165"/>
      <c r="AG185" s="165"/>
      <c r="AH185" s="165"/>
      <c r="AI185" s="165"/>
      <c r="AJ185" s="165"/>
      <c r="AK185" s="165"/>
      <c r="AL185" s="165"/>
      <c r="AM185" s="165"/>
      <c r="AN185" s="165"/>
      <c r="AO185" s="165"/>
      <c r="AP185" s="165"/>
      <c r="AQ185" s="165"/>
      <c r="AR185" s="165"/>
      <c r="AS185" s="165"/>
      <c r="AT185" s="165">
        <f t="shared" si="304"/>
        <v>13831000</v>
      </c>
      <c r="AU185" s="168">
        <f t="shared" si="261"/>
        <v>75.168478260869563</v>
      </c>
      <c r="AV185" s="169">
        <f t="shared" si="303"/>
        <v>4569000</v>
      </c>
      <c r="AW185" s="168">
        <f t="shared" si="243"/>
        <v>24.831521739130437</v>
      </c>
      <c r="AX185" s="164" t="s">
        <v>576</v>
      </c>
      <c r="AY185" s="164" t="s">
        <v>546</v>
      </c>
      <c r="AZ185" s="164" t="s">
        <v>3921</v>
      </c>
      <c r="BA185" s="165"/>
      <c r="BB185" s="165">
        <v>3275000</v>
      </c>
      <c r="BC185" s="240">
        <v>2450000</v>
      </c>
      <c r="BD185" s="165">
        <v>2446000</v>
      </c>
      <c r="BE185" s="165">
        <v>1810000</v>
      </c>
      <c r="BF185" s="165"/>
      <c r="BG185" s="165">
        <v>3850000</v>
      </c>
      <c r="BH185" s="165"/>
    </row>
    <row r="186" spans="2:60" x14ac:dyDescent="0.25">
      <c r="B186" s="228">
        <v>524111</v>
      </c>
      <c r="C186" s="164" t="s">
        <v>19</v>
      </c>
      <c r="D186" s="164"/>
      <c r="E186" s="164"/>
      <c r="F186" s="165">
        <v>8702000</v>
      </c>
      <c r="G186" s="165">
        <v>15000000</v>
      </c>
      <c r="H186" s="165"/>
      <c r="I186" s="165">
        <f t="shared" si="369"/>
        <v>6298000</v>
      </c>
      <c r="J186" s="165"/>
      <c r="K186" s="165"/>
      <c r="L186" s="165"/>
      <c r="M186" s="165"/>
      <c r="N186" s="165"/>
      <c r="O186" s="165"/>
      <c r="P186" s="165"/>
      <c r="Q186" s="165"/>
      <c r="R186" s="165"/>
      <c r="S186" s="165"/>
      <c r="T186" s="165"/>
      <c r="U186" s="165"/>
      <c r="V186" s="165"/>
      <c r="W186" s="165"/>
      <c r="X186" s="165">
        <v>8701552</v>
      </c>
      <c r="Y186" s="165"/>
      <c r="Z186" s="165"/>
      <c r="AA186" s="165"/>
      <c r="AB186" s="165"/>
      <c r="AC186" s="165"/>
      <c r="AD186" s="165"/>
      <c r="AE186" s="165"/>
      <c r="AF186" s="165"/>
      <c r="AG186" s="165"/>
      <c r="AH186" s="165"/>
      <c r="AI186" s="165"/>
      <c r="AJ186" s="165"/>
      <c r="AK186" s="165"/>
      <c r="AL186" s="165"/>
      <c r="AM186" s="165"/>
      <c r="AN186" s="165"/>
      <c r="AO186" s="165"/>
      <c r="AP186" s="165"/>
      <c r="AQ186" s="165"/>
      <c r="AR186" s="165"/>
      <c r="AS186" s="165"/>
      <c r="AT186" s="165">
        <f t="shared" si="304"/>
        <v>8701552</v>
      </c>
      <c r="AU186" s="168">
        <f t="shared" si="261"/>
        <v>99.994851758216498</v>
      </c>
      <c r="AV186" s="169">
        <f t="shared" si="303"/>
        <v>448</v>
      </c>
      <c r="AW186" s="168">
        <f t="shared" si="243"/>
        <v>5.1482417834980464E-3</v>
      </c>
      <c r="AX186" s="164" t="s">
        <v>576</v>
      </c>
      <c r="AY186" s="164" t="s">
        <v>546</v>
      </c>
      <c r="AZ186" s="164" t="s">
        <v>3921</v>
      </c>
      <c r="BA186" s="165"/>
      <c r="BB186" s="165"/>
      <c r="BC186" s="240"/>
      <c r="BD186" s="165"/>
      <c r="BE186" s="165"/>
      <c r="BF186" s="165"/>
      <c r="BG186" s="165">
        <v>8701552</v>
      </c>
      <c r="BH186" s="165"/>
    </row>
    <row r="187" spans="2:60" x14ac:dyDescent="0.25">
      <c r="B187" s="230" t="s">
        <v>511</v>
      </c>
      <c r="C187" s="166" t="s">
        <v>144</v>
      </c>
      <c r="D187" s="166"/>
      <c r="E187" s="166"/>
      <c r="F187" s="167">
        <f t="shared" ref="F187:AS187" si="370">SUM(F188:F189)</f>
        <v>12850000</v>
      </c>
      <c r="G187" s="167">
        <f t="shared" ref="G187:H187" si="371">SUM(G188:G189)</f>
        <v>29400000</v>
      </c>
      <c r="H187" s="167">
        <f t="shared" si="371"/>
        <v>0</v>
      </c>
      <c r="I187" s="167">
        <f t="shared" ref="I187" si="372">SUM(I188:I189)</f>
        <v>16550000</v>
      </c>
      <c r="J187" s="167">
        <f t="shared" si="370"/>
        <v>0</v>
      </c>
      <c r="K187" s="167">
        <f t="shared" si="370"/>
        <v>0</v>
      </c>
      <c r="L187" s="167">
        <f t="shared" si="370"/>
        <v>0</v>
      </c>
      <c r="M187" s="167">
        <f t="shared" si="370"/>
        <v>0</v>
      </c>
      <c r="N187" s="167">
        <f t="shared" si="370"/>
        <v>0</v>
      </c>
      <c r="O187" s="167">
        <f t="shared" si="370"/>
        <v>0</v>
      </c>
      <c r="P187" s="167">
        <f t="shared" si="370"/>
        <v>0</v>
      </c>
      <c r="Q187" s="167">
        <f t="shared" si="370"/>
        <v>0</v>
      </c>
      <c r="R187" s="167">
        <f t="shared" si="370"/>
        <v>5350000</v>
      </c>
      <c r="S187" s="167">
        <f t="shared" si="370"/>
        <v>0</v>
      </c>
      <c r="T187" s="167">
        <f t="shared" si="370"/>
        <v>0</v>
      </c>
      <c r="U187" s="167">
        <f t="shared" si="370"/>
        <v>0</v>
      </c>
      <c r="V187" s="167">
        <f t="shared" si="370"/>
        <v>0</v>
      </c>
      <c r="W187" s="167">
        <f t="shared" si="370"/>
        <v>2444000</v>
      </c>
      <c r="X187" s="167">
        <f t="shared" si="370"/>
        <v>0</v>
      </c>
      <c r="Y187" s="167">
        <f t="shared" si="370"/>
        <v>0</v>
      </c>
      <c r="Z187" s="167">
        <f t="shared" si="370"/>
        <v>0</v>
      </c>
      <c r="AA187" s="167">
        <f t="shared" si="370"/>
        <v>0</v>
      </c>
      <c r="AB187" s="167">
        <f t="shared" si="370"/>
        <v>0</v>
      </c>
      <c r="AC187" s="167">
        <f t="shared" si="370"/>
        <v>0</v>
      </c>
      <c r="AD187" s="167">
        <f t="shared" si="370"/>
        <v>0</v>
      </c>
      <c r="AE187" s="167">
        <f t="shared" si="370"/>
        <v>0</v>
      </c>
      <c r="AF187" s="167">
        <f t="shared" si="370"/>
        <v>0</v>
      </c>
      <c r="AG187" s="167">
        <f t="shared" si="370"/>
        <v>0</v>
      </c>
      <c r="AH187" s="167">
        <f t="shared" si="370"/>
        <v>0</v>
      </c>
      <c r="AI187" s="167">
        <f t="shared" si="370"/>
        <v>0</v>
      </c>
      <c r="AJ187" s="167">
        <f t="shared" si="370"/>
        <v>0</v>
      </c>
      <c r="AK187" s="167">
        <f t="shared" si="370"/>
        <v>0</v>
      </c>
      <c r="AL187" s="167">
        <f t="shared" si="370"/>
        <v>0</v>
      </c>
      <c r="AM187" s="167">
        <f t="shared" si="370"/>
        <v>0</v>
      </c>
      <c r="AN187" s="167">
        <f t="shared" si="370"/>
        <v>0</v>
      </c>
      <c r="AO187" s="167">
        <f t="shared" si="370"/>
        <v>0</v>
      </c>
      <c r="AP187" s="167">
        <f t="shared" si="370"/>
        <v>0</v>
      </c>
      <c r="AQ187" s="167">
        <f t="shared" si="370"/>
        <v>0</v>
      </c>
      <c r="AR187" s="167">
        <f t="shared" si="370"/>
        <v>0</v>
      </c>
      <c r="AS187" s="167">
        <f t="shared" si="370"/>
        <v>0</v>
      </c>
      <c r="AT187" s="167">
        <f t="shared" si="304"/>
        <v>7794000</v>
      </c>
      <c r="AU187" s="175">
        <f t="shared" si="261"/>
        <v>60.653696498054479</v>
      </c>
      <c r="AV187" s="176">
        <f t="shared" si="303"/>
        <v>5056000</v>
      </c>
      <c r="AW187" s="175">
        <f t="shared" si="243"/>
        <v>39.346303501945521</v>
      </c>
      <c r="AX187" s="164" t="s">
        <v>576</v>
      </c>
      <c r="AY187" s="164" t="s">
        <v>546</v>
      </c>
      <c r="AZ187" s="164" t="s">
        <v>3921</v>
      </c>
      <c r="BA187" s="167">
        <f>SUM(BA188:BA189)</f>
        <v>0</v>
      </c>
      <c r="BB187" s="167">
        <f>SUM(BB188:BB189)</f>
        <v>5350000</v>
      </c>
      <c r="BC187" s="167">
        <f>SUM(BC188:BC189)</f>
        <v>0</v>
      </c>
      <c r="BD187" s="167">
        <f t="shared" ref="BD187" si="373">SUM(BD188:BD189)</f>
        <v>0</v>
      </c>
      <c r="BE187" s="167">
        <f t="shared" ref="BE187" si="374">SUM(BE188:BE189)</f>
        <v>0</v>
      </c>
      <c r="BF187" s="167">
        <f t="shared" ref="BF187:BG187" si="375">SUM(BF188:BF189)</f>
        <v>2444000</v>
      </c>
      <c r="BG187" s="167">
        <f t="shared" si="375"/>
        <v>0</v>
      </c>
      <c r="BH187" s="167">
        <f t="shared" ref="BH187" si="376">SUM(BH188:BH189)</f>
        <v>0</v>
      </c>
    </row>
    <row r="188" spans="2:60" x14ac:dyDescent="0.25">
      <c r="B188" s="228">
        <v>521211</v>
      </c>
      <c r="C188" s="164" t="s">
        <v>7</v>
      </c>
      <c r="D188" s="164"/>
      <c r="E188" s="164"/>
      <c r="F188" s="165">
        <v>7500000</v>
      </c>
      <c r="G188" s="165">
        <v>11400000</v>
      </c>
      <c r="H188" s="165"/>
      <c r="I188" s="165">
        <f t="shared" ref="I188:I189" si="377">G188-F188</f>
        <v>3900000</v>
      </c>
      <c r="J188" s="165"/>
      <c r="K188" s="165"/>
      <c r="L188" s="165"/>
      <c r="M188" s="165"/>
      <c r="N188" s="165"/>
      <c r="O188" s="165"/>
      <c r="P188" s="165"/>
      <c r="Q188" s="165"/>
      <c r="R188" s="165">
        <v>2500000</v>
      </c>
      <c r="S188" s="165"/>
      <c r="T188" s="165"/>
      <c r="U188" s="165"/>
      <c r="V188" s="165"/>
      <c r="W188" s="165">
        <v>2444000</v>
      </c>
      <c r="X188" s="165"/>
      <c r="Y188" s="165"/>
      <c r="Z188" s="165"/>
      <c r="AA188" s="165"/>
      <c r="AB188" s="165"/>
      <c r="AC188" s="165"/>
      <c r="AD188" s="165"/>
      <c r="AE188" s="165"/>
      <c r="AF188" s="165"/>
      <c r="AG188" s="165"/>
      <c r="AH188" s="165"/>
      <c r="AI188" s="165"/>
      <c r="AJ188" s="165"/>
      <c r="AK188" s="165"/>
      <c r="AL188" s="165"/>
      <c r="AM188" s="165"/>
      <c r="AN188" s="165"/>
      <c r="AO188" s="165"/>
      <c r="AP188" s="165"/>
      <c r="AQ188" s="165"/>
      <c r="AR188" s="165"/>
      <c r="AS188" s="165"/>
      <c r="AT188" s="165">
        <f t="shared" si="304"/>
        <v>4944000</v>
      </c>
      <c r="AU188" s="168">
        <f t="shared" si="261"/>
        <v>65.92</v>
      </c>
      <c r="AV188" s="169">
        <f t="shared" si="303"/>
        <v>2556000</v>
      </c>
      <c r="AW188" s="168">
        <f t="shared" si="243"/>
        <v>34.08</v>
      </c>
      <c r="AX188" s="164" t="s">
        <v>576</v>
      </c>
      <c r="AY188" s="164" t="s">
        <v>546</v>
      </c>
      <c r="AZ188" s="164" t="s">
        <v>3921</v>
      </c>
      <c r="BA188" s="165"/>
      <c r="BB188" s="165">
        <v>2500000</v>
      </c>
      <c r="BC188" s="240"/>
      <c r="BD188" s="165"/>
      <c r="BE188" s="165"/>
      <c r="BF188" s="165">
        <v>2444000</v>
      </c>
      <c r="BG188" s="165"/>
      <c r="BH188" s="165"/>
    </row>
    <row r="189" spans="2:60" x14ac:dyDescent="0.25">
      <c r="B189" s="228">
        <v>524111</v>
      </c>
      <c r="C189" s="164" t="s">
        <v>19</v>
      </c>
      <c r="D189" s="164"/>
      <c r="E189" s="164"/>
      <c r="F189" s="165">
        <v>5350000</v>
      </c>
      <c r="G189" s="165">
        <v>18000000</v>
      </c>
      <c r="H189" s="165"/>
      <c r="I189" s="165">
        <f t="shared" si="377"/>
        <v>12650000</v>
      </c>
      <c r="J189" s="165"/>
      <c r="K189" s="165"/>
      <c r="L189" s="165"/>
      <c r="M189" s="165"/>
      <c r="N189" s="165"/>
      <c r="O189" s="165"/>
      <c r="P189" s="165"/>
      <c r="Q189" s="165"/>
      <c r="R189" s="165">
        <v>2850000</v>
      </c>
      <c r="S189" s="165"/>
      <c r="T189" s="165"/>
      <c r="U189" s="165"/>
      <c r="V189" s="165"/>
      <c r="W189" s="165"/>
      <c r="X189" s="165"/>
      <c r="Y189" s="165"/>
      <c r="Z189" s="165"/>
      <c r="AA189" s="165"/>
      <c r="AB189" s="165"/>
      <c r="AC189" s="165"/>
      <c r="AD189" s="165"/>
      <c r="AE189" s="165"/>
      <c r="AF189" s="165"/>
      <c r="AG189" s="165"/>
      <c r="AH189" s="165"/>
      <c r="AI189" s="165"/>
      <c r="AJ189" s="165"/>
      <c r="AK189" s="165"/>
      <c r="AL189" s="165"/>
      <c r="AM189" s="165"/>
      <c r="AN189" s="165"/>
      <c r="AO189" s="165"/>
      <c r="AP189" s="165"/>
      <c r="AQ189" s="165"/>
      <c r="AR189" s="165"/>
      <c r="AS189" s="165"/>
      <c r="AT189" s="165">
        <f t="shared" si="304"/>
        <v>2850000</v>
      </c>
      <c r="AU189" s="168">
        <f t="shared" si="261"/>
        <v>53.271028037383175</v>
      </c>
      <c r="AV189" s="169">
        <f t="shared" si="303"/>
        <v>2500000</v>
      </c>
      <c r="AW189" s="168">
        <f t="shared" si="243"/>
        <v>46.728971962616825</v>
      </c>
      <c r="AX189" s="164" t="s">
        <v>576</v>
      </c>
      <c r="AY189" s="164" t="s">
        <v>546</v>
      </c>
      <c r="AZ189" s="164" t="s">
        <v>3921</v>
      </c>
      <c r="BA189" s="165"/>
      <c r="BB189" s="165">
        <v>2850000</v>
      </c>
      <c r="BC189" s="240"/>
      <c r="BD189" s="165"/>
      <c r="BE189" s="165"/>
      <c r="BF189" s="165"/>
      <c r="BG189" s="165"/>
      <c r="BH189" s="165"/>
    </row>
    <row r="190" spans="2:60" x14ac:dyDescent="0.25">
      <c r="B190" s="230" t="s">
        <v>512</v>
      </c>
      <c r="C190" s="166" t="s">
        <v>145</v>
      </c>
      <c r="D190" s="166"/>
      <c r="E190" s="166"/>
      <c r="F190" s="167">
        <f t="shared" ref="F190:AS190" si="378">SUM(F191:F192)</f>
        <v>7500000</v>
      </c>
      <c r="G190" s="167">
        <f t="shared" ref="G190:H190" si="379">SUM(G191:G192)</f>
        <v>25000000</v>
      </c>
      <c r="H190" s="167">
        <f t="shared" si="379"/>
        <v>0</v>
      </c>
      <c r="I190" s="167">
        <f t="shared" ref="I190" si="380">SUM(I191:I192)</f>
        <v>17500000</v>
      </c>
      <c r="J190" s="167">
        <f t="shared" si="378"/>
        <v>0</v>
      </c>
      <c r="K190" s="167">
        <f t="shared" si="378"/>
        <v>0</v>
      </c>
      <c r="L190" s="167">
        <f t="shared" si="378"/>
        <v>0</v>
      </c>
      <c r="M190" s="167">
        <f t="shared" si="378"/>
        <v>0</v>
      </c>
      <c r="N190" s="167">
        <f t="shared" si="378"/>
        <v>0</v>
      </c>
      <c r="O190" s="167">
        <f t="shared" si="378"/>
        <v>0</v>
      </c>
      <c r="P190" s="167">
        <f t="shared" si="378"/>
        <v>0</v>
      </c>
      <c r="Q190" s="167">
        <f t="shared" si="378"/>
        <v>2469500</v>
      </c>
      <c r="R190" s="167">
        <f t="shared" si="378"/>
        <v>0</v>
      </c>
      <c r="S190" s="167">
        <f t="shared" si="378"/>
        <v>0</v>
      </c>
      <c r="T190" s="167">
        <f t="shared" si="378"/>
        <v>0</v>
      </c>
      <c r="U190" s="167">
        <f t="shared" si="378"/>
        <v>0</v>
      </c>
      <c r="V190" s="167">
        <f t="shared" si="378"/>
        <v>0</v>
      </c>
      <c r="W190" s="167">
        <f t="shared" si="378"/>
        <v>2499000</v>
      </c>
      <c r="X190" s="167">
        <f t="shared" si="378"/>
        <v>0</v>
      </c>
      <c r="Y190" s="167">
        <f t="shared" si="378"/>
        <v>0</v>
      </c>
      <c r="Z190" s="167">
        <f t="shared" si="378"/>
        <v>0</v>
      </c>
      <c r="AA190" s="167">
        <f t="shared" si="378"/>
        <v>0</v>
      </c>
      <c r="AB190" s="167">
        <f t="shared" si="378"/>
        <v>0</v>
      </c>
      <c r="AC190" s="167">
        <f t="shared" si="378"/>
        <v>0</v>
      </c>
      <c r="AD190" s="167">
        <f t="shared" si="378"/>
        <v>0</v>
      </c>
      <c r="AE190" s="167">
        <f t="shared" si="378"/>
        <v>0</v>
      </c>
      <c r="AF190" s="167">
        <f t="shared" si="378"/>
        <v>0</v>
      </c>
      <c r="AG190" s="167">
        <f t="shared" si="378"/>
        <v>0</v>
      </c>
      <c r="AH190" s="167">
        <f t="shared" si="378"/>
        <v>0</v>
      </c>
      <c r="AI190" s="167">
        <f t="shared" si="378"/>
        <v>0</v>
      </c>
      <c r="AJ190" s="167">
        <f t="shared" si="378"/>
        <v>0</v>
      </c>
      <c r="AK190" s="167">
        <f t="shared" si="378"/>
        <v>0</v>
      </c>
      <c r="AL190" s="167">
        <f t="shared" si="378"/>
        <v>0</v>
      </c>
      <c r="AM190" s="167">
        <f t="shared" si="378"/>
        <v>0</v>
      </c>
      <c r="AN190" s="167">
        <f t="shared" si="378"/>
        <v>0</v>
      </c>
      <c r="AO190" s="167">
        <f t="shared" si="378"/>
        <v>0</v>
      </c>
      <c r="AP190" s="167">
        <f t="shared" si="378"/>
        <v>0</v>
      </c>
      <c r="AQ190" s="167">
        <f t="shared" si="378"/>
        <v>0</v>
      </c>
      <c r="AR190" s="167">
        <f t="shared" si="378"/>
        <v>0</v>
      </c>
      <c r="AS190" s="167">
        <f t="shared" si="378"/>
        <v>0</v>
      </c>
      <c r="AT190" s="167">
        <f t="shared" ref="AT190:AT230" si="381">SUM(J190:AS190)</f>
        <v>4968500</v>
      </c>
      <c r="AU190" s="175">
        <f t="shared" si="261"/>
        <v>66.24666666666667</v>
      </c>
      <c r="AV190" s="176">
        <f t="shared" ref="AV190:AV231" si="382">F190-AT190</f>
        <v>2531500</v>
      </c>
      <c r="AW190" s="175">
        <f t="shared" ref="AW190:AW231" si="383">AV190/F190*100</f>
        <v>33.753333333333337</v>
      </c>
      <c r="AX190" s="164" t="s">
        <v>576</v>
      </c>
      <c r="AY190" s="164" t="s">
        <v>546</v>
      </c>
      <c r="AZ190" s="164" t="s">
        <v>3921</v>
      </c>
      <c r="BA190" s="167">
        <f>SUM(BA191:BA192)</f>
        <v>0</v>
      </c>
      <c r="BB190" s="167">
        <f>SUM(BB191:BB192)</f>
        <v>0</v>
      </c>
      <c r="BC190" s="167">
        <f>SUM(BC191:BC192)</f>
        <v>2469500</v>
      </c>
      <c r="BD190" s="167">
        <f t="shared" ref="BD190" si="384">SUM(BD191:BD192)</f>
        <v>0</v>
      </c>
      <c r="BE190" s="167">
        <f t="shared" ref="BE190" si="385">SUM(BE191:BE192)</f>
        <v>0</v>
      </c>
      <c r="BF190" s="167">
        <f t="shared" ref="BF190:BG190" si="386">SUM(BF191:BF192)</f>
        <v>2499000</v>
      </c>
      <c r="BG190" s="167">
        <f t="shared" si="386"/>
        <v>0</v>
      </c>
      <c r="BH190" s="167">
        <f t="shared" ref="BH190" si="387">SUM(BH191:BH192)</f>
        <v>0</v>
      </c>
    </row>
    <row r="191" spans="2:60" x14ac:dyDescent="0.25">
      <c r="B191" s="228">
        <v>521211</v>
      </c>
      <c r="C191" s="164" t="s">
        <v>7</v>
      </c>
      <c r="D191" s="164"/>
      <c r="E191" s="164"/>
      <c r="F191" s="165">
        <v>7500000</v>
      </c>
      <c r="G191" s="165">
        <v>10000000</v>
      </c>
      <c r="H191" s="165"/>
      <c r="I191" s="165">
        <f t="shared" ref="I191:I192" si="388">G191-F191</f>
        <v>2500000</v>
      </c>
      <c r="J191" s="165"/>
      <c r="K191" s="165"/>
      <c r="L191" s="165"/>
      <c r="M191" s="165"/>
      <c r="N191" s="165"/>
      <c r="O191" s="165"/>
      <c r="P191" s="165"/>
      <c r="Q191" s="240">
        <v>2469500</v>
      </c>
      <c r="R191" s="165"/>
      <c r="S191" s="165"/>
      <c r="T191" s="165"/>
      <c r="U191" s="165"/>
      <c r="V191" s="165"/>
      <c r="W191" s="165">
        <v>2499000</v>
      </c>
      <c r="X191" s="165"/>
      <c r="Y191" s="165"/>
      <c r="Z191" s="165"/>
      <c r="AA191" s="165"/>
      <c r="AB191" s="165"/>
      <c r="AC191" s="165"/>
      <c r="AD191" s="165"/>
      <c r="AE191" s="165"/>
      <c r="AF191" s="165"/>
      <c r="AG191" s="165"/>
      <c r="AH191" s="165"/>
      <c r="AI191" s="165"/>
      <c r="AJ191" s="165"/>
      <c r="AK191" s="165"/>
      <c r="AL191" s="165"/>
      <c r="AM191" s="165"/>
      <c r="AN191" s="165"/>
      <c r="AO191" s="165"/>
      <c r="AP191" s="165"/>
      <c r="AQ191" s="165"/>
      <c r="AR191" s="165"/>
      <c r="AS191" s="165"/>
      <c r="AT191" s="165">
        <f t="shared" si="381"/>
        <v>4968500</v>
      </c>
      <c r="AU191" s="168">
        <f t="shared" si="261"/>
        <v>66.24666666666667</v>
      </c>
      <c r="AV191" s="169">
        <f t="shared" si="382"/>
        <v>2531500</v>
      </c>
      <c r="AW191" s="168">
        <f t="shared" si="383"/>
        <v>33.753333333333337</v>
      </c>
      <c r="AX191" s="164" t="s">
        <v>576</v>
      </c>
      <c r="AY191" s="164" t="s">
        <v>546</v>
      </c>
      <c r="AZ191" s="164" t="s">
        <v>3921</v>
      </c>
      <c r="BA191" s="165"/>
      <c r="BB191" s="165"/>
      <c r="BC191" s="240">
        <v>2469500</v>
      </c>
      <c r="BD191" s="165"/>
      <c r="BE191" s="165"/>
      <c r="BF191" s="165">
        <v>2499000</v>
      </c>
      <c r="BG191" s="165"/>
      <c r="BH191" s="165"/>
    </row>
    <row r="192" spans="2:60" x14ac:dyDescent="0.25">
      <c r="B192" s="228">
        <v>524111</v>
      </c>
      <c r="C192" s="164" t="s">
        <v>19</v>
      </c>
      <c r="D192" s="164"/>
      <c r="E192" s="164"/>
      <c r="F192" s="165">
        <v>0</v>
      </c>
      <c r="G192" s="165">
        <v>15000000</v>
      </c>
      <c r="H192" s="165"/>
      <c r="I192" s="165">
        <f t="shared" si="388"/>
        <v>15000000</v>
      </c>
      <c r="J192" s="165"/>
      <c r="K192" s="165"/>
      <c r="L192" s="165"/>
      <c r="M192" s="165"/>
      <c r="N192" s="165"/>
      <c r="O192" s="165"/>
      <c r="P192" s="165"/>
      <c r="Q192" s="165"/>
      <c r="R192" s="165"/>
      <c r="S192" s="165"/>
      <c r="T192" s="165"/>
      <c r="U192" s="165"/>
      <c r="V192" s="165"/>
      <c r="W192" s="165"/>
      <c r="X192" s="165"/>
      <c r="Y192" s="165"/>
      <c r="Z192" s="165"/>
      <c r="AA192" s="165"/>
      <c r="AB192" s="165"/>
      <c r="AC192" s="165"/>
      <c r="AD192" s="165"/>
      <c r="AE192" s="165"/>
      <c r="AF192" s="165"/>
      <c r="AG192" s="165"/>
      <c r="AH192" s="165"/>
      <c r="AI192" s="165"/>
      <c r="AJ192" s="165"/>
      <c r="AK192" s="165"/>
      <c r="AL192" s="165"/>
      <c r="AM192" s="165"/>
      <c r="AN192" s="165"/>
      <c r="AO192" s="165"/>
      <c r="AP192" s="165"/>
      <c r="AQ192" s="165"/>
      <c r="AR192" s="165"/>
      <c r="AS192" s="165"/>
      <c r="AT192" s="165">
        <f t="shared" si="381"/>
        <v>0</v>
      </c>
      <c r="AU192" s="168">
        <f t="shared" si="261"/>
        <v>0</v>
      </c>
      <c r="AV192" s="169">
        <f t="shared" si="382"/>
        <v>0</v>
      </c>
      <c r="AW192" s="168" t="e">
        <f t="shared" si="383"/>
        <v>#DIV/0!</v>
      </c>
      <c r="AX192" s="164" t="s">
        <v>576</v>
      </c>
      <c r="AY192" s="164" t="s">
        <v>546</v>
      </c>
      <c r="AZ192" s="164" t="s">
        <v>3921</v>
      </c>
      <c r="BA192" s="165"/>
      <c r="BB192" s="165"/>
      <c r="BC192" s="240"/>
      <c r="BD192" s="165"/>
      <c r="BE192" s="165"/>
      <c r="BF192" s="165"/>
      <c r="BG192" s="165"/>
      <c r="BH192" s="165"/>
    </row>
    <row r="193" spans="2:64" x14ac:dyDescent="0.25">
      <c r="B193" s="230" t="s">
        <v>514</v>
      </c>
      <c r="C193" s="166" t="s">
        <v>3350</v>
      </c>
      <c r="D193" s="166"/>
      <c r="E193" s="166"/>
      <c r="F193" s="167">
        <f t="shared" ref="F193:AS193" si="389">SUM(F194:F196)</f>
        <v>34635000</v>
      </c>
      <c r="G193" s="167">
        <f t="shared" ref="G193:H193" si="390">SUM(G194:G196)</f>
        <v>80940000</v>
      </c>
      <c r="H193" s="167">
        <f t="shared" si="390"/>
        <v>0</v>
      </c>
      <c r="I193" s="167">
        <f t="shared" ref="I193" si="391">SUM(I194:I196)</f>
        <v>46305000</v>
      </c>
      <c r="J193" s="167">
        <f t="shared" si="389"/>
        <v>0</v>
      </c>
      <c r="K193" s="167">
        <f t="shared" si="389"/>
        <v>0</v>
      </c>
      <c r="L193" s="167">
        <f t="shared" si="389"/>
        <v>0</v>
      </c>
      <c r="M193" s="167">
        <f t="shared" si="389"/>
        <v>0</v>
      </c>
      <c r="N193" s="167">
        <f t="shared" si="389"/>
        <v>0</v>
      </c>
      <c r="O193" s="167">
        <f t="shared" si="389"/>
        <v>0</v>
      </c>
      <c r="P193" s="167">
        <f t="shared" si="389"/>
        <v>0</v>
      </c>
      <c r="Q193" s="167">
        <f t="shared" si="389"/>
        <v>0</v>
      </c>
      <c r="R193" s="167">
        <f t="shared" si="389"/>
        <v>2500000</v>
      </c>
      <c r="S193" s="167">
        <f t="shared" si="389"/>
        <v>0</v>
      </c>
      <c r="T193" s="167">
        <f t="shared" si="389"/>
        <v>14993200</v>
      </c>
      <c r="U193" s="167">
        <f t="shared" si="389"/>
        <v>0</v>
      </c>
      <c r="V193" s="167">
        <f t="shared" si="389"/>
        <v>0</v>
      </c>
      <c r="W193" s="167">
        <f t="shared" si="389"/>
        <v>5085000</v>
      </c>
      <c r="X193" s="167">
        <f t="shared" si="389"/>
        <v>9041268</v>
      </c>
      <c r="Y193" s="167">
        <f t="shared" si="389"/>
        <v>0</v>
      </c>
      <c r="Z193" s="167">
        <f t="shared" si="389"/>
        <v>0</v>
      </c>
      <c r="AA193" s="167">
        <f t="shared" si="389"/>
        <v>0</v>
      </c>
      <c r="AB193" s="167">
        <f t="shared" si="389"/>
        <v>0</v>
      </c>
      <c r="AC193" s="167">
        <f t="shared" si="389"/>
        <v>0</v>
      </c>
      <c r="AD193" s="167">
        <f t="shared" si="389"/>
        <v>0</v>
      </c>
      <c r="AE193" s="167">
        <f t="shared" si="389"/>
        <v>0</v>
      </c>
      <c r="AF193" s="167">
        <f t="shared" si="389"/>
        <v>0</v>
      </c>
      <c r="AG193" s="167">
        <f t="shared" si="389"/>
        <v>0</v>
      </c>
      <c r="AH193" s="167">
        <f t="shared" si="389"/>
        <v>0</v>
      </c>
      <c r="AI193" s="167">
        <f t="shared" si="389"/>
        <v>0</v>
      </c>
      <c r="AJ193" s="167">
        <f t="shared" si="389"/>
        <v>0</v>
      </c>
      <c r="AK193" s="167">
        <f t="shared" si="389"/>
        <v>0</v>
      </c>
      <c r="AL193" s="167">
        <f t="shared" si="389"/>
        <v>0</v>
      </c>
      <c r="AM193" s="167">
        <f t="shared" si="389"/>
        <v>0</v>
      </c>
      <c r="AN193" s="167">
        <f t="shared" si="389"/>
        <v>0</v>
      </c>
      <c r="AO193" s="167">
        <f t="shared" si="389"/>
        <v>0</v>
      </c>
      <c r="AP193" s="167">
        <f t="shared" si="389"/>
        <v>0</v>
      </c>
      <c r="AQ193" s="167">
        <f t="shared" si="389"/>
        <v>0</v>
      </c>
      <c r="AR193" s="167">
        <f t="shared" si="389"/>
        <v>0</v>
      </c>
      <c r="AS193" s="167">
        <f t="shared" si="389"/>
        <v>0</v>
      </c>
      <c r="AT193" s="167">
        <f t="shared" si="381"/>
        <v>31619468</v>
      </c>
      <c r="AU193" s="175">
        <f t="shared" si="261"/>
        <v>91.293396852894475</v>
      </c>
      <c r="AV193" s="176">
        <f t="shared" si="382"/>
        <v>3015532</v>
      </c>
      <c r="AW193" s="175">
        <f t="shared" si="383"/>
        <v>8.706603147105529</v>
      </c>
      <c r="AX193" s="164" t="s">
        <v>576</v>
      </c>
      <c r="AY193" s="164" t="s">
        <v>546</v>
      </c>
      <c r="AZ193" s="164" t="s">
        <v>3921</v>
      </c>
      <c r="BA193" s="167">
        <f>SUM(BA194:BA196)</f>
        <v>0</v>
      </c>
      <c r="BB193" s="167">
        <f>SUM(BB194:BB196)</f>
        <v>2500000</v>
      </c>
      <c r="BC193" s="167">
        <f>SUM(BC194:BC196)</f>
        <v>0</v>
      </c>
      <c r="BD193" s="167">
        <f t="shared" ref="BD193" si="392">SUM(BD194:BD196)</f>
        <v>14993200</v>
      </c>
      <c r="BE193" s="167">
        <f t="shared" ref="BE193" si="393">SUM(BE194:BE196)</f>
        <v>2590000</v>
      </c>
      <c r="BF193" s="167">
        <f t="shared" ref="BF193:BG193" si="394">SUM(BF194:BF196)</f>
        <v>2495000</v>
      </c>
      <c r="BG193" s="167">
        <f t="shared" si="394"/>
        <v>9041268</v>
      </c>
      <c r="BH193" s="167">
        <f t="shared" ref="BH193" si="395">SUM(BH194:BH196)</f>
        <v>0</v>
      </c>
    </row>
    <row r="194" spans="2:64" x14ac:dyDescent="0.25">
      <c r="B194" s="228">
        <v>521211</v>
      </c>
      <c r="C194" s="164" t="s">
        <v>7</v>
      </c>
      <c r="D194" s="164"/>
      <c r="E194" s="164"/>
      <c r="F194" s="165">
        <v>14000000</v>
      </c>
      <c r="G194" s="165">
        <v>35340000</v>
      </c>
      <c r="H194" s="165"/>
      <c r="I194" s="165">
        <f t="shared" ref="I194:I196" si="396">G194-F194</f>
        <v>21340000</v>
      </c>
      <c r="J194" s="165"/>
      <c r="K194" s="165"/>
      <c r="L194" s="165"/>
      <c r="M194" s="165"/>
      <c r="N194" s="165"/>
      <c r="O194" s="165"/>
      <c r="P194" s="165"/>
      <c r="Q194" s="165"/>
      <c r="R194" s="165">
        <v>2500000</v>
      </c>
      <c r="S194" s="165"/>
      <c r="T194" s="165">
        <v>3400000</v>
      </c>
      <c r="U194" s="165"/>
      <c r="V194" s="165"/>
      <c r="W194" s="165">
        <f>2590000+2495000</f>
        <v>5085000</v>
      </c>
      <c r="X194" s="165"/>
      <c r="Y194" s="165"/>
      <c r="Z194" s="165"/>
      <c r="AA194" s="165"/>
      <c r="AB194" s="165"/>
      <c r="AC194" s="165"/>
      <c r="AD194" s="165"/>
      <c r="AE194" s="165"/>
      <c r="AF194" s="165"/>
      <c r="AG194" s="165"/>
      <c r="AH194" s="165"/>
      <c r="AI194" s="165"/>
      <c r="AJ194" s="165"/>
      <c r="AK194" s="165"/>
      <c r="AL194" s="165"/>
      <c r="AM194" s="165"/>
      <c r="AN194" s="165"/>
      <c r="AO194" s="165"/>
      <c r="AP194" s="165"/>
      <c r="AQ194" s="165"/>
      <c r="AR194" s="165"/>
      <c r="AS194" s="165"/>
      <c r="AT194" s="165">
        <f t="shared" si="381"/>
        <v>10985000</v>
      </c>
      <c r="AU194" s="168">
        <f t="shared" si="261"/>
        <v>78.464285714285722</v>
      </c>
      <c r="AV194" s="169">
        <f t="shared" si="382"/>
        <v>3015000</v>
      </c>
      <c r="AW194" s="168">
        <f t="shared" si="383"/>
        <v>21.535714285714285</v>
      </c>
      <c r="AX194" s="164" t="s">
        <v>576</v>
      </c>
      <c r="AY194" s="164" t="s">
        <v>546</v>
      </c>
      <c r="AZ194" s="164" t="s">
        <v>3921</v>
      </c>
      <c r="BA194" s="165"/>
      <c r="BB194" s="165">
        <v>2500000</v>
      </c>
      <c r="BC194" s="240"/>
      <c r="BD194" s="165">
        <v>3400000</v>
      </c>
      <c r="BE194" s="165">
        <v>2590000</v>
      </c>
      <c r="BF194" s="165">
        <v>2495000</v>
      </c>
      <c r="BG194" s="165"/>
      <c r="BH194" s="165"/>
    </row>
    <row r="195" spans="2:64" x14ac:dyDescent="0.25">
      <c r="B195" s="228">
        <v>522151</v>
      </c>
      <c r="C195" s="164" t="s">
        <v>11</v>
      </c>
      <c r="D195" s="164"/>
      <c r="E195" s="164"/>
      <c r="F195" s="165">
        <v>0</v>
      </c>
      <c r="G195" s="165">
        <v>3600000</v>
      </c>
      <c r="H195" s="165"/>
      <c r="I195" s="165">
        <f t="shared" si="396"/>
        <v>3600000</v>
      </c>
      <c r="J195" s="165"/>
      <c r="K195" s="165"/>
      <c r="L195" s="165"/>
      <c r="M195" s="165"/>
      <c r="N195" s="165"/>
      <c r="O195" s="165"/>
      <c r="P195" s="165"/>
      <c r="Q195" s="165"/>
      <c r="R195" s="165"/>
      <c r="S195" s="165"/>
      <c r="T195" s="165"/>
      <c r="U195" s="165"/>
      <c r="V195" s="165"/>
      <c r="W195" s="165"/>
      <c r="X195" s="165"/>
      <c r="Y195" s="165"/>
      <c r="Z195" s="165"/>
      <c r="AA195" s="165"/>
      <c r="AB195" s="165"/>
      <c r="AC195" s="165"/>
      <c r="AD195" s="165"/>
      <c r="AE195" s="165"/>
      <c r="AF195" s="165"/>
      <c r="AG195" s="165"/>
      <c r="AH195" s="165"/>
      <c r="AI195" s="165"/>
      <c r="AJ195" s="165"/>
      <c r="AK195" s="165"/>
      <c r="AL195" s="165"/>
      <c r="AM195" s="165"/>
      <c r="AN195" s="165"/>
      <c r="AO195" s="165"/>
      <c r="AP195" s="165"/>
      <c r="AQ195" s="165"/>
      <c r="AR195" s="165"/>
      <c r="AS195" s="165"/>
      <c r="AT195" s="165">
        <f t="shared" si="381"/>
        <v>0</v>
      </c>
      <c r="AU195" s="168">
        <f t="shared" si="261"/>
        <v>0</v>
      </c>
      <c r="AV195" s="169">
        <f t="shared" si="382"/>
        <v>0</v>
      </c>
      <c r="AW195" s="168" t="e">
        <f t="shared" si="383"/>
        <v>#DIV/0!</v>
      </c>
      <c r="AX195" s="164" t="s">
        <v>576</v>
      </c>
      <c r="AY195" s="164" t="s">
        <v>546</v>
      </c>
      <c r="AZ195" s="164" t="s">
        <v>3921</v>
      </c>
      <c r="BA195" s="165"/>
      <c r="BB195" s="165"/>
      <c r="BC195" s="240"/>
      <c r="BD195" s="165"/>
      <c r="BE195" s="165"/>
      <c r="BF195" s="165"/>
      <c r="BG195" s="165"/>
      <c r="BH195" s="165"/>
    </row>
    <row r="196" spans="2:64" x14ac:dyDescent="0.25">
      <c r="B196" s="228">
        <v>524111</v>
      </c>
      <c r="C196" s="164" t="s">
        <v>19</v>
      </c>
      <c r="D196" s="164"/>
      <c r="E196" s="164"/>
      <c r="F196" s="165">
        <v>20635000</v>
      </c>
      <c r="G196" s="165">
        <v>42000000</v>
      </c>
      <c r="H196" s="165"/>
      <c r="I196" s="165">
        <f t="shared" si="396"/>
        <v>21365000</v>
      </c>
      <c r="J196" s="165"/>
      <c r="K196" s="165"/>
      <c r="L196" s="165"/>
      <c r="M196" s="165"/>
      <c r="N196" s="165"/>
      <c r="O196" s="165"/>
      <c r="P196" s="165"/>
      <c r="Q196" s="165"/>
      <c r="R196" s="165"/>
      <c r="S196" s="165"/>
      <c r="T196" s="165">
        <v>11593200</v>
      </c>
      <c r="U196" s="165"/>
      <c r="V196" s="165"/>
      <c r="W196" s="165"/>
      <c r="X196" s="165">
        <v>9041268</v>
      </c>
      <c r="Y196" s="165"/>
      <c r="Z196" s="165"/>
      <c r="AA196" s="165"/>
      <c r="AB196" s="165"/>
      <c r="AC196" s="165"/>
      <c r="AD196" s="165"/>
      <c r="AE196" s="165"/>
      <c r="AF196" s="165"/>
      <c r="AG196" s="165"/>
      <c r="AH196" s="165"/>
      <c r="AI196" s="165"/>
      <c r="AJ196" s="165"/>
      <c r="AK196" s="165"/>
      <c r="AL196" s="165"/>
      <c r="AM196" s="165"/>
      <c r="AN196" s="165"/>
      <c r="AO196" s="165"/>
      <c r="AP196" s="165"/>
      <c r="AQ196" s="165"/>
      <c r="AR196" s="165"/>
      <c r="AS196" s="165"/>
      <c r="AT196" s="165">
        <f t="shared" si="381"/>
        <v>20634468</v>
      </c>
      <c r="AU196" s="168">
        <f t="shared" si="261"/>
        <v>99.997421856069778</v>
      </c>
      <c r="AV196" s="169">
        <f t="shared" si="382"/>
        <v>532</v>
      </c>
      <c r="AW196" s="168">
        <f t="shared" si="383"/>
        <v>2.578143930215653E-3</v>
      </c>
      <c r="AX196" s="164" t="s">
        <v>576</v>
      </c>
      <c r="AY196" s="164" t="s">
        <v>546</v>
      </c>
      <c r="AZ196" s="164" t="s">
        <v>3921</v>
      </c>
      <c r="BA196" s="165"/>
      <c r="BB196" s="165"/>
      <c r="BC196" s="240"/>
      <c r="BD196" s="165">
        <v>11593200</v>
      </c>
      <c r="BE196" s="165"/>
      <c r="BF196" s="165"/>
      <c r="BG196" s="165">
        <v>9041268</v>
      </c>
      <c r="BH196" s="165"/>
    </row>
    <row r="197" spans="2:64" x14ac:dyDescent="0.25">
      <c r="B197" s="230" t="s">
        <v>519</v>
      </c>
      <c r="C197" s="166" t="s">
        <v>146</v>
      </c>
      <c r="D197" s="166"/>
      <c r="E197" s="166"/>
      <c r="F197" s="167">
        <f t="shared" ref="F197:AS197" si="397">SUM(F198:F199)</f>
        <v>7500000</v>
      </c>
      <c r="G197" s="167">
        <f t="shared" ref="G197:H197" si="398">SUM(G198:G199)</f>
        <v>27000000</v>
      </c>
      <c r="H197" s="167">
        <f t="shared" si="398"/>
        <v>0</v>
      </c>
      <c r="I197" s="167">
        <f t="shared" ref="I197" si="399">SUM(I198:I199)</f>
        <v>19500000</v>
      </c>
      <c r="J197" s="167">
        <f t="shared" si="397"/>
        <v>0</v>
      </c>
      <c r="K197" s="167">
        <f t="shared" si="397"/>
        <v>0</v>
      </c>
      <c r="L197" s="167">
        <f t="shared" si="397"/>
        <v>0</v>
      </c>
      <c r="M197" s="167">
        <f t="shared" si="397"/>
        <v>0</v>
      </c>
      <c r="N197" s="167">
        <f t="shared" si="397"/>
        <v>0</v>
      </c>
      <c r="O197" s="167">
        <f t="shared" si="397"/>
        <v>0</v>
      </c>
      <c r="P197" s="167">
        <f t="shared" si="397"/>
        <v>0</v>
      </c>
      <c r="Q197" s="167">
        <f t="shared" si="397"/>
        <v>0</v>
      </c>
      <c r="R197" s="167">
        <f t="shared" si="397"/>
        <v>2499500</v>
      </c>
      <c r="S197" s="167">
        <f t="shared" si="397"/>
        <v>0</v>
      </c>
      <c r="T197" s="167">
        <f t="shared" si="397"/>
        <v>0</v>
      </c>
      <c r="U197" s="167">
        <f t="shared" si="397"/>
        <v>0</v>
      </c>
      <c r="V197" s="167">
        <f t="shared" si="397"/>
        <v>0</v>
      </c>
      <c r="W197" s="167">
        <f t="shared" si="397"/>
        <v>2444500</v>
      </c>
      <c r="X197" s="167">
        <f t="shared" si="397"/>
        <v>0</v>
      </c>
      <c r="Y197" s="167">
        <f t="shared" si="397"/>
        <v>0</v>
      </c>
      <c r="Z197" s="167">
        <f t="shared" si="397"/>
        <v>0</v>
      </c>
      <c r="AA197" s="167">
        <f t="shared" si="397"/>
        <v>0</v>
      </c>
      <c r="AB197" s="167">
        <f t="shared" si="397"/>
        <v>0</v>
      </c>
      <c r="AC197" s="167">
        <f t="shared" si="397"/>
        <v>0</v>
      </c>
      <c r="AD197" s="167">
        <f t="shared" si="397"/>
        <v>0</v>
      </c>
      <c r="AE197" s="167">
        <f t="shared" si="397"/>
        <v>0</v>
      </c>
      <c r="AF197" s="167">
        <f t="shared" si="397"/>
        <v>0</v>
      </c>
      <c r="AG197" s="167">
        <f t="shared" si="397"/>
        <v>0</v>
      </c>
      <c r="AH197" s="167">
        <f t="shared" si="397"/>
        <v>0</v>
      </c>
      <c r="AI197" s="167">
        <f t="shared" si="397"/>
        <v>0</v>
      </c>
      <c r="AJ197" s="167">
        <f t="shared" si="397"/>
        <v>0</v>
      </c>
      <c r="AK197" s="167">
        <f t="shared" si="397"/>
        <v>0</v>
      </c>
      <c r="AL197" s="167">
        <f t="shared" si="397"/>
        <v>0</v>
      </c>
      <c r="AM197" s="167">
        <f t="shared" si="397"/>
        <v>0</v>
      </c>
      <c r="AN197" s="167">
        <f t="shared" si="397"/>
        <v>0</v>
      </c>
      <c r="AO197" s="167">
        <f t="shared" si="397"/>
        <v>0</v>
      </c>
      <c r="AP197" s="167">
        <f t="shared" si="397"/>
        <v>0</v>
      </c>
      <c r="AQ197" s="167">
        <f t="shared" si="397"/>
        <v>0</v>
      </c>
      <c r="AR197" s="167">
        <f t="shared" si="397"/>
        <v>0</v>
      </c>
      <c r="AS197" s="167">
        <f t="shared" si="397"/>
        <v>0</v>
      </c>
      <c r="AT197" s="167">
        <f t="shared" si="381"/>
        <v>4944000</v>
      </c>
      <c r="AU197" s="175">
        <f t="shared" si="261"/>
        <v>65.92</v>
      </c>
      <c r="AV197" s="176">
        <f t="shared" si="382"/>
        <v>2556000</v>
      </c>
      <c r="AW197" s="175">
        <f t="shared" si="383"/>
        <v>34.08</v>
      </c>
      <c r="AX197" s="164" t="s">
        <v>576</v>
      </c>
      <c r="AY197" s="164" t="s">
        <v>546</v>
      </c>
      <c r="AZ197" s="164" t="s">
        <v>3921</v>
      </c>
      <c r="BA197" s="167">
        <f>SUM(BA198:BA199)</f>
        <v>0</v>
      </c>
      <c r="BB197" s="167">
        <f>SUM(BB198:BB199)</f>
        <v>2499500</v>
      </c>
      <c r="BC197" s="167">
        <f>SUM(BC198:BC199)</f>
        <v>0</v>
      </c>
      <c r="BD197" s="167">
        <f t="shared" ref="BD197" si="400">SUM(BD198:BD199)</f>
        <v>0</v>
      </c>
      <c r="BE197" s="167">
        <f t="shared" ref="BE197" si="401">SUM(BE198:BE199)</f>
        <v>0</v>
      </c>
      <c r="BF197" s="167">
        <f t="shared" ref="BF197:BG197" si="402">SUM(BF198:BF199)</f>
        <v>2444500</v>
      </c>
      <c r="BG197" s="167">
        <f t="shared" si="402"/>
        <v>0</v>
      </c>
      <c r="BH197" s="167">
        <f t="shared" ref="BH197" si="403">SUM(BH198:BH199)</f>
        <v>0</v>
      </c>
    </row>
    <row r="198" spans="2:64" x14ac:dyDescent="0.25">
      <c r="B198" s="228">
        <v>521211</v>
      </c>
      <c r="C198" s="164" t="s">
        <v>7</v>
      </c>
      <c r="D198" s="164"/>
      <c r="E198" s="164"/>
      <c r="F198" s="165">
        <v>7500000</v>
      </c>
      <c r="G198" s="165">
        <v>15000000</v>
      </c>
      <c r="H198" s="165"/>
      <c r="I198" s="165">
        <f t="shared" ref="I198:I199" si="404">G198-F198</f>
        <v>7500000</v>
      </c>
      <c r="J198" s="165"/>
      <c r="K198" s="165"/>
      <c r="L198" s="165"/>
      <c r="M198" s="165"/>
      <c r="N198" s="165"/>
      <c r="O198" s="165"/>
      <c r="P198" s="165"/>
      <c r="Q198" s="165"/>
      <c r="R198" s="165">
        <v>2499500</v>
      </c>
      <c r="S198" s="165"/>
      <c r="T198" s="165"/>
      <c r="U198" s="165"/>
      <c r="V198" s="165"/>
      <c r="W198" s="165">
        <v>2444500</v>
      </c>
      <c r="X198" s="165"/>
      <c r="Y198" s="165"/>
      <c r="Z198" s="165"/>
      <c r="AA198" s="165"/>
      <c r="AB198" s="165"/>
      <c r="AC198" s="165"/>
      <c r="AD198" s="165"/>
      <c r="AE198" s="165"/>
      <c r="AF198" s="165"/>
      <c r="AG198" s="165"/>
      <c r="AH198" s="165"/>
      <c r="AI198" s="165"/>
      <c r="AJ198" s="165"/>
      <c r="AK198" s="165"/>
      <c r="AL198" s="165"/>
      <c r="AM198" s="165"/>
      <c r="AN198" s="165"/>
      <c r="AO198" s="165"/>
      <c r="AP198" s="165"/>
      <c r="AQ198" s="165"/>
      <c r="AR198" s="165"/>
      <c r="AS198" s="165"/>
      <c r="AT198" s="165">
        <f t="shared" si="381"/>
        <v>4944000</v>
      </c>
      <c r="AU198" s="168">
        <f t="shared" si="261"/>
        <v>65.92</v>
      </c>
      <c r="AV198" s="169">
        <f t="shared" si="382"/>
        <v>2556000</v>
      </c>
      <c r="AW198" s="168">
        <f t="shared" si="383"/>
        <v>34.08</v>
      </c>
      <c r="AX198" s="164" t="s">
        <v>576</v>
      </c>
      <c r="AY198" s="164" t="s">
        <v>546</v>
      </c>
      <c r="AZ198" s="164" t="s">
        <v>3921</v>
      </c>
      <c r="BA198" s="165"/>
      <c r="BB198" s="165">
        <v>2499500</v>
      </c>
      <c r="BC198" s="240"/>
      <c r="BD198" s="165"/>
      <c r="BE198" s="165"/>
      <c r="BF198" s="165">
        <v>2444500</v>
      </c>
      <c r="BG198" s="165"/>
      <c r="BH198" s="165"/>
    </row>
    <row r="199" spans="2:64" x14ac:dyDescent="0.25">
      <c r="B199" s="228">
        <v>524111</v>
      </c>
      <c r="C199" s="164" t="s">
        <v>19</v>
      </c>
      <c r="D199" s="164"/>
      <c r="E199" s="164"/>
      <c r="F199" s="165">
        <v>0</v>
      </c>
      <c r="G199" s="165">
        <v>12000000</v>
      </c>
      <c r="H199" s="165"/>
      <c r="I199" s="165">
        <f t="shared" si="404"/>
        <v>12000000</v>
      </c>
      <c r="J199" s="165"/>
      <c r="K199" s="165"/>
      <c r="L199" s="165"/>
      <c r="M199" s="165"/>
      <c r="N199" s="165"/>
      <c r="O199" s="165"/>
      <c r="P199" s="165"/>
      <c r="Q199" s="165"/>
      <c r="R199" s="165"/>
      <c r="S199" s="165"/>
      <c r="T199" s="165"/>
      <c r="U199" s="165"/>
      <c r="V199" s="165"/>
      <c r="W199" s="165"/>
      <c r="X199" s="165"/>
      <c r="Y199" s="165"/>
      <c r="Z199" s="165"/>
      <c r="AA199" s="165"/>
      <c r="AB199" s="165"/>
      <c r="AC199" s="165"/>
      <c r="AD199" s="165"/>
      <c r="AE199" s="165"/>
      <c r="AF199" s="165"/>
      <c r="AG199" s="165"/>
      <c r="AH199" s="165"/>
      <c r="AI199" s="165"/>
      <c r="AJ199" s="165"/>
      <c r="AK199" s="165"/>
      <c r="AL199" s="165"/>
      <c r="AM199" s="165"/>
      <c r="AN199" s="165"/>
      <c r="AO199" s="165"/>
      <c r="AP199" s="165"/>
      <c r="AQ199" s="165"/>
      <c r="AR199" s="165"/>
      <c r="AS199" s="165"/>
      <c r="AT199" s="165">
        <f t="shared" si="381"/>
        <v>0</v>
      </c>
      <c r="AU199" s="168">
        <f t="shared" si="261"/>
        <v>0</v>
      </c>
      <c r="AV199" s="169">
        <f t="shared" si="382"/>
        <v>0</v>
      </c>
      <c r="AW199" s="168" t="e">
        <f t="shared" si="383"/>
        <v>#DIV/0!</v>
      </c>
      <c r="AX199" s="164" t="s">
        <v>576</v>
      </c>
      <c r="AY199" s="164" t="s">
        <v>546</v>
      </c>
      <c r="AZ199" s="164" t="s">
        <v>3921</v>
      </c>
      <c r="BA199" s="165"/>
      <c r="BB199" s="165"/>
      <c r="BC199" s="240"/>
      <c r="BD199" s="165"/>
      <c r="BE199" s="165"/>
      <c r="BF199" s="165"/>
      <c r="BG199" s="165"/>
      <c r="BH199" s="165"/>
    </row>
    <row r="200" spans="2:64" x14ac:dyDescent="0.25">
      <c r="B200" s="230" t="s">
        <v>578</v>
      </c>
      <c r="C200" s="166" t="s">
        <v>147</v>
      </c>
      <c r="D200" s="166"/>
      <c r="E200" s="166"/>
      <c r="F200" s="167">
        <f t="shared" ref="F200:AS200" si="405">SUM(F201:F203)</f>
        <v>108333000</v>
      </c>
      <c r="G200" s="167">
        <f t="shared" ref="G200:H200" si="406">SUM(G201:G203)</f>
        <v>88680000</v>
      </c>
      <c r="H200" s="167">
        <f t="shared" si="406"/>
        <v>0</v>
      </c>
      <c r="I200" s="167">
        <f t="shared" ref="I200" si="407">SUM(I201:I203)</f>
        <v>-19653000</v>
      </c>
      <c r="J200" s="167">
        <f t="shared" si="405"/>
        <v>0</v>
      </c>
      <c r="K200" s="167">
        <f t="shared" si="405"/>
        <v>0</v>
      </c>
      <c r="L200" s="167">
        <f t="shared" si="405"/>
        <v>0</v>
      </c>
      <c r="M200" s="167">
        <f t="shared" si="405"/>
        <v>0</v>
      </c>
      <c r="N200" s="167">
        <f t="shared" si="405"/>
        <v>0</v>
      </c>
      <c r="O200" s="167">
        <f t="shared" si="405"/>
        <v>0</v>
      </c>
      <c r="P200" s="167">
        <f t="shared" si="405"/>
        <v>0</v>
      </c>
      <c r="Q200" s="167">
        <f t="shared" si="405"/>
        <v>13350000</v>
      </c>
      <c r="R200" s="167">
        <f t="shared" si="405"/>
        <v>37050000</v>
      </c>
      <c r="S200" s="167">
        <f t="shared" si="405"/>
        <v>0</v>
      </c>
      <c r="T200" s="167">
        <f t="shared" si="405"/>
        <v>2490000</v>
      </c>
      <c r="U200" s="167">
        <f t="shared" si="405"/>
        <v>0</v>
      </c>
      <c r="V200" s="167">
        <f t="shared" si="405"/>
        <v>0</v>
      </c>
      <c r="W200" s="167">
        <f t="shared" si="405"/>
        <v>5600000</v>
      </c>
      <c r="X200" s="167">
        <f t="shared" si="405"/>
        <v>4170000</v>
      </c>
      <c r="Y200" s="167">
        <f t="shared" si="405"/>
        <v>0</v>
      </c>
      <c r="Z200" s="167">
        <f t="shared" si="405"/>
        <v>0</v>
      </c>
      <c r="AA200" s="167">
        <f t="shared" si="405"/>
        <v>2030000</v>
      </c>
      <c r="AB200" s="167">
        <f t="shared" si="405"/>
        <v>0</v>
      </c>
      <c r="AC200" s="167">
        <f t="shared" si="405"/>
        <v>0</v>
      </c>
      <c r="AD200" s="167">
        <f t="shared" si="405"/>
        <v>0</v>
      </c>
      <c r="AE200" s="167">
        <f t="shared" si="405"/>
        <v>0</v>
      </c>
      <c r="AF200" s="167">
        <f t="shared" si="405"/>
        <v>0</v>
      </c>
      <c r="AG200" s="167">
        <f t="shared" si="405"/>
        <v>0</v>
      </c>
      <c r="AH200" s="167">
        <f t="shared" si="405"/>
        <v>0</v>
      </c>
      <c r="AI200" s="167">
        <f t="shared" si="405"/>
        <v>0</v>
      </c>
      <c r="AJ200" s="167">
        <f t="shared" si="405"/>
        <v>0</v>
      </c>
      <c r="AK200" s="167">
        <f t="shared" si="405"/>
        <v>0</v>
      </c>
      <c r="AL200" s="167">
        <f t="shared" si="405"/>
        <v>0</v>
      </c>
      <c r="AM200" s="167">
        <f t="shared" si="405"/>
        <v>0</v>
      </c>
      <c r="AN200" s="167">
        <f t="shared" si="405"/>
        <v>0</v>
      </c>
      <c r="AO200" s="167">
        <f t="shared" si="405"/>
        <v>0</v>
      </c>
      <c r="AP200" s="167">
        <f t="shared" si="405"/>
        <v>0</v>
      </c>
      <c r="AQ200" s="167">
        <f t="shared" si="405"/>
        <v>0</v>
      </c>
      <c r="AR200" s="167">
        <f t="shared" si="405"/>
        <v>0</v>
      </c>
      <c r="AS200" s="167">
        <f t="shared" si="405"/>
        <v>0</v>
      </c>
      <c r="AT200" s="167">
        <f t="shared" si="381"/>
        <v>64690000</v>
      </c>
      <c r="AU200" s="175">
        <f t="shared" si="261"/>
        <v>59.714029889322738</v>
      </c>
      <c r="AV200" s="176">
        <f t="shared" si="382"/>
        <v>43643000</v>
      </c>
      <c r="AW200" s="175">
        <f t="shared" si="383"/>
        <v>40.285970110677269</v>
      </c>
      <c r="AX200" s="164" t="s">
        <v>576</v>
      </c>
      <c r="AY200" s="164" t="s">
        <v>546</v>
      </c>
      <c r="AZ200" s="164" t="s">
        <v>3921</v>
      </c>
      <c r="BA200" s="167">
        <f>SUM(BA201:BA203)</f>
        <v>0</v>
      </c>
      <c r="BB200" s="167">
        <f>SUM(BB201:BB203)</f>
        <v>37050000</v>
      </c>
      <c r="BC200" s="167">
        <f>SUM(BC201:BC203)</f>
        <v>13350000</v>
      </c>
      <c r="BD200" s="167">
        <f t="shared" ref="BD200" si="408">SUM(BD201:BD203)</f>
        <v>2490000</v>
      </c>
      <c r="BE200" s="167">
        <f t="shared" ref="BE200" si="409">SUM(BE201:BE203)</f>
        <v>5600000</v>
      </c>
      <c r="BF200" s="167">
        <f t="shared" ref="BF200:BG200" si="410">SUM(BF201:BF203)</f>
        <v>0</v>
      </c>
      <c r="BG200" s="167">
        <f t="shared" si="410"/>
        <v>4170000</v>
      </c>
      <c r="BH200" s="167">
        <f t="shared" ref="BH200" si="411">SUM(BH201:BH203)</f>
        <v>2030000</v>
      </c>
    </row>
    <row r="201" spans="2:64" x14ac:dyDescent="0.25">
      <c r="B201" s="228">
        <v>521211</v>
      </c>
      <c r="C201" s="164" t="s">
        <v>7</v>
      </c>
      <c r="D201" s="164"/>
      <c r="E201" s="164"/>
      <c r="F201" s="165">
        <v>4800000</v>
      </c>
      <c r="G201" s="165">
        <v>4800000</v>
      </c>
      <c r="H201" s="165"/>
      <c r="I201" s="165">
        <f t="shared" ref="I201:I203" si="412">G201-F201</f>
        <v>0</v>
      </c>
      <c r="J201" s="165"/>
      <c r="K201" s="165"/>
      <c r="L201" s="165"/>
      <c r="M201" s="165"/>
      <c r="N201" s="165"/>
      <c r="O201" s="165"/>
      <c r="P201" s="165"/>
      <c r="Q201" s="165"/>
      <c r="R201" s="165"/>
      <c r="S201" s="165"/>
      <c r="T201" s="165"/>
      <c r="U201" s="165"/>
      <c r="V201" s="165"/>
      <c r="W201" s="165"/>
      <c r="X201" s="165"/>
      <c r="Y201" s="165"/>
      <c r="Z201" s="165"/>
      <c r="AA201" s="165"/>
      <c r="AB201" s="165"/>
      <c r="AC201" s="165"/>
      <c r="AD201" s="165"/>
      <c r="AE201" s="165"/>
      <c r="AF201" s="165"/>
      <c r="AG201" s="165"/>
      <c r="AH201" s="165"/>
      <c r="AI201" s="165"/>
      <c r="AJ201" s="165"/>
      <c r="AK201" s="165"/>
      <c r="AL201" s="165"/>
      <c r="AM201" s="165"/>
      <c r="AN201" s="165"/>
      <c r="AO201" s="165"/>
      <c r="AP201" s="165"/>
      <c r="AQ201" s="165"/>
      <c r="AR201" s="165"/>
      <c r="AS201" s="165"/>
      <c r="AT201" s="165">
        <f t="shared" si="381"/>
        <v>0</v>
      </c>
      <c r="AU201" s="168">
        <f t="shared" si="261"/>
        <v>0</v>
      </c>
      <c r="AV201" s="169">
        <f t="shared" si="382"/>
        <v>4800000</v>
      </c>
      <c r="AW201" s="168">
        <f t="shared" si="383"/>
        <v>100</v>
      </c>
      <c r="AX201" s="164" t="s">
        <v>576</v>
      </c>
      <c r="AY201" s="164" t="s">
        <v>546</v>
      </c>
      <c r="AZ201" s="164" t="s">
        <v>3921</v>
      </c>
      <c r="BA201" s="165"/>
      <c r="BB201" s="165"/>
      <c r="BC201" s="240"/>
      <c r="BD201" s="165"/>
      <c r="BE201" s="165"/>
      <c r="BF201" s="165"/>
      <c r="BG201" s="165"/>
      <c r="BH201" s="165"/>
    </row>
    <row r="202" spans="2:64" x14ac:dyDescent="0.25">
      <c r="B202" s="228">
        <v>521811</v>
      </c>
      <c r="C202" s="164" t="s">
        <v>64</v>
      </c>
      <c r="D202" s="164"/>
      <c r="E202" s="164"/>
      <c r="F202" s="165">
        <v>27500000</v>
      </c>
      <c r="G202" s="165">
        <v>27500000</v>
      </c>
      <c r="H202" s="165"/>
      <c r="I202" s="165">
        <f t="shared" si="412"/>
        <v>0</v>
      </c>
      <c r="J202" s="165"/>
      <c r="K202" s="165"/>
      <c r="L202" s="165"/>
      <c r="M202" s="165"/>
      <c r="N202" s="165"/>
      <c r="O202" s="165"/>
      <c r="P202" s="165"/>
      <c r="Q202" s="240">
        <v>2490000</v>
      </c>
      <c r="R202" s="165">
        <v>2490000</v>
      </c>
      <c r="S202" s="165"/>
      <c r="T202" s="165">
        <v>2490000</v>
      </c>
      <c r="U202" s="165"/>
      <c r="V202" s="165"/>
      <c r="W202" s="165"/>
      <c r="X202" s="165">
        <v>2490000</v>
      </c>
      <c r="Y202" s="165"/>
      <c r="Z202" s="165"/>
      <c r="AA202" s="165"/>
      <c r="AB202" s="165"/>
      <c r="AC202" s="165"/>
      <c r="AD202" s="165"/>
      <c r="AE202" s="165"/>
      <c r="AF202" s="165"/>
      <c r="AG202" s="165"/>
      <c r="AH202" s="165"/>
      <c r="AI202" s="165"/>
      <c r="AJ202" s="165"/>
      <c r="AK202" s="165"/>
      <c r="AL202" s="165"/>
      <c r="AM202" s="165"/>
      <c r="AN202" s="165"/>
      <c r="AO202" s="165"/>
      <c r="AP202" s="165"/>
      <c r="AQ202" s="165"/>
      <c r="AR202" s="165"/>
      <c r="AS202" s="165"/>
      <c r="AT202" s="165">
        <f t="shared" si="381"/>
        <v>9960000</v>
      </c>
      <c r="AU202" s="168">
        <f t="shared" si="261"/>
        <v>36.218181818181819</v>
      </c>
      <c r="AV202" s="169">
        <f t="shared" si="382"/>
        <v>17540000</v>
      </c>
      <c r="AW202" s="168">
        <f t="shared" si="383"/>
        <v>63.781818181818181</v>
      </c>
      <c r="AX202" s="164" t="s">
        <v>576</v>
      </c>
      <c r="AY202" s="164" t="s">
        <v>546</v>
      </c>
      <c r="AZ202" s="164" t="s">
        <v>3921</v>
      </c>
      <c r="BA202" s="165"/>
      <c r="BB202" s="165">
        <v>2490000</v>
      </c>
      <c r="BC202" s="240">
        <v>2490000</v>
      </c>
      <c r="BD202" s="165">
        <v>2490000</v>
      </c>
      <c r="BE202" s="165"/>
      <c r="BF202" s="165"/>
      <c r="BG202" s="165">
        <v>2490000</v>
      </c>
      <c r="BH202" s="165"/>
    </row>
    <row r="203" spans="2:64" x14ac:dyDescent="0.25">
      <c r="B203" s="228">
        <v>524111</v>
      </c>
      <c r="C203" s="164" t="s">
        <v>19</v>
      </c>
      <c r="D203" s="164"/>
      <c r="E203" s="164"/>
      <c r="F203" s="165">
        <v>76033000</v>
      </c>
      <c r="G203" s="165">
        <v>56380000</v>
      </c>
      <c r="H203" s="165"/>
      <c r="I203" s="165">
        <f t="shared" si="412"/>
        <v>-19653000</v>
      </c>
      <c r="J203" s="165"/>
      <c r="K203" s="165"/>
      <c r="L203" s="165"/>
      <c r="M203" s="165"/>
      <c r="N203" s="165"/>
      <c r="O203" s="165"/>
      <c r="P203" s="165"/>
      <c r="Q203" s="240">
        <v>10860000</v>
      </c>
      <c r="R203" s="165">
        <v>34560000</v>
      </c>
      <c r="S203" s="165"/>
      <c r="T203" s="165"/>
      <c r="U203" s="165"/>
      <c r="V203" s="165"/>
      <c r="W203" s="165">
        <v>5600000</v>
      </c>
      <c r="X203" s="165">
        <v>1680000</v>
      </c>
      <c r="Y203" s="165"/>
      <c r="Z203" s="165"/>
      <c r="AA203" s="165">
        <v>2030000</v>
      </c>
      <c r="AB203" s="165"/>
      <c r="AC203" s="165"/>
      <c r="AD203" s="165"/>
      <c r="AE203" s="165"/>
      <c r="AF203" s="165"/>
      <c r="AG203" s="165"/>
      <c r="AH203" s="165"/>
      <c r="AI203" s="165"/>
      <c r="AJ203" s="165"/>
      <c r="AK203" s="165"/>
      <c r="AL203" s="165"/>
      <c r="AM203" s="165"/>
      <c r="AN203" s="165"/>
      <c r="AO203" s="165"/>
      <c r="AP203" s="165"/>
      <c r="AQ203" s="165"/>
      <c r="AR203" s="165"/>
      <c r="AS203" s="165"/>
      <c r="AT203" s="165">
        <f t="shared" si="381"/>
        <v>54730000</v>
      </c>
      <c r="AU203" s="168">
        <f t="shared" si="261"/>
        <v>71.981902594925884</v>
      </c>
      <c r="AV203" s="169">
        <f t="shared" si="382"/>
        <v>21303000</v>
      </c>
      <c r="AW203" s="168">
        <f t="shared" si="383"/>
        <v>28.018097405074112</v>
      </c>
      <c r="AX203" s="164" t="s">
        <v>576</v>
      </c>
      <c r="AY203" s="164" t="s">
        <v>546</v>
      </c>
      <c r="AZ203" s="164" t="s">
        <v>3921</v>
      </c>
      <c r="BA203" s="165"/>
      <c r="BB203" s="165">
        <v>34560000</v>
      </c>
      <c r="BC203" s="240">
        <v>10860000</v>
      </c>
      <c r="BD203" s="165"/>
      <c r="BE203" s="165">
        <v>5600000</v>
      </c>
      <c r="BF203" s="165"/>
      <c r="BG203" s="165">
        <v>1680000</v>
      </c>
      <c r="BH203" s="165">
        <v>2030000</v>
      </c>
    </row>
    <row r="204" spans="2:64" x14ac:dyDescent="0.25">
      <c r="B204" s="170">
        <v>4345</v>
      </c>
      <c r="C204" s="171" t="s">
        <v>188</v>
      </c>
      <c r="D204" s="171"/>
      <c r="E204" s="171"/>
      <c r="F204" s="172">
        <f t="shared" ref="F204:X205" si="413">F205</f>
        <v>6082500000</v>
      </c>
      <c r="G204" s="172">
        <f t="shared" si="413"/>
        <v>8582500000</v>
      </c>
      <c r="H204" s="172">
        <f t="shared" si="413"/>
        <v>0</v>
      </c>
      <c r="I204" s="172">
        <f t="shared" si="413"/>
        <v>2500000000</v>
      </c>
      <c r="J204" s="172">
        <f t="shared" si="413"/>
        <v>0</v>
      </c>
      <c r="K204" s="172">
        <f t="shared" si="413"/>
        <v>0</v>
      </c>
      <c r="L204" s="172">
        <f t="shared" si="413"/>
        <v>0</v>
      </c>
      <c r="M204" s="172">
        <f t="shared" si="413"/>
        <v>0</v>
      </c>
      <c r="N204" s="172">
        <f t="shared" si="413"/>
        <v>0</v>
      </c>
      <c r="O204" s="172">
        <f t="shared" si="413"/>
        <v>0</v>
      </c>
      <c r="P204" s="172">
        <f t="shared" si="413"/>
        <v>0</v>
      </c>
      <c r="Q204" s="172">
        <f t="shared" si="413"/>
        <v>0</v>
      </c>
      <c r="R204" s="172">
        <f t="shared" si="413"/>
        <v>0</v>
      </c>
      <c r="S204" s="172">
        <f t="shared" si="413"/>
        <v>1555695356</v>
      </c>
      <c r="T204" s="172">
        <f t="shared" si="413"/>
        <v>0</v>
      </c>
      <c r="U204" s="172">
        <f t="shared" si="413"/>
        <v>0</v>
      </c>
      <c r="V204" s="172">
        <f t="shared" si="413"/>
        <v>0</v>
      </c>
      <c r="W204" s="172">
        <f t="shared" si="413"/>
        <v>0</v>
      </c>
      <c r="X204" s="172">
        <f t="shared" si="413"/>
        <v>37892633</v>
      </c>
      <c r="Y204" s="172">
        <f t="shared" ref="J204:AS205" si="414">Y205</f>
        <v>1880236423</v>
      </c>
      <c r="Z204" s="172">
        <f t="shared" si="414"/>
        <v>0</v>
      </c>
      <c r="AA204" s="172">
        <f t="shared" si="414"/>
        <v>2889500</v>
      </c>
      <c r="AB204" s="172">
        <f t="shared" si="414"/>
        <v>0</v>
      </c>
      <c r="AC204" s="172">
        <f t="shared" si="414"/>
        <v>0</v>
      </c>
      <c r="AD204" s="172">
        <f t="shared" si="414"/>
        <v>0</v>
      </c>
      <c r="AE204" s="172">
        <f t="shared" si="414"/>
        <v>0</v>
      </c>
      <c r="AF204" s="172">
        <f t="shared" si="414"/>
        <v>0</v>
      </c>
      <c r="AG204" s="172">
        <f t="shared" si="414"/>
        <v>0</v>
      </c>
      <c r="AH204" s="172">
        <f t="shared" si="414"/>
        <v>0</v>
      </c>
      <c r="AI204" s="172">
        <f t="shared" si="414"/>
        <v>0</v>
      </c>
      <c r="AJ204" s="172">
        <f t="shared" si="414"/>
        <v>0</v>
      </c>
      <c r="AK204" s="172">
        <f t="shared" si="414"/>
        <v>0</v>
      </c>
      <c r="AL204" s="172">
        <f t="shared" si="414"/>
        <v>0</v>
      </c>
      <c r="AM204" s="172">
        <f t="shared" si="414"/>
        <v>0</v>
      </c>
      <c r="AN204" s="172">
        <f t="shared" si="414"/>
        <v>0</v>
      </c>
      <c r="AO204" s="172">
        <f t="shared" si="414"/>
        <v>0</v>
      </c>
      <c r="AP204" s="172">
        <f t="shared" si="414"/>
        <v>0</v>
      </c>
      <c r="AQ204" s="172">
        <f t="shared" si="414"/>
        <v>0</v>
      </c>
      <c r="AR204" s="172">
        <f t="shared" si="414"/>
        <v>0</v>
      </c>
      <c r="AS204" s="172">
        <f t="shared" si="414"/>
        <v>0</v>
      </c>
      <c r="AT204" s="172">
        <f t="shared" si="381"/>
        <v>3476713912</v>
      </c>
      <c r="AU204" s="173">
        <f t="shared" si="261"/>
        <v>57.159291607069463</v>
      </c>
      <c r="AV204" s="174">
        <f t="shared" si="382"/>
        <v>2605786088</v>
      </c>
      <c r="AW204" s="173">
        <f t="shared" si="383"/>
        <v>42.840708392930537</v>
      </c>
      <c r="AX204" s="164" t="s">
        <v>542</v>
      </c>
      <c r="AY204" s="164" t="s">
        <v>543</v>
      </c>
      <c r="AZ204" s="164" t="s">
        <v>3921</v>
      </c>
      <c r="BA204" s="172">
        <f t="shared" ref="BA204:BH205" si="415">BA205</f>
        <v>0</v>
      </c>
      <c r="BB204" s="172">
        <f t="shared" si="415"/>
        <v>0</v>
      </c>
      <c r="BC204" s="172">
        <f t="shared" si="415"/>
        <v>0</v>
      </c>
      <c r="BD204" s="172">
        <f t="shared" si="415"/>
        <v>0</v>
      </c>
      <c r="BE204" s="172">
        <f t="shared" si="415"/>
        <v>0</v>
      </c>
      <c r="BF204" s="172">
        <f>BF205</f>
        <v>0</v>
      </c>
      <c r="BG204" s="172">
        <f t="shared" si="415"/>
        <v>37892633</v>
      </c>
      <c r="BH204" s="172">
        <f t="shared" si="415"/>
        <v>2889500</v>
      </c>
      <c r="BL204" t="s">
        <v>3842</v>
      </c>
    </row>
    <row r="205" spans="2:64" x14ac:dyDescent="0.25">
      <c r="B205" s="170" t="s">
        <v>3474</v>
      </c>
      <c r="C205" s="171" t="s">
        <v>2312</v>
      </c>
      <c r="D205" s="171">
        <v>4725</v>
      </c>
      <c r="E205" s="171" t="s">
        <v>155</v>
      </c>
      <c r="F205" s="172">
        <f t="shared" si="413"/>
        <v>6082500000</v>
      </c>
      <c r="G205" s="172">
        <f t="shared" si="413"/>
        <v>8582500000</v>
      </c>
      <c r="H205" s="172">
        <f t="shared" si="413"/>
        <v>0</v>
      </c>
      <c r="I205" s="172">
        <f t="shared" si="413"/>
        <v>2500000000</v>
      </c>
      <c r="J205" s="172">
        <f t="shared" si="414"/>
        <v>0</v>
      </c>
      <c r="K205" s="172">
        <f t="shared" si="414"/>
        <v>0</v>
      </c>
      <c r="L205" s="172">
        <f t="shared" si="414"/>
        <v>0</v>
      </c>
      <c r="M205" s="172">
        <f t="shared" si="414"/>
        <v>0</v>
      </c>
      <c r="N205" s="172">
        <f t="shared" si="414"/>
        <v>0</v>
      </c>
      <c r="O205" s="172">
        <f t="shared" si="414"/>
        <v>0</v>
      </c>
      <c r="P205" s="172">
        <f t="shared" si="414"/>
        <v>0</v>
      </c>
      <c r="Q205" s="172">
        <f t="shared" si="414"/>
        <v>0</v>
      </c>
      <c r="R205" s="172">
        <f t="shared" si="414"/>
        <v>0</v>
      </c>
      <c r="S205" s="172">
        <f t="shared" si="414"/>
        <v>1555695356</v>
      </c>
      <c r="T205" s="172">
        <f t="shared" si="414"/>
        <v>0</v>
      </c>
      <c r="U205" s="172">
        <f t="shared" si="414"/>
        <v>0</v>
      </c>
      <c r="V205" s="172">
        <f t="shared" si="414"/>
        <v>0</v>
      </c>
      <c r="W205" s="172">
        <f t="shared" si="414"/>
        <v>0</v>
      </c>
      <c r="X205" s="172">
        <f t="shared" si="414"/>
        <v>37892633</v>
      </c>
      <c r="Y205" s="172">
        <f t="shared" si="414"/>
        <v>1880236423</v>
      </c>
      <c r="Z205" s="172">
        <f t="shared" si="414"/>
        <v>0</v>
      </c>
      <c r="AA205" s="172">
        <f t="shared" si="414"/>
        <v>2889500</v>
      </c>
      <c r="AB205" s="172">
        <f t="shared" si="414"/>
        <v>0</v>
      </c>
      <c r="AC205" s="172">
        <f t="shared" si="414"/>
        <v>0</v>
      </c>
      <c r="AD205" s="172">
        <f t="shared" si="414"/>
        <v>0</v>
      </c>
      <c r="AE205" s="172">
        <f t="shared" si="414"/>
        <v>0</v>
      </c>
      <c r="AF205" s="172">
        <f t="shared" si="414"/>
        <v>0</v>
      </c>
      <c r="AG205" s="172">
        <f t="shared" si="414"/>
        <v>0</v>
      </c>
      <c r="AH205" s="172">
        <f t="shared" si="414"/>
        <v>0</v>
      </c>
      <c r="AI205" s="172">
        <f t="shared" si="414"/>
        <v>0</v>
      </c>
      <c r="AJ205" s="172">
        <f t="shared" si="414"/>
        <v>0</v>
      </c>
      <c r="AK205" s="172">
        <f t="shared" si="414"/>
        <v>0</v>
      </c>
      <c r="AL205" s="172">
        <f t="shared" si="414"/>
        <v>0</v>
      </c>
      <c r="AM205" s="172">
        <f t="shared" si="414"/>
        <v>0</v>
      </c>
      <c r="AN205" s="172">
        <f t="shared" si="414"/>
        <v>0</v>
      </c>
      <c r="AO205" s="172">
        <f t="shared" si="414"/>
        <v>0</v>
      </c>
      <c r="AP205" s="172">
        <f t="shared" si="414"/>
        <v>0</v>
      </c>
      <c r="AQ205" s="172">
        <f t="shared" si="414"/>
        <v>0</v>
      </c>
      <c r="AR205" s="172">
        <f t="shared" si="414"/>
        <v>0</v>
      </c>
      <c r="AS205" s="172">
        <f t="shared" si="414"/>
        <v>0</v>
      </c>
      <c r="AT205" s="172">
        <f t="shared" si="381"/>
        <v>3476713912</v>
      </c>
      <c r="AU205" s="173">
        <f t="shared" si="261"/>
        <v>57.159291607069463</v>
      </c>
      <c r="AV205" s="174">
        <f t="shared" si="382"/>
        <v>2605786088</v>
      </c>
      <c r="AW205" s="173">
        <f t="shared" si="383"/>
        <v>42.840708392930537</v>
      </c>
      <c r="AX205" s="164" t="s">
        <v>542</v>
      </c>
      <c r="AY205" s="164" t="s">
        <v>543</v>
      </c>
      <c r="AZ205" s="164" t="s">
        <v>3921</v>
      </c>
      <c r="BA205" s="172">
        <f t="shared" si="415"/>
        <v>0</v>
      </c>
      <c r="BB205" s="172">
        <f t="shared" si="415"/>
        <v>0</v>
      </c>
      <c r="BC205" s="172">
        <f t="shared" si="415"/>
        <v>0</v>
      </c>
      <c r="BD205" s="172">
        <f t="shared" si="415"/>
        <v>0</v>
      </c>
      <c r="BE205" s="172">
        <f t="shared" si="415"/>
        <v>0</v>
      </c>
      <c r="BF205" s="172">
        <f t="shared" si="415"/>
        <v>0</v>
      </c>
      <c r="BG205" s="172">
        <f t="shared" si="415"/>
        <v>37892633</v>
      </c>
      <c r="BH205" s="172">
        <f t="shared" si="415"/>
        <v>2889500</v>
      </c>
    </row>
    <row r="206" spans="2:64" x14ac:dyDescent="0.25">
      <c r="B206" s="170" t="s">
        <v>3810</v>
      </c>
      <c r="C206" s="171" t="s">
        <v>3477</v>
      </c>
      <c r="D206" s="171">
        <v>4725</v>
      </c>
      <c r="E206" s="171" t="s">
        <v>155</v>
      </c>
      <c r="F206" s="172">
        <f>F207+F227</f>
        <v>6082500000</v>
      </c>
      <c r="G206" s="172">
        <f>G207+G227</f>
        <v>8582500000</v>
      </c>
      <c r="H206" s="172">
        <f>H207+H227</f>
        <v>0</v>
      </c>
      <c r="I206" s="172">
        <f>I207+I227</f>
        <v>2500000000</v>
      </c>
      <c r="J206" s="172">
        <f t="shared" ref="J206:AS206" si="416">J207+J227</f>
        <v>0</v>
      </c>
      <c r="K206" s="172">
        <f t="shared" si="416"/>
        <v>0</v>
      </c>
      <c r="L206" s="172">
        <f t="shared" si="416"/>
        <v>0</v>
      </c>
      <c r="M206" s="172">
        <f t="shared" si="416"/>
        <v>0</v>
      </c>
      <c r="N206" s="172">
        <f t="shared" si="416"/>
        <v>0</v>
      </c>
      <c r="O206" s="172">
        <f t="shared" si="416"/>
        <v>0</v>
      </c>
      <c r="P206" s="172">
        <f t="shared" si="416"/>
        <v>0</v>
      </c>
      <c r="Q206" s="172">
        <f t="shared" si="416"/>
        <v>0</v>
      </c>
      <c r="R206" s="172">
        <f t="shared" si="416"/>
        <v>0</v>
      </c>
      <c r="S206" s="172">
        <f t="shared" si="416"/>
        <v>1555695356</v>
      </c>
      <c r="T206" s="172">
        <f t="shared" si="416"/>
        <v>0</v>
      </c>
      <c r="U206" s="172">
        <f t="shared" si="416"/>
        <v>0</v>
      </c>
      <c r="V206" s="172">
        <f t="shared" si="416"/>
        <v>0</v>
      </c>
      <c r="W206" s="172">
        <f t="shared" si="416"/>
        <v>0</v>
      </c>
      <c r="X206" s="172">
        <f t="shared" si="416"/>
        <v>37892633</v>
      </c>
      <c r="Y206" s="172">
        <f t="shared" si="416"/>
        <v>1880236423</v>
      </c>
      <c r="Z206" s="172">
        <f t="shared" si="416"/>
        <v>0</v>
      </c>
      <c r="AA206" s="172">
        <f t="shared" si="416"/>
        <v>2889500</v>
      </c>
      <c r="AB206" s="172">
        <f t="shared" si="416"/>
        <v>0</v>
      </c>
      <c r="AC206" s="172">
        <f t="shared" si="416"/>
        <v>0</v>
      </c>
      <c r="AD206" s="172">
        <f t="shared" si="416"/>
        <v>0</v>
      </c>
      <c r="AE206" s="172">
        <f t="shared" si="416"/>
        <v>0</v>
      </c>
      <c r="AF206" s="172">
        <f t="shared" si="416"/>
        <v>0</v>
      </c>
      <c r="AG206" s="172">
        <f t="shared" si="416"/>
        <v>0</v>
      </c>
      <c r="AH206" s="172">
        <f t="shared" si="416"/>
        <v>0</v>
      </c>
      <c r="AI206" s="172">
        <f t="shared" si="416"/>
        <v>0</v>
      </c>
      <c r="AJ206" s="172">
        <f t="shared" si="416"/>
        <v>0</v>
      </c>
      <c r="AK206" s="172">
        <f t="shared" si="416"/>
        <v>0</v>
      </c>
      <c r="AL206" s="172">
        <f t="shared" si="416"/>
        <v>0</v>
      </c>
      <c r="AM206" s="172">
        <f t="shared" si="416"/>
        <v>0</v>
      </c>
      <c r="AN206" s="172">
        <f t="shared" si="416"/>
        <v>0</v>
      </c>
      <c r="AO206" s="172">
        <f t="shared" si="416"/>
        <v>0</v>
      </c>
      <c r="AP206" s="172">
        <f t="shared" si="416"/>
        <v>0</v>
      </c>
      <c r="AQ206" s="172">
        <f t="shared" si="416"/>
        <v>0</v>
      </c>
      <c r="AR206" s="172">
        <f t="shared" si="416"/>
        <v>0</v>
      </c>
      <c r="AS206" s="172">
        <f t="shared" si="416"/>
        <v>0</v>
      </c>
      <c r="AT206" s="172">
        <f t="shared" si="381"/>
        <v>3476713912</v>
      </c>
      <c r="AU206" s="173">
        <f t="shared" si="261"/>
        <v>57.159291607069463</v>
      </c>
      <c r="AV206" s="174">
        <f t="shared" si="382"/>
        <v>2605786088</v>
      </c>
      <c r="AW206" s="173">
        <f t="shared" si="383"/>
        <v>42.840708392930537</v>
      </c>
      <c r="AX206" s="164" t="s">
        <v>542</v>
      </c>
      <c r="AY206" s="164" t="s">
        <v>543</v>
      </c>
      <c r="AZ206" s="164" t="s">
        <v>3921</v>
      </c>
      <c r="BA206" s="172">
        <f t="shared" ref="BA206:BC206" si="417">BA207+BA227</f>
        <v>0</v>
      </c>
      <c r="BB206" s="172">
        <f t="shared" si="417"/>
        <v>0</v>
      </c>
      <c r="BC206" s="172">
        <f t="shared" si="417"/>
        <v>0</v>
      </c>
      <c r="BD206" s="172">
        <f t="shared" ref="BD206" si="418">BD207+BD227</f>
        <v>0</v>
      </c>
      <c r="BE206" s="172">
        <f t="shared" ref="BE206" si="419">BE207+BE227</f>
        <v>0</v>
      </c>
      <c r="BF206" s="172">
        <f t="shared" ref="BF206:BG206" si="420">BF207+BF227</f>
        <v>0</v>
      </c>
      <c r="BG206" s="172">
        <f t="shared" si="420"/>
        <v>37892633</v>
      </c>
      <c r="BH206" s="172">
        <f t="shared" ref="BH206" si="421">BH207+BH227</f>
        <v>2889500</v>
      </c>
    </row>
    <row r="207" spans="2:64" x14ac:dyDescent="0.25">
      <c r="B207" s="170">
        <v>301</v>
      </c>
      <c r="C207" s="171" t="s">
        <v>189</v>
      </c>
      <c r="D207" s="171"/>
      <c r="E207" s="171"/>
      <c r="F207" s="172">
        <f>F208+F215+F221+F225</f>
        <v>5973300000</v>
      </c>
      <c r="G207" s="172">
        <f>G208+G215+G221+G225</f>
        <v>8473300000</v>
      </c>
      <c r="H207" s="172">
        <f>H208+H215+H221+H225</f>
        <v>0</v>
      </c>
      <c r="I207" s="172">
        <f>I208+I215+I221+I225</f>
        <v>2500000000</v>
      </c>
      <c r="J207" s="172">
        <f t="shared" ref="J207:AS207" si="422">J208+J215+J221+J225</f>
        <v>0</v>
      </c>
      <c r="K207" s="172">
        <f t="shared" si="422"/>
        <v>0</v>
      </c>
      <c r="L207" s="172">
        <f t="shared" si="422"/>
        <v>0</v>
      </c>
      <c r="M207" s="172">
        <f t="shared" si="422"/>
        <v>0</v>
      </c>
      <c r="N207" s="172">
        <f t="shared" si="422"/>
        <v>0</v>
      </c>
      <c r="O207" s="172">
        <f t="shared" si="422"/>
        <v>0</v>
      </c>
      <c r="P207" s="172">
        <f t="shared" si="422"/>
        <v>0</v>
      </c>
      <c r="Q207" s="172">
        <f t="shared" si="422"/>
        <v>0</v>
      </c>
      <c r="R207" s="172">
        <f t="shared" si="422"/>
        <v>0</v>
      </c>
      <c r="S207" s="172">
        <f t="shared" si="422"/>
        <v>1555695356</v>
      </c>
      <c r="T207" s="172">
        <f t="shared" si="422"/>
        <v>0</v>
      </c>
      <c r="U207" s="172">
        <f t="shared" si="422"/>
        <v>0</v>
      </c>
      <c r="V207" s="172">
        <f t="shared" si="422"/>
        <v>0</v>
      </c>
      <c r="W207" s="172">
        <f t="shared" si="422"/>
        <v>0</v>
      </c>
      <c r="X207" s="172">
        <f t="shared" si="422"/>
        <v>30086633</v>
      </c>
      <c r="Y207" s="172">
        <f t="shared" si="422"/>
        <v>1880236423</v>
      </c>
      <c r="Z207" s="172">
        <f t="shared" si="422"/>
        <v>0</v>
      </c>
      <c r="AA207" s="172">
        <f t="shared" si="422"/>
        <v>2889500</v>
      </c>
      <c r="AB207" s="172">
        <f t="shared" si="422"/>
        <v>0</v>
      </c>
      <c r="AC207" s="172">
        <f t="shared" si="422"/>
        <v>0</v>
      </c>
      <c r="AD207" s="172">
        <f t="shared" si="422"/>
        <v>0</v>
      </c>
      <c r="AE207" s="172">
        <f t="shared" si="422"/>
        <v>0</v>
      </c>
      <c r="AF207" s="172">
        <f t="shared" si="422"/>
        <v>0</v>
      </c>
      <c r="AG207" s="172">
        <f t="shared" si="422"/>
        <v>0</v>
      </c>
      <c r="AH207" s="172">
        <f t="shared" si="422"/>
        <v>0</v>
      </c>
      <c r="AI207" s="172">
        <f t="shared" si="422"/>
        <v>0</v>
      </c>
      <c r="AJ207" s="172">
        <f t="shared" si="422"/>
        <v>0</v>
      </c>
      <c r="AK207" s="172">
        <f t="shared" si="422"/>
        <v>0</v>
      </c>
      <c r="AL207" s="172">
        <f t="shared" si="422"/>
        <v>0</v>
      </c>
      <c r="AM207" s="172">
        <f t="shared" si="422"/>
        <v>0</v>
      </c>
      <c r="AN207" s="172">
        <f t="shared" si="422"/>
        <v>0</v>
      </c>
      <c r="AO207" s="172">
        <f t="shared" si="422"/>
        <v>0</v>
      </c>
      <c r="AP207" s="172">
        <f t="shared" si="422"/>
        <v>0</v>
      </c>
      <c r="AQ207" s="172">
        <f t="shared" si="422"/>
        <v>0</v>
      </c>
      <c r="AR207" s="172">
        <f t="shared" si="422"/>
        <v>0</v>
      </c>
      <c r="AS207" s="172">
        <f t="shared" si="422"/>
        <v>0</v>
      </c>
      <c r="AT207" s="172">
        <f t="shared" si="381"/>
        <v>3468907912</v>
      </c>
      <c r="AU207" s="173">
        <f t="shared" ref="AU207:AU231" si="423">IFERROR(AT207/F207*100,0)</f>
        <v>58.073559205129484</v>
      </c>
      <c r="AV207" s="174">
        <f t="shared" si="382"/>
        <v>2504392088</v>
      </c>
      <c r="AW207" s="173">
        <f t="shared" si="383"/>
        <v>41.926440794870508</v>
      </c>
      <c r="AX207" s="164" t="s">
        <v>542</v>
      </c>
      <c r="AY207" s="164" t="s">
        <v>543</v>
      </c>
      <c r="AZ207" s="164" t="s">
        <v>3921</v>
      </c>
      <c r="BA207" s="172">
        <f t="shared" ref="BA207:BC207" si="424">BA208+BA215+BA221+BA225</f>
        <v>0</v>
      </c>
      <c r="BB207" s="172">
        <f t="shared" si="424"/>
        <v>0</v>
      </c>
      <c r="BC207" s="172">
        <f t="shared" si="424"/>
        <v>0</v>
      </c>
      <c r="BD207" s="172">
        <f t="shared" ref="BD207" si="425">BD208+BD215+BD221+BD225</f>
        <v>0</v>
      </c>
      <c r="BE207" s="172">
        <f t="shared" ref="BE207" si="426">BE208+BE215+BE221+BE225</f>
        <v>0</v>
      </c>
      <c r="BF207" s="172">
        <f t="shared" ref="BF207:BG207" si="427">BF208+BF215+BF221+BF225</f>
        <v>0</v>
      </c>
      <c r="BG207" s="172">
        <f t="shared" si="427"/>
        <v>30086633</v>
      </c>
      <c r="BH207" s="172">
        <f t="shared" ref="BH207" si="428">BH208+BH215+BH221+BH225</f>
        <v>2889500</v>
      </c>
    </row>
    <row r="208" spans="2:64" x14ac:dyDescent="0.25">
      <c r="B208" s="230" t="s">
        <v>8</v>
      </c>
      <c r="C208" s="166" t="s">
        <v>190</v>
      </c>
      <c r="D208" s="166"/>
      <c r="E208" s="166"/>
      <c r="F208" s="167">
        <f>SUM(F209:F214)</f>
        <v>1713564000</v>
      </c>
      <c r="G208" s="167">
        <f>SUM(G209:G214)</f>
        <v>1713564000</v>
      </c>
      <c r="H208" s="167">
        <f>SUM(H209:H214)</f>
        <v>0</v>
      </c>
      <c r="I208" s="167">
        <f>SUM(I209:I214)</f>
        <v>0</v>
      </c>
      <c r="J208" s="167">
        <f t="shared" ref="J208:AS208" si="429">SUM(J209:J214)</f>
        <v>0</v>
      </c>
      <c r="K208" s="167">
        <f t="shared" si="429"/>
        <v>0</v>
      </c>
      <c r="L208" s="167">
        <f t="shared" si="429"/>
        <v>0</v>
      </c>
      <c r="M208" s="167">
        <f t="shared" si="429"/>
        <v>0</v>
      </c>
      <c r="N208" s="167">
        <f t="shared" si="429"/>
        <v>0</v>
      </c>
      <c r="O208" s="167">
        <f t="shared" si="429"/>
        <v>0</v>
      </c>
      <c r="P208" s="167">
        <f t="shared" si="429"/>
        <v>0</v>
      </c>
      <c r="Q208" s="167">
        <f t="shared" si="429"/>
        <v>0</v>
      </c>
      <c r="R208" s="167">
        <f t="shared" si="429"/>
        <v>0</v>
      </c>
      <c r="S208" s="167">
        <f t="shared" si="429"/>
        <v>5900000</v>
      </c>
      <c r="T208" s="167">
        <f t="shared" si="429"/>
        <v>0</v>
      </c>
      <c r="U208" s="167">
        <f t="shared" si="429"/>
        <v>0</v>
      </c>
      <c r="V208" s="167">
        <f t="shared" si="429"/>
        <v>0</v>
      </c>
      <c r="W208" s="167">
        <f t="shared" si="429"/>
        <v>0</v>
      </c>
      <c r="X208" s="167">
        <f t="shared" si="429"/>
        <v>4855000</v>
      </c>
      <c r="Y208" s="167">
        <f t="shared" si="429"/>
        <v>14635000</v>
      </c>
      <c r="Z208" s="167">
        <f t="shared" si="429"/>
        <v>0</v>
      </c>
      <c r="AA208" s="167">
        <f t="shared" si="429"/>
        <v>0</v>
      </c>
      <c r="AB208" s="167">
        <f t="shared" si="429"/>
        <v>0</v>
      </c>
      <c r="AC208" s="167">
        <f t="shared" si="429"/>
        <v>0</v>
      </c>
      <c r="AD208" s="167">
        <f t="shared" si="429"/>
        <v>0</v>
      </c>
      <c r="AE208" s="167">
        <f t="shared" si="429"/>
        <v>0</v>
      </c>
      <c r="AF208" s="167">
        <f t="shared" si="429"/>
        <v>0</v>
      </c>
      <c r="AG208" s="167">
        <f t="shared" si="429"/>
        <v>0</v>
      </c>
      <c r="AH208" s="167">
        <f t="shared" si="429"/>
        <v>0</v>
      </c>
      <c r="AI208" s="167">
        <f t="shared" si="429"/>
        <v>0</v>
      </c>
      <c r="AJ208" s="167">
        <f t="shared" si="429"/>
        <v>0</v>
      </c>
      <c r="AK208" s="167">
        <f t="shared" si="429"/>
        <v>0</v>
      </c>
      <c r="AL208" s="167">
        <f t="shared" si="429"/>
        <v>0</v>
      </c>
      <c r="AM208" s="167">
        <f t="shared" si="429"/>
        <v>0</v>
      </c>
      <c r="AN208" s="167">
        <f t="shared" si="429"/>
        <v>0</v>
      </c>
      <c r="AO208" s="167">
        <f t="shared" si="429"/>
        <v>0</v>
      </c>
      <c r="AP208" s="167">
        <f t="shared" si="429"/>
        <v>0</v>
      </c>
      <c r="AQ208" s="167">
        <f t="shared" si="429"/>
        <v>0</v>
      </c>
      <c r="AR208" s="167">
        <f t="shared" si="429"/>
        <v>0</v>
      </c>
      <c r="AS208" s="167">
        <f t="shared" si="429"/>
        <v>0</v>
      </c>
      <c r="AT208" s="167">
        <f t="shared" si="381"/>
        <v>25390000</v>
      </c>
      <c r="AU208" s="175">
        <f t="shared" si="423"/>
        <v>1.4817071320359203</v>
      </c>
      <c r="AV208" s="176">
        <f t="shared" si="382"/>
        <v>1688174000</v>
      </c>
      <c r="AW208" s="175">
        <f t="shared" si="383"/>
        <v>98.518292867964078</v>
      </c>
      <c r="AX208" s="164" t="s">
        <v>542</v>
      </c>
      <c r="AY208" s="164" t="s">
        <v>543</v>
      </c>
      <c r="AZ208" s="164" t="s">
        <v>3921</v>
      </c>
      <c r="BA208" s="167">
        <f t="shared" ref="BA208:BC208" si="430">SUM(BA209:BA214)</f>
        <v>0</v>
      </c>
      <c r="BB208" s="167">
        <f t="shared" si="430"/>
        <v>0</v>
      </c>
      <c r="BC208" s="167">
        <f t="shared" si="430"/>
        <v>0</v>
      </c>
      <c r="BD208" s="167">
        <f t="shared" ref="BD208" si="431">SUM(BD209:BD214)</f>
        <v>0</v>
      </c>
      <c r="BE208" s="167">
        <f t="shared" ref="BE208" si="432">SUM(BE209:BE214)</f>
        <v>0</v>
      </c>
      <c r="BF208" s="167">
        <f t="shared" ref="BF208:BG208" si="433">SUM(BF209:BF214)</f>
        <v>0</v>
      </c>
      <c r="BG208" s="167">
        <f t="shared" si="433"/>
        <v>4855000</v>
      </c>
      <c r="BH208" s="167">
        <f t="shared" ref="BH208" si="434">SUM(BH209:BH214)</f>
        <v>0</v>
      </c>
    </row>
    <row r="209" spans="2:60" x14ac:dyDescent="0.25">
      <c r="B209" s="228">
        <v>521211</v>
      </c>
      <c r="C209" s="164" t="s">
        <v>7</v>
      </c>
      <c r="D209" s="164"/>
      <c r="E209" s="164"/>
      <c r="F209" s="165">
        <v>99100000</v>
      </c>
      <c r="G209" s="165">
        <v>99100000</v>
      </c>
      <c r="H209" s="165"/>
      <c r="I209" s="165">
        <f t="shared" ref="I209:I214" si="435">G209-F209</f>
        <v>0</v>
      </c>
      <c r="J209" s="165"/>
      <c r="K209" s="165"/>
      <c r="L209" s="165"/>
      <c r="M209" s="165"/>
      <c r="N209" s="165"/>
      <c r="O209" s="165"/>
      <c r="P209" s="165"/>
      <c r="Q209" s="165"/>
      <c r="R209" s="165"/>
      <c r="S209" s="165"/>
      <c r="T209" s="165"/>
      <c r="U209" s="165"/>
      <c r="V209" s="165"/>
      <c r="W209" s="165"/>
      <c r="X209" s="165"/>
      <c r="Y209" s="165"/>
      <c r="Z209" s="165"/>
      <c r="AA209" s="165"/>
      <c r="AB209" s="165"/>
      <c r="AC209" s="165"/>
      <c r="AD209" s="165"/>
      <c r="AE209" s="165"/>
      <c r="AF209" s="165"/>
      <c r="AG209" s="165"/>
      <c r="AH209" s="165"/>
      <c r="AI209" s="165"/>
      <c r="AJ209" s="165"/>
      <c r="AK209" s="165"/>
      <c r="AL209" s="165"/>
      <c r="AM209" s="165"/>
      <c r="AN209" s="165"/>
      <c r="AO209" s="165"/>
      <c r="AP209" s="165"/>
      <c r="AQ209" s="165"/>
      <c r="AR209" s="165"/>
      <c r="AS209" s="165"/>
      <c r="AT209" s="165">
        <f t="shared" si="381"/>
        <v>0</v>
      </c>
      <c r="AU209" s="168">
        <f t="shared" si="423"/>
        <v>0</v>
      </c>
      <c r="AV209" s="169">
        <f t="shared" si="382"/>
        <v>99100000</v>
      </c>
      <c r="AW209" s="168">
        <f t="shared" si="383"/>
        <v>100</v>
      </c>
      <c r="AX209" s="164" t="s">
        <v>542</v>
      </c>
      <c r="AY209" s="164" t="s">
        <v>543</v>
      </c>
      <c r="AZ209" s="164" t="s">
        <v>3921</v>
      </c>
      <c r="BA209" s="165"/>
      <c r="BB209" s="165"/>
      <c r="BC209" s="165"/>
      <c r="BD209" s="165"/>
      <c r="BE209" s="165"/>
      <c r="BF209" s="165"/>
      <c r="BG209" s="165"/>
      <c r="BH209" s="165"/>
    </row>
    <row r="210" spans="2:60" x14ac:dyDescent="0.25">
      <c r="B210" s="228">
        <v>521219</v>
      </c>
      <c r="C210" s="164" t="s">
        <v>53</v>
      </c>
      <c r="D210" s="164"/>
      <c r="E210" s="164"/>
      <c r="F210" s="165">
        <v>1333864000</v>
      </c>
      <c r="G210" s="165">
        <v>1333864000</v>
      </c>
      <c r="H210" s="165"/>
      <c r="I210" s="165">
        <f t="shared" si="435"/>
        <v>0</v>
      </c>
      <c r="J210" s="165"/>
      <c r="K210" s="165"/>
      <c r="L210" s="165"/>
      <c r="M210" s="165"/>
      <c r="N210" s="165"/>
      <c r="O210" s="165"/>
      <c r="P210" s="165"/>
      <c r="Q210" s="165"/>
      <c r="R210" s="165"/>
      <c r="S210" s="165"/>
      <c r="T210" s="165"/>
      <c r="U210" s="165"/>
      <c r="V210" s="165"/>
      <c r="W210" s="165"/>
      <c r="X210" s="165"/>
      <c r="Y210" s="165"/>
      <c r="Z210" s="165"/>
      <c r="AA210" s="165"/>
      <c r="AB210" s="165"/>
      <c r="AC210" s="165"/>
      <c r="AD210" s="165"/>
      <c r="AE210" s="165"/>
      <c r="AF210" s="165"/>
      <c r="AG210" s="165"/>
      <c r="AH210" s="165"/>
      <c r="AI210" s="165"/>
      <c r="AJ210" s="165"/>
      <c r="AK210" s="165"/>
      <c r="AL210" s="165"/>
      <c r="AM210" s="165"/>
      <c r="AN210" s="165"/>
      <c r="AO210" s="165"/>
      <c r="AP210" s="165"/>
      <c r="AQ210" s="165"/>
      <c r="AR210" s="165"/>
      <c r="AS210" s="165"/>
      <c r="AT210" s="165">
        <f t="shared" si="381"/>
        <v>0</v>
      </c>
      <c r="AU210" s="168">
        <f t="shared" si="423"/>
        <v>0</v>
      </c>
      <c r="AV210" s="169">
        <f t="shared" si="382"/>
        <v>1333864000</v>
      </c>
      <c r="AW210" s="168">
        <f t="shared" si="383"/>
        <v>100</v>
      </c>
      <c r="AX210" s="164" t="s">
        <v>542</v>
      </c>
      <c r="AY210" s="164" t="s">
        <v>543</v>
      </c>
      <c r="AZ210" s="319" t="s">
        <v>3921</v>
      </c>
      <c r="BA210" s="165"/>
      <c r="BB210" s="165"/>
      <c r="BC210" s="165"/>
      <c r="BD210" s="165"/>
      <c r="BE210" s="165"/>
      <c r="BF210" s="165"/>
      <c r="BG210" s="165"/>
      <c r="BH210" s="165"/>
    </row>
    <row r="211" spans="2:60" x14ac:dyDescent="0.25">
      <c r="B211" s="228">
        <v>521811</v>
      </c>
      <c r="C211" s="164" t="s">
        <v>64</v>
      </c>
      <c r="D211" s="164"/>
      <c r="E211" s="164"/>
      <c r="F211" s="165">
        <v>25000000</v>
      </c>
      <c r="G211" s="165">
        <v>25000000</v>
      </c>
      <c r="H211" s="165"/>
      <c r="I211" s="165">
        <f t="shared" si="435"/>
        <v>0</v>
      </c>
      <c r="J211" s="165"/>
      <c r="K211" s="165"/>
      <c r="L211" s="165"/>
      <c r="M211" s="165"/>
      <c r="N211" s="165"/>
      <c r="O211" s="165"/>
      <c r="P211" s="165"/>
      <c r="Q211" s="165"/>
      <c r="R211" s="165"/>
      <c r="S211" s="165"/>
      <c r="T211" s="165"/>
      <c r="U211" s="165"/>
      <c r="V211" s="165"/>
      <c r="W211" s="165"/>
      <c r="X211" s="165">
        <v>4855000</v>
      </c>
      <c r="Y211" s="165"/>
      <c r="Z211" s="165"/>
      <c r="AA211" s="165"/>
      <c r="AB211" s="165"/>
      <c r="AC211" s="165"/>
      <c r="AD211" s="165"/>
      <c r="AE211" s="165"/>
      <c r="AF211" s="165"/>
      <c r="AG211" s="165"/>
      <c r="AH211" s="165"/>
      <c r="AI211" s="165"/>
      <c r="AJ211" s="165"/>
      <c r="AK211" s="165"/>
      <c r="AL211" s="165"/>
      <c r="AM211" s="165"/>
      <c r="AN211" s="165"/>
      <c r="AO211" s="165"/>
      <c r="AP211" s="165"/>
      <c r="AQ211" s="165"/>
      <c r="AR211" s="165"/>
      <c r="AS211" s="165"/>
      <c r="AT211" s="165">
        <f t="shared" si="381"/>
        <v>4855000</v>
      </c>
      <c r="AU211" s="168">
        <f t="shared" si="423"/>
        <v>19.420000000000002</v>
      </c>
      <c r="AV211" s="169">
        <f t="shared" si="382"/>
        <v>20145000</v>
      </c>
      <c r="AW211" s="168">
        <f t="shared" si="383"/>
        <v>80.58</v>
      </c>
      <c r="AX211" s="164" t="s">
        <v>542</v>
      </c>
      <c r="AY211" s="164" t="s">
        <v>543</v>
      </c>
      <c r="AZ211" s="164" t="s">
        <v>3921</v>
      </c>
      <c r="BA211" s="165"/>
      <c r="BB211" s="165"/>
      <c r="BC211" s="165"/>
      <c r="BD211" s="165"/>
      <c r="BE211" s="165"/>
      <c r="BF211" s="165"/>
      <c r="BG211" s="165">
        <v>4855000</v>
      </c>
      <c r="BH211" s="165"/>
    </row>
    <row r="212" spans="2:60" x14ac:dyDescent="0.25">
      <c r="B212" s="228">
        <v>522151</v>
      </c>
      <c r="C212" s="164" t="s">
        <v>11</v>
      </c>
      <c r="D212" s="164"/>
      <c r="E212" s="164"/>
      <c r="F212" s="165">
        <v>15000000</v>
      </c>
      <c r="G212" s="165">
        <v>15000000</v>
      </c>
      <c r="H212" s="165"/>
      <c r="I212" s="165">
        <f t="shared" si="435"/>
        <v>0</v>
      </c>
      <c r="J212" s="165"/>
      <c r="K212" s="165"/>
      <c r="L212" s="165"/>
      <c r="M212" s="165"/>
      <c r="N212" s="165"/>
      <c r="O212" s="165"/>
      <c r="P212" s="165"/>
      <c r="Q212" s="165"/>
      <c r="R212" s="165"/>
      <c r="S212" s="165"/>
      <c r="T212" s="165"/>
      <c r="U212" s="165"/>
      <c r="V212" s="165"/>
      <c r="W212" s="165"/>
      <c r="X212" s="165"/>
      <c r="Y212" s="165"/>
      <c r="Z212" s="165"/>
      <c r="AA212" s="165"/>
      <c r="AB212" s="165"/>
      <c r="AC212" s="165"/>
      <c r="AD212" s="165"/>
      <c r="AE212" s="165"/>
      <c r="AF212" s="165"/>
      <c r="AG212" s="165"/>
      <c r="AH212" s="165"/>
      <c r="AI212" s="165"/>
      <c r="AJ212" s="165"/>
      <c r="AK212" s="165"/>
      <c r="AL212" s="165"/>
      <c r="AM212" s="165"/>
      <c r="AN212" s="165"/>
      <c r="AO212" s="165"/>
      <c r="AP212" s="165"/>
      <c r="AQ212" s="165"/>
      <c r="AR212" s="165"/>
      <c r="AS212" s="165"/>
      <c r="AT212" s="165">
        <f t="shared" si="381"/>
        <v>0</v>
      </c>
      <c r="AU212" s="168">
        <f t="shared" si="423"/>
        <v>0</v>
      </c>
      <c r="AV212" s="169">
        <f t="shared" si="382"/>
        <v>15000000</v>
      </c>
      <c r="AW212" s="168">
        <f t="shared" si="383"/>
        <v>100</v>
      </c>
      <c r="AX212" s="164" t="s">
        <v>542</v>
      </c>
      <c r="AY212" s="164" t="s">
        <v>543</v>
      </c>
      <c r="AZ212" s="164" t="s">
        <v>3921</v>
      </c>
      <c r="BA212" s="165"/>
      <c r="BB212" s="165"/>
      <c r="BC212" s="165"/>
      <c r="BD212" s="165"/>
      <c r="BE212" s="165"/>
      <c r="BF212" s="165"/>
      <c r="BG212" s="165"/>
      <c r="BH212" s="165"/>
    </row>
    <row r="213" spans="2:60" x14ac:dyDescent="0.25">
      <c r="B213" s="228">
        <v>522191</v>
      </c>
      <c r="C213" s="164" t="s">
        <v>22</v>
      </c>
      <c r="D213" s="164"/>
      <c r="E213" s="164"/>
      <c r="F213" s="165">
        <v>102600000</v>
      </c>
      <c r="G213" s="165">
        <v>102600000</v>
      </c>
      <c r="H213" s="165"/>
      <c r="I213" s="165">
        <f t="shared" si="435"/>
        <v>0</v>
      </c>
      <c r="J213" s="165"/>
      <c r="K213" s="165"/>
      <c r="L213" s="165"/>
      <c r="M213" s="165"/>
      <c r="N213" s="165"/>
      <c r="O213" s="165"/>
      <c r="P213" s="165"/>
      <c r="Q213" s="165"/>
      <c r="R213" s="165"/>
      <c r="S213" s="165"/>
      <c r="T213" s="165"/>
      <c r="U213" s="165"/>
      <c r="V213" s="165"/>
      <c r="W213" s="165"/>
      <c r="X213" s="165"/>
      <c r="Y213" s="165"/>
      <c r="Z213" s="165"/>
      <c r="AA213" s="165"/>
      <c r="AB213" s="165"/>
      <c r="AC213" s="165"/>
      <c r="AD213" s="165"/>
      <c r="AE213" s="165"/>
      <c r="AF213" s="165"/>
      <c r="AG213" s="165"/>
      <c r="AH213" s="165"/>
      <c r="AI213" s="165"/>
      <c r="AJ213" s="165"/>
      <c r="AK213" s="165"/>
      <c r="AL213" s="165"/>
      <c r="AM213" s="165"/>
      <c r="AN213" s="165"/>
      <c r="AO213" s="165"/>
      <c r="AP213" s="165"/>
      <c r="AQ213" s="165"/>
      <c r="AR213" s="165"/>
      <c r="AS213" s="165"/>
      <c r="AT213" s="165">
        <f t="shared" si="381"/>
        <v>0</v>
      </c>
      <c r="AU213" s="168">
        <f t="shared" si="423"/>
        <v>0</v>
      </c>
      <c r="AV213" s="169">
        <f t="shared" si="382"/>
        <v>102600000</v>
      </c>
      <c r="AW213" s="168">
        <f t="shared" si="383"/>
        <v>100</v>
      </c>
      <c r="AX213" s="164" t="s">
        <v>542</v>
      </c>
      <c r="AY213" s="164" t="s">
        <v>543</v>
      </c>
      <c r="AZ213" s="164" t="s">
        <v>3921</v>
      </c>
      <c r="BA213" s="165"/>
      <c r="BB213" s="165"/>
      <c r="BC213" s="165"/>
      <c r="BD213" s="165"/>
      <c r="BE213" s="165"/>
      <c r="BF213" s="165"/>
      <c r="BG213" s="165"/>
      <c r="BH213" s="165"/>
    </row>
    <row r="214" spans="2:60" x14ac:dyDescent="0.25">
      <c r="B214" s="228">
        <v>524111</v>
      </c>
      <c r="C214" s="164" t="s">
        <v>19</v>
      </c>
      <c r="D214" s="164"/>
      <c r="E214" s="164"/>
      <c r="F214" s="165">
        <v>138000000</v>
      </c>
      <c r="G214" s="165">
        <v>138000000</v>
      </c>
      <c r="H214" s="165"/>
      <c r="I214" s="165">
        <f t="shared" si="435"/>
        <v>0</v>
      </c>
      <c r="J214" s="165"/>
      <c r="K214" s="165"/>
      <c r="L214" s="165"/>
      <c r="M214" s="165"/>
      <c r="N214" s="165"/>
      <c r="O214" s="165"/>
      <c r="P214" s="165"/>
      <c r="Q214" s="165"/>
      <c r="R214" s="165"/>
      <c r="S214" s="165">
        <v>5900000</v>
      </c>
      <c r="T214" s="165"/>
      <c r="U214" s="165"/>
      <c r="V214" s="165"/>
      <c r="W214" s="165"/>
      <c r="X214" s="165"/>
      <c r="Y214" s="165">
        <v>14635000</v>
      </c>
      <c r="Z214" s="165"/>
      <c r="AA214" s="165"/>
      <c r="AB214" s="165"/>
      <c r="AC214" s="165"/>
      <c r="AD214" s="165"/>
      <c r="AE214" s="165"/>
      <c r="AF214" s="165"/>
      <c r="AG214" s="165"/>
      <c r="AH214" s="165"/>
      <c r="AI214" s="165"/>
      <c r="AJ214" s="165"/>
      <c r="AK214" s="165"/>
      <c r="AL214" s="165"/>
      <c r="AM214" s="165"/>
      <c r="AN214" s="165"/>
      <c r="AO214" s="165"/>
      <c r="AP214" s="165"/>
      <c r="AQ214" s="165"/>
      <c r="AR214" s="165"/>
      <c r="AS214" s="165"/>
      <c r="AT214" s="165">
        <f t="shared" si="381"/>
        <v>20535000</v>
      </c>
      <c r="AU214" s="168">
        <f t="shared" si="423"/>
        <v>14.880434782608695</v>
      </c>
      <c r="AV214" s="169">
        <f t="shared" si="382"/>
        <v>117465000</v>
      </c>
      <c r="AW214" s="168">
        <f t="shared" si="383"/>
        <v>85.119565217391298</v>
      </c>
      <c r="AX214" s="164" t="s">
        <v>542</v>
      </c>
      <c r="AY214" s="164" t="s">
        <v>543</v>
      </c>
      <c r="AZ214" s="164" t="s">
        <v>3921</v>
      </c>
      <c r="BA214" s="165"/>
      <c r="BB214" s="165"/>
      <c r="BC214" s="165"/>
      <c r="BD214" s="165"/>
      <c r="BE214" s="165"/>
      <c r="BF214" s="165"/>
      <c r="BG214" s="165"/>
      <c r="BH214" s="165"/>
    </row>
    <row r="215" spans="2:60" x14ac:dyDescent="0.25">
      <c r="B215" s="230" t="s">
        <v>511</v>
      </c>
      <c r="C215" s="166" t="s">
        <v>191</v>
      </c>
      <c r="D215" s="166"/>
      <c r="E215" s="166"/>
      <c r="F215" s="167">
        <f t="shared" ref="F215:AS215" si="436">SUM(F216:F220)</f>
        <v>4085695000</v>
      </c>
      <c r="G215" s="167">
        <f t="shared" ref="G215:H215" si="437">SUM(G216:G220)</f>
        <v>6555695000</v>
      </c>
      <c r="H215" s="167">
        <f t="shared" si="437"/>
        <v>0</v>
      </c>
      <c r="I215" s="167">
        <f t="shared" ref="I215" si="438">SUM(I216:I220)</f>
        <v>2470000000</v>
      </c>
      <c r="J215" s="167">
        <f t="shared" si="436"/>
        <v>0</v>
      </c>
      <c r="K215" s="167">
        <f t="shared" si="436"/>
        <v>0</v>
      </c>
      <c r="L215" s="167">
        <f t="shared" si="436"/>
        <v>0</v>
      </c>
      <c r="M215" s="167">
        <f t="shared" si="436"/>
        <v>0</v>
      </c>
      <c r="N215" s="167">
        <f t="shared" si="436"/>
        <v>0</v>
      </c>
      <c r="O215" s="167">
        <f t="shared" si="436"/>
        <v>0</v>
      </c>
      <c r="P215" s="167">
        <f t="shared" si="436"/>
        <v>0</v>
      </c>
      <c r="Q215" s="167">
        <f t="shared" si="436"/>
        <v>0</v>
      </c>
      <c r="R215" s="167">
        <f t="shared" si="436"/>
        <v>0</v>
      </c>
      <c r="S215" s="167">
        <f t="shared" si="436"/>
        <v>1549795356</v>
      </c>
      <c r="T215" s="167">
        <f t="shared" si="436"/>
        <v>0</v>
      </c>
      <c r="U215" s="167">
        <f t="shared" si="436"/>
        <v>0</v>
      </c>
      <c r="V215" s="167">
        <f t="shared" si="436"/>
        <v>0</v>
      </c>
      <c r="W215" s="167">
        <f t="shared" si="436"/>
        <v>0</v>
      </c>
      <c r="X215" s="167">
        <f t="shared" si="436"/>
        <v>25231633</v>
      </c>
      <c r="Y215" s="167">
        <f t="shared" si="436"/>
        <v>1865601423</v>
      </c>
      <c r="Z215" s="167">
        <f t="shared" si="436"/>
        <v>0</v>
      </c>
      <c r="AA215" s="167">
        <f t="shared" si="436"/>
        <v>2889500</v>
      </c>
      <c r="AB215" s="167">
        <f t="shared" si="436"/>
        <v>0</v>
      </c>
      <c r="AC215" s="167">
        <f t="shared" si="436"/>
        <v>0</v>
      </c>
      <c r="AD215" s="167">
        <f t="shared" si="436"/>
        <v>0</v>
      </c>
      <c r="AE215" s="167">
        <f t="shared" si="436"/>
        <v>0</v>
      </c>
      <c r="AF215" s="167">
        <f t="shared" si="436"/>
        <v>0</v>
      </c>
      <c r="AG215" s="167">
        <f t="shared" si="436"/>
        <v>0</v>
      </c>
      <c r="AH215" s="167">
        <f t="shared" si="436"/>
        <v>0</v>
      </c>
      <c r="AI215" s="167">
        <f t="shared" si="436"/>
        <v>0</v>
      </c>
      <c r="AJ215" s="167">
        <f t="shared" si="436"/>
        <v>0</v>
      </c>
      <c r="AK215" s="167">
        <f t="shared" si="436"/>
        <v>0</v>
      </c>
      <c r="AL215" s="167">
        <f t="shared" si="436"/>
        <v>0</v>
      </c>
      <c r="AM215" s="167">
        <f t="shared" si="436"/>
        <v>0</v>
      </c>
      <c r="AN215" s="167">
        <f t="shared" si="436"/>
        <v>0</v>
      </c>
      <c r="AO215" s="167">
        <f t="shared" si="436"/>
        <v>0</v>
      </c>
      <c r="AP215" s="167">
        <f t="shared" si="436"/>
        <v>0</v>
      </c>
      <c r="AQ215" s="167">
        <f t="shared" si="436"/>
        <v>0</v>
      </c>
      <c r="AR215" s="167">
        <f t="shared" si="436"/>
        <v>0</v>
      </c>
      <c r="AS215" s="167">
        <f t="shared" si="436"/>
        <v>0</v>
      </c>
      <c r="AT215" s="167">
        <f t="shared" si="381"/>
        <v>3443517912</v>
      </c>
      <c r="AU215" s="175">
        <f t="shared" si="423"/>
        <v>84.282304773116934</v>
      </c>
      <c r="AV215" s="176">
        <f t="shared" si="382"/>
        <v>642177088</v>
      </c>
      <c r="AW215" s="175">
        <f t="shared" si="383"/>
        <v>15.717695226883063</v>
      </c>
      <c r="AX215" s="164" t="s">
        <v>542</v>
      </c>
      <c r="AY215" s="164" t="s">
        <v>543</v>
      </c>
      <c r="AZ215" s="164" t="s">
        <v>3921</v>
      </c>
      <c r="BA215" s="167">
        <f t="shared" ref="BA215:BD215" si="439">SUM(BA216:BA220)</f>
        <v>0</v>
      </c>
      <c r="BB215" s="167">
        <f t="shared" si="439"/>
        <v>0</v>
      </c>
      <c r="BC215" s="167">
        <f t="shared" si="439"/>
        <v>0</v>
      </c>
      <c r="BD215" s="167">
        <f t="shared" si="439"/>
        <v>0</v>
      </c>
      <c r="BE215" s="167">
        <f t="shared" ref="BE215" si="440">SUM(BE216:BE220)</f>
        <v>0</v>
      </c>
      <c r="BF215" s="167">
        <f t="shared" ref="BF215:BG215" si="441">SUM(BF216:BF220)</f>
        <v>0</v>
      </c>
      <c r="BG215" s="167">
        <f t="shared" si="441"/>
        <v>25231633</v>
      </c>
      <c r="BH215" s="167">
        <f t="shared" ref="BH215" si="442">SUM(BH216:BH220)</f>
        <v>2889500</v>
      </c>
    </row>
    <row r="216" spans="2:60" x14ac:dyDescent="0.25">
      <c r="B216" s="228">
        <v>521211</v>
      </c>
      <c r="C216" s="164" t="s">
        <v>7</v>
      </c>
      <c r="D216" s="164"/>
      <c r="E216" s="164"/>
      <c r="F216" s="165">
        <v>25000000</v>
      </c>
      <c r="G216" s="165">
        <v>25000000</v>
      </c>
      <c r="H216" s="165"/>
      <c r="I216" s="165">
        <f t="shared" ref="I216:I220" si="443">G216-F216</f>
        <v>0</v>
      </c>
      <c r="J216" s="165"/>
      <c r="K216" s="165"/>
      <c r="L216" s="165"/>
      <c r="M216" s="165"/>
      <c r="N216" s="165"/>
      <c r="O216" s="165"/>
      <c r="P216" s="165"/>
      <c r="Q216" s="165"/>
      <c r="R216" s="165"/>
      <c r="S216" s="165"/>
      <c r="T216" s="165"/>
      <c r="U216" s="165"/>
      <c r="V216" s="165"/>
      <c r="W216" s="165"/>
      <c r="X216" s="165">
        <v>1475000</v>
      </c>
      <c r="Y216" s="165"/>
      <c r="Z216" s="165"/>
      <c r="AA216" s="165">
        <v>1442500</v>
      </c>
      <c r="AB216" s="165"/>
      <c r="AC216" s="165"/>
      <c r="AD216" s="165"/>
      <c r="AE216" s="165"/>
      <c r="AF216" s="165"/>
      <c r="AG216" s="165"/>
      <c r="AH216" s="165"/>
      <c r="AI216" s="165"/>
      <c r="AJ216" s="165"/>
      <c r="AK216" s="165"/>
      <c r="AL216" s="165"/>
      <c r="AM216" s="165"/>
      <c r="AN216" s="165"/>
      <c r="AO216" s="165"/>
      <c r="AP216" s="165"/>
      <c r="AQ216" s="165"/>
      <c r="AR216" s="165"/>
      <c r="AS216" s="165"/>
      <c r="AT216" s="165">
        <f t="shared" si="381"/>
        <v>2917500</v>
      </c>
      <c r="AU216" s="168">
        <f t="shared" si="423"/>
        <v>11.67</v>
      </c>
      <c r="AV216" s="169">
        <f t="shared" si="382"/>
        <v>22082500</v>
      </c>
      <c r="AW216" s="168">
        <f t="shared" si="383"/>
        <v>88.33</v>
      </c>
      <c r="AX216" s="164" t="s">
        <v>542</v>
      </c>
      <c r="AY216" s="164" t="s">
        <v>543</v>
      </c>
      <c r="AZ216" s="164" t="s">
        <v>3921</v>
      </c>
      <c r="BA216" s="165"/>
      <c r="BB216" s="165"/>
      <c r="BC216" s="165"/>
      <c r="BD216" s="165"/>
      <c r="BE216" s="165"/>
      <c r="BF216" s="165"/>
      <c r="BG216" s="165">
        <v>1475000</v>
      </c>
      <c r="BH216" s="165">
        <v>1442500</v>
      </c>
    </row>
    <row r="217" spans="2:60" x14ac:dyDescent="0.25">
      <c r="B217" s="228">
        <v>521219</v>
      </c>
      <c r="C217" s="164" t="s">
        <v>53</v>
      </c>
      <c r="D217" s="164"/>
      <c r="E217" s="164"/>
      <c r="F217" s="165">
        <v>3808695000</v>
      </c>
      <c r="G217" s="165">
        <v>6308695000</v>
      </c>
      <c r="H217" s="165"/>
      <c r="I217" s="165">
        <f t="shared" si="443"/>
        <v>2500000000</v>
      </c>
      <c r="J217" s="165"/>
      <c r="K217" s="165"/>
      <c r="L217" s="165"/>
      <c r="M217" s="165"/>
      <c r="N217" s="165"/>
      <c r="O217" s="165"/>
      <c r="P217" s="165"/>
      <c r="Q217" s="165"/>
      <c r="R217" s="165"/>
      <c r="S217" s="165">
        <f>830060208+5925000+5925000+577980144+112130004+11850000+5925000</f>
        <v>1549795356</v>
      </c>
      <c r="T217" s="165"/>
      <c r="U217" s="165"/>
      <c r="V217" s="165"/>
      <c r="W217" s="165"/>
      <c r="X217" s="165"/>
      <c r="Y217" s="165">
        <f>430825000+180000000+30000000+784200000+253750000+154545850+9950000</f>
        <v>1843270850</v>
      </c>
      <c r="Z217" s="165"/>
      <c r="AA217" s="165"/>
      <c r="AB217" s="165"/>
      <c r="AC217" s="165"/>
      <c r="AD217" s="165"/>
      <c r="AE217" s="165"/>
      <c r="AF217" s="165"/>
      <c r="AG217" s="165"/>
      <c r="AH217" s="165"/>
      <c r="AI217" s="165"/>
      <c r="AJ217" s="165"/>
      <c r="AK217" s="165"/>
      <c r="AL217" s="165"/>
      <c r="AM217" s="165"/>
      <c r="AN217" s="165"/>
      <c r="AO217" s="165"/>
      <c r="AP217" s="165"/>
      <c r="AQ217" s="165"/>
      <c r="AR217" s="165"/>
      <c r="AS217" s="165"/>
      <c r="AT217" s="165">
        <f t="shared" si="381"/>
        <v>3393066206</v>
      </c>
      <c r="AU217" s="168">
        <f t="shared" si="423"/>
        <v>89.087369978430928</v>
      </c>
      <c r="AV217" s="169">
        <f t="shared" si="382"/>
        <v>415628794</v>
      </c>
      <c r="AW217" s="168">
        <f t="shared" si="383"/>
        <v>10.912630021569068</v>
      </c>
      <c r="AX217" s="164" t="s">
        <v>542</v>
      </c>
      <c r="AY217" s="164" t="s">
        <v>543</v>
      </c>
      <c r="AZ217" s="164" t="s">
        <v>3921</v>
      </c>
      <c r="BA217" s="165"/>
      <c r="BB217" s="165"/>
      <c r="BC217" s="165"/>
      <c r="BD217" s="165"/>
      <c r="BE217" s="165"/>
      <c r="BF217" s="165"/>
      <c r="BG217" s="165"/>
      <c r="BH217" s="165"/>
    </row>
    <row r="218" spans="2:60" x14ac:dyDescent="0.25">
      <c r="B218" s="228">
        <v>521811</v>
      </c>
      <c r="C218" s="164" t="s">
        <v>64</v>
      </c>
      <c r="D218" s="164"/>
      <c r="E218" s="164"/>
      <c r="F218" s="165">
        <v>30000000</v>
      </c>
      <c r="G218" s="165">
        <v>30000000</v>
      </c>
      <c r="H218" s="165"/>
      <c r="I218" s="165">
        <f t="shared" si="443"/>
        <v>0</v>
      </c>
      <c r="J218" s="165"/>
      <c r="K218" s="165"/>
      <c r="L218" s="165"/>
      <c r="M218" s="165"/>
      <c r="N218" s="165"/>
      <c r="O218" s="165"/>
      <c r="P218" s="165"/>
      <c r="Q218" s="165"/>
      <c r="R218" s="165"/>
      <c r="S218" s="165"/>
      <c r="T218" s="165"/>
      <c r="U218" s="165"/>
      <c r="V218" s="165"/>
      <c r="W218" s="165"/>
      <c r="X218" s="165">
        <v>3364000</v>
      </c>
      <c r="Y218" s="165"/>
      <c r="Z218" s="165"/>
      <c r="AA218" s="165">
        <v>1447000</v>
      </c>
      <c r="AB218" s="165"/>
      <c r="AC218" s="165"/>
      <c r="AD218" s="165"/>
      <c r="AE218" s="165"/>
      <c r="AF218" s="165"/>
      <c r="AG218" s="165"/>
      <c r="AH218" s="165"/>
      <c r="AI218" s="165"/>
      <c r="AJ218" s="165"/>
      <c r="AK218" s="165"/>
      <c r="AL218" s="165"/>
      <c r="AM218" s="165"/>
      <c r="AN218" s="165"/>
      <c r="AO218" s="165"/>
      <c r="AP218" s="165"/>
      <c r="AQ218" s="165"/>
      <c r="AR218" s="165"/>
      <c r="AS218" s="165"/>
      <c r="AT218" s="165">
        <f t="shared" si="381"/>
        <v>4811000</v>
      </c>
      <c r="AU218" s="168">
        <f t="shared" si="423"/>
        <v>16.036666666666665</v>
      </c>
      <c r="AV218" s="169">
        <f t="shared" si="382"/>
        <v>25189000</v>
      </c>
      <c r="AW218" s="168">
        <f t="shared" si="383"/>
        <v>83.963333333333338</v>
      </c>
      <c r="AX218" s="164" t="s">
        <v>542</v>
      </c>
      <c r="AY218" s="164" t="s">
        <v>543</v>
      </c>
      <c r="AZ218" s="164" t="s">
        <v>3921</v>
      </c>
      <c r="BA218" s="165"/>
      <c r="BB218" s="165"/>
      <c r="BC218" s="165"/>
      <c r="BD218" s="165"/>
      <c r="BE218" s="165"/>
      <c r="BF218" s="165"/>
      <c r="BG218" s="165">
        <v>3364000</v>
      </c>
      <c r="BH218" s="165">
        <v>1447000</v>
      </c>
    </row>
    <row r="219" spans="2:60" x14ac:dyDescent="0.25">
      <c r="B219" s="228">
        <v>522151</v>
      </c>
      <c r="C219" s="164" t="s">
        <v>11</v>
      </c>
      <c r="D219" s="164"/>
      <c r="E219" s="164"/>
      <c r="F219" s="165">
        <v>6000000</v>
      </c>
      <c r="G219" s="165">
        <v>6000000</v>
      </c>
      <c r="H219" s="165"/>
      <c r="I219" s="165">
        <f t="shared" si="443"/>
        <v>0</v>
      </c>
      <c r="J219" s="165"/>
      <c r="K219" s="165"/>
      <c r="L219" s="165"/>
      <c r="M219" s="165"/>
      <c r="N219" s="165"/>
      <c r="O219" s="165"/>
      <c r="P219" s="165"/>
      <c r="Q219" s="165"/>
      <c r="R219" s="165"/>
      <c r="S219" s="165"/>
      <c r="T219" s="165"/>
      <c r="U219" s="165"/>
      <c r="V219" s="165"/>
      <c r="W219" s="165"/>
      <c r="X219" s="165"/>
      <c r="Y219" s="165"/>
      <c r="Z219" s="165"/>
      <c r="AA219" s="165"/>
      <c r="AB219" s="165"/>
      <c r="AC219" s="165"/>
      <c r="AD219" s="165"/>
      <c r="AE219" s="165"/>
      <c r="AF219" s="165"/>
      <c r="AG219" s="165"/>
      <c r="AH219" s="165"/>
      <c r="AI219" s="165"/>
      <c r="AJ219" s="165"/>
      <c r="AK219" s="165"/>
      <c r="AL219" s="165"/>
      <c r="AM219" s="165"/>
      <c r="AN219" s="165"/>
      <c r="AO219" s="165"/>
      <c r="AP219" s="165"/>
      <c r="AQ219" s="165"/>
      <c r="AR219" s="165"/>
      <c r="AS219" s="165"/>
      <c r="AT219" s="165">
        <f t="shared" si="381"/>
        <v>0</v>
      </c>
      <c r="AU219" s="168">
        <f t="shared" si="423"/>
        <v>0</v>
      </c>
      <c r="AV219" s="169">
        <f t="shared" si="382"/>
        <v>6000000</v>
      </c>
      <c r="AW219" s="168">
        <f t="shared" si="383"/>
        <v>100</v>
      </c>
      <c r="AX219" s="164" t="s">
        <v>542</v>
      </c>
      <c r="AY219" s="164" t="s">
        <v>543</v>
      </c>
      <c r="AZ219" s="164" t="s">
        <v>3921</v>
      </c>
      <c r="BA219" s="165"/>
      <c r="BB219" s="165"/>
      <c r="BC219" s="165"/>
      <c r="BD219" s="165"/>
      <c r="BE219" s="165"/>
      <c r="BF219" s="165"/>
      <c r="BG219" s="165"/>
      <c r="BH219" s="165"/>
    </row>
    <row r="220" spans="2:60" x14ac:dyDescent="0.25">
      <c r="B220" s="228">
        <v>524111</v>
      </c>
      <c r="C220" s="164" t="s">
        <v>19</v>
      </c>
      <c r="D220" s="164"/>
      <c r="E220" s="164"/>
      <c r="F220" s="165">
        <v>216000000</v>
      </c>
      <c r="G220" s="165">
        <v>186000000</v>
      </c>
      <c r="H220" s="165"/>
      <c r="I220" s="165">
        <f t="shared" si="443"/>
        <v>-30000000</v>
      </c>
      <c r="J220" s="165"/>
      <c r="K220" s="165"/>
      <c r="L220" s="165"/>
      <c r="M220" s="165"/>
      <c r="N220" s="165"/>
      <c r="O220" s="165"/>
      <c r="P220" s="165"/>
      <c r="Q220" s="165"/>
      <c r="R220" s="165"/>
      <c r="S220" s="165"/>
      <c r="T220" s="165"/>
      <c r="U220" s="165"/>
      <c r="V220" s="165"/>
      <c r="W220" s="165"/>
      <c r="X220" s="165">
        <v>20392633</v>
      </c>
      <c r="Y220" s="165">
        <f>6450000+15880573</f>
        <v>22330573</v>
      </c>
      <c r="Z220" s="165"/>
      <c r="AA220" s="165"/>
      <c r="AB220" s="165"/>
      <c r="AC220" s="165"/>
      <c r="AD220" s="165"/>
      <c r="AE220" s="165"/>
      <c r="AF220" s="165"/>
      <c r="AG220" s="165"/>
      <c r="AH220" s="165"/>
      <c r="AI220" s="165"/>
      <c r="AJ220" s="165"/>
      <c r="AK220" s="165"/>
      <c r="AL220" s="165"/>
      <c r="AM220" s="165"/>
      <c r="AN220" s="165"/>
      <c r="AO220" s="165"/>
      <c r="AP220" s="165"/>
      <c r="AQ220" s="165"/>
      <c r="AR220" s="165"/>
      <c r="AS220" s="165"/>
      <c r="AT220" s="165">
        <f t="shared" si="381"/>
        <v>42723206</v>
      </c>
      <c r="AU220" s="168">
        <f t="shared" si="423"/>
        <v>19.779262037037036</v>
      </c>
      <c r="AV220" s="169">
        <f t="shared" si="382"/>
        <v>173276794</v>
      </c>
      <c r="AW220" s="168">
        <f t="shared" si="383"/>
        <v>80.220737962962957</v>
      </c>
      <c r="AX220" s="164" t="s">
        <v>542</v>
      </c>
      <c r="AY220" s="164" t="s">
        <v>543</v>
      </c>
      <c r="AZ220" s="164" t="s">
        <v>3921</v>
      </c>
      <c r="BA220" s="165"/>
      <c r="BB220" s="165"/>
      <c r="BC220" s="165"/>
      <c r="BD220" s="165"/>
      <c r="BE220" s="165"/>
      <c r="BF220" s="165"/>
      <c r="BG220" s="165">
        <v>20392633</v>
      </c>
      <c r="BH220" s="165"/>
    </row>
    <row r="221" spans="2:60" x14ac:dyDescent="0.25">
      <c r="B221" s="230" t="s">
        <v>512</v>
      </c>
      <c r="C221" s="166" t="s">
        <v>192</v>
      </c>
      <c r="D221" s="166"/>
      <c r="E221" s="166"/>
      <c r="F221" s="167">
        <f t="shared" ref="F221:AS221" si="444">SUM(F222:F224)</f>
        <v>174041000</v>
      </c>
      <c r="G221" s="167">
        <f t="shared" ref="G221:H221" si="445">SUM(G222:G224)</f>
        <v>174041000</v>
      </c>
      <c r="H221" s="167">
        <f t="shared" si="445"/>
        <v>0</v>
      </c>
      <c r="I221" s="167">
        <f t="shared" ref="I221" si="446">SUM(I222:I224)</f>
        <v>0</v>
      </c>
      <c r="J221" s="167">
        <f t="shared" si="444"/>
        <v>0</v>
      </c>
      <c r="K221" s="167">
        <f t="shared" si="444"/>
        <v>0</v>
      </c>
      <c r="L221" s="167">
        <f t="shared" si="444"/>
        <v>0</v>
      </c>
      <c r="M221" s="167">
        <f t="shared" si="444"/>
        <v>0</v>
      </c>
      <c r="N221" s="167">
        <f t="shared" si="444"/>
        <v>0</v>
      </c>
      <c r="O221" s="167">
        <f t="shared" si="444"/>
        <v>0</v>
      </c>
      <c r="P221" s="167">
        <f t="shared" si="444"/>
        <v>0</v>
      </c>
      <c r="Q221" s="167">
        <f t="shared" si="444"/>
        <v>0</v>
      </c>
      <c r="R221" s="167">
        <f t="shared" si="444"/>
        <v>0</v>
      </c>
      <c r="S221" s="167">
        <f t="shared" si="444"/>
        <v>0</v>
      </c>
      <c r="T221" s="167">
        <f t="shared" si="444"/>
        <v>0</v>
      </c>
      <c r="U221" s="167">
        <f t="shared" si="444"/>
        <v>0</v>
      </c>
      <c r="V221" s="167">
        <f t="shared" si="444"/>
        <v>0</v>
      </c>
      <c r="W221" s="167">
        <f t="shared" si="444"/>
        <v>0</v>
      </c>
      <c r="X221" s="167">
        <f t="shared" si="444"/>
        <v>0</v>
      </c>
      <c r="Y221" s="167">
        <f t="shared" si="444"/>
        <v>0</v>
      </c>
      <c r="Z221" s="167">
        <f t="shared" si="444"/>
        <v>0</v>
      </c>
      <c r="AA221" s="167">
        <f t="shared" si="444"/>
        <v>0</v>
      </c>
      <c r="AB221" s="167">
        <f t="shared" si="444"/>
        <v>0</v>
      </c>
      <c r="AC221" s="167">
        <f t="shared" si="444"/>
        <v>0</v>
      </c>
      <c r="AD221" s="167">
        <f t="shared" si="444"/>
        <v>0</v>
      </c>
      <c r="AE221" s="167">
        <f t="shared" si="444"/>
        <v>0</v>
      </c>
      <c r="AF221" s="167">
        <f t="shared" si="444"/>
        <v>0</v>
      </c>
      <c r="AG221" s="167">
        <f t="shared" si="444"/>
        <v>0</v>
      </c>
      <c r="AH221" s="167">
        <f t="shared" si="444"/>
        <v>0</v>
      </c>
      <c r="AI221" s="167">
        <f t="shared" si="444"/>
        <v>0</v>
      </c>
      <c r="AJ221" s="167">
        <f t="shared" si="444"/>
        <v>0</v>
      </c>
      <c r="AK221" s="167">
        <f t="shared" si="444"/>
        <v>0</v>
      </c>
      <c r="AL221" s="167">
        <f t="shared" si="444"/>
        <v>0</v>
      </c>
      <c r="AM221" s="167">
        <f t="shared" si="444"/>
        <v>0</v>
      </c>
      <c r="AN221" s="167">
        <f t="shared" si="444"/>
        <v>0</v>
      </c>
      <c r="AO221" s="167">
        <f t="shared" si="444"/>
        <v>0</v>
      </c>
      <c r="AP221" s="167">
        <f t="shared" si="444"/>
        <v>0</v>
      </c>
      <c r="AQ221" s="167">
        <f t="shared" si="444"/>
        <v>0</v>
      </c>
      <c r="AR221" s="167">
        <f t="shared" si="444"/>
        <v>0</v>
      </c>
      <c r="AS221" s="167">
        <f t="shared" si="444"/>
        <v>0</v>
      </c>
      <c r="AT221" s="167">
        <f t="shared" si="381"/>
        <v>0</v>
      </c>
      <c r="AU221" s="175">
        <f t="shared" si="423"/>
        <v>0</v>
      </c>
      <c r="AV221" s="176">
        <f t="shared" si="382"/>
        <v>174041000</v>
      </c>
      <c r="AW221" s="175">
        <f t="shared" si="383"/>
        <v>100</v>
      </c>
      <c r="AX221" s="164" t="s">
        <v>542</v>
      </c>
      <c r="AY221" s="164" t="s">
        <v>543</v>
      </c>
      <c r="AZ221" s="164" t="s">
        <v>3921</v>
      </c>
      <c r="BA221" s="167">
        <f t="shared" ref="BA221:BD221" si="447">SUM(BA222:BA224)</f>
        <v>0</v>
      </c>
      <c r="BB221" s="167">
        <f t="shared" si="447"/>
        <v>0</v>
      </c>
      <c r="BC221" s="167">
        <f t="shared" si="447"/>
        <v>0</v>
      </c>
      <c r="BD221" s="167">
        <f t="shared" si="447"/>
        <v>0</v>
      </c>
      <c r="BE221" s="167">
        <f t="shared" ref="BE221" si="448">SUM(BE222:BE224)</f>
        <v>0</v>
      </c>
      <c r="BF221" s="167">
        <f t="shared" ref="BF221:BG221" si="449">SUM(BF222:BF224)</f>
        <v>0</v>
      </c>
      <c r="BG221" s="167">
        <f t="shared" si="449"/>
        <v>0</v>
      </c>
      <c r="BH221" s="167">
        <f t="shared" ref="BH221" si="450">SUM(BH222:BH224)</f>
        <v>0</v>
      </c>
    </row>
    <row r="222" spans="2:60" x14ac:dyDescent="0.25">
      <c r="B222" s="228">
        <v>521211</v>
      </c>
      <c r="C222" s="164" t="s">
        <v>7</v>
      </c>
      <c r="D222" s="164"/>
      <c r="E222" s="164"/>
      <c r="F222" s="165">
        <v>12000000</v>
      </c>
      <c r="G222" s="165">
        <v>12000000</v>
      </c>
      <c r="H222" s="165"/>
      <c r="I222" s="165">
        <f t="shared" ref="I222:I224" si="451">G222-F222</f>
        <v>0</v>
      </c>
      <c r="J222" s="165"/>
      <c r="K222" s="165"/>
      <c r="L222" s="165"/>
      <c r="M222" s="165"/>
      <c r="N222" s="165"/>
      <c r="O222" s="165"/>
      <c r="P222" s="165"/>
      <c r="Q222" s="165"/>
      <c r="R222" s="165"/>
      <c r="S222" s="165"/>
      <c r="T222" s="165"/>
      <c r="U222" s="165"/>
      <c r="V222" s="165"/>
      <c r="W222" s="165"/>
      <c r="X222" s="165"/>
      <c r="Y222" s="165"/>
      <c r="Z222" s="165"/>
      <c r="AA222" s="165"/>
      <c r="AB222" s="165"/>
      <c r="AC222" s="165"/>
      <c r="AD222" s="165"/>
      <c r="AE222" s="165"/>
      <c r="AF222" s="165"/>
      <c r="AG222" s="165"/>
      <c r="AH222" s="165"/>
      <c r="AI222" s="165"/>
      <c r="AJ222" s="165"/>
      <c r="AK222" s="165"/>
      <c r="AL222" s="165"/>
      <c r="AM222" s="165"/>
      <c r="AN222" s="165"/>
      <c r="AO222" s="165"/>
      <c r="AP222" s="165"/>
      <c r="AQ222" s="165"/>
      <c r="AR222" s="165"/>
      <c r="AS222" s="165"/>
      <c r="AT222" s="165">
        <f t="shared" si="381"/>
        <v>0</v>
      </c>
      <c r="AU222" s="168">
        <f t="shared" si="423"/>
        <v>0</v>
      </c>
      <c r="AV222" s="169">
        <f t="shared" si="382"/>
        <v>12000000</v>
      </c>
      <c r="AW222" s="168">
        <f t="shared" si="383"/>
        <v>100</v>
      </c>
      <c r="AX222" s="164" t="s">
        <v>542</v>
      </c>
      <c r="AY222" s="164" t="s">
        <v>543</v>
      </c>
      <c r="AZ222" s="164" t="s">
        <v>3921</v>
      </c>
      <c r="BA222" s="165"/>
      <c r="BB222" s="165"/>
      <c r="BC222" s="165"/>
      <c r="BD222" s="165"/>
      <c r="BE222" s="165"/>
      <c r="BF222" s="165"/>
      <c r="BG222" s="165"/>
      <c r="BH222" s="165"/>
    </row>
    <row r="223" spans="2:60" x14ac:dyDescent="0.25">
      <c r="B223" s="228">
        <v>521219</v>
      </c>
      <c r="C223" s="164" t="s">
        <v>53</v>
      </c>
      <c r="D223" s="164"/>
      <c r="E223" s="164"/>
      <c r="F223" s="165">
        <v>20000000</v>
      </c>
      <c r="G223" s="165">
        <v>20000000</v>
      </c>
      <c r="H223" s="165"/>
      <c r="I223" s="165">
        <f t="shared" si="451"/>
        <v>0</v>
      </c>
      <c r="J223" s="165"/>
      <c r="K223" s="165"/>
      <c r="L223" s="165"/>
      <c r="M223" s="165"/>
      <c r="N223" s="165"/>
      <c r="O223" s="165"/>
      <c r="P223" s="165"/>
      <c r="Q223" s="165"/>
      <c r="R223" s="165"/>
      <c r="S223" s="165"/>
      <c r="T223" s="165"/>
      <c r="U223" s="165"/>
      <c r="V223" s="165"/>
      <c r="W223" s="165"/>
      <c r="X223" s="165"/>
      <c r="Y223" s="165"/>
      <c r="Z223" s="165"/>
      <c r="AA223" s="165"/>
      <c r="AB223" s="165"/>
      <c r="AC223" s="165"/>
      <c r="AD223" s="165"/>
      <c r="AE223" s="165"/>
      <c r="AF223" s="165"/>
      <c r="AG223" s="165"/>
      <c r="AH223" s="165"/>
      <c r="AI223" s="165"/>
      <c r="AJ223" s="165"/>
      <c r="AK223" s="165"/>
      <c r="AL223" s="165"/>
      <c r="AM223" s="165"/>
      <c r="AN223" s="165"/>
      <c r="AO223" s="165"/>
      <c r="AP223" s="165"/>
      <c r="AQ223" s="165"/>
      <c r="AR223" s="165"/>
      <c r="AS223" s="165"/>
      <c r="AT223" s="165">
        <f t="shared" si="381"/>
        <v>0</v>
      </c>
      <c r="AU223" s="168">
        <f t="shared" si="423"/>
        <v>0</v>
      </c>
      <c r="AV223" s="169">
        <f t="shared" si="382"/>
        <v>20000000</v>
      </c>
      <c r="AW223" s="168">
        <f t="shared" si="383"/>
        <v>100</v>
      </c>
      <c r="AX223" s="164" t="s">
        <v>542</v>
      </c>
      <c r="AY223" s="164" t="s">
        <v>543</v>
      </c>
      <c r="AZ223" s="164" t="s">
        <v>3921</v>
      </c>
      <c r="BA223" s="165"/>
      <c r="BB223" s="165"/>
      <c r="BC223" s="165"/>
      <c r="BD223" s="165"/>
      <c r="BE223" s="165"/>
      <c r="BF223" s="165"/>
      <c r="BG223" s="165"/>
      <c r="BH223" s="165"/>
    </row>
    <row r="224" spans="2:60" x14ac:dyDescent="0.25">
      <c r="B224" s="228">
        <v>524211</v>
      </c>
      <c r="C224" s="164" t="s">
        <v>1151</v>
      </c>
      <c r="D224" s="164"/>
      <c r="E224" s="164"/>
      <c r="F224" s="165">
        <v>142041000</v>
      </c>
      <c r="G224" s="165">
        <v>142041000</v>
      </c>
      <c r="H224" s="165"/>
      <c r="I224" s="165">
        <f t="shared" si="451"/>
        <v>0</v>
      </c>
      <c r="J224" s="165"/>
      <c r="K224" s="165"/>
      <c r="L224" s="165"/>
      <c r="M224" s="165"/>
      <c r="N224" s="165"/>
      <c r="O224" s="165"/>
      <c r="P224" s="165"/>
      <c r="Q224" s="165"/>
      <c r="R224" s="165"/>
      <c r="S224" s="165"/>
      <c r="T224" s="165"/>
      <c r="U224" s="165"/>
      <c r="V224" s="165"/>
      <c r="W224" s="165"/>
      <c r="X224" s="165"/>
      <c r="Y224" s="165"/>
      <c r="Z224" s="165"/>
      <c r="AA224" s="165"/>
      <c r="AB224" s="165"/>
      <c r="AC224" s="165"/>
      <c r="AD224" s="165"/>
      <c r="AE224" s="165"/>
      <c r="AF224" s="165"/>
      <c r="AG224" s="165"/>
      <c r="AH224" s="165"/>
      <c r="AI224" s="165"/>
      <c r="AJ224" s="165"/>
      <c r="AK224" s="165"/>
      <c r="AL224" s="165"/>
      <c r="AM224" s="165"/>
      <c r="AN224" s="165"/>
      <c r="AO224" s="165"/>
      <c r="AP224" s="165"/>
      <c r="AQ224" s="165"/>
      <c r="AR224" s="165"/>
      <c r="AS224" s="165"/>
      <c r="AT224" s="165">
        <f t="shared" si="381"/>
        <v>0</v>
      </c>
      <c r="AU224" s="168">
        <f t="shared" si="423"/>
        <v>0</v>
      </c>
      <c r="AV224" s="169">
        <f t="shared" si="382"/>
        <v>142041000</v>
      </c>
      <c r="AW224" s="168">
        <f t="shared" si="383"/>
        <v>100</v>
      </c>
      <c r="AX224" s="164" t="s">
        <v>542</v>
      </c>
      <c r="AY224" s="164" t="s">
        <v>543</v>
      </c>
      <c r="AZ224" s="164" t="s">
        <v>3921</v>
      </c>
      <c r="BA224" s="165"/>
      <c r="BB224" s="165"/>
      <c r="BC224" s="165"/>
      <c r="BD224" s="165"/>
      <c r="BE224" s="165"/>
      <c r="BF224" s="165"/>
      <c r="BG224" s="165"/>
      <c r="BH224" s="165"/>
    </row>
    <row r="225" spans="2:60" x14ac:dyDescent="0.25">
      <c r="B225" s="230" t="s">
        <v>514</v>
      </c>
      <c r="C225" s="166" t="s">
        <v>3534</v>
      </c>
      <c r="D225" s="166"/>
      <c r="E225" s="166"/>
      <c r="F225" s="167">
        <f t="shared" ref="F225:AS225" si="452">SUM(F226)</f>
        <v>0</v>
      </c>
      <c r="G225" s="167">
        <f t="shared" si="452"/>
        <v>30000000</v>
      </c>
      <c r="H225" s="167">
        <f t="shared" si="452"/>
        <v>0</v>
      </c>
      <c r="I225" s="167">
        <f t="shared" si="452"/>
        <v>30000000</v>
      </c>
      <c r="J225" s="167">
        <f t="shared" si="452"/>
        <v>0</v>
      </c>
      <c r="K225" s="167">
        <f t="shared" si="452"/>
        <v>0</v>
      </c>
      <c r="L225" s="167">
        <f t="shared" si="452"/>
        <v>0</v>
      </c>
      <c r="M225" s="167">
        <f t="shared" si="452"/>
        <v>0</v>
      </c>
      <c r="N225" s="167">
        <f t="shared" si="452"/>
        <v>0</v>
      </c>
      <c r="O225" s="167">
        <f t="shared" si="452"/>
        <v>0</v>
      </c>
      <c r="P225" s="167">
        <f t="shared" si="452"/>
        <v>0</v>
      </c>
      <c r="Q225" s="167">
        <f t="shared" si="452"/>
        <v>0</v>
      </c>
      <c r="R225" s="167">
        <f t="shared" si="452"/>
        <v>0</v>
      </c>
      <c r="S225" s="167">
        <f t="shared" si="452"/>
        <v>0</v>
      </c>
      <c r="T225" s="167">
        <f t="shared" si="452"/>
        <v>0</v>
      </c>
      <c r="U225" s="167">
        <f t="shared" si="452"/>
        <v>0</v>
      </c>
      <c r="V225" s="167">
        <f t="shared" si="452"/>
        <v>0</v>
      </c>
      <c r="W225" s="167">
        <f t="shared" si="452"/>
        <v>0</v>
      </c>
      <c r="X225" s="167">
        <f t="shared" si="452"/>
        <v>0</v>
      </c>
      <c r="Y225" s="167">
        <f t="shared" si="452"/>
        <v>0</v>
      </c>
      <c r="Z225" s="167">
        <f t="shared" si="452"/>
        <v>0</v>
      </c>
      <c r="AA225" s="167">
        <f t="shared" si="452"/>
        <v>0</v>
      </c>
      <c r="AB225" s="167">
        <f t="shared" si="452"/>
        <v>0</v>
      </c>
      <c r="AC225" s="167">
        <f t="shared" si="452"/>
        <v>0</v>
      </c>
      <c r="AD225" s="167">
        <f t="shared" si="452"/>
        <v>0</v>
      </c>
      <c r="AE225" s="167">
        <f t="shared" si="452"/>
        <v>0</v>
      </c>
      <c r="AF225" s="167">
        <f t="shared" si="452"/>
        <v>0</v>
      </c>
      <c r="AG225" s="167">
        <f t="shared" si="452"/>
        <v>0</v>
      </c>
      <c r="AH225" s="167">
        <f t="shared" si="452"/>
        <v>0</v>
      </c>
      <c r="AI225" s="167">
        <f t="shared" si="452"/>
        <v>0</v>
      </c>
      <c r="AJ225" s="167">
        <f t="shared" si="452"/>
        <v>0</v>
      </c>
      <c r="AK225" s="167">
        <f t="shared" si="452"/>
        <v>0</v>
      </c>
      <c r="AL225" s="167">
        <f t="shared" si="452"/>
        <v>0</v>
      </c>
      <c r="AM225" s="167">
        <f t="shared" si="452"/>
        <v>0</v>
      </c>
      <c r="AN225" s="167">
        <f t="shared" si="452"/>
        <v>0</v>
      </c>
      <c r="AO225" s="167">
        <f t="shared" si="452"/>
        <v>0</v>
      </c>
      <c r="AP225" s="167">
        <f t="shared" si="452"/>
        <v>0</v>
      </c>
      <c r="AQ225" s="167">
        <f t="shared" si="452"/>
        <v>0</v>
      </c>
      <c r="AR225" s="167">
        <f t="shared" si="452"/>
        <v>0</v>
      </c>
      <c r="AS225" s="167">
        <f t="shared" si="452"/>
        <v>0</v>
      </c>
      <c r="AT225" s="167">
        <f t="shared" si="381"/>
        <v>0</v>
      </c>
      <c r="AU225" s="175">
        <f t="shared" si="423"/>
        <v>0</v>
      </c>
      <c r="AV225" s="176">
        <f t="shared" si="382"/>
        <v>0</v>
      </c>
      <c r="AW225" s="175" t="e">
        <f t="shared" si="383"/>
        <v>#DIV/0!</v>
      </c>
      <c r="AX225" s="164" t="s">
        <v>542</v>
      </c>
      <c r="AY225" s="164" t="s">
        <v>543</v>
      </c>
      <c r="AZ225" s="164" t="s">
        <v>3921</v>
      </c>
      <c r="BA225" s="167">
        <f t="shared" ref="BA225:BH225" si="453">SUM(BA226)</f>
        <v>0</v>
      </c>
      <c r="BB225" s="167">
        <f t="shared" si="453"/>
        <v>0</v>
      </c>
      <c r="BC225" s="167">
        <f t="shared" si="453"/>
        <v>0</v>
      </c>
      <c r="BD225" s="167">
        <f t="shared" si="453"/>
        <v>0</v>
      </c>
      <c r="BE225" s="167">
        <f t="shared" si="453"/>
        <v>0</v>
      </c>
      <c r="BF225" s="167">
        <f t="shared" si="453"/>
        <v>0</v>
      </c>
      <c r="BG225" s="167">
        <f t="shared" si="453"/>
        <v>0</v>
      </c>
      <c r="BH225" s="167">
        <f t="shared" si="453"/>
        <v>0</v>
      </c>
    </row>
    <row r="226" spans="2:60" x14ac:dyDescent="0.25">
      <c r="B226" s="228">
        <v>522192</v>
      </c>
      <c r="C226" s="164" t="s">
        <v>24</v>
      </c>
      <c r="D226" s="164"/>
      <c r="E226" s="164"/>
      <c r="F226" s="165">
        <v>0</v>
      </c>
      <c r="G226" s="165">
        <v>30000000</v>
      </c>
      <c r="H226" s="165"/>
      <c r="I226" s="165">
        <f t="shared" ref="I226" si="454">G226-F226</f>
        <v>30000000</v>
      </c>
      <c r="J226" s="165"/>
      <c r="K226" s="165"/>
      <c r="L226" s="165"/>
      <c r="M226" s="165"/>
      <c r="N226" s="165"/>
      <c r="O226" s="165"/>
      <c r="P226" s="165"/>
      <c r="Q226" s="165"/>
      <c r="R226" s="165"/>
      <c r="S226" s="165"/>
      <c r="T226" s="165"/>
      <c r="U226" s="165"/>
      <c r="V226" s="165"/>
      <c r="W226" s="165"/>
      <c r="X226" s="165"/>
      <c r="Y226" s="165"/>
      <c r="Z226" s="165"/>
      <c r="AA226" s="165"/>
      <c r="AB226" s="165"/>
      <c r="AC226" s="165"/>
      <c r="AD226" s="165"/>
      <c r="AE226" s="165"/>
      <c r="AF226" s="165"/>
      <c r="AG226" s="165"/>
      <c r="AH226" s="165"/>
      <c r="AI226" s="165"/>
      <c r="AJ226" s="165"/>
      <c r="AK226" s="165"/>
      <c r="AL226" s="165"/>
      <c r="AM226" s="165"/>
      <c r="AN226" s="165"/>
      <c r="AO226" s="165"/>
      <c r="AP226" s="165"/>
      <c r="AQ226" s="165"/>
      <c r="AR226" s="165"/>
      <c r="AS226" s="165"/>
      <c r="AT226" s="165">
        <f t="shared" si="381"/>
        <v>0</v>
      </c>
      <c r="AU226" s="168">
        <f t="shared" si="423"/>
        <v>0</v>
      </c>
      <c r="AV226" s="169">
        <f t="shared" si="382"/>
        <v>0</v>
      </c>
      <c r="AW226" s="168" t="e">
        <f t="shared" si="383"/>
        <v>#DIV/0!</v>
      </c>
      <c r="AX226" s="164" t="s">
        <v>542</v>
      </c>
      <c r="AY226" s="164" t="s">
        <v>543</v>
      </c>
      <c r="AZ226" s="164" t="s">
        <v>3921</v>
      </c>
      <c r="BA226" s="165"/>
      <c r="BB226" s="165"/>
      <c r="BC226" s="165"/>
      <c r="BD226" s="165"/>
      <c r="BE226" s="165"/>
      <c r="BF226" s="165"/>
      <c r="BG226" s="165"/>
      <c r="BH226" s="165"/>
    </row>
    <row r="227" spans="2:60" x14ac:dyDescent="0.25">
      <c r="B227" s="170">
        <v>302</v>
      </c>
      <c r="C227" s="171" t="s">
        <v>193</v>
      </c>
      <c r="D227" s="171"/>
      <c r="E227" s="171"/>
      <c r="F227" s="172">
        <f>F228</f>
        <v>109200000</v>
      </c>
      <c r="G227" s="172">
        <f>G228</f>
        <v>109200000</v>
      </c>
      <c r="H227" s="172">
        <f>H228</f>
        <v>0</v>
      </c>
      <c r="I227" s="172">
        <f>I228</f>
        <v>0</v>
      </c>
      <c r="J227" s="172">
        <f t="shared" ref="J227:AS227" si="455">J228</f>
        <v>0</v>
      </c>
      <c r="K227" s="172">
        <f t="shared" si="455"/>
        <v>0</v>
      </c>
      <c r="L227" s="172">
        <f t="shared" si="455"/>
        <v>0</v>
      </c>
      <c r="M227" s="172">
        <f t="shared" si="455"/>
        <v>0</v>
      </c>
      <c r="N227" s="172">
        <f t="shared" si="455"/>
        <v>0</v>
      </c>
      <c r="O227" s="172">
        <f t="shared" si="455"/>
        <v>0</v>
      </c>
      <c r="P227" s="172">
        <f t="shared" si="455"/>
        <v>0</v>
      </c>
      <c r="Q227" s="172">
        <f t="shared" si="455"/>
        <v>0</v>
      </c>
      <c r="R227" s="172">
        <f t="shared" si="455"/>
        <v>0</v>
      </c>
      <c r="S227" s="172">
        <f t="shared" si="455"/>
        <v>0</v>
      </c>
      <c r="T227" s="172">
        <f t="shared" si="455"/>
        <v>0</v>
      </c>
      <c r="U227" s="172">
        <f t="shared" si="455"/>
        <v>0</v>
      </c>
      <c r="V227" s="172">
        <f t="shared" si="455"/>
        <v>0</v>
      </c>
      <c r="W227" s="172">
        <f t="shared" si="455"/>
        <v>0</v>
      </c>
      <c r="X227" s="172">
        <f t="shared" si="455"/>
        <v>7806000</v>
      </c>
      <c r="Y227" s="172">
        <f t="shared" si="455"/>
        <v>0</v>
      </c>
      <c r="Z227" s="172">
        <f t="shared" si="455"/>
        <v>0</v>
      </c>
      <c r="AA227" s="172">
        <f t="shared" si="455"/>
        <v>0</v>
      </c>
      <c r="AB227" s="172">
        <f t="shared" si="455"/>
        <v>0</v>
      </c>
      <c r="AC227" s="172">
        <f t="shared" si="455"/>
        <v>0</v>
      </c>
      <c r="AD227" s="172">
        <f t="shared" si="455"/>
        <v>0</v>
      </c>
      <c r="AE227" s="172">
        <f t="shared" si="455"/>
        <v>0</v>
      </c>
      <c r="AF227" s="172">
        <f t="shared" si="455"/>
        <v>0</v>
      </c>
      <c r="AG227" s="172">
        <f t="shared" si="455"/>
        <v>0</v>
      </c>
      <c r="AH227" s="172">
        <f t="shared" si="455"/>
        <v>0</v>
      </c>
      <c r="AI227" s="172">
        <f t="shared" si="455"/>
        <v>0</v>
      </c>
      <c r="AJ227" s="172">
        <f t="shared" si="455"/>
        <v>0</v>
      </c>
      <c r="AK227" s="172">
        <f t="shared" si="455"/>
        <v>0</v>
      </c>
      <c r="AL227" s="172">
        <f t="shared" si="455"/>
        <v>0</v>
      </c>
      <c r="AM227" s="172">
        <f t="shared" si="455"/>
        <v>0</v>
      </c>
      <c r="AN227" s="172">
        <f t="shared" si="455"/>
        <v>0</v>
      </c>
      <c r="AO227" s="172">
        <f t="shared" si="455"/>
        <v>0</v>
      </c>
      <c r="AP227" s="172">
        <f t="shared" si="455"/>
        <v>0</v>
      </c>
      <c r="AQ227" s="172">
        <f t="shared" si="455"/>
        <v>0</v>
      </c>
      <c r="AR227" s="172">
        <f t="shared" si="455"/>
        <v>0</v>
      </c>
      <c r="AS227" s="172">
        <f t="shared" si="455"/>
        <v>0</v>
      </c>
      <c r="AT227" s="172">
        <f t="shared" si="381"/>
        <v>7806000</v>
      </c>
      <c r="AU227" s="173">
        <f t="shared" si="423"/>
        <v>7.1483516483516487</v>
      </c>
      <c r="AV227" s="174">
        <f t="shared" si="382"/>
        <v>101394000</v>
      </c>
      <c r="AW227" s="173">
        <f t="shared" si="383"/>
        <v>92.85164835164835</v>
      </c>
      <c r="AX227" s="164" t="s">
        <v>542</v>
      </c>
      <c r="AY227" s="164" t="s">
        <v>543</v>
      </c>
      <c r="AZ227" s="164" t="s">
        <v>3921</v>
      </c>
      <c r="BA227" s="172">
        <f t="shared" ref="BA227:BH227" si="456">BA228</f>
        <v>0</v>
      </c>
      <c r="BB227" s="172">
        <f t="shared" si="456"/>
        <v>0</v>
      </c>
      <c r="BC227" s="172">
        <f t="shared" si="456"/>
        <v>0</v>
      </c>
      <c r="BD227" s="172">
        <f t="shared" si="456"/>
        <v>0</v>
      </c>
      <c r="BE227" s="172">
        <f t="shared" si="456"/>
        <v>0</v>
      </c>
      <c r="BF227" s="172">
        <f t="shared" si="456"/>
        <v>0</v>
      </c>
      <c r="BG227" s="172">
        <f t="shared" si="456"/>
        <v>7806000</v>
      </c>
      <c r="BH227" s="172">
        <f t="shared" si="456"/>
        <v>0</v>
      </c>
    </row>
    <row r="228" spans="2:60" x14ac:dyDescent="0.25">
      <c r="B228" s="230" t="s">
        <v>8</v>
      </c>
      <c r="C228" s="166" t="s">
        <v>193</v>
      </c>
      <c r="D228" s="166"/>
      <c r="E228" s="166"/>
      <c r="F228" s="167">
        <f>SUM(F229:F231)</f>
        <v>109200000</v>
      </c>
      <c r="G228" s="167">
        <f>SUM(G229:G231)</f>
        <v>109200000</v>
      </c>
      <c r="H228" s="167">
        <f>SUM(H229:H231)</f>
        <v>0</v>
      </c>
      <c r="I228" s="167">
        <f>SUM(I229:I231)</f>
        <v>0</v>
      </c>
      <c r="J228" s="167">
        <f t="shared" ref="J228:AS228" si="457">SUM(J229:J231)</f>
        <v>0</v>
      </c>
      <c r="K228" s="167">
        <f t="shared" si="457"/>
        <v>0</v>
      </c>
      <c r="L228" s="167">
        <f t="shared" si="457"/>
        <v>0</v>
      </c>
      <c r="M228" s="167">
        <f t="shared" si="457"/>
        <v>0</v>
      </c>
      <c r="N228" s="167">
        <f t="shared" si="457"/>
        <v>0</v>
      </c>
      <c r="O228" s="167">
        <f t="shared" si="457"/>
        <v>0</v>
      </c>
      <c r="P228" s="167">
        <f t="shared" si="457"/>
        <v>0</v>
      </c>
      <c r="Q228" s="167">
        <f t="shared" si="457"/>
        <v>0</v>
      </c>
      <c r="R228" s="167">
        <f t="shared" si="457"/>
        <v>0</v>
      </c>
      <c r="S228" s="167">
        <f t="shared" si="457"/>
        <v>0</v>
      </c>
      <c r="T228" s="167">
        <f t="shared" si="457"/>
        <v>0</v>
      </c>
      <c r="U228" s="167">
        <f t="shared" si="457"/>
        <v>0</v>
      </c>
      <c r="V228" s="167">
        <f t="shared" si="457"/>
        <v>0</v>
      </c>
      <c r="W228" s="167">
        <f t="shared" si="457"/>
        <v>0</v>
      </c>
      <c r="X228" s="167">
        <f t="shared" si="457"/>
        <v>7806000</v>
      </c>
      <c r="Y228" s="167">
        <f t="shared" si="457"/>
        <v>0</v>
      </c>
      <c r="Z228" s="167">
        <f t="shared" si="457"/>
        <v>0</v>
      </c>
      <c r="AA228" s="167">
        <f t="shared" si="457"/>
        <v>0</v>
      </c>
      <c r="AB228" s="167">
        <f t="shared" si="457"/>
        <v>0</v>
      </c>
      <c r="AC228" s="167">
        <f t="shared" si="457"/>
        <v>0</v>
      </c>
      <c r="AD228" s="167">
        <f t="shared" si="457"/>
        <v>0</v>
      </c>
      <c r="AE228" s="167">
        <f t="shared" si="457"/>
        <v>0</v>
      </c>
      <c r="AF228" s="167">
        <f t="shared" si="457"/>
        <v>0</v>
      </c>
      <c r="AG228" s="167">
        <f t="shared" si="457"/>
        <v>0</v>
      </c>
      <c r="AH228" s="167">
        <f t="shared" si="457"/>
        <v>0</v>
      </c>
      <c r="AI228" s="167">
        <f t="shared" si="457"/>
        <v>0</v>
      </c>
      <c r="AJ228" s="167">
        <f t="shared" si="457"/>
        <v>0</v>
      </c>
      <c r="AK228" s="167">
        <f t="shared" si="457"/>
        <v>0</v>
      </c>
      <c r="AL228" s="167">
        <f t="shared" si="457"/>
        <v>0</v>
      </c>
      <c r="AM228" s="167">
        <f t="shared" si="457"/>
        <v>0</v>
      </c>
      <c r="AN228" s="167">
        <f t="shared" si="457"/>
        <v>0</v>
      </c>
      <c r="AO228" s="167">
        <f t="shared" si="457"/>
        <v>0</v>
      </c>
      <c r="AP228" s="167">
        <f t="shared" si="457"/>
        <v>0</v>
      </c>
      <c r="AQ228" s="167">
        <f t="shared" si="457"/>
        <v>0</v>
      </c>
      <c r="AR228" s="167">
        <f t="shared" si="457"/>
        <v>0</v>
      </c>
      <c r="AS228" s="167">
        <f t="shared" si="457"/>
        <v>0</v>
      </c>
      <c r="AT228" s="167">
        <f>SUM(J228:AS228)</f>
        <v>7806000</v>
      </c>
      <c r="AU228" s="175">
        <f t="shared" si="423"/>
        <v>7.1483516483516487</v>
      </c>
      <c r="AV228" s="176">
        <f>F228-AT228</f>
        <v>101394000</v>
      </c>
      <c r="AW228" s="175">
        <f t="shared" si="383"/>
        <v>92.85164835164835</v>
      </c>
      <c r="AX228" s="164" t="s">
        <v>542</v>
      </c>
      <c r="AY228" s="164" t="s">
        <v>543</v>
      </c>
      <c r="AZ228" s="164" t="s">
        <v>3921</v>
      </c>
      <c r="BA228" s="167">
        <f t="shared" ref="BA228:BC228" si="458">SUM(BA229:BA231)</f>
        <v>0</v>
      </c>
      <c r="BB228" s="167">
        <f t="shared" si="458"/>
        <v>0</v>
      </c>
      <c r="BC228" s="167">
        <f t="shared" si="458"/>
        <v>0</v>
      </c>
      <c r="BD228" s="167">
        <f t="shared" ref="BD228" si="459">SUM(BD229:BD231)</f>
        <v>0</v>
      </c>
      <c r="BE228" s="167">
        <f t="shared" ref="BE228" si="460">SUM(BE229:BE231)</f>
        <v>0</v>
      </c>
      <c r="BF228" s="167">
        <f t="shared" ref="BF228:BG228" si="461">SUM(BF229:BF231)</f>
        <v>0</v>
      </c>
      <c r="BG228" s="167">
        <f t="shared" si="461"/>
        <v>7806000</v>
      </c>
      <c r="BH228" s="167">
        <f t="shared" ref="BH228" si="462">SUM(BH229:BH231)</f>
        <v>0</v>
      </c>
    </row>
    <row r="229" spans="2:60" x14ac:dyDescent="0.25">
      <c r="B229" s="228">
        <v>521211</v>
      </c>
      <c r="C229" s="164" t="s">
        <v>7</v>
      </c>
      <c r="D229" s="164"/>
      <c r="E229" s="164"/>
      <c r="F229" s="165">
        <v>25000000</v>
      </c>
      <c r="G229" s="165">
        <v>25000000</v>
      </c>
      <c r="H229" s="165"/>
      <c r="I229" s="165">
        <f t="shared" ref="I229:I231" si="463">G229-F229</f>
        <v>0</v>
      </c>
      <c r="J229" s="165"/>
      <c r="K229" s="165"/>
      <c r="L229" s="165"/>
      <c r="M229" s="165"/>
      <c r="N229" s="165"/>
      <c r="O229" s="165"/>
      <c r="P229" s="165"/>
      <c r="Q229" s="165"/>
      <c r="R229" s="165"/>
      <c r="S229" s="165"/>
      <c r="T229" s="165"/>
      <c r="U229" s="165"/>
      <c r="V229" s="165"/>
      <c r="W229" s="165"/>
      <c r="X229" s="165">
        <v>2961000</v>
      </c>
      <c r="Y229" s="165"/>
      <c r="Z229" s="165"/>
      <c r="AA229" s="165"/>
      <c r="AB229" s="165"/>
      <c r="AC229" s="165"/>
      <c r="AD229" s="165"/>
      <c r="AE229" s="165"/>
      <c r="AF229" s="165"/>
      <c r="AG229" s="165"/>
      <c r="AH229" s="165"/>
      <c r="AI229" s="165"/>
      <c r="AJ229" s="165"/>
      <c r="AK229" s="165"/>
      <c r="AL229" s="165"/>
      <c r="AM229" s="165"/>
      <c r="AN229" s="165"/>
      <c r="AO229" s="165"/>
      <c r="AP229" s="165"/>
      <c r="AQ229" s="165"/>
      <c r="AR229" s="165"/>
      <c r="AS229" s="165"/>
      <c r="AT229" s="165">
        <f t="shared" si="381"/>
        <v>2961000</v>
      </c>
      <c r="AU229" s="168">
        <f t="shared" si="423"/>
        <v>11.844000000000001</v>
      </c>
      <c r="AV229" s="169">
        <f t="shared" si="382"/>
        <v>22039000</v>
      </c>
      <c r="AW229" s="168">
        <f t="shared" si="383"/>
        <v>88.156000000000006</v>
      </c>
      <c r="AX229" s="164" t="s">
        <v>542</v>
      </c>
      <c r="AY229" s="164" t="s">
        <v>543</v>
      </c>
      <c r="AZ229" s="164" t="s">
        <v>3921</v>
      </c>
      <c r="BA229" s="165"/>
      <c r="BB229" s="165"/>
      <c r="BC229" s="165"/>
      <c r="BD229" s="165"/>
      <c r="BE229" s="165"/>
      <c r="BF229" s="165"/>
      <c r="BG229" s="165">
        <v>2961000</v>
      </c>
      <c r="BH229" s="165"/>
    </row>
    <row r="230" spans="2:60" x14ac:dyDescent="0.25">
      <c r="B230" s="228">
        <v>521811</v>
      </c>
      <c r="C230" s="164" t="s">
        <v>64</v>
      </c>
      <c r="D230" s="164"/>
      <c r="E230" s="164"/>
      <c r="F230" s="165">
        <v>30000000</v>
      </c>
      <c r="G230" s="165">
        <v>30000000</v>
      </c>
      <c r="H230" s="165"/>
      <c r="I230" s="165">
        <f t="shared" si="463"/>
        <v>0</v>
      </c>
      <c r="J230" s="165"/>
      <c r="K230" s="165"/>
      <c r="L230" s="165"/>
      <c r="M230" s="165"/>
      <c r="N230" s="165"/>
      <c r="O230" s="165"/>
      <c r="P230" s="165"/>
      <c r="Q230" s="165"/>
      <c r="R230" s="165"/>
      <c r="S230" s="165"/>
      <c r="T230" s="165"/>
      <c r="U230" s="165"/>
      <c r="V230" s="165"/>
      <c r="W230" s="165"/>
      <c r="X230" s="165">
        <v>4845000</v>
      </c>
      <c r="Y230" s="165"/>
      <c r="Z230" s="165"/>
      <c r="AA230" s="165"/>
      <c r="AB230" s="165"/>
      <c r="AC230" s="165"/>
      <c r="AD230" s="165"/>
      <c r="AE230" s="165"/>
      <c r="AF230" s="165"/>
      <c r="AG230" s="165"/>
      <c r="AH230" s="165"/>
      <c r="AI230" s="165"/>
      <c r="AJ230" s="165"/>
      <c r="AK230" s="165"/>
      <c r="AL230" s="165"/>
      <c r="AM230" s="165"/>
      <c r="AN230" s="165"/>
      <c r="AO230" s="165"/>
      <c r="AP230" s="165"/>
      <c r="AQ230" s="165"/>
      <c r="AR230" s="165"/>
      <c r="AS230" s="165"/>
      <c r="AT230" s="165">
        <f t="shared" si="381"/>
        <v>4845000</v>
      </c>
      <c r="AU230" s="168">
        <f t="shared" si="423"/>
        <v>16.150000000000002</v>
      </c>
      <c r="AV230" s="169">
        <f t="shared" si="382"/>
        <v>25155000</v>
      </c>
      <c r="AW230" s="168">
        <f t="shared" si="383"/>
        <v>83.850000000000009</v>
      </c>
      <c r="AX230" s="164" t="s">
        <v>542</v>
      </c>
      <c r="AY230" s="164" t="s">
        <v>543</v>
      </c>
      <c r="AZ230" s="164" t="s">
        <v>3921</v>
      </c>
      <c r="BA230" s="165"/>
      <c r="BB230" s="165"/>
      <c r="BC230" s="165"/>
      <c r="BD230" s="165"/>
      <c r="BE230" s="165"/>
      <c r="BF230" s="165"/>
      <c r="BG230" s="165">
        <v>4845000</v>
      </c>
      <c r="BH230" s="165"/>
    </row>
    <row r="231" spans="2:60" x14ac:dyDescent="0.25">
      <c r="B231" s="228">
        <v>524111</v>
      </c>
      <c r="C231" s="164" t="s">
        <v>19</v>
      </c>
      <c r="D231" s="164"/>
      <c r="E231" s="164"/>
      <c r="F231" s="165">
        <v>54200000</v>
      </c>
      <c r="G231" s="165">
        <v>54200000</v>
      </c>
      <c r="H231" s="165"/>
      <c r="I231" s="165">
        <f t="shared" si="463"/>
        <v>0</v>
      </c>
      <c r="J231" s="165"/>
      <c r="K231" s="165"/>
      <c r="L231" s="165"/>
      <c r="M231" s="165"/>
      <c r="N231" s="165"/>
      <c r="O231" s="165"/>
      <c r="P231" s="165"/>
      <c r="Q231" s="165"/>
      <c r="R231" s="165"/>
      <c r="S231" s="165"/>
      <c r="T231" s="165"/>
      <c r="U231" s="165"/>
      <c r="V231" s="165"/>
      <c r="W231" s="165"/>
      <c r="X231" s="165"/>
      <c r="Y231" s="165"/>
      <c r="Z231" s="165"/>
      <c r="AA231" s="165"/>
      <c r="AB231" s="165"/>
      <c r="AC231" s="165"/>
      <c r="AD231" s="165"/>
      <c r="AE231" s="165"/>
      <c r="AF231" s="165"/>
      <c r="AG231" s="165"/>
      <c r="AH231" s="165"/>
      <c r="AI231" s="165"/>
      <c r="AJ231" s="165"/>
      <c r="AK231" s="165"/>
      <c r="AL231" s="165"/>
      <c r="AM231" s="165"/>
      <c r="AN231" s="165"/>
      <c r="AO231" s="165"/>
      <c r="AP231" s="165"/>
      <c r="AQ231" s="165"/>
      <c r="AR231" s="165"/>
      <c r="AS231" s="165"/>
      <c r="AT231" s="165">
        <f>SUM(J231:AS231)</f>
        <v>0</v>
      </c>
      <c r="AU231" s="168">
        <f t="shared" si="423"/>
        <v>0</v>
      </c>
      <c r="AV231" s="169">
        <f t="shared" si="382"/>
        <v>54200000</v>
      </c>
      <c r="AW231" s="168">
        <f t="shared" si="383"/>
        <v>100</v>
      </c>
      <c r="AX231" s="164" t="s">
        <v>542</v>
      </c>
      <c r="AY231" s="164" t="s">
        <v>543</v>
      </c>
      <c r="AZ231" s="164" t="s">
        <v>3921</v>
      </c>
      <c r="BA231" s="165"/>
      <c r="BB231" s="165"/>
      <c r="BC231" s="165"/>
      <c r="BD231" s="165"/>
      <c r="BE231" s="165"/>
      <c r="BF231" s="165"/>
      <c r="BG231" s="165"/>
      <c r="BH231" s="165"/>
    </row>
    <row r="232" spans="2:60" x14ac:dyDescent="0.25">
      <c r="F232" s="227"/>
      <c r="G232" s="227"/>
      <c r="H232" s="227"/>
      <c r="I232" s="227"/>
      <c r="AT232" s="220"/>
    </row>
    <row r="233" spans="2:60" x14ac:dyDescent="0.25">
      <c r="AU233" t="s">
        <v>3842</v>
      </c>
    </row>
    <row r="234" spans="2:60" s="278" customFormat="1" x14ac:dyDescent="0.25">
      <c r="B234" s="393" t="s">
        <v>606</v>
      </c>
      <c r="C234" s="394" t="s">
        <v>607</v>
      </c>
      <c r="D234" s="394" t="s">
        <v>608</v>
      </c>
      <c r="E234" s="394" t="s">
        <v>609</v>
      </c>
      <c r="F234" s="394" t="s">
        <v>5414</v>
      </c>
      <c r="G234" s="394" t="s">
        <v>5415</v>
      </c>
      <c r="H234" s="367" t="s">
        <v>5544</v>
      </c>
      <c r="I234" s="367" t="s">
        <v>5545</v>
      </c>
      <c r="J234" s="395" t="s">
        <v>3827</v>
      </c>
      <c r="K234" s="395" t="s">
        <v>5546</v>
      </c>
      <c r="L234" s="395" t="s">
        <v>5547</v>
      </c>
      <c r="M234" s="395" t="s">
        <v>3828</v>
      </c>
      <c r="N234" s="395" t="s">
        <v>5548</v>
      </c>
      <c r="O234" s="395" t="s">
        <v>5549</v>
      </c>
      <c r="P234" s="395" t="s">
        <v>3829</v>
      </c>
      <c r="Q234" s="395" t="s">
        <v>5550</v>
      </c>
      <c r="R234" s="395" t="s">
        <v>5551</v>
      </c>
      <c r="S234" s="395" t="s">
        <v>3830</v>
      </c>
      <c r="T234" s="395" t="s">
        <v>5552</v>
      </c>
      <c r="U234" s="395" t="s">
        <v>5553</v>
      </c>
      <c r="V234" s="395" t="s">
        <v>3831</v>
      </c>
      <c r="W234" s="395" t="s">
        <v>5554</v>
      </c>
      <c r="X234" s="395" t="s">
        <v>5555</v>
      </c>
      <c r="Y234" s="395" t="s">
        <v>3832</v>
      </c>
      <c r="Z234" s="395" t="s">
        <v>5556</v>
      </c>
      <c r="AA234" s="395" t="s">
        <v>5557</v>
      </c>
      <c r="AB234" s="395" t="s">
        <v>3833</v>
      </c>
      <c r="AC234" s="395" t="s">
        <v>5558</v>
      </c>
      <c r="AD234" s="395" t="s">
        <v>5559</v>
      </c>
      <c r="AE234" s="395" t="s">
        <v>3834</v>
      </c>
      <c r="AF234" s="395" t="s">
        <v>5560</v>
      </c>
      <c r="AG234" s="395" t="s">
        <v>5561</v>
      </c>
      <c r="AH234" s="395" t="s">
        <v>3835</v>
      </c>
      <c r="AI234" s="395" t="s">
        <v>5562</v>
      </c>
      <c r="AJ234" s="395" t="s">
        <v>5563</v>
      </c>
      <c r="AK234" s="395" t="s">
        <v>3836</v>
      </c>
      <c r="AL234" s="395" t="s">
        <v>5564</v>
      </c>
      <c r="AM234" s="395" t="s">
        <v>5565</v>
      </c>
      <c r="AN234" s="395" t="s">
        <v>3837</v>
      </c>
      <c r="AO234" s="395" t="s">
        <v>5566</v>
      </c>
      <c r="AP234" s="395" t="s">
        <v>5567</v>
      </c>
      <c r="AQ234" s="395" t="s">
        <v>3838</v>
      </c>
      <c r="AR234" s="395" t="s">
        <v>5568</v>
      </c>
      <c r="AS234" s="395" t="s">
        <v>5569</v>
      </c>
      <c r="AT234" s="394" t="s">
        <v>3845</v>
      </c>
      <c r="AU234" s="396" t="s">
        <v>3846</v>
      </c>
      <c r="AV234" s="397" t="s">
        <v>3847</v>
      </c>
      <c r="AW234" s="397" t="s">
        <v>5570</v>
      </c>
      <c r="AX234" s="398" t="s">
        <v>4017</v>
      </c>
      <c r="AY234" s="398" t="s">
        <v>500</v>
      </c>
      <c r="AZ234" s="398" t="s">
        <v>4001</v>
      </c>
      <c r="BA234" s="399" t="s">
        <v>4016</v>
      </c>
      <c r="BB234" s="399" t="s">
        <v>5571</v>
      </c>
      <c r="BC234" s="399" t="s">
        <v>5572</v>
      </c>
      <c r="BD234" s="399" t="s">
        <v>5573</v>
      </c>
      <c r="BE234" s="399" t="s">
        <v>5574</v>
      </c>
      <c r="BF234" s="399" t="s">
        <v>5575</v>
      </c>
      <c r="BG234" s="399" t="s">
        <v>5576</v>
      </c>
      <c r="BH234" s="399" t="s">
        <v>5577</v>
      </c>
    </row>
    <row r="235" spans="2:60" x14ac:dyDescent="0.25">
      <c r="B235" s="389"/>
      <c r="C235" s="367"/>
      <c r="D235" s="367"/>
      <c r="E235" s="367"/>
      <c r="F235" s="367"/>
      <c r="G235" s="367"/>
      <c r="H235" s="367"/>
      <c r="I235" s="410">
        <f t="shared" ref="I235:I250" si="464">G235-F235</f>
        <v>0</v>
      </c>
      <c r="J235" s="365" t="s">
        <v>3841</v>
      </c>
      <c r="K235" s="365" t="s">
        <v>3839</v>
      </c>
      <c r="L235" s="365" t="s">
        <v>3840</v>
      </c>
      <c r="M235" s="365" t="s">
        <v>3841</v>
      </c>
      <c r="N235" s="365" t="s">
        <v>3839</v>
      </c>
      <c r="O235" s="365" t="s">
        <v>3840</v>
      </c>
      <c r="P235" s="365" t="s">
        <v>3841</v>
      </c>
      <c r="Q235" s="365" t="s">
        <v>3839</v>
      </c>
      <c r="R235" s="365" t="s">
        <v>3840</v>
      </c>
      <c r="S235" s="365" t="s">
        <v>3841</v>
      </c>
      <c r="T235" s="365" t="s">
        <v>3839</v>
      </c>
      <c r="U235" s="365" t="s">
        <v>3840</v>
      </c>
      <c r="V235" s="365" t="s">
        <v>3841</v>
      </c>
      <c r="W235" s="365" t="s">
        <v>3839</v>
      </c>
      <c r="X235" s="365" t="s">
        <v>3840</v>
      </c>
      <c r="Y235" s="365" t="s">
        <v>3841</v>
      </c>
      <c r="Z235" s="365" t="s">
        <v>3839</v>
      </c>
      <c r="AA235" s="365" t="s">
        <v>3840</v>
      </c>
      <c r="AB235" s="365" t="s">
        <v>3841</v>
      </c>
      <c r="AC235" s="365" t="s">
        <v>3839</v>
      </c>
      <c r="AD235" s="365" t="s">
        <v>3840</v>
      </c>
      <c r="AE235" s="365" t="s">
        <v>3841</v>
      </c>
      <c r="AF235" s="365" t="s">
        <v>3839</v>
      </c>
      <c r="AG235" s="365" t="s">
        <v>3840</v>
      </c>
      <c r="AH235" s="365" t="s">
        <v>3841</v>
      </c>
      <c r="AI235" s="365" t="s">
        <v>3839</v>
      </c>
      <c r="AJ235" s="365" t="s">
        <v>3840</v>
      </c>
      <c r="AK235" s="365" t="s">
        <v>3841</v>
      </c>
      <c r="AL235" s="365" t="s">
        <v>3839</v>
      </c>
      <c r="AM235" s="365" t="s">
        <v>3840</v>
      </c>
      <c r="AN235" s="365" t="s">
        <v>3841</v>
      </c>
      <c r="AO235" s="365" t="s">
        <v>3839</v>
      </c>
      <c r="AP235" s="365" t="s">
        <v>3840</v>
      </c>
      <c r="AQ235" s="365" t="s">
        <v>3841</v>
      </c>
      <c r="AR235" s="365" t="s">
        <v>3839</v>
      </c>
      <c r="AS235" s="365" t="s">
        <v>3840</v>
      </c>
      <c r="AT235" s="367"/>
      <c r="AU235" s="368"/>
      <c r="AV235" s="366"/>
      <c r="AW235" s="366"/>
      <c r="AX235" s="244"/>
      <c r="AY235" s="244"/>
      <c r="AZ235" s="244"/>
      <c r="BA235" s="242" t="s">
        <v>4013</v>
      </c>
      <c r="BB235" s="241" t="s">
        <v>4014</v>
      </c>
      <c r="BC235" s="242" t="s">
        <v>4015</v>
      </c>
      <c r="BD235" s="241" t="s">
        <v>4023</v>
      </c>
      <c r="BE235" s="294" t="s">
        <v>4341</v>
      </c>
      <c r="BF235" s="294" t="s">
        <v>4377</v>
      </c>
      <c r="BG235" s="294" t="s">
        <v>4378</v>
      </c>
      <c r="BH235" s="294" t="s">
        <v>4533</v>
      </c>
    </row>
    <row r="236" spans="2:60" s="189" customFormat="1" x14ac:dyDescent="0.25">
      <c r="B236" s="390" t="s">
        <v>501</v>
      </c>
      <c r="C236" s="185" t="s">
        <v>76</v>
      </c>
      <c r="D236" s="185"/>
      <c r="E236" s="185"/>
      <c r="F236" s="186">
        <f>F237+F250</f>
        <v>6478996000</v>
      </c>
      <c r="G236" s="186">
        <f t="shared" ref="G236:AR236" si="465">G237+G250</f>
        <v>6478996000</v>
      </c>
      <c r="H236" s="186">
        <f t="shared" ref="H236" si="466">H237+H250</f>
        <v>323949000</v>
      </c>
      <c r="I236" s="186">
        <f t="shared" si="464"/>
        <v>0</v>
      </c>
      <c r="J236" s="186">
        <f t="shared" si="465"/>
        <v>208949299</v>
      </c>
      <c r="K236" s="186">
        <f t="shared" si="465"/>
        <v>0</v>
      </c>
      <c r="L236" s="186">
        <f t="shared" si="465"/>
        <v>0</v>
      </c>
      <c r="M236" s="186">
        <f t="shared" si="465"/>
        <v>471416928</v>
      </c>
      <c r="N236" s="186">
        <f t="shared" si="465"/>
        <v>0</v>
      </c>
      <c r="O236" s="186">
        <f t="shared" si="465"/>
        <v>0</v>
      </c>
      <c r="P236" s="186">
        <f t="shared" si="465"/>
        <v>493246114</v>
      </c>
      <c r="Q236" s="186">
        <f t="shared" si="465"/>
        <v>0</v>
      </c>
      <c r="R236" s="186">
        <f t="shared" si="465"/>
        <v>0</v>
      </c>
      <c r="S236" s="186">
        <f t="shared" si="465"/>
        <v>811194029</v>
      </c>
      <c r="T236" s="186">
        <f t="shared" si="465"/>
        <v>0</v>
      </c>
      <c r="U236" s="186">
        <f t="shared" si="465"/>
        <v>0</v>
      </c>
      <c r="V236" s="186">
        <f t="shared" si="465"/>
        <v>480605233</v>
      </c>
      <c r="W236" s="186">
        <f t="shared" si="465"/>
        <v>0</v>
      </c>
      <c r="X236" s="186">
        <f t="shared" si="465"/>
        <v>0</v>
      </c>
      <c r="Y236" s="186">
        <f t="shared" si="465"/>
        <v>474352354</v>
      </c>
      <c r="Z236" s="186">
        <f t="shared" si="465"/>
        <v>0</v>
      </c>
      <c r="AA236" s="186">
        <f t="shared" si="465"/>
        <v>0</v>
      </c>
      <c r="AB236" s="186">
        <f t="shared" si="465"/>
        <v>0</v>
      </c>
      <c r="AC236" s="186">
        <f t="shared" si="465"/>
        <v>0</v>
      </c>
      <c r="AD236" s="186">
        <f t="shared" si="465"/>
        <v>0</v>
      </c>
      <c r="AE236" s="186">
        <f t="shared" si="465"/>
        <v>0</v>
      </c>
      <c r="AF236" s="186">
        <f t="shared" si="465"/>
        <v>0</v>
      </c>
      <c r="AG236" s="186">
        <f t="shared" si="465"/>
        <v>0</v>
      </c>
      <c r="AH236" s="186">
        <f t="shared" si="465"/>
        <v>0</v>
      </c>
      <c r="AI236" s="186">
        <f t="shared" si="465"/>
        <v>0</v>
      </c>
      <c r="AJ236" s="186">
        <f t="shared" si="465"/>
        <v>0</v>
      </c>
      <c r="AK236" s="186">
        <f t="shared" si="465"/>
        <v>0</v>
      </c>
      <c r="AL236" s="186">
        <f t="shared" si="465"/>
        <v>0</v>
      </c>
      <c r="AM236" s="186">
        <f t="shared" si="465"/>
        <v>0</v>
      </c>
      <c r="AN236" s="186">
        <f t="shared" si="465"/>
        <v>0</v>
      </c>
      <c r="AO236" s="186">
        <f t="shared" si="465"/>
        <v>0</v>
      </c>
      <c r="AP236" s="186">
        <f t="shared" si="465"/>
        <v>0</v>
      </c>
      <c r="AQ236" s="186">
        <f t="shared" si="465"/>
        <v>0</v>
      </c>
      <c r="AR236" s="186">
        <f t="shared" si="465"/>
        <v>0</v>
      </c>
      <c r="AS236" s="186"/>
      <c r="AT236" s="186">
        <f t="shared" ref="AT236:AT248" si="467">SUM(J236:AS236)</f>
        <v>2939763957</v>
      </c>
      <c r="AU236" s="386">
        <f t="shared" ref="AU236:AU248" si="468">IFERROR(AT236/F236*100,0)</f>
        <v>45.373757863101012</v>
      </c>
      <c r="AV236" s="187">
        <f t="shared" ref="AV236:AV248" si="469">F236-AT236</f>
        <v>3539232043</v>
      </c>
      <c r="AW236" s="187">
        <f t="shared" ref="AW236:AW248" si="470">AV236/F236*100</f>
        <v>54.626242136898981</v>
      </c>
      <c r="AX236" s="185" t="s">
        <v>576</v>
      </c>
      <c r="AY236" s="189" t="s">
        <v>546</v>
      </c>
      <c r="BA236" s="370"/>
      <c r="BC236" s="370"/>
    </row>
    <row r="237" spans="2:60" x14ac:dyDescent="0.25">
      <c r="B237" s="391" t="s">
        <v>1807</v>
      </c>
      <c r="C237" s="371" t="s">
        <v>1808</v>
      </c>
      <c r="D237" s="372"/>
      <c r="E237" s="372"/>
      <c r="F237" s="373">
        <f>SUM(F238:F248)</f>
        <v>6155047000</v>
      </c>
      <c r="G237" s="373">
        <f>SUM(G238:G248)</f>
        <v>6155047000</v>
      </c>
      <c r="H237" s="373">
        <f>SUM(H238:H248)</f>
        <v>0</v>
      </c>
      <c r="I237" s="373">
        <f t="shared" si="464"/>
        <v>0</v>
      </c>
      <c r="J237" s="373">
        <f t="shared" ref="J237:K237" si="471">SUM(J238:J248)</f>
        <v>208949299</v>
      </c>
      <c r="K237" s="373">
        <f t="shared" si="471"/>
        <v>0</v>
      </c>
      <c r="L237" s="373">
        <f>SUM(L238:L248)</f>
        <v>0</v>
      </c>
      <c r="M237" s="373">
        <f t="shared" ref="M237:N237" si="472">SUM(M238:M248)</f>
        <v>471416928</v>
      </c>
      <c r="N237" s="373">
        <f t="shared" si="472"/>
        <v>0</v>
      </c>
      <c r="O237" s="373">
        <f>SUM(O238:O248)</f>
        <v>0</v>
      </c>
      <c r="P237" s="373">
        <f t="shared" ref="P237:Q237" si="473">SUM(P238:P248)</f>
        <v>493246114</v>
      </c>
      <c r="Q237" s="373">
        <f t="shared" si="473"/>
        <v>0</v>
      </c>
      <c r="R237" s="373">
        <f>SUM(R238:R248)</f>
        <v>0</v>
      </c>
      <c r="S237" s="373">
        <f t="shared" ref="S237:AR237" si="474">SUM(S238:S248)</f>
        <v>811194029</v>
      </c>
      <c r="T237" s="373">
        <f t="shared" si="474"/>
        <v>0</v>
      </c>
      <c r="U237" s="373">
        <f t="shared" si="474"/>
        <v>0</v>
      </c>
      <c r="V237" s="373">
        <f t="shared" si="474"/>
        <v>480605233</v>
      </c>
      <c r="W237" s="373">
        <f t="shared" si="474"/>
        <v>0</v>
      </c>
      <c r="X237" s="373">
        <f t="shared" si="474"/>
        <v>0</v>
      </c>
      <c r="Y237" s="373">
        <f t="shared" si="474"/>
        <v>474352354</v>
      </c>
      <c r="Z237" s="373">
        <f t="shared" si="474"/>
        <v>0</v>
      </c>
      <c r="AA237" s="373">
        <f t="shared" si="474"/>
        <v>0</v>
      </c>
      <c r="AB237" s="373">
        <f t="shared" si="474"/>
        <v>0</v>
      </c>
      <c r="AC237" s="373">
        <f t="shared" si="474"/>
        <v>0</v>
      </c>
      <c r="AD237" s="373">
        <f t="shared" si="474"/>
        <v>0</v>
      </c>
      <c r="AE237" s="373">
        <f t="shared" si="474"/>
        <v>0</v>
      </c>
      <c r="AF237" s="373">
        <f t="shared" si="474"/>
        <v>0</v>
      </c>
      <c r="AG237" s="373">
        <f t="shared" si="474"/>
        <v>0</v>
      </c>
      <c r="AH237" s="373">
        <f t="shared" si="474"/>
        <v>0</v>
      </c>
      <c r="AI237" s="373">
        <f t="shared" si="474"/>
        <v>0</v>
      </c>
      <c r="AJ237" s="373">
        <f t="shared" si="474"/>
        <v>0</v>
      </c>
      <c r="AK237" s="373">
        <f t="shared" si="474"/>
        <v>0</v>
      </c>
      <c r="AL237" s="373">
        <f t="shared" si="474"/>
        <v>0</v>
      </c>
      <c r="AM237" s="373">
        <f t="shared" si="474"/>
        <v>0</v>
      </c>
      <c r="AN237" s="373">
        <f t="shared" si="474"/>
        <v>0</v>
      </c>
      <c r="AO237" s="373">
        <f t="shared" si="474"/>
        <v>0</v>
      </c>
      <c r="AP237" s="373">
        <f t="shared" si="474"/>
        <v>0</v>
      </c>
      <c r="AQ237" s="373">
        <f t="shared" si="474"/>
        <v>0</v>
      </c>
      <c r="AR237" s="373">
        <f t="shared" si="474"/>
        <v>0</v>
      </c>
      <c r="AS237" s="167"/>
      <c r="AT237" s="167">
        <f t="shared" si="467"/>
        <v>2939763957</v>
      </c>
      <c r="AU237" s="226">
        <f t="shared" si="468"/>
        <v>47.761844174382425</v>
      </c>
      <c r="AV237" s="175">
        <f t="shared" si="469"/>
        <v>3215283043</v>
      </c>
      <c r="AW237" s="385">
        <f t="shared" si="470"/>
        <v>52.238155825617582</v>
      </c>
      <c r="AX237" s="372" t="s">
        <v>576</v>
      </c>
      <c r="AY237" t="s">
        <v>546</v>
      </c>
      <c r="BA237" s="374"/>
      <c r="BB237"/>
      <c r="BC237" s="374"/>
      <c r="BD237"/>
    </row>
    <row r="238" spans="2:60" x14ac:dyDescent="0.25">
      <c r="B238" s="392">
        <v>511111</v>
      </c>
      <c r="C238" s="375" t="s">
        <v>77</v>
      </c>
      <c r="D238" s="375"/>
      <c r="E238" s="375"/>
      <c r="F238" s="376">
        <v>2483477000</v>
      </c>
      <c r="G238" s="377">
        <v>2483477000</v>
      </c>
      <c r="H238" s="377"/>
      <c r="I238" s="377">
        <f t="shared" si="464"/>
        <v>0</v>
      </c>
      <c r="J238" s="377">
        <v>165683660</v>
      </c>
      <c r="K238" s="378"/>
      <c r="L238" s="378"/>
      <c r="M238" s="378">
        <v>164673160</v>
      </c>
      <c r="N238" s="378"/>
      <c r="O238" s="378"/>
      <c r="P238" s="379">
        <v>178479060</v>
      </c>
      <c r="Q238" s="378"/>
      <c r="R238" s="378"/>
      <c r="S238" s="379">
        <v>333776320</v>
      </c>
      <c r="T238" s="378"/>
      <c r="U238" s="378"/>
      <c r="V238" s="380">
        <f>167581800+211500</f>
        <v>167793300</v>
      </c>
      <c r="W238" s="378"/>
      <c r="X238" s="378"/>
      <c r="Y238" s="378">
        <f>3445500+167581800</f>
        <v>171027300</v>
      </c>
      <c r="Z238" s="378"/>
      <c r="AA238" s="378"/>
      <c r="AB238" s="378"/>
      <c r="AC238" s="378"/>
      <c r="AD238" s="378"/>
      <c r="AE238" s="378"/>
      <c r="AF238" s="378"/>
      <c r="AG238" s="378"/>
      <c r="AH238" s="378"/>
      <c r="AI238" s="378"/>
      <c r="AJ238" s="378"/>
      <c r="AK238" s="378"/>
      <c r="AL238" s="378"/>
      <c r="AM238" s="378"/>
      <c r="AN238" s="378"/>
      <c r="AO238" s="378"/>
      <c r="AP238" s="378"/>
      <c r="AQ238" s="378"/>
      <c r="AR238" s="378"/>
      <c r="AS238" s="378"/>
      <c r="AT238" s="378">
        <f t="shared" si="467"/>
        <v>1181432800</v>
      </c>
      <c r="AU238" s="387">
        <f t="shared" si="468"/>
        <v>47.571723031862184</v>
      </c>
      <c r="AV238" s="382">
        <f t="shared" si="469"/>
        <v>1302044200</v>
      </c>
      <c r="AW238" s="381">
        <f t="shared" si="470"/>
        <v>52.428276968137823</v>
      </c>
      <c r="AX238" s="375" t="s">
        <v>576</v>
      </c>
      <c r="AY238" t="s">
        <v>546</v>
      </c>
      <c r="BA238" s="215"/>
      <c r="BB238"/>
      <c r="BC238" s="215"/>
      <c r="BD238"/>
    </row>
    <row r="239" spans="2:60" x14ac:dyDescent="0.25">
      <c r="B239" s="392">
        <v>511119</v>
      </c>
      <c r="C239" s="375" t="s">
        <v>79</v>
      </c>
      <c r="D239" s="375"/>
      <c r="E239" s="375"/>
      <c r="F239" s="376">
        <v>38000</v>
      </c>
      <c r="G239" s="377">
        <v>38000</v>
      </c>
      <c r="H239" s="377"/>
      <c r="I239" s="377">
        <f t="shared" si="464"/>
        <v>0</v>
      </c>
      <c r="J239" s="377">
        <v>2296</v>
      </c>
      <c r="K239" s="378"/>
      <c r="L239" s="378"/>
      <c r="M239" s="379">
        <v>2382</v>
      </c>
      <c r="N239" s="378"/>
      <c r="O239" s="378"/>
      <c r="P239" s="379">
        <v>3161</v>
      </c>
      <c r="Q239" s="378"/>
      <c r="R239" s="378"/>
      <c r="S239" s="379">
        <v>5493</v>
      </c>
      <c r="T239" s="378"/>
      <c r="U239" s="378"/>
      <c r="V239" s="380">
        <f>2454+35</f>
        <v>2489</v>
      </c>
      <c r="W239" s="378"/>
      <c r="X239" s="378"/>
      <c r="Y239" s="378">
        <f>17+2454</f>
        <v>2471</v>
      </c>
      <c r="Z239" s="378"/>
      <c r="AA239" s="378"/>
      <c r="AB239" s="378"/>
      <c r="AC239" s="378"/>
      <c r="AD239" s="378"/>
      <c r="AE239" s="378"/>
      <c r="AF239" s="378"/>
      <c r="AG239" s="378"/>
      <c r="AH239" s="378"/>
      <c r="AI239" s="378"/>
      <c r="AJ239" s="378"/>
      <c r="AK239" s="378"/>
      <c r="AL239" s="378"/>
      <c r="AM239" s="378"/>
      <c r="AN239" s="378"/>
      <c r="AO239" s="378"/>
      <c r="AP239" s="378"/>
      <c r="AQ239" s="378"/>
      <c r="AR239" s="378"/>
      <c r="AS239" s="378"/>
      <c r="AT239" s="378">
        <f t="shared" si="467"/>
        <v>18292</v>
      </c>
      <c r="AU239" s="387">
        <f t="shared" si="468"/>
        <v>48.136842105263156</v>
      </c>
      <c r="AV239" s="382">
        <f t="shared" si="469"/>
        <v>19708</v>
      </c>
      <c r="AW239" s="381">
        <f t="shared" si="470"/>
        <v>51.863157894736844</v>
      </c>
      <c r="AX239" s="375" t="s">
        <v>576</v>
      </c>
      <c r="AY239" t="s">
        <v>546</v>
      </c>
      <c r="BA239" s="215"/>
      <c r="BB239"/>
      <c r="BC239" s="215"/>
      <c r="BD239"/>
    </row>
    <row r="240" spans="2:60" x14ac:dyDescent="0.25">
      <c r="B240" s="392">
        <v>511121</v>
      </c>
      <c r="C240" s="375" t="s">
        <v>80</v>
      </c>
      <c r="D240" s="375"/>
      <c r="E240" s="375"/>
      <c r="F240" s="376">
        <v>171959000</v>
      </c>
      <c r="G240" s="377">
        <v>171959000</v>
      </c>
      <c r="H240" s="377"/>
      <c r="I240" s="377">
        <f t="shared" si="464"/>
        <v>0</v>
      </c>
      <c r="J240" s="377">
        <v>11298990</v>
      </c>
      <c r="K240" s="378"/>
      <c r="L240" s="378"/>
      <c r="M240" s="379">
        <v>10479130</v>
      </c>
      <c r="N240" s="378"/>
      <c r="O240" s="378"/>
      <c r="P240" s="379">
        <v>11369370</v>
      </c>
      <c r="Q240" s="378"/>
      <c r="R240" s="378"/>
      <c r="S240" s="379">
        <v>21754920</v>
      </c>
      <c r="T240" s="378"/>
      <c r="U240" s="378"/>
      <c r="V240" s="380">
        <v>10849200</v>
      </c>
      <c r="W240" s="378"/>
      <c r="X240" s="378"/>
      <c r="Y240" s="378">
        <f>344550+10849200</f>
        <v>11193750</v>
      </c>
      <c r="Z240" s="378"/>
      <c r="AA240" s="378"/>
      <c r="AB240" s="378"/>
      <c r="AC240" s="378"/>
      <c r="AD240" s="378"/>
      <c r="AE240" s="378"/>
      <c r="AF240" s="378"/>
      <c r="AG240" s="378"/>
      <c r="AH240" s="378"/>
      <c r="AI240" s="378"/>
      <c r="AJ240" s="378"/>
      <c r="AK240" s="378"/>
      <c r="AL240" s="378"/>
      <c r="AM240" s="378"/>
      <c r="AN240" s="378"/>
      <c r="AO240" s="378"/>
      <c r="AP240" s="378"/>
      <c r="AQ240" s="378"/>
      <c r="AR240" s="378"/>
      <c r="AS240" s="378"/>
      <c r="AT240" s="378">
        <f t="shared" si="467"/>
        <v>76945360</v>
      </c>
      <c r="AU240" s="387">
        <f t="shared" si="468"/>
        <v>44.746340697491846</v>
      </c>
      <c r="AV240" s="382">
        <f t="shared" si="469"/>
        <v>95013640</v>
      </c>
      <c r="AW240" s="381">
        <f t="shared" si="470"/>
        <v>55.253659302508154</v>
      </c>
      <c r="AX240" s="375" t="s">
        <v>576</v>
      </c>
      <c r="AY240" t="s">
        <v>546</v>
      </c>
      <c r="BA240" s="215"/>
      <c r="BB240"/>
      <c r="BC240" s="215"/>
      <c r="BD240"/>
    </row>
    <row r="241" spans="2:60" x14ac:dyDescent="0.25">
      <c r="B241" s="392">
        <v>511122</v>
      </c>
      <c r="C241" s="375" t="s">
        <v>81</v>
      </c>
      <c r="D241" s="375"/>
      <c r="E241" s="375"/>
      <c r="F241" s="376">
        <v>46700000</v>
      </c>
      <c r="G241" s="377">
        <v>46700000</v>
      </c>
      <c r="H241" s="377"/>
      <c r="I241" s="377">
        <f t="shared" si="464"/>
        <v>0</v>
      </c>
      <c r="J241" s="377">
        <v>3180974</v>
      </c>
      <c r="K241" s="378"/>
      <c r="L241" s="378"/>
      <c r="M241" s="379">
        <v>3106994</v>
      </c>
      <c r="N241" s="378"/>
      <c r="O241" s="378"/>
      <c r="P241" s="379">
        <v>3451660</v>
      </c>
      <c r="Q241" s="378"/>
      <c r="R241" s="378"/>
      <c r="S241" s="379">
        <v>6510188</v>
      </c>
      <c r="T241" s="378"/>
      <c r="U241" s="378"/>
      <c r="V241" s="380">
        <v>3249442</v>
      </c>
      <c r="W241" s="378"/>
      <c r="X241" s="378"/>
      <c r="Y241" s="378">
        <f>137820+3249442</f>
        <v>3387262</v>
      </c>
      <c r="Z241" s="378"/>
      <c r="AA241" s="378"/>
      <c r="AB241" s="378"/>
      <c r="AC241" s="378"/>
      <c r="AD241" s="378"/>
      <c r="AE241" s="378"/>
      <c r="AF241" s="378"/>
      <c r="AG241" s="378"/>
      <c r="AH241" s="378"/>
      <c r="AI241" s="378"/>
      <c r="AJ241" s="378"/>
      <c r="AK241" s="378"/>
      <c r="AL241" s="378"/>
      <c r="AM241" s="378"/>
      <c r="AN241" s="378"/>
      <c r="AO241" s="378"/>
      <c r="AP241" s="378"/>
      <c r="AQ241" s="378"/>
      <c r="AR241" s="378"/>
      <c r="AS241" s="378"/>
      <c r="AT241" s="378">
        <f t="shared" si="467"/>
        <v>22886520</v>
      </c>
      <c r="AU241" s="387">
        <f t="shared" si="468"/>
        <v>49.007537473233405</v>
      </c>
      <c r="AV241" s="382">
        <f t="shared" si="469"/>
        <v>23813480</v>
      </c>
      <c r="AW241" s="381">
        <f t="shared" si="470"/>
        <v>50.992462526766587</v>
      </c>
      <c r="AX241" s="375" t="s">
        <v>576</v>
      </c>
      <c r="AY241" t="s">
        <v>546</v>
      </c>
      <c r="BA241" s="215"/>
      <c r="BB241"/>
      <c r="BC241" s="215"/>
      <c r="BD241"/>
    </row>
    <row r="242" spans="2:60" x14ac:dyDescent="0.25">
      <c r="B242" s="392">
        <v>511123</v>
      </c>
      <c r="C242" s="375" t="s">
        <v>82</v>
      </c>
      <c r="D242" s="375"/>
      <c r="E242" s="375"/>
      <c r="F242" s="376">
        <v>158000000</v>
      </c>
      <c r="G242" s="377">
        <v>158000000</v>
      </c>
      <c r="H242" s="377"/>
      <c r="I242" s="377">
        <f t="shared" si="464"/>
        <v>0</v>
      </c>
      <c r="J242" s="377">
        <v>9730000</v>
      </c>
      <c r="K242" s="378"/>
      <c r="L242" s="378"/>
      <c r="M242" s="379">
        <v>9730000</v>
      </c>
      <c r="N242" s="378"/>
      <c r="O242" s="378"/>
      <c r="P242" s="379">
        <v>9730000</v>
      </c>
      <c r="Q242" s="378"/>
      <c r="R242" s="378"/>
      <c r="S242" s="379">
        <v>19460000</v>
      </c>
      <c r="T242" s="378"/>
      <c r="U242" s="378"/>
      <c r="V242" s="380">
        <v>9730000</v>
      </c>
      <c r="W242" s="378"/>
      <c r="X242" s="378"/>
      <c r="Y242" s="378">
        <v>9730000</v>
      </c>
      <c r="Z242" s="378"/>
      <c r="AA242" s="378"/>
      <c r="AB242" s="378"/>
      <c r="AC242" s="378"/>
      <c r="AD242" s="378"/>
      <c r="AE242" s="378"/>
      <c r="AF242" s="378"/>
      <c r="AG242" s="378"/>
      <c r="AH242" s="378"/>
      <c r="AI242" s="378"/>
      <c r="AJ242" s="378"/>
      <c r="AK242" s="378"/>
      <c r="AL242" s="378"/>
      <c r="AM242" s="378"/>
      <c r="AN242" s="378"/>
      <c r="AO242" s="378"/>
      <c r="AP242" s="378"/>
      <c r="AQ242" s="378"/>
      <c r="AR242" s="378"/>
      <c r="AS242" s="378"/>
      <c r="AT242" s="378">
        <f t="shared" si="467"/>
        <v>68110000</v>
      </c>
      <c r="AU242" s="387">
        <f t="shared" si="468"/>
        <v>43.107594936708857</v>
      </c>
      <c r="AV242" s="382">
        <f t="shared" si="469"/>
        <v>89890000</v>
      </c>
      <c r="AW242" s="381">
        <f t="shared" si="470"/>
        <v>56.892405063291143</v>
      </c>
      <c r="AX242" s="375" t="s">
        <v>576</v>
      </c>
      <c r="AY242" t="s">
        <v>546</v>
      </c>
      <c r="BA242" s="215"/>
      <c r="BB242"/>
      <c r="BC242" s="215"/>
      <c r="BD242"/>
    </row>
    <row r="243" spans="2:60" x14ac:dyDescent="0.25">
      <c r="B243" s="392">
        <v>511124</v>
      </c>
      <c r="C243" s="375" t="s">
        <v>83</v>
      </c>
      <c r="D243" s="375"/>
      <c r="E243" s="375"/>
      <c r="F243" s="376">
        <v>48180000</v>
      </c>
      <c r="G243" s="377">
        <v>48180000</v>
      </c>
      <c r="H243" s="377"/>
      <c r="I243" s="377">
        <f t="shared" si="464"/>
        <v>0</v>
      </c>
      <c r="J243" s="377">
        <v>4480000</v>
      </c>
      <c r="K243" s="378"/>
      <c r="L243" s="378"/>
      <c r="M243" s="379">
        <v>4480000</v>
      </c>
      <c r="N243" s="378"/>
      <c r="O243" s="378"/>
      <c r="P243" s="379">
        <v>5134000</v>
      </c>
      <c r="Q243" s="378"/>
      <c r="R243" s="378"/>
      <c r="S243" s="379">
        <v>9614000</v>
      </c>
      <c r="T243" s="378"/>
      <c r="U243" s="378"/>
      <c r="V243" s="380">
        <v>4807000</v>
      </c>
      <c r="W243" s="378"/>
      <c r="X243" s="378"/>
      <c r="Y243" s="378">
        <f>480000+4807000</f>
        <v>5287000</v>
      </c>
      <c r="Z243" s="378"/>
      <c r="AA243" s="378"/>
      <c r="AB243" s="378"/>
      <c r="AC243" s="378"/>
      <c r="AD243" s="378"/>
      <c r="AE243" s="378"/>
      <c r="AF243" s="378"/>
      <c r="AG243" s="378"/>
      <c r="AH243" s="378"/>
      <c r="AI243" s="378"/>
      <c r="AJ243" s="378"/>
      <c r="AK243" s="378"/>
      <c r="AL243" s="378"/>
      <c r="AM243" s="378"/>
      <c r="AN243" s="378"/>
      <c r="AO243" s="378"/>
      <c r="AP243" s="378"/>
      <c r="AQ243" s="378"/>
      <c r="AR243" s="378"/>
      <c r="AS243" s="378"/>
      <c r="AT243" s="378">
        <f t="shared" si="467"/>
        <v>33802000</v>
      </c>
      <c r="AU243" s="387">
        <f t="shared" si="468"/>
        <v>70.157741801577416</v>
      </c>
      <c r="AV243" s="382">
        <f t="shared" si="469"/>
        <v>14378000</v>
      </c>
      <c r="AW243" s="381">
        <f t="shared" si="470"/>
        <v>29.842258198422584</v>
      </c>
      <c r="AX243" s="375" t="s">
        <v>576</v>
      </c>
      <c r="AY243" t="s">
        <v>546</v>
      </c>
      <c r="BA243" s="215"/>
      <c r="BB243"/>
      <c r="BC243" s="215"/>
      <c r="BD243"/>
    </row>
    <row r="244" spans="2:60" x14ac:dyDescent="0.25">
      <c r="B244" s="392">
        <v>511125</v>
      </c>
      <c r="C244" s="375" t="s">
        <v>84</v>
      </c>
      <c r="D244" s="375"/>
      <c r="E244" s="375"/>
      <c r="F244" s="376">
        <v>13133000</v>
      </c>
      <c r="G244" s="377">
        <v>13133000</v>
      </c>
      <c r="H244" s="377"/>
      <c r="I244" s="377">
        <f t="shared" si="464"/>
        <v>0</v>
      </c>
      <c r="J244" s="377">
        <v>265559</v>
      </c>
      <c r="K244" s="378"/>
      <c r="L244" s="378"/>
      <c r="M244" s="379">
        <v>273792</v>
      </c>
      <c r="N244" s="378"/>
      <c r="O244" s="378"/>
      <c r="P244" s="379">
        <v>399758</v>
      </c>
      <c r="Q244" s="378"/>
      <c r="R244" s="378"/>
      <c r="S244" s="379">
        <v>2872401</v>
      </c>
      <c r="T244" s="378"/>
      <c r="U244" s="378"/>
      <c r="V244" s="380">
        <f>273209+10008</f>
        <v>283217</v>
      </c>
      <c r="W244" s="378"/>
      <c r="X244" s="378"/>
      <c r="Y244" s="378">
        <v>273209</v>
      </c>
      <c r="Z244" s="378"/>
      <c r="AA244" s="378"/>
      <c r="AB244" s="378"/>
      <c r="AC244" s="378"/>
      <c r="AD244" s="378"/>
      <c r="AE244" s="378"/>
      <c r="AF244" s="378"/>
      <c r="AG244" s="378"/>
      <c r="AH244" s="378"/>
      <c r="AI244" s="378"/>
      <c r="AJ244" s="378"/>
      <c r="AK244" s="378"/>
      <c r="AL244" s="378"/>
      <c r="AM244" s="378"/>
      <c r="AN244" s="378"/>
      <c r="AO244" s="378"/>
      <c r="AP244" s="378"/>
      <c r="AQ244" s="378"/>
      <c r="AR244" s="378"/>
      <c r="AS244" s="378"/>
      <c r="AT244" s="378">
        <f t="shared" si="467"/>
        <v>4367936</v>
      </c>
      <c r="AU244" s="387">
        <f t="shared" si="468"/>
        <v>33.259240082235593</v>
      </c>
      <c r="AV244" s="382">
        <f t="shared" si="469"/>
        <v>8765064</v>
      </c>
      <c r="AW244" s="381">
        <f t="shared" si="470"/>
        <v>66.740759917764407</v>
      </c>
      <c r="AX244" s="375" t="s">
        <v>576</v>
      </c>
      <c r="AY244" t="s">
        <v>546</v>
      </c>
      <c r="BA244" s="215"/>
      <c r="BB244"/>
      <c r="BC244" s="215"/>
      <c r="BD244"/>
    </row>
    <row r="245" spans="2:60" x14ac:dyDescent="0.25">
      <c r="B245" s="392">
        <v>511126</v>
      </c>
      <c r="C245" s="375" t="s">
        <v>85</v>
      </c>
      <c r="D245" s="375"/>
      <c r="E245" s="375"/>
      <c r="F245" s="376">
        <v>130333000</v>
      </c>
      <c r="G245" s="377">
        <v>130333000</v>
      </c>
      <c r="H245" s="377"/>
      <c r="I245" s="377">
        <f t="shared" si="464"/>
        <v>0</v>
      </c>
      <c r="J245" s="377">
        <v>8762820</v>
      </c>
      <c r="K245" s="378"/>
      <c r="L245" s="378"/>
      <c r="M245" s="379">
        <v>8545560</v>
      </c>
      <c r="N245" s="378"/>
      <c r="O245" s="378"/>
      <c r="P245" s="379">
        <v>9197340</v>
      </c>
      <c r="Q245" s="378"/>
      <c r="R245" s="378"/>
      <c r="S245" s="379">
        <f>8907660+8762820</f>
        <v>17670480</v>
      </c>
      <c r="T245" s="378"/>
      <c r="U245" s="378"/>
      <c r="V245" s="380">
        <v>8835240</v>
      </c>
      <c r="W245" s="378"/>
      <c r="X245" s="378"/>
      <c r="Y245" s="378">
        <f>289680+8835240</f>
        <v>9124920</v>
      </c>
      <c r="Z245" s="378"/>
      <c r="AA245" s="378"/>
      <c r="AB245" s="378"/>
      <c r="AC245" s="378"/>
      <c r="AD245" s="378"/>
      <c r="AE245" s="378"/>
      <c r="AF245" s="378"/>
      <c r="AG245" s="378"/>
      <c r="AH245" s="378"/>
      <c r="AI245" s="378"/>
      <c r="AJ245" s="378"/>
      <c r="AK245" s="378"/>
      <c r="AL245" s="378"/>
      <c r="AM245" s="378"/>
      <c r="AN245" s="378"/>
      <c r="AO245" s="378"/>
      <c r="AP245" s="378"/>
      <c r="AQ245" s="378"/>
      <c r="AR245" s="378"/>
      <c r="AS245" s="378"/>
      <c r="AT245" s="378">
        <f t="shared" si="467"/>
        <v>62136360</v>
      </c>
      <c r="AU245" s="387">
        <f t="shared" si="468"/>
        <v>47.675078452886069</v>
      </c>
      <c r="AV245" s="382">
        <f t="shared" si="469"/>
        <v>68196640</v>
      </c>
      <c r="AW245" s="381">
        <f t="shared" si="470"/>
        <v>52.324921547113931</v>
      </c>
      <c r="AX245" s="375" t="s">
        <v>576</v>
      </c>
      <c r="AY245" t="s">
        <v>546</v>
      </c>
      <c r="BA245" s="215"/>
      <c r="BB245"/>
      <c r="BC245" s="215"/>
      <c r="BD245"/>
    </row>
    <row r="246" spans="2:60" x14ac:dyDescent="0.25">
      <c r="B246" s="392">
        <v>511129</v>
      </c>
      <c r="C246" s="375" t="s">
        <v>86</v>
      </c>
      <c r="D246" s="375"/>
      <c r="E246" s="375"/>
      <c r="F246" s="376">
        <v>379379000</v>
      </c>
      <c r="G246" s="378">
        <v>379379000</v>
      </c>
      <c r="H246" s="378"/>
      <c r="I246" s="378">
        <f t="shared" si="464"/>
        <v>0</v>
      </c>
      <c r="J246" s="378"/>
      <c r="K246" s="378"/>
      <c r="L246" s="378"/>
      <c r="M246" s="379">
        <v>31515000</v>
      </c>
      <c r="N246" s="378"/>
      <c r="O246" s="378"/>
      <c r="P246" s="379">
        <v>24572000</v>
      </c>
      <c r="Q246" s="378"/>
      <c r="R246" s="378"/>
      <c r="S246" s="379">
        <v>27330000</v>
      </c>
      <c r="T246" s="378"/>
      <c r="U246" s="378"/>
      <c r="V246" s="379">
        <v>26312000</v>
      </c>
      <c r="W246" s="378"/>
      <c r="X246" s="378"/>
      <c r="Y246" s="378">
        <v>16698000</v>
      </c>
      <c r="Z246" s="378"/>
      <c r="AA246" s="378"/>
      <c r="AB246" s="378"/>
      <c r="AC246" s="378"/>
      <c r="AD246" s="378"/>
      <c r="AE246" s="378"/>
      <c r="AF246" s="378"/>
      <c r="AG246" s="378"/>
      <c r="AH246" s="378"/>
      <c r="AI246" s="378"/>
      <c r="AJ246" s="378"/>
      <c r="AK246" s="378"/>
      <c r="AL246" s="378"/>
      <c r="AM246" s="378"/>
      <c r="AN246" s="378"/>
      <c r="AO246" s="378"/>
      <c r="AP246" s="378"/>
      <c r="AQ246" s="378"/>
      <c r="AR246" s="378"/>
      <c r="AS246" s="378"/>
      <c r="AT246" s="378">
        <f t="shared" si="467"/>
        <v>126427000</v>
      </c>
      <c r="AU246" s="387">
        <f t="shared" si="468"/>
        <v>33.324722770633059</v>
      </c>
      <c r="AV246" s="382">
        <f t="shared" si="469"/>
        <v>252952000</v>
      </c>
      <c r="AW246" s="381">
        <f t="shared" si="470"/>
        <v>66.675277229366941</v>
      </c>
      <c r="AX246" s="375" t="s">
        <v>576</v>
      </c>
      <c r="AY246" t="s">
        <v>546</v>
      </c>
      <c r="BA246" s="215"/>
      <c r="BB246"/>
      <c r="BC246" s="215"/>
      <c r="BD246"/>
    </row>
    <row r="247" spans="2:60" x14ac:dyDescent="0.25">
      <c r="B247" s="392">
        <v>511151</v>
      </c>
      <c r="C247" s="375" t="s">
        <v>87</v>
      </c>
      <c r="D247" s="375"/>
      <c r="E247" s="375"/>
      <c r="F247" s="376">
        <v>88360000</v>
      </c>
      <c r="G247" s="378">
        <v>88360000</v>
      </c>
      <c r="H247" s="378"/>
      <c r="I247" s="378">
        <f t="shared" si="464"/>
        <v>0</v>
      </c>
      <c r="J247" s="378">
        <v>5545000</v>
      </c>
      <c r="K247" s="378"/>
      <c r="L247" s="378"/>
      <c r="M247" s="379">
        <v>5545000</v>
      </c>
      <c r="N247" s="378"/>
      <c r="O247" s="378"/>
      <c r="P247" s="379">
        <v>5735000</v>
      </c>
      <c r="Q247" s="378"/>
      <c r="R247" s="378"/>
      <c r="S247" s="379">
        <v>11070000</v>
      </c>
      <c r="T247" s="378"/>
      <c r="U247" s="378"/>
      <c r="V247" s="380">
        <v>5535000</v>
      </c>
      <c r="W247" s="378"/>
      <c r="X247" s="378"/>
      <c r="Y247" s="378">
        <v>5535000</v>
      </c>
      <c r="Z247" s="378"/>
      <c r="AA247" s="378"/>
      <c r="AB247" s="378"/>
      <c r="AC247" s="378"/>
      <c r="AD247" s="378"/>
      <c r="AE247" s="378"/>
      <c r="AF247" s="378"/>
      <c r="AG247" s="378"/>
      <c r="AH247" s="378"/>
      <c r="AI247" s="378"/>
      <c r="AJ247" s="378"/>
      <c r="AK247" s="378"/>
      <c r="AL247" s="378"/>
      <c r="AM247" s="378"/>
      <c r="AN247" s="378"/>
      <c r="AO247" s="378"/>
      <c r="AP247" s="378"/>
      <c r="AQ247" s="378"/>
      <c r="AR247" s="378"/>
      <c r="AS247" s="378"/>
      <c r="AT247" s="378">
        <f t="shared" si="467"/>
        <v>38965000</v>
      </c>
      <c r="AU247" s="387">
        <f t="shared" si="468"/>
        <v>44.098008148483473</v>
      </c>
      <c r="AV247" s="382">
        <f t="shared" si="469"/>
        <v>49395000</v>
      </c>
      <c r="AW247" s="381">
        <f t="shared" si="470"/>
        <v>55.90199185151652</v>
      </c>
      <c r="AX247" s="375" t="s">
        <v>576</v>
      </c>
      <c r="AY247" t="s">
        <v>546</v>
      </c>
      <c r="BA247" s="215"/>
      <c r="BB247"/>
      <c r="BC247" s="215"/>
      <c r="BD247"/>
    </row>
    <row r="248" spans="2:60" x14ac:dyDescent="0.25">
      <c r="B248" s="392">
        <v>512411</v>
      </c>
      <c r="C248" s="375" t="s">
        <v>88</v>
      </c>
      <c r="D248" s="375"/>
      <c r="E248" s="375"/>
      <c r="F248" s="376">
        <v>2635488000</v>
      </c>
      <c r="G248" s="378">
        <v>2635488000</v>
      </c>
      <c r="H248" s="378"/>
      <c r="I248" s="378">
        <f t="shared" si="464"/>
        <v>0</v>
      </c>
      <c r="J248" s="378"/>
      <c r="K248" s="378"/>
      <c r="L248" s="378"/>
      <c r="M248" s="379">
        <v>233065910</v>
      </c>
      <c r="N248" s="378"/>
      <c r="O248" s="378"/>
      <c r="P248" s="379">
        <v>245174765</v>
      </c>
      <c r="Q248" s="378"/>
      <c r="R248" s="378"/>
      <c r="S248" s="379">
        <v>361130227</v>
      </c>
      <c r="T248" s="378"/>
      <c r="U248" s="378"/>
      <c r="V248" s="380">
        <f>236089382+4745975+2372988</f>
        <v>243208345</v>
      </c>
      <c r="W248" s="378"/>
      <c r="X248" s="378"/>
      <c r="Y248" s="378">
        <f>241668914+424528</f>
        <v>242093442</v>
      </c>
      <c r="Z248" s="378"/>
      <c r="AA248" s="378"/>
      <c r="AB248" s="378"/>
      <c r="AC248" s="378"/>
      <c r="AD248" s="378"/>
      <c r="AE248" s="378"/>
      <c r="AF248" s="378"/>
      <c r="AG248" s="378"/>
      <c r="AH248" s="378"/>
      <c r="AI248" s="378"/>
      <c r="AJ248" s="378"/>
      <c r="AK248" s="378"/>
      <c r="AL248" s="378"/>
      <c r="AM248" s="378"/>
      <c r="AN248" s="378"/>
      <c r="AO248" s="378"/>
      <c r="AP248" s="378"/>
      <c r="AQ248" s="378"/>
      <c r="AR248" s="378"/>
      <c r="AS248" s="378"/>
      <c r="AT248" s="378">
        <f t="shared" si="467"/>
        <v>1324672689</v>
      </c>
      <c r="AU248" s="387">
        <f t="shared" si="468"/>
        <v>50.262899660328564</v>
      </c>
      <c r="AV248" s="382">
        <f t="shared" si="469"/>
        <v>1310815311</v>
      </c>
      <c r="AW248" s="381">
        <f t="shared" si="470"/>
        <v>49.737100339671436</v>
      </c>
      <c r="AX248" s="375" t="s">
        <v>576</v>
      </c>
      <c r="AY248" t="s">
        <v>546</v>
      </c>
      <c r="BA248" s="215"/>
      <c r="BB248"/>
      <c r="BC248" s="215"/>
      <c r="BD248"/>
    </row>
    <row r="249" spans="2:60" x14ac:dyDescent="0.25">
      <c r="B249" s="391" t="s">
        <v>2208</v>
      </c>
      <c r="C249" s="371" t="s">
        <v>3702</v>
      </c>
      <c r="D249" s="372"/>
      <c r="E249" s="372"/>
      <c r="F249" s="373">
        <f t="shared" ref="F249:G249" si="475">F250</f>
        <v>323949000</v>
      </c>
      <c r="G249" s="373">
        <f t="shared" si="475"/>
        <v>323949000</v>
      </c>
      <c r="H249" s="373">
        <f>H250</f>
        <v>323949000</v>
      </c>
      <c r="I249" s="373">
        <f t="shared" si="464"/>
        <v>0</v>
      </c>
      <c r="J249" s="373">
        <f t="shared" ref="J249:K249" si="476">SUM(J250:J260)</f>
        <v>0</v>
      </c>
      <c r="K249" s="373">
        <f t="shared" si="476"/>
        <v>0</v>
      </c>
      <c r="L249" s="373">
        <f>SUM(L250:L260)</f>
        <v>0</v>
      </c>
      <c r="M249" s="373">
        <f t="shared" ref="M249:N249" si="477">SUM(M250:M260)</f>
        <v>0</v>
      </c>
      <c r="N249" s="373">
        <f t="shared" si="477"/>
        <v>0</v>
      </c>
      <c r="O249" s="373">
        <f>SUM(O250:O260)</f>
        <v>0</v>
      </c>
      <c r="P249" s="373">
        <f t="shared" ref="P249:Q249" si="478">SUM(P250:P260)</f>
        <v>0</v>
      </c>
      <c r="Q249" s="373">
        <f t="shared" si="478"/>
        <v>0</v>
      </c>
      <c r="R249" s="373">
        <f>SUM(R250:R260)</f>
        <v>0</v>
      </c>
      <c r="S249" s="373">
        <f t="shared" ref="S249:AR249" si="479">SUM(S250:S260)</f>
        <v>0</v>
      </c>
      <c r="T249" s="373">
        <f t="shared" si="479"/>
        <v>0</v>
      </c>
      <c r="U249" s="373">
        <f t="shared" si="479"/>
        <v>0</v>
      </c>
      <c r="V249" s="373">
        <f t="shared" si="479"/>
        <v>0</v>
      </c>
      <c r="W249" s="373">
        <f t="shared" si="479"/>
        <v>0</v>
      </c>
      <c r="X249" s="373">
        <f t="shared" si="479"/>
        <v>0</v>
      </c>
      <c r="Y249" s="373">
        <f t="shared" si="479"/>
        <v>0</v>
      </c>
      <c r="Z249" s="373">
        <f t="shared" si="479"/>
        <v>0</v>
      </c>
      <c r="AA249" s="373">
        <f t="shared" si="479"/>
        <v>0</v>
      </c>
      <c r="AB249" s="373">
        <f t="shared" si="479"/>
        <v>0</v>
      </c>
      <c r="AC249" s="373">
        <f t="shared" si="479"/>
        <v>0</v>
      </c>
      <c r="AD249" s="373">
        <f t="shared" si="479"/>
        <v>0</v>
      </c>
      <c r="AE249" s="373">
        <f t="shared" si="479"/>
        <v>0</v>
      </c>
      <c r="AF249" s="373">
        <f t="shared" si="479"/>
        <v>0</v>
      </c>
      <c r="AG249" s="373">
        <f t="shared" si="479"/>
        <v>0</v>
      </c>
      <c r="AH249" s="373">
        <f t="shared" si="479"/>
        <v>0</v>
      </c>
      <c r="AI249" s="373">
        <f t="shared" si="479"/>
        <v>0</v>
      </c>
      <c r="AJ249" s="373">
        <f t="shared" si="479"/>
        <v>0</v>
      </c>
      <c r="AK249" s="373">
        <f t="shared" si="479"/>
        <v>0</v>
      </c>
      <c r="AL249" s="373">
        <f t="shared" si="479"/>
        <v>0</v>
      </c>
      <c r="AM249" s="373">
        <f t="shared" si="479"/>
        <v>0</v>
      </c>
      <c r="AN249" s="373">
        <f t="shared" si="479"/>
        <v>0</v>
      </c>
      <c r="AO249" s="373">
        <f t="shared" si="479"/>
        <v>0</v>
      </c>
      <c r="AP249" s="373">
        <f t="shared" si="479"/>
        <v>0</v>
      </c>
      <c r="AQ249" s="373">
        <f t="shared" si="479"/>
        <v>0</v>
      </c>
      <c r="AR249" s="373">
        <f t="shared" si="479"/>
        <v>0</v>
      </c>
      <c r="AS249" s="167"/>
      <c r="AT249" s="167">
        <f t="shared" ref="AT249" si="480">SUM(J249:AS249)</f>
        <v>0</v>
      </c>
      <c r="AU249" s="226">
        <f t="shared" ref="AU249" si="481">IFERROR(AT249/F249*100,0)</f>
        <v>0</v>
      </c>
      <c r="AV249" s="175">
        <f t="shared" ref="AV249" si="482">F249-AT249</f>
        <v>323949000</v>
      </c>
      <c r="AW249" s="385">
        <f t="shared" ref="AW249" si="483">AV249/F249*100</f>
        <v>100</v>
      </c>
      <c r="AX249" s="372" t="s">
        <v>576</v>
      </c>
      <c r="AY249" t="s">
        <v>546</v>
      </c>
      <c r="BA249" s="374"/>
      <c r="BB249"/>
      <c r="BC249" s="374"/>
      <c r="BD249"/>
    </row>
    <row r="250" spans="2:60" x14ac:dyDescent="0.25">
      <c r="B250" s="392">
        <v>512411</v>
      </c>
      <c r="C250" s="400" t="s">
        <v>88</v>
      </c>
      <c r="D250" s="400"/>
      <c r="E250" s="400"/>
      <c r="F250" s="401">
        <v>323949000</v>
      </c>
      <c r="G250" s="401">
        <v>323949000</v>
      </c>
      <c r="H250" s="401">
        <v>323949000</v>
      </c>
      <c r="I250" s="401">
        <f t="shared" si="464"/>
        <v>0</v>
      </c>
      <c r="J250" s="401"/>
      <c r="K250" s="401"/>
      <c r="L250" s="401"/>
      <c r="M250" s="402"/>
      <c r="N250" s="401"/>
      <c r="O250" s="401"/>
      <c r="P250" s="402"/>
      <c r="Q250" s="401"/>
      <c r="R250" s="401"/>
      <c r="S250" s="402"/>
      <c r="T250" s="401"/>
      <c r="U250" s="401"/>
      <c r="V250" s="403"/>
      <c r="W250" s="401"/>
      <c r="X250" s="401"/>
      <c r="Y250" s="401"/>
      <c r="Z250" s="401"/>
      <c r="AA250" s="401"/>
      <c r="AB250" s="401"/>
      <c r="AC250" s="401"/>
      <c r="AD250" s="401"/>
      <c r="AE250" s="401"/>
      <c r="AF250" s="401"/>
      <c r="AG250" s="401"/>
      <c r="AH250" s="401"/>
      <c r="AI250" s="401"/>
      <c r="AJ250" s="401"/>
      <c r="AK250" s="401"/>
      <c r="AL250" s="401"/>
      <c r="AM250" s="401"/>
      <c r="AN250" s="401"/>
      <c r="AO250" s="401"/>
      <c r="AP250" s="401"/>
      <c r="AQ250" s="401"/>
      <c r="AR250" s="401"/>
      <c r="AS250" s="401"/>
      <c r="AT250" s="401">
        <f>SUM(J250:AS250)</f>
        <v>0</v>
      </c>
      <c r="AU250" s="404">
        <f>IFERROR(AT250/F250*100,0)</f>
        <v>0</v>
      </c>
      <c r="AV250" s="405">
        <f>F250-AT250</f>
        <v>323949000</v>
      </c>
      <c r="AW250" s="406">
        <f>AV250/F250*100</f>
        <v>100</v>
      </c>
      <c r="AX250" s="400"/>
      <c r="AY250" s="227"/>
      <c r="AZ250" s="227"/>
      <c r="BA250" s="407"/>
      <c r="BB250" s="407"/>
      <c r="BC250" s="407"/>
      <c r="BD250" s="407"/>
      <c r="BE250" s="227"/>
      <c r="BF250" s="227"/>
      <c r="BG250" s="227"/>
      <c r="BH250" s="227"/>
    </row>
    <row r="257" spans="4:6" x14ac:dyDescent="0.25">
      <c r="D257" s="215"/>
      <c r="E257" s="215"/>
      <c r="F257" s="215"/>
    </row>
    <row r="258" spans="4:6" x14ac:dyDescent="0.25">
      <c r="D258" s="215"/>
      <c r="E258" s="215"/>
      <c r="F258" s="215"/>
    </row>
    <row r="259" spans="4:6" x14ac:dyDescent="0.25">
      <c r="D259" s="215"/>
      <c r="E259" s="215"/>
      <c r="F259" s="215"/>
    </row>
    <row r="260" spans="4:6" x14ac:dyDescent="0.25">
      <c r="D260" s="215"/>
      <c r="E260" s="215"/>
      <c r="F260" s="215"/>
    </row>
    <row r="261" spans="4:6" x14ac:dyDescent="0.25">
      <c r="D261" s="215"/>
      <c r="E261" s="215"/>
      <c r="F261" s="215"/>
    </row>
    <row r="262" spans="4:6" x14ac:dyDescent="0.25">
      <c r="D262" s="215"/>
      <c r="E262" s="215"/>
      <c r="F262" s="215"/>
    </row>
    <row r="263" spans="4:6" x14ac:dyDescent="0.25">
      <c r="D263" s="215"/>
      <c r="E263" s="215"/>
      <c r="F263" s="215"/>
    </row>
    <row r="264" spans="4:6" x14ac:dyDescent="0.25">
      <c r="D264" s="215"/>
      <c r="E264" s="215"/>
      <c r="F264" s="215"/>
    </row>
    <row r="265" spans="4:6" x14ac:dyDescent="0.25">
      <c r="D265" s="215"/>
      <c r="E265" s="215"/>
      <c r="F265" s="215"/>
    </row>
    <row r="266" spans="4:6" x14ac:dyDescent="0.25">
      <c r="D266" s="215"/>
      <c r="E266" s="215"/>
      <c r="F266" s="215"/>
    </row>
    <row r="267" spans="4:6" x14ac:dyDescent="0.25">
      <c r="D267" s="215"/>
      <c r="E267" s="215"/>
      <c r="F267" s="215"/>
    </row>
  </sheetData>
  <autoFilter ref="B12:BH231" xr:uid="{B070A0AF-EFE7-4050-AFDE-970D0A0520C8}">
    <filterColumn colId="8" showButton="0"/>
    <filterColumn colId="9" showButton="0"/>
    <filterColumn colId="11" showButton="0"/>
    <filterColumn colId="12" showButton="0"/>
    <filterColumn colId="14" showButton="0"/>
    <filterColumn colId="15" showButton="0"/>
    <filterColumn colId="17" showButton="0"/>
    <filterColumn colId="18" showButton="0"/>
    <filterColumn colId="20" showButton="0"/>
    <filterColumn colId="21" showButton="0"/>
    <filterColumn colId="23" showButton="0"/>
    <filterColumn colId="24" showButton="0"/>
    <filterColumn colId="26" showButton="0"/>
    <filterColumn colId="27" showButton="0"/>
    <filterColumn colId="29" showButton="0"/>
    <filterColumn colId="30" showButton="0"/>
    <filterColumn colId="32" showButton="0"/>
    <filterColumn colId="33" showButton="0"/>
    <filterColumn colId="35" showButton="0"/>
    <filterColumn colId="36" showButton="0"/>
    <filterColumn colId="38" showButton="0"/>
    <filterColumn colId="39" showButton="0"/>
    <filterColumn colId="41" showButton="0"/>
    <filterColumn colId="42" showButton="0"/>
  </autoFilter>
  <mergeCells count="16">
    <mergeCell ref="AW12:AW13"/>
    <mergeCell ref="AT12:AT13"/>
    <mergeCell ref="AU12:AU13"/>
    <mergeCell ref="AV12:AV13"/>
    <mergeCell ref="AB12:AD12"/>
    <mergeCell ref="AE12:AG12"/>
    <mergeCell ref="AH12:AJ12"/>
    <mergeCell ref="AK12:AM12"/>
    <mergeCell ref="AN12:AP12"/>
    <mergeCell ref="AQ12:AS12"/>
    <mergeCell ref="Y12:AA12"/>
    <mergeCell ref="J12:L12"/>
    <mergeCell ref="M12:O12"/>
    <mergeCell ref="P12:R12"/>
    <mergeCell ref="S12:U12"/>
    <mergeCell ref="V12:X12"/>
  </mergeCells>
  <phoneticPr fontId="26" type="noConversion"/>
  <conditionalFormatting sqref="AT21:AT231">
    <cfRule type="expression" dxfId="497" priority="7">
      <formula>ROW()=CELL("ROW")</formula>
    </cfRule>
  </conditionalFormatting>
  <conditionalFormatting sqref="AS236:AS237">
    <cfRule type="expression" dxfId="496" priority="5">
      <formula>ROW()=CELL("ROW")</formula>
    </cfRule>
  </conditionalFormatting>
  <conditionalFormatting sqref="B237:C237">
    <cfRule type="expression" dxfId="495" priority="4">
      <formula>AND($R$4="Ya",$Q$2=ROW())</formula>
    </cfRule>
  </conditionalFormatting>
  <conditionalFormatting sqref="AT238:AT248">
    <cfRule type="expression" dxfId="494" priority="3">
      <formula>ROW()=CELL("ROW")</formula>
    </cfRule>
  </conditionalFormatting>
  <conditionalFormatting sqref="AS249">
    <cfRule type="expression" dxfId="493" priority="2">
      <formula>ROW()=CELL("ROW")</formula>
    </cfRule>
  </conditionalFormatting>
  <conditionalFormatting sqref="B249:C249">
    <cfRule type="expression" dxfId="492" priority="1">
      <formula>AND($R$4="Ya",$Q$2=ROW())</formula>
    </cfRule>
  </conditionalFormatting>
  <dataValidations disablePrompts="1" count="3">
    <dataValidation type="list" allowBlank="1" showInputMessage="1" showErrorMessage="1" sqref="AZ14:AZ231" xr:uid="{1A5B5EA2-F992-45AC-8EBE-DBC26C7829DF}">
      <formula1>"Belanja Operasional , Belanja Barang Non Operasional, Gaji dan Tunjangan, Belanja Modal"</formula1>
    </dataValidation>
    <dataValidation type="list" allowBlank="1" showInputMessage="1" showErrorMessage="1" sqref="AX32:AX107 AX123:AX145 AX147:AX231 AW236:AW237 AW249" xr:uid="{04AA01C8-8303-488B-99E4-72766D54BA1E}">
      <formula1>"Perencanaan dan Evaluasi, Tata Usaha, Peserta Didik Sarana dan Prasarana dan Metode dan Kurikulum, Kelembagaan dan Ketenagaan"</formula1>
    </dataValidation>
    <dataValidation type="list" allowBlank="1" showInputMessage="1" showErrorMessage="1" sqref="AX19:AX31 AX108:AX122" xr:uid="{3ED2D0D8-7CA5-48CE-9D96-5BC248B015AA}">
      <formula1>"Perencanaan dan Evaluasi, Tata Usaha, Penyelenggaraan Pendidikan, Kelembagaan dan Ketenagaan"</formula1>
    </dataValidation>
  </dataValidations>
  <pageMargins left="0.42" right="0.12" top="0.31" bottom="0.72" header="0.18" footer="0.53"/>
  <pageSetup paperSize="9" scale="18" fitToHeight="0" orientation="portrait" horizontalDpi="0" verticalDpi="0" r:id="rId1"/>
  <legacyDrawing r:id="rId2"/>
  <tableParts count="1">
    <tablePart r:id="rId3"/>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9D5FD1CC-1894-4189-AB77-CC0C98684EC8}">
          <x14:formula1>
            <xm:f>'PERSUBBID - Gaji'!$B$17:$B$49</xm:f>
          </x14:formula1>
          <xm:sqref>AY14:AY59 AY147:AY231 AY62:AY145</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59931-1A1F-40B8-903A-1B1BD1034D2A}">
  <sheetPr codeName="Sheet18"/>
  <dimension ref="A3:I232"/>
  <sheetViews>
    <sheetView topLeftCell="A94" workbookViewId="0">
      <selection activeCell="B4" sqref="B4:B122"/>
    </sheetView>
  </sheetViews>
  <sheetFormatPr defaultRowHeight="15" x14ac:dyDescent="0.25"/>
  <cols>
    <col min="1" max="1" width="29.28515625" bestFit="1" customWidth="1"/>
    <col min="2" max="2" width="16.5703125" style="215" bestFit="1" customWidth="1"/>
    <col min="4" max="4" width="29.28515625" bestFit="1" customWidth="1"/>
    <col min="5" max="5" width="28.42578125" style="215" bestFit="1" customWidth="1"/>
    <col min="8" max="8" width="14.140625" style="215" bestFit="1" customWidth="1"/>
    <col min="9" max="9" width="14.140625" bestFit="1" customWidth="1"/>
  </cols>
  <sheetData>
    <row r="3" spans="1:9" x14ac:dyDescent="0.25">
      <c r="A3" s="345" t="s">
        <v>4021</v>
      </c>
      <c r="B3" s="215" t="s">
        <v>5413</v>
      </c>
      <c r="D3" t="s">
        <v>5418</v>
      </c>
      <c r="E3" s="215" t="s">
        <v>5419</v>
      </c>
    </row>
    <row r="4" spans="1:9" x14ac:dyDescent="0.25">
      <c r="A4" s="216" t="s">
        <v>424</v>
      </c>
      <c r="B4" s="215">
        <v>19875000</v>
      </c>
      <c r="D4" t="s">
        <v>424</v>
      </c>
      <c r="E4" s="215">
        <f>_xlfn.XLOOKUP(Table6[[#This Row],[Column1]],$A$4:$A$122,$B$4:$B$122,0,0,1)</f>
        <v>19875000</v>
      </c>
      <c r="G4" t="b">
        <f>A4=Table6[[#This Row],[Column1]]</f>
        <v>1</v>
      </c>
      <c r="H4" s="215">
        <v>19875000</v>
      </c>
      <c r="I4" s="217">
        <f>B4-H4</f>
        <v>0</v>
      </c>
    </row>
    <row r="5" spans="1:9" x14ac:dyDescent="0.25">
      <c r="A5" s="216" t="s">
        <v>772</v>
      </c>
      <c r="B5" s="215">
        <v>20000000</v>
      </c>
      <c r="D5" t="s">
        <v>772</v>
      </c>
      <c r="E5" s="215">
        <f>_xlfn.XLOOKUP(Table6[[#This Row],[Column1]],$A$4:$A$122,$B$4:$B$122,0,0,1)</f>
        <v>20000000</v>
      </c>
      <c r="G5" t="b">
        <f>A5=Table6[[#This Row],[Column1]]</f>
        <v>1</v>
      </c>
      <c r="H5" s="215">
        <v>20000000</v>
      </c>
      <c r="I5" s="217">
        <f t="shared" ref="I5:I65" si="0">B5-H5</f>
        <v>0</v>
      </c>
    </row>
    <row r="6" spans="1:9" x14ac:dyDescent="0.25">
      <c r="A6" s="216" t="s">
        <v>429</v>
      </c>
      <c r="B6" s="215">
        <v>43260000</v>
      </c>
      <c r="D6" t="s">
        <v>429</v>
      </c>
      <c r="E6" s="215">
        <f>_xlfn.XLOOKUP(Table6[[#This Row],[Column1]],$A$4:$A$122,$B$4:$B$122,0,0,1)</f>
        <v>43260000</v>
      </c>
      <c r="G6" t="b">
        <f>A6=Table6[[#This Row],[Column1]]</f>
        <v>1</v>
      </c>
      <c r="H6" s="215">
        <v>43260000</v>
      </c>
      <c r="I6" s="217">
        <f t="shared" si="0"/>
        <v>0</v>
      </c>
    </row>
    <row r="7" spans="1:9" x14ac:dyDescent="0.25">
      <c r="A7" s="216" t="s">
        <v>432</v>
      </c>
      <c r="B7" s="215">
        <v>19500000</v>
      </c>
      <c r="D7" t="s">
        <v>432</v>
      </c>
      <c r="E7" s="215">
        <f>_xlfn.XLOOKUP(Table6[[#This Row],[Column1]],$A$4:$A$122,$B$4:$B$122,0,0,1)</f>
        <v>19500000</v>
      </c>
      <c r="G7" t="b">
        <f>A7=Table6[[#This Row],[Column1]]</f>
        <v>1</v>
      </c>
      <c r="H7" s="215">
        <v>19500000</v>
      </c>
      <c r="I7" s="217">
        <f t="shared" si="0"/>
        <v>0</v>
      </c>
    </row>
    <row r="8" spans="1:9" x14ac:dyDescent="0.25">
      <c r="A8" s="216" t="s">
        <v>777</v>
      </c>
      <c r="B8" s="215">
        <v>4000000</v>
      </c>
      <c r="D8" t="s">
        <v>777</v>
      </c>
      <c r="E8" s="215">
        <f>_xlfn.XLOOKUP(Table6[[#This Row],[Column1]],$A$4:$A$122,$B$4:$B$122,0,0,1)</f>
        <v>4000000</v>
      </c>
      <c r="G8" t="b">
        <f>A8=Table6[[#This Row],[Column1]]</f>
        <v>1</v>
      </c>
      <c r="H8" s="215">
        <v>4000000</v>
      </c>
      <c r="I8" s="217">
        <f t="shared" si="0"/>
        <v>0</v>
      </c>
    </row>
    <row r="9" spans="1:9" x14ac:dyDescent="0.25">
      <c r="A9" s="216" t="s">
        <v>437</v>
      </c>
      <c r="B9" s="215">
        <v>17465000</v>
      </c>
      <c r="D9" t="s">
        <v>437</v>
      </c>
      <c r="E9" s="215">
        <f>_xlfn.XLOOKUP(Table6[[#This Row],[Column1]],$A$4:$A$122,$B$4:$B$122,0,0,1)</f>
        <v>17465000</v>
      </c>
      <c r="G9" t="b">
        <f>A9=Table6[[#This Row],[Column1]]</f>
        <v>1</v>
      </c>
      <c r="H9" s="215">
        <v>17465000</v>
      </c>
      <c r="I9" s="217">
        <f t="shared" si="0"/>
        <v>0</v>
      </c>
    </row>
    <row r="10" spans="1:9" x14ac:dyDescent="0.25">
      <c r="A10" s="216" t="s">
        <v>441</v>
      </c>
      <c r="B10" s="215">
        <v>21250000</v>
      </c>
      <c r="D10" t="s">
        <v>441</v>
      </c>
      <c r="E10" s="215">
        <f>_xlfn.XLOOKUP(Table6[[#This Row],[Column1]],$A$4:$A$122,$B$4:$B$122,0,0,1)</f>
        <v>21250000</v>
      </c>
      <c r="G10" t="b">
        <f>A10=Table6[[#This Row],[Column1]]</f>
        <v>1</v>
      </c>
      <c r="H10" s="215">
        <v>21250000</v>
      </c>
      <c r="I10" s="217">
        <f t="shared" si="0"/>
        <v>0</v>
      </c>
    </row>
    <row r="11" spans="1:9" x14ac:dyDescent="0.25">
      <c r="A11" s="216" t="s">
        <v>448</v>
      </c>
      <c r="B11" s="215">
        <v>33250000</v>
      </c>
      <c r="D11" t="s">
        <v>448</v>
      </c>
      <c r="E11" s="215">
        <f>_xlfn.XLOOKUP(Table6[[#This Row],[Column1]],$A$4:$A$122,$B$4:$B$122,0,0,1)</f>
        <v>33250000</v>
      </c>
      <c r="G11" t="b">
        <f>A11=Table6[[#This Row],[Column1]]</f>
        <v>1</v>
      </c>
      <c r="H11" s="215">
        <v>33250000</v>
      </c>
      <c r="I11" s="217">
        <f t="shared" si="0"/>
        <v>0</v>
      </c>
    </row>
    <row r="12" spans="1:9" x14ac:dyDescent="0.25">
      <c r="A12" s="216" t="s">
        <v>452</v>
      </c>
      <c r="B12" s="215">
        <v>64900000</v>
      </c>
      <c r="D12" t="s">
        <v>452</v>
      </c>
      <c r="E12" s="215">
        <f>_xlfn.XLOOKUP(Table6[[#This Row],[Column1]],$A$4:$A$122,$B$4:$B$122,0,0,1)</f>
        <v>64900000</v>
      </c>
      <c r="G12" t="b">
        <f>A12=Table6[[#This Row],[Column1]]</f>
        <v>1</v>
      </c>
      <c r="H12" s="215">
        <v>64900000</v>
      </c>
      <c r="I12" s="217">
        <f t="shared" si="0"/>
        <v>0</v>
      </c>
    </row>
    <row r="13" spans="1:9" x14ac:dyDescent="0.25">
      <c r="A13" s="216" t="s">
        <v>455</v>
      </c>
      <c r="B13" s="215">
        <v>6000000</v>
      </c>
      <c r="D13" t="s">
        <v>455</v>
      </c>
      <c r="E13" s="215">
        <f>_xlfn.XLOOKUP(Table6[[#This Row],[Column1]],$A$4:$A$122,$B$4:$B$122,0,0,1)</f>
        <v>6000000</v>
      </c>
      <c r="G13" t="b">
        <f>A13=Table6[[#This Row],[Column1]]</f>
        <v>1</v>
      </c>
      <c r="H13" s="215">
        <v>6000000</v>
      </c>
      <c r="I13" s="217">
        <f t="shared" si="0"/>
        <v>0</v>
      </c>
    </row>
    <row r="14" spans="1:9" x14ac:dyDescent="0.25">
      <c r="A14" s="216" t="s">
        <v>458</v>
      </c>
      <c r="B14" s="215">
        <v>30000000</v>
      </c>
      <c r="D14" t="s">
        <v>458</v>
      </c>
      <c r="E14" s="215">
        <f>_xlfn.XLOOKUP(Table6[[#This Row],[Column1]],$A$4:$A$122,$B$4:$B$122,0,0,1)</f>
        <v>30000000</v>
      </c>
      <c r="G14" t="b">
        <f>A14=Table6[[#This Row],[Column1]]</f>
        <v>1</v>
      </c>
      <c r="H14" s="215">
        <v>30000000</v>
      </c>
      <c r="I14" s="217">
        <f t="shared" si="0"/>
        <v>0</v>
      </c>
    </row>
    <row r="15" spans="1:9" x14ac:dyDescent="0.25">
      <c r="A15" s="216" t="s">
        <v>461</v>
      </c>
      <c r="B15" s="215">
        <v>25200000</v>
      </c>
      <c r="D15" t="s">
        <v>461</v>
      </c>
      <c r="E15" s="215">
        <f>_xlfn.XLOOKUP(Table6[[#This Row],[Column1]],$A$4:$A$122,$B$4:$B$122,0,0,1)</f>
        <v>25200000</v>
      </c>
      <c r="G15" t="b">
        <f>A15=Table6[[#This Row],[Column1]]</f>
        <v>1</v>
      </c>
      <c r="H15" s="215">
        <v>25200000</v>
      </c>
      <c r="I15" s="217">
        <f t="shared" si="0"/>
        <v>0</v>
      </c>
    </row>
    <row r="16" spans="1:9" x14ac:dyDescent="0.25">
      <c r="A16" s="216" t="s">
        <v>463</v>
      </c>
      <c r="B16" s="215">
        <v>6000000</v>
      </c>
      <c r="D16" t="s">
        <v>463</v>
      </c>
      <c r="E16" s="215">
        <f>_xlfn.XLOOKUP(Table6[[#This Row],[Column1]],$A$4:$A$122,$B$4:$B$122,0,0,1)</f>
        <v>6000000</v>
      </c>
      <c r="G16" t="b">
        <f>A16=Table6[[#This Row],[Column1]]</f>
        <v>1</v>
      </c>
      <c r="H16" s="215">
        <v>6000000</v>
      </c>
      <c r="I16" s="217">
        <f t="shared" si="0"/>
        <v>0</v>
      </c>
    </row>
    <row r="17" spans="1:9" x14ac:dyDescent="0.25">
      <c r="A17" s="216" t="s">
        <v>465</v>
      </c>
      <c r="B17" s="215">
        <v>253324000</v>
      </c>
      <c r="D17" t="s">
        <v>465</v>
      </c>
      <c r="E17" s="215">
        <f>_xlfn.XLOOKUP(Table6[[#This Row],[Column1]],$A$4:$A$122,$B$4:$B$122,0,0,1)</f>
        <v>253324000</v>
      </c>
      <c r="G17" t="b">
        <f>A17=Table6[[#This Row],[Column1]]</f>
        <v>1</v>
      </c>
      <c r="H17" s="215">
        <v>253324000</v>
      </c>
      <c r="I17" s="217">
        <f t="shared" si="0"/>
        <v>0</v>
      </c>
    </row>
    <row r="18" spans="1:9" x14ac:dyDescent="0.25">
      <c r="A18" s="216" t="s">
        <v>467</v>
      </c>
      <c r="B18" s="215">
        <v>1500000</v>
      </c>
      <c r="D18" t="s">
        <v>467</v>
      </c>
      <c r="E18" s="215">
        <f>_xlfn.XLOOKUP(Table6[[#This Row],[Column1]],$A$4:$A$122,$B$4:$B$122,0,0,1)</f>
        <v>1500000</v>
      </c>
      <c r="G18" t="b">
        <f>A18=Table6[[#This Row],[Column1]]</f>
        <v>1</v>
      </c>
      <c r="H18" s="215">
        <v>1500000</v>
      </c>
      <c r="I18" s="217">
        <f t="shared" si="0"/>
        <v>0</v>
      </c>
    </row>
    <row r="19" spans="1:9" x14ac:dyDescent="0.25">
      <c r="A19" s="216" t="s">
        <v>470</v>
      </c>
      <c r="B19" s="215">
        <v>71456000</v>
      </c>
      <c r="D19" t="s">
        <v>470</v>
      </c>
      <c r="E19" s="215">
        <f>_xlfn.XLOOKUP(Table6[[#This Row],[Column1]],$A$4:$A$122,$B$4:$B$122,0,0,1)</f>
        <v>71456000</v>
      </c>
      <c r="G19" t="b">
        <f>A19=Table6[[#This Row],[Column1]]</f>
        <v>1</v>
      </c>
      <c r="H19" s="215">
        <v>71456000</v>
      </c>
      <c r="I19" s="217">
        <f t="shared" si="0"/>
        <v>0</v>
      </c>
    </row>
    <row r="20" spans="1:9" x14ac:dyDescent="0.25">
      <c r="A20" s="216" t="s">
        <v>473</v>
      </c>
      <c r="B20" s="215">
        <v>5000000</v>
      </c>
      <c r="D20" t="s">
        <v>473</v>
      </c>
      <c r="E20" s="215">
        <f>_xlfn.XLOOKUP(Table6[[#This Row],[Column1]],$A$4:$A$122,$B$4:$B$122,0,0,1)</f>
        <v>5000000</v>
      </c>
      <c r="G20" t="b">
        <f>A20=Table6[[#This Row],[Column1]]</f>
        <v>1</v>
      </c>
      <c r="H20" s="215">
        <v>5000000</v>
      </c>
      <c r="I20" s="217">
        <f t="shared" si="0"/>
        <v>0</v>
      </c>
    </row>
    <row r="21" spans="1:9" x14ac:dyDescent="0.25">
      <c r="A21" s="216" t="s">
        <v>475</v>
      </c>
      <c r="B21" s="215">
        <v>15000000</v>
      </c>
      <c r="D21" t="s">
        <v>475</v>
      </c>
      <c r="E21" s="215">
        <f>_xlfn.XLOOKUP(Table6[[#This Row],[Column1]],$A$4:$A$122,$B$4:$B$122,0,0,1)</f>
        <v>15000000</v>
      </c>
      <c r="G21" t="b">
        <f>A21=Table6[[#This Row],[Column1]]</f>
        <v>1</v>
      </c>
      <c r="H21" s="215">
        <v>15000000</v>
      </c>
      <c r="I21" s="217">
        <f t="shared" si="0"/>
        <v>0</v>
      </c>
    </row>
    <row r="22" spans="1:9" x14ac:dyDescent="0.25">
      <c r="A22" s="216" t="s">
        <v>478</v>
      </c>
      <c r="B22" s="215">
        <v>16200000</v>
      </c>
      <c r="D22" t="s">
        <v>478</v>
      </c>
      <c r="E22" s="215">
        <f>_xlfn.XLOOKUP(Table6[[#This Row],[Column1]],$A$4:$A$122,$B$4:$B$122,0,0,1)</f>
        <v>16200000</v>
      </c>
      <c r="G22" t="b">
        <f>A22=Table6[[#This Row],[Column1]]</f>
        <v>1</v>
      </c>
      <c r="H22" s="215">
        <v>16200000</v>
      </c>
      <c r="I22" s="217">
        <f t="shared" si="0"/>
        <v>0</v>
      </c>
    </row>
    <row r="23" spans="1:9" x14ac:dyDescent="0.25">
      <c r="A23" s="216" t="s">
        <v>480</v>
      </c>
      <c r="B23" s="215">
        <v>2000000</v>
      </c>
      <c r="D23" t="s">
        <v>480</v>
      </c>
      <c r="E23" s="215">
        <f>_xlfn.XLOOKUP(Table6[[#This Row],[Column1]],$A$4:$A$122,$B$4:$B$122,0,0,1)</f>
        <v>2000000</v>
      </c>
      <c r="G23" t="b">
        <f>A23=Table6[[#This Row],[Column1]]</f>
        <v>1</v>
      </c>
      <c r="H23" s="215">
        <v>2000000</v>
      </c>
      <c r="I23" s="217">
        <f t="shared" si="0"/>
        <v>0</v>
      </c>
    </row>
    <row r="24" spans="1:9" x14ac:dyDescent="0.25">
      <c r="A24" s="216" t="s">
        <v>482</v>
      </c>
      <c r="B24" s="215">
        <v>138160000</v>
      </c>
      <c r="D24" t="s">
        <v>482</v>
      </c>
      <c r="E24" s="215">
        <f>_xlfn.XLOOKUP(Table6[[#This Row],[Column1]],$A$4:$A$122,$B$4:$B$122,0,0,1)</f>
        <v>138160000</v>
      </c>
      <c r="G24" t="b">
        <f>A24=Table6[[#This Row],[Column1]]</f>
        <v>1</v>
      </c>
      <c r="H24" s="215">
        <v>138160000</v>
      </c>
      <c r="I24" s="217">
        <f t="shared" si="0"/>
        <v>0</v>
      </c>
    </row>
    <row r="25" spans="1:9" x14ac:dyDescent="0.25">
      <c r="A25" s="216" t="s">
        <v>796</v>
      </c>
      <c r="B25" s="215">
        <v>20830000</v>
      </c>
      <c r="D25" t="s">
        <v>796</v>
      </c>
      <c r="E25" s="215">
        <f>_xlfn.XLOOKUP(Table6[[#This Row],[Column1]],$A$4:$A$122,$B$4:$B$122,0,0,1)</f>
        <v>20830000</v>
      </c>
      <c r="G25" t="b">
        <f>A25=Table6[[#This Row],[Column1]]</f>
        <v>1</v>
      </c>
      <c r="H25" s="215">
        <v>20830000</v>
      </c>
      <c r="I25" s="217">
        <f t="shared" si="0"/>
        <v>0</v>
      </c>
    </row>
    <row r="26" spans="1:9" x14ac:dyDescent="0.25">
      <c r="A26" s="216" t="s">
        <v>801</v>
      </c>
      <c r="B26" s="215">
        <v>500000</v>
      </c>
      <c r="D26" t="s">
        <v>801</v>
      </c>
      <c r="E26" s="215">
        <f>_xlfn.XLOOKUP(Table6[[#This Row],[Column1]],$A$4:$A$122,$B$4:$B$122,0,0,1)</f>
        <v>500000</v>
      </c>
      <c r="G26" t="b">
        <f>A26=Table6[[#This Row],[Column1]]</f>
        <v>1</v>
      </c>
      <c r="H26" s="215">
        <v>500000</v>
      </c>
      <c r="I26" s="217">
        <f t="shared" si="0"/>
        <v>0</v>
      </c>
    </row>
    <row r="27" spans="1:9" x14ac:dyDescent="0.25">
      <c r="A27" s="216" t="s">
        <v>803</v>
      </c>
      <c r="B27" s="215">
        <v>7200000</v>
      </c>
      <c r="D27" t="s">
        <v>803</v>
      </c>
      <c r="E27" s="215">
        <f>_xlfn.XLOOKUP(Table6[[#This Row],[Column1]],$A$4:$A$122,$B$4:$B$122,0,0,1)</f>
        <v>7200000</v>
      </c>
      <c r="G27" t="b">
        <f>A27=Table6[[#This Row],[Column1]]</f>
        <v>1</v>
      </c>
      <c r="H27" s="215">
        <v>7200000</v>
      </c>
      <c r="I27" s="217">
        <f t="shared" si="0"/>
        <v>0</v>
      </c>
    </row>
    <row r="28" spans="1:9" x14ac:dyDescent="0.25">
      <c r="A28" s="216" t="s">
        <v>805</v>
      </c>
      <c r="B28" s="215">
        <v>23030000</v>
      </c>
      <c r="D28" t="s">
        <v>805</v>
      </c>
      <c r="E28" s="215">
        <f>_xlfn.XLOOKUP(Table6[[#This Row],[Column1]],$A$4:$A$122,$B$4:$B$122,0,0,1)</f>
        <v>23030000</v>
      </c>
      <c r="G28" t="b">
        <f>A28=Table6[[#This Row],[Column1]]</f>
        <v>1</v>
      </c>
      <c r="H28" s="215">
        <v>23030000</v>
      </c>
      <c r="I28" s="217">
        <f t="shared" si="0"/>
        <v>0</v>
      </c>
    </row>
    <row r="29" spans="1:9" x14ac:dyDescent="0.25">
      <c r="A29" s="216" t="s">
        <v>486</v>
      </c>
      <c r="B29" s="215">
        <v>13900000</v>
      </c>
      <c r="D29" t="s">
        <v>486</v>
      </c>
      <c r="E29" s="215">
        <f>_xlfn.XLOOKUP(Table6[[#This Row],[Column1]],$A$4:$A$122,$B$4:$B$122,0,0,1)</f>
        <v>13900000</v>
      </c>
      <c r="G29" t="b">
        <f>A29=Table6[[#This Row],[Column1]]</f>
        <v>1</v>
      </c>
      <c r="H29" s="215">
        <v>13900000</v>
      </c>
      <c r="I29" s="217">
        <f t="shared" si="0"/>
        <v>0</v>
      </c>
    </row>
    <row r="30" spans="1:9" x14ac:dyDescent="0.25">
      <c r="A30" s="216" t="s">
        <v>490</v>
      </c>
      <c r="B30" s="215">
        <v>8784000</v>
      </c>
      <c r="D30" t="s">
        <v>490</v>
      </c>
      <c r="E30" s="215">
        <f>_xlfn.XLOOKUP(Table6[[#This Row],[Column1]],$A$4:$A$122,$B$4:$B$122,0,0,1)</f>
        <v>8784000</v>
      </c>
      <c r="G30" t="b">
        <f>A30=Table6[[#This Row],[Column1]]</f>
        <v>1</v>
      </c>
      <c r="H30" s="215">
        <v>8784000</v>
      </c>
      <c r="I30" s="217">
        <f t="shared" si="0"/>
        <v>0</v>
      </c>
    </row>
    <row r="31" spans="1:9" x14ac:dyDescent="0.25">
      <c r="A31" s="216" t="s">
        <v>492</v>
      </c>
      <c r="B31" s="215">
        <v>10000000</v>
      </c>
      <c r="D31" t="s">
        <v>492</v>
      </c>
      <c r="E31" s="215">
        <f>_xlfn.XLOOKUP(Table6[[#This Row],[Column1]],$A$4:$A$122,$B$4:$B$122,0,0,1)</f>
        <v>10000000</v>
      </c>
      <c r="G31" t="b">
        <f>A31=Table6[[#This Row],[Column1]]</f>
        <v>1</v>
      </c>
      <c r="H31" s="215">
        <v>10000000</v>
      </c>
      <c r="I31" s="217">
        <f t="shared" si="0"/>
        <v>0</v>
      </c>
    </row>
    <row r="32" spans="1:9" x14ac:dyDescent="0.25">
      <c r="A32" s="216" t="s">
        <v>813</v>
      </c>
      <c r="B32" s="215">
        <v>5000000</v>
      </c>
      <c r="D32" t="s">
        <v>813</v>
      </c>
      <c r="E32" s="215">
        <f>_xlfn.XLOOKUP(Table6[[#This Row],[Column1]],$A$4:$A$122,$B$4:$B$122,0,0,1)</f>
        <v>5000000</v>
      </c>
      <c r="G32" t="b">
        <f>A32=Table6[[#This Row],[Column1]]</f>
        <v>1</v>
      </c>
      <c r="H32" s="215">
        <v>5000000</v>
      </c>
      <c r="I32" s="217">
        <f t="shared" si="0"/>
        <v>0</v>
      </c>
    </row>
    <row r="33" spans="1:9" x14ac:dyDescent="0.25">
      <c r="A33" s="216" t="s">
        <v>816</v>
      </c>
      <c r="B33" s="215">
        <v>97416000</v>
      </c>
      <c r="D33" t="s">
        <v>816</v>
      </c>
      <c r="E33" s="215">
        <f>_xlfn.XLOOKUP(Table6[[#This Row],[Column1]],$A$4:$A$122,$B$4:$B$122,0,0,1)</f>
        <v>97416000</v>
      </c>
      <c r="G33" t="b">
        <f>A33=Table6[[#This Row],[Column1]]</f>
        <v>1</v>
      </c>
      <c r="H33" s="215">
        <v>97416000</v>
      </c>
      <c r="I33" s="217">
        <f t="shared" si="0"/>
        <v>0</v>
      </c>
    </row>
    <row r="34" spans="1:9" x14ac:dyDescent="0.25">
      <c r="A34" s="216" t="s">
        <v>837</v>
      </c>
      <c r="B34" s="215">
        <v>114200000</v>
      </c>
      <c r="D34" t="s">
        <v>837</v>
      </c>
      <c r="E34" s="215">
        <f>_xlfn.XLOOKUP(Table6[[#This Row],[Column1]],$A$4:$A$122,$B$4:$B$122,0,0,1)</f>
        <v>114200000</v>
      </c>
      <c r="G34" t="b">
        <f>A34=Table6[[#This Row],[Column1]]</f>
        <v>1</v>
      </c>
      <c r="H34" s="215">
        <v>114200000</v>
      </c>
      <c r="I34" s="217">
        <f t="shared" si="0"/>
        <v>0</v>
      </c>
    </row>
    <row r="35" spans="1:9" x14ac:dyDescent="0.25">
      <c r="A35" s="216" t="s">
        <v>1188</v>
      </c>
      <c r="B35" s="215">
        <v>12400000</v>
      </c>
      <c r="D35" t="s">
        <v>1188</v>
      </c>
      <c r="E35" s="215">
        <f>_xlfn.XLOOKUP(Table6[[#This Row],[Column1]],$A$4:$A$122,$B$4:$B$122,0,0,1)</f>
        <v>12400000</v>
      </c>
      <c r="G35" t="b">
        <f>A35=Table6[[#This Row],[Column1]]</f>
        <v>1</v>
      </c>
      <c r="H35" s="215">
        <v>12400000</v>
      </c>
      <c r="I35" s="217">
        <f t="shared" si="0"/>
        <v>0</v>
      </c>
    </row>
    <row r="36" spans="1:9" x14ac:dyDescent="0.25">
      <c r="A36" s="216" t="s">
        <v>1194</v>
      </c>
      <c r="B36" s="215">
        <v>10000000</v>
      </c>
      <c r="D36" t="s">
        <v>1191</v>
      </c>
      <c r="E36" s="215">
        <f>_xlfn.XLOOKUP(Table6[[#This Row],[Column1]],$A$4:$A$122,$B$4:$B$122,0,0,1)</f>
        <v>0</v>
      </c>
      <c r="G36" t="b">
        <f>A36=Table6[[#This Row],[Column1]]</f>
        <v>0</v>
      </c>
      <c r="H36" s="215">
        <v>10000000</v>
      </c>
      <c r="I36" s="217">
        <f t="shared" si="0"/>
        <v>0</v>
      </c>
    </row>
    <row r="37" spans="1:9" x14ac:dyDescent="0.25">
      <c r="A37" s="216" t="s">
        <v>1200</v>
      </c>
      <c r="B37" s="215">
        <v>90946000</v>
      </c>
      <c r="D37" t="s">
        <v>1194</v>
      </c>
      <c r="E37" s="215">
        <f>_xlfn.XLOOKUP(Table6[[#This Row],[Column1]],$A$4:$A$122,$B$4:$B$122,0,0,1)</f>
        <v>10000000</v>
      </c>
      <c r="G37" t="b">
        <f>A37=Table6[[#This Row],[Column1]]</f>
        <v>0</v>
      </c>
      <c r="H37" s="215">
        <v>90946000</v>
      </c>
      <c r="I37" s="217">
        <f t="shared" si="0"/>
        <v>0</v>
      </c>
    </row>
    <row r="38" spans="1:9" x14ac:dyDescent="0.25">
      <c r="A38" s="216" t="s">
        <v>1391</v>
      </c>
      <c r="B38" s="215">
        <v>5000000</v>
      </c>
      <c r="D38" t="s">
        <v>1198</v>
      </c>
      <c r="E38" s="215">
        <f>_xlfn.XLOOKUP(Table6[[#This Row],[Column1]],$A$4:$A$122,$B$4:$B$122,0,0,1)</f>
        <v>0</v>
      </c>
      <c r="G38" t="b">
        <f>A38=Table6[[#This Row],[Column1]]</f>
        <v>0</v>
      </c>
      <c r="H38" s="215">
        <v>5000000</v>
      </c>
      <c r="I38" s="217">
        <f t="shared" si="0"/>
        <v>0</v>
      </c>
    </row>
    <row r="39" spans="1:9" x14ac:dyDescent="0.25">
      <c r="A39" s="216" t="s">
        <v>1397</v>
      </c>
      <c r="B39" s="215">
        <v>12989000</v>
      </c>
      <c r="D39" t="s">
        <v>1200</v>
      </c>
      <c r="E39" s="215">
        <f>_xlfn.XLOOKUP(Table6[[#This Row],[Column1]],$A$4:$A$122,$B$4:$B$122,0,0,1)</f>
        <v>90946000</v>
      </c>
      <c r="G39" t="b">
        <f>A39=Table6[[#This Row],[Column1]]</f>
        <v>0</v>
      </c>
      <c r="H39" s="215">
        <v>12989000</v>
      </c>
      <c r="I39" s="217">
        <f t="shared" si="0"/>
        <v>0</v>
      </c>
    </row>
    <row r="40" spans="1:9" x14ac:dyDescent="0.25">
      <c r="A40" s="216" t="s">
        <v>1400</v>
      </c>
      <c r="B40" s="215">
        <v>750000</v>
      </c>
      <c r="D40" t="s">
        <v>1391</v>
      </c>
      <c r="E40" s="215">
        <f>_xlfn.XLOOKUP(Table6[[#This Row],[Column1]],$A$4:$A$122,$B$4:$B$122,0,0,1)</f>
        <v>5000000</v>
      </c>
      <c r="G40" t="b">
        <f>A40=Table6[[#This Row],[Column1]]</f>
        <v>0</v>
      </c>
      <c r="H40" s="215">
        <v>750000</v>
      </c>
      <c r="I40" s="217">
        <f t="shared" si="0"/>
        <v>0</v>
      </c>
    </row>
    <row r="41" spans="1:9" x14ac:dyDescent="0.25">
      <c r="A41" s="216" t="s">
        <v>1404</v>
      </c>
      <c r="B41" s="215">
        <v>10000000</v>
      </c>
      <c r="D41" t="s">
        <v>1397</v>
      </c>
      <c r="E41" s="215">
        <f>_xlfn.XLOOKUP(Table6[[#This Row],[Column1]],$A$4:$A$122,$B$4:$B$122,0,0,1)</f>
        <v>12989000</v>
      </c>
      <c r="G41" t="b">
        <f>A41=Table6[[#This Row],[Column1]]</f>
        <v>0</v>
      </c>
      <c r="H41" s="215">
        <v>10000000</v>
      </c>
      <c r="I41" s="217">
        <f t="shared" si="0"/>
        <v>0</v>
      </c>
    </row>
    <row r="42" spans="1:9" x14ac:dyDescent="0.25">
      <c r="A42" s="216" t="s">
        <v>1409</v>
      </c>
      <c r="B42" s="215">
        <v>2031000</v>
      </c>
      <c r="D42" t="s">
        <v>1400</v>
      </c>
      <c r="E42" s="215">
        <f>_xlfn.XLOOKUP(Table6[[#This Row],[Column1]],$A$4:$A$122,$B$4:$B$122,0,0,1)</f>
        <v>750000</v>
      </c>
      <c r="G42" t="b">
        <f>A42=Table6[[#This Row],[Column1]]</f>
        <v>0</v>
      </c>
      <c r="H42" s="215">
        <v>2031000</v>
      </c>
      <c r="I42" s="217">
        <f t="shared" si="0"/>
        <v>0</v>
      </c>
    </row>
    <row r="43" spans="1:9" x14ac:dyDescent="0.25">
      <c r="A43" s="216" t="s">
        <v>1412</v>
      </c>
      <c r="B43" s="215">
        <v>373634000</v>
      </c>
      <c r="D43" t="s">
        <v>1404</v>
      </c>
      <c r="E43" s="215">
        <f>_xlfn.XLOOKUP(Table6[[#This Row],[Column1]],$A$4:$A$122,$B$4:$B$122,0,0,1)</f>
        <v>10000000</v>
      </c>
      <c r="G43" t="b">
        <f>A43=Table6[[#This Row],[Column1]]</f>
        <v>0</v>
      </c>
      <c r="H43" s="215">
        <v>373634000</v>
      </c>
      <c r="I43" s="217">
        <f t="shared" si="0"/>
        <v>0</v>
      </c>
    </row>
    <row r="44" spans="1:9" x14ac:dyDescent="0.25">
      <c r="A44" s="216" t="s">
        <v>1419</v>
      </c>
      <c r="B44" s="215">
        <v>33500000</v>
      </c>
      <c r="D44" t="s">
        <v>1409</v>
      </c>
      <c r="E44" s="215">
        <f>_xlfn.XLOOKUP(Table6[[#This Row],[Column1]],$A$4:$A$122,$B$4:$B$122,0,0,1)</f>
        <v>2031000</v>
      </c>
      <c r="G44" t="b">
        <f>A44=Table6[[#This Row],[Column1]]</f>
        <v>0</v>
      </c>
      <c r="H44" s="215">
        <v>33500000</v>
      </c>
      <c r="I44" s="217">
        <f t="shared" si="0"/>
        <v>0</v>
      </c>
    </row>
    <row r="45" spans="1:9" x14ac:dyDescent="0.25">
      <c r="A45" s="216" t="s">
        <v>1428</v>
      </c>
      <c r="B45" s="215">
        <v>3000000</v>
      </c>
      <c r="D45" t="s">
        <v>1412</v>
      </c>
      <c r="E45" s="215">
        <f>_xlfn.XLOOKUP(Table6[[#This Row],[Column1]],$A$4:$A$122,$B$4:$B$122,0,0,1)</f>
        <v>373634000</v>
      </c>
      <c r="G45" t="b">
        <f>A45=Table6[[#This Row],[Column1]]</f>
        <v>0</v>
      </c>
      <c r="H45" s="215">
        <v>3000000</v>
      </c>
      <c r="I45" s="217">
        <f t="shared" si="0"/>
        <v>0</v>
      </c>
    </row>
    <row r="46" spans="1:9" x14ac:dyDescent="0.25">
      <c r="A46" s="216" t="s">
        <v>1431</v>
      </c>
      <c r="B46" s="215">
        <v>18000000</v>
      </c>
      <c r="D46" t="s">
        <v>1419</v>
      </c>
      <c r="E46" s="215">
        <f>_xlfn.XLOOKUP(Table6[[#This Row],[Column1]],$A$4:$A$122,$B$4:$B$122,0,0,1)</f>
        <v>33500000</v>
      </c>
      <c r="G46" t="b">
        <f>A46=Table6[[#This Row],[Column1]]</f>
        <v>0</v>
      </c>
      <c r="H46" s="215">
        <v>18000000</v>
      </c>
      <c r="I46" s="217">
        <f t="shared" si="0"/>
        <v>0</v>
      </c>
    </row>
    <row r="47" spans="1:9" x14ac:dyDescent="0.25">
      <c r="A47" s="216" t="s">
        <v>1434</v>
      </c>
      <c r="B47" s="215">
        <v>2250000</v>
      </c>
      <c r="D47" t="s">
        <v>1428</v>
      </c>
      <c r="E47" s="215">
        <f>_xlfn.XLOOKUP(Table6[[#This Row],[Column1]],$A$4:$A$122,$B$4:$B$122,0,0,1)</f>
        <v>3000000</v>
      </c>
      <c r="G47" t="b">
        <f>A47=Table6[[#This Row],[Column1]]</f>
        <v>0</v>
      </c>
      <c r="H47" s="215">
        <v>2250000</v>
      </c>
      <c r="I47" s="217">
        <f t="shared" si="0"/>
        <v>0</v>
      </c>
    </row>
    <row r="48" spans="1:9" x14ac:dyDescent="0.25">
      <c r="A48" s="216" t="s">
        <v>1438</v>
      </c>
      <c r="B48" s="215">
        <v>13500000</v>
      </c>
      <c r="D48" t="s">
        <v>1431</v>
      </c>
      <c r="E48" s="215">
        <f>_xlfn.XLOOKUP(Table6[[#This Row],[Column1]],$A$4:$A$122,$B$4:$B$122,0,0,1)</f>
        <v>18000000</v>
      </c>
      <c r="G48" t="b">
        <f>A48=Table6[[#This Row],[Column1]]</f>
        <v>0</v>
      </c>
      <c r="H48" s="215">
        <v>13500000</v>
      </c>
      <c r="I48" s="217">
        <f t="shared" si="0"/>
        <v>0</v>
      </c>
    </row>
    <row r="49" spans="1:9" x14ac:dyDescent="0.25">
      <c r="A49" s="216" t="s">
        <v>1443</v>
      </c>
      <c r="B49" s="215">
        <v>47693000</v>
      </c>
      <c r="D49" t="s">
        <v>1434</v>
      </c>
      <c r="E49" s="215">
        <f>_xlfn.XLOOKUP(Table6[[#This Row],[Column1]],$A$4:$A$122,$B$4:$B$122,0,0,1)</f>
        <v>2250000</v>
      </c>
      <c r="G49" t="b">
        <f>A49=Table6[[#This Row],[Column1]]</f>
        <v>0</v>
      </c>
      <c r="H49" s="215">
        <v>47693000</v>
      </c>
      <c r="I49" s="217">
        <f t="shared" si="0"/>
        <v>0</v>
      </c>
    </row>
    <row r="50" spans="1:9" x14ac:dyDescent="0.25">
      <c r="A50" s="216" t="s">
        <v>1449</v>
      </c>
      <c r="B50" s="215">
        <v>38100000</v>
      </c>
      <c r="D50" t="s">
        <v>1438</v>
      </c>
      <c r="E50" s="215">
        <f>_xlfn.XLOOKUP(Table6[[#This Row],[Column1]],$A$4:$A$122,$B$4:$B$122,0,0,1)</f>
        <v>13500000</v>
      </c>
      <c r="G50" t="b">
        <f>A50=Table6[[#This Row],[Column1]]</f>
        <v>0</v>
      </c>
      <c r="H50" s="215">
        <v>38100000</v>
      </c>
      <c r="I50" s="217">
        <f t="shared" si="0"/>
        <v>0</v>
      </c>
    </row>
    <row r="51" spans="1:9" x14ac:dyDescent="0.25">
      <c r="A51" s="216" t="s">
        <v>1455</v>
      </c>
      <c r="B51" s="215">
        <v>82534000</v>
      </c>
      <c r="D51" t="s">
        <v>1443</v>
      </c>
      <c r="E51" s="215">
        <f>_xlfn.XLOOKUP(Table6[[#This Row],[Column1]],$A$4:$A$122,$B$4:$B$122,0,0,1)</f>
        <v>47693000</v>
      </c>
      <c r="G51" t="b">
        <f>A51=Table6[[#This Row],[Column1]]</f>
        <v>0</v>
      </c>
      <c r="H51" s="215">
        <v>82534000</v>
      </c>
      <c r="I51" s="217">
        <f t="shared" si="0"/>
        <v>0</v>
      </c>
    </row>
    <row r="52" spans="1:9" x14ac:dyDescent="0.25">
      <c r="A52" s="216" t="s">
        <v>4022</v>
      </c>
      <c r="B52" s="215">
        <v>1606000</v>
      </c>
      <c r="D52" t="s">
        <v>1446</v>
      </c>
      <c r="E52" s="215">
        <f>_xlfn.XLOOKUP(Table6[[#This Row],[Column1]],$A$4:$A$122,$B$4:$B$122,0,0,1)</f>
        <v>0</v>
      </c>
      <c r="G52" t="b">
        <f>A52=Table6[[#This Row],[Column1]]</f>
        <v>0</v>
      </c>
      <c r="H52" s="215">
        <v>1606000</v>
      </c>
      <c r="I52" s="217">
        <f t="shared" si="0"/>
        <v>0</v>
      </c>
    </row>
    <row r="53" spans="1:9" x14ac:dyDescent="0.25">
      <c r="A53" s="216" t="s">
        <v>1462</v>
      </c>
      <c r="B53" s="215">
        <v>4246000</v>
      </c>
      <c r="D53" t="s">
        <v>1449</v>
      </c>
      <c r="E53" s="215">
        <f>_xlfn.XLOOKUP(Table6[[#This Row],[Column1]],$A$4:$A$122,$B$4:$B$122,0,0,1)</f>
        <v>38100000</v>
      </c>
      <c r="G53" t="b">
        <f>A53=Table6[[#This Row],[Column1]]</f>
        <v>0</v>
      </c>
      <c r="H53" s="215">
        <v>4246000</v>
      </c>
      <c r="I53" s="217">
        <f t="shared" si="0"/>
        <v>0</v>
      </c>
    </row>
    <row r="54" spans="1:9" x14ac:dyDescent="0.25">
      <c r="A54" s="216" t="s">
        <v>1464</v>
      </c>
      <c r="B54" s="215">
        <v>21851000</v>
      </c>
      <c r="D54" t="s">
        <v>1455</v>
      </c>
      <c r="E54" s="215">
        <f>_xlfn.XLOOKUP(Table6[[#This Row],[Column1]],$A$4:$A$122,$B$4:$B$122,0,0,1)</f>
        <v>82534000</v>
      </c>
      <c r="G54" t="b">
        <f>A54=Table6[[#This Row],[Column1]]</f>
        <v>0</v>
      </c>
      <c r="H54" s="215">
        <v>21851000</v>
      </c>
      <c r="I54" s="217">
        <f t="shared" si="0"/>
        <v>0</v>
      </c>
    </row>
    <row r="55" spans="1:9" x14ac:dyDescent="0.25">
      <c r="A55" s="216" t="s">
        <v>1470</v>
      </c>
      <c r="B55" s="215">
        <v>4000000</v>
      </c>
      <c r="D55" t="s">
        <v>4022</v>
      </c>
      <c r="E55" s="215">
        <f>_xlfn.XLOOKUP(Table6[[#This Row],[Column1]],$A$4:$A$122,$B$4:$B$122,0,0,1)</f>
        <v>1606000</v>
      </c>
      <c r="G55" t="b">
        <f>A55=Table6[[#This Row],[Column1]]</f>
        <v>0</v>
      </c>
      <c r="H55" s="215">
        <v>4000000</v>
      </c>
      <c r="I55" s="217">
        <f t="shared" si="0"/>
        <v>0</v>
      </c>
    </row>
    <row r="56" spans="1:9" x14ac:dyDescent="0.25">
      <c r="A56" s="216" t="s">
        <v>1474</v>
      </c>
      <c r="B56" s="215">
        <v>4298000</v>
      </c>
      <c r="D56" t="s">
        <v>1462</v>
      </c>
      <c r="E56" s="215">
        <f>_xlfn.XLOOKUP(Table6[[#This Row],[Column1]],$A$4:$A$122,$B$4:$B$122,0,0,1)</f>
        <v>4246000</v>
      </c>
      <c r="G56" t="b">
        <f>A56=Table6[[#This Row],[Column1]]</f>
        <v>0</v>
      </c>
      <c r="H56" s="215">
        <v>4298000</v>
      </c>
      <c r="I56" s="217">
        <f t="shared" si="0"/>
        <v>0</v>
      </c>
    </row>
    <row r="57" spans="1:9" x14ac:dyDescent="0.25">
      <c r="A57" s="216" t="s">
        <v>1487</v>
      </c>
      <c r="B57" s="215">
        <v>9059000</v>
      </c>
      <c r="D57" t="s">
        <v>1464</v>
      </c>
      <c r="E57" s="215">
        <f>_xlfn.XLOOKUP(Table6[[#This Row],[Column1]],$A$4:$A$122,$B$4:$B$122,0,0,1)</f>
        <v>21851000</v>
      </c>
      <c r="G57" t="b">
        <f>A57=Table6[[#This Row],[Column1]]</f>
        <v>0</v>
      </c>
      <c r="H57" s="215">
        <v>9059000</v>
      </c>
      <c r="I57" s="217">
        <f t="shared" si="0"/>
        <v>0</v>
      </c>
    </row>
    <row r="58" spans="1:9" x14ac:dyDescent="0.25">
      <c r="A58" s="216" t="s">
        <v>1491</v>
      </c>
      <c r="B58" s="215">
        <v>12550000</v>
      </c>
      <c r="D58" t="s">
        <v>1467</v>
      </c>
      <c r="E58" s="215">
        <f>_xlfn.XLOOKUP(Table6[[#This Row],[Column1]],$A$4:$A$122,$B$4:$B$122,0,0,1)</f>
        <v>0</v>
      </c>
      <c r="G58" t="b">
        <f>A58=Table6[[#This Row],[Column1]]</f>
        <v>0</v>
      </c>
      <c r="H58" s="215">
        <v>12550000</v>
      </c>
      <c r="I58" s="217">
        <f t="shared" si="0"/>
        <v>0</v>
      </c>
    </row>
    <row r="59" spans="1:9" x14ac:dyDescent="0.25">
      <c r="A59" s="216" t="s">
        <v>1496</v>
      </c>
      <c r="B59" s="215">
        <v>1192000</v>
      </c>
      <c r="D59" t="s">
        <v>1470</v>
      </c>
      <c r="E59" s="215">
        <f>_xlfn.XLOOKUP(Table6[[#This Row],[Column1]],$A$4:$A$122,$B$4:$B$122,0,0,1)</f>
        <v>4000000</v>
      </c>
      <c r="G59" t="b">
        <f>A59=Table6[[#This Row],[Column1]]</f>
        <v>0</v>
      </c>
      <c r="H59" s="215">
        <v>1192000</v>
      </c>
      <c r="I59" s="217">
        <f t="shared" si="0"/>
        <v>0</v>
      </c>
    </row>
    <row r="60" spans="1:9" x14ac:dyDescent="0.25">
      <c r="A60" s="216" t="s">
        <v>1498</v>
      </c>
      <c r="B60" s="215">
        <v>9000000</v>
      </c>
      <c r="D60" t="s">
        <v>1474</v>
      </c>
      <c r="E60" s="215">
        <f>_xlfn.XLOOKUP(Table6[[#This Row],[Column1]],$A$4:$A$122,$B$4:$B$122,0,0,1)</f>
        <v>4298000</v>
      </c>
      <c r="G60" t="b">
        <f>A60=Table6[[#This Row],[Column1]]</f>
        <v>0</v>
      </c>
      <c r="H60" s="215">
        <v>9000000</v>
      </c>
      <c r="I60" s="217">
        <f t="shared" si="0"/>
        <v>0</v>
      </c>
    </row>
    <row r="61" spans="1:9" x14ac:dyDescent="0.25">
      <c r="A61" s="216" t="s">
        <v>1501</v>
      </c>
      <c r="B61" s="215">
        <v>60764000</v>
      </c>
      <c r="D61" t="s">
        <v>1483</v>
      </c>
      <c r="E61" s="215">
        <f>_xlfn.XLOOKUP(Table6[[#This Row],[Column1]],$A$4:$A$122,$B$4:$B$122,0,0,1)</f>
        <v>0</v>
      </c>
      <c r="G61" t="b">
        <f>A61=Table6[[#This Row],[Column1]]</f>
        <v>0</v>
      </c>
      <c r="H61" s="215">
        <v>60764000</v>
      </c>
      <c r="I61" s="217">
        <f t="shared" si="0"/>
        <v>0</v>
      </c>
    </row>
    <row r="62" spans="1:9" x14ac:dyDescent="0.25">
      <c r="A62" s="216" t="s">
        <v>1538</v>
      </c>
      <c r="B62" s="215">
        <v>17550000</v>
      </c>
      <c r="D62" t="s">
        <v>1485</v>
      </c>
      <c r="E62" s="215">
        <f>_xlfn.XLOOKUP(Table6[[#This Row],[Column1]],$A$4:$A$122,$B$4:$B$122,0,0,1)</f>
        <v>0</v>
      </c>
      <c r="G62" t="b">
        <f>A62=Table6[[#This Row],[Column1]]</f>
        <v>0</v>
      </c>
      <c r="H62" s="215">
        <v>17550000</v>
      </c>
      <c r="I62" s="217">
        <f t="shared" si="0"/>
        <v>0</v>
      </c>
    </row>
    <row r="63" spans="1:9" x14ac:dyDescent="0.25">
      <c r="A63" s="216" t="s">
        <v>1549</v>
      </c>
      <c r="B63" s="215">
        <v>27651000</v>
      </c>
      <c r="D63" t="s">
        <v>1487</v>
      </c>
      <c r="E63" s="215">
        <f>_xlfn.XLOOKUP(Table6[[#This Row],[Column1]],$A$4:$A$122,$B$4:$B$122,0,0,1)</f>
        <v>9059000</v>
      </c>
      <c r="G63" t="b">
        <f>A63=Table6[[#This Row],[Column1]]</f>
        <v>0</v>
      </c>
      <c r="H63" s="215">
        <v>27651000</v>
      </c>
      <c r="I63" s="217">
        <f t="shared" si="0"/>
        <v>0</v>
      </c>
    </row>
    <row r="64" spans="1:9" x14ac:dyDescent="0.25">
      <c r="A64" s="216" t="s">
        <v>1551</v>
      </c>
      <c r="B64" s="215">
        <v>40000000</v>
      </c>
      <c r="D64" t="s">
        <v>1491</v>
      </c>
      <c r="E64" s="215">
        <f>_xlfn.XLOOKUP(Table6[[#This Row],[Column1]],$A$4:$A$122,$B$4:$B$122,0,0,1)</f>
        <v>12550000</v>
      </c>
      <c r="G64" t="b">
        <f>A64=Table6[[#This Row],[Column1]]</f>
        <v>0</v>
      </c>
      <c r="H64" s="215">
        <v>40000000</v>
      </c>
      <c r="I64" s="217">
        <f t="shared" si="0"/>
        <v>0</v>
      </c>
    </row>
    <row r="65" spans="1:9" x14ac:dyDescent="0.25">
      <c r="A65" s="216" t="s">
        <v>1553</v>
      </c>
      <c r="B65" s="215">
        <v>25062000</v>
      </c>
      <c r="D65" t="s">
        <v>1496</v>
      </c>
      <c r="E65" s="215">
        <f>_xlfn.XLOOKUP(Table6[[#This Row],[Column1]],$A$4:$A$122,$B$4:$B$122,0,0,1)</f>
        <v>1192000</v>
      </c>
      <c r="G65" t="b">
        <f>A65=Table6[[#This Row],[Column1]]</f>
        <v>0</v>
      </c>
      <c r="H65" s="215">
        <v>25062000</v>
      </c>
      <c r="I65" s="217">
        <f t="shared" si="0"/>
        <v>0</v>
      </c>
    </row>
    <row r="66" spans="1:9" x14ac:dyDescent="0.25">
      <c r="A66" s="216" t="s">
        <v>2172</v>
      </c>
      <c r="B66" s="215">
        <v>1076220000</v>
      </c>
      <c r="D66" t="s">
        <v>1498</v>
      </c>
      <c r="E66" s="215">
        <f>_xlfn.XLOOKUP(Table6[[#This Row],[Column1]],$A$4:$A$122,$B$4:$B$122,0,0,1)</f>
        <v>9000000</v>
      </c>
      <c r="G66" t="b">
        <f>A66=Table6[[#This Row],[Column1]]</f>
        <v>0</v>
      </c>
      <c r="H66" s="347">
        <v>1076220000</v>
      </c>
      <c r="I66" s="217"/>
    </row>
    <row r="67" spans="1:9" x14ac:dyDescent="0.25">
      <c r="A67" s="216" t="s">
        <v>2189</v>
      </c>
      <c r="B67" s="215">
        <v>178160000</v>
      </c>
      <c r="D67" t="s">
        <v>1501</v>
      </c>
      <c r="E67" s="215">
        <f>_xlfn.XLOOKUP(Table6[[#This Row],[Column1]],$A$4:$A$122,$B$4:$B$122,0,0,1)</f>
        <v>60764000</v>
      </c>
      <c r="G67" t="b">
        <f>A67=Table6[[#This Row],[Column1]]</f>
        <v>0</v>
      </c>
      <c r="H67" s="347">
        <v>178160000</v>
      </c>
      <c r="I67" s="217"/>
    </row>
    <row r="68" spans="1:9" x14ac:dyDescent="0.25">
      <c r="A68" s="216" t="s">
        <v>2210</v>
      </c>
      <c r="B68" s="215">
        <v>30000000</v>
      </c>
      <c r="D68" t="s">
        <v>1506</v>
      </c>
      <c r="E68" s="215">
        <f>_xlfn.XLOOKUP(Table6[[#This Row],[Column1]],$A$4:$A$122,$B$4:$B$122,0,0,1)</f>
        <v>0</v>
      </c>
      <c r="G68" t="b">
        <f>A68=Table6[[#This Row],[Column1]]</f>
        <v>0</v>
      </c>
      <c r="H68" s="347">
        <v>30000000</v>
      </c>
      <c r="I68" s="217"/>
    </row>
    <row r="69" spans="1:9" x14ac:dyDescent="0.25">
      <c r="A69" s="216" t="s">
        <v>2213</v>
      </c>
      <c r="B69" s="215">
        <v>118852000</v>
      </c>
      <c r="D69" t="s">
        <v>1521</v>
      </c>
      <c r="E69" s="215">
        <f>_xlfn.XLOOKUP(Table6[[#This Row],[Column1]],$A$4:$A$122,$B$4:$B$122,0,0,1)</f>
        <v>0</v>
      </c>
      <c r="G69" t="b">
        <f>A69=Table6[[#This Row],[Column1]]</f>
        <v>0</v>
      </c>
      <c r="H69" s="347">
        <v>118852000</v>
      </c>
      <c r="I69" s="217"/>
    </row>
    <row r="70" spans="1:9" x14ac:dyDescent="0.25">
      <c r="A70" s="216" t="s">
        <v>2221</v>
      </c>
      <c r="B70" s="215">
        <v>497050000</v>
      </c>
      <c r="D70" t="s">
        <v>1526</v>
      </c>
      <c r="E70" s="215">
        <f>_xlfn.XLOOKUP(Table6[[#This Row],[Column1]],$A$4:$A$122,$B$4:$B$122,0,0,1)</f>
        <v>0</v>
      </c>
      <c r="G70" t="b">
        <f>A70=Table6[[#This Row],[Column1]]</f>
        <v>0</v>
      </c>
      <c r="H70" s="347">
        <v>497050000</v>
      </c>
      <c r="I70" s="217"/>
    </row>
    <row r="71" spans="1:9" x14ac:dyDescent="0.25">
      <c r="A71" s="216" t="s">
        <v>2235</v>
      </c>
      <c r="B71" s="215">
        <v>36000000</v>
      </c>
      <c r="D71" t="s">
        <v>1533</v>
      </c>
      <c r="E71" s="215">
        <f>_xlfn.XLOOKUP(Table6[[#This Row],[Column1]],$A$4:$A$122,$B$4:$B$122,0,0,1)</f>
        <v>0</v>
      </c>
      <c r="G71" t="b">
        <f>A71=Table6[[#This Row],[Column1]]</f>
        <v>0</v>
      </c>
      <c r="H71" s="347">
        <v>36000000</v>
      </c>
      <c r="I71" s="217"/>
    </row>
    <row r="72" spans="1:9" x14ac:dyDescent="0.25">
      <c r="A72" s="216" t="s">
        <v>2241</v>
      </c>
      <c r="B72" s="215">
        <v>101040000</v>
      </c>
      <c r="D72" t="s">
        <v>1538</v>
      </c>
      <c r="E72" s="215">
        <f>_xlfn.XLOOKUP(Table6[[#This Row],[Column1]],$A$4:$A$122,$B$4:$B$122,0,0,1)</f>
        <v>17550000</v>
      </c>
      <c r="G72" t="b">
        <f>A72=Table6[[#This Row],[Column1]]</f>
        <v>0</v>
      </c>
      <c r="H72" s="347">
        <v>101040000</v>
      </c>
      <c r="I72" s="217"/>
    </row>
    <row r="73" spans="1:9" x14ac:dyDescent="0.25">
      <c r="A73" s="216" t="s">
        <v>2247</v>
      </c>
      <c r="B73" s="215">
        <v>58336000</v>
      </c>
      <c r="D73" t="s">
        <v>1549</v>
      </c>
      <c r="E73" s="215">
        <f>_xlfn.XLOOKUP(Table6[[#This Row],[Column1]],$A$4:$A$122,$B$4:$B$122,0,0,1)</f>
        <v>27651000</v>
      </c>
      <c r="G73" t="b">
        <f>A73=Table6[[#This Row],[Column1]]</f>
        <v>0</v>
      </c>
      <c r="H73" s="347">
        <v>58336000</v>
      </c>
      <c r="I73" s="217"/>
    </row>
    <row r="74" spans="1:9" x14ac:dyDescent="0.25">
      <c r="A74" s="216" t="s">
        <v>2293</v>
      </c>
      <c r="B74" s="215">
        <v>540000000</v>
      </c>
      <c r="D74" t="s">
        <v>1551</v>
      </c>
      <c r="E74" s="215">
        <f>_xlfn.XLOOKUP(Table6[[#This Row],[Column1]],$A$4:$A$122,$B$4:$B$122,0,0,1)</f>
        <v>40000000</v>
      </c>
      <c r="G74" t="b">
        <f>A74=Table6[[#This Row],[Column1]]</f>
        <v>0</v>
      </c>
      <c r="H74" s="215">
        <v>540000000</v>
      </c>
      <c r="I74" s="217">
        <f t="shared" ref="I74:I137" si="1">B74-H74</f>
        <v>0</v>
      </c>
    </row>
    <row r="75" spans="1:9" x14ac:dyDescent="0.25">
      <c r="A75" s="216" t="s">
        <v>2742</v>
      </c>
      <c r="B75" s="215">
        <v>6000000</v>
      </c>
      <c r="D75" t="s">
        <v>1553</v>
      </c>
      <c r="E75" s="215">
        <f>_xlfn.XLOOKUP(Table6[[#This Row],[Column1]],$A$4:$A$122,$B$4:$B$122,0,0,1)</f>
        <v>25062000</v>
      </c>
      <c r="G75" t="b">
        <f>A75=Table6[[#This Row],[Column1]]</f>
        <v>0</v>
      </c>
      <c r="H75" s="215">
        <v>6000000</v>
      </c>
      <c r="I75" s="217">
        <f t="shared" si="1"/>
        <v>0</v>
      </c>
    </row>
    <row r="76" spans="1:9" x14ac:dyDescent="0.25">
      <c r="A76" s="216" t="s">
        <v>2747</v>
      </c>
      <c r="B76" s="215">
        <v>1000000</v>
      </c>
      <c r="D76" t="s">
        <v>5416</v>
      </c>
      <c r="E76" s="215">
        <f>_xlfn.XLOOKUP(Table6[[#This Row],[Column1]],$A$4:$A$122,$B$4:$B$122,0,0,1)</f>
        <v>0</v>
      </c>
      <c r="G76" t="b">
        <f>A76=Table6[[#This Row],[Column1]]</f>
        <v>0</v>
      </c>
      <c r="H76" s="215">
        <v>1000000</v>
      </c>
      <c r="I76" s="217">
        <f t="shared" si="1"/>
        <v>0</v>
      </c>
    </row>
    <row r="77" spans="1:9" x14ac:dyDescent="0.25">
      <c r="A77" s="216" t="s">
        <v>2750</v>
      </c>
      <c r="B77" s="215">
        <v>10000000</v>
      </c>
      <c r="D77" t="s">
        <v>5417</v>
      </c>
      <c r="E77" s="215">
        <f>_xlfn.XLOOKUP(Table6[[#This Row],[Column1]],$A$4:$A$122,$B$4:$B$122,0,0,1)</f>
        <v>0</v>
      </c>
      <c r="G77" t="b">
        <f>A77=Table6[[#This Row],[Column1]]</f>
        <v>0</v>
      </c>
      <c r="H77" s="215">
        <v>10000000</v>
      </c>
      <c r="I77" s="217">
        <f t="shared" si="1"/>
        <v>0</v>
      </c>
    </row>
    <row r="78" spans="1:9" x14ac:dyDescent="0.25">
      <c r="A78" s="216" t="s">
        <v>2753</v>
      </c>
      <c r="B78" s="215">
        <v>5164000</v>
      </c>
      <c r="D78" t="s">
        <v>5420</v>
      </c>
      <c r="E78" s="215">
        <f>_xlfn.XLOOKUP(Table6[[#This Row],[Column1]],$A$4:$A$122,$B$4:$B$122,0,0,1)</f>
        <v>0</v>
      </c>
      <c r="G78" t="b">
        <f>A78=Table6[[#This Row],[Column1]]</f>
        <v>0</v>
      </c>
      <c r="H78" s="215">
        <v>5164000</v>
      </c>
      <c r="I78" s="217">
        <f t="shared" si="1"/>
        <v>0</v>
      </c>
    </row>
    <row r="79" spans="1:9" x14ac:dyDescent="0.25">
      <c r="A79" s="216" t="s">
        <v>2757</v>
      </c>
      <c r="B79" s="215">
        <v>12000000</v>
      </c>
      <c r="D79" t="s">
        <v>5421</v>
      </c>
      <c r="E79" s="215">
        <f>_xlfn.XLOOKUP(Table6[[#This Row],[Column1]],$A$4:$A$122,$B$4:$B$122,0,0,1)</f>
        <v>0</v>
      </c>
      <c r="G79" t="b">
        <f>A79=Table6[[#This Row],[Column1]]</f>
        <v>0</v>
      </c>
      <c r="H79" s="215">
        <v>12000000</v>
      </c>
      <c r="I79" s="217">
        <f t="shared" si="1"/>
        <v>0</v>
      </c>
    </row>
    <row r="80" spans="1:9" x14ac:dyDescent="0.25">
      <c r="A80" s="216" t="s">
        <v>2761</v>
      </c>
      <c r="B80" s="215">
        <v>1000000</v>
      </c>
      <c r="D80" t="s">
        <v>5422</v>
      </c>
      <c r="E80" s="215">
        <f>_xlfn.XLOOKUP(Table6[[#This Row],[Column1]],$A$4:$A$122,$B$4:$B$122,0,0,1)</f>
        <v>0</v>
      </c>
      <c r="G80" t="b">
        <f>A80=Table6[[#This Row],[Column1]]</f>
        <v>0</v>
      </c>
      <c r="H80" s="215">
        <v>1000000</v>
      </c>
      <c r="I80" s="217">
        <f t="shared" si="1"/>
        <v>0</v>
      </c>
    </row>
    <row r="81" spans="1:9" x14ac:dyDescent="0.25">
      <c r="A81" s="216" t="s">
        <v>2763</v>
      </c>
      <c r="B81" s="215">
        <v>20000000</v>
      </c>
      <c r="D81" t="s">
        <v>5423</v>
      </c>
      <c r="E81" s="215">
        <f>_xlfn.XLOOKUP(Table6[[#This Row],[Column1]],$A$4:$A$122,$B$4:$B$122,0,0,1)</f>
        <v>0</v>
      </c>
      <c r="G81" t="b">
        <f>A81=Table6[[#This Row],[Column1]]</f>
        <v>0</v>
      </c>
      <c r="H81" s="215">
        <v>20000000</v>
      </c>
      <c r="I81" s="217">
        <f t="shared" si="1"/>
        <v>0</v>
      </c>
    </row>
    <row r="82" spans="1:9" x14ac:dyDescent="0.25">
      <c r="A82" s="216" t="s">
        <v>2768</v>
      </c>
      <c r="B82" s="215">
        <v>45000000</v>
      </c>
      <c r="D82" t="s">
        <v>5424</v>
      </c>
      <c r="E82" s="215">
        <f>_xlfn.XLOOKUP(Table6[[#This Row],[Column1]],$A$4:$A$122,$B$4:$B$122,0,0,1)</f>
        <v>0</v>
      </c>
      <c r="G82" t="b">
        <f>A82=Table6[[#This Row],[Column1]]</f>
        <v>0</v>
      </c>
      <c r="H82" s="215">
        <v>45000000</v>
      </c>
      <c r="I82" s="217">
        <f t="shared" si="1"/>
        <v>0</v>
      </c>
    </row>
    <row r="83" spans="1:9" x14ac:dyDescent="0.25">
      <c r="A83" s="216" t="s">
        <v>2772</v>
      </c>
      <c r="B83" s="215">
        <v>21000000</v>
      </c>
      <c r="D83" t="s">
        <v>5425</v>
      </c>
      <c r="E83" s="215">
        <f>_xlfn.XLOOKUP(Table6[[#This Row],[Column1]],$A$4:$A$122,$B$4:$B$122,0,0,1)</f>
        <v>0</v>
      </c>
      <c r="G83" t="b">
        <f>A83=Table6[[#This Row],[Column1]]</f>
        <v>0</v>
      </c>
      <c r="H83" s="215">
        <v>21000000</v>
      </c>
      <c r="I83" s="217">
        <f t="shared" si="1"/>
        <v>0</v>
      </c>
    </row>
    <row r="84" spans="1:9" x14ac:dyDescent="0.25">
      <c r="A84" s="216" t="s">
        <v>2776</v>
      </c>
      <c r="B84" s="215">
        <v>17500000</v>
      </c>
      <c r="D84" t="s">
        <v>5426</v>
      </c>
      <c r="E84" s="215">
        <f>_xlfn.XLOOKUP(Table6[[#This Row],[Column1]],$A$4:$A$122,$B$4:$B$122,0,0,1)</f>
        <v>0</v>
      </c>
      <c r="G84" t="b">
        <f>A84=Table6[[#This Row],[Column1]]</f>
        <v>0</v>
      </c>
      <c r="H84" s="215">
        <v>17500000</v>
      </c>
      <c r="I84" s="217">
        <f t="shared" si="1"/>
        <v>0</v>
      </c>
    </row>
    <row r="85" spans="1:9" x14ac:dyDescent="0.25">
      <c r="A85" s="216" t="s">
        <v>2781</v>
      </c>
      <c r="B85" s="215">
        <v>41908000</v>
      </c>
      <c r="D85" t="s">
        <v>5427</v>
      </c>
      <c r="E85" s="215">
        <f>_xlfn.XLOOKUP(Table6[[#This Row],[Column1]],$A$4:$A$122,$B$4:$B$122,0,0,1)</f>
        <v>0</v>
      </c>
      <c r="G85" t="b">
        <f>A85=Table6[[#This Row],[Column1]]</f>
        <v>0</v>
      </c>
      <c r="H85" s="215">
        <v>41908000</v>
      </c>
      <c r="I85" s="217">
        <f t="shared" si="1"/>
        <v>0</v>
      </c>
    </row>
    <row r="86" spans="1:9" x14ac:dyDescent="0.25">
      <c r="A86" s="216" t="s">
        <v>3055</v>
      </c>
      <c r="B86" s="215">
        <v>23250000</v>
      </c>
      <c r="D86" t="s">
        <v>5428</v>
      </c>
      <c r="E86" s="215">
        <f>_xlfn.XLOOKUP(Table6[[#This Row],[Column1]],$A$4:$A$122,$B$4:$B$122,0,0,1)</f>
        <v>0</v>
      </c>
      <c r="G86" t="b">
        <f>A86=Table6[[#This Row],[Column1]]</f>
        <v>0</v>
      </c>
      <c r="H86" s="215">
        <v>23250000</v>
      </c>
      <c r="I86" s="217">
        <f t="shared" si="1"/>
        <v>0</v>
      </c>
    </row>
    <row r="87" spans="1:9" x14ac:dyDescent="0.25">
      <c r="A87" s="216" t="s">
        <v>3061</v>
      </c>
      <c r="B87" s="215">
        <v>2000000</v>
      </c>
      <c r="D87" t="s">
        <v>2293</v>
      </c>
      <c r="E87" s="215">
        <f>_xlfn.XLOOKUP(Table6[[#This Row],[Column1]],$A$4:$A$122,$B$4:$B$122,0,0,1)</f>
        <v>540000000</v>
      </c>
      <c r="G87" t="b">
        <f>A87=Table6[[#This Row],[Column1]]</f>
        <v>0</v>
      </c>
      <c r="H87" s="215">
        <v>2000000</v>
      </c>
      <c r="I87" s="217">
        <f t="shared" si="1"/>
        <v>0</v>
      </c>
    </row>
    <row r="88" spans="1:9" x14ac:dyDescent="0.25">
      <c r="A88" s="216" t="s">
        <v>3064</v>
      </c>
      <c r="B88" s="215">
        <v>18539000</v>
      </c>
      <c r="D88" t="s">
        <v>2742</v>
      </c>
      <c r="E88" s="215">
        <f>_xlfn.XLOOKUP(Table6[[#This Row],[Column1]],$A$4:$A$122,$B$4:$B$122,0,0,1)</f>
        <v>6000000</v>
      </c>
      <c r="G88" t="b">
        <f>A88=Table6[[#This Row],[Column1]]</f>
        <v>0</v>
      </c>
      <c r="H88" s="215">
        <v>18539000</v>
      </c>
      <c r="I88" s="217">
        <f t="shared" si="1"/>
        <v>0</v>
      </c>
    </row>
    <row r="89" spans="1:9" x14ac:dyDescent="0.25">
      <c r="A89" s="216" t="s">
        <v>3068</v>
      </c>
      <c r="B89" s="215">
        <v>13525000</v>
      </c>
      <c r="D89" t="s">
        <v>2747</v>
      </c>
      <c r="E89" s="215">
        <f>_xlfn.XLOOKUP(Table6[[#This Row],[Column1]],$A$4:$A$122,$B$4:$B$122,0,0,1)</f>
        <v>1000000</v>
      </c>
      <c r="G89" t="b">
        <f>A89=Table6[[#This Row],[Column1]]</f>
        <v>0</v>
      </c>
      <c r="H89" s="215">
        <v>13525000</v>
      </c>
      <c r="I89" s="217">
        <f t="shared" si="1"/>
        <v>0</v>
      </c>
    </row>
    <row r="90" spans="1:9" x14ac:dyDescent="0.25">
      <c r="A90" s="216" t="s">
        <v>3077</v>
      </c>
      <c r="B90" s="215">
        <v>2000000</v>
      </c>
      <c r="D90" t="s">
        <v>2750</v>
      </c>
      <c r="E90" s="215">
        <f>_xlfn.XLOOKUP(Table6[[#This Row],[Column1]],$A$4:$A$122,$B$4:$B$122,0,0,1)</f>
        <v>10000000</v>
      </c>
      <c r="G90" t="b">
        <f>A90=Table6[[#This Row],[Column1]]</f>
        <v>0</v>
      </c>
      <c r="H90" s="215">
        <v>2000000</v>
      </c>
      <c r="I90" s="217">
        <f t="shared" si="1"/>
        <v>0</v>
      </c>
    </row>
    <row r="91" spans="1:9" x14ac:dyDescent="0.25">
      <c r="A91" s="216" t="s">
        <v>3084</v>
      </c>
      <c r="B91" s="215">
        <v>60415000</v>
      </c>
      <c r="D91" t="s">
        <v>2753</v>
      </c>
      <c r="E91" s="215">
        <f>_xlfn.XLOOKUP(Table6[[#This Row],[Column1]],$A$4:$A$122,$B$4:$B$122,0,0,1)</f>
        <v>5164000</v>
      </c>
      <c r="G91" t="b">
        <f>A91=Table6[[#This Row],[Column1]]</f>
        <v>0</v>
      </c>
      <c r="H91" s="215">
        <v>60415000</v>
      </c>
      <c r="I91" s="217">
        <f t="shared" si="1"/>
        <v>0</v>
      </c>
    </row>
    <row r="92" spans="1:9" x14ac:dyDescent="0.25">
      <c r="A92" s="216" t="s">
        <v>3093</v>
      </c>
      <c r="B92" s="215">
        <v>17900000</v>
      </c>
      <c r="D92" t="s">
        <v>2757</v>
      </c>
      <c r="E92" s="215">
        <f>_xlfn.XLOOKUP(Table6[[#This Row],[Column1]],$A$4:$A$122,$B$4:$B$122,0,0,1)</f>
        <v>12000000</v>
      </c>
      <c r="G92" t="b">
        <f>A92=Table6[[#This Row],[Column1]]</f>
        <v>0</v>
      </c>
      <c r="H92" s="215">
        <v>17900000</v>
      </c>
      <c r="I92" s="217">
        <f t="shared" si="1"/>
        <v>0</v>
      </c>
    </row>
    <row r="93" spans="1:9" x14ac:dyDescent="0.25">
      <c r="A93" s="216" t="s">
        <v>3100</v>
      </c>
      <c r="B93" s="215">
        <v>2000000</v>
      </c>
      <c r="D93" t="s">
        <v>2761</v>
      </c>
      <c r="E93" s="215">
        <f>_xlfn.XLOOKUP(Table6[[#This Row],[Column1]],$A$4:$A$122,$B$4:$B$122,0,0,1)</f>
        <v>1000000</v>
      </c>
      <c r="G93" t="b">
        <f>A93=Table6[[#This Row],[Column1]]</f>
        <v>0</v>
      </c>
      <c r="H93" s="215">
        <v>2000000</v>
      </c>
      <c r="I93" s="217">
        <f t="shared" si="1"/>
        <v>0</v>
      </c>
    </row>
    <row r="94" spans="1:9" x14ac:dyDescent="0.25">
      <c r="A94" s="216" t="s">
        <v>3102</v>
      </c>
      <c r="B94" s="215">
        <v>30169000</v>
      </c>
      <c r="D94" t="s">
        <v>2763</v>
      </c>
      <c r="E94" s="215">
        <f>_xlfn.XLOOKUP(Table6[[#This Row],[Column1]],$A$4:$A$122,$B$4:$B$122,0,0,1)</f>
        <v>20000000</v>
      </c>
      <c r="G94" t="b">
        <f>A94=Table6[[#This Row],[Column1]]</f>
        <v>0</v>
      </c>
      <c r="H94" s="215">
        <v>30169000</v>
      </c>
      <c r="I94" s="217">
        <f t="shared" si="1"/>
        <v>0</v>
      </c>
    </row>
    <row r="95" spans="1:9" x14ac:dyDescent="0.25">
      <c r="A95" s="216" t="s">
        <v>3321</v>
      </c>
      <c r="B95" s="215">
        <v>18400000</v>
      </c>
      <c r="D95" t="s">
        <v>2766</v>
      </c>
      <c r="E95" s="215">
        <f>_xlfn.XLOOKUP(Table6[[#This Row],[Column1]],$A$4:$A$122,$B$4:$B$122,0,0,1)</f>
        <v>0</v>
      </c>
      <c r="G95" t="b">
        <f>A95=Table6[[#This Row],[Column1]]</f>
        <v>0</v>
      </c>
      <c r="H95" s="215">
        <v>18400000</v>
      </c>
      <c r="I95" s="217">
        <f t="shared" si="1"/>
        <v>0</v>
      </c>
    </row>
    <row r="96" spans="1:9" x14ac:dyDescent="0.25">
      <c r="A96" s="216" t="s">
        <v>3326</v>
      </c>
      <c r="B96" s="215">
        <v>8702000</v>
      </c>
      <c r="D96" t="s">
        <v>2768</v>
      </c>
      <c r="E96" s="215">
        <f>_xlfn.XLOOKUP(Table6[[#This Row],[Column1]],$A$4:$A$122,$B$4:$B$122,0,0,1)</f>
        <v>45000000</v>
      </c>
      <c r="G96" t="b">
        <f>A96=Table6[[#This Row],[Column1]]</f>
        <v>0</v>
      </c>
      <c r="H96" s="215">
        <v>8702000</v>
      </c>
      <c r="I96" s="217">
        <f t="shared" si="1"/>
        <v>0</v>
      </c>
    </row>
    <row r="97" spans="1:9" x14ac:dyDescent="0.25">
      <c r="A97" s="216" t="s">
        <v>3332</v>
      </c>
      <c r="B97" s="215">
        <v>7500000</v>
      </c>
      <c r="D97" t="s">
        <v>2772</v>
      </c>
      <c r="E97" s="215">
        <f>_xlfn.XLOOKUP(Table6[[#This Row],[Column1]],$A$4:$A$122,$B$4:$B$122,0,0,1)</f>
        <v>21000000</v>
      </c>
      <c r="G97" t="b">
        <f>A97=Table6[[#This Row],[Column1]]</f>
        <v>0</v>
      </c>
      <c r="H97" s="215">
        <v>7500000</v>
      </c>
      <c r="I97" s="217">
        <f t="shared" si="1"/>
        <v>0</v>
      </c>
    </row>
    <row r="98" spans="1:9" x14ac:dyDescent="0.25">
      <c r="A98" s="216" t="s">
        <v>3336</v>
      </c>
      <c r="B98" s="215">
        <v>5350000</v>
      </c>
      <c r="D98" t="s">
        <v>2776</v>
      </c>
      <c r="E98" s="215">
        <f>_xlfn.XLOOKUP(Table6[[#This Row],[Column1]],$A$4:$A$122,$B$4:$B$122,0,0,1)</f>
        <v>17500000</v>
      </c>
      <c r="G98" t="b">
        <f>A98=Table6[[#This Row],[Column1]]</f>
        <v>0</v>
      </c>
      <c r="H98" s="215">
        <v>5350000</v>
      </c>
      <c r="I98" s="217">
        <f t="shared" si="1"/>
        <v>0</v>
      </c>
    </row>
    <row r="99" spans="1:9" x14ac:dyDescent="0.25">
      <c r="A99" s="216" t="s">
        <v>3341</v>
      </c>
      <c r="B99" s="215">
        <v>7500000</v>
      </c>
      <c r="D99" t="s">
        <v>2779</v>
      </c>
      <c r="E99" s="215">
        <f>_xlfn.XLOOKUP(Table6[[#This Row],[Column1]],$A$4:$A$122,$B$4:$B$122,0,0,1)</f>
        <v>0</v>
      </c>
      <c r="G99" t="b">
        <f>A99=Table6[[#This Row],[Column1]]</f>
        <v>0</v>
      </c>
      <c r="H99" s="215">
        <v>7500000</v>
      </c>
      <c r="I99" s="217">
        <f t="shared" si="1"/>
        <v>0</v>
      </c>
    </row>
    <row r="100" spans="1:9" x14ac:dyDescent="0.25">
      <c r="A100" s="216" t="s">
        <v>3351</v>
      </c>
      <c r="B100" s="215">
        <v>14000000</v>
      </c>
      <c r="D100" t="s">
        <v>2781</v>
      </c>
      <c r="E100" s="215">
        <f>_xlfn.XLOOKUP(Table6[[#This Row],[Column1]],$A$4:$A$122,$B$4:$B$122,0,0,1)</f>
        <v>41908000</v>
      </c>
      <c r="G100" t="b">
        <f>A100=Table6[[#This Row],[Column1]]</f>
        <v>0</v>
      </c>
      <c r="H100" s="215">
        <v>14000000</v>
      </c>
      <c r="I100" s="217">
        <f t="shared" si="1"/>
        <v>0</v>
      </c>
    </row>
    <row r="101" spans="1:9" x14ac:dyDescent="0.25">
      <c r="A101" s="216" t="s">
        <v>3361</v>
      </c>
      <c r="B101" s="215">
        <v>20635000</v>
      </c>
      <c r="D101" t="s">
        <v>3055</v>
      </c>
      <c r="E101" s="215">
        <f>_xlfn.XLOOKUP(Table6[[#This Row],[Column1]],$A$4:$A$122,$B$4:$B$122,0,0,1)</f>
        <v>23250000</v>
      </c>
      <c r="G101" t="b">
        <f>A101=Table6[[#This Row],[Column1]]</f>
        <v>0</v>
      </c>
      <c r="H101" s="215">
        <v>20635000</v>
      </c>
      <c r="I101" s="217">
        <f t="shared" si="1"/>
        <v>0</v>
      </c>
    </row>
    <row r="102" spans="1:9" x14ac:dyDescent="0.25">
      <c r="A102" s="216" t="s">
        <v>3368</v>
      </c>
      <c r="B102" s="215">
        <v>7500000</v>
      </c>
      <c r="D102" t="s">
        <v>3061</v>
      </c>
      <c r="E102" s="215">
        <f>_xlfn.XLOOKUP(Table6[[#This Row],[Column1]],$A$4:$A$122,$B$4:$B$122,0,0,1)</f>
        <v>2000000</v>
      </c>
      <c r="G102" t="b">
        <f>A102=Table6[[#This Row],[Column1]]</f>
        <v>0</v>
      </c>
      <c r="H102" s="215">
        <v>7500000</v>
      </c>
      <c r="I102" s="217">
        <f t="shared" si="1"/>
        <v>0</v>
      </c>
    </row>
    <row r="103" spans="1:9" x14ac:dyDescent="0.25">
      <c r="A103" s="216" t="s">
        <v>3378</v>
      </c>
      <c r="B103" s="215">
        <v>4800000</v>
      </c>
      <c r="D103" t="s">
        <v>3064</v>
      </c>
      <c r="E103" s="215">
        <f>_xlfn.XLOOKUP(Table6[[#This Row],[Column1]],$A$4:$A$122,$B$4:$B$122,0,0,1)</f>
        <v>18539000</v>
      </c>
      <c r="G103" t="b">
        <f>A103=Table6[[#This Row],[Column1]]</f>
        <v>0</v>
      </c>
      <c r="H103" s="215">
        <v>4800000</v>
      </c>
      <c r="I103" s="217">
        <f t="shared" si="1"/>
        <v>0</v>
      </c>
    </row>
    <row r="104" spans="1:9" x14ac:dyDescent="0.25">
      <c r="A104" s="216" t="s">
        <v>3381</v>
      </c>
      <c r="B104" s="215">
        <v>27500000</v>
      </c>
      <c r="D104" t="s">
        <v>3068</v>
      </c>
      <c r="E104" s="215">
        <f>_xlfn.XLOOKUP(Table6[[#This Row],[Column1]],$A$4:$A$122,$B$4:$B$122,0,0,1)</f>
        <v>13525000</v>
      </c>
      <c r="G104" t="b">
        <f>A104=Table6[[#This Row],[Column1]]</f>
        <v>0</v>
      </c>
      <c r="H104" s="215">
        <v>27500000</v>
      </c>
      <c r="I104" s="217">
        <f t="shared" si="1"/>
        <v>0</v>
      </c>
    </row>
    <row r="105" spans="1:9" x14ac:dyDescent="0.25">
      <c r="A105" s="216" t="s">
        <v>3384</v>
      </c>
      <c r="B105" s="215">
        <v>76033000</v>
      </c>
      <c r="D105" t="s">
        <v>3077</v>
      </c>
      <c r="E105" s="215">
        <f>_xlfn.XLOOKUP(Table6[[#This Row],[Column1]],$A$4:$A$122,$B$4:$B$122,0,0,1)</f>
        <v>2000000</v>
      </c>
      <c r="G105" t="b">
        <f>A105=Table6[[#This Row],[Column1]]</f>
        <v>0</v>
      </c>
      <c r="H105" s="215">
        <v>76033000</v>
      </c>
      <c r="I105" s="217">
        <f t="shared" si="1"/>
        <v>0</v>
      </c>
    </row>
    <row r="106" spans="1:9" x14ac:dyDescent="0.25">
      <c r="A106" s="216" t="s">
        <v>3480</v>
      </c>
      <c r="B106" s="215">
        <v>99100000</v>
      </c>
      <c r="D106" t="s">
        <v>3082</v>
      </c>
      <c r="E106" s="215">
        <f>_xlfn.XLOOKUP(Table6[[#This Row],[Column1]],$A$4:$A$122,$B$4:$B$122,0,0,1)</f>
        <v>0</v>
      </c>
      <c r="G106" t="b">
        <f>A106=Table6[[#This Row],[Column1]]</f>
        <v>0</v>
      </c>
      <c r="H106" s="215">
        <v>99100000</v>
      </c>
      <c r="I106" s="217">
        <f t="shared" si="1"/>
        <v>0</v>
      </c>
    </row>
    <row r="107" spans="1:9" x14ac:dyDescent="0.25">
      <c r="A107" s="216" t="s">
        <v>3488</v>
      </c>
      <c r="B107" s="215">
        <v>1333864000</v>
      </c>
      <c r="D107" t="s">
        <v>3084</v>
      </c>
      <c r="E107" s="215">
        <f>_xlfn.XLOOKUP(Table6[[#This Row],[Column1]],$A$4:$A$122,$B$4:$B$122,0,0,1)</f>
        <v>60415000</v>
      </c>
      <c r="G107" t="b">
        <f>A107=Table6[[#This Row],[Column1]]</f>
        <v>0</v>
      </c>
      <c r="H107" s="215">
        <v>1333864000</v>
      </c>
      <c r="I107" s="217">
        <f t="shared" si="1"/>
        <v>0</v>
      </c>
    </row>
    <row r="108" spans="1:9" x14ac:dyDescent="0.25">
      <c r="A108" s="216" t="s">
        <v>3492</v>
      </c>
      <c r="B108" s="215">
        <v>25000000</v>
      </c>
      <c r="D108" t="s">
        <v>3087</v>
      </c>
      <c r="E108" s="215">
        <f>_xlfn.XLOOKUP(Table6[[#This Row],[Column1]],$A$4:$A$122,$B$4:$B$122,0,0,1)</f>
        <v>0</v>
      </c>
      <c r="G108" t="b">
        <f>A108=Table6[[#This Row],[Column1]]</f>
        <v>0</v>
      </c>
      <c r="H108" s="215">
        <v>25000000</v>
      </c>
      <c r="I108" s="217">
        <f t="shared" si="1"/>
        <v>0</v>
      </c>
    </row>
    <row r="109" spans="1:9" x14ac:dyDescent="0.25">
      <c r="A109" s="216" t="s">
        <v>3495</v>
      </c>
      <c r="B109" s="215">
        <v>15000000</v>
      </c>
      <c r="D109" t="s">
        <v>3093</v>
      </c>
      <c r="E109" s="215">
        <f>_xlfn.XLOOKUP(Table6[[#This Row],[Column1]],$A$4:$A$122,$B$4:$B$122,0,0,1)</f>
        <v>17900000</v>
      </c>
      <c r="G109" t="b">
        <f>A109=Table6[[#This Row],[Column1]]</f>
        <v>0</v>
      </c>
      <c r="H109" s="215">
        <v>15000000</v>
      </c>
      <c r="I109" s="217">
        <f t="shared" si="1"/>
        <v>0</v>
      </c>
    </row>
    <row r="110" spans="1:9" x14ac:dyDescent="0.25">
      <c r="A110" s="216" t="s">
        <v>3497</v>
      </c>
      <c r="B110" s="215">
        <v>102600000</v>
      </c>
      <c r="D110" t="s">
        <v>3100</v>
      </c>
      <c r="E110" s="215">
        <f>_xlfn.XLOOKUP(Table6[[#This Row],[Column1]],$A$4:$A$122,$B$4:$B$122,0,0,1)</f>
        <v>2000000</v>
      </c>
      <c r="G110" t="b">
        <f>A110=Table6[[#This Row],[Column1]]</f>
        <v>0</v>
      </c>
      <c r="H110" s="215">
        <v>102600000</v>
      </c>
      <c r="I110" s="217">
        <f t="shared" si="1"/>
        <v>0</v>
      </c>
    </row>
    <row r="111" spans="1:9" x14ac:dyDescent="0.25">
      <c r="A111" s="216" t="s">
        <v>3500</v>
      </c>
      <c r="B111" s="215">
        <v>138000000</v>
      </c>
      <c r="D111" t="s">
        <v>3102</v>
      </c>
      <c r="E111" s="215">
        <f>_xlfn.XLOOKUP(Table6[[#This Row],[Column1]],$A$4:$A$122,$B$4:$B$122,0,0,1)</f>
        <v>30169000</v>
      </c>
      <c r="G111" t="b">
        <f>A111=Table6[[#This Row],[Column1]]</f>
        <v>0</v>
      </c>
      <c r="H111" s="215">
        <v>138000000</v>
      </c>
      <c r="I111" s="217">
        <f t="shared" si="1"/>
        <v>0</v>
      </c>
    </row>
    <row r="112" spans="1:9" x14ac:dyDescent="0.25">
      <c r="A112" s="216" t="s">
        <v>3506</v>
      </c>
      <c r="B112" s="215">
        <v>25000000</v>
      </c>
      <c r="D112" t="s">
        <v>3321</v>
      </c>
      <c r="E112" s="215">
        <f>_xlfn.XLOOKUP(Table6[[#This Row],[Column1]],$A$4:$A$122,$B$4:$B$122,0,0,1)</f>
        <v>18400000</v>
      </c>
      <c r="G112" t="b">
        <f>A112=Table6[[#This Row],[Column1]]</f>
        <v>0</v>
      </c>
      <c r="H112" s="215">
        <v>25000000</v>
      </c>
      <c r="I112" s="217">
        <f t="shared" si="1"/>
        <v>0</v>
      </c>
    </row>
    <row r="113" spans="1:9" x14ac:dyDescent="0.25">
      <c r="A113" s="216" t="s">
        <v>3509</v>
      </c>
      <c r="B113" s="215">
        <v>3808695000</v>
      </c>
      <c r="D113" t="s">
        <v>3326</v>
      </c>
      <c r="E113" s="215">
        <f>_xlfn.XLOOKUP(Table6[[#This Row],[Column1]],$A$4:$A$122,$B$4:$B$122,0,0,1)</f>
        <v>8702000</v>
      </c>
      <c r="G113" t="b">
        <f>A113=Table6[[#This Row],[Column1]]</f>
        <v>0</v>
      </c>
      <c r="H113" s="215">
        <v>3808695000</v>
      </c>
      <c r="I113" s="217">
        <f t="shared" si="1"/>
        <v>0</v>
      </c>
    </row>
    <row r="114" spans="1:9" x14ac:dyDescent="0.25">
      <c r="A114" s="216" t="s">
        <v>3514</v>
      </c>
      <c r="B114" s="215">
        <v>30000000</v>
      </c>
      <c r="D114" t="s">
        <v>3332</v>
      </c>
      <c r="E114" s="215">
        <f>_xlfn.XLOOKUP(Table6[[#This Row],[Column1]],$A$4:$A$122,$B$4:$B$122,0,0,1)</f>
        <v>7500000</v>
      </c>
      <c r="G114" t="b">
        <f>A114=Table6[[#This Row],[Column1]]</f>
        <v>0</v>
      </c>
      <c r="H114" s="215">
        <v>30000000</v>
      </c>
      <c r="I114" s="217">
        <f t="shared" si="1"/>
        <v>0</v>
      </c>
    </row>
    <row r="115" spans="1:9" x14ac:dyDescent="0.25">
      <c r="A115" s="216" t="s">
        <v>3517</v>
      </c>
      <c r="B115" s="215">
        <v>6000000</v>
      </c>
      <c r="D115" t="s">
        <v>3336</v>
      </c>
      <c r="E115" s="215">
        <f>_xlfn.XLOOKUP(Table6[[#This Row],[Column1]],$A$4:$A$122,$B$4:$B$122,0,0,1)</f>
        <v>5350000</v>
      </c>
      <c r="G115" t="b">
        <f>A115=Table6[[#This Row],[Column1]]</f>
        <v>0</v>
      </c>
      <c r="H115" s="215">
        <v>6000000</v>
      </c>
      <c r="I115" s="217">
        <f t="shared" si="1"/>
        <v>0</v>
      </c>
    </row>
    <row r="116" spans="1:9" x14ac:dyDescent="0.25">
      <c r="A116" s="216" t="s">
        <v>3519</v>
      </c>
      <c r="B116" s="215">
        <v>216000000</v>
      </c>
      <c r="D116" t="s">
        <v>3341</v>
      </c>
      <c r="E116" s="215">
        <f>_xlfn.XLOOKUP(Table6[[#This Row],[Column1]],$A$4:$A$122,$B$4:$B$122,0,0,1)</f>
        <v>7500000</v>
      </c>
      <c r="G116" t="b">
        <f>A116=Table6[[#This Row],[Column1]]</f>
        <v>0</v>
      </c>
      <c r="H116" s="215">
        <v>216000000</v>
      </c>
      <c r="I116" s="217">
        <f t="shared" si="1"/>
        <v>0</v>
      </c>
    </row>
    <row r="117" spans="1:9" x14ac:dyDescent="0.25">
      <c r="A117" s="216" t="s">
        <v>3523</v>
      </c>
      <c r="B117" s="215">
        <v>12000000</v>
      </c>
      <c r="D117" t="s">
        <v>3344</v>
      </c>
      <c r="E117" s="215">
        <f>_xlfn.XLOOKUP(Table6[[#This Row],[Column1]],$A$4:$A$122,$B$4:$B$122,0,0,1)</f>
        <v>0</v>
      </c>
      <c r="G117" t="b">
        <f>A117=Table6[[#This Row],[Column1]]</f>
        <v>0</v>
      </c>
      <c r="H117" s="215">
        <v>12000000</v>
      </c>
      <c r="I117" s="217">
        <f t="shared" si="1"/>
        <v>0</v>
      </c>
    </row>
    <row r="118" spans="1:9" x14ac:dyDescent="0.25">
      <c r="A118" s="216" t="s">
        <v>3527</v>
      </c>
      <c r="B118" s="215">
        <v>20000000</v>
      </c>
      <c r="D118" t="s">
        <v>3351</v>
      </c>
      <c r="E118" s="215">
        <f>_xlfn.XLOOKUP(Table6[[#This Row],[Column1]],$A$4:$A$122,$B$4:$B$122,0,0,1)</f>
        <v>14000000</v>
      </c>
      <c r="G118" t="b">
        <f>A118=Table6[[#This Row],[Column1]]</f>
        <v>0</v>
      </c>
      <c r="H118" s="215">
        <v>20000000</v>
      </c>
      <c r="I118" s="217">
        <f t="shared" si="1"/>
        <v>0</v>
      </c>
    </row>
    <row r="119" spans="1:9" x14ac:dyDescent="0.25">
      <c r="A119" s="216" t="s">
        <v>3530</v>
      </c>
      <c r="B119" s="215">
        <v>142041000</v>
      </c>
      <c r="D119" t="s">
        <v>3359</v>
      </c>
      <c r="E119" s="215">
        <f>_xlfn.XLOOKUP(Table6[[#This Row],[Column1]],$A$4:$A$122,$B$4:$B$122,0,0,1)</f>
        <v>0</v>
      </c>
      <c r="G119" t="b">
        <f>A119=Table6[[#This Row],[Column1]]</f>
        <v>0</v>
      </c>
      <c r="H119" s="215">
        <v>142041000</v>
      </c>
      <c r="I119" s="217">
        <f t="shared" si="1"/>
        <v>0</v>
      </c>
    </row>
    <row r="120" spans="1:9" x14ac:dyDescent="0.25">
      <c r="A120" s="216" t="s">
        <v>3540</v>
      </c>
      <c r="B120" s="215">
        <v>25000000</v>
      </c>
      <c r="D120" t="s">
        <v>3361</v>
      </c>
      <c r="E120" s="215">
        <f>_xlfn.XLOOKUP(Table6[[#This Row],[Column1]],$A$4:$A$122,$B$4:$B$122,0,0,1)</f>
        <v>20635000</v>
      </c>
      <c r="G120" t="b">
        <f>A120=Table6[[#This Row],[Column1]]</f>
        <v>0</v>
      </c>
      <c r="H120" s="215">
        <v>25000000</v>
      </c>
      <c r="I120" s="217">
        <f t="shared" si="1"/>
        <v>0</v>
      </c>
    </row>
    <row r="121" spans="1:9" x14ac:dyDescent="0.25">
      <c r="A121" s="216" t="s">
        <v>3543</v>
      </c>
      <c r="B121" s="215">
        <v>30000000</v>
      </c>
      <c r="D121" t="s">
        <v>3368</v>
      </c>
      <c r="E121" s="215">
        <f>_xlfn.XLOOKUP(Table6[[#This Row],[Column1]],$A$4:$A$122,$B$4:$B$122,0,0,1)</f>
        <v>7500000</v>
      </c>
      <c r="G121" t="b">
        <f>A121=Table6[[#This Row],[Column1]]</f>
        <v>0</v>
      </c>
      <c r="H121" s="215">
        <v>30000000</v>
      </c>
      <c r="I121" s="217">
        <f t="shared" si="1"/>
        <v>0</v>
      </c>
    </row>
    <row r="122" spans="1:9" x14ac:dyDescent="0.25">
      <c r="A122" s="216" t="s">
        <v>3546</v>
      </c>
      <c r="B122" s="215">
        <v>54200000</v>
      </c>
      <c r="D122" t="s">
        <v>3371</v>
      </c>
      <c r="E122" s="215">
        <f>_xlfn.XLOOKUP(Table6[[#This Row],[Column1]],$A$4:$A$122,$B$4:$B$122,0,0,1)</f>
        <v>0</v>
      </c>
      <c r="G122" t="b">
        <f>A122=Table6[[#This Row],[Column1]]</f>
        <v>0</v>
      </c>
      <c r="H122" s="215">
        <v>54200000</v>
      </c>
      <c r="I122" s="217">
        <f t="shared" si="1"/>
        <v>0</v>
      </c>
    </row>
    <row r="123" spans="1:9" x14ac:dyDescent="0.25">
      <c r="D123" t="s">
        <v>3378</v>
      </c>
      <c r="E123" s="215">
        <f>_xlfn.XLOOKUP(Table6[[#This Row],[Column1]],$A$4:$A$122,$B$4:$B$122,0,0,1)</f>
        <v>4800000</v>
      </c>
      <c r="G123" t="b">
        <f>A123=Table6[[#This Row],[Column1]]</f>
        <v>0</v>
      </c>
      <c r="I123" s="217">
        <f t="shared" si="1"/>
        <v>0</v>
      </c>
    </row>
    <row r="124" spans="1:9" x14ac:dyDescent="0.25">
      <c r="D124" t="s">
        <v>3381</v>
      </c>
      <c r="E124" s="215">
        <f>_xlfn.XLOOKUP(Table6[[#This Row],[Column1]],$A$4:$A$122,$B$4:$B$122,0,0,1)</f>
        <v>27500000</v>
      </c>
      <c r="G124" t="b">
        <f>A124=Table6[[#This Row],[Column1]]</f>
        <v>0</v>
      </c>
      <c r="I124" s="217">
        <f t="shared" si="1"/>
        <v>0</v>
      </c>
    </row>
    <row r="125" spans="1:9" x14ac:dyDescent="0.25">
      <c r="D125" t="s">
        <v>3384</v>
      </c>
      <c r="E125" s="215">
        <f>_xlfn.XLOOKUP(Table6[[#This Row],[Column1]],$A$4:$A$122,$B$4:$B$122,0,0,1)</f>
        <v>76033000</v>
      </c>
      <c r="G125" t="b">
        <f>A125=Table6[[#This Row],[Column1]]</f>
        <v>0</v>
      </c>
      <c r="I125" s="217">
        <f t="shared" si="1"/>
        <v>0</v>
      </c>
    </row>
    <row r="126" spans="1:9" x14ac:dyDescent="0.25">
      <c r="D126" t="s">
        <v>3480</v>
      </c>
      <c r="E126" s="215">
        <f>_xlfn.XLOOKUP(Table6[[#This Row],[Column1]],$A$4:$A$122,$B$4:$B$122,0,0,1)</f>
        <v>99100000</v>
      </c>
      <c r="G126" t="b">
        <f>A126=Table6[[#This Row],[Column1]]</f>
        <v>0</v>
      </c>
      <c r="I126" s="217">
        <f t="shared" si="1"/>
        <v>0</v>
      </c>
    </row>
    <row r="127" spans="1:9" x14ac:dyDescent="0.25">
      <c r="D127" t="s">
        <v>3488</v>
      </c>
      <c r="E127" s="215">
        <f>_xlfn.XLOOKUP(Table6[[#This Row],[Column1]],$A$4:$A$122,$B$4:$B$122,0,0,1)</f>
        <v>1333864000</v>
      </c>
      <c r="G127" t="b">
        <f>A127=Table6[[#This Row],[Column1]]</f>
        <v>0</v>
      </c>
      <c r="I127" s="217">
        <f t="shared" si="1"/>
        <v>0</v>
      </c>
    </row>
    <row r="128" spans="1:9" x14ac:dyDescent="0.25">
      <c r="D128" t="s">
        <v>3492</v>
      </c>
      <c r="E128" s="215">
        <f>_xlfn.XLOOKUP(Table6[[#This Row],[Column1]],$A$4:$A$122,$B$4:$B$122,0,0,1)</f>
        <v>25000000</v>
      </c>
      <c r="G128" t="b">
        <f>A128=Table6[[#This Row],[Column1]]</f>
        <v>0</v>
      </c>
      <c r="I128" s="217">
        <f t="shared" si="1"/>
        <v>0</v>
      </c>
    </row>
    <row r="129" spans="4:9" x14ac:dyDescent="0.25">
      <c r="D129" t="s">
        <v>3495</v>
      </c>
      <c r="E129" s="215">
        <f>_xlfn.XLOOKUP(Table6[[#This Row],[Column1]],$A$4:$A$122,$B$4:$B$122,0,0,1)</f>
        <v>15000000</v>
      </c>
      <c r="G129" t="b">
        <f>A129=Table6[[#This Row],[Column1]]</f>
        <v>0</v>
      </c>
      <c r="I129" s="217">
        <f t="shared" si="1"/>
        <v>0</v>
      </c>
    </row>
    <row r="130" spans="4:9" x14ac:dyDescent="0.25">
      <c r="D130" t="s">
        <v>3497</v>
      </c>
      <c r="E130" s="215">
        <f>_xlfn.XLOOKUP(Table6[[#This Row],[Column1]],$A$4:$A$122,$B$4:$B$122,0,0,1)</f>
        <v>102600000</v>
      </c>
      <c r="G130" t="b">
        <f>A130=Table6[[#This Row],[Column1]]</f>
        <v>0</v>
      </c>
      <c r="I130" s="217">
        <f t="shared" si="1"/>
        <v>0</v>
      </c>
    </row>
    <row r="131" spans="4:9" x14ac:dyDescent="0.25">
      <c r="D131" t="s">
        <v>3500</v>
      </c>
      <c r="E131" s="215">
        <f>_xlfn.XLOOKUP(Table6[[#This Row],[Column1]],$A$4:$A$122,$B$4:$B$122,0,0,1)</f>
        <v>138000000</v>
      </c>
      <c r="G131" t="b">
        <f>A131=Table6[[#This Row],[Column1]]</f>
        <v>0</v>
      </c>
      <c r="I131" s="217">
        <f t="shared" si="1"/>
        <v>0</v>
      </c>
    </row>
    <row r="132" spans="4:9" x14ac:dyDescent="0.25">
      <c r="D132" t="s">
        <v>3506</v>
      </c>
      <c r="E132" s="215">
        <f>_xlfn.XLOOKUP(Table6[[#This Row],[Column1]],$A$4:$A$122,$B$4:$B$122,0,0,1)</f>
        <v>25000000</v>
      </c>
      <c r="G132" t="b">
        <f>A132=Table6[[#This Row],[Column1]]</f>
        <v>0</v>
      </c>
      <c r="I132" s="217">
        <f t="shared" si="1"/>
        <v>0</v>
      </c>
    </row>
    <row r="133" spans="4:9" x14ac:dyDescent="0.25">
      <c r="D133" t="s">
        <v>3509</v>
      </c>
      <c r="E133" s="215">
        <f>_xlfn.XLOOKUP(Table6[[#This Row],[Column1]],$A$4:$A$122,$B$4:$B$122,0,0,1)</f>
        <v>3808695000</v>
      </c>
      <c r="G133" t="b">
        <f>A133=Table6[[#This Row],[Column1]]</f>
        <v>0</v>
      </c>
      <c r="I133" s="217">
        <f t="shared" si="1"/>
        <v>0</v>
      </c>
    </row>
    <row r="134" spans="4:9" x14ac:dyDescent="0.25">
      <c r="D134" t="s">
        <v>3514</v>
      </c>
      <c r="E134" s="215">
        <f>_xlfn.XLOOKUP(Table6[[#This Row],[Column1]],$A$4:$A$122,$B$4:$B$122,0,0,1)</f>
        <v>30000000</v>
      </c>
      <c r="G134" t="b">
        <f>A134=Table6[[#This Row],[Column1]]</f>
        <v>0</v>
      </c>
      <c r="I134" s="217">
        <f t="shared" si="1"/>
        <v>0</v>
      </c>
    </row>
    <row r="135" spans="4:9" x14ac:dyDescent="0.25">
      <c r="D135" t="s">
        <v>3517</v>
      </c>
      <c r="E135" s="215">
        <f>_xlfn.XLOOKUP(Table6[[#This Row],[Column1]],$A$4:$A$122,$B$4:$B$122,0,0,1)</f>
        <v>6000000</v>
      </c>
      <c r="G135" t="b">
        <f>A135=Table6[[#This Row],[Column1]]</f>
        <v>0</v>
      </c>
      <c r="I135" s="217">
        <f t="shared" si="1"/>
        <v>0</v>
      </c>
    </row>
    <row r="136" spans="4:9" x14ac:dyDescent="0.25">
      <c r="D136" t="s">
        <v>3519</v>
      </c>
      <c r="E136" s="215">
        <f>_xlfn.XLOOKUP(Table6[[#This Row],[Column1]],$A$4:$A$122,$B$4:$B$122,0,0,1)</f>
        <v>216000000</v>
      </c>
      <c r="G136" t="b">
        <f>A136=Table6[[#This Row],[Column1]]</f>
        <v>0</v>
      </c>
      <c r="I136" s="217">
        <f t="shared" si="1"/>
        <v>0</v>
      </c>
    </row>
    <row r="137" spans="4:9" x14ac:dyDescent="0.25">
      <c r="D137" t="s">
        <v>3523</v>
      </c>
      <c r="E137" s="215">
        <f>_xlfn.XLOOKUP(Table6[[#This Row],[Column1]],$A$4:$A$122,$B$4:$B$122,0,0,1)</f>
        <v>12000000</v>
      </c>
      <c r="G137" t="b">
        <f>A137=Table6[[#This Row],[Column1]]</f>
        <v>0</v>
      </c>
      <c r="I137" s="217">
        <f t="shared" si="1"/>
        <v>0</v>
      </c>
    </row>
    <row r="138" spans="4:9" x14ac:dyDescent="0.25">
      <c r="D138" t="s">
        <v>3527</v>
      </c>
      <c r="E138" s="215">
        <f>_xlfn.XLOOKUP(Table6[[#This Row],[Column1]],$A$4:$A$122,$B$4:$B$122,0,0,1)</f>
        <v>20000000</v>
      </c>
      <c r="G138" t="b">
        <f>A138=Table6[[#This Row],[Column1]]</f>
        <v>0</v>
      </c>
      <c r="I138" s="217">
        <f t="shared" ref="I138:I201" si="2">B138-H138</f>
        <v>0</v>
      </c>
    </row>
    <row r="139" spans="4:9" x14ac:dyDescent="0.25">
      <c r="D139" t="s">
        <v>3530</v>
      </c>
      <c r="E139" s="215">
        <f>_xlfn.XLOOKUP(Table6[[#This Row],[Column1]],$A$4:$A$122,$B$4:$B$122,0,0,1)</f>
        <v>142041000</v>
      </c>
      <c r="G139" t="b">
        <f>A139=Table6[[#This Row],[Column1]]</f>
        <v>0</v>
      </c>
      <c r="I139" s="217">
        <f t="shared" si="2"/>
        <v>0</v>
      </c>
    </row>
    <row r="140" spans="4:9" x14ac:dyDescent="0.25">
      <c r="D140" t="s">
        <v>3535</v>
      </c>
      <c r="E140" s="215">
        <f>_xlfn.XLOOKUP(Table6[[#This Row],[Column1]],$A$4:$A$122,$B$4:$B$122,0,0,1)</f>
        <v>0</v>
      </c>
      <c r="G140" t="b">
        <f>A140=Table6[[#This Row],[Column1]]</f>
        <v>0</v>
      </c>
      <c r="I140" s="217">
        <f t="shared" si="2"/>
        <v>0</v>
      </c>
    </row>
    <row r="141" spans="4:9" x14ac:dyDescent="0.25">
      <c r="D141" t="s">
        <v>3540</v>
      </c>
      <c r="E141" s="215">
        <f>_xlfn.XLOOKUP(Table6[[#This Row],[Column1]],$A$4:$A$122,$B$4:$B$122,0,0,1)</f>
        <v>25000000</v>
      </c>
      <c r="G141" t="b">
        <f>A141=Table6[[#This Row],[Column1]]</f>
        <v>0</v>
      </c>
      <c r="I141" s="217">
        <f t="shared" si="2"/>
        <v>0</v>
      </c>
    </row>
    <row r="142" spans="4:9" x14ac:dyDescent="0.25">
      <c r="D142" t="s">
        <v>3543</v>
      </c>
      <c r="E142" s="215">
        <f>_xlfn.XLOOKUP(Table6[[#This Row],[Column1]],$A$4:$A$122,$B$4:$B$122,0,0,1)</f>
        <v>30000000</v>
      </c>
      <c r="G142" t="b">
        <f>A142=Table6[[#This Row],[Column1]]</f>
        <v>0</v>
      </c>
      <c r="I142" s="217">
        <f t="shared" si="2"/>
        <v>0</v>
      </c>
    </row>
    <row r="143" spans="4:9" x14ac:dyDescent="0.25">
      <c r="D143" t="s">
        <v>3546</v>
      </c>
      <c r="E143" s="215">
        <f>_xlfn.XLOOKUP(Table6[[#This Row],[Column1]],$A$4:$A$122,$B$4:$B$122,0,0,1)</f>
        <v>54200000</v>
      </c>
      <c r="G143" t="b">
        <f>A143=Table6[[#This Row],[Column1]]</f>
        <v>0</v>
      </c>
      <c r="I143" s="217">
        <f t="shared" si="2"/>
        <v>0</v>
      </c>
    </row>
    <row r="144" spans="4:9" x14ac:dyDescent="0.25">
      <c r="E144" s="215">
        <f>_xlfn.XLOOKUP(Table6[[#This Row],[Column1]],$A$4:$A$122,$B$4:$B$122,0,0,1)</f>
        <v>0</v>
      </c>
      <c r="G144" t="b">
        <f>A144=Table6[[#This Row],[Column1]]</f>
        <v>1</v>
      </c>
      <c r="I144" s="217">
        <f t="shared" si="2"/>
        <v>0</v>
      </c>
    </row>
    <row r="145" spans="5:9" x14ac:dyDescent="0.25">
      <c r="E145" s="346">
        <f>SUBTOTAL(109,Table6[Column2])</f>
        <v>9280146000</v>
      </c>
      <c r="G145" t="e">
        <f>A145=Table6[[#This Row],[Column1]]</f>
        <v>#VALUE!</v>
      </c>
      <c r="I145" s="217">
        <f t="shared" si="2"/>
        <v>0</v>
      </c>
    </row>
    <row r="146" spans="5:9" x14ac:dyDescent="0.25">
      <c r="G146" t="e">
        <f>A146=Table6[[#This Row],[Column1]]</f>
        <v>#VALUE!</v>
      </c>
      <c r="I146" s="217">
        <f t="shared" si="2"/>
        <v>0</v>
      </c>
    </row>
    <row r="147" spans="5:9" x14ac:dyDescent="0.25">
      <c r="G147" t="e">
        <f>A147=Table6[[#This Row],[Column1]]</f>
        <v>#VALUE!</v>
      </c>
      <c r="I147" s="217">
        <f t="shared" si="2"/>
        <v>0</v>
      </c>
    </row>
    <row r="148" spans="5:9" x14ac:dyDescent="0.25">
      <c r="G148" t="e">
        <f>A148=Table6[[#This Row],[Column1]]</f>
        <v>#VALUE!</v>
      </c>
      <c r="I148" s="217">
        <f t="shared" si="2"/>
        <v>0</v>
      </c>
    </row>
    <row r="149" spans="5:9" x14ac:dyDescent="0.25">
      <c r="G149" t="e">
        <f>A149=Table6[[#This Row],[Column1]]</f>
        <v>#VALUE!</v>
      </c>
      <c r="I149" s="217">
        <f t="shared" si="2"/>
        <v>0</v>
      </c>
    </row>
    <row r="150" spans="5:9" x14ac:dyDescent="0.25">
      <c r="G150" t="e">
        <f>A150=Table6[[#This Row],[Column1]]</f>
        <v>#VALUE!</v>
      </c>
      <c r="I150" s="217">
        <f t="shared" si="2"/>
        <v>0</v>
      </c>
    </row>
    <row r="151" spans="5:9" x14ac:dyDescent="0.25">
      <c r="G151" t="e">
        <f>A151=Table6[[#This Row],[Column1]]</f>
        <v>#VALUE!</v>
      </c>
      <c r="I151" s="217">
        <f t="shared" si="2"/>
        <v>0</v>
      </c>
    </row>
    <row r="152" spans="5:9" x14ac:dyDescent="0.25">
      <c r="G152" t="e">
        <f>A152=Table6[[#This Row],[Column1]]</f>
        <v>#VALUE!</v>
      </c>
      <c r="I152" s="217">
        <f t="shared" si="2"/>
        <v>0</v>
      </c>
    </row>
    <row r="153" spans="5:9" x14ac:dyDescent="0.25">
      <c r="G153" t="e">
        <f>A153=Table6[[#This Row],[Column1]]</f>
        <v>#VALUE!</v>
      </c>
      <c r="I153" s="217">
        <f t="shared" si="2"/>
        <v>0</v>
      </c>
    </row>
    <row r="154" spans="5:9" x14ac:dyDescent="0.25">
      <c r="G154" t="e">
        <f>A154=Table6[[#This Row],[Column1]]</f>
        <v>#VALUE!</v>
      </c>
      <c r="I154" s="217">
        <f t="shared" si="2"/>
        <v>0</v>
      </c>
    </row>
    <row r="155" spans="5:9" x14ac:dyDescent="0.25">
      <c r="G155" t="e">
        <f>A155=Table6[[#This Row],[Column1]]</f>
        <v>#VALUE!</v>
      </c>
      <c r="I155" s="217">
        <f t="shared" si="2"/>
        <v>0</v>
      </c>
    </row>
    <row r="156" spans="5:9" x14ac:dyDescent="0.25">
      <c r="G156" t="e">
        <f>A156=Table6[[#This Row],[Column1]]</f>
        <v>#VALUE!</v>
      </c>
      <c r="I156" s="217">
        <f t="shared" si="2"/>
        <v>0</v>
      </c>
    </row>
    <row r="157" spans="5:9" x14ac:dyDescent="0.25">
      <c r="G157" t="e">
        <f>A157=Table6[[#This Row],[Column1]]</f>
        <v>#VALUE!</v>
      </c>
      <c r="I157" s="217">
        <f t="shared" si="2"/>
        <v>0</v>
      </c>
    </row>
    <row r="158" spans="5:9" x14ac:dyDescent="0.25">
      <c r="G158" t="e">
        <f>A158=Table6[[#This Row],[Column1]]</f>
        <v>#VALUE!</v>
      </c>
      <c r="I158" s="217">
        <f t="shared" si="2"/>
        <v>0</v>
      </c>
    </row>
    <row r="159" spans="5:9" x14ac:dyDescent="0.25">
      <c r="G159" t="e">
        <f>A159=Table6[[#This Row],[Column1]]</f>
        <v>#VALUE!</v>
      </c>
      <c r="I159" s="217">
        <f t="shared" si="2"/>
        <v>0</v>
      </c>
    </row>
    <row r="160" spans="5:9" x14ac:dyDescent="0.25">
      <c r="G160" t="e">
        <f>A160=Table6[[#This Row],[Column1]]</f>
        <v>#VALUE!</v>
      </c>
      <c r="I160" s="217">
        <f t="shared" si="2"/>
        <v>0</v>
      </c>
    </row>
    <row r="161" spans="7:9" x14ac:dyDescent="0.25">
      <c r="G161" t="e">
        <f>A161=Table6[[#This Row],[Column1]]</f>
        <v>#VALUE!</v>
      </c>
      <c r="I161" s="217">
        <f t="shared" si="2"/>
        <v>0</v>
      </c>
    </row>
    <row r="162" spans="7:9" x14ac:dyDescent="0.25">
      <c r="G162" t="e">
        <f>A162=Table6[[#This Row],[Column1]]</f>
        <v>#VALUE!</v>
      </c>
      <c r="I162" s="217">
        <f t="shared" si="2"/>
        <v>0</v>
      </c>
    </row>
    <row r="163" spans="7:9" x14ac:dyDescent="0.25">
      <c r="G163" t="e">
        <f>A163=Table6[[#This Row],[Column1]]</f>
        <v>#VALUE!</v>
      </c>
      <c r="I163" s="217">
        <f t="shared" si="2"/>
        <v>0</v>
      </c>
    </row>
    <row r="164" spans="7:9" x14ac:dyDescent="0.25">
      <c r="G164" t="e">
        <f>A164=Table6[[#This Row],[Column1]]</f>
        <v>#VALUE!</v>
      </c>
      <c r="I164" s="217">
        <f t="shared" si="2"/>
        <v>0</v>
      </c>
    </row>
    <row r="165" spans="7:9" x14ac:dyDescent="0.25">
      <c r="G165" t="e">
        <f>A165=Table6[[#This Row],[Column1]]</f>
        <v>#VALUE!</v>
      </c>
      <c r="I165" s="217">
        <f t="shared" si="2"/>
        <v>0</v>
      </c>
    </row>
    <row r="166" spans="7:9" x14ac:dyDescent="0.25">
      <c r="G166" t="e">
        <f>A166=Table6[[#This Row],[Column1]]</f>
        <v>#VALUE!</v>
      </c>
      <c r="I166" s="217">
        <f t="shared" si="2"/>
        <v>0</v>
      </c>
    </row>
    <row r="167" spans="7:9" x14ac:dyDescent="0.25">
      <c r="G167" t="e">
        <f>A167=Table6[[#This Row],[Column1]]</f>
        <v>#VALUE!</v>
      </c>
      <c r="I167" s="217">
        <f t="shared" si="2"/>
        <v>0</v>
      </c>
    </row>
    <row r="168" spans="7:9" x14ac:dyDescent="0.25">
      <c r="G168" t="e">
        <f>A168=Table6[[#This Row],[Column1]]</f>
        <v>#VALUE!</v>
      </c>
      <c r="I168" s="217">
        <f t="shared" si="2"/>
        <v>0</v>
      </c>
    </row>
    <row r="169" spans="7:9" x14ac:dyDescent="0.25">
      <c r="G169" t="e">
        <f>A169=Table6[[#This Row],[Column1]]</f>
        <v>#VALUE!</v>
      </c>
      <c r="I169" s="217">
        <f t="shared" si="2"/>
        <v>0</v>
      </c>
    </row>
    <row r="170" spans="7:9" x14ac:dyDescent="0.25">
      <c r="G170" t="e">
        <f>A170=Table6[[#This Row],[Column1]]</f>
        <v>#VALUE!</v>
      </c>
      <c r="I170" s="217">
        <f t="shared" si="2"/>
        <v>0</v>
      </c>
    </row>
    <row r="171" spans="7:9" x14ac:dyDescent="0.25">
      <c r="G171" t="e">
        <f>A171=Table6[[#This Row],[Column1]]</f>
        <v>#VALUE!</v>
      </c>
      <c r="I171" s="217">
        <f t="shared" si="2"/>
        <v>0</v>
      </c>
    </row>
    <row r="172" spans="7:9" x14ac:dyDescent="0.25">
      <c r="G172" t="e">
        <f>A172=Table6[[#This Row],[Column1]]</f>
        <v>#VALUE!</v>
      </c>
      <c r="I172" s="217">
        <f t="shared" si="2"/>
        <v>0</v>
      </c>
    </row>
    <row r="173" spans="7:9" x14ac:dyDescent="0.25">
      <c r="G173" t="e">
        <f>A173=Table6[[#This Row],[Column1]]</f>
        <v>#VALUE!</v>
      </c>
      <c r="I173" s="217">
        <f t="shared" si="2"/>
        <v>0</v>
      </c>
    </row>
    <row r="174" spans="7:9" x14ac:dyDescent="0.25">
      <c r="G174" t="e">
        <f>A174=Table6[[#This Row],[Column1]]</f>
        <v>#VALUE!</v>
      </c>
      <c r="I174" s="217">
        <f t="shared" si="2"/>
        <v>0</v>
      </c>
    </row>
    <row r="175" spans="7:9" x14ac:dyDescent="0.25">
      <c r="G175" t="e">
        <f>A175=Table6[[#This Row],[Column1]]</f>
        <v>#VALUE!</v>
      </c>
      <c r="I175" s="217">
        <f t="shared" si="2"/>
        <v>0</v>
      </c>
    </row>
    <row r="176" spans="7:9" x14ac:dyDescent="0.25">
      <c r="G176" t="e">
        <f>A176=Table6[[#This Row],[Column1]]</f>
        <v>#VALUE!</v>
      </c>
      <c r="I176" s="217">
        <f t="shared" si="2"/>
        <v>0</v>
      </c>
    </row>
    <row r="177" spans="7:9" x14ac:dyDescent="0.25">
      <c r="G177" t="e">
        <f>A177=Table6[[#This Row],[Column1]]</f>
        <v>#VALUE!</v>
      </c>
      <c r="I177" s="217">
        <f t="shared" si="2"/>
        <v>0</v>
      </c>
    </row>
    <row r="178" spans="7:9" x14ac:dyDescent="0.25">
      <c r="G178" t="e">
        <f>A178=Table6[[#This Row],[Column1]]</f>
        <v>#VALUE!</v>
      </c>
      <c r="I178" s="217">
        <f t="shared" si="2"/>
        <v>0</v>
      </c>
    </row>
    <row r="179" spans="7:9" x14ac:dyDescent="0.25">
      <c r="G179" t="e">
        <f>A179=Table6[[#This Row],[Column1]]</f>
        <v>#VALUE!</v>
      </c>
      <c r="I179" s="217">
        <f t="shared" si="2"/>
        <v>0</v>
      </c>
    </row>
    <row r="180" spans="7:9" x14ac:dyDescent="0.25">
      <c r="G180" t="e">
        <f>A180=Table6[[#This Row],[Column1]]</f>
        <v>#VALUE!</v>
      </c>
      <c r="I180" s="217">
        <f t="shared" si="2"/>
        <v>0</v>
      </c>
    </row>
    <row r="181" spans="7:9" x14ac:dyDescent="0.25">
      <c r="G181" t="e">
        <f>A181=Table6[[#This Row],[Column1]]</f>
        <v>#VALUE!</v>
      </c>
      <c r="I181" s="217">
        <f t="shared" si="2"/>
        <v>0</v>
      </c>
    </row>
    <row r="182" spans="7:9" x14ac:dyDescent="0.25">
      <c r="G182" t="e">
        <f>A182=Table6[[#This Row],[Column1]]</f>
        <v>#VALUE!</v>
      </c>
      <c r="I182" s="217">
        <f t="shared" si="2"/>
        <v>0</v>
      </c>
    </row>
    <row r="183" spans="7:9" x14ac:dyDescent="0.25">
      <c r="G183" t="e">
        <f>A183=Table6[[#This Row],[Column1]]</f>
        <v>#VALUE!</v>
      </c>
      <c r="I183" s="217">
        <f t="shared" si="2"/>
        <v>0</v>
      </c>
    </row>
    <row r="184" spans="7:9" x14ac:dyDescent="0.25">
      <c r="G184" t="e">
        <f>A184=Table6[[#This Row],[Column1]]</f>
        <v>#VALUE!</v>
      </c>
      <c r="I184" s="217">
        <f t="shared" si="2"/>
        <v>0</v>
      </c>
    </row>
    <row r="185" spans="7:9" x14ac:dyDescent="0.25">
      <c r="G185" t="e">
        <f>A185=Table6[[#This Row],[Column1]]</f>
        <v>#VALUE!</v>
      </c>
      <c r="I185" s="217">
        <f t="shared" si="2"/>
        <v>0</v>
      </c>
    </row>
    <row r="186" spans="7:9" x14ac:dyDescent="0.25">
      <c r="G186" t="e">
        <f>A186=Table6[[#This Row],[Column1]]</f>
        <v>#VALUE!</v>
      </c>
      <c r="I186" s="217">
        <f t="shared" si="2"/>
        <v>0</v>
      </c>
    </row>
    <row r="187" spans="7:9" x14ac:dyDescent="0.25">
      <c r="G187" t="e">
        <f>A187=Table6[[#This Row],[Column1]]</f>
        <v>#VALUE!</v>
      </c>
      <c r="I187" s="217">
        <f t="shared" si="2"/>
        <v>0</v>
      </c>
    </row>
    <row r="188" spans="7:9" x14ac:dyDescent="0.25">
      <c r="G188" t="e">
        <f>A188=Table6[[#This Row],[Column1]]</f>
        <v>#VALUE!</v>
      </c>
      <c r="I188" s="217">
        <f t="shared" si="2"/>
        <v>0</v>
      </c>
    </row>
    <row r="189" spans="7:9" x14ac:dyDescent="0.25">
      <c r="G189" t="e">
        <f>A189=Table6[[#This Row],[Column1]]</f>
        <v>#VALUE!</v>
      </c>
      <c r="I189" s="217">
        <f t="shared" si="2"/>
        <v>0</v>
      </c>
    </row>
    <row r="190" spans="7:9" x14ac:dyDescent="0.25">
      <c r="G190" t="e">
        <f>A190=Table6[[#This Row],[Column1]]</f>
        <v>#VALUE!</v>
      </c>
      <c r="I190" s="217">
        <f t="shared" si="2"/>
        <v>0</v>
      </c>
    </row>
    <row r="191" spans="7:9" x14ac:dyDescent="0.25">
      <c r="G191" t="e">
        <f>A191=Table6[[#This Row],[Column1]]</f>
        <v>#VALUE!</v>
      </c>
      <c r="I191" s="217">
        <f t="shared" si="2"/>
        <v>0</v>
      </c>
    </row>
    <row r="192" spans="7:9" x14ac:dyDescent="0.25">
      <c r="G192" t="e">
        <f>A192=Table6[[#This Row],[Column1]]</f>
        <v>#VALUE!</v>
      </c>
      <c r="I192" s="217">
        <f t="shared" si="2"/>
        <v>0</v>
      </c>
    </row>
    <row r="193" spans="7:9" x14ac:dyDescent="0.25">
      <c r="G193" t="e">
        <f>A193=Table6[[#This Row],[Column1]]</f>
        <v>#VALUE!</v>
      </c>
      <c r="I193" s="217">
        <f t="shared" si="2"/>
        <v>0</v>
      </c>
    </row>
    <row r="194" spans="7:9" x14ac:dyDescent="0.25">
      <c r="G194" t="e">
        <f>A194=Table6[[#This Row],[Column1]]</f>
        <v>#VALUE!</v>
      </c>
      <c r="I194" s="217">
        <f t="shared" si="2"/>
        <v>0</v>
      </c>
    </row>
    <row r="195" spans="7:9" x14ac:dyDescent="0.25">
      <c r="G195" t="e">
        <f>A195=Table6[[#This Row],[Column1]]</f>
        <v>#VALUE!</v>
      </c>
      <c r="I195" s="217">
        <f t="shared" si="2"/>
        <v>0</v>
      </c>
    </row>
    <row r="196" spans="7:9" x14ac:dyDescent="0.25">
      <c r="G196" t="e">
        <f>A196=Table6[[#This Row],[Column1]]</f>
        <v>#VALUE!</v>
      </c>
      <c r="I196" s="217">
        <f t="shared" si="2"/>
        <v>0</v>
      </c>
    </row>
    <row r="197" spans="7:9" x14ac:dyDescent="0.25">
      <c r="G197" t="e">
        <f>A197=Table6[[#This Row],[Column1]]</f>
        <v>#VALUE!</v>
      </c>
      <c r="I197" s="217">
        <f t="shared" si="2"/>
        <v>0</v>
      </c>
    </row>
    <row r="198" spans="7:9" x14ac:dyDescent="0.25">
      <c r="G198" t="e">
        <f>A198=Table6[[#This Row],[Column1]]</f>
        <v>#VALUE!</v>
      </c>
      <c r="I198" s="217">
        <f t="shared" si="2"/>
        <v>0</v>
      </c>
    </row>
    <row r="199" spans="7:9" x14ac:dyDescent="0.25">
      <c r="G199" t="e">
        <f>A199=Table6[[#This Row],[Column1]]</f>
        <v>#VALUE!</v>
      </c>
      <c r="I199" s="217">
        <f t="shared" si="2"/>
        <v>0</v>
      </c>
    </row>
    <row r="200" spans="7:9" x14ac:dyDescent="0.25">
      <c r="G200" t="e">
        <f>A200=Table6[[#This Row],[Column1]]</f>
        <v>#VALUE!</v>
      </c>
      <c r="I200" s="217">
        <f t="shared" si="2"/>
        <v>0</v>
      </c>
    </row>
    <row r="201" spans="7:9" x14ac:dyDescent="0.25">
      <c r="G201" t="e">
        <f>A201=Table6[[#This Row],[Column1]]</f>
        <v>#VALUE!</v>
      </c>
      <c r="I201" s="217">
        <f t="shared" si="2"/>
        <v>0</v>
      </c>
    </row>
    <row r="202" spans="7:9" x14ac:dyDescent="0.25">
      <c r="G202" t="e">
        <f>A202=Table6[[#This Row],[Column1]]</f>
        <v>#VALUE!</v>
      </c>
      <c r="I202" s="217">
        <f t="shared" ref="I202:I232" si="3">B202-H202</f>
        <v>0</v>
      </c>
    </row>
    <row r="203" spans="7:9" x14ac:dyDescent="0.25">
      <c r="G203" t="e">
        <f>A203=Table6[[#This Row],[Column1]]</f>
        <v>#VALUE!</v>
      </c>
      <c r="I203" s="217">
        <f t="shared" si="3"/>
        <v>0</v>
      </c>
    </row>
    <row r="204" spans="7:9" x14ac:dyDescent="0.25">
      <c r="G204" t="e">
        <f>A204=Table6[[#This Row],[Column1]]</f>
        <v>#VALUE!</v>
      </c>
      <c r="I204" s="217">
        <f t="shared" si="3"/>
        <v>0</v>
      </c>
    </row>
    <row r="205" spans="7:9" x14ac:dyDescent="0.25">
      <c r="G205" t="e">
        <f>A205=Table6[[#This Row],[Column1]]</f>
        <v>#VALUE!</v>
      </c>
      <c r="I205" s="217">
        <f t="shared" si="3"/>
        <v>0</v>
      </c>
    </row>
    <row r="206" spans="7:9" x14ac:dyDescent="0.25">
      <c r="G206" t="e">
        <f>A206=Table6[[#This Row],[Column1]]</f>
        <v>#VALUE!</v>
      </c>
      <c r="I206" s="217">
        <f t="shared" si="3"/>
        <v>0</v>
      </c>
    </row>
    <row r="207" spans="7:9" x14ac:dyDescent="0.25">
      <c r="G207" t="e">
        <f>A207=Table6[[#This Row],[Column1]]</f>
        <v>#VALUE!</v>
      </c>
      <c r="I207" s="217">
        <f t="shared" si="3"/>
        <v>0</v>
      </c>
    </row>
    <row r="208" spans="7:9" x14ac:dyDescent="0.25">
      <c r="G208" t="e">
        <f>A208=Table6[[#This Row],[Column1]]</f>
        <v>#VALUE!</v>
      </c>
      <c r="I208" s="217">
        <f t="shared" si="3"/>
        <v>0</v>
      </c>
    </row>
    <row r="209" spans="7:9" x14ac:dyDescent="0.25">
      <c r="G209" t="e">
        <f>A209=Table6[[#This Row],[Column1]]</f>
        <v>#VALUE!</v>
      </c>
      <c r="I209" s="217">
        <f t="shared" si="3"/>
        <v>0</v>
      </c>
    </row>
    <row r="210" spans="7:9" x14ac:dyDescent="0.25">
      <c r="G210" t="e">
        <f>A210=Table6[[#This Row],[Column1]]</f>
        <v>#VALUE!</v>
      </c>
      <c r="I210" s="217">
        <f t="shared" si="3"/>
        <v>0</v>
      </c>
    </row>
    <row r="211" spans="7:9" x14ac:dyDescent="0.25">
      <c r="G211" t="e">
        <f>A211=Table6[[#This Row],[Column1]]</f>
        <v>#VALUE!</v>
      </c>
      <c r="I211" s="217">
        <f t="shared" si="3"/>
        <v>0</v>
      </c>
    </row>
    <row r="212" spans="7:9" x14ac:dyDescent="0.25">
      <c r="G212" t="e">
        <f>A212=Table6[[#This Row],[Column1]]</f>
        <v>#VALUE!</v>
      </c>
      <c r="I212" s="217">
        <f t="shared" si="3"/>
        <v>0</v>
      </c>
    </row>
    <row r="213" spans="7:9" x14ac:dyDescent="0.25">
      <c r="G213" t="e">
        <f>A213=Table6[[#This Row],[Column1]]</f>
        <v>#VALUE!</v>
      </c>
      <c r="I213" s="217">
        <f t="shared" si="3"/>
        <v>0</v>
      </c>
    </row>
    <row r="214" spans="7:9" x14ac:dyDescent="0.25">
      <c r="G214" t="e">
        <f>A214=Table6[[#This Row],[Column1]]</f>
        <v>#VALUE!</v>
      </c>
      <c r="I214" s="217">
        <f t="shared" si="3"/>
        <v>0</v>
      </c>
    </row>
    <row r="215" spans="7:9" x14ac:dyDescent="0.25">
      <c r="G215" t="e">
        <f>A215=Table6[[#This Row],[Column1]]</f>
        <v>#VALUE!</v>
      </c>
      <c r="I215" s="217">
        <f t="shared" si="3"/>
        <v>0</v>
      </c>
    </row>
    <row r="216" spans="7:9" x14ac:dyDescent="0.25">
      <c r="G216" t="e">
        <f>A216=Table6[[#This Row],[Column1]]</f>
        <v>#VALUE!</v>
      </c>
      <c r="I216" s="217">
        <f t="shared" si="3"/>
        <v>0</v>
      </c>
    </row>
    <row r="217" spans="7:9" x14ac:dyDescent="0.25">
      <c r="G217" t="e">
        <f>A217=Table6[[#This Row],[Column1]]</f>
        <v>#VALUE!</v>
      </c>
      <c r="I217" s="217">
        <f t="shared" si="3"/>
        <v>0</v>
      </c>
    </row>
    <row r="218" spans="7:9" x14ac:dyDescent="0.25">
      <c r="G218" t="e">
        <f>A218=Table6[[#This Row],[Column1]]</f>
        <v>#VALUE!</v>
      </c>
      <c r="I218" s="217">
        <f t="shared" si="3"/>
        <v>0</v>
      </c>
    </row>
    <row r="219" spans="7:9" x14ac:dyDescent="0.25">
      <c r="G219" t="e">
        <f>A219=Table6[[#This Row],[Column1]]</f>
        <v>#VALUE!</v>
      </c>
      <c r="I219" s="217">
        <f t="shared" si="3"/>
        <v>0</v>
      </c>
    </row>
    <row r="220" spans="7:9" x14ac:dyDescent="0.25">
      <c r="G220" t="e">
        <f>A220=Table6[[#This Row],[Column1]]</f>
        <v>#VALUE!</v>
      </c>
      <c r="I220" s="217">
        <f t="shared" si="3"/>
        <v>0</v>
      </c>
    </row>
    <row r="221" spans="7:9" x14ac:dyDescent="0.25">
      <c r="G221" t="e">
        <f>A221=Table6[[#This Row],[Column1]]</f>
        <v>#VALUE!</v>
      </c>
      <c r="I221" s="217">
        <f t="shared" si="3"/>
        <v>0</v>
      </c>
    </row>
    <row r="222" spans="7:9" x14ac:dyDescent="0.25">
      <c r="G222" t="e">
        <f>A222=Table6[[#This Row],[Column1]]</f>
        <v>#VALUE!</v>
      </c>
      <c r="I222" s="217">
        <f t="shared" si="3"/>
        <v>0</v>
      </c>
    </row>
    <row r="223" spans="7:9" x14ac:dyDescent="0.25">
      <c r="G223" t="e">
        <f>A223=Table6[[#This Row],[Column1]]</f>
        <v>#VALUE!</v>
      </c>
      <c r="I223" s="217">
        <f t="shared" si="3"/>
        <v>0</v>
      </c>
    </row>
    <row r="224" spans="7:9" x14ac:dyDescent="0.25">
      <c r="G224" t="e">
        <f>A224=Table6[[#This Row],[Column1]]</f>
        <v>#VALUE!</v>
      </c>
      <c r="I224" s="217">
        <f t="shared" si="3"/>
        <v>0</v>
      </c>
    </row>
    <row r="225" spans="9:9" x14ac:dyDescent="0.25">
      <c r="I225" s="217">
        <f t="shared" si="3"/>
        <v>0</v>
      </c>
    </row>
    <row r="226" spans="9:9" x14ac:dyDescent="0.25">
      <c r="I226" s="217">
        <f t="shared" si="3"/>
        <v>0</v>
      </c>
    </row>
    <row r="227" spans="9:9" x14ac:dyDescent="0.25">
      <c r="I227" s="217">
        <f t="shared" si="3"/>
        <v>0</v>
      </c>
    </row>
    <row r="228" spans="9:9" x14ac:dyDescent="0.25">
      <c r="I228" s="217">
        <f t="shared" si="3"/>
        <v>0</v>
      </c>
    </row>
    <row r="229" spans="9:9" x14ac:dyDescent="0.25">
      <c r="I229" s="217">
        <f t="shared" si="3"/>
        <v>0</v>
      </c>
    </row>
    <row r="230" spans="9:9" x14ac:dyDescent="0.25">
      <c r="I230" s="217">
        <f t="shared" si="3"/>
        <v>0</v>
      </c>
    </row>
    <row r="231" spans="9:9" x14ac:dyDescent="0.25">
      <c r="I231" s="217">
        <f t="shared" si="3"/>
        <v>0</v>
      </c>
    </row>
    <row r="232" spans="9:9" x14ac:dyDescent="0.25">
      <c r="I232" s="217">
        <f t="shared" si="3"/>
        <v>0</v>
      </c>
    </row>
  </sheetData>
  <conditionalFormatting sqref="D4:D1048576 D1:D2">
    <cfRule type="duplicateValues" dxfId="491" priority="3"/>
    <cfRule type="duplicateValues" dxfId="490" priority="4"/>
  </conditionalFormatting>
  <conditionalFormatting sqref="D3">
    <cfRule type="duplicateValues" dxfId="489" priority="1"/>
    <cfRule type="duplicateValues" dxfId="488" priority="2"/>
  </conditionalFormatting>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M56"/>
  <sheetViews>
    <sheetView showGridLines="0" zoomScale="85" zoomScaleNormal="85" workbookViewId="0">
      <pane xSplit="2" ySplit="3" topLeftCell="C22" activePane="bottomRight" state="frozen"/>
      <selection pane="topRight" activeCell="C1" sqref="C1"/>
      <selection pane="bottomLeft" activeCell="A4" sqref="A4"/>
      <selection pane="bottomRight" activeCell="L41" sqref="L41"/>
    </sheetView>
  </sheetViews>
  <sheetFormatPr defaultRowHeight="15" x14ac:dyDescent="0.25"/>
  <cols>
    <col min="1" max="1" width="16.5703125" customWidth="1"/>
    <col min="2" max="2" width="42.85546875" bestFit="1" customWidth="1"/>
    <col min="3" max="3" width="15.28515625" bestFit="1" customWidth="1"/>
    <col min="4" max="4" width="14.85546875" customWidth="1"/>
    <col min="5" max="5" width="15.28515625" customWidth="1"/>
    <col min="6" max="6" width="15.28515625" bestFit="1" customWidth="1"/>
    <col min="7" max="7" width="14.28515625" bestFit="1" customWidth="1"/>
    <col min="8" max="8" width="11.7109375" customWidth="1"/>
    <col min="9" max="9" width="15.28515625" bestFit="1" customWidth="1"/>
    <col min="10" max="10" width="12.42578125" style="252" customWidth="1"/>
    <col min="12" max="12" width="35.140625" style="215" customWidth="1"/>
    <col min="13" max="13" width="24.42578125" customWidth="1"/>
  </cols>
  <sheetData>
    <row r="1" spans="1:13" ht="18.75" x14ac:dyDescent="0.25">
      <c r="A1" s="475" t="str">
        <f>IF(L8=TRUE,"REALISASI TANPA GAJI (BERDASARKAN PAGU SEBELUM BLOKIR)","REALISASI TANPA GAJI (BERDASARKAN PAGU SETELAH BLOKIR)")</f>
        <v>REALISASI TANPA GAJI (BERDASARKAN PAGU SETELAH BLOKIR)</v>
      </c>
      <c r="B1" s="475"/>
      <c r="C1" s="475"/>
      <c r="D1" s="475"/>
      <c r="E1" s="475"/>
      <c r="F1" s="475"/>
      <c r="G1" s="475"/>
      <c r="H1" s="475"/>
      <c r="I1" s="475"/>
      <c r="J1" s="475"/>
      <c r="L1" s="435" t="s">
        <v>5585</v>
      </c>
    </row>
    <row r="2" spans="1:13" ht="15.75" x14ac:dyDescent="0.25">
      <c r="A2" s="467" t="str">
        <f>'PER BULAN'!B5</f>
        <v>Berdasarkan DIPA Revisi 2, POK 2 TA. 2022 (Tanggal 9 Juni 2022)</v>
      </c>
      <c r="B2" s="467"/>
      <c r="C2" s="467"/>
      <c r="D2" s="467"/>
      <c r="E2" s="467"/>
      <c r="F2" s="467"/>
      <c r="G2" s="467"/>
      <c r="H2" s="467"/>
      <c r="I2" s="467"/>
      <c r="J2" s="467"/>
    </row>
    <row r="3" spans="1:13" ht="15.75" x14ac:dyDescent="0.25">
      <c r="A3" s="467" t="s">
        <v>4607</v>
      </c>
      <c r="B3" s="467"/>
      <c r="C3" s="467"/>
      <c r="D3" s="467"/>
      <c r="E3" s="467"/>
      <c r="F3" s="467"/>
      <c r="G3" s="467"/>
      <c r="H3" s="467"/>
      <c r="I3" s="467"/>
      <c r="J3" s="467"/>
    </row>
    <row r="4" spans="1:13" x14ac:dyDescent="0.25">
      <c r="A4" s="201"/>
      <c r="B4" s="201"/>
      <c r="C4" s="201"/>
      <c r="D4" s="369"/>
      <c r="E4" s="409"/>
      <c r="F4" s="409"/>
      <c r="G4" s="201"/>
      <c r="H4" s="201"/>
      <c r="I4" s="201"/>
      <c r="J4" s="253"/>
    </row>
    <row r="5" spans="1:13" ht="15.75" x14ac:dyDescent="0.25">
      <c r="A5" s="437" t="s">
        <v>3995</v>
      </c>
    </row>
    <row r="6" spans="1:13" x14ac:dyDescent="0.25">
      <c r="A6" s="464" t="s">
        <v>592</v>
      </c>
      <c r="B6" s="464" t="s">
        <v>500</v>
      </c>
      <c r="C6" s="464" t="s">
        <v>5581</v>
      </c>
      <c r="D6" s="464" t="s">
        <v>5578</v>
      </c>
      <c r="E6" s="464" t="s">
        <v>5580</v>
      </c>
      <c r="F6" s="464" t="s">
        <v>5582</v>
      </c>
      <c r="G6" s="465" t="str">
        <f>IF($L$8=TRUE,"Realisasi vs Pagu+Blokir","Realisasi vs Pagu-Blokir")</f>
        <v>Realisasi vs Pagu-Blokir</v>
      </c>
      <c r="H6" s="465"/>
      <c r="I6" s="465" t="str">
        <f>IF($L$8=TRUE,"Sisa vs Pagu+Blokir","Sisa vs Pagu-Blokir")</f>
        <v>Sisa vs Pagu-Blokir</v>
      </c>
      <c r="J6" s="465"/>
    </row>
    <row r="7" spans="1:13" x14ac:dyDescent="0.25">
      <c r="A7" s="464"/>
      <c r="B7" s="464"/>
      <c r="C7" s="464"/>
      <c r="D7" s="464"/>
      <c r="E7" s="464"/>
      <c r="F7" s="464"/>
      <c r="G7" s="421" t="s">
        <v>5590</v>
      </c>
      <c r="H7" s="421" t="s">
        <v>3846</v>
      </c>
      <c r="I7" s="421" t="s">
        <v>5590</v>
      </c>
      <c r="J7" s="421" t="s">
        <v>3846</v>
      </c>
    </row>
    <row r="8" spans="1:13" x14ac:dyDescent="0.25">
      <c r="A8" s="468"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390447219</v>
      </c>
      <c r="H8" s="427">
        <f>IFERROR(IF($L$8=TRUE,G8/C8*100,G8/F8*100),0)</f>
        <v>58.216271597354343</v>
      </c>
      <c r="I8" s="169">
        <f>IF($L$8=TRUE,C8-G8,F8-G8)</f>
        <v>280236781</v>
      </c>
      <c r="J8" s="263">
        <f>IFERROR(IF($L$8=TRUE,I8/C8*100,I8/F8*100),0)</f>
        <v>41.783728402645657</v>
      </c>
      <c r="L8" s="420" t="b">
        <v>0</v>
      </c>
    </row>
    <row r="9" spans="1:13" x14ac:dyDescent="0.25">
      <c r="A9" s="469"/>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663321641</v>
      </c>
      <c r="H9" s="427">
        <f t="shared" ref="H9:H24" si="0">IFERROR(IF($L$8=TRUE,G9/C9*100,G9/F9*100),0)</f>
        <v>31.652189479390241</v>
      </c>
      <c r="I9" s="169">
        <f t="shared" ref="I9:I24" si="1">IF($L$8=TRUE,C9-G9,F9-G9)</f>
        <v>1432336359</v>
      </c>
      <c r="J9" s="263">
        <f t="shared" ref="J9:J24" si="2">IFERROR(IF($L$8=TRUE,I9/C9*100,I9/F9*100),0)</f>
        <v>68.347810520609755</v>
      </c>
    </row>
    <row r="10" spans="1:13" x14ac:dyDescent="0.25">
      <c r="A10" s="469"/>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7">
        <f t="shared" si="0"/>
        <v>100</v>
      </c>
      <c r="I10" s="169">
        <f t="shared" si="1"/>
        <v>0</v>
      </c>
      <c r="J10" s="422">
        <f t="shared" si="2"/>
        <v>0</v>
      </c>
    </row>
    <row r="11" spans="1:13" x14ac:dyDescent="0.25">
      <c r="A11" s="469"/>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136548520</v>
      </c>
      <c r="H11" s="427">
        <f t="shared" si="0"/>
        <v>68.991774454324982</v>
      </c>
      <c r="I11" s="169">
        <f t="shared" si="1"/>
        <v>61371480</v>
      </c>
      <c r="J11" s="263">
        <f t="shared" si="2"/>
        <v>31.008225545675021</v>
      </c>
    </row>
    <row r="12" spans="1:13" x14ac:dyDescent="0.25">
      <c r="A12" s="470"/>
      <c r="B12" s="296" t="s">
        <v>5586</v>
      </c>
      <c r="C12" s="194">
        <f>SUM(C8:C11)</f>
        <v>4328014000</v>
      </c>
      <c r="D12" s="194">
        <f>SUM(D8:D11)</f>
        <v>100000000</v>
      </c>
      <c r="E12" s="194">
        <f>SUM(E8:E11)</f>
        <v>609552000</v>
      </c>
      <c r="F12" s="194">
        <f>SUM(F8:F11)</f>
        <v>3618462000</v>
      </c>
      <c r="G12" s="194">
        <f>SUM(G8:G11)</f>
        <v>1844517380</v>
      </c>
      <c r="H12" s="428">
        <f t="shared" si="0"/>
        <v>50.97517619364249</v>
      </c>
      <c r="I12" s="194">
        <f t="shared" si="1"/>
        <v>1773944620</v>
      </c>
      <c r="J12" s="264">
        <f t="shared" si="2"/>
        <v>49.02482380635751</v>
      </c>
      <c r="K12" s="189"/>
    </row>
    <row r="13" spans="1:13" ht="15" customHeight="1" x14ac:dyDescent="0.25">
      <c r="A13" s="468" t="s">
        <v>542</v>
      </c>
      <c r="B13" s="222" t="s">
        <v>543</v>
      </c>
      <c r="C13" s="169" cm="1">
        <f t="array" ref="C13">SUM(_xlfn._xlws.FILTER(SP2D[Pagu Semula],SP2D[Subkoordinator]=B13,0))-C14</f>
        <v>768918000</v>
      </c>
      <c r="D13" s="169" cm="1">
        <f t="array" ref="D13">SUM(_xlfn._xlws.FILTER(SP2D[Blokir AA ke 1],SP2D[Subkoordinator]=B13,0))</f>
        <v>0</v>
      </c>
      <c r="E13" s="169" cm="1">
        <f t="array" ref="E13">SUM(_xlfn._xlws.FILTER(SP2D[Blokir AA ke 2],SP2D[Subkoordinator]=B13,0))-E14</f>
        <v>475000000</v>
      </c>
      <c r="F13" s="169" cm="1">
        <f t="array" ref="F13">SUM(_xlfn._xlws.FILTER(SP2D[Pagu],SP2D[Subkoordinator]=B13,0))-F14</f>
        <v>293918000</v>
      </c>
      <c r="G13" s="169" cm="1">
        <f t="array" ref="G13">SUM(_xlfn._xlws.FILTER(SP2D[Realisasi],SP2D[Subkoordinator]=B13,0))-G14</f>
        <v>130677295</v>
      </c>
      <c r="H13" s="427">
        <f t="shared" si="0"/>
        <v>44.460460060288924</v>
      </c>
      <c r="I13" s="169">
        <f t="shared" si="1"/>
        <v>163240705</v>
      </c>
      <c r="J13" s="263">
        <f t="shared" si="2"/>
        <v>55.539539939711076</v>
      </c>
    </row>
    <row r="14" spans="1:13" x14ac:dyDescent="0.25">
      <c r="A14" s="469"/>
      <c r="B14" s="195" t="s">
        <v>3920</v>
      </c>
      <c r="C14" s="169" cm="1">
        <f t="array" ref="C14">SUM(_xlfn._xlws.FILTER(SP2D[Pagu Semula],SP2D[Kegiatan]=B14,0))</f>
        <v>8582500000</v>
      </c>
      <c r="D14" s="169" cm="1">
        <f t="array" ref="D14">SUM(_xlfn._xlws.FILTER(SP2D[Blokir AA ke 1],SP2D[Kegiatan]=B14,0))</f>
        <v>0</v>
      </c>
      <c r="E14" s="169" cm="1">
        <f t="array" ref="E14">SUM(_xlfn._xlws.FILTER(SP2D[Blokir AA ke 2],SP2D[Kegiatan]=B14,0))</f>
        <v>2500000000</v>
      </c>
      <c r="F14" s="169" cm="1">
        <f t="array" ref="F14">SUM(_xlfn._xlws.FILTER(SP2D[Pagu],SP2D[Kegiatan]=B14,0))</f>
        <v>6082500000</v>
      </c>
      <c r="G14" s="169" cm="1">
        <f t="array" ref="G14">SUM(_xlfn._xlws.FILTER(SP2D[Realisasi],SP2D[Kegiatan]=B14,0))</f>
        <v>3476713912</v>
      </c>
      <c r="H14" s="427">
        <f t="shared" si="0"/>
        <v>57.159291607069463</v>
      </c>
      <c r="I14" s="169">
        <f t="shared" si="1"/>
        <v>2605786088</v>
      </c>
      <c r="J14" s="263">
        <f t="shared" si="2"/>
        <v>42.840708392930537</v>
      </c>
      <c r="M14" s="217"/>
    </row>
    <row r="15" spans="1:13" x14ac:dyDescent="0.25">
      <c r="A15" s="469"/>
      <c r="B15" s="222" t="s">
        <v>591</v>
      </c>
      <c r="C15" s="169" cm="1">
        <f t="array" ref="C15">SUM(_xlfn._xlws.FILTER(SP2D[Pagu Semula],SP2D[Subkoordinator]=B15,0))</f>
        <v>633732000</v>
      </c>
      <c r="D15" s="169" cm="1">
        <f t="array" ref="D15">SUM(_xlfn._xlws.FILTER(SP2D[Blokir AA ke 1],SP2D[Subkoordinator]=B15,0))</f>
        <v>0</v>
      </c>
      <c r="E15" s="169" cm="1">
        <f t="array" ref="E15">SUM(_xlfn._xlws.FILTER(SP2D[Blokir AA ke 2],SP2D[Subkoordinator]=B15,0))</f>
        <v>463934000</v>
      </c>
      <c r="F15" s="169" cm="1">
        <f t="array" ref="F15">SUM(_xlfn._xlws.FILTER(SP2D[Pagu],SP2D[Subkoordinator]=B15,0))</f>
        <v>169798000</v>
      </c>
      <c r="G15" s="169" cm="1">
        <f t="array" ref="G15">SUM(_xlfn._xlws.FILTER(SP2D[Realisasi],SP2D[Subkoordinator]=B15,0))</f>
        <v>105796297</v>
      </c>
      <c r="H15" s="427">
        <f t="shared" si="0"/>
        <v>62.307151438768415</v>
      </c>
      <c r="I15" s="169">
        <f t="shared" si="1"/>
        <v>64001703</v>
      </c>
      <c r="J15" s="263">
        <f t="shared" si="2"/>
        <v>37.692848561231578</v>
      </c>
    </row>
    <row r="16" spans="1:13" x14ac:dyDescent="0.25">
      <c r="A16" s="470"/>
      <c r="B16" s="296" t="s">
        <v>5587</v>
      </c>
      <c r="C16" s="194">
        <f>SUM(C13:C15)</f>
        <v>9985150000</v>
      </c>
      <c r="D16" s="194">
        <f t="shared" ref="D16:E16" si="3">SUM(D13:D15)</f>
        <v>0</v>
      </c>
      <c r="E16" s="194">
        <f t="shared" si="3"/>
        <v>3438934000</v>
      </c>
      <c r="F16" s="194">
        <f>SUM(F13:F15)</f>
        <v>6546216000</v>
      </c>
      <c r="G16" s="194">
        <f>SUM(G13:G15)</f>
        <v>3713187504</v>
      </c>
      <c r="H16" s="428">
        <f t="shared" si="0"/>
        <v>56.722654797825186</v>
      </c>
      <c r="I16" s="194">
        <f t="shared" si="1"/>
        <v>2833028496</v>
      </c>
      <c r="J16" s="264">
        <f t="shared" si="2"/>
        <v>43.277345202174814</v>
      </c>
    </row>
    <row r="17" spans="1:13" ht="15" customHeight="1" x14ac:dyDescent="0.25">
      <c r="A17" s="468" t="s">
        <v>531</v>
      </c>
      <c r="B17" s="222" t="s">
        <v>532</v>
      </c>
      <c r="C17" s="169" cm="1">
        <f t="array" ref="C17">SUM(_xlfn._xlws.FILTER(SP2D[Pagu Semula],SP2D[Subkoordinator]=B17,0))</f>
        <v>474100000</v>
      </c>
      <c r="D17" s="169" cm="1">
        <f t="array" ref="D17">SUM(_xlfn._xlws.FILTER(SP2D[Blokir AA ke 1],SP2D[Subkoordinator]=B17,0))</f>
        <v>0</v>
      </c>
      <c r="E17" s="169" cm="1">
        <f t="array" ref="E17">SUM(_xlfn._xlws.FILTER(SP2D[Blokir AA ke 2],SP2D[Subkoordinator]=B17,0))</f>
        <v>266494000</v>
      </c>
      <c r="F17" s="169" cm="1">
        <f t="array" ref="F17">SUM(_xlfn._xlws.FILTER(SP2D[Pagu],SP2D[Subkoordinator]=B17,0))</f>
        <v>207606000</v>
      </c>
      <c r="G17" s="169" cm="1">
        <f t="array" ref="G17">SUM(_xlfn._xlws.FILTER(SP2D[Realisasi],SP2D[Subkoordinator]=B17,0))</f>
        <v>133815590</v>
      </c>
      <c r="H17" s="427">
        <f t="shared" si="0"/>
        <v>64.456513780911919</v>
      </c>
      <c r="I17" s="169">
        <f t="shared" si="1"/>
        <v>73790410</v>
      </c>
      <c r="J17" s="263">
        <f t="shared" si="2"/>
        <v>35.543486219088081</v>
      </c>
    </row>
    <row r="18" spans="1:13" x14ac:dyDescent="0.25">
      <c r="A18" s="469"/>
      <c r="B18" s="222" t="s">
        <v>534</v>
      </c>
      <c r="C18" s="169" cm="1">
        <f t="array" ref="C18">SUM(_xlfn._xlws.FILTER(SP2D[Pagu Semula],SP2D[Subkoordinator]=B18,0))</f>
        <v>804500000</v>
      </c>
      <c r="D18" s="169" cm="1">
        <f t="array" ref="D18">SUM(_xlfn._xlws.FILTER(SP2D[Blokir AA ke 1],SP2D[Subkoordinator]=B18,0))</f>
        <v>0</v>
      </c>
      <c r="E18" s="169" cm="1">
        <f t="array" ref="E18">SUM(_xlfn._xlws.FILTER(SP2D[Blokir AA ke 2],SP2D[Subkoordinator]=B18,0))</f>
        <v>639737000</v>
      </c>
      <c r="F18" s="169" cm="1">
        <f t="array" ref="F18">SUM(_xlfn._xlws.FILTER(SP2D[Pagu],SP2D[Subkoordinator]=B18,0))</f>
        <v>164763000</v>
      </c>
      <c r="G18" s="169" cm="1">
        <f t="array" ref="G18">SUM(_xlfn._xlws.FILTER(SP2D[Realisasi],SP2D[Subkoordinator]=B18,0))</f>
        <v>73365500</v>
      </c>
      <c r="H18" s="427">
        <f t="shared" si="0"/>
        <v>44.527897646923151</v>
      </c>
      <c r="I18" s="169">
        <f t="shared" si="1"/>
        <v>91397500</v>
      </c>
      <c r="J18" s="263">
        <f t="shared" si="2"/>
        <v>55.472102353076849</v>
      </c>
      <c r="M18" s="217"/>
    </row>
    <row r="19" spans="1:13" x14ac:dyDescent="0.25">
      <c r="A19" s="470"/>
      <c r="B19" s="296" t="s">
        <v>5588</v>
      </c>
      <c r="C19" s="194">
        <f>SUM(C17:C18)</f>
        <v>1278600000</v>
      </c>
      <c r="D19" s="194">
        <f t="shared" ref="D19:E19" si="4">SUM(D17:D18)</f>
        <v>0</v>
      </c>
      <c r="E19" s="194">
        <f t="shared" si="4"/>
        <v>906231000</v>
      </c>
      <c r="F19" s="194">
        <f>SUM(F17:F18)</f>
        <v>372369000</v>
      </c>
      <c r="G19" s="194">
        <f>SUM(G17:G18)</f>
        <v>207181090</v>
      </c>
      <c r="H19" s="428">
        <f t="shared" si="0"/>
        <v>55.638651445206236</v>
      </c>
      <c r="I19" s="194">
        <f t="shared" si="1"/>
        <v>165187910</v>
      </c>
      <c r="J19" s="264">
        <f t="shared" si="2"/>
        <v>44.361348554793764</v>
      </c>
    </row>
    <row r="20" spans="1:13" ht="15" customHeight="1" x14ac:dyDescent="0.25">
      <c r="A20" s="468" t="s">
        <v>535</v>
      </c>
      <c r="B20" s="222" t="s">
        <v>536</v>
      </c>
      <c r="C20" s="169" cm="1">
        <f t="array" ref="C20">SUM(_xlfn._xlws.FILTER(SP2D[Pagu Semula],SP2D[Subkoordinator]=B20,0))</f>
        <v>686300000</v>
      </c>
      <c r="D20" s="169" cm="1">
        <f t="array" ref="D20">SUM(_xlfn._xlws.FILTER(SP2D[Blokir AA ke 1],SP2D[Subkoordinator]=B20,0))</f>
        <v>0</v>
      </c>
      <c r="E20" s="169" cm="1">
        <f t="array" ref="E20">SUM(_xlfn._xlws.FILTER(SP2D[Blokir AA ke 2],SP2D[Subkoordinator]=B20,0))</f>
        <v>0</v>
      </c>
      <c r="F20" s="169" cm="1">
        <f t="array" ref="F20">SUM(_xlfn._xlws.FILTER(SP2D[Pagu],SP2D[Subkoordinator]=B20,0))</f>
        <v>686300000</v>
      </c>
      <c r="G20" s="169" cm="1">
        <f t="array" ref="G20">SUM(_xlfn._xlws.FILTER(SP2D[Realisasi],SP2D[Subkoordinator]=B20,0))</f>
        <v>214180240</v>
      </c>
      <c r="H20" s="427">
        <f t="shared" si="0"/>
        <v>31.207961532857354</v>
      </c>
      <c r="I20" s="169">
        <f t="shared" si="1"/>
        <v>472119760</v>
      </c>
      <c r="J20" s="263">
        <f t="shared" si="2"/>
        <v>68.792038467142646</v>
      </c>
    </row>
    <row r="21" spans="1:13" x14ac:dyDescent="0.25">
      <c r="A21" s="469"/>
      <c r="B21" s="222" t="s">
        <v>538</v>
      </c>
      <c r="C21" s="169" cm="1">
        <f t="array" ref="C21">SUM(_xlfn._xlws.FILTER(SP2D[Pagu Semula],SP2D[Subkoordinator]=B21,0))</f>
        <v>585100000</v>
      </c>
      <c r="D21" s="169" cm="1">
        <f t="array" ref="D21">SUM(_xlfn._xlws.FILTER(SP2D[Blokir AA ke 1],SP2D[Subkoordinator]=B21,0))</f>
        <v>0</v>
      </c>
      <c r="E21" s="169" cm="1">
        <f t="array" ref="E21">SUM(_xlfn._xlws.FILTER(SP2D[Blokir AA ke 2],SP2D[Subkoordinator]=B21,0))</f>
        <v>432643000</v>
      </c>
      <c r="F21" s="169" cm="1">
        <f t="array" ref="F21">SUM(_xlfn._xlws.FILTER(SP2D[Pagu],SP2D[Subkoordinator]=B21,0))</f>
        <v>152457000</v>
      </c>
      <c r="G21" s="169" cm="1">
        <f t="array" ref="G21">SUM(_xlfn._xlws.FILTER(SP2D[Realisasi],SP2D[Subkoordinator]=B21,0))</f>
        <v>88256718</v>
      </c>
      <c r="H21" s="427">
        <f t="shared" si="0"/>
        <v>57.889580668647554</v>
      </c>
      <c r="I21" s="169">
        <f t="shared" si="1"/>
        <v>64200282</v>
      </c>
      <c r="J21" s="263">
        <f t="shared" si="2"/>
        <v>42.110419331352446</v>
      </c>
    </row>
    <row r="22" spans="1:13" x14ac:dyDescent="0.25">
      <c r="A22" s="470"/>
      <c r="B22" s="296" t="s">
        <v>5589</v>
      </c>
      <c r="C22" s="194">
        <f>SUM(C20:C21)</f>
        <v>1271400000</v>
      </c>
      <c r="D22" s="194">
        <f t="shared" ref="D22:E22" si="5">SUM(D20:D21)</f>
        <v>0</v>
      </c>
      <c r="E22" s="194">
        <f t="shared" si="5"/>
        <v>432643000</v>
      </c>
      <c r="F22" s="194">
        <f>SUM(F20:F21)</f>
        <v>838757000</v>
      </c>
      <c r="G22" s="194">
        <f>SUM(G20:G21)</f>
        <v>302436958</v>
      </c>
      <c r="H22" s="428">
        <f t="shared" si="0"/>
        <v>36.057756656576338</v>
      </c>
      <c r="I22" s="194">
        <f t="shared" si="1"/>
        <v>536320042</v>
      </c>
      <c r="J22" s="264">
        <f t="shared" si="2"/>
        <v>63.942243343423669</v>
      </c>
    </row>
    <row r="23" spans="1:13" x14ac:dyDescent="0.25">
      <c r="A23" s="462" t="s">
        <v>3852</v>
      </c>
      <c r="B23" s="462"/>
      <c r="C23" s="176">
        <f>C12++C16+C19+C22</f>
        <v>16863164000</v>
      </c>
      <c r="D23" s="176">
        <f t="shared" ref="D23:E23" si="6">D12++D16+D19+D22</f>
        <v>100000000</v>
      </c>
      <c r="E23" s="176">
        <f t="shared" si="6"/>
        <v>5387360000</v>
      </c>
      <c r="F23" s="176">
        <f>F12++F16+F19+F22</f>
        <v>11375804000</v>
      </c>
      <c r="G23" s="176">
        <f>G12++G16+G19+G22</f>
        <v>6067322932</v>
      </c>
      <c r="H23" s="429">
        <f t="shared" si="0"/>
        <v>53.33533288724032</v>
      </c>
      <c r="I23" s="176">
        <f t="shared" si="1"/>
        <v>5308481068</v>
      </c>
      <c r="J23" s="265">
        <f t="shared" si="2"/>
        <v>46.66466711275968</v>
      </c>
      <c r="M23" s="215"/>
    </row>
    <row r="24" spans="1:13" x14ac:dyDescent="0.25">
      <c r="A24" s="476" t="s">
        <v>5584</v>
      </c>
      <c r="B24" s="477"/>
      <c r="C24" s="419">
        <f>C23</f>
        <v>16863164000</v>
      </c>
      <c r="D24" s="478">
        <f>SUM(D23,E23)</f>
        <v>5487360000</v>
      </c>
      <c r="E24" s="479"/>
      <c r="F24" s="419">
        <f>F23</f>
        <v>11375804000</v>
      </c>
      <c r="G24" s="176">
        <f>G23</f>
        <v>6067322932</v>
      </c>
      <c r="H24" s="429">
        <f t="shared" si="0"/>
        <v>53.33533288724032</v>
      </c>
      <c r="I24" s="176">
        <f t="shared" si="1"/>
        <v>5308481068</v>
      </c>
      <c r="J24" s="265">
        <f t="shared" si="2"/>
        <v>46.66466711275968</v>
      </c>
      <c r="M24" s="217"/>
    </row>
    <row r="26" spans="1:13" x14ac:dyDescent="0.25">
      <c r="J26" s="278"/>
    </row>
    <row r="27" spans="1:13" ht="15.75" x14ac:dyDescent="0.25">
      <c r="A27" s="437" t="s">
        <v>4002</v>
      </c>
    </row>
    <row r="28" spans="1:13" ht="14.45" customHeight="1" x14ac:dyDescent="0.25">
      <c r="A28" s="471" t="s">
        <v>3988</v>
      </c>
      <c r="B28" s="471" t="s">
        <v>3989</v>
      </c>
      <c r="C28" s="471" t="s">
        <v>5581</v>
      </c>
      <c r="D28" s="480" t="s">
        <v>5578</v>
      </c>
      <c r="E28" s="480" t="s">
        <v>5580</v>
      </c>
      <c r="F28" s="471" t="s">
        <v>5582</v>
      </c>
      <c r="G28" s="465" t="str">
        <f>IF($L$8=TRUE,"Realisasi vs Pagu+Blokir","Realisasi vs Pagu-Blokir")</f>
        <v>Realisasi vs Pagu-Blokir</v>
      </c>
      <c r="H28" s="465"/>
      <c r="I28" s="465" t="str">
        <f>IF($L$8=TRUE,"Sisa vs Pagu+Blokir","Sisa vs Pagu-Blokir")</f>
        <v>Sisa vs Pagu-Blokir</v>
      </c>
      <c r="J28" s="465"/>
    </row>
    <row r="29" spans="1:13" x14ac:dyDescent="0.25">
      <c r="A29" s="472"/>
      <c r="B29" s="472"/>
      <c r="C29" s="472"/>
      <c r="D29" s="481"/>
      <c r="E29" s="481"/>
      <c r="F29" s="472"/>
      <c r="G29" s="212" t="s">
        <v>5590</v>
      </c>
      <c r="H29" s="221" t="s">
        <v>3846</v>
      </c>
      <c r="I29" s="212" t="s">
        <v>5590</v>
      </c>
      <c r="J29" s="212" t="s">
        <v>3846</v>
      </c>
    </row>
    <row r="30" spans="1:13" x14ac:dyDescent="0.25">
      <c r="A30" s="202">
        <v>1</v>
      </c>
      <c r="B30" s="203" t="s">
        <v>3990</v>
      </c>
      <c r="C30" s="204">
        <f>SUM(C31:C32)</f>
        <v>16207230000</v>
      </c>
      <c r="D30" s="204">
        <f t="shared" ref="D30:E30" si="7">SUM(D31:D32)</f>
        <v>100000000</v>
      </c>
      <c r="E30" s="204">
        <f t="shared" si="7"/>
        <v>5385626000</v>
      </c>
      <c r="F30" s="204">
        <f>SUM(F31:F32)</f>
        <v>10721604000</v>
      </c>
      <c r="G30" s="204">
        <f>SUM(G31:G32)</f>
        <v>5413122932</v>
      </c>
      <c r="H30" s="205">
        <f t="shared" ref="H30:H37" si="8">IFERROR(IF($L$8=TRUE,G30/C30*100,G30/F30*100),0)</f>
        <v>50.487995378303474</v>
      </c>
      <c r="I30" s="206">
        <f t="shared" ref="I30:I37" si="9">IF($L$8=TRUE,C30-G30,F30-G30)</f>
        <v>5308481068</v>
      </c>
      <c r="J30" s="205">
        <f t="shared" ref="J30:J37" si="10">IFERROR(IF($L$8=TRUE,I30/C30*100,I30/F30*100),0)</f>
        <v>49.512004621696533</v>
      </c>
    </row>
    <row r="31" spans="1:13" x14ac:dyDescent="0.25">
      <c r="A31" s="211"/>
      <c r="B31" s="207" t="s">
        <v>3991</v>
      </c>
      <c r="C31" s="208" cm="1">
        <f t="array" ref="C31">SUM(_xlfn._xlws.FILTER(SP2D[Pagu Semula],SP2D[Jenis Belanja]="Belanja Barang Operasional",0))</f>
        <v>2195658000</v>
      </c>
      <c r="D31" s="208" cm="1">
        <f t="array" ref="D31">SUM(_xlfn._xlws.FILTER(SP2D[Blokir AA ke 1],SP2D[Jenis Belanja]="Belanja Barang Operasional",0))</f>
        <v>100000000</v>
      </c>
      <c r="E31" s="208" cm="1">
        <f t="array" ref="E31">SUM(_xlfn._xlws.FILTER(SP2D[Blokir AA ke 2],SP2D[Jenis Belanja]="Belanja Barang Operasional",0))</f>
        <v>0</v>
      </c>
      <c r="F31" s="208" cm="1">
        <f t="array" ref="F31">SUM(_xlfn._xlws.FILTER(SP2D[Pagu],SP2D[Jenis Belanja]="Belanja Barang Operasional",0))</f>
        <v>2095658000</v>
      </c>
      <c r="G31" s="208" cm="1">
        <f t="array" ref="G31">SUM(_xlfn._xlws.FILTER(SP2D[Realisasi],SP2D[Jenis Belanja]="Belanja Barang Operasional",0))</f>
        <v>663321641</v>
      </c>
      <c r="H31" s="209">
        <f t="shared" si="8"/>
        <v>31.652189479390241</v>
      </c>
      <c r="I31" s="210">
        <f t="shared" si="9"/>
        <v>1432336359</v>
      </c>
      <c r="J31" s="209">
        <f t="shared" si="10"/>
        <v>68.347810520609755</v>
      </c>
    </row>
    <row r="32" spans="1:13" x14ac:dyDescent="0.25">
      <c r="A32" s="211"/>
      <c r="B32" s="207" t="s">
        <v>5583</v>
      </c>
      <c r="C32" s="208" cm="1">
        <f t="array" ref="C32">SUM(_xlfn._xlws.FILTER(SP2D[Pagu Semula],SP2D[Jenis Belanja]="Belanja Barang Non Operasional",0))</f>
        <v>14011572000</v>
      </c>
      <c r="D32" s="208" cm="1">
        <f t="array" ref="D32">SUM(_xlfn._xlws.FILTER(SP2D[Blokir AA ke 1],SP2D[Jenis Belanja]="Belanja Barang Non Operasional",0))</f>
        <v>0</v>
      </c>
      <c r="E32" s="208" cm="1">
        <f t="array" ref="E32">SUM(_xlfn._xlws.FILTER(SP2D[Blokir AA ke 2],SP2D[Jenis Belanja]="Belanja Barang Non Operasional",0))</f>
        <v>5385626000</v>
      </c>
      <c r="F32" s="208" cm="1">
        <f t="array" ref="F32">SUM(_xlfn._xlws.FILTER(SP2D[Pagu],SP2D[Jenis Belanja]="Belanja Barang Non Operasional",0))</f>
        <v>8625946000</v>
      </c>
      <c r="G32" s="208">
        <f>G11+G13+G14+G15+G17+G18+G20+G21+G8</f>
        <v>4749801291</v>
      </c>
      <c r="H32" s="209">
        <f t="shared" si="8"/>
        <v>55.064120399084345</v>
      </c>
      <c r="I32" s="210">
        <f t="shared" si="9"/>
        <v>3876144709</v>
      </c>
      <c r="J32" s="209">
        <f t="shared" si="10"/>
        <v>44.935879600915655</v>
      </c>
    </row>
    <row r="33" spans="1:12" x14ac:dyDescent="0.25">
      <c r="A33" s="202">
        <v>2</v>
      </c>
      <c r="B33" s="203" t="s">
        <v>3992</v>
      </c>
      <c r="C33" s="204">
        <f>C10</f>
        <v>655934000</v>
      </c>
      <c r="D33" s="204">
        <f>D10</f>
        <v>0</v>
      </c>
      <c r="E33" s="204">
        <f>E10</f>
        <v>1734000</v>
      </c>
      <c r="F33" s="204">
        <f>F10</f>
        <v>654200000</v>
      </c>
      <c r="G33" s="204" cm="1">
        <f t="array" ref="G33">SUM(_xlfn._xlws.FILTER(SP2D[Realisasi],SP2D[Jenis Belanja]="Belanja Modal",0))</f>
        <v>654200000</v>
      </c>
      <c r="H33" s="205">
        <f t="shared" si="8"/>
        <v>100</v>
      </c>
      <c r="I33" s="206">
        <f t="shared" si="9"/>
        <v>0</v>
      </c>
      <c r="J33" s="205">
        <f t="shared" si="10"/>
        <v>0</v>
      </c>
    </row>
    <row r="34" spans="1:12" x14ac:dyDescent="0.25">
      <c r="A34" s="202"/>
      <c r="B34" s="203"/>
      <c r="C34" s="204"/>
      <c r="D34" s="204"/>
      <c r="E34" s="204"/>
      <c r="F34" s="204"/>
      <c r="G34" s="204"/>
      <c r="H34" s="205"/>
      <c r="I34" s="206"/>
      <c r="J34" s="205"/>
    </row>
    <row r="35" spans="1:12" x14ac:dyDescent="0.25">
      <c r="A35" s="473" t="s">
        <v>611</v>
      </c>
      <c r="B35" s="474"/>
      <c r="C35" s="213">
        <f>SUM(C30,C33)</f>
        <v>16863164000</v>
      </c>
      <c r="D35" s="213">
        <f t="shared" ref="D35:E35" si="11">SUM(D30,D33)</f>
        <v>100000000</v>
      </c>
      <c r="E35" s="213">
        <f t="shared" si="11"/>
        <v>5387360000</v>
      </c>
      <c r="F35" s="213">
        <f>SUM(F30,F33)</f>
        <v>11375804000</v>
      </c>
      <c r="G35" s="213">
        <f>SUM(G30,G33)</f>
        <v>6067322932</v>
      </c>
      <c r="H35" s="214">
        <f t="shared" si="8"/>
        <v>53.33533288724032</v>
      </c>
      <c r="I35" s="213">
        <f t="shared" si="9"/>
        <v>5308481068</v>
      </c>
      <c r="J35" s="214">
        <f t="shared" si="10"/>
        <v>46.66466711275968</v>
      </c>
    </row>
    <row r="36" spans="1:12" x14ac:dyDescent="0.25">
      <c r="A36" s="473" t="s">
        <v>3993</v>
      </c>
      <c r="B36" s="474"/>
      <c r="C36" s="213"/>
      <c r="D36" s="213"/>
      <c r="E36" s="213"/>
      <c r="F36" s="213"/>
      <c r="G36" s="213"/>
      <c r="H36" s="214"/>
      <c r="I36" s="213"/>
      <c r="J36" s="214"/>
    </row>
    <row r="37" spans="1:12" x14ac:dyDescent="0.25">
      <c r="A37" s="473" t="s">
        <v>3994</v>
      </c>
      <c r="B37" s="474"/>
      <c r="C37" s="213">
        <f>C35</f>
        <v>16863164000</v>
      </c>
      <c r="D37" s="482">
        <f>SUM(D35:E35)</f>
        <v>5487360000</v>
      </c>
      <c r="E37" s="483"/>
      <c r="F37" s="213">
        <f>F35</f>
        <v>11375804000</v>
      </c>
      <c r="G37" s="213">
        <f>G35-G36</f>
        <v>6067322932</v>
      </c>
      <c r="H37" s="214">
        <f t="shared" si="8"/>
        <v>53.33533288724032</v>
      </c>
      <c r="I37" s="213">
        <f t="shared" si="9"/>
        <v>5308481068</v>
      </c>
      <c r="J37" s="214">
        <f t="shared" si="10"/>
        <v>46.66466711275968</v>
      </c>
    </row>
    <row r="38" spans="1:12" s="388" customFormat="1" x14ac:dyDescent="0.25">
      <c r="A38" s="423"/>
      <c r="B38" s="423"/>
      <c r="C38" s="424"/>
      <c r="D38" s="425"/>
      <c r="E38" s="425"/>
      <c r="F38" s="424"/>
      <c r="G38" s="424"/>
      <c r="H38" s="426"/>
      <c r="I38" s="424"/>
      <c r="J38" s="426"/>
      <c r="L38" s="374"/>
    </row>
    <row r="40" spans="1:12" ht="15.75" x14ac:dyDescent="0.25">
      <c r="A40" s="436" t="s">
        <v>4000</v>
      </c>
    </row>
    <row r="41" spans="1:12" x14ac:dyDescent="0.25">
      <c r="A41" s="464" t="s">
        <v>592</v>
      </c>
      <c r="B41" s="464" t="s">
        <v>500</v>
      </c>
      <c r="C41" s="464" t="s">
        <v>5581</v>
      </c>
      <c r="D41" s="464" t="s">
        <v>5578</v>
      </c>
      <c r="E41" s="464" t="s">
        <v>5580</v>
      </c>
      <c r="F41" s="464" t="s">
        <v>5582</v>
      </c>
      <c r="G41" s="465" t="str">
        <f>IF($L$8=TRUE,"Realisasi vs Pagu+Blokir","Realisasi vs Pagu-Blokir")</f>
        <v>Realisasi vs Pagu-Blokir</v>
      </c>
      <c r="H41" s="465"/>
      <c r="I41" s="465" t="str">
        <f>IF($L$8=TRUE,"Sisa vs Pagu+Blokir","Sisa vs Pagu-Blokir")</f>
        <v>Sisa vs Pagu-Blokir</v>
      </c>
      <c r="J41" s="465"/>
    </row>
    <row r="42" spans="1:12" x14ac:dyDescent="0.25">
      <c r="A42" s="464"/>
      <c r="B42" s="464"/>
      <c r="C42" s="464"/>
      <c r="D42" s="464"/>
      <c r="E42" s="464"/>
      <c r="F42" s="464"/>
      <c r="G42" s="421" t="s">
        <v>5590</v>
      </c>
      <c r="H42" s="421" t="s">
        <v>3846</v>
      </c>
      <c r="I42" s="421" t="s">
        <v>5590</v>
      </c>
      <c r="J42" s="421" t="s">
        <v>3846</v>
      </c>
    </row>
    <row r="43" spans="1:12" x14ac:dyDescent="0.25">
      <c r="A43" s="466" t="s">
        <v>576</v>
      </c>
      <c r="B43" s="164" t="s">
        <v>560</v>
      </c>
      <c r="C43" s="169" cm="1">
        <f t="array" ref="C43">SUM(_xlfn._xlws.FILTER(SP2D[Pagu Semula],(SP2D[Subkoordinator]=B43)*(SP2D[Status Covid]="COVID"),0))</f>
        <v>297880000</v>
      </c>
      <c r="D43" s="169" cm="1">
        <f t="array" ref="D43">SUM(_xlfn._xlws.FILTER(SP2D[Blokir AA ke 1],(SP2D[Subkoordinator]=B43)*(SP2D[Status Covid]="COVID"),0))</f>
        <v>0</v>
      </c>
      <c r="E43" s="169" cm="1">
        <f t="array" ref="E43">SUM(_xlfn._xlws.FILTER(SP2D[Blokir AA ke 2],(SP2D[Subkoordinator]=B43)*(SP2D[Status Covid]="COVID"),0))</f>
        <v>209069000</v>
      </c>
      <c r="F43" s="169" cm="1">
        <f t="array" ref="F43">SUM(_xlfn._xlws.FILTER(SP2D[Pagu],(SP2D[Subkoordinator]=B43)*(SP2D[Status Covid]="COVID"),0))</f>
        <v>88811000</v>
      </c>
      <c r="G43" s="169" cm="1">
        <f t="array" ref="G43">SUM(_xlfn._xlws.FILTER(SP2D[Realisasi],(SP2D[Subkoordinator]=B43)*(SP2D[Status Covid]="COVID"),0))</f>
        <v>73441280</v>
      </c>
      <c r="H43" s="430">
        <f t="shared" ref="H43:H56" si="12">IFERROR(IF($L$8=TRUE,G43/C43*100,G43/F43*100),0)</f>
        <v>82.693900530339718</v>
      </c>
      <c r="I43" s="169">
        <f t="shared" ref="I43:I56" si="13">IF($L$8=TRUE,C43-G43,F43-G43)</f>
        <v>15369720</v>
      </c>
      <c r="J43" s="427">
        <f t="shared" ref="J43:J56" si="14">IFERROR(IF($L$8=TRUE,I43/C43*100,I43/F43*100),0)</f>
        <v>17.306099469660293</v>
      </c>
    </row>
    <row r="44" spans="1:12" x14ac:dyDescent="0.25">
      <c r="A44" s="466"/>
      <c r="B44" s="164" t="s">
        <v>546</v>
      </c>
      <c r="C44" s="169" cm="1">
        <f t="array" ref="C44">SUM(_xlfn._xlws.FILTER(SP2D[Pagu Semula],(SP2D[Subkoordinator]=B44)*(SP2D[Status Covid]="COVID"),0))</f>
        <v>0</v>
      </c>
      <c r="D44" s="169" cm="1">
        <f t="array" ref="D44">SUM(_xlfn._xlws.FILTER(SP2D[Blokir AA ke 1],(SP2D[Subkoordinator]=B44)*(SP2D[Status Covid]="COVID"),0))</f>
        <v>0</v>
      </c>
      <c r="E44" s="169" cm="1">
        <f t="array" ref="E44">SUM(_xlfn._xlws.FILTER(SP2D[Blokir AA ke 2],(SP2D[Subkoordinator]=B44)*(SP2D[Status Covid]="COVID"),0))</f>
        <v>0</v>
      </c>
      <c r="F44" s="169" cm="1">
        <f t="array" ref="F44">SUM(_xlfn._xlws.FILTER(SP2D[Pagu],(SP2D[Subkoordinator]=B44)*(SP2D[Status Covid]="COVID"),0))</f>
        <v>0</v>
      </c>
      <c r="G44" s="169" cm="1">
        <f t="array" ref="G44">SUM(_xlfn._xlws.FILTER(SP2D[Realisasi],(SP2D[Subkoordinator]=B44)*(SP2D[Status Covid]="COVID"),0))</f>
        <v>0</v>
      </c>
      <c r="H44" s="223">
        <f t="shared" si="12"/>
        <v>0</v>
      </c>
      <c r="I44" s="169">
        <f t="shared" si="13"/>
        <v>0</v>
      </c>
      <c r="J44" s="266">
        <f t="shared" si="14"/>
        <v>0</v>
      </c>
    </row>
    <row r="45" spans="1:12" x14ac:dyDescent="0.25">
      <c r="A45" s="466"/>
      <c r="B45" s="296" t="s">
        <v>5586</v>
      </c>
      <c r="C45" s="194">
        <f>SUM(C43:C44)</f>
        <v>297880000</v>
      </c>
      <c r="D45" s="194">
        <f t="shared" ref="D45:E45" si="15">SUM(D43:D44)</f>
        <v>0</v>
      </c>
      <c r="E45" s="194">
        <f t="shared" si="15"/>
        <v>209069000</v>
      </c>
      <c r="F45" s="194">
        <f t="shared" ref="F45" si="16">SUM(F43:F44)</f>
        <v>88811000</v>
      </c>
      <c r="G45" s="194">
        <f t="shared" ref="G45" si="17">SUM(G43:G44)</f>
        <v>73441280</v>
      </c>
      <c r="H45" s="431">
        <f t="shared" si="12"/>
        <v>82.693900530339718</v>
      </c>
      <c r="I45" s="194">
        <f t="shared" si="13"/>
        <v>15369720</v>
      </c>
      <c r="J45" s="428">
        <f t="shared" si="14"/>
        <v>17.306099469660293</v>
      </c>
    </row>
    <row r="46" spans="1:12" x14ac:dyDescent="0.25">
      <c r="A46" s="466" t="s">
        <v>542</v>
      </c>
      <c r="B46" s="164" t="s">
        <v>543</v>
      </c>
      <c r="C46" s="169" cm="1">
        <f t="array" ref="C46">SUM(_xlfn._xlws.FILTER(SP2D[Pagu Semula],(SP2D[Subkoordinator]=B46)*(SP2D[Status Covid]="COVID"),0))</f>
        <v>30000000</v>
      </c>
      <c r="D46" s="169" cm="1">
        <f t="array" ref="D46">SUM(_xlfn._xlws.FILTER(SP2D[Blokir AA ke 1],(SP2D[Subkoordinator]=B46)*(SP2D[Status Covid]="COVID"),0))</f>
        <v>0</v>
      </c>
      <c r="E46" s="169" cm="1">
        <f t="array" ref="E46">SUM(_xlfn._xlws.FILTER(SP2D[Blokir AA ke 2],(SP2D[Subkoordinator]=B46)*(SP2D[Status Covid]="COVID"),0))</f>
        <v>30000000</v>
      </c>
      <c r="F46" s="169" cm="1">
        <f t="array" ref="F46">SUM(_xlfn._xlws.FILTER(SP2D[Pagu],(SP2D[Subkoordinator]=B46)*(SP2D[Status Covid]="COVID"),0))</f>
        <v>0</v>
      </c>
      <c r="G46" s="169" cm="1">
        <f t="array" ref="G46">SUM(_xlfn._xlws.FILTER(SP2D[Realisasi],(SP2D[Subkoordinator]=B46)*(SP2D[Status Covid]="COVID"),0))</f>
        <v>0</v>
      </c>
      <c r="H46" s="223">
        <f t="shared" si="12"/>
        <v>0</v>
      </c>
      <c r="I46" s="169">
        <f t="shared" si="13"/>
        <v>0</v>
      </c>
      <c r="J46" s="427">
        <f t="shared" si="14"/>
        <v>0</v>
      </c>
    </row>
    <row r="47" spans="1:12" x14ac:dyDescent="0.25">
      <c r="A47" s="466"/>
      <c r="B47" s="164" t="s">
        <v>591</v>
      </c>
      <c r="C47" s="169" cm="1">
        <f t="array" ref="C47">SUM(_xlfn._xlws.FILTER(SP2D[Pagu Semula],(SP2D[Subkoordinator]=B47)*(SP2D[Status Covid]="COVID"),0))</f>
        <v>0</v>
      </c>
      <c r="D47" s="169" cm="1">
        <f t="array" ref="D47">SUM(_xlfn._xlws.FILTER(SP2D[Blokir AA ke 1],(SP2D[Subkoordinator]=B47)*(SP2D[Status Covid]="COVID"),0))</f>
        <v>0</v>
      </c>
      <c r="E47" s="169" cm="1">
        <f t="array" ref="E47">SUM(_xlfn._xlws.FILTER(SP2D[Blokir AA ke 2],(SP2D[Subkoordinator]=B47)*(SP2D[Status Covid]="COVID"),0))</f>
        <v>0</v>
      </c>
      <c r="F47" s="169" cm="1">
        <f t="array" ref="F47">SUM(_xlfn._xlws.FILTER(SP2D[Pagu],(SP2D[Subkoordinator]=B47)*(SP2D[Status Covid]="COVID"),0))</f>
        <v>0</v>
      </c>
      <c r="G47" s="169" cm="1">
        <f t="array" ref="G47">SUM(_xlfn._xlws.FILTER(SP2D[Realisasi],(SP2D[Subkoordinator]=B47)*(SP2D[Status Covid]="COVID"),0))</f>
        <v>0</v>
      </c>
      <c r="H47" s="223">
        <f t="shared" si="12"/>
        <v>0</v>
      </c>
      <c r="I47" s="169">
        <f t="shared" si="13"/>
        <v>0</v>
      </c>
      <c r="J47" s="266">
        <f t="shared" si="14"/>
        <v>0</v>
      </c>
    </row>
    <row r="48" spans="1:12" x14ac:dyDescent="0.25">
      <c r="A48" s="466"/>
      <c r="B48" s="296" t="s">
        <v>5587</v>
      </c>
      <c r="C48" s="194">
        <f t="shared" ref="C48:G48" si="18">SUM(C46:C47)</f>
        <v>30000000</v>
      </c>
      <c r="D48" s="194">
        <f t="shared" si="18"/>
        <v>0</v>
      </c>
      <c r="E48" s="194">
        <f t="shared" si="18"/>
        <v>30000000</v>
      </c>
      <c r="F48" s="194">
        <f t="shared" si="18"/>
        <v>0</v>
      </c>
      <c r="G48" s="194">
        <f t="shared" si="18"/>
        <v>0</v>
      </c>
      <c r="H48" s="225">
        <f t="shared" si="12"/>
        <v>0</v>
      </c>
      <c r="I48" s="194">
        <f t="shared" si="13"/>
        <v>0</v>
      </c>
      <c r="J48" s="434">
        <f t="shared" si="14"/>
        <v>0</v>
      </c>
    </row>
    <row r="49" spans="1:10" x14ac:dyDescent="0.25">
      <c r="A49" s="466" t="s">
        <v>531</v>
      </c>
      <c r="B49" s="164" t="s">
        <v>532</v>
      </c>
      <c r="C49" s="169" cm="1">
        <f t="array" ref="C49">SUM(_xlfn._xlws.FILTER(SP2D[Pagu Semula],(SP2D[Subkoordinator]=B49)*(SP2D[Status Covid]="COVID"),0))</f>
        <v>0</v>
      </c>
      <c r="D49" s="169" cm="1">
        <f t="array" ref="D49">SUM(_xlfn._xlws.FILTER(SP2D[Blokir AA ke 1],(SP2D[Subkoordinator]=B49)*(SP2D[Status Covid]="COVID"),0))</f>
        <v>0</v>
      </c>
      <c r="E49" s="169" cm="1">
        <f t="array" ref="E49">SUM(_xlfn._xlws.FILTER(SP2D[Blokir AA ke 2],(SP2D[Subkoordinator]=B49)*(SP2D[Status Covid]="COVID"),0))</f>
        <v>0</v>
      </c>
      <c r="F49" s="169" cm="1">
        <f t="array" ref="F49">SUM(_xlfn._xlws.FILTER(SP2D[Pagu],(SP2D[Subkoordinator]=B49)*(SP2D[Status Covid]="COVID"),0))</f>
        <v>0</v>
      </c>
      <c r="G49" s="169" cm="1">
        <f t="array" ref="G49">SUM(_xlfn._xlws.FILTER(SP2D[Realisasi],(SP2D[Subkoordinator]=B49)*(SP2D[Status Covid]="COVID"),0))</f>
        <v>0</v>
      </c>
      <c r="H49" s="223">
        <f t="shared" si="12"/>
        <v>0</v>
      </c>
      <c r="I49" s="169">
        <f t="shared" si="13"/>
        <v>0</v>
      </c>
      <c r="J49" s="266">
        <f t="shared" si="14"/>
        <v>0</v>
      </c>
    </row>
    <row r="50" spans="1:10" x14ac:dyDescent="0.25">
      <c r="A50" s="466"/>
      <c r="B50" s="164" t="s">
        <v>534</v>
      </c>
      <c r="C50" s="169" cm="1">
        <f t="array" ref="C50">SUM(_xlfn._xlws.FILTER(SP2D[Pagu Semula],(SP2D[Subkoordinator]=B50)*(SP2D[Status Covid]="COVID"),0))</f>
        <v>0</v>
      </c>
      <c r="D50" s="169" cm="1">
        <f t="array" ref="D50">SUM(_xlfn._xlws.FILTER(SP2D[Blokir AA ke 1],(SP2D[Subkoordinator]=B50)*(SP2D[Status Covid]="COVID"),0))</f>
        <v>0</v>
      </c>
      <c r="E50" s="169" cm="1">
        <f t="array" ref="E50">SUM(_xlfn._xlws.FILTER(SP2D[Blokir AA ke 2],(SP2D[Subkoordinator]=B50)*(SP2D[Status Covid]="COVID"),0))</f>
        <v>0</v>
      </c>
      <c r="F50" s="169" cm="1">
        <f t="array" ref="F50">SUM(_xlfn._xlws.FILTER(SP2D[Pagu],(SP2D[Subkoordinator]=B50)*(SP2D[Status Covid]="COVID"),0))</f>
        <v>0</v>
      </c>
      <c r="G50" s="169" cm="1">
        <f t="array" ref="G50">SUM(_xlfn._xlws.FILTER(SP2D[Realisasi],(SP2D[Subkoordinator]=B50)*(SP2D[Status Covid]="COVID"),0))</f>
        <v>0</v>
      </c>
      <c r="H50" s="223">
        <f t="shared" si="12"/>
        <v>0</v>
      </c>
      <c r="I50" s="169">
        <f t="shared" si="13"/>
        <v>0</v>
      </c>
      <c r="J50" s="266">
        <f t="shared" si="14"/>
        <v>0</v>
      </c>
    </row>
    <row r="51" spans="1:10" x14ac:dyDescent="0.25">
      <c r="A51" s="466"/>
      <c r="B51" s="296" t="s">
        <v>5588</v>
      </c>
      <c r="C51" s="194">
        <f t="shared" ref="C51" si="19">SUM(C49:C50)</f>
        <v>0</v>
      </c>
      <c r="D51" s="194">
        <f t="shared" ref="D51" si="20">SUM(D49:D50)</f>
        <v>0</v>
      </c>
      <c r="E51" s="194">
        <f t="shared" ref="E51" si="21">SUM(E49:E50)</f>
        <v>0</v>
      </c>
      <c r="F51" s="194">
        <f t="shared" ref="F51" si="22">SUM(F49:F50)</f>
        <v>0</v>
      </c>
      <c r="G51" s="194">
        <f t="shared" ref="G51" si="23">SUM(G49:G50)</f>
        <v>0</v>
      </c>
      <c r="H51" s="224">
        <f t="shared" si="12"/>
        <v>0</v>
      </c>
      <c r="I51" s="194">
        <f t="shared" si="13"/>
        <v>0</v>
      </c>
      <c r="J51" s="267">
        <f t="shared" si="14"/>
        <v>0</v>
      </c>
    </row>
    <row r="52" spans="1:10" x14ac:dyDescent="0.25">
      <c r="A52" s="466" t="s">
        <v>535</v>
      </c>
      <c r="B52" s="164" t="s">
        <v>536</v>
      </c>
      <c r="C52" s="169" cm="1">
        <f t="array" ref="C52">SUM(_xlfn._xlws.FILTER(SP2D[Pagu Semula],(SP2D[Subkoordinator]=B52)*(SP2D[Status Covid]="COVID"),0))</f>
        <v>8000000</v>
      </c>
      <c r="D52" s="169" cm="1">
        <f t="array" ref="D52">SUM(_xlfn._xlws.FILTER(SP2D[Blokir AA ke 1],(SP2D[Subkoordinator]=B52)*(SP2D[Status Covid]="COVID"),0))</f>
        <v>0</v>
      </c>
      <c r="E52" s="169" cm="1">
        <f t="array" ref="E52">SUM(_xlfn._xlws.FILTER(SP2D[Blokir AA ke 2],(SP2D[Subkoordinator]=B52)*(SP2D[Status Covid]="COVID"),0))</f>
        <v>0</v>
      </c>
      <c r="F52" s="169" cm="1">
        <f t="array" ref="F52">SUM(_xlfn._xlws.FILTER(SP2D[Pagu],(SP2D[Subkoordinator]=B52)*(SP2D[Status Covid]="COVID"),0))</f>
        <v>8000000</v>
      </c>
      <c r="G52" s="169" cm="1">
        <f t="array" ref="G52">SUM(_xlfn._xlws.FILTER(SP2D[Realisasi],(SP2D[Subkoordinator]=B52)*(SP2D[Status Covid]="COVID"),0))</f>
        <v>365000</v>
      </c>
      <c r="H52" s="430">
        <f t="shared" si="12"/>
        <v>4.5625</v>
      </c>
      <c r="I52" s="169">
        <f t="shared" si="13"/>
        <v>7635000</v>
      </c>
      <c r="J52" s="427">
        <f t="shared" si="14"/>
        <v>95.4375</v>
      </c>
    </row>
    <row r="53" spans="1:10" x14ac:dyDescent="0.25">
      <c r="A53" s="466"/>
      <c r="B53" s="164" t="s">
        <v>538</v>
      </c>
      <c r="C53" s="169" cm="1">
        <f t="array" ref="C53">SUM(_xlfn._xlws.FILTER(SP2D[Pagu Semula],(SP2D[Subkoordinator]=B53)*(SP2D[Status Covid]="COVID"),0))</f>
        <v>13000000</v>
      </c>
      <c r="D53" s="169" cm="1">
        <f t="array" ref="D53">SUM(_xlfn._xlws.FILTER(SP2D[Blokir AA ke 1],(SP2D[Subkoordinator]=B53)*(SP2D[Status Covid]="COVID"),0))</f>
        <v>0</v>
      </c>
      <c r="E53" s="169" cm="1">
        <f t="array" ref="E53">SUM(_xlfn._xlws.FILTER(SP2D[Blokir AA ke 2],(SP2D[Subkoordinator]=B53)*(SP2D[Status Covid]="COVID"),0))</f>
        <v>8000000</v>
      </c>
      <c r="F53" s="169" cm="1">
        <f t="array" ref="F53">SUM(_xlfn._xlws.FILTER(SP2D[Pagu],(SP2D[Subkoordinator]=B53)*(SP2D[Status Covid]="COVID"),0))</f>
        <v>5000000</v>
      </c>
      <c r="G53" s="169" cm="1">
        <f t="array" ref="G53">SUM(_xlfn._xlws.FILTER(SP2D[Realisasi],(SP2D[Subkoordinator]=B53)*(SP2D[Status Covid]="COVID"),0))</f>
        <v>0</v>
      </c>
      <c r="H53" s="223">
        <f t="shared" si="12"/>
        <v>0</v>
      </c>
      <c r="I53" s="169">
        <f t="shared" si="13"/>
        <v>5000000</v>
      </c>
      <c r="J53" s="427">
        <f t="shared" si="14"/>
        <v>100</v>
      </c>
    </row>
    <row r="54" spans="1:10" x14ac:dyDescent="0.25">
      <c r="A54" s="466"/>
      <c r="B54" s="296" t="s">
        <v>5589</v>
      </c>
      <c r="C54" s="194">
        <f t="shared" ref="C54" si="24">SUM(C52:C53)</f>
        <v>21000000</v>
      </c>
      <c r="D54" s="194">
        <f t="shared" ref="D54" si="25">SUM(D52:D53)</f>
        <v>0</v>
      </c>
      <c r="E54" s="194">
        <f t="shared" ref="E54" si="26">SUM(E52:E53)</f>
        <v>8000000</v>
      </c>
      <c r="F54" s="194">
        <f t="shared" ref="F54" si="27">SUM(F52:F53)</f>
        <v>13000000</v>
      </c>
      <c r="G54" s="194">
        <f t="shared" ref="G54" si="28">SUM(G52:G53)</f>
        <v>365000</v>
      </c>
      <c r="H54" s="432">
        <f t="shared" si="12"/>
        <v>2.8076923076923075</v>
      </c>
      <c r="I54" s="194">
        <f t="shared" si="13"/>
        <v>12635000</v>
      </c>
      <c r="J54" s="428">
        <f t="shared" si="14"/>
        <v>97.192307692307693</v>
      </c>
    </row>
    <row r="55" spans="1:10" x14ac:dyDescent="0.25">
      <c r="A55" s="462" t="s">
        <v>3852</v>
      </c>
      <c r="B55" s="462"/>
      <c r="C55" s="176">
        <f>C45+C48+C51+C54</f>
        <v>348880000</v>
      </c>
      <c r="D55" s="176">
        <f t="shared" ref="D55:E55" si="29">D45+D48+D51+D54</f>
        <v>0</v>
      </c>
      <c r="E55" s="176">
        <f t="shared" si="29"/>
        <v>247069000</v>
      </c>
      <c r="F55" s="176">
        <f>F45+F48+F51+F54</f>
        <v>101811000</v>
      </c>
      <c r="G55" s="176">
        <f>G45+G48+G51+G54</f>
        <v>73806280</v>
      </c>
      <c r="H55" s="433">
        <f t="shared" si="12"/>
        <v>72.493424089734901</v>
      </c>
      <c r="I55" s="176">
        <f t="shared" si="13"/>
        <v>28004720</v>
      </c>
      <c r="J55" s="429">
        <f t="shared" si="14"/>
        <v>27.506575910265095</v>
      </c>
    </row>
    <row r="56" spans="1:10" x14ac:dyDescent="0.25">
      <c r="A56" s="462" t="s">
        <v>5584</v>
      </c>
      <c r="B56" s="462"/>
      <c r="C56" s="419">
        <f>C55</f>
        <v>348880000</v>
      </c>
      <c r="D56" s="463">
        <f>SUM(D55:E55)</f>
        <v>247069000</v>
      </c>
      <c r="E56" s="463"/>
      <c r="F56" s="419">
        <f>F55</f>
        <v>101811000</v>
      </c>
      <c r="G56" s="176">
        <f>G55</f>
        <v>73806280</v>
      </c>
      <c r="H56" s="433">
        <f t="shared" si="12"/>
        <v>72.493424089734901</v>
      </c>
      <c r="I56" s="176">
        <f t="shared" si="13"/>
        <v>28004720</v>
      </c>
      <c r="J56" s="429">
        <f t="shared" si="14"/>
        <v>27.506575910265095</v>
      </c>
    </row>
  </sheetData>
  <mergeCells count="45">
    <mergeCell ref="A1:J1"/>
    <mergeCell ref="A3:J3"/>
    <mergeCell ref="A52:A54"/>
    <mergeCell ref="A36:B36"/>
    <mergeCell ref="A37:B37"/>
    <mergeCell ref="F28:F29"/>
    <mergeCell ref="A24:B24"/>
    <mergeCell ref="D24:E24"/>
    <mergeCell ref="E28:E29"/>
    <mergeCell ref="D28:D29"/>
    <mergeCell ref="D37:E37"/>
    <mergeCell ref="G6:H6"/>
    <mergeCell ref="A2:J2"/>
    <mergeCell ref="A43:A45"/>
    <mergeCell ref="A46:A48"/>
    <mergeCell ref="A8:A12"/>
    <mergeCell ref="A13:A16"/>
    <mergeCell ref="A17:A19"/>
    <mergeCell ref="A20:A22"/>
    <mergeCell ref="A23:B23"/>
    <mergeCell ref="C28:C29"/>
    <mergeCell ref="A28:A29"/>
    <mergeCell ref="B28:B29"/>
    <mergeCell ref="A35:B35"/>
    <mergeCell ref="G28:H28"/>
    <mergeCell ref="I28:J28"/>
    <mergeCell ref="G41:H41"/>
    <mergeCell ref="I41:J41"/>
    <mergeCell ref="B6:B7"/>
    <mergeCell ref="A6:A7"/>
    <mergeCell ref="A41:A42"/>
    <mergeCell ref="B41:B42"/>
    <mergeCell ref="C41:C42"/>
    <mergeCell ref="I6:J6"/>
    <mergeCell ref="F6:F7"/>
    <mergeCell ref="E6:E7"/>
    <mergeCell ref="D6:D7"/>
    <mergeCell ref="C6:C7"/>
    <mergeCell ref="A56:B56"/>
    <mergeCell ref="D56:E56"/>
    <mergeCell ref="D41:D42"/>
    <mergeCell ref="E41:E42"/>
    <mergeCell ref="F41:F42"/>
    <mergeCell ref="A55:B55"/>
    <mergeCell ref="A49:A51"/>
  </mergeCells>
  <phoneticPr fontId="26" type="noConversion"/>
  <printOptions horizontalCentered="1"/>
  <pageMargins left="0.39370078740157483" right="0.19685039370078741" top="0.19685039370078741" bottom="0.19685039370078741" header="0.31496062992125984" footer="0.31496062992125984"/>
  <pageSetup paperSize="9" scale="69" orientation="landscape" horizontalDpi="0" verticalDpi="0" r:id="rId1"/>
  <drawing r:id="rId2"/>
  <legacyDrawing r:id="rId3"/>
  <controls>
    <mc:AlternateContent xmlns:mc="http://schemas.openxmlformats.org/markup-compatibility/2006">
      <mc:Choice Requires="x14">
        <control shapeId="66568" r:id="rId4" name="OptionButton1">
          <controlPr defaultSize="0" print="0" autoLine="0" autoPict="0" r:id="rId5">
            <anchor>
              <from>
                <xdr:col>11</xdr:col>
                <xdr:colOff>1752600</xdr:colOff>
                <xdr:row>1</xdr:row>
                <xdr:rowOff>19050</xdr:rowOff>
              </from>
              <to>
                <xdr:col>12</xdr:col>
                <xdr:colOff>1314450</xdr:colOff>
                <xdr:row>2</xdr:row>
                <xdr:rowOff>180975</xdr:rowOff>
              </to>
            </anchor>
          </controlPr>
        </control>
      </mc:Choice>
      <mc:Fallback>
        <control shapeId="66568" r:id="rId4" name="OptionButton1"/>
      </mc:Fallback>
    </mc:AlternateContent>
    <mc:AlternateContent xmlns:mc="http://schemas.openxmlformats.org/markup-compatibility/2006">
      <mc:Choice Requires="x14">
        <control shapeId="66569" r:id="rId6" name="OptionButton2">
          <controlPr defaultSize="0" print="0" autoLine="0" autoPict="0" linkedCell="L8" r:id="rId7">
            <anchor>
              <from>
                <xdr:col>10</xdr:col>
                <xdr:colOff>285750</xdr:colOff>
                <xdr:row>1</xdr:row>
                <xdr:rowOff>28575</xdr:rowOff>
              </from>
              <to>
                <xdr:col>11</xdr:col>
                <xdr:colOff>1657350</xdr:colOff>
                <xdr:row>2</xdr:row>
                <xdr:rowOff>190500</xdr:rowOff>
              </to>
            </anchor>
          </controlPr>
        </control>
      </mc:Choice>
      <mc:Fallback>
        <control shapeId="66569" r:id="rId6" name="OptionButton2"/>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zoomScale="85" zoomScaleNormal="100" zoomScaleSheetLayoutView="85" workbookViewId="0">
      <selection activeCell="B1" sqref="B1:P1"/>
    </sheetView>
  </sheetViews>
  <sheetFormatPr defaultRowHeight="15" x14ac:dyDescent="0.25"/>
  <sheetData>
    <row r="1" spans="2:16" x14ac:dyDescent="0.25">
      <c r="B1" s="484" t="str">
        <f>'PERSUBBID - Gaji'!A1</f>
        <v>REALISASI TANPA GAJI (BERDASARKAN PAGU SETELAH BLOKIR)</v>
      </c>
      <c r="C1" s="484"/>
      <c r="D1" s="484"/>
      <c r="E1" s="484"/>
      <c r="F1" s="484"/>
      <c r="G1" s="484"/>
      <c r="H1" s="484"/>
      <c r="I1" s="484"/>
      <c r="J1" s="484"/>
      <c r="K1" s="484"/>
      <c r="L1" s="484"/>
      <c r="M1" s="484"/>
      <c r="N1" s="484"/>
      <c r="O1" s="484"/>
      <c r="P1" s="484"/>
    </row>
    <row r="2" spans="2:16" ht="15.75" x14ac:dyDescent="0.25">
      <c r="B2" s="467" t="str">
        <f>'PERSUBBID - Gaji'!A2</f>
        <v>Berdasarkan DIPA Revisi 2, POK 2 TA. 2022 (Tanggal 9 Juni 2022)</v>
      </c>
      <c r="C2" s="467"/>
      <c r="D2" s="467"/>
      <c r="E2" s="467"/>
      <c r="F2" s="467"/>
      <c r="G2" s="467"/>
      <c r="H2" s="467"/>
      <c r="I2" s="467"/>
      <c r="J2" s="467"/>
      <c r="K2" s="467"/>
      <c r="L2" s="467"/>
      <c r="M2" s="467"/>
      <c r="N2" s="467"/>
      <c r="O2" s="467"/>
      <c r="P2" s="467"/>
    </row>
    <row r="3" spans="2:16" ht="15.75" x14ac:dyDescent="0.25">
      <c r="B3" s="467" t="str">
        <f>'PERSUBBID - Gaji'!A3</f>
        <v>SAMPAI DENGAN 15 JUNI 2022</v>
      </c>
      <c r="C3" s="467"/>
      <c r="D3" s="467"/>
      <c r="E3" s="467"/>
      <c r="F3" s="467"/>
      <c r="G3" s="467"/>
      <c r="H3" s="467"/>
      <c r="I3" s="467"/>
      <c r="J3" s="467"/>
      <c r="K3" s="467"/>
      <c r="L3" s="467"/>
      <c r="M3" s="467"/>
      <c r="N3" s="467"/>
      <c r="O3" s="467"/>
      <c r="P3" s="467"/>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4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AB999-B79C-4556-A1F8-58729FFE2DB2}">
  <sheetPr codeName="Sheet17">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L17" sqref="L17"/>
    </sheetView>
  </sheetViews>
  <sheetFormatPr defaultRowHeight="15" x14ac:dyDescent="0.25"/>
  <cols>
    <col min="1" max="1" width="16.5703125" customWidth="1"/>
    <col min="2" max="2" width="42.85546875" bestFit="1" customWidth="1"/>
    <col min="3" max="3" width="15.28515625" bestFit="1" customWidth="1"/>
    <col min="4" max="4" width="14.7109375" customWidth="1"/>
    <col min="5" max="5" width="15.28515625" customWidth="1"/>
    <col min="6" max="6" width="15.28515625" bestFit="1" customWidth="1"/>
    <col min="7" max="7" width="14.285156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x14ac:dyDescent="0.25">
      <c r="A1" s="475" t="str">
        <f>IF(L8=TRUE,"REALISASI DENGAN GAJI (BERDASARKAN PAGU SEBELUM BLOKIR)","REALISASI DENGAN GAJI (BERDASARKAN PAGU SETELAH BLOKIR)")</f>
        <v>REALISASI DENGAN GAJI (BERDASARKAN PAGU SETELAH BLOKIR)</v>
      </c>
      <c r="B1" s="475"/>
      <c r="C1" s="475"/>
      <c r="D1" s="475"/>
      <c r="E1" s="475"/>
      <c r="F1" s="475"/>
      <c r="G1" s="475"/>
      <c r="H1" s="475"/>
      <c r="I1" s="475"/>
      <c r="J1" s="475"/>
      <c r="L1" s="435"/>
    </row>
    <row r="2" spans="1:13" ht="15.75" x14ac:dyDescent="0.25">
      <c r="A2" s="467" t="str">
        <f>'PER BULAN'!B5</f>
        <v>Berdasarkan DIPA Revisi 2, POK 2 TA. 2022 (Tanggal 9 Juni 2022)</v>
      </c>
      <c r="B2" s="467"/>
      <c r="C2" s="467"/>
      <c r="D2" s="467"/>
      <c r="E2" s="467"/>
      <c r="F2" s="467"/>
      <c r="G2" s="467"/>
      <c r="H2" s="467"/>
      <c r="I2" s="467"/>
      <c r="J2" s="467"/>
    </row>
    <row r="3" spans="1:13" ht="15.75" x14ac:dyDescent="0.25">
      <c r="A3" s="467" t="s">
        <v>4607</v>
      </c>
      <c r="B3" s="467"/>
      <c r="C3" s="467"/>
      <c r="D3" s="467"/>
      <c r="E3" s="467"/>
      <c r="F3" s="467"/>
      <c r="G3" s="467"/>
      <c r="H3" s="467"/>
      <c r="I3" s="467"/>
      <c r="J3" s="467"/>
    </row>
    <row r="4" spans="1:13" x14ac:dyDescent="0.25">
      <c r="A4" s="409"/>
      <c r="B4" s="409"/>
      <c r="C4" s="409"/>
      <c r="D4" s="409"/>
      <c r="E4" s="409"/>
      <c r="F4" s="409"/>
      <c r="G4" s="409"/>
      <c r="H4" s="409"/>
      <c r="I4" s="409"/>
      <c r="J4" s="409"/>
    </row>
    <row r="5" spans="1:13" ht="15.75" x14ac:dyDescent="0.25">
      <c r="A5" s="437" t="s">
        <v>3995</v>
      </c>
    </row>
    <row r="6" spans="1:13" x14ac:dyDescent="0.25">
      <c r="A6" s="464" t="s">
        <v>592</v>
      </c>
      <c r="B6" s="464" t="s">
        <v>500</v>
      </c>
      <c r="C6" s="464" t="s">
        <v>5581</v>
      </c>
      <c r="D6" s="464" t="s">
        <v>5578</v>
      </c>
      <c r="E6" s="464" t="s">
        <v>5580</v>
      </c>
      <c r="F6" s="464" t="s">
        <v>5582</v>
      </c>
      <c r="G6" s="465" t="str">
        <f>IF($L$8=TRUE,"Realisasi vs Pagu+Blokir","Realisasi vs Pagu-Blokir")</f>
        <v>Realisasi vs Pagu-Blokir</v>
      </c>
      <c r="H6" s="465"/>
      <c r="I6" s="465" t="str">
        <f>IF($L$8=TRUE,"Sisa vs Pagu+Blokir","Sisa vs Pagu-Blokir")</f>
        <v>Sisa vs Pagu-Blokir</v>
      </c>
      <c r="J6" s="465"/>
    </row>
    <row r="7" spans="1:13" x14ac:dyDescent="0.25">
      <c r="A7" s="464"/>
      <c r="B7" s="464"/>
      <c r="C7" s="464"/>
      <c r="D7" s="464"/>
      <c r="E7" s="464"/>
      <c r="F7" s="464"/>
      <c r="G7" s="421" t="s">
        <v>5590</v>
      </c>
      <c r="H7" s="421" t="s">
        <v>3846</v>
      </c>
      <c r="I7" s="421" t="s">
        <v>5590</v>
      </c>
      <c r="J7" s="421" t="s">
        <v>3846</v>
      </c>
    </row>
    <row r="8" spans="1:13" x14ac:dyDescent="0.25">
      <c r="A8" s="468"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390447219</v>
      </c>
      <c r="H8" s="427">
        <f>IFERROR(IF($L$8=TRUE,G8/C8*100,G8/F8*100),0)</f>
        <v>58.216271597354343</v>
      </c>
      <c r="I8" s="169">
        <f>IF($L$8=TRUE,C8-G8,F8-G8)</f>
        <v>280236781</v>
      </c>
      <c r="J8" s="263">
        <f>IFERROR(IF($L$8=TRUE,I8/C8*100,I8/F8*100),0)</f>
        <v>41.783728402645657</v>
      </c>
      <c r="K8" s="438"/>
      <c r="L8" s="420" t="b">
        <v>0</v>
      </c>
    </row>
    <row r="9" spans="1:13" x14ac:dyDescent="0.25">
      <c r="A9" s="469"/>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663321641</v>
      </c>
      <c r="H9" s="427">
        <f t="shared" ref="H9:H25" si="0">IFERROR(IF($L$8=TRUE,G9/C9*100,G9/F9*100),0)</f>
        <v>31.652189479390241</v>
      </c>
      <c r="I9" s="169">
        <f t="shared" ref="I9:I25" si="1">IF($L$8=TRUE,C9-G9,F9-G9)</f>
        <v>1432336359</v>
      </c>
      <c r="J9" s="263">
        <f t="shared" ref="J9:J25" si="2">IFERROR(IF($L$8=TRUE,I9/C9*100,I9/F9*100),0)</f>
        <v>68.347810520609755</v>
      </c>
      <c r="K9" s="438"/>
    </row>
    <row r="10" spans="1:13" x14ac:dyDescent="0.25">
      <c r="A10" s="469"/>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7">
        <f t="shared" si="0"/>
        <v>100</v>
      </c>
      <c r="I10" s="169">
        <f t="shared" si="1"/>
        <v>0</v>
      </c>
      <c r="J10" s="422">
        <f t="shared" si="2"/>
        <v>0</v>
      </c>
      <c r="K10" s="438"/>
    </row>
    <row r="11" spans="1:13" x14ac:dyDescent="0.25">
      <c r="A11" s="469"/>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136548520</v>
      </c>
      <c r="H11" s="427">
        <f t="shared" si="0"/>
        <v>68.991774454324982</v>
      </c>
      <c r="I11" s="169">
        <f t="shared" si="1"/>
        <v>61371480</v>
      </c>
      <c r="J11" s="263">
        <f t="shared" si="2"/>
        <v>31.008225545675021</v>
      </c>
      <c r="K11" s="438"/>
    </row>
    <row r="12" spans="1:13" x14ac:dyDescent="0.25">
      <c r="A12" s="469"/>
      <c r="B12" s="195" t="s">
        <v>4187</v>
      </c>
      <c r="C12" s="169" cm="1">
        <f t="array" ref="C12">SUM(_xlfn._xlws.FILTER(SP2D_GAJI[Pagu Semula],SP2D_GAJI[Komponen]=B12,0))</f>
        <v>6478996000</v>
      </c>
      <c r="D12" s="169" cm="1">
        <f t="array" ref="D12">SUM(_xlfn._xlws.FILTER(SP2D_GAJI[Blokir AA ke 1],SP2D_GAJI[Komponen]=B12,0))</f>
        <v>323949000</v>
      </c>
      <c r="E12" s="169" cm="1">
        <f t="array" ref="E12">SUM(_xlfn._xlws.FILTER(SP2D_GAJI[Blokir AA ke 2],SP2D_GAJI[Komponen]=B12,0))</f>
        <v>0</v>
      </c>
      <c r="F12" s="169" cm="1">
        <f t="array" ref="F12">SUM(_xlfn._xlws.FILTER(SP2D_GAJI[Pagu],SP2D_GAJI[Komponen]=B12,0))</f>
        <v>6155047000</v>
      </c>
      <c r="G12" s="169" cm="1">
        <f t="array" ref="G12">SUM(_xlfn._xlws.FILTER(SP2D_GAJI[Realisasi],SP2D_GAJI[Komponen]=B12,0))</f>
        <v>2939763957</v>
      </c>
      <c r="H12" s="427">
        <f t="shared" ref="H12" si="3">IFERROR(IF($L$8=TRUE,G12/C12*100,G12/F12*100),0)</f>
        <v>47.761844174382425</v>
      </c>
      <c r="I12" s="169">
        <f t="shared" ref="I12" si="4">IF($L$8=TRUE,C12-G12,F12-G12)</f>
        <v>3215283043</v>
      </c>
      <c r="J12" s="263">
        <f t="shared" ref="J12" si="5">IFERROR(IF($L$8=TRUE,I12/C12*100,I12/F12*100),0)</f>
        <v>52.238155825617582</v>
      </c>
      <c r="K12" s="438"/>
    </row>
    <row r="13" spans="1:13" x14ac:dyDescent="0.25">
      <c r="A13" s="470"/>
      <c r="B13" s="296" t="s">
        <v>5586</v>
      </c>
      <c r="C13" s="194">
        <f>SUM(C8:C12)</f>
        <v>10807010000</v>
      </c>
      <c r="D13" s="194">
        <f t="shared" ref="D13:G13" si="6">SUM(D8:D12)</f>
        <v>423949000</v>
      </c>
      <c r="E13" s="194">
        <f t="shared" si="6"/>
        <v>609552000</v>
      </c>
      <c r="F13" s="194">
        <f t="shared" si="6"/>
        <v>9773509000</v>
      </c>
      <c r="G13" s="194">
        <f t="shared" si="6"/>
        <v>4784281337</v>
      </c>
      <c r="H13" s="428">
        <f t="shared" si="0"/>
        <v>48.951521270405543</v>
      </c>
      <c r="I13" s="194">
        <f t="shared" si="1"/>
        <v>4989227663</v>
      </c>
      <c r="J13" s="264">
        <f t="shared" si="2"/>
        <v>51.048478729594457</v>
      </c>
      <c r="K13" s="438"/>
    </row>
    <row r="14" spans="1:13" ht="15" customHeight="1" x14ac:dyDescent="0.25">
      <c r="A14" s="468" t="s">
        <v>542</v>
      </c>
      <c r="B14" s="222" t="s">
        <v>543</v>
      </c>
      <c r="C14" s="169" cm="1">
        <f t="array" ref="C14">SUM(_xlfn._xlws.FILTER(SP2D[Pagu Semula],SP2D[Subkoordinator]=B14,0))-C15</f>
        <v>768918000</v>
      </c>
      <c r="D14" s="169" cm="1">
        <f t="array" ref="D14">SUM(_xlfn._xlws.FILTER(SP2D[Blokir AA ke 1],SP2D[Subkoordinator]=B14,0))</f>
        <v>0</v>
      </c>
      <c r="E14" s="169" cm="1">
        <f t="array" ref="E14">SUM(_xlfn._xlws.FILTER(SP2D[Blokir AA ke 2],SP2D[Subkoordinator]=B14,0))-E15</f>
        <v>475000000</v>
      </c>
      <c r="F14" s="169" cm="1">
        <f t="array" ref="F14">SUM(_xlfn._xlws.FILTER(SP2D[Pagu],SP2D[Subkoordinator]=B14,0))-F15</f>
        <v>293918000</v>
      </c>
      <c r="G14" s="169" cm="1">
        <f t="array" ref="G14">SUM(_xlfn._xlws.FILTER(SP2D[Realisasi],SP2D[Subkoordinator]=B14,0))-G15</f>
        <v>130677295</v>
      </c>
      <c r="H14" s="427">
        <f t="shared" si="0"/>
        <v>44.460460060288924</v>
      </c>
      <c r="I14" s="169">
        <f t="shared" si="1"/>
        <v>163240705</v>
      </c>
      <c r="J14" s="263">
        <f t="shared" si="2"/>
        <v>55.539539939711076</v>
      </c>
      <c r="K14" s="438"/>
    </row>
    <row r="15" spans="1:13" x14ac:dyDescent="0.25">
      <c r="A15" s="469"/>
      <c r="B15" s="195" t="s">
        <v>3920</v>
      </c>
      <c r="C15" s="169" cm="1">
        <f t="array" ref="C15">SUM(_xlfn._xlws.FILTER(SP2D[Pagu Semula],SP2D[Kegiatan]=B15,0))</f>
        <v>8582500000</v>
      </c>
      <c r="D15" s="169" cm="1">
        <f t="array" ref="D15">SUM(_xlfn._xlws.FILTER(SP2D[Blokir AA ke 1],SP2D[Kegiatan]=B15,0))</f>
        <v>0</v>
      </c>
      <c r="E15" s="169" cm="1">
        <f t="array" ref="E15">SUM(_xlfn._xlws.FILTER(SP2D[Blokir AA ke 2],SP2D[Kegiatan]=B15,0))</f>
        <v>2500000000</v>
      </c>
      <c r="F15" s="169" cm="1">
        <f t="array" ref="F15">SUM(_xlfn._xlws.FILTER(SP2D[Pagu],SP2D[Kegiatan]=B15,0))</f>
        <v>6082500000</v>
      </c>
      <c r="G15" s="169" cm="1">
        <f t="array" ref="G15">SUM(_xlfn._xlws.FILTER(SP2D[Realisasi],SP2D[Kegiatan]=B15,0))</f>
        <v>3476713912</v>
      </c>
      <c r="H15" s="427">
        <f t="shared" si="0"/>
        <v>57.159291607069463</v>
      </c>
      <c r="I15" s="169">
        <f t="shared" si="1"/>
        <v>2605786088</v>
      </c>
      <c r="J15" s="263">
        <f t="shared" si="2"/>
        <v>42.840708392930537</v>
      </c>
      <c r="K15" s="438"/>
      <c r="M15" s="217"/>
    </row>
    <row r="16" spans="1:13" x14ac:dyDescent="0.25">
      <c r="A16" s="469"/>
      <c r="B16" s="222" t="s">
        <v>591</v>
      </c>
      <c r="C16" s="169" cm="1">
        <f t="array" ref="C16">SUM(_xlfn._xlws.FILTER(SP2D[Pagu Semula],SP2D[Subkoordinator]=B16,0))</f>
        <v>633732000</v>
      </c>
      <c r="D16" s="169" cm="1">
        <f t="array" ref="D16">SUM(_xlfn._xlws.FILTER(SP2D[Blokir AA ke 1],SP2D[Subkoordinator]=B16,0))</f>
        <v>0</v>
      </c>
      <c r="E16" s="169" cm="1">
        <f t="array" ref="E16">SUM(_xlfn._xlws.FILTER(SP2D[Blokir AA ke 2],SP2D[Subkoordinator]=B16,0))</f>
        <v>463934000</v>
      </c>
      <c r="F16" s="169" cm="1">
        <f t="array" ref="F16">SUM(_xlfn._xlws.FILTER(SP2D[Pagu],SP2D[Subkoordinator]=B16,0))</f>
        <v>169798000</v>
      </c>
      <c r="G16" s="169" cm="1">
        <f t="array" ref="G16">SUM(_xlfn._xlws.FILTER(SP2D[Realisasi],SP2D[Subkoordinator]=B16,0))</f>
        <v>105796297</v>
      </c>
      <c r="H16" s="427">
        <f t="shared" si="0"/>
        <v>62.307151438768415</v>
      </c>
      <c r="I16" s="169">
        <f t="shared" si="1"/>
        <v>64001703</v>
      </c>
      <c r="J16" s="263">
        <f t="shared" si="2"/>
        <v>37.692848561231578</v>
      </c>
      <c r="K16" s="438"/>
    </row>
    <row r="17" spans="1:13" x14ac:dyDescent="0.25">
      <c r="A17" s="470"/>
      <c r="B17" s="296" t="s">
        <v>5587</v>
      </c>
      <c r="C17" s="194">
        <f>SUM(C14:C16)</f>
        <v>9985150000</v>
      </c>
      <c r="D17" s="194">
        <f t="shared" ref="D17:E17" si="7">SUM(D14:D16)</f>
        <v>0</v>
      </c>
      <c r="E17" s="194">
        <f t="shared" si="7"/>
        <v>3438934000</v>
      </c>
      <c r="F17" s="194">
        <f>SUM(F14:F16)</f>
        <v>6546216000</v>
      </c>
      <c r="G17" s="194">
        <f>SUM(G14:G16)</f>
        <v>3713187504</v>
      </c>
      <c r="H17" s="428">
        <f t="shared" si="0"/>
        <v>56.722654797825186</v>
      </c>
      <c r="I17" s="194">
        <f t="shared" si="1"/>
        <v>2833028496</v>
      </c>
      <c r="J17" s="264">
        <f t="shared" si="2"/>
        <v>43.277345202174814</v>
      </c>
      <c r="K17" s="438"/>
    </row>
    <row r="18" spans="1:13" ht="15" customHeight="1" x14ac:dyDescent="0.25">
      <c r="A18" s="468" t="s">
        <v>531</v>
      </c>
      <c r="B18" s="222" t="s">
        <v>532</v>
      </c>
      <c r="C18" s="169" cm="1">
        <f t="array" ref="C18">SUM(_xlfn._xlws.FILTER(SP2D[Pagu Semula],SP2D[Subkoordinator]=B18,0))</f>
        <v>474100000</v>
      </c>
      <c r="D18" s="169" cm="1">
        <f t="array" ref="D18">SUM(_xlfn._xlws.FILTER(SP2D[Blokir AA ke 1],SP2D[Subkoordinator]=B18,0))</f>
        <v>0</v>
      </c>
      <c r="E18" s="169" cm="1">
        <f t="array" ref="E18">SUM(_xlfn._xlws.FILTER(SP2D[Blokir AA ke 2],SP2D[Subkoordinator]=B18,0))</f>
        <v>266494000</v>
      </c>
      <c r="F18" s="169" cm="1">
        <f t="array" ref="F18">SUM(_xlfn._xlws.FILTER(SP2D[Pagu],SP2D[Subkoordinator]=B18,0))</f>
        <v>207606000</v>
      </c>
      <c r="G18" s="169" cm="1">
        <f t="array" ref="G18">SUM(_xlfn._xlws.FILTER(SP2D[Realisasi],SP2D[Subkoordinator]=B18,0))</f>
        <v>133815590</v>
      </c>
      <c r="H18" s="427">
        <f t="shared" si="0"/>
        <v>64.456513780911919</v>
      </c>
      <c r="I18" s="169">
        <f t="shared" si="1"/>
        <v>73790410</v>
      </c>
      <c r="J18" s="263">
        <f t="shared" si="2"/>
        <v>35.543486219088081</v>
      </c>
      <c r="K18" s="438"/>
    </row>
    <row r="19" spans="1:13" x14ac:dyDescent="0.25">
      <c r="A19" s="469"/>
      <c r="B19" s="222" t="s">
        <v>534</v>
      </c>
      <c r="C19" s="169" cm="1">
        <f t="array" ref="C19">SUM(_xlfn._xlws.FILTER(SP2D[Pagu Semula],SP2D[Subkoordinator]=B19,0))</f>
        <v>804500000</v>
      </c>
      <c r="D19" s="169" cm="1">
        <f t="array" ref="D19">SUM(_xlfn._xlws.FILTER(SP2D[Blokir AA ke 1],SP2D[Subkoordinator]=B19,0))</f>
        <v>0</v>
      </c>
      <c r="E19" s="169" cm="1">
        <f t="array" ref="E19">SUM(_xlfn._xlws.FILTER(SP2D[Blokir AA ke 2],SP2D[Subkoordinator]=B19,0))</f>
        <v>639737000</v>
      </c>
      <c r="F19" s="169" cm="1">
        <f t="array" ref="F19">SUM(_xlfn._xlws.FILTER(SP2D[Pagu],SP2D[Subkoordinator]=B19,0))</f>
        <v>164763000</v>
      </c>
      <c r="G19" s="169" cm="1">
        <f t="array" ref="G19">SUM(_xlfn._xlws.FILTER(SP2D[Realisasi],SP2D[Subkoordinator]=B19,0))</f>
        <v>73365500</v>
      </c>
      <c r="H19" s="427">
        <f t="shared" si="0"/>
        <v>44.527897646923151</v>
      </c>
      <c r="I19" s="169">
        <f t="shared" si="1"/>
        <v>91397500</v>
      </c>
      <c r="J19" s="263">
        <f t="shared" si="2"/>
        <v>55.472102353076849</v>
      </c>
      <c r="K19" s="438"/>
      <c r="M19" s="217"/>
    </row>
    <row r="20" spans="1:13" x14ac:dyDescent="0.25">
      <c r="A20" s="470"/>
      <c r="B20" s="296" t="s">
        <v>5588</v>
      </c>
      <c r="C20" s="194">
        <f>SUM(C18:C19)</f>
        <v>1278600000</v>
      </c>
      <c r="D20" s="194">
        <f t="shared" ref="D20:E20" si="8">SUM(D18:D19)</f>
        <v>0</v>
      </c>
      <c r="E20" s="194">
        <f t="shared" si="8"/>
        <v>906231000</v>
      </c>
      <c r="F20" s="194">
        <f>SUM(F18:F19)</f>
        <v>372369000</v>
      </c>
      <c r="G20" s="194">
        <f>SUM(G18:G19)</f>
        <v>207181090</v>
      </c>
      <c r="H20" s="428">
        <f t="shared" si="0"/>
        <v>55.638651445206236</v>
      </c>
      <c r="I20" s="194">
        <f t="shared" si="1"/>
        <v>165187910</v>
      </c>
      <c r="J20" s="264">
        <f t="shared" si="2"/>
        <v>44.361348554793764</v>
      </c>
      <c r="K20" s="438"/>
    </row>
    <row r="21" spans="1:13" ht="15" customHeight="1" x14ac:dyDescent="0.25">
      <c r="A21" s="468" t="s">
        <v>535</v>
      </c>
      <c r="B21" s="222" t="s">
        <v>536</v>
      </c>
      <c r="C21" s="169" cm="1">
        <f t="array" ref="C21">SUM(_xlfn._xlws.FILTER(SP2D[Pagu Semula],SP2D[Subkoordinator]=B21,0))</f>
        <v>686300000</v>
      </c>
      <c r="D21" s="169" cm="1">
        <f t="array" ref="D21">SUM(_xlfn._xlws.FILTER(SP2D[Blokir AA ke 1],SP2D[Subkoordinator]=B21,0))</f>
        <v>0</v>
      </c>
      <c r="E21" s="169" cm="1">
        <f t="array" ref="E21">SUM(_xlfn._xlws.FILTER(SP2D[Blokir AA ke 2],SP2D[Subkoordinator]=B21,0))</f>
        <v>0</v>
      </c>
      <c r="F21" s="169" cm="1">
        <f t="array" ref="F21">SUM(_xlfn._xlws.FILTER(SP2D[Pagu],SP2D[Subkoordinator]=B21,0))</f>
        <v>686300000</v>
      </c>
      <c r="G21" s="169" cm="1">
        <f t="array" ref="G21">SUM(_xlfn._xlws.FILTER(SP2D[Realisasi],SP2D[Subkoordinator]=B21,0))</f>
        <v>214180240</v>
      </c>
      <c r="H21" s="427">
        <f t="shared" si="0"/>
        <v>31.207961532857354</v>
      </c>
      <c r="I21" s="169">
        <f t="shared" si="1"/>
        <v>472119760</v>
      </c>
      <c r="J21" s="263">
        <f t="shared" si="2"/>
        <v>68.792038467142646</v>
      </c>
      <c r="K21" s="438"/>
    </row>
    <row r="22" spans="1:13" x14ac:dyDescent="0.25">
      <c r="A22" s="469"/>
      <c r="B22" s="222" t="s">
        <v>538</v>
      </c>
      <c r="C22" s="169" cm="1">
        <f t="array" ref="C22">SUM(_xlfn._xlws.FILTER(SP2D[Pagu Semula],SP2D[Subkoordinator]=B22,0))</f>
        <v>585100000</v>
      </c>
      <c r="D22" s="169" cm="1">
        <f t="array" ref="D22">SUM(_xlfn._xlws.FILTER(SP2D[Blokir AA ke 1],SP2D[Subkoordinator]=B22,0))</f>
        <v>0</v>
      </c>
      <c r="E22" s="169" cm="1">
        <f t="array" ref="E22">SUM(_xlfn._xlws.FILTER(SP2D[Blokir AA ke 2],SP2D[Subkoordinator]=B22,0))</f>
        <v>432643000</v>
      </c>
      <c r="F22" s="169" cm="1">
        <f t="array" ref="F22">SUM(_xlfn._xlws.FILTER(SP2D[Pagu],SP2D[Subkoordinator]=B22,0))</f>
        <v>152457000</v>
      </c>
      <c r="G22" s="169" cm="1">
        <f t="array" ref="G22">SUM(_xlfn._xlws.FILTER(SP2D[Realisasi],SP2D[Subkoordinator]=B22,0))</f>
        <v>88256718</v>
      </c>
      <c r="H22" s="427">
        <f t="shared" si="0"/>
        <v>57.889580668647554</v>
      </c>
      <c r="I22" s="169">
        <f t="shared" si="1"/>
        <v>64200282</v>
      </c>
      <c r="J22" s="263">
        <f t="shared" si="2"/>
        <v>42.110419331352446</v>
      </c>
      <c r="K22" s="438"/>
    </row>
    <row r="23" spans="1:13" x14ac:dyDescent="0.25">
      <c r="A23" s="470"/>
      <c r="B23" s="296" t="s">
        <v>5589</v>
      </c>
      <c r="C23" s="194">
        <f>SUM(C21:C22)</f>
        <v>1271400000</v>
      </c>
      <c r="D23" s="194">
        <f t="shared" ref="D23:E23" si="9">SUM(D21:D22)</f>
        <v>0</v>
      </c>
      <c r="E23" s="194">
        <f t="shared" si="9"/>
        <v>432643000</v>
      </c>
      <c r="F23" s="194">
        <f>SUM(F21:F22)</f>
        <v>838757000</v>
      </c>
      <c r="G23" s="194">
        <f>SUM(G21:G22)</f>
        <v>302436958</v>
      </c>
      <c r="H23" s="428">
        <f t="shared" si="0"/>
        <v>36.057756656576338</v>
      </c>
      <c r="I23" s="194">
        <f t="shared" si="1"/>
        <v>536320042</v>
      </c>
      <c r="J23" s="264">
        <f t="shared" si="2"/>
        <v>63.942243343423669</v>
      </c>
      <c r="K23" s="438"/>
    </row>
    <row r="24" spans="1:13" x14ac:dyDescent="0.25">
      <c r="A24" s="462" t="s">
        <v>3852</v>
      </c>
      <c r="B24" s="462"/>
      <c r="C24" s="176">
        <f>C13++C17+C20+C23</f>
        <v>23342160000</v>
      </c>
      <c r="D24" s="176">
        <f t="shared" ref="D24:E24" si="10">D13++D17+D20+D23</f>
        <v>423949000</v>
      </c>
      <c r="E24" s="176">
        <f t="shared" si="10"/>
        <v>5387360000</v>
      </c>
      <c r="F24" s="176">
        <f>F13++F17+F20+F23</f>
        <v>17530851000</v>
      </c>
      <c r="G24" s="176">
        <f>G13++G17+G20+G23</f>
        <v>9007086889</v>
      </c>
      <c r="H24" s="429">
        <f t="shared" si="0"/>
        <v>51.378492059512681</v>
      </c>
      <c r="I24" s="176">
        <f t="shared" si="1"/>
        <v>8523764111</v>
      </c>
      <c r="J24" s="265">
        <f t="shared" si="2"/>
        <v>48.621507940487319</v>
      </c>
      <c r="K24" s="438"/>
      <c r="M24" s="215"/>
    </row>
    <row r="25" spans="1:13" x14ac:dyDescent="0.25">
      <c r="A25" s="476" t="s">
        <v>5584</v>
      </c>
      <c r="B25" s="477"/>
      <c r="C25" s="419">
        <f>C24</f>
        <v>23342160000</v>
      </c>
      <c r="D25" s="478">
        <f>SUM(D24,E24)</f>
        <v>5811309000</v>
      </c>
      <c r="E25" s="479"/>
      <c r="F25" s="419">
        <f>F24</f>
        <v>17530851000</v>
      </c>
      <c r="G25" s="176">
        <f>G24</f>
        <v>9007086889</v>
      </c>
      <c r="H25" s="429">
        <f t="shared" si="0"/>
        <v>51.378492059512681</v>
      </c>
      <c r="I25" s="176">
        <f t="shared" si="1"/>
        <v>8523764111</v>
      </c>
      <c r="J25" s="265">
        <f t="shared" si="2"/>
        <v>48.621507940487319</v>
      </c>
      <c r="K25" s="438"/>
      <c r="M25" s="217"/>
    </row>
    <row r="29" spans="1:13" ht="15.75" x14ac:dyDescent="0.25">
      <c r="A29" s="437" t="s">
        <v>4002</v>
      </c>
    </row>
    <row r="30" spans="1:13" ht="14.45" customHeight="1" x14ac:dyDescent="0.25">
      <c r="A30" s="471" t="s">
        <v>3988</v>
      </c>
      <c r="B30" s="471" t="s">
        <v>3989</v>
      </c>
      <c r="C30" s="471" t="s">
        <v>5581</v>
      </c>
      <c r="D30" s="480" t="s">
        <v>5578</v>
      </c>
      <c r="E30" s="480" t="s">
        <v>5580</v>
      </c>
      <c r="F30" s="471" t="s">
        <v>5582</v>
      </c>
      <c r="G30" s="465" t="str">
        <f>IF($L$8=TRUE,"Realisasi vs Pagu+Blokir","Realisasi vs Pagu-Blokir")</f>
        <v>Realisasi vs Pagu-Blokir</v>
      </c>
      <c r="H30" s="465"/>
      <c r="I30" s="465" t="str">
        <f>IF($L$8=TRUE,"Sisa vs Pagu+Blokir","Sisa vs Pagu-Blokir")</f>
        <v>Sisa vs Pagu-Blokir</v>
      </c>
      <c r="J30" s="465"/>
    </row>
    <row r="31" spans="1:13" x14ac:dyDescent="0.25">
      <c r="A31" s="472"/>
      <c r="B31" s="472"/>
      <c r="C31" s="472"/>
      <c r="D31" s="481"/>
      <c r="E31" s="481"/>
      <c r="F31" s="472"/>
      <c r="G31" s="212" t="s">
        <v>5590</v>
      </c>
      <c r="H31" s="408" t="s">
        <v>3846</v>
      </c>
      <c r="I31" s="212" t="s">
        <v>5590</v>
      </c>
      <c r="J31" s="212" t="s">
        <v>3846</v>
      </c>
    </row>
    <row r="32" spans="1:13" x14ac:dyDescent="0.25">
      <c r="A32" s="202">
        <v>1</v>
      </c>
      <c r="B32" s="203" t="s">
        <v>4188</v>
      </c>
      <c r="C32" s="204">
        <f>C12</f>
        <v>6478996000</v>
      </c>
      <c r="D32" s="204">
        <f t="shared" ref="D32:G32" si="11">D12</f>
        <v>323949000</v>
      </c>
      <c r="E32" s="204">
        <f t="shared" si="11"/>
        <v>0</v>
      </c>
      <c r="F32" s="204">
        <f t="shared" si="11"/>
        <v>6155047000</v>
      </c>
      <c r="G32" s="204">
        <f t="shared" si="11"/>
        <v>2939763957</v>
      </c>
      <c r="H32" s="205">
        <f t="shared" ref="H32" si="12">IFERROR(IF($L$8=TRUE,G32/C32*100,G32/F32*100),0)</f>
        <v>47.761844174382425</v>
      </c>
      <c r="I32" s="206">
        <f t="shared" ref="I32" si="13">IF($L$8=TRUE,C32-G32,F32-G32)</f>
        <v>3215283043</v>
      </c>
      <c r="J32" s="205">
        <f t="shared" ref="J32" si="14">IFERROR(IF($L$8=TRUE,I32/C32*100,I32/F32*100),0)</f>
        <v>52.238155825617582</v>
      </c>
      <c r="K32" s="438"/>
    </row>
    <row r="33" spans="1:12" x14ac:dyDescent="0.25">
      <c r="A33" s="202">
        <v>2</v>
      </c>
      <c r="B33" s="203" t="s">
        <v>3990</v>
      </c>
      <c r="C33" s="204">
        <f>SUM(C34:C35)</f>
        <v>16207230000</v>
      </c>
      <c r="D33" s="204">
        <f t="shared" ref="D33:E33" si="15">SUM(D34:D35)</f>
        <v>100000000</v>
      </c>
      <c r="E33" s="204">
        <f t="shared" si="15"/>
        <v>5385626000</v>
      </c>
      <c r="F33" s="204">
        <f>SUM(F34:F35)</f>
        <v>10721604000</v>
      </c>
      <c r="G33" s="204">
        <f>SUM(G34:G35)</f>
        <v>5413122932</v>
      </c>
      <c r="H33" s="205">
        <f t="shared" ref="H33:H40" si="16">IFERROR(IF($L$8=TRUE,G33/C33*100,G33/F33*100),0)</f>
        <v>50.487995378303474</v>
      </c>
      <c r="I33" s="206">
        <f t="shared" ref="I33:I40" si="17">IF($L$8=TRUE,C33-G33,F33-G33)</f>
        <v>5308481068</v>
      </c>
      <c r="J33" s="205">
        <f t="shared" ref="J33:J40" si="18">IFERROR(IF($L$8=TRUE,I33/C33*100,I33/F33*100),0)</f>
        <v>49.512004621696533</v>
      </c>
      <c r="K33" s="438"/>
    </row>
    <row r="34" spans="1:12" x14ac:dyDescent="0.25">
      <c r="A34" s="211"/>
      <c r="B34" s="207" t="s">
        <v>3991</v>
      </c>
      <c r="C34" s="208" cm="1">
        <f t="array" ref="C34">SUM(_xlfn._xlws.FILTER(SP2D[Pagu Semula],SP2D[Jenis Belanja]="Belanja Barang Operasional",0))</f>
        <v>2195658000</v>
      </c>
      <c r="D34" s="208" cm="1">
        <f t="array" ref="D34">SUM(_xlfn._xlws.FILTER(SP2D[Blokir AA ke 1],SP2D[Jenis Belanja]="Belanja Barang Operasional",0))</f>
        <v>100000000</v>
      </c>
      <c r="E34" s="208" cm="1">
        <f t="array" ref="E34">SUM(_xlfn._xlws.FILTER(SP2D[Blokir AA ke 2],SP2D[Jenis Belanja]="Belanja Barang Operasional",0))</f>
        <v>0</v>
      </c>
      <c r="F34" s="208" cm="1">
        <f t="array" ref="F34">SUM(_xlfn._xlws.FILTER(SP2D[Pagu],SP2D[Jenis Belanja]="Belanja Barang Operasional",0))</f>
        <v>2095658000</v>
      </c>
      <c r="G34" s="208" cm="1">
        <f t="array" ref="G34">SUM(_xlfn._xlws.FILTER(SP2D[Realisasi],SP2D[Jenis Belanja]="Belanja Barang Operasional",0))</f>
        <v>663321641</v>
      </c>
      <c r="H34" s="209">
        <f t="shared" si="16"/>
        <v>31.652189479390241</v>
      </c>
      <c r="I34" s="210">
        <f t="shared" si="17"/>
        <v>1432336359</v>
      </c>
      <c r="J34" s="209">
        <f t="shared" si="18"/>
        <v>68.347810520609755</v>
      </c>
      <c r="K34" s="438"/>
    </row>
    <row r="35" spans="1:12" x14ac:dyDescent="0.25">
      <c r="A35" s="211"/>
      <c r="B35" s="207" t="s">
        <v>5583</v>
      </c>
      <c r="C35" s="208" cm="1">
        <f t="array" ref="C35">SUM(_xlfn._xlws.FILTER(SP2D[Pagu Semula],SP2D[Jenis Belanja]="Belanja Barang Non Operasional",0))</f>
        <v>14011572000</v>
      </c>
      <c r="D35" s="208" cm="1">
        <f t="array" ref="D35">SUM(_xlfn._xlws.FILTER(SP2D[Blokir AA ke 1],SP2D[Jenis Belanja]="Belanja Barang Non Operasional",0))</f>
        <v>0</v>
      </c>
      <c r="E35" s="208" cm="1">
        <f t="array" ref="E35">SUM(_xlfn._xlws.FILTER(SP2D[Blokir AA ke 2],SP2D[Jenis Belanja]="Belanja Barang Non Operasional",0))</f>
        <v>5385626000</v>
      </c>
      <c r="F35" s="208" cm="1">
        <f t="array" ref="F35">SUM(_xlfn._xlws.FILTER(SP2D[Pagu],SP2D[Jenis Belanja]="Belanja Barang Non Operasional",0))</f>
        <v>8625946000</v>
      </c>
      <c r="G35" s="208">
        <f>G11+G14+G15+G16+G18+G19+G21+G22+G8</f>
        <v>4749801291</v>
      </c>
      <c r="H35" s="209">
        <f t="shared" si="16"/>
        <v>55.064120399084345</v>
      </c>
      <c r="I35" s="210">
        <f t="shared" si="17"/>
        <v>3876144709</v>
      </c>
      <c r="J35" s="209">
        <f t="shared" si="18"/>
        <v>44.935879600915655</v>
      </c>
      <c r="K35" s="438"/>
    </row>
    <row r="36" spans="1:12" x14ac:dyDescent="0.25">
      <c r="A36" s="202">
        <v>2</v>
      </c>
      <c r="B36" s="203" t="s">
        <v>3992</v>
      </c>
      <c r="C36" s="204">
        <f>C10</f>
        <v>655934000</v>
      </c>
      <c r="D36" s="204">
        <f>D10</f>
        <v>0</v>
      </c>
      <c r="E36" s="204">
        <f>E10</f>
        <v>1734000</v>
      </c>
      <c r="F36" s="204">
        <f>F10</f>
        <v>654200000</v>
      </c>
      <c r="G36" s="204" cm="1">
        <f t="array" ref="G36">SUM(_xlfn._xlws.FILTER(SP2D[Realisasi],SP2D[Jenis Belanja]="Belanja Modal",0))</f>
        <v>654200000</v>
      </c>
      <c r="H36" s="205">
        <f t="shared" si="16"/>
        <v>100</v>
      </c>
      <c r="I36" s="206">
        <f t="shared" si="17"/>
        <v>0</v>
      </c>
      <c r="J36" s="205">
        <f t="shared" si="18"/>
        <v>0</v>
      </c>
      <c r="K36" s="438"/>
    </row>
    <row r="37" spans="1:12" x14ac:dyDescent="0.25">
      <c r="A37" s="202"/>
      <c r="B37" s="203"/>
      <c r="C37" s="204"/>
      <c r="D37" s="204"/>
      <c r="E37" s="204"/>
      <c r="F37" s="204"/>
      <c r="G37" s="204"/>
      <c r="H37" s="205"/>
      <c r="I37" s="206"/>
      <c r="J37" s="205"/>
      <c r="K37" s="438"/>
    </row>
    <row r="38" spans="1:12" x14ac:dyDescent="0.25">
      <c r="A38" s="473" t="s">
        <v>611</v>
      </c>
      <c r="B38" s="474"/>
      <c r="C38" s="213">
        <f>SUM(C32,C33,C36)</f>
        <v>23342160000</v>
      </c>
      <c r="D38" s="213">
        <f t="shared" ref="D38:G38" si="19">SUM(D32,D33,D36)</f>
        <v>423949000</v>
      </c>
      <c r="E38" s="213">
        <f t="shared" si="19"/>
        <v>5387360000</v>
      </c>
      <c r="F38" s="213">
        <f t="shared" si="19"/>
        <v>17530851000</v>
      </c>
      <c r="G38" s="213">
        <f t="shared" si="19"/>
        <v>9007086889</v>
      </c>
      <c r="H38" s="214">
        <f t="shared" si="16"/>
        <v>51.378492059512681</v>
      </c>
      <c r="I38" s="213">
        <f t="shared" si="17"/>
        <v>8523764111</v>
      </c>
      <c r="J38" s="214">
        <f t="shared" si="18"/>
        <v>48.621507940487319</v>
      </c>
      <c r="K38" s="438"/>
    </row>
    <row r="39" spans="1:12" x14ac:dyDescent="0.25">
      <c r="A39" s="473" t="s">
        <v>3993</v>
      </c>
      <c r="B39" s="474"/>
      <c r="C39" s="213"/>
      <c r="D39" s="213"/>
      <c r="E39" s="213"/>
      <c r="F39" s="213"/>
      <c r="G39" s="213"/>
      <c r="H39" s="214"/>
      <c r="I39" s="213"/>
      <c r="J39" s="214"/>
      <c r="K39" s="438"/>
    </row>
    <row r="40" spans="1:12" x14ac:dyDescent="0.25">
      <c r="A40" s="473" t="s">
        <v>3994</v>
      </c>
      <c r="B40" s="474"/>
      <c r="C40" s="213">
        <f>C38</f>
        <v>23342160000</v>
      </c>
      <c r="D40" s="482">
        <f>SUM(D38:E38)</f>
        <v>5811309000</v>
      </c>
      <c r="E40" s="483"/>
      <c r="F40" s="213">
        <f>F38</f>
        <v>17530851000</v>
      </c>
      <c r="G40" s="213">
        <f>G38-G39</f>
        <v>9007086889</v>
      </c>
      <c r="H40" s="214">
        <f t="shared" si="16"/>
        <v>51.378492059512681</v>
      </c>
      <c r="I40" s="213">
        <f t="shared" si="17"/>
        <v>8523764111</v>
      </c>
      <c r="J40" s="214">
        <f t="shared" si="18"/>
        <v>48.621507940487319</v>
      </c>
      <c r="K40" s="438"/>
    </row>
    <row r="41" spans="1:12" s="388" customFormat="1" x14ac:dyDescent="0.25">
      <c r="A41" s="423"/>
      <c r="B41" s="423"/>
      <c r="C41" s="424"/>
      <c r="D41" s="425"/>
      <c r="E41" s="425"/>
      <c r="F41" s="424"/>
      <c r="G41" s="424"/>
      <c r="H41" s="426"/>
      <c r="I41" s="424"/>
      <c r="J41" s="426"/>
      <c r="K41" s="438"/>
      <c r="L41" s="374"/>
    </row>
    <row r="42" spans="1:12" s="388" customFormat="1" x14ac:dyDescent="0.25">
      <c r="A42" s="423"/>
      <c r="B42" s="423"/>
      <c r="C42" s="424"/>
      <c r="D42" s="425"/>
      <c r="E42" s="425"/>
      <c r="F42" s="424"/>
      <c r="G42" s="424"/>
      <c r="H42" s="426"/>
      <c r="I42" s="424"/>
      <c r="J42" s="426"/>
      <c r="L42" s="374"/>
    </row>
    <row r="44" spans="1:12" ht="15.75" x14ac:dyDescent="0.25">
      <c r="A44" s="436" t="s">
        <v>4000</v>
      </c>
    </row>
    <row r="45" spans="1:12" x14ac:dyDescent="0.25">
      <c r="A45" s="464" t="s">
        <v>592</v>
      </c>
      <c r="B45" s="464" t="s">
        <v>500</v>
      </c>
      <c r="C45" s="464" t="s">
        <v>5581</v>
      </c>
      <c r="D45" s="464" t="s">
        <v>5578</v>
      </c>
      <c r="E45" s="464" t="s">
        <v>5580</v>
      </c>
      <c r="F45" s="464" t="s">
        <v>5582</v>
      </c>
      <c r="G45" s="465" t="str">
        <f>IF($L$8=TRUE,"Realisasi vs Pagu+Blokir","Realisasi vs Pagu-Blokir")</f>
        <v>Realisasi vs Pagu-Blokir</v>
      </c>
      <c r="H45" s="465"/>
      <c r="I45" s="465" t="str">
        <f>IF($L$8=TRUE,"Sisa vs Pagu+Blokir","Sisa vs Pagu-Blokir")</f>
        <v>Sisa vs Pagu-Blokir</v>
      </c>
      <c r="J45" s="465"/>
    </row>
    <row r="46" spans="1:12" x14ac:dyDescent="0.25">
      <c r="A46" s="464"/>
      <c r="B46" s="464"/>
      <c r="C46" s="464"/>
      <c r="D46" s="464"/>
      <c r="E46" s="464"/>
      <c r="F46" s="464"/>
      <c r="G46" s="421" t="s">
        <v>5590</v>
      </c>
      <c r="H46" s="421" t="s">
        <v>3846</v>
      </c>
      <c r="I46" s="421" t="s">
        <v>5590</v>
      </c>
      <c r="J46" s="421" t="s">
        <v>3846</v>
      </c>
    </row>
    <row r="47" spans="1:12" x14ac:dyDescent="0.25">
      <c r="A47" s="466" t="s">
        <v>576</v>
      </c>
      <c r="B47" s="164" t="s">
        <v>560</v>
      </c>
      <c r="C47" s="169" cm="1">
        <f t="array" ref="C47">SUM(_xlfn._xlws.FILTER(SP2D[Pagu Semula],(SP2D[Subkoordinator]=B47)*(SP2D[Status Covid]="COVID"),0))</f>
        <v>297880000</v>
      </c>
      <c r="D47" s="169" cm="1">
        <f t="array" ref="D47">SUM(_xlfn._xlws.FILTER(SP2D[Blokir AA ke 1],(SP2D[Subkoordinator]=B47)*(SP2D[Status Covid]="COVID"),0))</f>
        <v>0</v>
      </c>
      <c r="E47" s="169" cm="1">
        <f t="array" ref="E47">SUM(_xlfn._xlws.FILTER(SP2D[Blokir AA ke 2],(SP2D[Subkoordinator]=B47)*(SP2D[Status Covid]="COVID"),0))</f>
        <v>209069000</v>
      </c>
      <c r="F47" s="169" cm="1">
        <f t="array" ref="F47">SUM(_xlfn._xlws.FILTER(SP2D[Pagu],(SP2D[Subkoordinator]=B47)*(SP2D[Status Covid]="COVID"),0))</f>
        <v>88811000</v>
      </c>
      <c r="G47" s="169" cm="1">
        <f t="array" ref="G47">SUM(_xlfn._xlws.FILTER(SP2D[Realisasi],(SP2D[Subkoordinator]=B47)*(SP2D[Status Covid]="COVID"),0))</f>
        <v>73441280</v>
      </c>
      <c r="H47" s="430">
        <f t="shared" ref="H47:H60" si="20">IFERROR(IF($L$8=TRUE,G47/C47*100,G47/F47*100),0)</f>
        <v>82.693900530339718</v>
      </c>
      <c r="I47" s="169">
        <f t="shared" ref="I47:I60" si="21">IF($L$8=TRUE,C47-G47,F47-G47)</f>
        <v>15369720</v>
      </c>
      <c r="J47" s="427">
        <f t="shared" ref="J47:J60" si="22">IFERROR(IF($L$8=TRUE,I47/C47*100,I47/F47*100),0)</f>
        <v>17.306099469660293</v>
      </c>
    </row>
    <row r="48" spans="1:12" x14ac:dyDescent="0.25">
      <c r="A48" s="466"/>
      <c r="B48" s="164" t="s">
        <v>546</v>
      </c>
      <c r="C48" s="169" cm="1">
        <f t="array" ref="C48">SUM(_xlfn._xlws.FILTER(SP2D[Pagu Semula],(SP2D[Subkoordinator]=B48)*(SP2D[Status Covid]="COVID"),0))</f>
        <v>0</v>
      </c>
      <c r="D48" s="169" cm="1">
        <f t="array" ref="D48">SUM(_xlfn._xlws.FILTER(SP2D[Blokir AA ke 1],(SP2D[Subkoordinator]=B48)*(SP2D[Status Covid]="COVID"),0))</f>
        <v>0</v>
      </c>
      <c r="E48" s="169" cm="1">
        <f t="array" ref="E48">SUM(_xlfn._xlws.FILTER(SP2D[Blokir AA ke 2],(SP2D[Subkoordinator]=B48)*(SP2D[Status Covid]="COVID"),0))</f>
        <v>0</v>
      </c>
      <c r="F48" s="169" cm="1">
        <f t="array" ref="F48">SUM(_xlfn._xlws.FILTER(SP2D[Pagu],(SP2D[Subkoordinator]=B48)*(SP2D[Status Covid]="COVID"),0))</f>
        <v>0</v>
      </c>
      <c r="G48" s="169" cm="1">
        <f t="array" ref="G48">SUM(_xlfn._xlws.FILTER(SP2D[Realisasi],(SP2D[Subkoordinator]=B48)*(SP2D[Status Covid]="COVID"),0))</f>
        <v>0</v>
      </c>
      <c r="H48" s="223">
        <f t="shared" si="20"/>
        <v>0</v>
      </c>
      <c r="I48" s="169">
        <f t="shared" si="21"/>
        <v>0</v>
      </c>
      <c r="J48" s="266">
        <f t="shared" si="22"/>
        <v>0</v>
      </c>
    </row>
    <row r="49" spans="1:10" x14ac:dyDescent="0.25">
      <c r="A49" s="466"/>
      <c r="B49" s="296" t="s">
        <v>5586</v>
      </c>
      <c r="C49" s="194">
        <f>SUM(C47:C48)</f>
        <v>297880000</v>
      </c>
      <c r="D49" s="194">
        <f t="shared" ref="D49:G49" si="23">SUM(D47:D48)</f>
        <v>0</v>
      </c>
      <c r="E49" s="194">
        <f t="shared" si="23"/>
        <v>209069000</v>
      </c>
      <c r="F49" s="194">
        <f t="shared" si="23"/>
        <v>88811000</v>
      </c>
      <c r="G49" s="194">
        <f t="shared" si="23"/>
        <v>73441280</v>
      </c>
      <c r="H49" s="431">
        <f t="shared" si="20"/>
        <v>82.693900530339718</v>
      </c>
      <c r="I49" s="194">
        <f t="shared" si="21"/>
        <v>15369720</v>
      </c>
      <c r="J49" s="428">
        <f t="shared" si="22"/>
        <v>17.306099469660293</v>
      </c>
    </row>
    <row r="50" spans="1:10" x14ac:dyDescent="0.25">
      <c r="A50" s="466" t="s">
        <v>542</v>
      </c>
      <c r="B50" s="164" t="s">
        <v>543</v>
      </c>
      <c r="C50" s="169" cm="1">
        <f t="array" ref="C50">SUM(_xlfn._xlws.FILTER(SP2D[Pagu Semula],(SP2D[Subkoordinator]=B50)*(SP2D[Status Covid]="COVID"),0))</f>
        <v>30000000</v>
      </c>
      <c r="D50" s="169" cm="1">
        <f t="array" ref="D50">SUM(_xlfn._xlws.FILTER(SP2D[Blokir AA ke 1],(SP2D[Subkoordinator]=B50)*(SP2D[Status Covid]="COVID"),0))</f>
        <v>0</v>
      </c>
      <c r="E50" s="169" cm="1">
        <f t="array" ref="E50">SUM(_xlfn._xlws.FILTER(SP2D[Blokir AA ke 2],(SP2D[Subkoordinator]=B50)*(SP2D[Status Covid]="COVID"),0))</f>
        <v>30000000</v>
      </c>
      <c r="F50" s="169" cm="1">
        <f t="array" ref="F50">SUM(_xlfn._xlws.FILTER(SP2D[Pagu],(SP2D[Subkoordinator]=B50)*(SP2D[Status Covid]="COVID"),0))</f>
        <v>0</v>
      </c>
      <c r="G50" s="169" cm="1">
        <f t="array" ref="G50">SUM(_xlfn._xlws.FILTER(SP2D[Realisasi],(SP2D[Subkoordinator]=B50)*(SP2D[Status Covid]="COVID"),0))</f>
        <v>0</v>
      </c>
      <c r="H50" s="223">
        <f t="shared" si="20"/>
        <v>0</v>
      </c>
      <c r="I50" s="169">
        <f t="shared" si="21"/>
        <v>0</v>
      </c>
      <c r="J50" s="427">
        <f t="shared" si="22"/>
        <v>0</v>
      </c>
    </row>
    <row r="51" spans="1:10" x14ac:dyDescent="0.25">
      <c r="A51" s="466"/>
      <c r="B51" s="164" t="s">
        <v>591</v>
      </c>
      <c r="C51" s="169" cm="1">
        <f t="array" ref="C51">SUM(_xlfn._xlws.FILTER(SP2D[Pagu Semula],(SP2D[Subkoordinator]=B51)*(SP2D[Status Covid]="COVID"),0))</f>
        <v>0</v>
      </c>
      <c r="D51" s="169" cm="1">
        <f t="array" ref="D51">SUM(_xlfn._xlws.FILTER(SP2D[Blokir AA ke 1],(SP2D[Subkoordinator]=B51)*(SP2D[Status Covid]="COVID"),0))</f>
        <v>0</v>
      </c>
      <c r="E51" s="169" cm="1">
        <f t="array" ref="E51">SUM(_xlfn._xlws.FILTER(SP2D[Blokir AA ke 2],(SP2D[Subkoordinator]=B51)*(SP2D[Status Covid]="COVID"),0))</f>
        <v>0</v>
      </c>
      <c r="F51" s="169" cm="1">
        <f t="array" ref="F51">SUM(_xlfn._xlws.FILTER(SP2D[Pagu],(SP2D[Subkoordinator]=B51)*(SP2D[Status Covid]="COVID"),0))</f>
        <v>0</v>
      </c>
      <c r="G51" s="169" cm="1">
        <f t="array" ref="G51">SUM(_xlfn._xlws.FILTER(SP2D[Realisasi],(SP2D[Subkoordinator]=B51)*(SP2D[Status Covid]="COVID"),0))</f>
        <v>0</v>
      </c>
      <c r="H51" s="223">
        <f t="shared" si="20"/>
        <v>0</v>
      </c>
      <c r="I51" s="169">
        <f t="shared" si="21"/>
        <v>0</v>
      </c>
      <c r="J51" s="266">
        <f t="shared" si="22"/>
        <v>0</v>
      </c>
    </row>
    <row r="52" spans="1:10" x14ac:dyDescent="0.25">
      <c r="A52" s="466"/>
      <c r="B52" s="296" t="s">
        <v>5587</v>
      </c>
      <c r="C52" s="194">
        <f t="shared" ref="C52:G52" si="24">SUM(C50:C51)</f>
        <v>30000000</v>
      </c>
      <c r="D52" s="194">
        <f t="shared" si="24"/>
        <v>0</v>
      </c>
      <c r="E52" s="194">
        <f t="shared" si="24"/>
        <v>30000000</v>
      </c>
      <c r="F52" s="194">
        <f t="shared" si="24"/>
        <v>0</v>
      </c>
      <c r="G52" s="194">
        <f t="shared" si="24"/>
        <v>0</v>
      </c>
      <c r="H52" s="225">
        <f t="shared" si="20"/>
        <v>0</v>
      </c>
      <c r="I52" s="194">
        <f t="shared" si="21"/>
        <v>0</v>
      </c>
      <c r="J52" s="434">
        <f t="shared" si="22"/>
        <v>0</v>
      </c>
    </row>
    <row r="53" spans="1:10" x14ac:dyDescent="0.25">
      <c r="A53" s="466" t="s">
        <v>531</v>
      </c>
      <c r="B53" s="164" t="s">
        <v>532</v>
      </c>
      <c r="C53" s="169" cm="1">
        <f t="array" ref="C53">SUM(_xlfn._xlws.FILTER(SP2D[Pagu Semula],(SP2D[Subkoordinator]=B53)*(SP2D[Status Covid]="COVID"),0))</f>
        <v>0</v>
      </c>
      <c r="D53" s="169" cm="1">
        <f t="array" ref="D53">SUM(_xlfn._xlws.FILTER(SP2D[Blokir AA ke 1],(SP2D[Subkoordinator]=B53)*(SP2D[Status Covid]="COVID"),0))</f>
        <v>0</v>
      </c>
      <c r="E53" s="169" cm="1">
        <f t="array" ref="E53">SUM(_xlfn._xlws.FILTER(SP2D[Blokir AA ke 2],(SP2D[Subkoordinator]=B53)*(SP2D[Status Covid]="COVID"),0))</f>
        <v>0</v>
      </c>
      <c r="F53" s="169" cm="1">
        <f t="array" ref="F53">SUM(_xlfn._xlws.FILTER(SP2D[Pagu],(SP2D[Subkoordinator]=B53)*(SP2D[Status Covid]="COVID"),0))</f>
        <v>0</v>
      </c>
      <c r="G53" s="169" cm="1">
        <f t="array" ref="G53">SUM(_xlfn._xlws.FILTER(SP2D[Realisasi],(SP2D[Subkoordinator]=B53)*(SP2D[Status Covid]="COVID"),0))</f>
        <v>0</v>
      </c>
      <c r="H53" s="223">
        <f t="shared" si="20"/>
        <v>0</v>
      </c>
      <c r="I53" s="169">
        <f t="shared" si="21"/>
        <v>0</v>
      </c>
      <c r="J53" s="266">
        <f t="shared" si="22"/>
        <v>0</v>
      </c>
    </row>
    <row r="54" spans="1:10" x14ac:dyDescent="0.25">
      <c r="A54" s="466"/>
      <c r="B54" s="164" t="s">
        <v>534</v>
      </c>
      <c r="C54" s="169" cm="1">
        <f t="array" ref="C54">SUM(_xlfn._xlws.FILTER(SP2D[Pagu Semula],(SP2D[Subkoordinator]=B54)*(SP2D[Status Covid]="COVID"),0))</f>
        <v>0</v>
      </c>
      <c r="D54" s="169" cm="1">
        <f t="array" ref="D54">SUM(_xlfn._xlws.FILTER(SP2D[Blokir AA ke 1],(SP2D[Subkoordinator]=B54)*(SP2D[Status Covid]="COVID"),0))</f>
        <v>0</v>
      </c>
      <c r="E54" s="169" cm="1">
        <f t="array" ref="E54">SUM(_xlfn._xlws.FILTER(SP2D[Blokir AA ke 2],(SP2D[Subkoordinator]=B54)*(SP2D[Status Covid]="COVID"),0))</f>
        <v>0</v>
      </c>
      <c r="F54" s="169" cm="1">
        <f t="array" ref="F54">SUM(_xlfn._xlws.FILTER(SP2D[Pagu],(SP2D[Subkoordinator]=B54)*(SP2D[Status Covid]="COVID"),0))</f>
        <v>0</v>
      </c>
      <c r="G54" s="169" cm="1">
        <f t="array" ref="G54">SUM(_xlfn._xlws.FILTER(SP2D[Realisasi],(SP2D[Subkoordinator]=B54)*(SP2D[Status Covid]="COVID"),0))</f>
        <v>0</v>
      </c>
      <c r="H54" s="223">
        <f t="shared" si="20"/>
        <v>0</v>
      </c>
      <c r="I54" s="169">
        <f t="shared" si="21"/>
        <v>0</v>
      </c>
      <c r="J54" s="266">
        <f t="shared" si="22"/>
        <v>0</v>
      </c>
    </row>
    <row r="55" spans="1:10" x14ac:dyDescent="0.25">
      <c r="A55" s="466"/>
      <c r="B55" s="296" t="s">
        <v>5588</v>
      </c>
      <c r="C55" s="194">
        <f t="shared" ref="C55:G55" si="25">SUM(C53:C54)</f>
        <v>0</v>
      </c>
      <c r="D55" s="194">
        <f t="shared" si="25"/>
        <v>0</v>
      </c>
      <c r="E55" s="194">
        <f t="shared" si="25"/>
        <v>0</v>
      </c>
      <c r="F55" s="194">
        <f t="shared" si="25"/>
        <v>0</v>
      </c>
      <c r="G55" s="194">
        <f t="shared" si="25"/>
        <v>0</v>
      </c>
      <c r="H55" s="224">
        <f t="shared" si="20"/>
        <v>0</v>
      </c>
      <c r="I55" s="194">
        <f t="shared" si="21"/>
        <v>0</v>
      </c>
      <c r="J55" s="267">
        <f t="shared" si="22"/>
        <v>0</v>
      </c>
    </row>
    <row r="56" spans="1:10" x14ac:dyDescent="0.25">
      <c r="A56" s="466" t="s">
        <v>535</v>
      </c>
      <c r="B56" s="164" t="s">
        <v>536</v>
      </c>
      <c r="C56" s="169" cm="1">
        <f t="array" ref="C56">SUM(_xlfn._xlws.FILTER(SP2D[Pagu Semula],(SP2D[Subkoordinator]=B56)*(SP2D[Status Covid]="COVID"),0))</f>
        <v>8000000</v>
      </c>
      <c r="D56" s="169" cm="1">
        <f t="array" ref="D56">SUM(_xlfn._xlws.FILTER(SP2D[Blokir AA ke 1],(SP2D[Subkoordinator]=B56)*(SP2D[Status Covid]="COVID"),0))</f>
        <v>0</v>
      </c>
      <c r="E56" s="169" cm="1">
        <f t="array" ref="E56">SUM(_xlfn._xlws.FILTER(SP2D[Blokir AA ke 2],(SP2D[Subkoordinator]=B56)*(SP2D[Status Covid]="COVID"),0))</f>
        <v>0</v>
      </c>
      <c r="F56" s="169" cm="1">
        <f t="array" ref="F56">SUM(_xlfn._xlws.FILTER(SP2D[Pagu],(SP2D[Subkoordinator]=B56)*(SP2D[Status Covid]="COVID"),0))</f>
        <v>8000000</v>
      </c>
      <c r="G56" s="169" cm="1">
        <f t="array" ref="G56">SUM(_xlfn._xlws.FILTER(SP2D[Realisasi],(SP2D[Subkoordinator]=B56)*(SP2D[Status Covid]="COVID"),0))</f>
        <v>365000</v>
      </c>
      <c r="H56" s="430">
        <f t="shared" si="20"/>
        <v>4.5625</v>
      </c>
      <c r="I56" s="169">
        <f t="shared" si="21"/>
        <v>7635000</v>
      </c>
      <c r="J56" s="427">
        <f t="shared" si="22"/>
        <v>95.4375</v>
      </c>
    </row>
    <row r="57" spans="1:10" x14ac:dyDescent="0.25">
      <c r="A57" s="466"/>
      <c r="B57" s="164" t="s">
        <v>538</v>
      </c>
      <c r="C57" s="169" cm="1">
        <f t="array" ref="C57">SUM(_xlfn._xlws.FILTER(SP2D[Pagu Semula],(SP2D[Subkoordinator]=B57)*(SP2D[Status Covid]="COVID"),0))</f>
        <v>13000000</v>
      </c>
      <c r="D57" s="169" cm="1">
        <f t="array" ref="D57">SUM(_xlfn._xlws.FILTER(SP2D[Blokir AA ke 1],(SP2D[Subkoordinator]=B57)*(SP2D[Status Covid]="COVID"),0))</f>
        <v>0</v>
      </c>
      <c r="E57" s="169" cm="1">
        <f t="array" ref="E57">SUM(_xlfn._xlws.FILTER(SP2D[Blokir AA ke 2],(SP2D[Subkoordinator]=B57)*(SP2D[Status Covid]="COVID"),0))</f>
        <v>8000000</v>
      </c>
      <c r="F57" s="169" cm="1">
        <f t="array" ref="F57">SUM(_xlfn._xlws.FILTER(SP2D[Pagu],(SP2D[Subkoordinator]=B57)*(SP2D[Status Covid]="COVID"),0))</f>
        <v>5000000</v>
      </c>
      <c r="G57" s="169" cm="1">
        <f t="array" ref="G57">SUM(_xlfn._xlws.FILTER(SP2D[Realisasi],(SP2D[Subkoordinator]=B57)*(SP2D[Status Covid]="COVID"),0))</f>
        <v>0</v>
      </c>
      <c r="H57" s="223">
        <f t="shared" si="20"/>
        <v>0</v>
      </c>
      <c r="I57" s="169">
        <f t="shared" si="21"/>
        <v>5000000</v>
      </c>
      <c r="J57" s="427">
        <f t="shared" si="22"/>
        <v>100</v>
      </c>
    </row>
    <row r="58" spans="1:10" x14ac:dyDescent="0.25">
      <c r="A58" s="466"/>
      <c r="B58" s="296" t="s">
        <v>5589</v>
      </c>
      <c r="C58" s="194">
        <f t="shared" ref="C58:G58" si="26">SUM(C56:C57)</f>
        <v>21000000</v>
      </c>
      <c r="D58" s="194">
        <f t="shared" si="26"/>
        <v>0</v>
      </c>
      <c r="E58" s="194">
        <f t="shared" si="26"/>
        <v>8000000</v>
      </c>
      <c r="F58" s="194">
        <f t="shared" si="26"/>
        <v>13000000</v>
      </c>
      <c r="G58" s="194">
        <f t="shared" si="26"/>
        <v>365000</v>
      </c>
      <c r="H58" s="432">
        <f t="shared" si="20"/>
        <v>2.8076923076923075</v>
      </c>
      <c r="I58" s="194">
        <f t="shared" si="21"/>
        <v>12635000</v>
      </c>
      <c r="J58" s="428">
        <f t="shared" si="22"/>
        <v>97.192307692307693</v>
      </c>
    </row>
    <row r="59" spans="1:10" x14ac:dyDescent="0.25">
      <c r="A59" s="462" t="s">
        <v>3852</v>
      </c>
      <c r="B59" s="462"/>
      <c r="C59" s="176">
        <f>C49+C52+C55+C58</f>
        <v>348880000</v>
      </c>
      <c r="D59" s="176">
        <f t="shared" ref="D59:E59" si="27">D49+D52+D55+D58</f>
        <v>0</v>
      </c>
      <c r="E59" s="176">
        <f t="shared" si="27"/>
        <v>247069000</v>
      </c>
      <c r="F59" s="176">
        <f>F49+F52+F55+F58</f>
        <v>101811000</v>
      </c>
      <c r="G59" s="176">
        <f>G49+G52+G55+G58</f>
        <v>73806280</v>
      </c>
      <c r="H59" s="433">
        <f t="shared" si="20"/>
        <v>72.493424089734901</v>
      </c>
      <c r="I59" s="176">
        <f t="shared" si="21"/>
        <v>28004720</v>
      </c>
      <c r="J59" s="429">
        <f t="shared" si="22"/>
        <v>27.506575910265095</v>
      </c>
    </row>
    <row r="60" spans="1:10" x14ac:dyDescent="0.25">
      <c r="A60" s="462" t="s">
        <v>5584</v>
      </c>
      <c r="B60" s="462"/>
      <c r="C60" s="419">
        <f>C59</f>
        <v>348880000</v>
      </c>
      <c r="D60" s="463">
        <f>SUM(D59:E59)</f>
        <v>247069000</v>
      </c>
      <c r="E60" s="463"/>
      <c r="F60" s="419">
        <f>F59</f>
        <v>101811000</v>
      </c>
      <c r="G60" s="176">
        <f>G59</f>
        <v>73806280</v>
      </c>
      <c r="H60" s="433">
        <f t="shared" si="20"/>
        <v>72.493424089734901</v>
      </c>
      <c r="I60" s="176">
        <f t="shared" si="21"/>
        <v>28004720</v>
      </c>
      <c r="J60" s="429">
        <f t="shared" si="22"/>
        <v>27.506575910265095</v>
      </c>
    </row>
  </sheetData>
  <mergeCells count="45">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 ref="A40:B40"/>
    <mergeCell ref="D40:E40"/>
    <mergeCell ref="A25:B25"/>
    <mergeCell ref="D25:E25"/>
    <mergeCell ref="A30:A31"/>
    <mergeCell ref="B30:B31"/>
    <mergeCell ref="C30:C31"/>
    <mergeCell ref="D30:D31"/>
    <mergeCell ref="E30:E31"/>
    <mergeCell ref="F30:F31"/>
    <mergeCell ref="G30:H30"/>
    <mergeCell ref="I30:J30"/>
    <mergeCell ref="A38:B38"/>
    <mergeCell ref="A39:B39"/>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B1:P3"/>
  <sheetViews>
    <sheetView showGridLines="0" view="pageBreakPreview" zoomScale="80" zoomScaleNormal="100" zoomScaleSheetLayoutView="80" workbookViewId="0">
      <selection activeCell="Z53" sqref="Z53"/>
    </sheetView>
  </sheetViews>
  <sheetFormatPr defaultRowHeight="15" x14ac:dyDescent="0.25"/>
  <cols>
    <col min="16" max="16" width="7" customWidth="1"/>
    <col min="17" max="17" width="5.5703125" customWidth="1"/>
    <col min="21" max="21" width="4.7109375" customWidth="1"/>
  </cols>
  <sheetData>
    <row r="1" spans="2:16" x14ac:dyDescent="0.25">
      <c r="B1" s="484" t="str">
        <f>'PERSUBBID - Gaji'!A1</f>
        <v>REALISASI TANPA GAJI (BERDASARKAN PAGU SETELAH BLOKIR)</v>
      </c>
      <c r="C1" s="484"/>
      <c r="D1" s="484"/>
      <c r="E1" s="484"/>
      <c r="F1" s="484"/>
      <c r="G1" s="484"/>
      <c r="H1" s="484"/>
      <c r="I1" s="484"/>
      <c r="J1" s="484"/>
      <c r="K1" s="484"/>
      <c r="L1" s="484"/>
      <c r="M1" s="484"/>
      <c r="N1" s="484"/>
      <c r="O1" s="484"/>
      <c r="P1" s="484"/>
    </row>
    <row r="2" spans="2:16" ht="15.75" x14ac:dyDescent="0.25">
      <c r="B2" s="467" t="str">
        <f>'PERSUBBID - Gaji'!A2</f>
        <v>Berdasarkan DIPA Revisi 2, POK 2 TA. 2022 (Tanggal 9 Juni 2022)</v>
      </c>
      <c r="C2" s="467"/>
      <c r="D2" s="467"/>
      <c r="E2" s="467"/>
      <c r="F2" s="467"/>
      <c r="G2" s="467"/>
      <c r="H2" s="467"/>
      <c r="I2" s="467"/>
      <c r="J2" s="467"/>
      <c r="K2" s="467"/>
      <c r="L2" s="467"/>
      <c r="M2" s="467"/>
      <c r="N2" s="467"/>
      <c r="O2" s="467"/>
      <c r="P2" s="467"/>
    </row>
    <row r="3" spans="2:16" ht="15.75" x14ac:dyDescent="0.25">
      <c r="B3" s="467" t="str">
        <f>'PERSUBBID - Gaji'!A3</f>
        <v>SAMPAI DENGAN 15 JUNI 2022</v>
      </c>
      <c r="C3" s="467"/>
      <c r="D3" s="467"/>
      <c r="E3" s="467"/>
      <c r="F3" s="467"/>
      <c r="G3" s="467"/>
      <c r="H3" s="467"/>
      <c r="I3" s="467"/>
      <c r="J3" s="467"/>
      <c r="K3" s="467"/>
      <c r="L3" s="467"/>
      <c r="M3" s="467"/>
      <c r="N3" s="467"/>
      <c r="O3" s="467"/>
      <c r="P3" s="467"/>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50" fitToHeight="0" orientation="portrait" horizontalDpi="0" verticalDpi="0" r:id="rId1"/>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5DE5C-FDCF-427E-97DF-51210F9C3F9C}">
  <sheetPr codeName="Sheet19"/>
  <dimension ref="A1:Q276"/>
  <sheetViews>
    <sheetView topLeftCell="B1" workbookViewId="0">
      <selection activeCell="F31" sqref="F31"/>
    </sheetView>
  </sheetViews>
  <sheetFormatPr defaultRowHeight="15" x14ac:dyDescent="0.25"/>
  <cols>
    <col min="1" max="1" width="14.42578125" bestFit="1" customWidth="1"/>
    <col min="2" max="2" width="12.85546875" bestFit="1" customWidth="1"/>
    <col min="3" max="3" width="14.85546875" bestFit="1" customWidth="1"/>
    <col min="4" max="4" width="15.85546875" bestFit="1" customWidth="1"/>
    <col min="5" max="5" width="14.28515625" bestFit="1" customWidth="1"/>
    <col min="6" max="6" width="80.85546875" bestFit="1" customWidth="1"/>
    <col min="7" max="7" width="16.85546875" bestFit="1" customWidth="1"/>
    <col min="8" max="8" width="17.7109375" bestFit="1" customWidth="1"/>
    <col min="9" max="9" width="16.42578125" bestFit="1" customWidth="1"/>
    <col min="10" max="10" width="16.28515625" bestFit="1" customWidth="1"/>
    <col min="11" max="11" width="17" bestFit="1" customWidth="1"/>
    <col min="12" max="12" width="11" bestFit="1" customWidth="1"/>
    <col min="13" max="13" width="16" bestFit="1" customWidth="1"/>
    <col min="14" max="14" width="79.28515625" bestFit="1" customWidth="1"/>
    <col min="15" max="15" width="22.7109375" bestFit="1" customWidth="1"/>
    <col min="16" max="16" width="29.28515625" bestFit="1" customWidth="1"/>
    <col min="17" max="17" width="14.5703125" bestFit="1" customWidth="1"/>
  </cols>
  <sheetData>
    <row r="1" spans="1:17" x14ac:dyDescent="0.25">
      <c r="A1" t="s">
        <v>4608</v>
      </c>
      <c r="B1" t="s">
        <v>4609</v>
      </c>
      <c r="C1" t="s">
        <v>4610</v>
      </c>
      <c r="D1" t="s">
        <v>4611</v>
      </c>
      <c r="E1" t="s">
        <v>4612</v>
      </c>
      <c r="F1" t="s">
        <v>4613</v>
      </c>
      <c r="G1" t="s">
        <v>4614</v>
      </c>
      <c r="H1" t="s">
        <v>4615</v>
      </c>
      <c r="I1" t="s">
        <v>4616</v>
      </c>
      <c r="J1" t="s">
        <v>4617</v>
      </c>
      <c r="K1" t="s">
        <v>4618</v>
      </c>
      <c r="L1" t="s">
        <v>3850</v>
      </c>
      <c r="M1" t="s">
        <v>4619</v>
      </c>
      <c r="N1" t="s">
        <v>4620</v>
      </c>
      <c r="O1" t="s">
        <v>4621</v>
      </c>
      <c r="P1" t="s">
        <v>499</v>
      </c>
      <c r="Q1" t="s">
        <v>4622</v>
      </c>
    </row>
    <row r="2" spans="1:17" x14ac:dyDescent="0.25">
      <c r="A2" t="s">
        <v>495</v>
      </c>
      <c r="B2" t="s">
        <v>3476</v>
      </c>
      <c r="C2" t="s">
        <v>833</v>
      </c>
      <c r="D2" t="s">
        <v>4623</v>
      </c>
      <c r="E2" t="s">
        <v>537</v>
      </c>
      <c r="F2" t="s">
        <v>4624</v>
      </c>
      <c r="G2">
        <v>18000000</v>
      </c>
      <c r="H2">
        <v>1454000</v>
      </c>
      <c r="I2">
        <v>1447000</v>
      </c>
      <c r="J2">
        <v>2901000</v>
      </c>
      <c r="K2" t="s">
        <v>4625</v>
      </c>
      <c r="L2">
        <v>15099000</v>
      </c>
      <c r="M2" t="s">
        <v>4626</v>
      </c>
      <c r="N2" t="s">
        <v>4627</v>
      </c>
      <c r="O2" t="s">
        <v>3505</v>
      </c>
      <c r="P2" t="s">
        <v>3514</v>
      </c>
    </row>
    <row r="3" spans="1:17" x14ac:dyDescent="0.25">
      <c r="A3" t="s">
        <v>495</v>
      </c>
      <c r="B3" t="s">
        <v>3476</v>
      </c>
      <c r="C3" t="s">
        <v>833</v>
      </c>
      <c r="D3" t="s">
        <v>4623</v>
      </c>
      <c r="E3" t="s">
        <v>533</v>
      </c>
      <c r="F3" t="s">
        <v>4628</v>
      </c>
      <c r="G3">
        <v>3800445000</v>
      </c>
      <c r="H3">
        <v>3643075356</v>
      </c>
      <c r="I3">
        <v>154545850</v>
      </c>
      <c r="J3">
        <v>3797621206</v>
      </c>
      <c r="K3" t="s">
        <v>4629</v>
      </c>
      <c r="L3">
        <v>2823794</v>
      </c>
      <c r="M3" t="s">
        <v>4630</v>
      </c>
      <c r="N3" t="s">
        <v>4631</v>
      </c>
      <c r="O3" t="s">
        <v>3505</v>
      </c>
      <c r="P3" t="s">
        <v>3509</v>
      </c>
    </row>
    <row r="4" spans="1:17" x14ac:dyDescent="0.25">
      <c r="A4" t="s">
        <v>495</v>
      </c>
      <c r="B4" t="s">
        <v>3476</v>
      </c>
      <c r="C4" t="s">
        <v>833</v>
      </c>
      <c r="D4" t="s">
        <v>4623</v>
      </c>
      <c r="E4" t="s">
        <v>503</v>
      </c>
      <c r="F4" t="s">
        <v>4632</v>
      </c>
      <c r="G4">
        <v>18000000</v>
      </c>
      <c r="H4">
        <v>1475000</v>
      </c>
      <c r="I4">
        <v>1442500</v>
      </c>
      <c r="J4">
        <v>2917500</v>
      </c>
      <c r="K4" t="s">
        <v>4633</v>
      </c>
      <c r="L4">
        <v>15082500</v>
      </c>
      <c r="M4" t="s">
        <v>4634</v>
      </c>
      <c r="N4" t="s">
        <v>4635</v>
      </c>
      <c r="O4" t="s">
        <v>3505</v>
      </c>
      <c r="P4" t="s">
        <v>3506</v>
      </c>
    </row>
    <row r="5" spans="1:17" x14ac:dyDescent="0.25">
      <c r="A5" t="s">
        <v>495</v>
      </c>
      <c r="B5" t="s">
        <v>3476</v>
      </c>
      <c r="C5" t="s">
        <v>833</v>
      </c>
      <c r="D5" t="s">
        <v>4636</v>
      </c>
      <c r="E5" t="s">
        <v>513</v>
      </c>
      <c r="F5" t="s">
        <v>4637</v>
      </c>
      <c r="G5">
        <v>78000000</v>
      </c>
      <c r="H5">
        <v>5900000</v>
      </c>
      <c r="I5">
        <v>14635000</v>
      </c>
      <c r="J5">
        <v>20535000</v>
      </c>
      <c r="K5" t="s">
        <v>4638</v>
      </c>
      <c r="L5">
        <v>57465000</v>
      </c>
      <c r="M5" t="s">
        <v>4639</v>
      </c>
      <c r="N5" t="s">
        <v>4640</v>
      </c>
      <c r="O5" t="s">
        <v>3479</v>
      </c>
      <c r="P5" t="s">
        <v>3500</v>
      </c>
    </row>
    <row r="6" spans="1:17" x14ac:dyDescent="0.25">
      <c r="A6" t="s">
        <v>494</v>
      </c>
      <c r="B6" t="s">
        <v>3105</v>
      </c>
      <c r="C6" t="s">
        <v>833</v>
      </c>
      <c r="D6" t="s">
        <v>4641</v>
      </c>
      <c r="E6" t="s">
        <v>513</v>
      </c>
      <c r="F6" t="s">
        <v>4642</v>
      </c>
      <c r="G6">
        <v>76033000</v>
      </c>
      <c r="H6">
        <v>52700000</v>
      </c>
      <c r="I6">
        <v>2030000</v>
      </c>
      <c r="J6">
        <v>54730000</v>
      </c>
      <c r="K6" t="s">
        <v>4643</v>
      </c>
      <c r="L6">
        <v>21303000</v>
      </c>
      <c r="M6" t="s">
        <v>4644</v>
      </c>
      <c r="N6" t="s">
        <v>4645</v>
      </c>
      <c r="O6" t="s">
        <v>3377</v>
      </c>
      <c r="P6" t="s">
        <v>3384</v>
      </c>
    </row>
    <row r="7" spans="1:17" x14ac:dyDescent="0.25">
      <c r="A7" t="s">
        <v>494</v>
      </c>
      <c r="B7" t="s">
        <v>2785</v>
      </c>
      <c r="C7" t="s">
        <v>833</v>
      </c>
      <c r="D7" t="s">
        <v>4623</v>
      </c>
      <c r="E7" t="s">
        <v>513</v>
      </c>
      <c r="F7" t="s">
        <v>4646</v>
      </c>
      <c r="G7">
        <v>60415000</v>
      </c>
      <c r="H7">
        <v>26021155</v>
      </c>
      <c r="I7">
        <v>34393100</v>
      </c>
      <c r="J7">
        <v>60414255</v>
      </c>
      <c r="K7" t="s">
        <v>4647</v>
      </c>
      <c r="L7">
        <v>745</v>
      </c>
      <c r="M7" t="s">
        <v>4648</v>
      </c>
      <c r="N7" t="s">
        <v>4649</v>
      </c>
      <c r="O7" t="s">
        <v>3067</v>
      </c>
      <c r="P7" t="s">
        <v>3084</v>
      </c>
    </row>
    <row r="8" spans="1:17" x14ac:dyDescent="0.25">
      <c r="A8" t="s">
        <v>494</v>
      </c>
      <c r="B8" t="s">
        <v>2785</v>
      </c>
      <c r="C8" t="s">
        <v>833</v>
      </c>
      <c r="D8" t="s">
        <v>4623</v>
      </c>
      <c r="E8" t="s">
        <v>503</v>
      </c>
      <c r="F8" t="s">
        <v>4650</v>
      </c>
      <c r="G8">
        <v>3525000</v>
      </c>
      <c r="H8">
        <v>880000</v>
      </c>
      <c r="I8">
        <v>2640000</v>
      </c>
      <c r="J8">
        <v>3520000</v>
      </c>
      <c r="K8" t="s">
        <v>4651</v>
      </c>
      <c r="L8">
        <v>5000</v>
      </c>
      <c r="M8" t="s">
        <v>4652</v>
      </c>
      <c r="N8" t="s">
        <v>4653</v>
      </c>
      <c r="O8" t="s">
        <v>3067</v>
      </c>
      <c r="P8" t="s">
        <v>3068</v>
      </c>
    </row>
    <row r="9" spans="1:17" x14ac:dyDescent="0.25">
      <c r="A9" t="s">
        <v>494</v>
      </c>
      <c r="B9" t="s">
        <v>1700</v>
      </c>
      <c r="C9" t="s">
        <v>501</v>
      </c>
      <c r="D9" t="s">
        <v>5431</v>
      </c>
      <c r="E9" t="s">
        <v>556</v>
      </c>
      <c r="F9" t="s">
        <v>5432</v>
      </c>
      <c r="G9">
        <v>2635488000</v>
      </c>
      <c r="H9">
        <v>1082579247</v>
      </c>
      <c r="I9">
        <v>242093442</v>
      </c>
      <c r="J9">
        <v>1324672689</v>
      </c>
      <c r="K9" t="s">
        <v>5433</v>
      </c>
      <c r="L9">
        <v>1310815311</v>
      </c>
      <c r="M9" t="s">
        <v>5434</v>
      </c>
      <c r="N9" t="s">
        <v>5435</v>
      </c>
      <c r="O9" t="s">
        <v>1806</v>
      </c>
      <c r="P9" t="s">
        <v>1845</v>
      </c>
    </row>
    <row r="10" spans="1:17" x14ac:dyDescent="0.25">
      <c r="A10" t="s">
        <v>494</v>
      </c>
      <c r="B10" t="s">
        <v>1700</v>
      </c>
      <c r="C10" t="s">
        <v>501</v>
      </c>
      <c r="D10" t="s">
        <v>5431</v>
      </c>
      <c r="E10" t="s">
        <v>555</v>
      </c>
      <c r="F10" t="s">
        <v>5436</v>
      </c>
      <c r="G10">
        <v>75605000</v>
      </c>
      <c r="H10">
        <v>33430000</v>
      </c>
      <c r="I10">
        <v>5355000</v>
      </c>
      <c r="J10">
        <v>38785000</v>
      </c>
      <c r="K10" t="s">
        <v>5437</v>
      </c>
      <c r="L10">
        <v>36820000</v>
      </c>
      <c r="M10" t="s">
        <v>5438</v>
      </c>
      <c r="N10" t="s">
        <v>5439</v>
      </c>
      <c r="O10" t="s">
        <v>1806</v>
      </c>
      <c r="P10" t="s">
        <v>1841</v>
      </c>
    </row>
    <row r="11" spans="1:17" x14ac:dyDescent="0.25">
      <c r="A11" t="s">
        <v>494</v>
      </c>
      <c r="B11" t="s">
        <v>1700</v>
      </c>
      <c r="C11" t="s">
        <v>501</v>
      </c>
      <c r="D11" t="s">
        <v>5431</v>
      </c>
      <c r="E11" t="s">
        <v>554</v>
      </c>
      <c r="F11" t="s">
        <v>5440</v>
      </c>
      <c r="G11">
        <v>379379000</v>
      </c>
      <c r="H11">
        <v>109729000</v>
      </c>
      <c r="I11">
        <v>16698000</v>
      </c>
      <c r="J11">
        <v>126427000</v>
      </c>
      <c r="K11" t="s">
        <v>5441</v>
      </c>
      <c r="L11">
        <v>252952000</v>
      </c>
      <c r="M11" t="s">
        <v>5442</v>
      </c>
      <c r="N11" t="s">
        <v>5443</v>
      </c>
      <c r="O11" t="s">
        <v>1806</v>
      </c>
      <c r="P11" t="s">
        <v>1839</v>
      </c>
    </row>
    <row r="12" spans="1:17" x14ac:dyDescent="0.25">
      <c r="A12" t="s">
        <v>494</v>
      </c>
      <c r="B12" t="s">
        <v>1700</v>
      </c>
      <c r="C12" t="s">
        <v>501</v>
      </c>
      <c r="D12" t="s">
        <v>5431</v>
      </c>
      <c r="E12" t="s">
        <v>553</v>
      </c>
      <c r="F12" t="s">
        <v>5444</v>
      </c>
      <c r="G12">
        <v>130333000</v>
      </c>
      <c r="H12">
        <v>62136360</v>
      </c>
      <c r="I12">
        <v>8980080</v>
      </c>
      <c r="J12">
        <v>71116440</v>
      </c>
      <c r="K12" t="s">
        <v>5445</v>
      </c>
      <c r="L12">
        <v>59216560</v>
      </c>
      <c r="M12" t="s">
        <v>5446</v>
      </c>
      <c r="N12" t="s">
        <v>5447</v>
      </c>
      <c r="O12" t="s">
        <v>1806</v>
      </c>
      <c r="P12" t="s">
        <v>1837</v>
      </c>
    </row>
    <row r="13" spans="1:17" x14ac:dyDescent="0.25">
      <c r="A13" t="s">
        <v>494</v>
      </c>
      <c r="B13" t="s">
        <v>1700</v>
      </c>
      <c r="C13" t="s">
        <v>501</v>
      </c>
      <c r="D13" t="s">
        <v>5431</v>
      </c>
      <c r="E13" t="s">
        <v>552</v>
      </c>
      <c r="F13" t="s">
        <v>5448</v>
      </c>
      <c r="G13">
        <v>6407000</v>
      </c>
      <c r="H13">
        <v>1768744</v>
      </c>
      <c r="I13">
        <v>273209</v>
      </c>
      <c r="J13">
        <v>2041953</v>
      </c>
      <c r="K13" t="s">
        <v>5449</v>
      </c>
      <c r="L13">
        <v>4365047</v>
      </c>
      <c r="M13" t="s">
        <v>5450</v>
      </c>
      <c r="N13" t="s">
        <v>5451</v>
      </c>
      <c r="O13" t="s">
        <v>1806</v>
      </c>
      <c r="P13" t="s">
        <v>1833</v>
      </c>
    </row>
    <row r="14" spans="1:17" x14ac:dyDescent="0.25">
      <c r="A14" t="s">
        <v>494</v>
      </c>
      <c r="B14" t="s">
        <v>1700</v>
      </c>
      <c r="C14" t="s">
        <v>501</v>
      </c>
      <c r="D14" t="s">
        <v>5431</v>
      </c>
      <c r="E14" t="s">
        <v>551</v>
      </c>
      <c r="F14" t="s">
        <v>5452</v>
      </c>
      <c r="G14">
        <v>44180000</v>
      </c>
      <c r="H14">
        <v>28995000</v>
      </c>
      <c r="I14">
        <v>5287000</v>
      </c>
      <c r="J14">
        <v>34282000</v>
      </c>
      <c r="K14" t="s">
        <v>5453</v>
      </c>
      <c r="L14">
        <v>9898000</v>
      </c>
      <c r="M14" t="s">
        <v>5454</v>
      </c>
      <c r="N14" t="s">
        <v>5455</v>
      </c>
      <c r="O14" t="s">
        <v>1806</v>
      </c>
      <c r="P14" t="s">
        <v>1829</v>
      </c>
    </row>
    <row r="15" spans="1:17" x14ac:dyDescent="0.25">
      <c r="A15" t="s">
        <v>494</v>
      </c>
      <c r="B15" t="s">
        <v>1700</v>
      </c>
      <c r="C15" t="s">
        <v>501</v>
      </c>
      <c r="D15" t="s">
        <v>5431</v>
      </c>
      <c r="E15" t="s">
        <v>550</v>
      </c>
      <c r="F15" t="s">
        <v>5456</v>
      </c>
      <c r="G15">
        <v>133860000</v>
      </c>
      <c r="H15">
        <v>58380000</v>
      </c>
      <c r="I15">
        <v>9730000</v>
      </c>
      <c r="J15">
        <v>68110000</v>
      </c>
      <c r="K15" t="s">
        <v>5457</v>
      </c>
      <c r="L15">
        <v>65750000</v>
      </c>
      <c r="M15" t="s">
        <v>5458</v>
      </c>
      <c r="N15" t="s">
        <v>5459</v>
      </c>
      <c r="O15" t="s">
        <v>1806</v>
      </c>
      <c r="P15" t="s">
        <v>1825</v>
      </c>
    </row>
    <row r="16" spans="1:17" x14ac:dyDescent="0.25">
      <c r="A16" t="s">
        <v>494</v>
      </c>
      <c r="B16" t="s">
        <v>1700</v>
      </c>
      <c r="C16" t="s">
        <v>501</v>
      </c>
      <c r="D16" t="s">
        <v>5431</v>
      </c>
      <c r="E16" t="s">
        <v>549</v>
      </c>
      <c r="F16" t="s">
        <v>5460</v>
      </c>
      <c r="G16">
        <v>3282000</v>
      </c>
      <c r="H16">
        <v>3249442</v>
      </c>
      <c r="I16">
        <v>3392150</v>
      </c>
      <c r="J16">
        <v>6641592</v>
      </c>
      <c r="K16" t="s">
        <v>5461</v>
      </c>
      <c r="L16">
        <v>-3359592</v>
      </c>
      <c r="M16" t="s">
        <v>5462</v>
      </c>
      <c r="N16" t="s">
        <v>5463</v>
      </c>
      <c r="O16" t="s">
        <v>1806</v>
      </c>
      <c r="P16" t="s">
        <v>1821</v>
      </c>
    </row>
    <row r="17" spans="1:16" x14ac:dyDescent="0.25">
      <c r="A17" t="s">
        <v>494</v>
      </c>
      <c r="B17" t="s">
        <v>1700</v>
      </c>
      <c r="C17" t="s">
        <v>501</v>
      </c>
      <c r="D17" t="s">
        <v>5431</v>
      </c>
      <c r="E17" t="s">
        <v>548</v>
      </c>
      <c r="F17" t="s">
        <v>5464</v>
      </c>
      <c r="G17">
        <v>147267000</v>
      </c>
      <c r="H17">
        <v>66096160</v>
      </c>
      <c r="I17">
        <v>10726270</v>
      </c>
      <c r="J17">
        <v>76822430</v>
      </c>
      <c r="K17" t="s">
        <v>5465</v>
      </c>
      <c r="L17">
        <v>70444570</v>
      </c>
      <c r="M17" t="s">
        <v>5466</v>
      </c>
      <c r="N17" t="s">
        <v>5467</v>
      </c>
      <c r="O17" t="s">
        <v>1806</v>
      </c>
      <c r="P17" t="s">
        <v>1817</v>
      </c>
    </row>
    <row r="18" spans="1:16" x14ac:dyDescent="0.25">
      <c r="A18" t="s">
        <v>494</v>
      </c>
      <c r="B18" t="s">
        <v>1700</v>
      </c>
      <c r="C18" t="s">
        <v>501</v>
      </c>
      <c r="D18" t="s">
        <v>5431</v>
      </c>
      <c r="E18" t="s">
        <v>547</v>
      </c>
      <c r="F18" t="s">
        <v>5468</v>
      </c>
      <c r="G18">
        <v>32000</v>
      </c>
      <c r="H18">
        <v>15634</v>
      </c>
      <c r="I18">
        <v>2379</v>
      </c>
      <c r="J18">
        <v>18013</v>
      </c>
      <c r="K18" t="s">
        <v>5469</v>
      </c>
      <c r="L18">
        <v>13987</v>
      </c>
      <c r="M18" t="s">
        <v>5470</v>
      </c>
      <c r="N18" t="s">
        <v>5471</v>
      </c>
      <c r="O18" t="s">
        <v>1806</v>
      </c>
      <c r="P18" t="s">
        <v>1813</v>
      </c>
    </row>
    <row r="19" spans="1:16" x14ac:dyDescent="0.25">
      <c r="A19" t="s">
        <v>494</v>
      </c>
      <c r="B19" t="s">
        <v>1700</v>
      </c>
      <c r="C19" t="s">
        <v>501</v>
      </c>
      <c r="D19" t="s">
        <v>5431</v>
      </c>
      <c r="E19" t="s">
        <v>544</v>
      </c>
      <c r="F19" t="s">
        <v>5472</v>
      </c>
      <c r="G19">
        <v>2123477000</v>
      </c>
      <c r="H19">
        <v>1014827240</v>
      </c>
      <c r="I19">
        <v>166352500</v>
      </c>
      <c r="J19">
        <v>1181179740</v>
      </c>
      <c r="K19" t="s">
        <v>5473</v>
      </c>
      <c r="L19">
        <v>942297260</v>
      </c>
      <c r="M19" t="s">
        <v>5474</v>
      </c>
      <c r="N19" t="s">
        <v>5475</v>
      </c>
      <c r="O19" t="s">
        <v>1806</v>
      </c>
      <c r="P19" t="s">
        <v>1809</v>
      </c>
    </row>
    <row r="20" spans="1:16" x14ac:dyDescent="0.25">
      <c r="A20" t="s">
        <v>494</v>
      </c>
      <c r="B20" t="s">
        <v>1269</v>
      </c>
      <c r="C20" t="s">
        <v>833</v>
      </c>
      <c r="D20" t="s">
        <v>4654</v>
      </c>
      <c r="E20" t="s">
        <v>513</v>
      </c>
      <c r="F20" t="s">
        <v>4655</v>
      </c>
      <c r="G20">
        <v>60764000</v>
      </c>
      <c r="H20">
        <v>58653672</v>
      </c>
      <c r="I20">
        <v>2110000</v>
      </c>
      <c r="J20">
        <v>60763672</v>
      </c>
      <c r="K20" t="s">
        <v>4656</v>
      </c>
      <c r="L20">
        <v>328</v>
      </c>
      <c r="M20" t="s">
        <v>4657</v>
      </c>
      <c r="N20" t="s">
        <v>4658</v>
      </c>
      <c r="O20" t="s">
        <v>1490</v>
      </c>
      <c r="P20" t="s">
        <v>1501</v>
      </c>
    </row>
    <row r="21" spans="1:16" x14ac:dyDescent="0.25">
      <c r="A21" t="s">
        <v>494</v>
      </c>
      <c r="B21" t="s">
        <v>1269</v>
      </c>
      <c r="C21" t="s">
        <v>833</v>
      </c>
      <c r="D21" t="s">
        <v>4641</v>
      </c>
      <c r="E21" t="s">
        <v>513</v>
      </c>
      <c r="F21" t="s">
        <v>4659</v>
      </c>
      <c r="G21">
        <v>9059000</v>
      </c>
      <c r="H21">
        <v>1650000</v>
      </c>
      <c r="I21">
        <v>3700700</v>
      </c>
      <c r="J21">
        <v>5350700</v>
      </c>
      <c r="K21" t="s">
        <v>4660</v>
      </c>
      <c r="L21">
        <v>3708300</v>
      </c>
      <c r="M21" t="s">
        <v>4661</v>
      </c>
      <c r="N21" t="s">
        <v>4662</v>
      </c>
      <c r="O21" t="s">
        <v>1469</v>
      </c>
      <c r="P21" t="s">
        <v>1487</v>
      </c>
    </row>
    <row r="22" spans="1:16" x14ac:dyDescent="0.25">
      <c r="A22" t="s">
        <v>419</v>
      </c>
      <c r="B22" t="s">
        <v>616</v>
      </c>
      <c r="C22" t="s">
        <v>523</v>
      </c>
      <c r="D22" t="s">
        <v>4663</v>
      </c>
      <c r="E22" t="s">
        <v>513</v>
      </c>
      <c r="F22" t="s">
        <v>4664</v>
      </c>
      <c r="G22">
        <v>138160000</v>
      </c>
      <c r="H22">
        <v>82621650</v>
      </c>
      <c r="I22">
        <v>48815040</v>
      </c>
      <c r="J22">
        <v>131436690</v>
      </c>
      <c r="K22" t="s">
        <v>4665</v>
      </c>
      <c r="L22">
        <v>6723310</v>
      </c>
      <c r="M22" t="s">
        <v>4666</v>
      </c>
      <c r="N22" t="s">
        <v>4667</v>
      </c>
      <c r="O22" t="s">
        <v>469</v>
      </c>
      <c r="P22" t="s">
        <v>482</v>
      </c>
    </row>
    <row r="23" spans="1:16" x14ac:dyDescent="0.25">
      <c r="A23" t="s">
        <v>419</v>
      </c>
      <c r="B23" t="s">
        <v>616</v>
      </c>
      <c r="C23" t="s">
        <v>520</v>
      </c>
      <c r="D23" t="s">
        <v>4668</v>
      </c>
      <c r="E23" t="s">
        <v>513</v>
      </c>
      <c r="F23" t="s">
        <v>4669</v>
      </c>
      <c r="G23">
        <v>33250000</v>
      </c>
      <c r="H23">
        <v>20734500</v>
      </c>
      <c r="I23">
        <v>360000</v>
      </c>
      <c r="J23">
        <v>21094500</v>
      </c>
      <c r="K23" t="s">
        <v>4670</v>
      </c>
      <c r="L23">
        <v>12155500</v>
      </c>
      <c r="M23" t="s">
        <v>4671</v>
      </c>
      <c r="N23" t="s">
        <v>59</v>
      </c>
      <c r="O23" t="s">
        <v>440</v>
      </c>
      <c r="P23" t="s">
        <v>448</v>
      </c>
    </row>
    <row r="24" spans="1:16" x14ac:dyDescent="0.25">
      <c r="A24" t="s">
        <v>494</v>
      </c>
      <c r="B24" t="s">
        <v>3105</v>
      </c>
      <c r="C24" t="s">
        <v>833</v>
      </c>
      <c r="D24" t="s">
        <v>4672</v>
      </c>
      <c r="E24" t="s">
        <v>503</v>
      </c>
      <c r="F24" t="s">
        <v>4673</v>
      </c>
      <c r="G24">
        <v>3000000</v>
      </c>
      <c r="H24">
        <v>1994000</v>
      </c>
      <c r="I24">
        <v>0</v>
      </c>
      <c r="J24">
        <v>1994000</v>
      </c>
      <c r="K24" t="s">
        <v>4674</v>
      </c>
      <c r="L24">
        <v>1006000</v>
      </c>
      <c r="M24" t="s">
        <v>4675</v>
      </c>
      <c r="N24" t="s">
        <v>4627</v>
      </c>
      <c r="O24" t="s">
        <v>3367</v>
      </c>
      <c r="P24" t="s">
        <v>3368</v>
      </c>
    </row>
    <row r="25" spans="1:16" x14ac:dyDescent="0.25">
      <c r="A25" t="s">
        <v>494</v>
      </c>
      <c r="B25" t="s">
        <v>3105</v>
      </c>
      <c r="C25" t="s">
        <v>833</v>
      </c>
      <c r="D25" t="s">
        <v>4672</v>
      </c>
      <c r="E25" t="s">
        <v>503</v>
      </c>
      <c r="F25" t="s">
        <v>4676</v>
      </c>
      <c r="G25">
        <v>4500000</v>
      </c>
      <c r="H25">
        <v>2950000</v>
      </c>
      <c r="I25">
        <v>0</v>
      </c>
      <c r="J25">
        <v>2950000</v>
      </c>
      <c r="K25" t="s">
        <v>4677</v>
      </c>
      <c r="L25">
        <v>1550000</v>
      </c>
      <c r="M25" t="s">
        <v>4678</v>
      </c>
      <c r="N25" t="s">
        <v>4679</v>
      </c>
      <c r="O25" t="s">
        <v>3367</v>
      </c>
      <c r="P25" t="s">
        <v>3368</v>
      </c>
    </row>
    <row r="26" spans="1:16" x14ac:dyDescent="0.25">
      <c r="A26" t="s">
        <v>494</v>
      </c>
      <c r="B26" t="s">
        <v>3105</v>
      </c>
      <c r="C26" t="s">
        <v>833</v>
      </c>
      <c r="D26" t="s">
        <v>4680</v>
      </c>
      <c r="E26" t="s">
        <v>503</v>
      </c>
      <c r="F26" t="s">
        <v>4681</v>
      </c>
      <c r="G26">
        <v>3000000</v>
      </c>
      <c r="H26">
        <v>2000000</v>
      </c>
      <c r="I26">
        <v>0</v>
      </c>
      <c r="J26">
        <v>2000000</v>
      </c>
      <c r="K26" t="s">
        <v>4682</v>
      </c>
      <c r="L26">
        <v>1000000</v>
      </c>
      <c r="M26" t="s">
        <v>4683</v>
      </c>
      <c r="N26" t="s">
        <v>4627</v>
      </c>
      <c r="O26" t="s">
        <v>3349</v>
      </c>
      <c r="P26" t="s">
        <v>3351</v>
      </c>
    </row>
    <row r="27" spans="1:16" x14ac:dyDescent="0.25">
      <c r="A27" t="s">
        <v>494</v>
      </c>
      <c r="B27" t="s">
        <v>3105</v>
      </c>
      <c r="C27" t="s">
        <v>833</v>
      </c>
      <c r="D27" t="s">
        <v>4680</v>
      </c>
      <c r="E27" t="s">
        <v>503</v>
      </c>
      <c r="F27" t="s">
        <v>4684</v>
      </c>
      <c r="G27">
        <v>3500000</v>
      </c>
      <c r="H27">
        <v>3490000</v>
      </c>
      <c r="I27">
        <v>0</v>
      </c>
      <c r="J27">
        <v>3490000</v>
      </c>
      <c r="K27" t="s">
        <v>4685</v>
      </c>
      <c r="L27">
        <v>10000</v>
      </c>
      <c r="M27" t="s">
        <v>4686</v>
      </c>
      <c r="N27" t="s">
        <v>4687</v>
      </c>
      <c r="O27" t="s">
        <v>3349</v>
      </c>
      <c r="P27" t="s">
        <v>3351</v>
      </c>
    </row>
    <row r="28" spans="1:16" x14ac:dyDescent="0.25">
      <c r="A28" t="s">
        <v>494</v>
      </c>
      <c r="B28" t="s">
        <v>3105</v>
      </c>
      <c r="C28" t="s">
        <v>833</v>
      </c>
      <c r="D28" t="s">
        <v>4680</v>
      </c>
      <c r="E28" t="s">
        <v>503</v>
      </c>
      <c r="F28" t="s">
        <v>4688</v>
      </c>
      <c r="G28">
        <v>7500000</v>
      </c>
      <c r="H28">
        <v>5495000</v>
      </c>
      <c r="I28">
        <v>0</v>
      </c>
      <c r="J28">
        <v>5495000</v>
      </c>
      <c r="K28" t="s">
        <v>4689</v>
      </c>
      <c r="L28">
        <v>2005000</v>
      </c>
      <c r="M28" t="s">
        <v>4690</v>
      </c>
      <c r="N28" t="s">
        <v>4679</v>
      </c>
      <c r="O28" t="s">
        <v>3349</v>
      </c>
      <c r="P28" t="s">
        <v>3351</v>
      </c>
    </row>
    <row r="29" spans="1:16" x14ac:dyDescent="0.25">
      <c r="A29" t="s">
        <v>494</v>
      </c>
      <c r="B29" t="s">
        <v>3105</v>
      </c>
      <c r="C29" t="s">
        <v>833</v>
      </c>
      <c r="D29" t="s">
        <v>4691</v>
      </c>
      <c r="E29" t="s">
        <v>503</v>
      </c>
      <c r="F29" t="s">
        <v>4692</v>
      </c>
      <c r="G29">
        <v>3000000</v>
      </c>
      <c r="H29">
        <v>1998500</v>
      </c>
      <c r="I29">
        <v>0</v>
      </c>
      <c r="J29">
        <v>1998500</v>
      </c>
      <c r="K29" t="s">
        <v>4693</v>
      </c>
      <c r="L29">
        <v>1001500</v>
      </c>
      <c r="M29" t="s">
        <v>4694</v>
      </c>
      <c r="N29" t="s">
        <v>4627</v>
      </c>
      <c r="O29" t="s">
        <v>3340</v>
      </c>
      <c r="P29" t="s">
        <v>3341</v>
      </c>
    </row>
    <row r="30" spans="1:16" x14ac:dyDescent="0.25">
      <c r="A30" t="s">
        <v>494</v>
      </c>
      <c r="B30" t="s">
        <v>3105</v>
      </c>
      <c r="C30" t="s">
        <v>833</v>
      </c>
      <c r="D30" t="s">
        <v>4691</v>
      </c>
      <c r="E30" t="s">
        <v>503</v>
      </c>
      <c r="F30" t="s">
        <v>4695</v>
      </c>
      <c r="G30">
        <v>4500000</v>
      </c>
      <c r="H30">
        <v>2970000</v>
      </c>
      <c r="I30">
        <v>0</v>
      </c>
      <c r="J30">
        <v>2970000</v>
      </c>
      <c r="K30" t="s">
        <v>4696</v>
      </c>
      <c r="L30">
        <v>1530000</v>
      </c>
      <c r="M30" t="s">
        <v>4697</v>
      </c>
      <c r="N30" t="s">
        <v>4679</v>
      </c>
      <c r="O30" t="s">
        <v>3340</v>
      </c>
      <c r="P30" t="s">
        <v>3341</v>
      </c>
    </row>
    <row r="31" spans="1:16" x14ac:dyDescent="0.25">
      <c r="A31" t="s">
        <v>494</v>
      </c>
      <c r="B31" t="s">
        <v>3105</v>
      </c>
      <c r="C31" t="s">
        <v>833</v>
      </c>
      <c r="D31" t="s">
        <v>4623</v>
      </c>
      <c r="E31" t="s">
        <v>503</v>
      </c>
      <c r="F31" t="s">
        <v>4698</v>
      </c>
      <c r="G31">
        <v>3000000</v>
      </c>
      <c r="H31">
        <v>1994000</v>
      </c>
      <c r="I31">
        <v>0</v>
      </c>
      <c r="J31">
        <v>1994000</v>
      </c>
      <c r="K31" t="s">
        <v>4674</v>
      </c>
      <c r="L31">
        <v>1006000</v>
      </c>
      <c r="M31" t="s">
        <v>4699</v>
      </c>
      <c r="N31" t="s">
        <v>4627</v>
      </c>
      <c r="O31" t="s">
        <v>3331</v>
      </c>
      <c r="P31" t="s">
        <v>3332</v>
      </c>
    </row>
    <row r="32" spans="1:16" x14ac:dyDescent="0.25">
      <c r="A32" t="s">
        <v>494</v>
      </c>
      <c r="B32" t="s">
        <v>3105</v>
      </c>
      <c r="C32" t="s">
        <v>833</v>
      </c>
      <c r="D32" t="s">
        <v>4623</v>
      </c>
      <c r="E32" t="s">
        <v>503</v>
      </c>
      <c r="F32" t="s">
        <v>4700</v>
      </c>
      <c r="G32">
        <v>4500000</v>
      </c>
      <c r="H32">
        <v>2950000</v>
      </c>
      <c r="I32">
        <v>0</v>
      </c>
      <c r="J32">
        <v>2950000</v>
      </c>
      <c r="K32" t="s">
        <v>4677</v>
      </c>
      <c r="L32">
        <v>1550000</v>
      </c>
      <c r="M32" t="s">
        <v>4701</v>
      </c>
      <c r="N32" t="s">
        <v>4679</v>
      </c>
      <c r="O32" t="s">
        <v>3331</v>
      </c>
      <c r="P32" t="s">
        <v>3332</v>
      </c>
    </row>
    <row r="33" spans="1:16" x14ac:dyDescent="0.25">
      <c r="A33" t="s">
        <v>494</v>
      </c>
      <c r="B33" t="s">
        <v>3105</v>
      </c>
      <c r="C33" t="s">
        <v>833</v>
      </c>
      <c r="D33" t="s">
        <v>4636</v>
      </c>
      <c r="E33" t="s">
        <v>503</v>
      </c>
      <c r="F33" t="s">
        <v>4702</v>
      </c>
      <c r="G33">
        <v>9000000</v>
      </c>
      <c r="H33">
        <v>7710000</v>
      </c>
      <c r="I33">
        <v>0</v>
      </c>
      <c r="J33">
        <v>7710000</v>
      </c>
      <c r="K33" t="s">
        <v>4703</v>
      </c>
      <c r="L33">
        <v>1290000</v>
      </c>
      <c r="M33" t="s">
        <v>4704</v>
      </c>
      <c r="N33" t="s">
        <v>4679</v>
      </c>
      <c r="O33" t="s">
        <v>3320</v>
      </c>
      <c r="P33" t="s">
        <v>3321</v>
      </c>
    </row>
    <row r="34" spans="1:16" x14ac:dyDescent="0.25">
      <c r="A34" t="s">
        <v>494</v>
      </c>
      <c r="B34" t="s">
        <v>3105</v>
      </c>
      <c r="C34" t="s">
        <v>833</v>
      </c>
      <c r="D34" t="s">
        <v>4636</v>
      </c>
      <c r="E34" t="s">
        <v>503</v>
      </c>
      <c r="F34" t="s">
        <v>4705</v>
      </c>
      <c r="G34">
        <v>5000000</v>
      </c>
      <c r="H34">
        <v>3996000</v>
      </c>
      <c r="I34">
        <v>0</v>
      </c>
      <c r="J34">
        <v>3996000</v>
      </c>
      <c r="K34" t="s">
        <v>4706</v>
      </c>
      <c r="L34">
        <v>1004000</v>
      </c>
      <c r="M34" t="s">
        <v>4707</v>
      </c>
      <c r="N34" t="s">
        <v>4627</v>
      </c>
      <c r="O34" t="s">
        <v>3320</v>
      </c>
      <c r="P34" t="s">
        <v>3321</v>
      </c>
    </row>
    <row r="35" spans="1:16" x14ac:dyDescent="0.25">
      <c r="A35" t="s">
        <v>494</v>
      </c>
      <c r="B35" t="s">
        <v>3105</v>
      </c>
      <c r="C35" t="s">
        <v>833</v>
      </c>
      <c r="D35" t="s">
        <v>4636</v>
      </c>
      <c r="E35" t="s">
        <v>503</v>
      </c>
      <c r="F35" t="s">
        <v>4708</v>
      </c>
      <c r="G35">
        <v>1400000</v>
      </c>
      <c r="H35">
        <v>1350000</v>
      </c>
      <c r="I35">
        <v>0</v>
      </c>
      <c r="J35">
        <v>1350000</v>
      </c>
      <c r="K35" t="s">
        <v>4709</v>
      </c>
      <c r="L35">
        <v>50000</v>
      </c>
      <c r="M35" t="s">
        <v>4710</v>
      </c>
      <c r="N35" t="s">
        <v>4653</v>
      </c>
      <c r="O35" t="s">
        <v>3320</v>
      </c>
      <c r="P35" t="s">
        <v>3321</v>
      </c>
    </row>
    <row r="36" spans="1:16" x14ac:dyDescent="0.25">
      <c r="A36" t="s">
        <v>494</v>
      </c>
      <c r="B36" t="s">
        <v>3105</v>
      </c>
      <c r="C36" t="s">
        <v>833</v>
      </c>
      <c r="D36" t="s">
        <v>4636</v>
      </c>
      <c r="E36" t="s">
        <v>503</v>
      </c>
      <c r="F36" t="s">
        <v>4711</v>
      </c>
      <c r="G36">
        <v>3000000</v>
      </c>
      <c r="H36">
        <v>775000</v>
      </c>
      <c r="I36">
        <v>0</v>
      </c>
      <c r="J36">
        <v>775000</v>
      </c>
      <c r="K36" t="s">
        <v>4712</v>
      </c>
      <c r="L36">
        <v>2225000</v>
      </c>
      <c r="M36" t="s">
        <v>4713</v>
      </c>
      <c r="N36" t="s">
        <v>4714</v>
      </c>
      <c r="O36" t="s">
        <v>3320</v>
      </c>
      <c r="P36" t="s">
        <v>3321</v>
      </c>
    </row>
    <row r="37" spans="1:16" x14ac:dyDescent="0.25">
      <c r="A37" t="s">
        <v>494</v>
      </c>
      <c r="B37" t="s">
        <v>2785</v>
      </c>
      <c r="C37" t="s">
        <v>3090</v>
      </c>
      <c r="D37" t="s">
        <v>4715</v>
      </c>
      <c r="E37" t="s">
        <v>503</v>
      </c>
      <c r="F37" t="s">
        <v>4716</v>
      </c>
      <c r="G37">
        <v>1000000</v>
      </c>
      <c r="H37">
        <v>1000000</v>
      </c>
      <c r="I37">
        <v>0</v>
      </c>
      <c r="J37">
        <v>1000000</v>
      </c>
      <c r="K37" t="s">
        <v>4717</v>
      </c>
      <c r="L37">
        <v>0</v>
      </c>
      <c r="M37" t="s">
        <v>4718</v>
      </c>
      <c r="N37" t="s">
        <v>4719</v>
      </c>
      <c r="O37" t="s">
        <v>3092</v>
      </c>
      <c r="P37" t="s">
        <v>3093</v>
      </c>
    </row>
    <row r="38" spans="1:16" x14ac:dyDescent="0.25">
      <c r="A38" t="s">
        <v>494</v>
      </c>
      <c r="B38" t="s">
        <v>2785</v>
      </c>
      <c r="C38" t="s">
        <v>3090</v>
      </c>
      <c r="D38" t="s">
        <v>4715</v>
      </c>
      <c r="E38" t="s">
        <v>503</v>
      </c>
      <c r="F38" t="s">
        <v>4720</v>
      </c>
      <c r="G38">
        <v>6000000</v>
      </c>
      <c r="H38">
        <v>3000000</v>
      </c>
      <c r="I38">
        <v>0</v>
      </c>
      <c r="J38">
        <v>3000000</v>
      </c>
      <c r="K38" t="s">
        <v>4721</v>
      </c>
      <c r="L38">
        <v>3000000</v>
      </c>
      <c r="M38" t="s">
        <v>4722</v>
      </c>
      <c r="N38" t="s">
        <v>4679</v>
      </c>
      <c r="O38" t="s">
        <v>3092</v>
      </c>
      <c r="P38" t="s">
        <v>3093</v>
      </c>
    </row>
    <row r="39" spans="1:16" x14ac:dyDescent="0.25">
      <c r="A39" t="s">
        <v>494</v>
      </c>
      <c r="B39" t="s">
        <v>2785</v>
      </c>
      <c r="C39" t="s">
        <v>3090</v>
      </c>
      <c r="D39" t="s">
        <v>4715</v>
      </c>
      <c r="E39" t="s">
        <v>503</v>
      </c>
      <c r="F39" t="s">
        <v>4723</v>
      </c>
      <c r="G39">
        <v>4000000</v>
      </c>
      <c r="H39">
        <v>1984000</v>
      </c>
      <c r="I39">
        <v>0</v>
      </c>
      <c r="J39">
        <v>1984000</v>
      </c>
      <c r="K39" t="s">
        <v>4724</v>
      </c>
      <c r="L39">
        <v>2016000</v>
      </c>
      <c r="M39" t="s">
        <v>4725</v>
      </c>
      <c r="N39" t="s">
        <v>4627</v>
      </c>
      <c r="O39" t="s">
        <v>3092</v>
      </c>
      <c r="P39" t="s">
        <v>3093</v>
      </c>
    </row>
    <row r="40" spans="1:16" x14ac:dyDescent="0.25">
      <c r="A40" t="s">
        <v>494</v>
      </c>
      <c r="B40" t="s">
        <v>2785</v>
      </c>
      <c r="C40" t="s">
        <v>3090</v>
      </c>
      <c r="D40" t="s">
        <v>4715</v>
      </c>
      <c r="E40" t="s">
        <v>503</v>
      </c>
      <c r="F40" t="s">
        <v>4726</v>
      </c>
      <c r="G40">
        <v>900000</v>
      </c>
      <c r="H40">
        <v>860000</v>
      </c>
      <c r="I40">
        <v>0</v>
      </c>
      <c r="J40">
        <v>860000</v>
      </c>
      <c r="K40" t="s">
        <v>4727</v>
      </c>
      <c r="L40">
        <v>40000</v>
      </c>
      <c r="M40" t="s">
        <v>4728</v>
      </c>
      <c r="N40" t="s">
        <v>4653</v>
      </c>
      <c r="O40" t="s">
        <v>3092</v>
      </c>
      <c r="P40" t="s">
        <v>3093</v>
      </c>
    </row>
    <row r="41" spans="1:16" x14ac:dyDescent="0.25">
      <c r="A41" t="s">
        <v>494</v>
      </c>
      <c r="B41" t="s">
        <v>2785</v>
      </c>
      <c r="C41" t="s">
        <v>3090</v>
      </c>
      <c r="D41" t="s">
        <v>4715</v>
      </c>
      <c r="E41" t="s">
        <v>503</v>
      </c>
      <c r="F41" t="s">
        <v>4729</v>
      </c>
      <c r="G41">
        <v>6000000</v>
      </c>
      <c r="H41">
        <v>1500000</v>
      </c>
      <c r="I41">
        <v>0</v>
      </c>
      <c r="J41">
        <v>1500000</v>
      </c>
      <c r="K41" t="s">
        <v>4730</v>
      </c>
      <c r="L41">
        <v>4500000</v>
      </c>
      <c r="M41" t="s">
        <v>4731</v>
      </c>
      <c r="N41" t="s">
        <v>4714</v>
      </c>
      <c r="O41" t="s">
        <v>3092</v>
      </c>
      <c r="P41" t="s">
        <v>3093</v>
      </c>
    </row>
    <row r="42" spans="1:16" x14ac:dyDescent="0.25">
      <c r="A42" t="s">
        <v>494</v>
      </c>
      <c r="B42" t="s">
        <v>2785</v>
      </c>
      <c r="C42" t="s">
        <v>833</v>
      </c>
      <c r="D42" t="s">
        <v>4623</v>
      </c>
      <c r="E42" t="s">
        <v>503</v>
      </c>
      <c r="F42" t="s">
        <v>4732</v>
      </c>
      <c r="G42">
        <v>3000000</v>
      </c>
      <c r="H42">
        <v>1500000</v>
      </c>
      <c r="I42">
        <v>0</v>
      </c>
      <c r="J42">
        <v>1500000</v>
      </c>
      <c r="K42" t="s">
        <v>4721</v>
      </c>
      <c r="L42">
        <v>1500000</v>
      </c>
      <c r="M42" t="s">
        <v>4733</v>
      </c>
      <c r="N42" t="s">
        <v>4679</v>
      </c>
      <c r="O42" t="s">
        <v>3067</v>
      </c>
      <c r="P42" t="s">
        <v>3068</v>
      </c>
    </row>
    <row r="43" spans="1:16" x14ac:dyDescent="0.25">
      <c r="A43" t="s">
        <v>494</v>
      </c>
      <c r="B43" t="s">
        <v>2785</v>
      </c>
      <c r="C43" t="s">
        <v>833</v>
      </c>
      <c r="D43" t="s">
        <v>4623</v>
      </c>
      <c r="E43" t="s">
        <v>503</v>
      </c>
      <c r="F43" t="s">
        <v>4734</v>
      </c>
      <c r="G43">
        <v>2000000</v>
      </c>
      <c r="H43">
        <v>999000</v>
      </c>
      <c r="I43">
        <v>0</v>
      </c>
      <c r="J43">
        <v>999000</v>
      </c>
      <c r="K43" t="s">
        <v>4735</v>
      </c>
      <c r="L43">
        <v>1001000</v>
      </c>
      <c r="M43" t="s">
        <v>4736</v>
      </c>
      <c r="N43" t="s">
        <v>4627</v>
      </c>
      <c r="O43" t="s">
        <v>3067</v>
      </c>
      <c r="P43" t="s">
        <v>3068</v>
      </c>
    </row>
    <row r="44" spans="1:16" x14ac:dyDescent="0.25">
      <c r="A44" t="s">
        <v>494</v>
      </c>
      <c r="B44" t="s">
        <v>2785</v>
      </c>
      <c r="C44" t="s">
        <v>833</v>
      </c>
      <c r="D44" t="s">
        <v>4623</v>
      </c>
      <c r="E44" t="s">
        <v>503</v>
      </c>
      <c r="F44" t="s">
        <v>4737</v>
      </c>
      <c r="G44">
        <v>2000000</v>
      </c>
      <c r="H44">
        <v>2000000</v>
      </c>
      <c r="I44">
        <v>0</v>
      </c>
      <c r="J44">
        <v>2000000</v>
      </c>
      <c r="K44" t="s">
        <v>4717</v>
      </c>
      <c r="L44">
        <v>0</v>
      </c>
      <c r="M44" t="s">
        <v>4738</v>
      </c>
      <c r="N44" t="s">
        <v>4739</v>
      </c>
      <c r="O44" t="s">
        <v>3067</v>
      </c>
      <c r="P44" t="s">
        <v>3068</v>
      </c>
    </row>
    <row r="45" spans="1:16" x14ac:dyDescent="0.25">
      <c r="A45" t="s">
        <v>494</v>
      </c>
      <c r="B45" t="s">
        <v>2785</v>
      </c>
      <c r="C45" t="s">
        <v>833</v>
      </c>
      <c r="D45" t="s">
        <v>4623</v>
      </c>
      <c r="E45" t="s">
        <v>503</v>
      </c>
      <c r="F45" t="s">
        <v>4740</v>
      </c>
      <c r="G45">
        <v>3000000</v>
      </c>
      <c r="H45">
        <v>1500000</v>
      </c>
      <c r="I45">
        <v>0</v>
      </c>
      <c r="J45">
        <v>1500000</v>
      </c>
      <c r="K45" t="s">
        <v>4721</v>
      </c>
      <c r="L45">
        <v>1500000</v>
      </c>
      <c r="M45" t="s">
        <v>4741</v>
      </c>
      <c r="N45" t="s">
        <v>4714</v>
      </c>
      <c r="O45" t="s">
        <v>3067</v>
      </c>
      <c r="P45" t="s">
        <v>3068</v>
      </c>
    </row>
    <row r="46" spans="1:16" x14ac:dyDescent="0.25">
      <c r="A46" t="s">
        <v>494</v>
      </c>
      <c r="B46" t="s">
        <v>2785</v>
      </c>
      <c r="C46" t="s">
        <v>833</v>
      </c>
      <c r="D46" t="s">
        <v>4636</v>
      </c>
      <c r="E46" t="s">
        <v>503</v>
      </c>
      <c r="F46" t="s">
        <v>4742</v>
      </c>
      <c r="G46">
        <v>4500000</v>
      </c>
      <c r="H46">
        <v>2990000</v>
      </c>
      <c r="I46">
        <v>0</v>
      </c>
      <c r="J46">
        <v>2990000</v>
      </c>
      <c r="K46" t="s">
        <v>4743</v>
      </c>
      <c r="L46">
        <v>1510000</v>
      </c>
      <c r="M46" t="s">
        <v>4744</v>
      </c>
      <c r="N46" t="s">
        <v>4679</v>
      </c>
      <c r="O46" t="s">
        <v>3054</v>
      </c>
      <c r="P46" t="s">
        <v>3055</v>
      </c>
    </row>
    <row r="47" spans="1:16" x14ac:dyDescent="0.25">
      <c r="A47" t="s">
        <v>494</v>
      </c>
      <c r="B47" t="s">
        <v>2785</v>
      </c>
      <c r="C47" t="s">
        <v>833</v>
      </c>
      <c r="D47" t="s">
        <v>4636</v>
      </c>
      <c r="E47" t="s">
        <v>503</v>
      </c>
      <c r="F47" t="s">
        <v>4745</v>
      </c>
      <c r="G47">
        <v>3000000</v>
      </c>
      <c r="H47">
        <v>1968500</v>
      </c>
      <c r="I47">
        <v>0</v>
      </c>
      <c r="J47">
        <v>1968500</v>
      </c>
      <c r="K47" t="s">
        <v>4746</v>
      </c>
      <c r="L47">
        <v>1031500</v>
      </c>
      <c r="M47" t="s">
        <v>4747</v>
      </c>
      <c r="N47" t="s">
        <v>4627</v>
      </c>
      <c r="O47" t="s">
        <v>3054</v>
      </c>
      <c r="P47" t="s">
        <v>3055</v>
      </c>
    </row>
    <row r="48" spans="1:16" x14ac:dyDescent="0.25">
      <c r="A48" t="s">
        <v>494</v>
      </c>
      <c r="B48" t="s">
        <v>2785</v>
      </c>
      <c r="C48" t="s">
        <v>833</v>
      </c>
      <c r="D48" t="s">
        <v>4636</v>
      </c>
      <c r="E48" t="s">
        <v>503</v>
      </c>
      <c r="F48" t="s">
        <v>4748</v>
      </c>
      <c r="G48">
        <v>11250000</v>
      </c>
      <c r="H48">
        <v>1320000</v>
      </c>
      <c r="I48">
        <v>0</v>
      </c>
      <c r="J48">
        <v>1320000</v>
      </c>
      <c r="K48" t="s">
        <v>4749</v>
      </c>
      <c r="L48">
        <v>9930000</v>
      </c>
      <c r="M48" t="s">
        <v>4750</v>
      </c>
      <c r="N48" t="s">
        <v>4653</v>
      </c>
      <c r="O48" t="s">
        <v>3054</v>
      </c>
      <c r="P48" t="s">
        <v>3055</v>
      </c>
    </row>
    <row r="49" spans="1:16" x14ac:dyDescent="0.25">
      <c r="A49" t="s">
        <v>494</v>
      </c>
      <c r="B49" t="s">
        <v>2469</v>
      </c>
      <c r="C49" t="s">
        <v>833</v>
      </c>
      <c r="D49" t="s">
        <v>4691</v>
      </c>
      <c r="E49" t="s">
        <v>503</v>
      </c>
      <c r="F49" t="s">
        <v>4751</v>
      </c>
      <c r="G49">
        <v>10500000</v>
      </c>
      <c r="H49">
        <v>10500000</v>
      </c>
      <c r="I49">
        <v>0</v>
      </c>
      <c r="J49">
        <v>10500000</v>
      </c>
      <c r="K49" t="s">
        <v>4717</v>
      </c>
      <c r="L49">
        <v>0</v>
      </c>
      <c r="M49" t="s">
        <v>4752</v>
      </c>
      <c r="N49" t="s">
        <v>4653</v>
      </c>
      <c r="O49" t="s">
        <v>2771</v>
      </c>
      <c r="P49" t="s">
        <v>2772</v>
      </c>
    </row>
    <row r="50" spans="1:16" x14ac:dyDescent="0.25">
      <c r="A50" t="s">
        <v>494</v>
      </c>
      <c r="B50" t="s">
        <v>2469</v>
      </c>
      <c r="C50" t="s">
        <v>833</v>
      </c>
      <c r="D50" t="s">
        <v>4691</v>
      </c>
      <c r="E50" t="s">
        <v>503</v>
      </c>
      <c r="F50" t="s">
        <v>4753</v>
      </c>
      <c r="G50">
        <v>10500000</v>
      </c>
      <c r="H50">
        <v>5888500</v>
      </c>
      <c r="I50">
        <v>0</v>
      </c>
      <c r="J50">
        <v>5888500</v>
      </c>
      <c r="K50" t="s">
        <v>4754</v>
      </c>
      <c r="L50">
        <v>4611500</v>
      </c>
      <c r="M50" t="s">
        <v>4755</v>
      </c>
      <c r="N50" t="s">
        <v>4714</v>
      </c>
      <c r="O50" t="s">
        <v>2771</v>
      </c>
      <c r="P50" t="s">
        <v>2772</v>
      </c>
    </row>
    <row r="51" spans="1:16" x14ac:dyDescent="0.25">
      <c r="A51" t="s">
        <v>494</v>
      </c>
      <c r="B51" t="s">
        <v>2469</v>
      </c>
      <c r="C51" t="s">
        <v>833</v>
      </c>
      <c r="D51" t="s">
        <v>4623</v>
      </c>
      <c r="E51" t="s">
        <v>503</v>
      </c>
      <c r="F51" t="s">
        <v>4756</v>
      </c>
      <c r="G51">
        <v>12000000</v>
      </c>
      <c r="H51">
        <v>5939000</v>
      </c>
      <c r="I51">
        <v>0</v>
      </c>
      <c r="J51">
        <v>5939000</v>
      </c>
      <c r="K51" t="s">
        <v>4757</v>
      </c>
      <c r="L51">
        <v>6061000</v>
      </c>
      <c r="M51" t="s">
        <v>4758</v>
      </c>
      <c r="N51" t="s">
        <v>4714</v>
      </c>
      <c r="O51" t="s">
        <v>2756</v>
      </c>
      <c r="P51" t="s">
        <v>2757</v>
      </c>
    </row>
    <row r="52" spans="1:16" x14ac:dyDescent="0.25">
      <c r="A52" t="s">
        <v>494</v>
      </c>
      <c r="B52" t="s">
        <v>2469</v>
      </c>
      <c r="C52" t="s">
        <v>833</v>
      </c>
      <c r="D52" t="s">
        <v>4636</v>
      </c>
      <c r="E52" t="s">
        <v>503</v>
      </c>
      <c r="F52" t="s">
        <v>4759</v>
      </c>
      <c r="G52">
        <v>6000000</v>
      </c>
      <c r="H52">
        <v>2991000</v>
      </c>
      <c r="I52">
        <v>0</v>
      </c>
      <c r="J52">
        <v>2991000</v>
      </c>
      <c r="K52" t="s">
        <v>4760</v>
      </c>
      <c r="L52">
        <v>3009000</v>
      </c>
      <c r="M52" t="s">
        <v>4761</v>
      </c>
      <c r="N52" t="s">
        <v>4714</v>
      </c>
      <c r="O52" t="s">
        <v>2741</v>
      </c>
      <c r="P52" t="s">
        <v>2742</v>
      </c>
    </row>
    <row r="53" spans="1:16" x14ac:dyDescent="0.25">
      <c r="A53" t="s">
        <v>494</v>
      </c>
      <c r="B53" t="s">
        <v>1269</v>
      </c>
      <c r="C53" t="s">
        <v>833</v>
      </c>
      <c r="D53" t="s">
        <v>4762</v>
      </c>
      <c r="E53" t="s">
        <v>503</v>
      </c>
      <c r="F53" t="s">
        <v>4763</v>
      </c>
      <c r="G53">
        <v>3550000</v>
      </c>
      <c r="H53">
        <v>3547000</v>
      </c>
      <c r="I53">
        <v>0</v>
      </c>
      <c r="J53">
        <v>3547000</v>
      </c>
      <c r="K53" t="s">
        <v>4764</v>
      </c>
      <c r="L53">
        <v>3000</v>
      </c>
      <c r="M53" t="s">
        <v>4765</v>
      </c>
      <c r="N53" t="s">
        <v>4766</v>
      </c>
      <c r="O53" t="s">
        <v>1536</v>
      </c>
      <c r="P53" t="s">
        <v>1538</v>
      </c>
    </row>
    <row r="54" spans="1:16" x14ac:dyDescent="0.25">
      <c r="A54" t="s">
        <v>494</v>
      </c>
      <c r="B54" t="s">
        <v>1269</v>
      </c>
      <c r="C54" t="s">
        <v>833</v>
      </c>
      <c r="D54" t="s">
        <v>4762</v>
      </c>
      <c r="E54" t="s">
        <v>503</v>
      </c>
      <c r="F54" t="s">
        <v>4767</v>
      </c>
      <c r="G54">
        <v>3000000</v>
      </c>
      <c r="H54">
        <v>2950000</v>
      </c>
      <c r="I54">
        <v>0</v>
      </c>
      <c r="J54">
        <v>2950000</v>
      </c>
      <c r="K54" t="s">
        <v>4768</v>
      </c>
      <c r="L54">
        <v>50000</v>
      </c>
      <c r="M54" t="s">
        <v>4769</v>
      </c>
      <c r="N54" t="s">
        <v>4770</v>
      </c>
      <c r="O54" t="s">
        <v>1536</v>
      </c>
      <c r="P54" t="s">
        <v>1538</v>
      </c>
    </row>
    <row r="55" spans="1:16" x14ac:dyDescent="0.25">
      <c r="A55" t="s">
        <v>494</v>
      </c>
      <c r="B55" t="s">
        <v>1269</v>
      </c>
      <c r="C55" t="s">
        <v>833</v>
      </c>
      <c r="D55" t="s">
        <v>4762</v>
      </c>
      <c r="E55" t="s">
        <v>503</v>
      </c>
      <c r="F55" t="s">
        <v>4771</v>
      </c>
      <c r="G55">
        <v>3000000</v>
      </c>
      <c r="H55">
        <v>1459000</v>
      </c>
      <c r="I55">
        <v>0</v>
      </c>
      <c r="J55">
        <v>1459000</v>
      </c>
      <c r="K55" t="s">
        <v>4772</v>
      </c>
      <c r="L55">
        <v>1541000</v>
      </c>
      <c r="M55" t="s">
        <v>4773</v>
      </c>
      <c r="N55" t="s">
        <v>4679</v>
      </c>
      <c r="O55" t="s">
        <v>1536</v>
      </c>
      <c r="P55" t="s">
        <v>1538</v>
      </c>
    </row>
    <row r="56" spans="1:16" x14ac:dyDescent="0.25">
      <c r="A56" t="s">
        <v>494</v>
      </c>
      <c r="B56" t="s">
        <v>1269</v>
      </c>
      <c r="C56" t="s">
        <v>833</v>
      </c>
      <c r="D56" t="s">
        <v>4762</v>
      </c>
      <c r="E56" t="s">
        <v>503</v>
      </c>
      <c r="F56" t="s">
        <v>4774</v>
      </c>
      <c r="G56">
        <v>2000000</v>
      </c>
      <c r="H56">
        <v>985000</v>
      </c>
      <c r="I56">
        <v>0</v>
      </c>
      <c r="J56">
        <v>985000</v>
      </c>
      <c r="K56" t="s">
        <v>4775</v>
      </c>
      <c r="L56">
        <v>1015000</v>
      </c>
      <c r="M56" t="s">
        <v>4776</v>
      </c>
      <c r="N56" t="s">
        <v>4627</v>
      </c>
      <c r="O56" t="s">
        <v>1536</v>
      </c>
      <c r="P56" t="s">
        <v>1538</v>
      </c>
    </row>
    <row r="57" spans="1:16" x14ac:dyDescent="0.25">
      <c r="A57" t="s">
        <v>494</v>
      </c>
      <c r="B57" t="s">
        <v>1269</v>
      </c>
      <c r="C57" t="s">
        <v>833</v>
      </c>
      <c r="D57" t="s">
        <v>4762</v>
      </c>
      <c r="E57" t="s">
        <v>503</v>
      </c>
      <c r="F57" t="s">
        <v>4777</v>
      </c>
      <c r="G57">
        <v>1500000</v>
      </c>
      <c r="H57">
        <v>528000</v>
      </c>
      <c r="I57">
        <v>0</v>
      </c>
      <c r="J57">
        <v>528000</v>
      </c>
      <c r="K57" t="s">
        <v>4778</v>
      </c>
      <c r="L57">
        <v>972000</v>
      </c>
      <c r="M57" t="s">
        <v>4779</v>
      </c>
      <c r="N57" t="s">
        <v>4653</v>
      </c>
      <c r="O57" t="s">
        <v>1536</v>
      </c>
      <c r="P57" t="s">
        <v>1538</v>
      </c>
    </row>
    <row r="58" spans="1:16" x14ac:dyDescent="0.25">
      <c r="A58" t="s">
        <v>494</v>
      </c>
      <c r="B58" t="s">
        <v>1269</v>
      </c>
      <c r="C58" t="s">
        <v>833</v>
      </c>
      <c r="D58" t="s">
        <v>4654</v>
      </c>
      <c r="E58" t="s">
        <v>503</v>
      </c>
      <c r="F58" t="s">
        <v>4780</v>
      </c>
      <c r="G58">
        <v>1500000</v>
      </c>
      <c r="H58">
        <v>1495000</v>
      </c>
      <c r="I58">
        <v>0</v>
      </c>
      <c r="J58">
        <v>1495000</v>
      </c>
      <c r="K58" t="s">
        <v>4781</v>
      </c>
      <c r="L58">
        <v>5000</v>
      </c>
      <c r="M58" t="s">
        <v>4782</v>
      </c>
      <c r="N58" t="s">
        <v>4679</v>
      </c>
      <c r="O58" t="s">
        <v>1490</v>
      </c>
      <c r="P58" t="s">
        <v>1491</v>
      </c>
    </row>
    <row r="59" spans="1:16" x14ac:dyDescent="0.25">
      <c r="A59" t="s">
        <v>494</v>
      </c>
      <c r="B59" t="s">
        <v>1269</v>
      </c>
      <c r="C59" t="s">
        <v>833</v>
      </c>
      <c r="D59" t="s">
        <v>4654</v>
      </c>
      <c r="E59" t="s">
        <v>503</v>
      </c>
      <c r="F59" t="s">
        <v>4783</v>
      </c>
      <c r="G59">
        <v>1000000</v>
      </c>
      <c r="H59">
        <v>993500</v>
      </c>
      <c r="I59">
        <v>0</v>
      </c>
      <c r="J59">
        <v>993500</v>
      </c>
      <c r="K59" t="s">
        <v>4784</v>
      </c>
      <c r="L59">
        <v>6500</v>
      </c>
      <c r="M59" t="s">
        <v>4785</v>
      </c>
      <c r="N59" t="s">
        <v>4627</v>
      </c>
      <c r="O59" t="s">
        <v>1490</v>
      </c>
      <c r="P59" t="s">
        <v>1491</v>
      </c>
    </row>
    <row r="60" spans="1:16" x14ac:dyDescent="0.25">
      <c r="A60" t="s">
        <v>494</v>
      </c>
      <c r="B60" t="s">
        <v>1269</v>
      </c>
      <c r="C60" t="s">
        <v>833</v>
      </c>
      <c r="D60" t="s">
        <v>4654</v>
      </c>
      <c r="E60" t="s">
        <v>503</v>
      </c>
      <c r="F60" t="s">
        <v>4786</v>
      </c>
      <c r="G60">
        <v>10050000</v>
      </c>
      <c r="H60">
        <v>9054000</v>
      </c>
      <c r="I60">
        <v>0</v>
      </c>
      <c r="J60">
        <v>9054000</v>
      </c>
      <c r="K60" t="s">
        <v>4787</v>
      </c>
      <c r="L60">
        <v>996000</v>
      </c>
      <c r="M60" t="s">
        <v>4788</v>
      </c>
      <c r="N60" t="s">
        <v>4653</v>
      </c>
      <c r="O60" t="s">
        <v>1490</v>
      </c>
      <c r="P60" t="s">
        <v>1491</v>
      </c>
    </row>
    <row r="61" spans="1:16" x14ac:dyDescent="0.25">
      <c r="A61" t="s">
        <v>494</v>
      </c>
      <c r="B61" t="s">
        <v>1269</v>
      </c>
      <c r="C61" t="s">
        <v>833</v>
      </c>
      <c r="D61" t="s">
        <v>4641</v>
      </c>
      <c r="E61" t="s">
        <v>503</v>
      </c>
      <c r="F61" t="s">
        <v>4789</v>
      </c>
      <c r="G61">
        <v>1500000</v>
      </c>
      <c r="H61">
        <v>1500000</v>
      </c>
      <c r="I61">
        <v>0</v>
      </c>
      <c r="J61">
        <v>1500000</v>
      </c>
      <c r="K61" t="s">
        <v>4717</v>
      </c>
      <c r="L61">
        <v>0</v>
      </c>
      <c r="M61" t="s">
        <v>4790</v>
      </c>
      <c r="N61" t="s">
        <v>4679</v>
      </c>
      <c r="O61" t="s">
        <v>1469</v>
      </c>
      <c r="P61" t="s">
        <v>1470</v>
      </c>
    </row>
    <row r="62" spans="1:16" x14ac:dyDescent="0.25">
      <c r="A62" t="s">
        <v>494</v>
      </c>
      <c r="B62" t="s">
        <v>1269</v>
      </c>
      <c r="C62" t="s">
        <v>833</v>
      </c>
      <c r="D62" t="s">
        <v>4641</v>
      </c>
      <c r="E62" t="s">
        <v>503</v>
      </c>
      <c r="F62" t="s">
        <v>4791</v>
      </c>
      <c r="G62">
        <v>1000000</v>
      </c>
      <c r="H62">
        <v>999500</v>
      </c>
      <c r="I62">
        <v>0</v>
      </c>
      <c r="J62">
        <v>999500</v>
      </c>
      <c r="K62" t="s">
        <v>4792</v>
      </c>
      <c r="L62">
        <v>500</v>
      </c>
      <c r="M62" t="s">
        <v>4793</v>
      </c>
      <c r="N62" t="s">
        <v>4627</v>
      </c>
      <c r="O62" t="s">
        <v>1469</v>
      </c>
      <c r="P62" t="s">
        <v>1470</v>
      </c>
    </row>
    <row r="63" spans="1:16" x14ac:dyDescent="0.25">
      <c r="A63" t="s">
        <v>494</v>
      </c>
      <c r="B63" t="s">
        <v>1269</v>
      </c>
      <c r="C63" t="s">
        <v>833</v>
      </c>
      <c r="D63" t="s">
        <v>4641</v>
      </c>
      <c r="E63" t="s">
        <v>503</v>
      </c>
      <c r="F63" t="s">
        <v>4794</v>
      </c>
      <c r="G63">
        <v>1500000</v>
      </c>
      <c r="H63">
        <v>1499700</v>
      </c>
      <c r="I63">
        <v>0</v>
      </c>
      <c r="J63">
        <v>1499700</v>
      </c>
      <c r="K63" t="s">
        <v>4795</v>
      </c>
      <c r="L63">
        <v>300</v>
      </c>
      <c r="M63" t="s">
        <v>4796</v>
      </c>
      <c r="N63" t="s">
        <v>4714</v>
      </c>
      <c r="O63" t="s">
        <v>1469</v>
      </c>
      <c r="P63" t="s">
        <v>1470</v>
      </c>
    </row>
    <row r="64" spans="1:16" x14ac:dyDescent="0.25">
      <c r="A64" t="s">
        <v>494</v>
      </c>
      <c r="B64" t="s">
        <v>1269</v>
      </c>
      <c r="C64" t="s">
        <v>833</v>
      </c>
      <c r="D64" t="s">
        <v>4672</v>
      </c>
      <c r="E64" t="s">
        <v>503</v>
      </c>
      <c r="F64" t="s">
        <v>4797</v>
      </c>
      <c r="G64">
        <v>34100000</v>
      </c>
      <c r="H64">
        <v>34100000</v>
      </c>
      <c r="I64">
        <v>0</v>
      </c>
      <c r="J64">
        <v>34100000</v>
      </c>
      <c r="K64" t="s">
        <v>4717</v>
      </c>
      <c r="L64">
        <v>0</v>
      </c>
      <c r="M64" t="s">
        <v>4798</v>
      </c>
      <c r="N64" t="s">
        <v>4799</v>
      </c>
      <c r="O64" t="s">
        <v>1448</v>
      </c>
      <c r="P64" t="s">
        <v>1449</v>
      </c>
    </row>
    <row r="65" spans="1:16" x14ac:dyDescent="0.25">
      <c r="A65" t="s">
        <v>494</v>
      </c>
      <c r="B65" t="s">
        <v>1269</v>
      </c>
      <c r="C65" t="s">
        <v>833</v>
      </c>
      <c r="D65" t="s">
        <v>4672</v>
      </c>
      <c r="E65" t="s">
        <v>503</v>
      </c>
      <c r="F65" t="s">
        <v>4800</v>
      </c>
      <c r="G65">
        <v>1500000</v>
      </c>
      <c r="H65">
        <v>1500000</v>
      </c>
      <c r="I65">
        <v>0</v>
      </c>
      <c r="J65">
        <v>1500000</v>
      </c>
      <c r="K65" t="s">
        <v>4717</v>
      </c>
      <c r="L65">
        <v>0</v>
      </c>
      <c r="M65" t="s">
        <v>4801</v>
      </c>
      <c r="N65" t="s">
        <v>4679</v>
      </c>
      <c r="O65" t="s">
        <v>1448</v>
      </c>
      <c r="P65" t="s">
        <v>1449</v>
      </c>
    </row>
    <row r="66" spans="1:16" x14ac:dyDescent="0.25">
      <c r="A66" t="s">
        <v>494</v>
      </c>
      <c r="B66" t="s">
        <v>1269</v>
      </c>
      <c r="C66" t="s">
        <v>833</v>
      </c>
      <c r="D66" t="s">
        <v>4672</v>
      </c>
      <c r="E66" t="s">
        <v>503</v>
      </c>
      <c r="F66" t="s">
        <v>4802</v>
      </c>
      <c r="G66">
        <v>1000000</v>
      </c>
      <c r="H66">
        <v>997000</v>
      </c>
      <c r="I66">
        <v>0</v>
      </c>
      <c r="J66">
        <v>997000</v>
      </c>
      <c r="K66" t="s">
        <v>4803</v>
      </c>
      <c r="L66">
        <v>3000</v>
      </c>
      <c r="M66" t="s">
        <v>4804</v>
      </c>
      <c r="N66" t="s">
        <v>4627</v>
      </c>
      <c r="O66" t="s">
        <v>1448</v>
      </c>
      <c r="P66" t="s">
        <v>1449</v>
      </c>
    </row>
    <row r="67" spans="1:16" x14ac:dyDescent="0.25">
      <c r="A67" t="s">
        <v>494</v>
      </c>
      <c r="B67" t="s">
        <v>1269</v>
      </c>
      <c r="C67" t="s">
        <v>833</v>
      </c>
      <c r="D67" t="s">
        <v>4672</v>
      </c>
      <c r="E67" t="s">
        <v>503</v>
      </c>
      <c r="F67" t="s">
        <v>4805</v>
      </c>
      <c r="G67">
        <v>1500000</v>
      </c>
      <c r="H67">
        <v>1498000</v>
      </c>
      <c r="I67">
        <v>0</v>
      </c>
      <c r="J67">
        <v>1498000</v>
      </c>
      <c r="K67" t="s">
        <v>4806</v>
      </c>
      <c r="L67">
        <v>2000</v>
      </c>
      <c r="M67" t="s">
        <v>4807</v>
      </c>
      <c r="N67" t="s">
        <v>4714</v>
      </c>
      <c r="O67" t="s">
        <v>1448</v>
      </c>
      <c r="P67" t="s">
        <v>1449</v>
      </c>
    </row>
    <row r="68" spans="1:16" x14ac:dyDescent="0.25">
      <c r="A68" t="s">
        <v>494</v>
      </c>
      <c r="B68" t="s">
        <v>1269</v>
      </c>
      <c r="C68" t="s">
        <v>833</v>
      </c>
      <c r="D68" t="s">
        <v>4680</v>
      </c>
      <c r="E68" t="s">
        <v>503</v>
      </c>
      <c r="F68" t="s">
        <v>4808</v>
      </c>
      <c r="G68">
        <v>1500000</v>
      </c>
      <c r="H68">
        <v>1499000</v>
      </c>
      <c r="I68">
        <v>0</v>
      </c>
      <c r="J68">
        <v>1499000</v>
      </c>
      <c r="K68" t="s">
        <v>4809</v>
      </c>
      <c r="L68">
        <v>1000</v>
      </c>
      <c r="M68" t="s">
        <v>4810</v>
      </c>
      <c r="N68" t="s">
        <v>4811</v>
      </c>
      <c r="O68" t="s">
        <v>1437</v>
      </c>
      <c r="P68" t="s">
        <v>1438</v>
      </c>
    </row>
    <row r="69" spans="1:16" x14ac:dyDescent="0.25">
      <c r="A69" t="s">
        <v>494</v>
      </c>
      <c r="B69" t="s">
        <v>1269</v>
      </c>
      <c r="C69" t="s">
        <v>833</v>
      </c>
      <c r="D69" t="s">
        <v>4680</v>
      </c>
      <c r="E69" t="s">
        <v>503</v>
      </c>
      <c r="F69" t="s">
        <v>4812</v>
      </c>
      <c r="G69">
        <v>4500000</v>
      </c>
      <c r="H69">
        <v>1498000</v>
      </c>
      <c r="I69">
        <v>0</v>
      </c>
      <c r="J69">
        <v>1498000</v>
      </c>
      <c r="K69" t="s">
        <v>4813</v>
      </c>
      <c r="L69">
        <v>3002000</v>
      </c>
      <c r="M69" t="s">
        <v>4814</v>
      </c>
      <c r="N69" t="s">
        <v>4714</v>
      </c>
      <c r="O69" t="s">
        <v>1437</v>
      </c>
      <c r="P69" t="s">
        <v>1438</v>
      </c>
    </row>
    <row r="70" spans="1:16" x14ac:dyDescent="0.25">
      <c r="A70" t="s">
        <v>494</v>
      </c>
      <c r="B70" t="s">
        <v>1269</v>
      </c>
      <c r="C70" t="s">
        <v>833</v>
      </c>
      <c r="D70" t="s">
        <v>4680</v>
      </c>
      <c r="E70" t="s">
        <v>503</v>
      </c>
      <c r="F70" t="s">
        <v>4815</v>
      </c>
      <c r="G70">
        <v>4500000</v>
      </c>
      <c r="H70">
        <v>1500000</v>
      </c>
      <c r="I70">
        <v>0</v>
      </c>
      <c r="J70">
        <v>1500000</v>
      </c>
      <c r="K70" t="s">
        <v>4816</v>
      </c>
      <c r="L70">
        <v>3000000</v>
      </c>
      <c r="M70" t="s">
        <v>4817</v>
      </c>
      <c r="N70" t="s">
        <v>4679</v>
      </c>
      <c r="O70" t="s">
        <v>1437</v>
      </c>
      <c r="P70" t="s">
        <v>1438</v>
      </c>
    </row>
    <row r="71" spans="1:16" x14ac:dyDescent="0.25">
      <c r="A71" t="s">
        <v>494</v>
      </c>
      <c r="B71" t="s">
        <v>1269</v>
      </c>
      <c r="C71" t="s">
        <v>833</v>
      </c>
      <c r="D71" t="s">
        <v>4680</v>
      </c>
      <c r="E71" t="s">
        <v>503</v>
      </c>
      <c r="F71" t="s">
        <v>4818</v>
      </c>
      <c r="G71">
        <v>3000000</v>
      </c>
      <c r="H71">
        <v>962000</v>
      </c>
      <c r="I71">
        <v>0</v>
      </c>
      <c r="J71">
        <v>962000</v>
      </c>
      <c r="K71" t="s">
        <v>4819</v>
      </c>
      <c r="L71">
        <v>2038000</v>
      </c>
      <c r="M71" t="s">
        <v>4820</v>
      </c>
      <c r="N71" t="s">
        <v>4627</v>
      </c>
      <c r="O71" t="s">
        <v>1437</v>
      </c>
      <c r="P71" t="s">
        <v>1438</v>
      </c>
    </row>
    <row r="72" spans="1:16" x14ac:dyDescent="0.25">
      <c r="A72" t="s">
        <v>494</v>
      </c>
      <c r="B72" t="s">
        <v>1269</v>
      </c>
      <c r="C72" t="s">
        <v>833</v>
      </c>
      <c r="D72" t="s">
        <v>4691</v>
      </c>
      <c r="E72" t="s">
        <v>503</v>
      </c>
      <c r="F72" t="s">
        <v>4821</v>
      </c>
      <c r="G72">
        <v>1500000</v>
      </c>
      <c r="H72">
        <v>1500000</v>
      </c>
      <c r="I72">
        <v>0</v>
      </c>
      <c r="J72">
        <v>1500000</v>
      </c>
      <c r="K72" t="s">
        <v>4717</v>
      </c>
      <c r="L72">
        <v>0</v>
      </c>
      <c r="M72" t="s">
        <v>4822</v>
      </c>
      <c r="N72" t="s">
        <v>4811</v>
      </c>
      <c r="O72" t="s">
        <v>1417</v>
      </c>
      <c r="P72" t="s">
        <v>1419</v>
      </c>
    </row>
    <row r="73" spans="1:16" x14ac:dyDescent="0.25">
      <c r="A73" t="s">
        <v>494</v>
      </c>
      <c r="B73" t="s">
        <v>1269</v>
      </c>
      <c r="C73" t="s">
        <v>833</v>
      </c>
      <c r="D73" t="s">
        <v>4691</v>
      </c>
      <c r="E73" t="s">
        <v>503</v>
      </c>
      <c r="F73" t="s">
        <v>4823</v>
      </c>
      <c r="G73">
        <v>3000000</v>
      </c>
      <c r="H73">
        <v>2980000</v>
      </c>
      <c r="I73">
        <v>0</v>
      </c>
      <c r="J73">
        <v>2980000</v>
      </c>
      <c r="K73" t="s">
        <v>4824</v>
      </c>
      <c r="L73">
        <v>20000</v>
      </c>
      <c r="M73" t="s">
        <v>4825</v>
      </c>
      <c r="N73" t="s">
        <v>4679</v>
      </c>
      <c r="O73" t="s">
        <v>1417</v>
      </c>
      <c r="P73" t="s">
        <v>1419</v>
      </c>
    </row>
    <row r="74" spans="1:16" x14ac:dyDescent="0.25">
      <c r="A74" t="s">
        <v>494</v>
      </c>
      <c r="B74" t="s">
        <v>1269</v>
      </c>
      <c r="C74" t="s">
        <v>833</v>
      </c>
      <c r="D74" t="s">
        <v>4691</v>
      </c>
      <c r="E74" t="s">
        <v>503</v>
      </c>
      <c r="F74" t="s">
        <v>4826</v>
      </c>
      <c r="G74">
        <v>2000000</v>
      </c>
      <c r="H74">
        <v>1989000</v>
      </c>
      <c r="I74">
        <v>0</v>
      </c>
      <c r="J74">
        <v>1989000</v>
      </c>
      <c r="K74" t="s">
        <v>4827</v>
      </c>
      <c r="L74">
        <v>11000</v>
      </c>
      <c r="M74" t="s">
        <v>4828</v>
      </c>
      <c r="N74" t="s">
        <v>4627</v>
      </c>
      <c r="O74" t="s">
        <v>1417</v>
      </c>
      <c r="P74" t="s">
        <v>1419</v>
      </c>
    </row>
    <row r="75" spans="1:16" x14ac:dyDescent="0.25">
      <c r="A75" t="s">
        <v>494</v>
      </c>
      <c r="B75" t="s">
        <v>1269</v>
      </c>
      <c r="C75" t="s">
        <v>833</v>
      </c>
      <c r="D75" t="s">
        <v>4691</v>
      </c>
      <c r="E75" t="s">
        <v>503</v>
      </c>
      <c r="F75" t="s">
        <v>4829</v>
      </c>
      <c r="G75">
        <v>3000000</v>
      </c>
      <c r="H75">
        <v>3000000</v>
      </c>
      <c r="I75">
        <v>0</v>
      </c>
      <c r="J75">
        <v>3000000</v>
      </c>
      <c r="K75" t="s">
        <v>4717</v>
      </c>
      <c r="L75">
        <v>0</v>
      </c>
      <c r="M75" t="s">
        <v>4830</v>
      </c>
      <c r="N75" t="s">
        <v>4714</v>
      </c>
      <c r="O75" t="s">
        <v>1417</v>
      </c>
      <c r="P75" t="s">
        <v>1419</v>
      </c>
    </row>
    <row r="76" spans="1:16" x14ac:dyDescent="0.25">
      <c r="A76" t="s">
        <v>494</v>
      </c>
      <c r="B76" t="s">
        <v>1269</v>
      </c>
      <c r="C76" t="s">
        <v>833</v>
      </c>
      <c r="D76" t="s">
        <v>4691</v>
      </c>
      <c r="E76" t="s">
        <v>503</v>
      </c>
      <c r="F76" t="s">
        <v>4831</v>
      </c>
      <c r="G76">
        <v>24000000</v>
      </c>
      <c r="H76">
        <v>23902740</v>
      </c>
      <c r="I76">
        <v>0</v>
      </c>
      <c r="J76">
        <v>23902740</v>
      </c>
      <c r="K76" t="s">
        <v>4832</v>
      </c>
      <c r="L76">
        <v>97260</v>
      </c>
      <c r="M76" t="s">
        <v>4833</v>
      </c>
      <c r="N76" t="s">
        <v>4834</v>
      </c>
      <c r="O76" t="s">
        <v>1417</v>
      </c>
      <c r="P76" t="s">
        <v>1419</v>
      </c>
    </row>
    <row r="77" spans="1:16" x14ac:dyDescent="0.25">
      <c r="A77" t="s">
        <v>494</v>
      </c>
      <c r="B77" t="s">
        <v>1269</v>
      </c>
      <c r="C77" t="s">
        <v>833</v>
      </c>
      <c r="D77" t="s">
        <v>4623</v>
      </c>
      <c r="E77" t="s">
        <v>503</v>
      </c>
      <c r="F77" t="s">
        <v>4835</v>
      </c>
      <c r="G77">
        <v>4000000</v>
      </c>
      <c r="H77">
        <v>2970000</v>
      </c>
      <c r="I77">
        <v>0</v>
      </c>
      <c r="J77">
        <v>2970000</v>
      </c>
      <c r="K77" t="s">
        <v>4836</v>
      </c>
      <c r="L77">
        <v>1030000</v>
      </c>
      <c r="M77" t="s">
        <v>4837</v>
      </c>
      <c r="N77" t="s">
        <v>4679</v>
      </c>
      <c r="O77" t="s">
        <v>1403</v>
      </c>
      <c r="P77" t="s">
        <v>1404</v>
      </c>
    </row>
    <row r="78" spans="1:16" x14ac:dyDescent="0.25">
      <c r="A78" t="s">
        <v>494</v>
      </c>
      <c r="B78" t="s">
        <v>1269</v>
      </c>
      <c r="C78" t="s">
        <v>833</v>
      </c>
      <c r="D78" t="s">
        <v>4623</v>
      </c>
      <c r="E78" t="s">
        <v>503</v>
      </c>
      <c r="F78" t="s">
        <v>4838</v>
      </c>
      <c r="G78">
        <v>6000000</v>
      </c>
      <c r="H78">
        <v>2000000</v>
      </c>
      <c r="I78">
        <v>0</v>
      </c>
      <c r="J78">
        <v>2000000</v>
      </c>
      <c r="K78" t="s">
        <v>4816</v>
      </c>
      <c r="L78">
        <v>4000000</v>
      </c>
      <c r="M78" t="s">
        <v>4839</v>
      </c>
      <c r="N78" t="s">
        <v>4627</v>
      </c>
      <c r="O78" t="s">
        <v>1403</v>
      </c>
      <c r="P78" t="s">
        <v>1404</v>
      </c>
    </row>
    <row r="79" spans="1:16" x14ac:dyDescent="0.25">
      <c r="A79" t="s">
        <v>494</v>
      </c>
      <c r="B79" t="s">
        <v>1269</v>
      </c>
      <c r="C79" t="s">
        <v>833</v>
      </c>
      <c r="D79" t="s">
        <v>4636</v>
      </c>
      <c r="E79" t="s">
        <v>503</v>
      </c>
      <c r="F79" t="s">
        <v>4840</v>
      </c>
      <c r="G79">
        <v>1500000</v>
      </c>
      <c r="H79">
        <v>1499000</v>
      </c>
      <c r="I79">
        <v>0</v>
      </c>
      <c r="J79">
        <v>1499000</v>
      </c>
      <c r="K79" t="s">
        <v>4809</v>
      </c>
      <c r="L79">
        <v>1000</v>
      </c>
      <c r="M79" t="s">
        <v>4841</v>
      </c>
      <c r="N79" t="s">
        <v>4714</v>
      </c>
      <c r="O79" t="s">
        <v>1390</v>
      </c>
      <c r="P79" t="s">
        <v>1391</v>
      </c>
    </row>
    <row r="80" spans="1:16" x14ac:dyDescent="0.25">
      <c r="A80" t="s">
        <v>494</v>
      </c>
      <c r="B80" t="s">
        <v>1269</v>
      </c>
      <c r="C80" t="s">
        <v>833</v>
      </c>
      <c r="D80" t="s">
        <v>4636</v>
      </c>
      <c r="E80" t="s">
        <v>503</v>
      </c>
      <c r="F80" t="s">
        <v>4842</v>
      </c>
      <c r="G80">
        <v>2000000</v>
      </c>
      <c r="H80">
        <v>1500000</v>
      </c>
      <c r="I80">
        <v>0</v>
      </c>
      <c r="J80">
        <v>1500000</v>
      </c>
      <c r="K80" t="s">
        <v>4843</v>
      </c>
      <c r="L80">
        <v>500000</v>
      </c>
      <c r="M80" t="s">
        <v>4844</v>
      </c>
      <c r="N80" t="s">
        <v>4679</v>
      </c>
      <c r="O80" t="s">
        <v>1390</v>
      </c>
      <c r="P80" t="s">
        <v>1391</v>
      </c>
    </row>
    <row r="81" spans="1:16" x14ac:dyDescent="0.25">
      <c r="A81" t="s">
        <v>494</v>
      </c>
      <c r="B81" t="s">
        <v>1269</v>
      </c>
      <c r="C81" t="s">
        <v>833</v>
      </c>
      <c r="D81" t="s">
        <v>4636</v>
      </c>
      <c r="E81" t="s">
        <v>503</v>
      </c>
      <c r="F81" t="s">
        <v>4845</v>
      </c>
      <c r="G81">
        <v>1500000</v>
      </c>
      <c r="H81">
        <v>999800</v>
      </c>
      <c r="I81">
        <v>0</v>
      </c>
      <c r="J81">
        <v>999800</v>
      </c>
      <c r="K81" t="s">
        <v>4846</v>
      </c>
      <c r="L81">
        <v>500200</v>
      </c>
      <c r="M81" t="s">
        <v>4847</v>
      </c>
      <c r="N81" t="s">
        <v>4627</v>
      </c>
      <c r="O81" t="s">
        <v>1390</v>
      </c>
      <c r="P81" t="s">
        <v>1391</v>
      </c>
    </row>
    <row r="82" spans="1:16" x14ac:dyDescent="0.25">
      <c r="A82" t="s">
        <v>494</v>
      </c>
      <c r="B82" t="s">
        <v>1036</v>
      </c>
      <c r="C82" t="s">
        <v>1185</v>
      </c>
      <c r="D82" t="s">
        <v>4848</v>
      </c>
      <c r="E82" t="s">
        <v>503</v>
      </c>
      <c r="F82" t="s">
        <v>4849</v>
      </c>
      <c r="G82">
        <v>8400000</v>
      </c>
      <c r="H82">
        <v>3990000</v>
      </c>
      <c r="I82">
        <v>0</v>
      </c>
      <c r="J82">
        <v>3990000</v>
      </c>
      <c r="K82" t="s">
        <v>4850</v>
      </c>
      <c r="L82">
        <v>4410000</v>
      </c>
      <c r="M82" t="s">
        <v>4851</v>
      </c>
      <c r="N82" t="s">
        <v>4852</v>
      </c>
      <c r="O82" t="s">
        <v>1187</v>
      </c>
      <c r="P82" t="s">
        <v>1188</v>
      </c>
    </row>
    <row r="83" spans="1:16" x14ac:dyDescent="0.25">
      <c r="A83" t="s">
        <v>494</v>
      </c>
      <c r="B83" t="s">
        <v>1036</v>
      </c>
      <c r="C83" t="s">
        <v>1185</v>
      </c>
      <c r="D83" t="s">
        <v>4848</v>
      </c>
      <c r="E83" t="s">
        <v>503</v>
      </c>
      <c r="F83" t="s">
        <v>4853</v>
      </c>
      <c r="G83">
        <v>4000000</v>
      </c>
      <c r="H83">
        <v>1957500</v>
      </c>
      <c r="I83">
        <v>0</v>
      </c>
      <c r="J83">
        <v>1957500</v>
      </c>
      <c r="K83" t="s">
        <v>4854</v>
      </c>
      <c r="L83">
        <v>2042500</v>
      </c>
      <c r="M83" t="s">
        <v>4855</v>
      </c>
      <c r="N83" t="s">
        <v>4714</v>
      </c>
      <c r="O83" t="s">
        <v>1187</v>
      </c>
      <c r="P83" t="s">
        <v>1188</v>
      </c>
    </row>
    <row r="84" spans="1:16" x14ac:dyDescent="0.25">
      <c r="A84" t="s">
        <v>494</v>
      </c>
      <c r="B84" t="s">
        <v>3105</v>
      </c>
      <c r="C84" t="s">
        <v>833</v>
      </c>
      <c r="D84" t="s">
        <v>4641</v>
      </c>
      <c r="E84" t="s">
        <v>537</v>
      </c>
      <c r="F84" t="s">
        <v>4856</v>
      </c>
      <c r="G84">
        <v>11000000</v>
      </c>
      <c r="H84">
        <v>4000000</v>
      </c>
      <c r="I84">
        <v>0</v>
      </c>
      <c r="J84">
        <v>4000000</v>
      </c>
      <c r="K84" t="s">
        <v>4857</v>
      </c>
      <c r="L84">
        <v>7000000</v>
      </c>
      <c r="M84" t="s">
        <v>4858</v>
      </c>
      <c r="N84" t="s">
        <v>4627</v>
      </c>
      <c r="O84" t="s">
        <v>3377</v>
      </c>
      <c r="P84" t="s">
        <v>3381</v>
      </c>
    </row>
    <row r="85" spans="1:16" x14ac:dyDescent="0.25">
      <c r="A85" t="s">
        <v>494</v>
      </c>
      <c r="B85" t="s">
        <v>3105</v>
      </c>
      <c r="C85" t="s">
        <v>833</v>
      </c>
      <c r="D85" t="s">
        <v>4641</v>
      </c>
      <c r="E85" t="s">
        <v>537</v>
      </c>
      <c r="F85" t="s">
        <v>4859</v>
      </c>
      <c r="G85">
        <v>16500000</v>
      </c>
      <c r="H85">
        <v>5960000</v>
      </c>
      <c r="I85">
        <v>0</v>
      </c>
      <c r="J85">
        <v>5960000</v>
      </c>
      <c r="K85" t="s">
        <v>4860</v>
      </c>
      <c r="L85">
        <v>10540000</v>
      </c>
      <c r="M85" t="s">
        <v>4861</v>
      </c>
      <c r="N85" t="s">
        <v>4679</v>
      </c>
      <c r="O85" t="s">
        <v>3377</v>
      </c>
      <c r="P85" t="s">
        <v>3381</v>
      </c>
    </row>
    <row r="86" spans="1:16" x14ac:dyDescent="0.25">
      <c r="A86" t="s">
        <v>494</v>
      </c>
      <c r="B86" t="s">
        <v>2469</v>
      </c>
      <c r="C86" t="s">
        <v>833</v>
      </c>
      <c r="D86" t="s">
        <v>4691</v>
      </c>
      <c r="E86" t="s">
        <v>537</v>
      </c>
      <c r="F86" t="s">
        <v>4862</v>
      </c>
      <c r="G86">
        <v>10500000</v>
      </c>
      <c r="H86">
        <v>5848750</v>
      </c>
      <c r="I86">
        <v>0</v>
      </c>
      <c r="J86">
        <v>5848750</v>
      </c>
      <c r="K86" t="s">
        <v>4863</v>
      </c>
      <c r="L86">
        <v>4651250</v>
      </c>
      <c r="M86" t="s">
        <v>4864</v>
      </c>
      <c r="N86" t="s">
        <v>4679</v>
      </c>
      <c r="O86" t="s">
        <v>2771</v>
      </c>
      <c r="P86" t="s">
        <v>2776</v>
      </c>
    </row>
    <row r="87" spans="1:16" x14ac:dyDescent="0.25">
      <c r="A87" t="s">
        <v>494</v>
      </c>
      <c r="B87" t="s">
        <v>2469</v>
      </c>
      <c r="C87" t="s">
        <v>833</v>
      </c>
      <c r="D87" t="s">
        <v>4691</v>
      </c>
      <c r="E87" t="s">
        <v>537</v>
      </c>
      <c r="F87" t="s">
        <v>4865</v>
      </c>
      <c r="G87">
        <v>7000000</v>
      </c>
      <c r="H87">
        <v>3977000</v>
      </c>
      <c r="I87">
        <v>0</v>
      </c>
      <c r="J87">
        <v>3977000</v>
      </c>
      <c r="K87" t="s">
        <v>4866</v>
      </c>
      <c r="L87">
        <v>3023000</v>
      </c>
      <c r="M87" t="s">
        <v>4867</v>
      </c>
      <c r="N87" t="s">
        <v>4627</v>
      </c>
      <c r="O87" t="s">
        <v>2771</v>
      </c>
      <c r="P87" t="s">
        <v>2776</v>
      </c>
    </row>
    <row r="88" spans="1:16" x14ac:dyDescent="0.25">
      <c r="A88" t="s">
        <v>494</v>
      </c>
      <c r="B88" t="s">
        <v>2469</v>
      </c>
      <c r="C88" t="s">
        <v>833</v>
      </c>
      <c r="D88" t="s">
        <v>4623</v>
      </c>
      <c r="E88" t="s">
        <v>537</v>
      </c>
      <c r="F88" t="s">
        <v>4868</v>
      </c>
      <c r="G88">
        <v>12000000</v>
      </c>
      <c r="H88">
        <v>5885000</v>
      </c>
      <c r="I88">
        <v>0</v>
      </c>
      <c r="J88">
        <v>5885000</v>
      </c>
      <c r="K88" t="s">
        <v>4869</v>
      </c>
      <c r="L88">
        <v>6115000</v>
      </c>
      <c r="M88" t="s">
        <v>4870</v>
      </c>
      <c r="N88" t="s">
        <v>4679</v>
      </c>
      <c r="O88" t="s">
        <v>2756</v>
      </c>
      <c r="P88" t="s">
        <v>2763</v>
      </c>
    </row>
    <row r="89" spans="1:16" x14ac:dyDescent="0.25">
      <c r="A89" t="s">
        <v>494</v>
      </c>
      <c r="B89" t="s">
        <v>2469</v>
      </c>
      <c r="C89" t="s">
        <v>833</v>
      </c>
      <c r="D89" t="s">
        <v>4623</v>
      </c>
      <c r="E89" t="s">
        <v>537</v>
      </c>
      <c r="F89" t="s">
        <v>4871</v>
      </c>
      <c r="G89">
        <v>8000000</v>
      </c>
      <c r="H89">
        <v>3898000</v>
      </c>
      <c r="I89">
        <v>0</v>
      </c>
      <c r="J89">
        <v>3898000</v>
      </c>
      <c r="K89" t="s">
        <v>4872</v>
      </c>
      <c r="L89">
        <v>4102000</v>
      </c>
      <c r="M89" t="s">
        <v>4873</v>
      </c>
      <c r="N89" t="s">
        <v>4627</v>
      </c>
      <c r="O89" t="s">
        <v>2756</v>
      </c>
      <c r="P89" t="s">
        <v>2763</v>
      </c>
    </row>
    <row r="90" spans="1:16" x14ac:dyDescent="0.25">
      <c r="A90" t="s">
        <v>494</v>
      </c>
      <c r="B90" t="s">
        <v>2469</v>
      </c>
      <c r="C90" t="s">
        <v>833</v>
      </c>
      <c r="D90" t="s">
        <v>4636</v>
      </c>
      <c r="E90" t="s">
        <v>537</v>
      </c>
      <c r="F90" t="s">
        <v>4874</v>
      </c>
      <c r="G90">
        <v>6000000</v>
      </c>
      <c r="H90">
        <v>2910000</v>
      </c>
      <c r="I90">
        <v>0</v>
      </c>
      <c r="J90">
        <v>2910000</v>
      </c>
      <c r="K90" t="s">
        <v>4875</v>
      </c>
      <c r="L90">
        <v>3090000</v>
      </c>
      <c r="M90" t="s">
        <v>4876</v>
      </c>
      <c r="N90" t="s">
        <v>4679</v>
      </c>
      <c r="O90" t="s">
        <v>2741</v>
      </c>
      <c r="P90" t="s">
        <v>2750</v>
      </c>
    </row>
    <row r="91" spans="1:16" x14ac:dyDescent="0.25">
      <c r="A91" t="s">
        <v>494</v>
      </c>
      <c r="B91" t="s">
        <v>2469</v>
      </c>
      <c r="C91" t="s">
        <v>833</v>
      </c>
      <c r="D91" t="s">
        <v>4636</v>
      </c>
      <c r="E91" t="s">
        <v>537</v>
      </c>
      <c r="F91" t="s">
        <v>4877</v>
      </c>
      <c r="G91">
        <v>4000000</v>
      </c>
      <c r="H91">
        <v>1939000</v>
      </c>
      <c r="I91">
        <v>0</v>
      </c>
      <c r="J91">
        <v>1939000</v>
      </c>
      <c r="K91" t="s">
        <v>4878</v>
      </c>
      <c r="L91">
        <v>2061000</v>
      </c>
      <c r="M91" t="s">
        <v>4879</v>
      </c>
      <c r="N91" t="s">
        <v>4627</v>
      </c>
      <c r="O91" t="s">
        <v>2741</v>
      </c>
      <c r="P91" t="s">
        <v>2750</v>
      </c>
    </row>
    <row r="92" spans="1:16" x14ac:dyDescent="0.25">
      <c r="A92" t="s">
        <v>494</v>
      </c>
      <c r="B92" t="s">
        <v>1700</v>
      </c>
      <c r="C92" t="s">
        <v>557</v>
      </c>
      <c r="D92" t="s">
        <v>4880</v>
      </c>
      <c r="E92" t="s">
        <v>537</v>
      </c>
      <c r="F92" t="s">
        <v>4881</v>
      </c>
      <c r="G92">
        <v>11000000</v>
      </c>
      <c r="H92">
        <v>5500000</v>
      </c>
      <c r="I92">
        <v>0</v>
      </c>
      <c r="J92">
        <v>5500000</v>
      </c>
      <c r="K92" t="s">
        <v>4721</v>
      </c>
      <c r="L92">
        <v>5500000</v>
      </c>
      <c r="M92" t="s">
        <v>4882</v>
      </c>
      <c r="N92" t="s">
        <v>4883</v>
      </c>
      <c r="O92" t="s">
        <v>2170</v>
      </c>
      <c r="P92" t="s">
        <v>2189</v>
      </c>
    </row>
    <row r="93" spans="1:16" x14ac:dyDescent="0.25">
      <c r="A93" t="s">
        <v>494</v>
      </c>
      <c r="B93" t="s">
        <v>1700</v>
      </c>
      <c r="C93" t="s">
        <v>557</v>
      </c>
      <c r="D93" t="s">
        <v>4880</v>
      </c>
      <c r="E93" t="s">
        <v>537</v>
      </c>
      <c r="F93" t="s">
        <v>4884</v>
      </c>
      <c r="G93">
        <v>4000000</v>
      </c>
      <c r="H93">
        <v>4000000</v>
      </c>
      <c r="I93">
        <v>0</v>
      </c>
      <c r="J93">
        <v>4000000</v>
      </c>
      <c r="K93" t="s">
        <v>4717</v>
      </c>
      <c r="L93">
        <v>0</v>
      </c>
      <c r="M93" t="s">
        <v>4885</v>
      </c>
      <c r="N93" t="s">
        <v>4886</v>
      </c>
      <c r="O93" t="s">
        <v>2170</v>
      </c>
      <c r="P93" t="s">
        <v>2189</v>
      </c>
    </row>
    <row r="94" spans="1:16" x14ac:dyDescent="0.25">
      <c r="A94" t="s">
        <v>494</v>
      </c>
      <c r="B94" t="s">
        <v>1700</v>
      </c>
      <c r="C94" t="s">
        <v>557</v>
      </c>
      <c r="D94" t="s">
        <v>4880</v>
      </c>
      <c r="E94" t="s">
        <v>537</v>
      </c>
      <c r="F94" t="s">
        <v>4887</v>
      </c>
      <c r="G94">
        <v>12000000</v>
      </c>
      <c r="H94">
        <v>5995000</v>
      </c>
      <c r="I94">
        <v>0</v>
      </c>
      <c r="J94">
        <v>5995000</v>
      </c>
      <c r="K94" t="s">
        <v>4888</v>
      </c>
      <c r="L94">
        <v>6005000</v>
      </c>
      <c r="M94" t="s">
        <v>4889</v>
      </c>
      <c r="N94" t="s">
        <v>4890</v>
      </c>
      <c r="O94" t="s">
        <v>2170</v>
      </c>
      <c r="P94" t="s">
        <v>2189</v>
      </c>
    </row>
    <row r="95" spans="1:16" x14ac:dyDescent="0.25">
      <c r="A95" t="s">
        <v>494</v>
      </c>
      <c r="B95" t="s">
        <v>1700</v>
      </c>
      <c r="C95" t="s">
        <v>557</v>
      </c>
      <c r="D95" t="s">
        <v>4880</v>
      </c>
      <c r="E95" t="s">
        <v>537</v>
      </c>
      <c r="F95" t="s">
        <v>4891</v>
      </c>
      <c r="G95">
        <v>11000000</v>
      </c>
      <c r="H95">
        <v>5500000</v>
      </c>
      <c r="I95">
        <v>0</v>
      </c>
      <c r="J95">
        <v>5500000</v>
      </c>
      <c r="K95" t="s">
        <v>4721</v>
      </c>
      <c r="L95">
        <v>5500000</v>
      </c>
      <c r="M95" t="s">
        <v>4892</v>
      </c>
      <c r="N95" t="s">
        <v>4893</v>
      </c>
      <c r="O95" t="s">
        <v>2170</v>
      </c>
      <c r="P95" t="s">
        <v>2189</v>
      </c>
    </row>
    <row r="96" spans="1:16" x14ac:dyDescent="0.25">
      <c r="A96" t="s">
        <v>494</v>
      </c>
      <c r="B96" t="s">
        <v>1700</v>
      </c>
      <c r="C96" t="s">
        <v>557</v>
      </c>
      <c r="D96" t="s">
        <v>4880</v>
      </c>
      <c r="E96" t="s">
        <v>537</v>
      </c>
      <c r="F96" t="s">
        <v>4894</v>
      </c>
      <c r="G96">
        <v>10560000</v>
      </c>
      <c r="H96">
        <v>4400000</v>
      </c>
      <c r="I96">
        <v>0</v>
      </c>
      <c r="J96">
        <v>4400000</v>
      </c>
      <c r="K96" t="s">
        <v>4895</v>
      </c>
      <c r="L96">
        <v>6160000</v>
      </c>
      <c r="M96" t="s">
        <v>4896</v>
      </c>
      <c r="N96" t="s">
        <v>4897</v>
      </c>
      <c r="O96" t="s">
        <v>2170</v>
      </c>
      <c r="P96" t="s">
        <v>2189</v>
      </c>
    </row>
    <row r="97" spans="1:16" x14ac:dyDescent="0.25">
      <c r="A97" t="s">
        <v>494</v>
      </c>
      <c r="B97" t="s">
        <v>1700</v>
      </c>
      <c r="C97" t="s">
        <v>557</v>
      </c>
      <c r="D97" t="s">
        <v>4880</v>
      </c>
      <c r="E97" t="s">
        <v>537</v>
      </c>
      <c r="F97" t="s">
        <v>4898</v>
      </c>
      <c r="G97">
        <v>9600000</v>
      </c>
      <c r="H97">
        <v>4000000</v>
      </c>
      <c r="I97">
        <v>0</v>
      </c>
      <c r="J97">
        <v>4000000</v>
      </c>
      <c r="K97" t="s">
        <v>4895</v>
      </c>
      <c r="L97">
        <v>5600000</v>
      </c>
      <c r="M97" t="s">
        <v>4899</v>
      </c>
      <c r="N97" t="s">
        <v>4900</v>
      </c>
      <c r="O97" t="s">
        <v>2170</v>
      </c>
      <c r="P97" t="s">
        <v>2189</v>
      </c>
    </row>
    <row r="98" spans="1:16" x14ac:dyDescent="0.25">
      <c r="A98" t="s">
        <v>494</v>
      </c>
      <c r="B98" t="s">
        <v>1700</v>
      </c>
      <c r="C98" t="s">
        <v>557</v>
      </c>
      <c r="D98" t="s">
        <v>4880</v>
      </c>
      <c r="E98" t="s">
        <v>537</v>
      </c>
      <c r="F98" t="s">
        <v>4901</v>
      </c>
      <c r="G98">
        <v>60000000</v>
      </c>
      <c r="H98">
        <v>19370000</v>
      </c>
      <c r="I98">
        <v>0</v>
      </c>
      <c r="J98">
        <v>19370000</v>
      </c>
      <c r="K98" t="s">
        <v>4902</v>
      </c>
      <c r="L98">
        <v>40630000</v>
      </c>
      <c r="M98" t="s">
        <v>4903</v>
      </c>
      <c r="N98" t="s">
        <v>4679</v>
      </c>
      <c r="O98" t="s">
        <v>2170</v>
      </c>
      <c r="P98" t="s">
        <v>2189</v>
      </c>
    </row>
    <row r="99" spans="1:16" x14ac:dyDescent="0.25">
      <c r="A99" t="s">
        <v>494</v>
      </c>
      <c r="B99" t="s">
        <v>1700</v>
      </c>
      <c r="C99" t="s">
        <v>557</v>
      </c>
      <c r="D99" t="s">
        <v>4880</v>
      </c>
      <c r="E99" t="s">
        <v>537</v>
      </c>
      <c r="F99" t="s">
        <v>4904</v>
      </c>
      <c r="G99">
        <v>40000000</v>
      </c>
      <c r="H99">
        <v>15943000</v>
      </c>
      <c r="I99">
        <v>0</v>
      </c>
      <c r="J99">
        <v>15943000</v>
      </c>
      <c r="K99" t="s">
        <v>4905</v>
      </c>
      <c r="L99">
        <v>24057000</v>
      </c>
      <c r="M99" t="s">
        <v>4906</v>
      </c>
      <c r="N99" t="s">
        <v>4627</v>
      </c>
      <c r="O99" t="s">
        <v>2170</v>
      </c>
      <c r="P99" t="s">
        <v>2189</v>
      </c>
    </row>
    <row r="100" spans="1:16" x14ac:dyDescent="0.25">
      <c r="A100" t="s">
        <v>494</v>
      </c>
      <c r="B100" t="s">
        <v>1036</v>
      </c>
      <c r="C100" t="s">
        <v>1185</v>
      </c>
      <c r="D100" t="s">
        <v>4848</v>
      </c>
      <c r="E100" t="s">
        <v>537</v>
      </c>
      <c r="F100" t="s">
        <v>4907</v>
      </c>
      <c r="G100">
        <v>6000000</v>
      </c>
      <c r="H100">
        <v>2403750</v>
      </c>
      <c r="I100">
        <v>0</v>
      </c>
      <c r="J100">
        <v>2403750</v>
      </c>
      <c r="K100" t="s">
        <v>4908</v>
      </c>
      <c r="L100">
        <v>3596250</v>
      </c>
      <c r="M100" t="s">
        <v>4909</v>
      </c>
      <c r="N100" t="s">
        <v>4910</v>
      </c>
      <c r="O100" t="s">
        <v>1187</v>
      </c>
      <c r="P100" t="s">
        <v>1194</v>
      </c>
    </row>
    <row r="101" spans="1:16" x14ac:dyDescent="0.25">
      <c r="A101" t="s">
        <v>494</v>
      </c>
      <c r="B101" t="s">
        <v>1036</v>
      </c>
      <c r="C101" t="s">
        <v>1185</v>
      </c>
      <c r="D101" t="s">
        <v>4848</v>
      </c>
      <c r="E101" t="s">
        <v>537</v>
      </c>
      <c r="F101" t="s">
        <v>4911</v>
      </c>
      <c r="G101">
        <v>4000000</v>
      </c>
      <c r="H101">
        <v>1976000</v>
      </c>
      <c r="I101">
        <v>0</v>
      </c>
      <c r="J101">
        <v>1976000</v>
      </c>
      <c r="K101" t="s">
        <v>4912</v>
      </c>
      <c r="L101">
        <v>2024000</v>
      </c>
      <c r="M101" t="s">
        <v>4913</v>
      </c>
      <c r="N101" t="s">
        <v>4627</v>
      </c>
      <c r="O101" t="s">
        <v>1187</v>
      </c>
      <c r="P101" t="s">
        <v>1194</v>
      </c>
    </row>
    <row r="102" spans="1:16" x14ac:dyDescent="0.25">
      <c r="A102" t="s">
        <v>494</v>
      </c>
      <c r="B102" t="s">
        <v>1700</v>
      </c>
      <c r="C102" t="s">
        <v>557</v>
      </c>
      <c r="D102" t="s">
        <v>4914</v>
      </c>
      <c r="E102" t="s">
        <v>570</v>
      </c>
      <c r="F102" t="s">
        <v>4915</v>
      </c>
      <c r="G102">
        <v>2400000</v>
      </c>
      <c r="H102">
        <v>600000</v>
      </c>
      <c r="I102">
        <v>0</v>
      </c>
      <c r="J102">
        <v>600000</v>
      </c>
      <c r="K102" t="s">
        <v>4730</v>
      </c>
      <c r="L102">
        <v>1800000</v>
      </c>
      <c r="M102" t="s">
        <v>4916</v>
      </c>
      <c r="N102" t="s">
        <v>4917</v>
      </c>
      <c r="O102" t="s">
        <v>2238</v>
      </c>
      <c r="P102" t="s">
        <v>2247</v>
      </c>
    </row>
    <row r="103" spans="1:16" x14ac:dyDescent="0.25">
      <c r="A103" t="s">
        <v>494</v>
      </c>
      <c r="B103" t="s">
        <v>1700</v>
      </c>
      <c r="C103" t="s">
        <v>557</v>
      </c>
      <c r="D103" t="s">
        <v>4914</v>
      </c>
      <c r="E103" t="s">
        <v>570</v>
      </c>
      <c r="F103" t="s">
        <v>4918</v>
      </c>
      <c r="G103">
        <v>960000</v>
      </c>
      <c r="H103">
        <v>240000</v>
      </c>
      <c r="I103">
        <v>0</v>
      </c>
      <c r="J103">
        <v>240000</v>
      </c>
      <c r="K103" t="s">
        <v>4730</v>
      </c>
      <c r="L103">
        <v>720000</v>
      </c>
      <c r="M103" t="s">
        <v>4919</v>
      </c>
      <c r="N103" t="s">
        <v>4920</v>
      </c>
      <c r="O103" t="s">
        <v>2238</v>
      </c>
      <c r="P103" t="s">
        <v>2247</v>
      </c>
    </row>
    <row r="104" spans="1:16" x14ac:dyDescent="0.25">
      <c r="A104" t="s">
        <v>494</v>
      </c>
      <c r="B104" t="s">
        <v>1700</v>
      </c>
      <c r="C104" t="s">
        <v>557</v>
      </c>
      <c r="D104" t="s">
        <v>4914</v>
      </c>
      <c r="E104" t="s">
        <v>570</v>
      </c>
      <c r="F104" t="s">
        <v>4921</v>
      </c>
      <c r="G104">
        <v>2400000</v>
      </c>
      <c r="H104">
        <v>600000</v>
      </c>
      <c r="I104">
        <v>0</v>
      </c>
      <c r="J104">
        <v>600000</v>
      </c>
      <c r="K104" t="s">
        <v>4730</v>
      </c>
      <c r="L104">
        <v>1800000</v>
      </c>
      <c r="M104" t="s">
        <v>4922</v>
      </c>
      <c r="N104" t="s">
        <v>4923</v>
      </c>
      <c r="O104" t="s">
        <v>2238</v>
      </c>
      <c r="P104" t="s">
        <v>2247</v>
      </c>
    </row>
    <row r="105" spans="1:16" x14ac:dyDescent="0.25">
      <c r="A105" t="s">
        <v>494</v>
      </c>
      <c r="B105" t="s">
        <v>1700</v>
      </c>
      <c r="C105" t="s">
        <v>557</v>
      </c>
      <c r="D105" t="s">
        <v>4914</v>
      </c>
      <c r="E105" t="s">
        <v>570</v>
      </c>
      <c r="F105" t="s">
        <v>4924</v>
      </c>
      <c r="G105">
        <v>8160000</v>
      </c>
      <c r="H105">
        <v>2040000</v>
      </c>
      <c r="I105">
        <v>0</v>
      </c>
      <c r="J105">
        <v>2040000</v>
      </c>
      <c r="K105" t="s">
        <v>4730</v>
      </c>
      <c r="L105">
        <v>6120000</v>
      </c>
      <c r="M105" t="s">
        <v>4925</v>
      </c>
      <c r="N105" t="s">
        <v>4926</v>
      </c>
      <c r="O105" t="s">
        <v>2238</v>
      </c>
      <c r="P105" t="s">
        <v>2247</v>
      </c>
    </row>
    <row r="106" spans="1:16" x14ac:dyDescent="0.25">
      <c r="A106" t="s">
        <v>494</v>
      </c>
      <c r="B106" t="s">
        <v>1700</v>
      </c>
      <c r="C106" t="s">
        <v>557</v>
      </c>
      <c r="D106" t="s">
        <v>4914</v>
      </c>
      <c r="E106" t="s">
        <v>570</v>
      </c>
      <c r="F106" t="s">
        <v>4927</v>
      </c>
      <c r="G106">
        <v>3888000</v>
      </c>
      <c r="H106">
        <v>972000</v>
      </c>
      <c r="I106">
        <v>0</v>
      </c>
      <c r="J106">
        <v>972000</v>
      </c>
      <c r="K106" t="s">
        <v>4730</v>
      </c>
      <c r="L106">
        <v>2916000</v>
      </c>
      <c r="M106" t="s">
        <v>4928</v>
      </c>
      <c r="N106" t="s">
        <v>4929</v>
      </c>
      <c r="O106" t="s">
        <v>2238</v>
      </c>
      <c r="P106" t="s">
        <v>2247</v>
      </c>
    </row>
    <row r="107" spans="1:16" x14ac:dyDescent="0.25">
      <c r="A107" t="s">
        <v>494</v>
      </c>
      <c r="B107" t="s">
        <v>1700</v>
      </c>
      <c r="C107" t="s">
        <v>557</v>
      </c>
      <c r="D107" t="s">
        <v>4914</v>
      </c>
      <c r="E107" t="s">
        <v>570</v>
      </c>
      <c r="F107" t="s">
        <v>4930</v>
      </c>
      <c r="G107">
        <v>3888000</v>
      </c>
      <c r="H107">
        <v>2932000</v>
      </c>
      <c r="I107">
        <v>0</v>
      </c>
      <c r="J107">
        <v>2932000</v>
      </c>
      <c r="K107" t="s">
        <v>4931</v>
      </c>
      <c r="L107">
        <v>956000</v>
      </c>
      <c r="M107" t="s">
        <v>4932</v>
      </c>
      <c r="N107" t="s">
        <v>4933</v>
      </c>
      <c r="O107" t="s">
        <v>2238</v>
      </c>
      <c r="P107" t="s">
        <v>2247</v>
      </c>
    </row>
    <row r="108" spans="1:16" x14ac:dyDescent="0.25">
      <c r="A108" t="s">
        <v>494</v>
      </c>
      <c r="B108" t="s">
        <v>1700</v>
      </c>
      <c r="C108" t="s">
        <v>557</v>
      </c>
      <c r="D108" t="s">
        <v>4914</v>
      </c>
      <c r="E108" t="s">
        <v>570</v>
      </c>
      <c r="F108" t="s">
        <v>4934</v>
      </c>
      <c r="G108">
        <v>35040000</v>
      </c>
      <c r="H108">
        <v>8760000</v>
      </c>
      <c r="I108">
        <v>0</v>
      </c>
      <c r="J108">
        <v>8760000</v>
      </c>
      <c r="K108" t="s">
        <v>4730</v>
      </c>
      <c r="L108">
        <v>26280000</v>
      </c>
      <c r="M108" t="s">
        <v>4935</v>
      </c>
      <c r="N108" t="s">
        <v>4936</v>
      </c>
      <c r="O108" t="s">
        <v>2238</v>
      </c>
      <c r="P108" t="s">
        <v>2247</v>
      </c>
    </row>
    <row r="109" spans="1:16" x14ac:dyDescent="0.25">
      <c r="A109" t="s">
        <v>494</v>
      </c>
      <c r="B109" t="s">
        <v>1700</v>
      </c>
      <c r="C109" t="s">
        <v>557</v>
      </c>
      <c r="D109" t="s">
        <v>4914</v>
      </c>
      <c r="E109" t="s">
        <v>559</v>
      </c>
      <c r="F109" t="s">
        <v>4937</v>
      </c>
      <c r="G109">
        <v>85700000</v>
      </c>
      <c r="H109">
        <v>44410000</v>
      </c>
      <c r="I109">
        <v>0</v>
      </c>
      <c r="J109">
        <v>44410000</v>
      </c>
      <c r="K109" t="s">
        <v>4938</v>
      </c>
      <c r="L109">
        <v>41290000</v>
      </c>
      <c r="M109" t="s">
        <v>4939</v>
      </c>
      <c r="N109" t="s">
        <v>4940</v>
      </c>
      <c r="O109" t="s">
        <v>2238</v>
      </c>
      <c r="P109" t="s">
        <v>2241</v>
      </c>
    </row>
    <row r="110" spans="1:16" x14ac:dyDescent="0.25">
      <c r="A110" t="s">
        <v>494</v>
      </c>
      <c r="B110" t="s">
        <v>1700</v>
      </c>
      <c r="C110" t="s">
        <v>557</v>
      </c>
      <c r="D110" t="s">
        <v>4941</v>
      </c>
      <c r="E110" t="s">
        <v>568</v>
      </c>
      <c r="F110" t="s">
        <v>4942</v>
      </c>
      <c r="G110">
        <v>36000000</v>
      </c>
      <c r="H110">
        <v>9000000</v>
      </c>
      <c r="I110">
        <v>0</v>
      </c>
      <c r="J110">
        <v>9000000</v>
      </c>
      <c r="K110" t="s">
        <v>4730</v>
      </c>
      <c r="L110">
        <v>27000000</v>
      </c>
      <c r="M110" t="s">
        <v>4943</v>
      </c>
      <c r="N110" t="s">
        <v>4944</v>
      </c>
      <c r="O110" t="s">
        <v>2218</v>
      </c>
      <c r="P110" t="s">
        <v>2235</v>
      </c>
    </row>
    <row r="111" spans="1:16" x14ac:dyDescent="0.25">
      <c r="A111" t="s">
        <v>494</v>
      </c>
      <c r="B111" t="s">
        <v>1700</v>
      </c>
      <c r="C111" t="s">
        <v>557</v>
      </c>
      <c r="D111" t="s">
        <v>4941</v>
      </c>
      <c r="E111" t="s">
        <v>567</v>
      </c>
      <c r="F111" t="s">
        <v>4945</v>
      </c>
      <c r="G111">
        <v>2820000</v>
      </c>
      <c r="H111">
        <v>935000</v>
      </c>
      <c r="I111">
        <v>0</v>
      </c>
      <c r="J111">
        <v>935000</v>
      </c>
      <c r="K111" t="s">
        <v>4946</v>
      </c>
      <c r="L111">
        <v>1885000</v>
      </c>
      <c r="M111" t="s">
        <v>4947</v>
      </c>
      <c r="N111" t="s">
        <v>4948</v>
      </c>
      <c r="O111" t="s">
        <v>2218</v>
      </c>
      <c r="P111" t="s">
        <v>2221</v>
      </c>
    </row>
    <row r="112" spans="1:16" x14ac:dyDescent="0.25">
      <c r="A112" t="s">
        <v>494</v>
      </c>
      <c r="B112" t="s">
        <v>1700</v>
      </c>
      <c r="C112" t="s">
        <v>557</v>
      </c>
      <c r="D112" t="s">
        <v>4941</v>
      </c>
      <c r="E112" t="s">
        <v>567</v>
      </c>
      <c r="F112" t="s">
        <v>4949</v>
      </c>
      <c r="G112">
        <v>10500000</v>
      </c>
      <c r="H112">
        <v>3547500</v>
      </c>
      <c r="I112">
        <v>0</v>
      </c>
      <c r="J112">
        <v>3547500</v>
      </c>
      <c r="K112" t="s">
        <v>4950</v>
      </c>
      <c r="L112">
        <v>6952500</v>
      </c>
      <c r="M112" t="s">
        <v>4951</v>
      </c>
      <c r="N112" t="s">
        <v>4952</v>
      </c>
      <c r="O112" t="s">
        <v>2218</v>
      </c>
      <c r="P112" t="s">
        <v>2221</v>
      </c>
    </row>
    <row r="113" spans="1:16" x14ac:dyDescent="0.25">
      <c r="A113" t="s">
        <v>494</v>
      </c>
      <c r="B113" t="s">
        <v>1700</v>
      </c>
      <c r="C113" t="s">
        <v>557</v>
      </c>
      <c r="D113" t="s">
        <v>4941</v>
      </c>
      <c r="E113" t="s">
        <v>567</v>
      </c>
      <c r="F113" t="s">
        <v>4953</v>
      </c>
      <c r="G113">
        <v>24150000</v>
      </c>
      <c r="H113">
        <v>5500000</v>
      </c>
      <c r="I113">
        <v>0</v>
      </c>
      <c r="J113">
        <v>5500000</v>
      </c>
      <c r="K113" t="s">
        <v>4954</v>
      </c>
      <c r="L113">
        <v>18650000</v>
      </c>
      <c r="M113" t="s">
        <v>4955</v>
      </c>
      <c r="N113" t="s">
        <v>4956</v>
      </c>
      <c r="O113" t="s">
        <v>2218</v>
      </c>
      <c r="P113" t="s">
        <v>2221</v>
      </c>
    </row>
    <row r="114" spans="1:16" x14ac:dyDescent="0.25">
      <c r="A114" t="s">
        <v>494</v>
      </c>
      <c r="B114" t="s">
        <v>1700</v>
      </c>
      <c r="C114" t="s">
        <v>557</v>
      </c>
      <c r="D114" t="s">
        <v>4941</v>
      </c>
      <c r="E114" t="s">
        <v>567</v>
      </c>
      <c r="F114" t="s">
        <v>4957</v>
      </c>
      <c r="G114">
        <v>25550000</v>
      </c>
      <c r="H114">
        <v>4349400</v>
      </c>
      <c r="I114">
        <v>0</v>
      </c>
      <c r="J114">
        <v>4349400</v>
      </c>
      <c r="K114" t="s">
        <v>4958</v>
      </c>
      <c r="L114">
        <v>21200600</v>
      </c>
      <c r="M114" t="s">
        <v>4959</v>
      </c>
      <c r="N114" t="s">
        <v>4960</v>
      </c>
      <c r="O114" t="s">
        <v>2218</v>
      </c>
      <c r="P114" t="s">
        <v>2221</v>
      </c>
    </row>
    <row r="115" spans="1:16" x14ac:dyDescent="0.25">
      <c r="A115" t="s">
        <v>494</v>
      </c>
      <c r="B115" t="s">
        <v>1700</v>
      </c>
      <c r="C115" t="s">
        <v>557</v>
      </c>
      <c r="D115" t="s">
        <v>4941</v>
      </c>
      <c r="E115" t="s">
        <v>567</v>
      </c>
      <c r="F115" t="s">
        <v>4961</v>
      </c>
      <c r="G115">
        <v>18200000</v>
      </c>
      <c r="H115">
        <v>3492900</v>
      </c>
      <c r="I115">
        <v>0</v>
      </c>
      <c r="J115">
        <v>3492900</v>
      </c>
      <c r="K115" t="s">
        <v>4962</v>
      </c>
      <c r="L115">
        <v>14707100</v>
      </c>
      <c r="M115" t="s">
        <v>4963</v>
      </c>
      <c r="N115" t="s">
        <v>4964</v>
      </c>
      <c r="O115" t="s">
        <v>2218</v>
      </c>
      <c r="P115" t="s">
        <v>2221</v>
      </c>
    </row>
    <row r="116" spans="1:16" x14ac:dyDescent="0.25">
      <c r="A116" t="s">
        <v>494</v>
      </c>
      <c r="B116" t="s">
        <v>1700</v>
      </c>
      <c r="C116" t="s">
        <v>557</v>
      </c>
      <c r="D116" t="s">
        <v>4941</v>
      </c>
      <c r="E116" t="s">
        <v>567</v>
      </c>
      <c r="F116" t="s">
        <v>4965</v>
      </c>
      <c r="G116">
        <v>295650000</v>
      </c>
      <c r="H116">
        <v>58531640</v>
      </c>
      <c r="I116">
        <v>0</v>
      </c>
      <c r="J116">
        <v>58531640</v>
      </c>
      <c r="K116" t="s">
        <v>4966</v>
      </c>
      <c r="L116">
        <v>237118360</v>
      </c>
      <c r="M116" t="s">
        <v>4967</v>
      </c>
      <c r="N116" t="s">
        <v>4968</v>
      </c>
      <c r="O116" t="s">
        <v>2218</v>
      </c>
      <c r="P116" t="s">
        <v>2221</v>
      </c>
    </row>
    <row r="117" spans="1:16" x14ac:dyDescent="0.25">
      <c r="A117" t="s">
        <v>494</v>
      </c>
      <c r="B117" t="s">
        <v>1700</v>
      </c>
      <c r="C117" t="s">
        <v>557</v>
      </c>
      <c r="D117" t="s">
        <v>4941</v>
      </c>
      <c r="E117" t="s">
        <v>567</v>
      </c>
      <c r="F117" t="s">
        <v>4969</v>
      </c>
      <c r="G117">
        <v>38730000</v>
      </c>
      <c r="H117">
        <v>9519000</v>
      </c>
      <c r="I117">
        <v>0</v>
      </c>
      <c r="J117">
        <v>9519000</v>
      </c>
      <c r="K117" t="s">
        <v>4970</v>
      </c>
      <c r="L117">
        <v>29211000</v>
      </c>
      <c r="M117" t="s">
        <v>4971</v>
      </c>
      <c r="N117" t="s">
        <v>4972</v>
      </c>
      <c r="O117" t="s">
        <v>2218</v>
      </c>
      <c r="P117" t="s">
        <v>2221</v>
      </c>
    </row>
    <row r="118" spans="1:16" x14ac:dyDescent="0.25">
      <c r="A118" t="s">
        <v>494</v>
      </c>
      <c r="B118" t="s">
        <v>1700</v>
      </c>
      <c r="C118" t="s">
        <v>557</v>
      </c>
      <c r="D118" t="s">
        <v>4973</v>
      </c>
      <c r="E118" t="s">
        <v>564</v>
      </c>
      <c r="F118" t="s">
        <v>4974</v>
      </c>
      <c r="G118">
        <v>60000000</v>
      </c>
      <c r="H118">
        <v>19800000</v>
      </c>
      <c r="I118">
        <v>0</v>
      </c>
      <c r="J118">
        <v>19800000</v>
      </c>
      <c r="K118" t="s">
        <v>4975</v>
      </c>
      <c r="L118">
        <v>40200000</v>
      </c>
      <c r="M118" t="s">
        <v>4976</v>
      </c>
      <c r="N118" t="s">
        <v>4977</v>
      </c>
      <c r="O118" t="s">
        <v>2207</v>
      </c>
      <c r="P118" t="s">
        <v>2213</v>
      </c>
    </row>
    <row r="119" spans="1:16" x14ac:dyDescent="0.25">
      <c r="A119" t="s">
        <v>494</v>
      </c>
      <c r="B119" t="s">
        <v>1700</v>
      </c>
      <c r="C119" t="s">
        <v>557</v>
      </c>
      <c r="D119" t="s">
        <v>4973</v>
      </c>
      <c r="E119" t="s">
        <v>563</v>
      </c>
      <c r="F119" t="s">
        <v>4978</v>
      </c>
      <c r="G119">
        <v>30000000</v>
      </c>
      <c r="H119">
        <v>2286050</v>
      </c>
      <c r="I119">
        <v>0</v>
      </c>
      <c r="J119">
        <v>2286050</v>
      </c>
      <c r="K119" t="s">
        <v>4979</v>
      </c>
      <c r="L119">
        <v>27713950</v>
      </c>
      <c r="M119" t="s">
        <v>4980</v>
      </c>
      <c r="N119" t="s">
        <v>4981</v>
      </c>
      <c r="O119" t="s">
        <v>2207</v>
      </c>
      <c r="P119" t="s">
        <v>2210</v>
      </c>
    </row>
    <row r="120" spans="1:16" x14ac:dyDescent="0.25">
      <c r="A120" t="s">
        <v>494</v>
      </c>
      <c r="B120" t="s">
        <v>1700</v>
      </c>
      <c r="C120" t="s">
        <v>557</v>
      </c>
      <c r="D120" t="s">
        <v>4880</v>
      </c>
      <c r="E120" t="s">
        <v>559</v>
      </c>
      <c r="F120" t="s">
        <v>4982</v>
      </c>
      <c r="G120">
        <v>33000000</v>
      </c>
      <c r="H120">
        <v>4800000</v>
      </c>
      <c r="I120">
        <v>0</v>
      </c>
      <c r="J120">
        <v>4800000</v>
      </c>
      <c r="K120" t="s">
        <v>4983</v>
      </c>
      <c r="L120">
        <v>28200000</v>
      </c>
      <c r="M120" t="s">
        <v>4984</v>
      </c>
      <c r="N120" t="s">
        <v>4985</v>
      </c>
      <c r="O120" t="s">
        <v>2170</v>
      </c>
      <c r="P120" t="s">
        <v>2172</v>
      </c>
    </row>
    <row r="121" spans="1:16" x14ac:dyDescent="0.25">
      <c r="A121" t="s">
        <v>494</v>
      </c>
      <c r="B121" t="s">
        <v>1700</v>
      </c>
      <c r="C121" t="s">
        <v>557</v>
      </c>
      <c r="D121" t="s">
        <v>4880</v>
      </c>
      <c r="E121" t="s">
        <v>559</v>
      </c>
      <c r="F121" t="s">
        <v>4986</v>
      </c>
      <c r="G121">
        <v>19200000</v>
      </c>
      <c r="H121">
        <v>3893490</v>
      </c>
      <c r="I121">
        <v>0</v>
      </c>
      <c r="J121">
        <v>3893490</v>
      </c>
      <c r="K121" t="s">
        <v>4987</v>
      </c>
      <c r="L121">
        <v>15306510</v>
      </c>
      <c r="M121" t="s">
        <v>4988</v>
      </c>
      <c r="N121" t="s">
        <v>4989</v>
      </c>
      <c r="O121" t="s">
        <v>2170</v>
      </c>
      <c r="P121" t="s">
        <v>2172</v>
      </c>
    </row>
    <row r="122" spans="1:16" x14ac:dyDescent="0.25">
      <c r="A122" t="s">
        <v>494</v>
      </c>
      <c r="B122" t="s">
        <v>1700</v>
      </c>
      <c r="C122" t="s">
        <v>557</v>
      </c>
      <c r="D122" t="s">
        <v>4880</v>
      </c>
      <c r="E122" t="s">
        <v>559</v>
      </c>
      <c r="F122" t="s">
        <v>4990</v>
      </c>
      <c r="G122">
        <v>9000000</v>
      </c>
      <c r="H122">
        <v>3024000</v>
      </c>
      <c r="I122">
        <v>0</v>
      </c>
      <c r="J122">
        <v>3024000</v>
      </c>
      <c r="K122" t="s">
        <v>4991</v>
      </c>
      <c r="L122">
        <v>5976000</v>
      </c>
      <c r="M122" t="s">
        <v>4992</v>
      </c>
      <c r="N122" t="s">
        <v>4993</v>
      </c>
      <c r="O122" t="s">
        <v>2170</v>
      </c>
      <c r="P122" t="s">
        <v>2172</v>
      </c>
    </row>
    <row r="123" spans="1:16" x14ac:dyDescent="0.25">
      <c r="A123" t="s">
        <v>494</v>
      </c>
      <c r="B123" t="s">
        <v>1700</v>
      </c>
      <c r="C123" t="s">
        <v>557</v>
      </c>
      <c r="D123" t="s">
        <v>4880</v>
      </c>
      <c r="E123" t="s">
        <v>559</v>
      </c>
      <c r="F123" t="s">
        <v>4994</v>
      </c>
      <c r="G123">
        <v>4800000</v>
      </c>
      <c r="H123">
        <v>1348390</v>
      </c>
      <c r="I123">
        <v>0</v>
      </c>
      <c r="J123">
        <v>1348390</v>
      </c>
      <c r="K123" t="s">
        <v>4995</v>
      </c>
      <c r="L123">
        <v>3451610</v>
      </c>
      <c r="M123" t="s">
        <v>4996</v>
      </c>
      <c r="N123" t="s">
        <v>4997</v>
      </c>
      <c r="O123" t="s">
        <v>2170</v>
      </c>
      <c r="P123" t="s">
        <v>2172</v>
      </c>
    </row>
    <row r="124" spans="1:16" x14ac:dyDescent="0.25">
      <c r="A124" t="s">
        <v>494</v>
      </c>
      <c r="B124" t="s">
        <v>1700</v>
      </c>
      <c r="C124" t="s">
        <v>557</v>
      </c>
      <c r="D124" t="s">
        <v>4880</v>
      </c>
      <c r="E124" t="s">
        <v>559</v>
      </c>
      <c r="F124" t="s">
        <v>4998</v>
      </c>
      <c r="G124">
        <v>69472000</v>
      </c>
      <c r="H124">
        <v>32064000</v>
      </c>
      <c r="I124">
        <v>0</v>
      </c>
      <c r="J124">
        <v>32064000</v>
      </c>
      <c r="K124" t="s">
        <v>4999</v>
      </c>
      <c r="L124">
        <v>37408000</v>
      </c>
      <c r="M124" t="s">
        <v>5000</v>
      </c>
      <c r="N124" t="s">
        <v>5001</v>
      </c>
      <c r="O124" t="s">
        <v>2170</v>
      </c>
      <c r="P124" t="s">
        <v>2172</v>
      </c>
    </row>
    <row r="125" spans="1:16" x14ac:dyDescent="0.25">
      <c r="A125" t="s">
        <v>494</v>
      </c>
      <c r="B125" t="s">
        <v>1700</v>
      </c>
      <c r="C125" t="s">
        <v>557</v>
      </c>
      <c r="D125" t="s">
        <v>4880</v>
      </c>
      <c r="E125" t="s">
        <v>559</v>
      </c>
      <c r="F125" t="s">
        <v>5002</v>
      </c>
      <c r="G125">
        <v>757848000</v>
      </c>
      <c r="H125">
        <v>349776000</v>
      </c>
      <c r="I125">
        <v>0</v>
      </c>
      <c r="J125">
        <v>349776000</v>
      </c>
      <c r="K125" t="s">
        <v>4999</v>
      </c>
      <c r="L125">
        <v>408072000</v>
      </c>
      <c r="M125" t="s">
        <v>5003</v>
      </c>
      <c r="N125" t="s">
        <v>5004</v>
      </c>
      <c r="O125" t="s">
        <v>2170</v>
      </c>
      <c r="P125" t="s">
        <v>2172</v>
      </c>
    </row>
    <row r="126" spans="1:16" x14ac:dyDescent="0.25">
      <c r="A126" t="s">
        <v>494</v>
      </c>
      <c r="B126" t="s">
        <v>1700</v>
      </c>
      <c r="C126" t="s">
        <v>557</v>
      </c>
      <c r="D126" t="s">
        <v>4880</v>
      </c>
      <c r="E126" t="s">
        <v>559</v>
      </c>
      <c r="F126" t="s">
        <v>5005</v>
      </c>
      <c r="G126">
        <v>40000000</v>
      </c>
      <c r="H126">
        <v>8309700</v>
      </c>
      <c r="I126">
        <v>0</v>
      </c>
      <c r="J126">
        <v>8309700</v>
      </c>
      <c r="K126" t="s">
        <v>5006</v>
      </c>
      <c r="L126">
        <v>31690300</v>
      </c>
      <c r="M126" t="s">
        <v>5007</v>
      </c>
      <c r="N126" t="s">
        <v>5008</v>
      </c>
      <c r="O126" t="s">
        <v>2170</v>
      </c>
      <c r="P126" t="s">
        <v>2172</v>
      </c>
    </row>
    <row r="127" spans="1:16" x14ac:dyDescent="0.25">
      <c r="A127" t="s">
        <v>494</v>
      </c>
      <c r="B127" t="s">
        <v>1700</v>
      </c>
      <c r="C127" t="s">
        <v>557</v>
      </c>
      <c r="D127" t="s">
        <v>4880</v>
      </c>
      <c r="E127" t="s">
        <v>559</v>
      </c>
      <c r="F127" t="s">
        <v>5009</v>
      </c>
      <c r="G127">
        <v>75900000</v>
      </c>
      <c r="H127">
        <v>19842571</v>
      </c>
      <c r="I127">
        <v>0</v>
      </c>
      <c r="J127">
        <v>19842571</v>
      </c>
      <c r="K127" t="s">
        <v>5010</v>
      </c>
      <c r="L127">
        <v>56057429</v>
      </c>
      <c r="M127" t="s">
        <v>5011</v>
      </c>
      <c r="N127" t="s">
        <v>5012</v>
      </c>
      <c r="O127" t="s">
        <v>2170</v>
      </c>
      <c r="P127" t="s">
        <v>2172</v>
      </c>
    </row>
    <row r="128" spans="1:16" x14ac:dyDescent="0.25">
      <c r="A128" t="s">
        <v>494</v>
      </c>
      <c r="B128" t="s">
        <v>1700</v>
      </c>
      <c r="C128" t="s">
        <v>501</v>
      </c>
      <c r="D128" t="s">
        <v>5431</v>
      </c>
      <c r="E128" t="s">
        <v>555</v>
      </c>
      <c r="F128" t="s">
        <v>5476</v>
      </c>
      <c r="G128">
        <v>6655000</v>
      </c>
      <c r="H128">
        <v>5535000</v>
      </c>
      <c r="I128">
        <v>0</v>
      </c>
      <c r="J128">
        <v>5535000</v>
      </c>
      <c r="K128" t="s">
        <v>5477</v>
      </c>
      <c r="L128">
        <v>1120000</v>
      </c>
      <c r="M128" t="s">
        <v>5478</v>
      </c>
      <c r="N128" t="s">
        <v>5479</v>
      </c>
      <c r="O128" t="s">
        <v>1806</v>
      </c>
      <c r="P128" t="s">
        <v>1841</v>
      </c>
    </row>
    <row r="129" spans="1:16" x14ac:dyDescent="0.25">
      <c r="A129" t="s">
        <v>494</v>
      </c>
      <c r="B129" t="s">
        <v>1700</v>
      </c>
      <c r="C129" t="s">
        <v>501</v>
      </c>
      <c r="D129" t="s">
        <v>5431</v>
      </c>
      <c r="E129" t="s">
        <v>552</v>
      </c>
      <c r="F129" t="s">
        <v>5480</v>
      </c>
      <c r="G129">
        <v>3360000</v>
      </c>
      <c r="H129">
        <v>2599192</v>
      </c>
      <c r="I129">
        <v>0</v>
      </c>
      <c r="J129">
        <v>2599192</v>
      </c>
      <c r="K129" t="s">
        <v>5481</v>
      </c>
      <c r="L129">
        <v>760808</v>
      </c>
      <c r="M129" t="s">
        <v>5482</v>
      </c>
      <c r="N129" t="s">
        <v>5483</v>
      </c>
      <c r="O129" t="s">
        <v>1806</v>
      </c>
      <c r="P129" t="s">
        <v>1833</v>
      </c>
    </row>
    <row r="130" spans="1:16" x14ac:dyDescent="0.25">
      <c r="A130" t="s">
        <v>494</v>
      </c>
      <c r="B130" t="s">
        <v>1700</v>
      </c>
      <c r="C130" t="s">
        <v>501</v>
      </c>
      <c r="D130" t="s">
        <v>5431</v>
      </c>
      <c r="E130" t="s">
        <v>551</v>
      </c>
      <c r="F130" t="s">
        <v>5484</v>
      </c>
      <c r="G130">
        <v>2000000</v>
      </c>
      <c r="H130">
        <v>4807000</v>
      </c>
      <c r="I130">
        <v>0</v>
      </c>
      <c r="J130">
        <v>4807000</v>
      </c>
      <c r="K130" t="s">
        <v>5485</v>
      </c>
      <c r="L130">
        <v>-2807000</v>
      </c>
      <c r="M130" t="s">
        <v>5486</v>
      </c>
      <c r="N130" t="s">
        <v>5487</v>
      </c>
      <c r="O130" t="s">
        <v>1806</v>
      </c>
      <c r="P130" t="s">
        <v>1829</v>
      </c>
    </row>
    <row r="131" spans="1:16" x14ac:dyDescent="0.25">
      <c r="A131" t="s">
        <v>494</v>
      </c>
      <c r="B131" t="s">
        <v>1700</v>
      </c>
      <c r="C131" t="s">
        <v>501</v>
      </c>
      <c r="D131" t="s">
        <v>5431</v>
      </c>
      <c r="E131" t="s">
        <v>550</v>
      </c>
      <c r="F131" t="s">
        <v>5488</v>
      </c>
      <c r="G131">
        <v>12070000</v>
      </c>
      <c r="H131">
        <v>9730000</v>
      </c>
      <c r="I131">
        <v>0</v>
      </c>
      <c r="J131">
        <v>9730000</v>
      </c>
      <c r="K131" t="s">
        <v>5489</v>
      </c>
      <c r="L131">
        <v>2340000</v>
      </c>
      <c r="M131" t="s">
        <v>5490</v>
      </c>
      <c r="N131" t="s">
        <v>5491</v>
      </c>
      <c r="O131" t="s">
        <v>1806</v>
      </c>
      <c r="P131" t="s">
        <v>1825</v>
      </c>
    </row>
    <row r="132" spans="1:16" x14ac:dyDescent="0.25">
      <c r="A132" t="s">
        <v>494</v>
      </c>
      <c r="B132" t="s">
        <v>1700</v>
      </c>
      <c r="C132" t="s">
        <v>501</v>
      </c>
      <c r="D132" t="s">
        <v>5431</v>
      </c>
      <c r="E132" t="s">
        <v>549</v>
      </c>
      <c r="F132" t="s">
        <v>5492</v>
      </c>
      <c r="G132">
        <v>40080000</v>
      </c>
      <c r="H132">
        <v>19637078</v>
      </c>
      <c r="I132">
        <v>0</v>
      </c>
      <c r="J132">
        <v>19637078</v>
      </c>
      <c r="K132" t="s">
        <v>5493</v>
      </c>
      <c r="L132">
        <v>20442922</v>
      </c>
      <c r="M132" t="s">
        <v>5494</v>
      </c>
      <c r="N132" t="s">
        <v>5495</v>
      </c>
      <c r="O132" t="s">
        <v>1806</v>
      </c>
      <c r="P132" t="s">
        <v>1821</v>
      </c>
    </row>
    <row r="133" spans="1:16" x14ac:dyDescent="0.25">
      <c r="A133" t="s">
        <v>494</v>
      </c>
      <c r="B133" t="s">
        <v>1700</v>
      </c>
      <c r="C133" t="s">
        <v>501</v>
      </c>
      <c r="D133" t="s">
        <v>5431</v>
      </c>
      <c r="E133" t="s">
        <v>548</v>
      </c>
      <c r="F133" t="s">
        <v>5496</v>
      </c>
      <c r="G133">
        <v>12198000</v>
      </c>
      <c r="H133">
        <v>10849200</v>
      </c>
      <c r="I133">
        <v>0</v>
      </c>
      <c r="J133">
        <v>10849200</v>
      </c>
      <c r="K133" t="s">
        <v>5497</v>
      </c>
      <c r="L133">
        <v>1348800</v>
      </c>
      <c r="M133" t="s">
        <v>5498</v>
      </c>
      <c r="N133" t="s">
        <v>5499</v>
      </c>
      <c r="O133" t="s">
        <v>1806</v>
      </c>
      <c r="P133" t="s">
        <v>1817</v>
      </c>
    </row>
    <row r="134" spans="1:16" x14ac:dyDescent="0.25">
      <c r="A134" t="s">
        <v>494</v>
      </c>
      <c r="B134" t="s">
        <v>1700</v>
      </c>
      <c r="C134" t="s">
        <v>501</v>
      </c>
      <c r="D134" t="s">
        <v>5431</v>
      </c>
      <c r="E134" t="s">
        <v>547</v>
      </c>
      <c r="F134" t="s">
        <v>5500</v>
      </c>
      <c r="G134">
        <v>3000</v>
      </c>
      <c r="H134">
        <v>2658</v>
      </c>
      <c r="I134">
        <v>0</v>
      </c>
      <c r="J134">
        <v>2658</v>
      </c>
      <c r="K134" t="s">
        <v>5501</v>
      </c>
      <c r="L134">
        <v>342</v>
      </c>
      <c r="M134" t="s">
        <v>5502</v>
      </c>
      <c r="N134" t="s">
        <v>5503</v>
      </c>
      <c r="O134" t="s">
        <v>1806</v>
      </c>
      <c r="P134" t="s">
        <v>1813</v>
      </c>
    </row>
    <row r="135" spans="1:16" x14ac:dyDescent="0.25">
      <c r="A135" t="s">
        <v>494</v>
      </c>
      <c r="B135" t="s">
        <v>1700</v>
      </c>
      <c r="C135" t="s">
        <v>501</v>
      </c>
      <c r="D135" t="s">
        <v>5431</v>
      </c>
      <c r="E135" t="s">
        <v>544</v>
      </c>
      <c r="F135" t="s">
        <v>5504</v>
      </c>
      <c r="G135">
        <v>180000000</v>
      </c>
      <c r="H135">
        <v>166605560</v>
      </c>
      <c r="I135">
        <v>0</v>
      </c>
      <c r="J135">
        <v>166605560</v>
      </c>
      <c r="K135" t="s">
        <v>5505</v>
      </c>
      <c r="L135">
        <v>13394440</v>
      </c>
      <c r="M135" t="s">
        <v>5506</v>
      </c>
      <c r="N135" t="s">
        <v>5507</v>
      </c>
      <c r="O135" t="s">
        <v>1806</v>
      </c>
      <c r="P135" t="s">
        <v>1809</v>
      </c>
    </row>
    <row r="136" spans="1:16" x14ac:dyDescent="0.25">
      <c r="A136" t="s">
        <v>494</v>
      </c>
      <c r="B136" t="s">
        <v>3105</v>
      </c>
      <c r="C136" t="s">
        <v>833</v>
      </c>
      <c r="D136" t="s">
        <v>4680</v>
      </c>
      <c r="E136" t="s">
        <v>513</v>
      </c>
      <c r="F136" t="s">
        <v>5013</v>
      </c>
      <c r="G136">
        <v>20635000</v>
      </c>
      <c r="H136">
        <v>20634468</v>
      </c>
      <c r="I136">
        <v>0</v>
      </c>
      <c r="J136">
        <v>20634468</v>
      </c>
      <c r="K136" t="s">
        <v>5014</v>
      </c>
      <c r="L136">
        <v>532</v>
      </c>
      <c r="M136" t="s">
        <v>5015</v>
      </c>
      <c r="N136" t="s">
        <v>5016</v>
      </c>
      <c r="O136" t="s">
        <v>3349</v>
      </c>
      <c r="P136" t="s">
        <v>3361</v>
      </c>
    </row>
    <row r="137" spans="1:16" x14ac:dyDescent="0.25">
      <c r="A137" t="s">
        <v>494</v>
      </c>
      <c r="B137" t="s">
        <v>3105</v>
      </c>
      <c r="C137" t="s">
        <v>833</v>
      </c>
      <c r="D137" t="s">
        <v>4623</v>
      </c>
      <c r="E137" t="s">
        <v>513</v>
      </c>
      <c r="F137" t="s">
        <v>5017</v>
      </c>
      <c r="G137">
        <v>5350000</v>
      </c>
      <c r="H137">
        <v>2850000</v>
      </c>
      <c r="I137">
        <v>0</v>
      </c>
      <c r="J137">
        <v>2850000</v>
      </c>
      <c r="K137" t="s">
        <v>5018</v>
      </c>
      <c r="L137">
        <v>2500000</v>
      </c>
      <c r="M137" t="s">
        <v>5019</v>
      </c>
      <c r="N137" t="s">
        <v>5020</v>
      </c>
      <c r="O137" t="s">
        <v>3331</v>
      </c>
      <c r="P137" t="s">
        <v>3336</v>
      </c>
    </row>
    <row r="138" spans="1:16" x14ac:dyDescent="0.25">
      <c r="A138" t="s">
        <v>494</v>
      </c>
      <c r="B138" t="s">
        <v>3105</v>
      </c>
      <c r="C138" t="s">
        <v>833</v>
      </c>
      <c r="D138" t="s">
        <v>4636</v>
      </c>
      <c r="E138" t="s">
        <v>513</v>
      </c>
      <c r="F138" t="s">
        <v>5021</v>
      </c>
      <c r="G138">
        <v>8702000</v>
      </c>
      <c r="H138">
        <v>8701552</v>
      </c>
      <c r="I138">
        <v>0</v>
      </c>
      <c r="J138">
        <v>8701552</v>
      </c>
      <c r="K138" t="s">
        <v>5022</v>
      </c>
      <c r="L138">
        <v>448</v>
      </c>
      <c r="M138" t="s">
        <v>5023</v>
      </c>
      <c r="N138" t="s">
        <v>5020</v>
      </c>
      <c r="O138" t="s">
        <v>3320</v>
      </c>
      <c r="P138" t="s">
        <v>3326</v>
      </c>
    </row>
    <row r="139" spans="1:16" x14ac:dyDescent="0.25">
      <c r="A139" t="s">
        <v>494</v>
      </c>
      <c r="B139" t="s">
        <v>2785</v>
      </c>
      <c r="C139" t="s">
        <v>3090</v>
      </c>
      <c r="D139" t="s">
        <v>4715</v>
      </c>
      <c r="E139" t="s">
        <v>513</v>
      </c>
      <c r="F139" t="s">
        <v>5024</v>
      </c>
      <c r="G139">
        <v>30169000</v>
      </c>
      <c r="H139">
        <v>20138000</v>
      </c>
      <c r="I139">
        <v>0</v>
      </c>
      <c r="J139">
        <v>20138000</v>
      </c>
      <c r="K139" t="s">
        <v>5025</v>
      </c>
      <c r="L139">
        <v>10031000</v>
      </c>
      <c r="M139" t="s">
        <v>5026</v>
      </c>
      <c r="N139" t="s">
        <v>5027</v>
      </c>
      <c r="O139" t="s">
        <v>3092</v>
      </c>
      <c r="P139" t="s">
        <v>3102</v>
      </c>
    </row>
    <row r="140" spans="1:16" x14ac:dyDescent="0.25">
      <c r="A140" t="s">
        <v>494</v>
      </c>
      <c r="B140" t="s">
        <v>2785</v>
      </c>
      <c r="C140" t="s">
        <v>833</v>
      </c>
      <c r="D140" t="s">
        <v>4623</v>
      </c>
      <c r="E140" t="s">
        <v>533</v>
      </c>
      <c r="F140" t="s">
        <v>5028</v>
      </c>
      <c r="G140">
        <v>2000000</v>
      </c>
      <c r="H140">
        <v>603014</v>
      </c>
      <c r="I140">
        <v>0</v>
      </c>
      <c r="J140">
        <v>603014</v>
      </c>
      <c r="K140" t="s">
        <v>5029</v>
      </c>
      <c r="L140">
        <v>1396986</v>
      </c>
      <c r="M140" t="s">
        <v>5030</v>
      </c>
      <c r="N140" t="s">
        <v>5031</v>
      </c>
      <c r="O140" t="s">
        <v>3067</v>
      </c>
      <c r="P140" t="s">
        <v>3077</v>
      </c>
    </row>
    <row r="141" spans="1:16" x14ac:dyDescent="0.25">
      <c r="A141" t="s">
        <v>494</v>
      </c>
      <c r="B141" t="s">
        <v>2785</v>
      </c>
      <c r="C141" t="s">
        <v>833</v>
      </c>
      <c r="D141" t="s">
        <v>4636</v>
      </c>
      <c r="E141" t="s">
        <v>533</v>
      </c>
      <c r="F141" t="s">
        <v>5032</v>
      </c>
      <c r="G141">
        <v>2000000</v>
      </c>
      <c r="H141">
        <v>499528</v>
      </c>
      <c r="I141">
        <v>0</v>
      </c>
      <c r="J141">
        <v>499528</v>
      </c>
      <c r="K141" t="s">
        <v>5033</v>
      </c>
      <c r="L141">
        <v>1500472</v>
      </c>
      <c r="M141" t="s">
        <v>5034</v>
      </c>
      <c r="N141" t="s">
        <v>5031</v>
      </c>
      <c r="O141" t="s">
        <v>3054</v>
      </c>
      <c r="P141" t="s">
        <v>3061</v>
      </c>
    </row>
    <row r="142" spans="1:16" x14ac:dyDescent="0.25">
      <c r="A142" t="s">
        <v>494</v>
      </c>
      <c r="B142" t="s">
        <v>2469</v>
      </c>
      <c r="C142" t="s">
        <v>833</v>
      </c>
      <c r="D142" t="s">
        <v>4691</v>
      </c>
      <c r="E142" t="s">
        <v>513</v>
      </c>
      <c r="F142" t="s">
        <v>5035</v>
      </c>
      <c r="G142">
        <v>41908000</v>
      </c>
      <c r="H142">
        <v>41907800</v>
      </c>
      <c r="I142">
        <v>0</v>
      </c>
      <c r="J142">
        <v>41907800</v>
      </c>
      <c r="K142" t="s">
        <v>5036</v>
      </c>
      <c r="L142">
        <v>200</v>
      </c>
      <c r="M142" t="s">
        <v>5037</v>
      </c>
      <c r="N142" t="s">
        <v>5038</v>
      </c>
      <c r="O142" t="s">
        <v>2771</v>
      </c>
      <c r="P142" t="s">
        <v>2781</v>
      </c>
    </row>
    <row r="143" spans="1:16" x14ac:dyDescent="0.25">
      <c r="A143" t="s">
        <v>494</v>
      </c>
      <c r="B143" t="s">
        <v>2469</v>
      </c>
      <c r="C143" t="s">
        <v>833</v>
      </c>
      <c r="D143" t="s">
        <v>4623</v>
      </c>
      <c r="E143" t="s">
        <v>513</v>
      </c>
      <c r="F143" t="s">
        <v>5039</v>
      </c>
      <c r="G143">
        <v>45000000</v>
      </c>
      <c r="H143">
        <v>4429000</v>
      </c>
      <c r="I143">
        <v>0</v>
      </c>
      <c r="J143">
        <v>4429000</v>
      </c>
      <c r="K143" t="s">
        <v>5040</v>
      </c>
      <c r="L143">
        <v>40571000</v>
      </c>
      <c r="M143" t="s">
        <v>5041</v>
      </c>
      <c r="N143" t="s">
        <v>5042</v>
      </c>
      <c r="O143" t="s">
        <v>2756</v>
      </c>
      <c r="P143" t="s">
        <v>2768</v>
      </c>
    </row>
    <row r="144" spans="1:16" x14ac:dyDescent="0.25">
      <c r="A144" t="s">
        <v>494</v>
      </c>
      <c r="B144" t="s">
        <v>2469</v>
      </c>
      <c r="C144" t="s">
        <v>833</v>
      </c>
      <c r="D144" t="s">
        <v>4636</v>
      </c>
      <c r="E144" t="s">
        <v>513</v>
      </c>
      <c r="F144" t="s">
        <v>5043</v>
      </c>
      <c r="G144">
        <v>5164000</v>
      </c>
      <c r="H144">
        <v>5163500</v>
      </c>
      <c r="I144">
        <v>0</v>
      </c>
      <c r="J144">
        <v>5163500</v>
      </c>
      <c r="K144" t="s">
        <v>5044</v>
      </c>
      <c r="L144">
        <v>500</v>
      </c>
      <c r="M144" t="s">
        <v>5045</v>
      </c>
      <c r="N144" t="s">
        <v>5046</v>
      </c>
      <c r="O144" t="s">
        <v>2741</v>
      </c>
      <c r="P144" t="s">
        <v>2753</v>
      </c>
    </row>
    <row r="145" spans="1:16" x14ac:dyDescent="0.25">
      <c r="A145" t="s">
        <v>494</v>
      </c>
      <c r="B145" t="s">
        <v>2469</v>
      </c>
      <c r="C145" t="s">
        <v>833</v>
      </c>
      <c r="D145" t="s">
        <v>4636</v>
      </c>
      <c r="E145" t="s">
        <v>533</v>
      </c>
      <c r="F145" t="s">
        <v>5047</v>
      </c>
      <c r="G145">
        <v>1000000</v>
      </c>
      <c r="H145">
        <v>702895</v>
      </c>
      <c r="I145">
        <v>0</v>
      </c>
      <c r="J145">
        <v>702895</v>
      </c>
      <c r="K145" t="s">
        <v>5048</v>
      </c>
      <c r="L145">
        <v>297105</v>
      </c>
      <c r="M145" t="s">
        <v>5049</v>
      </c>
      <c r="N145" t="s">
        <v>5050</v>
      </c>
      <c r="O145" t="s">
        <v>2741</v>
      </c>
      <c r="P145" t="s">
        <v>2747</v>
      </c>
    </row>
    <row r="146" spans="1:16" x14ac:dyDescent="0.25">
      <c r="A146" t="s">
        <v>494</v>
      </c>
      <c r="B146" t="s">
        <v>2272</v>
      </c>
      <c r="C146" t="s">
        <v>833</v>
      </c>
      <c r="D146" t="s">
        <v>4636</v>
      </c>
      <c r="E146" t="s">
        <v>528</v>
      </c>
      <c r="F146" t="s">
        <v>5051</v>
      </c>
      <c r="G146">
        <v>540000000</v>
      </c>
      <c r="H146">
        <v>540000000</v>
      </c>
      <c r="I146">
        <v>0</v>
      </c>
      <c r="J146">
        <v>540000000</v>
      </c>
      <c r="K146" t="s">
        <v>4717</v>
      </c>
      <c r="L146">
        <v>0</v>
      </c>
      <c r="M146" t="s">
        <v>5052</v>
      </c>
      <c r="N146" t="s">
        <v>5053</v>
      </c>
      <c r="O146" t="s">
        <v>2291</v>
      </c>
      <c r="P146" t="s">
        <v>2293</v>
      </c>
    </row>
    <row r="147" spans="1:16" x14ac:dyDescent="0.25">
      <c r="A147" t="s">
        <v>494</v>
      </c>
      <c r="B147" t="s">
        <v>1269</v>
      </c>
      <c r="C147" t="s">
        <v>833</v>
      </c>
      <c r="D147" t="s">
        <v>4762</v>
      </c>
      <c r="E147" t="s">
        <v>513</v>
      </c>
      <c r="F147" t="s">
        <v>5054</v>
      </c>
      <c r="G147">
        <v>25062000</v>
      </c>
      <c r="H147">
        <v>25062000</v>
      </c>
      <c r="I147">
        <v>0</v>
      </c>
      <c r="J147">
        <v>25062000</v>
      </c>
      <c r="K147" t="s">
        <v>4717</v>
      </c>
      <c r="L147">
        <v>0</v>
      </c>
      <c r="M147" t="s">
        <v>5055</v>
      </c>
      <c r="N147" t="s">
        <v>5056</v>
      </c>
      <c r="O147" t="s">
        <v>1536</v>
      </c>
      <c r="P147" t="s">
        <v>1553</v>
      </c>
    </row>
    <row r="148" spans="1:16" x14ac:dyDescent="0.25">
      <c r="A148" t="s">
        <v>494</v>
      </c>
      <c r="B148" t="s">
        <v>1269</v>
      </c>
      <c r="C148" t="s">
        <v>833</v>
      </c>
      <c r="D148" t="s">
        <v>4762</v>
      </c>
      <c r="E148" t="s">
        <v>516</v>
      </c>
      <c r="F148" t="s">
        <v>5057</v>
      </c>
      <c r="G148">
        <v>40000000</v>
      </c>
      <c r="H148">
        <v>14000000</v>
      </c>
      <c r="I148">
        <v>0</v>
      </c>
      <c r="J148">
        <v>14000000</v>
      </c>
      <c r="K148" t="s">
        <v>5058</v>
      </c>
      <c r="L148">
        <v>26000000</v>
      </c>
      <c r="M148" t="s">
        <v>5059</v>
      </c>
      <c r="N148" t="s">
        <v>5060</v>
      </c>
      <c r="O148" t="s">
        <v>1536</v>
      </c>
      <c r="P148" t="s">
        <v>1551</v>
      </c>
    </row>
    <row r="149" spans="1:16" x14ac:dyDescent="0.25">
      <c r="A149" t="s">
        <v>494</v>
      </c>
      <c r="B149" t="s">
        <v>1269</v>
      </c>
      <c r="C149" t="s">
        <v>833</v>
      </c>
      <c r="D149" t="s">
        <v>4762</v>
      </c>
      <c r="E149" t="s">
        <v>533</v>
      </c>
      <c r="F149" t="s">
        <v>5061</v>
      </c>
      <c r="G149">
        <v>3000000</v>
      </c>
      <c r="H149">
        <v>620000</v>
      </c>
      <c r="I149">
        <v>0</v>
      </c>
      <c r="J149">
        <v>620000</v>
      </c>
      <c r="K149" t="s">
        <v>5062</v>
      </c>
      <c r="L149">
        <v>2380000</v>
      </c>
      <c r="M149" t="s">
        <v>5063</v>
      </c>
      <c r="N149" t="s">
        <v>5050</v>
      </c>
      <c r="O149" t="s">
        <v>1536</v>
      </c>
      <c r="P149" t="s">
        <v>1549</v>
      </c>
    </row>
    <row r="150" spans="1:16" x14ac:dyDescent="0.25">
      <c r="A150" t="s">
        <v>494</v>
      </c>
      <c r="B150" t="s">
        <v>1269</v>
      </c>
      <c r="C150" t="s">
        <v>833</v>
      </c>
      <c r="D150" t="s">
        <v>4654</v>
      </c>
      <c r="E150" t="s">
        <v>516</v>
      </c>
      <c r="F150" t="s">
        <v>5064</v>
      </c>
      <c r="G150">
        <v>9000000</v>
      </c>
      <c r="H150">
        <v>4800000</v>
      </c>
      <c r="I150">
        <v>0</v>
      </c>
      <c r="J150">
        <v>4800000</v>
      </c>
      <c r="K150" t="s">
        <v>5065</v>
      </c>
      <c r="L150">
        <v>4200000</v>
      </c>
      <c r="M150" t="s">
        <v>5066</v>
      </c>
      <c r="N150" t="s">
        <v>5060</v>
      </c>
      <c r="O150" t="s">
        <v>1490</v>
      </c>
      <c r="P150" t="s">
        <v>1498</v>
      </c>
    </row>
    <row r="151" spans="1:16" x14ac:dyDescent="0.25">
      <c r="A151" t="s">
        <v>494</v>
      </c>
      <c r="B151" t="s">
        <v>1269</v>
      </c>
      <c r="C151" t="s">
        <v>833</v>
      </c>
      <c r="D151" t="s">
        <v>4654</v>
      </c>
      <c r="E151" t="s">
        <v>533</v>
      </c>
      <c r="F151" t="s">
        <v>5067</v>
      </c>
      <c r="G151">
        <v>1192000</v>
      </c>
      <c r="H151">
        <v>1191418</v>
      </c>
      <c r="I151">
        <v>0</v>
      </c>
      <c r="J151">
        <v>1191418</v>
      </c>
      <c r="K151" t="s">
        <v>5068</v>
      </c>
      <c r="L151">
        <v>582</v>
      </c>
      <c r="M151" t="s">
        <v>5069</v>
      </c>
      <c r="N151" t="s">
        <v>5050</v>
      </c>
      <c r="O151" t="s">
        <v>1490</v>
      </c>
      <c r="P151" t="s">
        <v>1496</v>
      </c>
    </row>
    <row r="152" spans="1:16" x14ac:dyDescent="0.25">
      <c r="A152" t="s">
        <v>494</v>
      </c>
      <c r="B152" t="s">
        <v>1269</v>
      </c>
      <c r="C152" t="s">
        <v>833</v>
      </c>
      <c r="D152" t="s">
        <v>4641</v>
      </c>
      <c r="E152" t="s">
        <v>533</v>
      </c>
      <c r="F152" t="s">
        <v>5070</v>
      </c>
      <c r="G152">
        <v>1193000</v>
      </c>
      <c r="H152">
        <v>1192458</v>
      </c>
      <c r="I152">
        <v>0</v>
      </c>
      <c r="J152">
        <v>1192458</v>
      </c>
      <c r="K152" t="s">
        <v>5071</v>
      </c>
      <c r="L152">
        <v>542</v>
      </c>
      <c r="M152" t="s">
        <v>5072</v>
      </c>
      <c r="N152" t="s">
        <v>5073</v>
      </c>
      <c r="O152" t="s">
        <v>1469</v>
      </c>
      <c r="P152" t="s">
        <v>1474</v>
      </c>
    </row>
    <row r="153" spans="1:16" x14ac:dyDescent="0.25">
      <c r="A153" t="s">
        <v>494</v>
      </c>
      <c r="B153" t="s">
        <v>1269</v>
      </c>
      <c r="C153" t="s">
        <v>833</v>
      </c>
      <c r="D153" t="s">
        <v>4641</v>
      </c>
      <c r="E153" t="s">
        <v>533</v>
      </c>
      <c r="F153" t="s">
        <v>5074</v>
      </c>
      <c r="G153">
        <v>3105000</v>
      </c>
      <c r="H153">
        <v>3105000</v>
      </c>
      <c r="I153">
        <v>0</v>
      </c>
      <c r="J153">
        <v>3105000</v>
      </c>
      <c r="K153" t="s">
        <v>4717</v>
      </c>
      <c r="L153">
        <v>0</v>
      </c>
      <c r="M153" t="s">
        <v>5075</v>
      </c>
      <c r="N153" t="s">
        <v>5076</v>
      </c>
      <c r="O153" t="s">
        <v>1469</v>
      </c>
      <c r="P153" t="s">
        <v>1474</v>
      </c>
    </row>
    <row r="154" spans="1:16" x14ac:dyDescent="0.25">
      <c r="A154" t="s">
        <v>494</v>
      </c>
      <c r="B154" t="s">
        <v>1269</v>
      </c>
      <c r="C154" t="s">
        <v>833</v>
      </c>
      <c r="D154" t="s">
        <v>4672</v>
      </c>
      <c r="E154" t="s">
        <v>513</v>
      </c>
      <c r="F154" t="s">
        <v>5077</v>
      </c>
      <c r="G154">
        <v>21851000</v>
      </c>
      <c r="H154">
        <v>21850700</v>
      </c>
      <c r="I154">
        <v>0</v>
      </c>
      <c r="J154">
        <v>21850700</v>
      </c>
      <c r="K154" t="s">
        <v>5078</v>
      </c>
      <c r="L154">
        <v>300</v>
      </c>
      <c r="M154" t="s">
        <v>5079</v>
      </c>
      <c r="N154" t="s">
        <v>5080</v>
      </c>
      <c r="O154" t="s">
        <v>1448</v>
      </c>
      <c r="P154" t="s">
        <v>1464</v>
      </c>
    </row>
    <row r="155" spans="1:16" x14ac:dyDescent="0.25">
      <c r="A155" t="s">
        <v>494</v>
      </c>
      <c r="B155" t="s">
        <v>1269</v>
      </c>
      <c r="C155" t="s">
        <v>833</v>
      </c>
      <c r="D155" t="s">
        <v>4672</v>
      </c>
      <c r="E155" t="s">
        <v>518</v>
      </c>
      <c r="F155" t="s">
        <v>5081</v>
      </c>
      <c r="G155">
        <v>4246000</v>
      </c>
      <c r="H155">
        <v>4246000</v>
      </c>
      <c r="I155">
        <v>0</v>
      </c>
      <c r="J155">
        <v>4246000</v>
      </c>
      <c r="K155" t="s">
        <v>4717</v>
      </c>
      <c r="L155">
        <v>0</v>
      </c>
      <c r="M155" t="s">
        <v>5082</v>
      </c>
      <c r="N155" t="s">
        <v>5083</v>
      </c>
      <c r="O155" t="s">
        <v>1448</v>
      </c>
      <c r="P155" t="s">
        <v>1462</v>
      </c>
    </row>
    <row r="156" spans="1:16" x14ac:dyDescent="0.25">
      <c r="A156" t="s">
        <v>494</v>
      </c>
      <c r="B156" t="s">
        <v>1269</v>
      </c>
      <c r="C156" t="s">
        <v>833</v>
      </c>
      <c r="D156" t="s">
        <v>4672</v>
      </c>
      <c r="E156" t="s">
        <v>515</v>
      </c>
      <c r="F156" t="s">
        <v>5084</v>
      </c>
      <c r="G156">
        <v>800000</v>
      </c>
      <c r="H156">
        <v>400000</v>
      </c>
      <c r="I156">
        <v>0</v>
      </c>
      <c r="J156">
        <v>400000</v>
      </c>
      <c r="K156" t="s">
        <v>4721</v>
      </c>
      <c r="L156">
        <v>400000</v>
      </c>
      <c r="M156" t="s">
        <v>5085</v>
      </c>
      <c r="N156" t="s">
        <v>5086</v>
      </c>
      <c r="O156" t="s">
        <v>1448</v>
      </c>
      <c r="P156" t="s">
        <v>1455</v>
      </c>
    </row>
    <row r="157" spans="1:16" x14ac:dyDescent="0.25">
      <c r="A157" t="s">
        <v>494</v>
      </c>
      <c r="B157" t="s">
        <v>1269</v>
      </c>
      <c r="C157" t="s">
        <v>833</v>
      </c>
      <c r="D157" t="s">
        <v>4672</v>
      </c>
      <c r="E157" t="s">
        <v>515</v>
      </c>
      <c r="F157" t="s">
        <v>5087</v>
      </c>
      <c r="G157">
        <v>24334000</v>
      </c>
      <c r="H157">
        <v>20564280</v>
      </c>
      <c r="I157">
        <v>0</v>
      </c>
      <c r="J157">
        <v>20564280</v>
      </c>
      <c r="K157" t="s">
        <v>5088</v>
      </c>
      <c r="L157">
        <v>3769720</v>
      </c>
      <c r="M157" t="s">
        <v>5089</v>
      </c>
      <c r="N157" t="s">
        <v>5090</v>
      </c>
      <c r="O157" t="s">
        <v>1448</v>
      </c>
      <c r="P157" t="s">
        <v>1455</v>
      </c>
    </row>
    <row r="158" spans="1:16" x14ac:dyDescent="0.25">
      <c r="A158" t="s">
        <v>494</v>
      </c>
      <c r="B158" t="s">
        <v>1269</v>
      </c>
      <c r="C158" t="s">
        <v>833</v>
      </c>
      <c r="D158" t="s">
        <v>4672</v>
      </c>
      <c r="E158" t="s">
        <v>515</v>
      </c>
      <c r="F158" t="s">
        <v>5091</v>
      </c>
      <c r="G158">
        <v>57400000</v>
      </c>
      <c r="H158">
        <v>46200000</v>
      </c>
      <c r="I158">
        <v>0</v>
      </c>
      <c r="J158">
        <v>46200000</v>
      </c>
      <c r="K158" t="s">
        <v>5092</v>
      </c>
      <c r="L158">
        <v>11200000</v>
      </c>
      <c r="M158" t="s">
        <v>5093</v>
      </c>
      <c r="N158" t="s">
        <v>5094</v>
      </c>
      <c r="O158" t="s">
        <v>1448</v>
      </c>
      <c r="P158" t="s">
        <v>1455</v>
      </c>
    </row>
    <row r="159" spans="1:16" x14ac:dyDescent="0.25">
      <c r="A159" t="s">
        <v>494</v>
      </c>
      <c r="B159" t="s">
        <v>1269</v>
      </c>
      <c r="C159" t="s">
        <v>833</v>
      </c>
      <c r="D159" t="s">
        <v>4680</v>
      </c>
      <c r="E159" t="s">
        <v>513</v>
      </c>
      <c r="F159" t="s">
        <v>5095</v>
      </c>
      <c r="G159">
        <v>47693000</v>
      </c>
      <c r="H159">
        <v>27681738</v>
      </c>
      <c r="I159">
        <v>0</v>
      </c>
      <c r="J159">
        <v>27681738</v>
      </c>
      <c r="K159" t="s">
        <v>5096</v>
      </c>
      <c r="L159">
        <v>20011262</v>
      </c>
      <c r="M159" t="s">
        <v>5097</v>
      </c>
      <c r="N159" t="s">
        <v>151</v>
      </c>
      <c r="O159" t="s">
        <v>1437</v>
      </c>
      <c r="P159" t="s">
        <v>1443</v>
      </c>
    </row>
    <row r="160" spans="1:16" x14ac:dyDescent="0.25">
      <c r="A160" t="s">
        <v>494</v>
      </c>
      <c r="B160" t="s">
        <v>1269</v>
      </c>
      <c r="C160" t="s">
        <v>833</v>
      </c>
      <c r="D160" t="s">
        <v>4691</v>
      </c>
      <c r="E160" t="s">
        <v>507</v>
      </c>
      <c r="F160" t="s">
        <v>5098</v>
      </c>
      <c r="G160">
        <v>2250000</v>
      </c>
      <c r="H160">
        <v>600000</v>
      </c>
      <c r="I160">
        <v>0</v>
      </c>
      <c r="J160">
        <v>600000</v>
      </c>
      <c r="K160" t="s">
        <v>5099</v>
      </c>
      <c r="L160">
        <v>1650000</v>
      </c>
      <c r="M160" t="s">
        <v>5100</v>
      </c>
      <c r="N160" t="s">
        <v>5101</v>
      </c>
      <c r="O160" t="s">
        <v>1417</v>
      </c>
      <c r="P160" t="s">
        <v>1434</v>
      </c>
    </row>
    <row r="161" spans="1:16" x14ac:dyDescent="0.25">
      <c r="A161" t="s">
        <v>494</v>
      </c>
      <c r="B161" t="s">
        <v>1269</v>
      </c>
      <c r="C161" t="s">
        <v>833</v>
      </c>
      <c r="D161" t="s">
        <v>4691</v>
      </c>
      <c r="E161" t="s">
        <v>513</v>
      </c>
      <c r="F161" t="s">
        <v>5102</v>
      </c>
      <c r="G161">
        <v>18000000</v>
      </c>
      <c r="H161">
        <v>8310000</v>
      </c>
      <c r="I161">
        <v>0</v>
      </c>
      <c r="J161">
        <v>8310000</v>
      </c>
      <c r="K161" t="s">
        <v>5103</v>
      </c>
      <c r="L161">
        <v>9690000</v>
      </c>
      <c r="M161" t="s">
        <v>5104</v>
      </c>
      <c r="N161" t="s">
        <v>5105</v>
      </c>
      <c r="O161" t="s">
        <v>1417</v>
      </c>
      <c r="P161" t="s">
        <v>1431</v>
      </c>
    </row>
    <row r="162" spans="1:16" x14ac:dyDescent="0.25">
      <c r="A162" t="s">
        <v>494</v>
      </c>
      <c r="B162" t="s">
        <v>1269</v>
      </c>
      <c r="C162" t="s">
        <v>833</v>
      </c>
      <c r="D162" t="s">
        <v>4623</v>
      </c>
      <c r="E162" t="s">
        <v>513</v>
      </c>
      <c r="F162" t="s">
        <v>5106</v>
      </c>
      <c r="G162">
        <v>180375000</v>
      </c>
      <c r="H162">
        <v>113862760</v>
      </c>
      <c r="I162">
        <v>0</v>
      </c>
      <c r="J162">
        <v>113862760</v>
      </c>
      <c r="K162" t="s">
        <v>5107</v>
      </c>
      <c r="L162">
        <v>66512240</v>
      </c>
      <c r="M162" t="s">
        <v>5108</v>
      </c>
      <c r="N162" t="s">
        <v>5109</v>
      </c>
      <c r="O162" t="s">
        <v>1403</v>
      </c>
      <c r="P162" t="s">
        <v>1412</v>
      </c>
    </row>
    <row r="163" spans="1:16" x14ac:dyDescent="0.25">
      <c r="A163" t="s">
        <v>494</v>
      </c>
      <c r="B163" t="s">
        <v>1269</v>
      </c>
      <c r="C163" t="s">
        <v>833</v>
      </c>
      <c r="D163" t="s">
        <v>4623</v>
      </c>
      <c r="E163" t="s">
        <v>513</v>
      </c>
      <c r="F163" t="s">
        <v>5110</v>
      </c>
      <c r="G163">
        <v>193259000</v>
      </c>
      <c r="H163">
        <v>46717701</v>
      </c>
      <c r="I163">
        <v>0</v>
      </c>
      <c r="J163">
        <v>46717701</v>
      </c>
      <c r="K163" t="s">
        <v>5111</v>
      </c>
      <c r="L163">
        <v>146541299</v>
      </c>
      <c r="M163" t="s">
        <v>5112</v>
      </c>
      <c r="N163" t="s">
        <v>5113</v>
      </c>
      <c r="O163" t="s">
        <v>1403</v>
      </c>
      <c r="P163" t="s">
        <v>1412</v>
      </c>
    </row>
    <row r="164" spans="1:16" x14ac:dyDescent="0.25">
      <c r="A164" t="s">
        <v>494</v>
      </c>
      <c r="B164" t="s">
        <v>1269</v>
      </c>
      <c r="C164" t="s">
        <v>833</v>
      </c>
      <c r="D164" t="s">
        <v>4623</v>
      </c>
      <c r="E164" t="s">
        <v>518</v>
      </c>
      <c r="F164" t="s">
        <v>5114</v>
      </c>
      <c r="G164">
        <v>2031000</v>
      </c>
      <c r="H164">
        <v>2031000</v>
      </c>
      <c r="I164">
        <v>0</v>
      </c>
      <c r="J164">
        <v>2031000</v>
      </c>
      <c r="K164" t="s">
        <v>4717</v>
      </c>
      <c r="L164">
        <v>0</v>
      </c>
      <c r="M164" t="s">
        <v>5115</v>
      </c>
      <c r="N164" t="s">
        <v>5083</v>
      </c>
      <c r="O164" t="s">
        <v>1403</v>
      </c>
      <c r="P164" t="s">
        <v>1409</v>
      </c>
    </row>
    <row r="165" spans="1:16" x14ac:dyDescent="0.25">
      <c r="A165" t="s">
        <v>494</v>
      </c>
      <c r="B165" t="s">
        <v>1269</v>
      </c>
      <c r="C165" t="s">
        <v>833</v>
      </c>
      <c r="D165" t="s">
        <v>4636</v>
      </c>
      <c r="E165" t="s">
        <v>507</v>
      </c>
      <c r="F165" t="s">
        <v>5116</v>
      </c>
      <c r="G165">
        <v>750000</v>
      </c>
      <c r="H165">
        <v>750000</v>
      </c>
      <c r="I165">
        <v>0</v>
      </c>
      <c r="J165">
        <v>750000</v>
      </c>
      <c r="K165" t="s">
        <v>4717</v>
      </c>
      <c r="L165">
        <v>0</v>
      </c>
      <c r="M165" t="s">
        <v>5117</v>
      </c>
      <c r="N165" t="s">
        <v>5118</v>
      </c>
      <c r="O165" t="s">
        <v>1390</v>
      </c>
      <c r="P165" t="s">
        <v>1400</v>
      </c>
    </row>
    <row r="166" spans="1:16" x14ac:dyDescent="0.25">
      <c r="A166" t="s">
        <v>494</v>
      </c>
      <c r="B166" t="s">
        <v>1269</v>
      </c>
      <c r="C166" t="s">
        <v>833</v>
      </c>
      <c r="D166" t="s">
        <v>4636</v>
      </c>
      <c r="E166" t="s">
        <v>513</v>
      </c>
      <c r="F166" t="s">
        <v>5119</v>
      </c>
      <c r="G166">
        <v>12989000</v>
      </c>
      <c r="H166">
        <v>11338500</v>
      </c>
      <c r="I166">
        <v>0</v>
      </c>
      <c r="J166">
        <v>11338500</v>
      </c>
      <c r="K166" t="s">
        <v>5120</v>
      </c>
      <c r="L166">
        <v>1650500</v>
      </c>
      <c r="M166" t="s">
        <v>5121</v>
      </c>
      <c r="N166" t="s">
        <v>148</v>
      </c>
      <c r="O166" t="s">
        <v>1390</v>
      </c>
      <c r="P166" t="s">
        <v>1397</v>
      </c>
    </row>
    <row r="167" spans="1:16" x14ac:dyDescent="0.25">
      <c r="A167" t="s">
        <v>494</v>
      </c>
      <c r="B167" t="s">
        <v>1036</v>
      </c>
      <c r="C167" t="s">
        <v>1185</v>
      </c>
      <c r="D167" t="s">
        <v>4848</v>
      </c>
      <c r="E167" t="s">
        <v>513</v>
      </c>
      <c r="F167" t="s">
        <v>5122</v>
      </c>
      <c r="G167">
        <v>90946000</v>
      </c>
      <c r="H167">
        <v>18370600</v>
      </c>
      <c r="I167">
        <v>0</v>
      </c>
      <c r="J167">
        <v>18370600</v>
      </c>
      <c r="K167" t="s">
        <v>5123</v>
      </c>
      <c r="L167">
        <v>72575400</v>
      </c>
      <c r="M167" t="s">
        <v>5124</v>
      </c>
      <c r="N167" t="s">
        <v>5125</v>
      </c>
      <c r="O167" t="s">
        <v>1187</v>
      </c>
      <c r="P167" t="s">
        <v>1200</v>
      </c>
    </row>
    <row r="168" spans="1:16" x14ac:dyDescent="0.25">
      <c r="A168" t="s">
        <v>494</v>
      </c>
      <c r="B168" t="s">
        <v>823</v>
      </c>
      <c r="C168" t="s">
        <v>833</v>
      </c>
      <c r="D168" t="s">
        <v>4636</v>
      </c>
      <c r="E168" t="s">
        <v>528</v>
      </c>
      <c r="F168" t="s">
        <v>5126</v>
      </c>
      <c r="G168">
        <v>114200000</v>
      </c>
      <c r="H168">
        <v>114200000</v>
      </c>
      <c r="I168">
        <v>0</v>
      </c>
      <c r="J168">
        <v>114200000</v>
      </c>
      <c r="K168" t="s">
        <v>4717</v>
      </c>
      <c r="L168">
        <v>0</v>
      </c>
      <c r="M168" t="s">
        <v>5127</v>
      </c>
      <c r="N168" t="s">
        <v>5128</v>
      </c>
      <c r="O168" t="s">
        <v>835</v>
      </c>
      <c r="P168" t="s">
        <v>837</v>
      </c>
    </row>
    <row r="169" spans="1:16" x14ac:dyDescent="0.25">
      <c r="A169" t="s">
        <v>495</v>
      </c>
      <c r="B169" t="s">
        <v>3476</v>
      </c>
      <c r="C169" t="s">
        <v>3090</v>
      </c>
      <c r="D169" t="s">
        <v>4715</v>
      </c>
      <c r="E169" t="s">
        <v>537</v>
      </c>
      <c r="F169" t="s">
        <v>5129</v>
      </c>
      <c r="G169">
        <v>18000000</v>
      </c>
      <c r="H169">
        <v>2875000</v>
      </c>
      <c r="I169">
        <v>0</v>
      </c>
      <c r="J169">
        <v>2875000</v>
      </c>
      <c r="K169" t="s">
        <v>5130</v>
      </c>
      <c r="L169">
        <v>15125000</v>
      </c>
      <c r="M169" t="s">
        <v>5131</v>
      </c>
      <c r="N169" t="s">
        <v>4627</v>
      </c>
      <c r="O169" t="s">
        <v>3539</v>
      </c>
      <c r="P169" t="s">
        <v>3543</v>
      </c>
    </row>
    <row r="170" spans="1:16" x14ac:dyDescent="0.25">
      <c r="A170" t="s">
        <v>495</v>
      </c>
      <c r="B170" t="s">
        <v>3476</v>
      </c>
      <c r="C170" t="s">
        <v>3090</v>
      </c>
      <c r="D170" t="s">
        <v>4715</v>
      </c>
      <c r="E170" t="s">
        <v>537</v>
      </c>
      <c r="F170" t="s">
        <v>5132</v>
      </c>
      <c r="G170">
        <v>12000000</v>
      </c>
      <c r="H170">
        <v>1970000</v>
      </c>
      <c r="I170">
        <v>0</v>
      </c>
      <c r="J170">
        <v>1970000</v>
      </c>
      <c r="K170" t="s">
        <v>5133</v>
      </c>
      <c r="L170">
        <v>10030000</v>
      </c>
      <c r="M170" t="s">
        <v>5134</v>
      </c>
      <c r="N170" t="s">
        <v>4679</v>
      </c>
      <c r="O170" t="s">
        <v>3539</v>
      </c>
      <c r="P170" t="s">
        <v>3543</v>
      </c>
    </row>
    <row r="171" spans="1:16" x14ac:dyDescent="0.25">
      <c r="A171" t="s">
        <v>495</v>
      </c>
      <c r="B171" t="s">
        <v>3476</v>
      </c>
      <c r="C171" t="s">
        <v>3090</v>
      </c>
      <c r="D171" t="s">
        <v>4715</v>
      </c>
      <c r="E171" t="s">
        <v>503</v>
      </c>
      <c r="F171" t="s">
        <v>5135</v>
      </c>
      <c r="G171">
        <v>18000000</v>
      </c>
      <c r="H171">
        <v>2961000</v>
      </c>
      <c r="I171">
        <v>0</v>
      </c>
      <c r="J171">
        <v>2961000</v>
      </c>
      <c r="K171" t="s">
        <v>5136</v>
      </c>
      <c r="L171">
        <v>15039000</v>
      </c>
      <c r="M171" t="s">
        <v>5137</v>
      </c>
      <c r="N171" t="s">
        <v>4635</v>
      </c>
      <c r="O171" t="s">
        <v>3539</v>
      </c>
      <c r="P171" t="s">
        <v>3540</v>
      </c>
    </row>
    <row r="172" spans="1:16" x14ac:dyDescent="0.25">
      <c r="A172" t="s">
        <v>495</v>
      </c>
      <c r="B172" t="s">
        <v>3476</v>
      </c>
      <c r="C172" t="s">
        <v>833</v>
      </c>
      <c r="D172" t="s">
        <v>4623</v>
      </c>
      <c r="E172" t="s">
        <v>513</v>
      </c>
      <c r="F172" t="s">
        <v>5138</v>
      </c>
      <c r="G172">
        <v>156000000</v>
      </c>
      <c r="H172">
        <v>42723206</v>
      </c>
      <c r="I172">
        <v>0</v>
      </c>
      <c r="J172">
        <v>42723206</v>
      </c>
      <c r="K172" t="s">
        <v>5139</v>
      </c>
      <c r="L172">
        <v>113276794</v>
      </c>
      <c r="M172" t="s">
        <v>5140</v>
      </c>
      <c r="N172" t="s">
        <v>4640</v>
      </c>
      <c r="O172" t="s">
        <v>3505</v>
      </c>
      <c r="P172" t="s">
        <v>3519</v>
      </c>
    </row>
    <row r="173" spans="1:16" x14ac:dyDescent="0.25">
      <c r="A173" t="s">
        <v>495</v>
      </c>
      <c r="B173" t="s">
        <v>3476</v>
      </c>
      <c r="C173" t="s">
        <v>833</v>
      </c>
      <c r="D173" t="s">
        <v>4623</v>
      </c>
      <c r="E173" t="s">
        <v>537</v>
      </c>
      <c r="F173" t="s">
        <v>5141</v>
      </c>
      <c r="G173">
        <v>12000000</v>
      </c>
      <c r="H173">
        <v>1910000</v>
      </c>
      <c r="I173">
        <v>0</v>
      </c>
      <c r="J173">
        <v>1910000</v>
      </c>
      <c r="K173" t="s">
        <v>5142</v>
      </c>
      <c r="L173">
        <v>10090000</v>
      </c>
      <c r="M173" t="s">
        <v>5143</v>
      </c>
      <c r="N173" t="s">
        <v>4679</v>
      </c>
      <c r="O173" t="s">
        <v>3505</v>
      </c>
      <c r="P173" t="s">
        <v>3514</v>
      </c>
    </row>
    <row r="174" spans="1:16" x14ac:dyDescent="0.25">
      <c r="A174" t="s">
        <v>495</v>
      </c>
      <c r="B174" t="s">
        <v>3476</v>
      </c>
      <c r="C174" t="s">
        <v>833</v>
      </c>
      <c r="D174" t="s">
        <v>4636</v>
      </c>
      <c r="E174" t="s">
        <v>537</v>
      </c>
      <c r="F174" t="s">
        <v>5144</v>
      </c>
      <c r="G174">
        <v>15000000</v>
      </c>
      <c r="H174">
        <v>2920000</v>
      </c>
      <c r="I174">
        <v>0</v>
      </c>
      <c r="J174">
        <v>2920000</v>
      </c>
      <c r="K174" t="s">
        <v>5145</v>
      </c>
      <c r="L174">
        <v>12080000</v>
      </c>
      <c r="M174" t="s">
        <v>5146</v>
      </c>
      <c r="N174" t="s">
        <v>4627</v>
      </c>
      <c r="O174" t="s">
        <v>3479</v>
      </c>
      <c r="P174" t="s">
        <v>3492</v>
      </c>
    </row>
    <row r="175" spans="1:16" x14ac:dyDescent="0.25">
      <c r="A175" t="s">
        <v>495</v>
      </c>
      <c r="B175" t="s">
        <v>3476</v>
      </c>
      <c r="C175" t="s">
        <v>833</v>
      </c>
      <c r="D175" t="s">
        <v>4636</v>
      </c>
      <c r="E175" t="s">
        <v>537</v>
      </c>
      <c r="F175" t="s">
        <v>5147</v>
      </c>
      <c r="G175">
        <v>10000000</v>
      </c>
      <c r="H175">
        <v>1935000</v>
      </c>
      <c r="I175">
        <v>0</v>
      </c>
      <c r="J175">
        <v>1935000</v>
      </c>
      <c r="K175" t="s">
        <v>5148</v>
      </c>
      <c r="L175">
        <v>8065000</v>
      </c>
      <c r="M175" t="s">
        <v>5149</v>
      </c>
      <c r="N175" t="s">
        <v>4679</v>
      </c>
      <c r="O175" t="s">
        <v>3479</v>
      </c>
      <c r="P175" t="s">
        <v>3492</v>
      </c>
    </row>
    <row r="176" spans="1:16" x14ac:dyDescent="0.25">
      <c r="A176" t="s">
        <v>419</v>
      </c>
      <c r="B176" t="s">
        <v>616</v>
      </c>
      <c r="C176" t="s">
        <v>526</v>
      </c>
      <c r="D176" t="s">
        <v>5150</v>
      </c>
      <c r="E176" t="s">
        <v>513</v>
      </c>
      <c r="F176" t="s">
        <v>5151</v>
      </c>
      <c r="G176">
        <v>97416000</v>
      </c>
      <c r="H176">
        <v>57918610</v>
      </c>
      <c r="I176">
        <v>0</v>
      </c>
      <c r="J176">
        <v>57918610</v>
      </c>
      <c r="K176" t="s">
        <v>5152</v>
      </c>
      <c r="L176">
        <v>39497390</v>
      </c>
      <c r="M176" t="s">
        <v>5153</v>
      </c>
      <c r="N176" t="s">
        <v>5154</v>
      </c>
      <c r="O176" t="s">
        <v>485</v>
      </c>
      <c r="P176" t="s">
        <v>816</v>
      </c>
    </row>
    <row r="177" spans="1:16" x14ac:dyDescent="0.25">
      <c r="A177" t="s">
        <v>419</v>
      </c>
      <c r="B177" t="s">
        <v>616</v>
      </c>
      <c r="C177" t="s">
        <v>526</v>
      </c>
      <c r="D177" t="s">
        <v>5150</v>
      </c>
      <c r="E177" t="s">
        <v>516</v>
      </c>
      <c r="F177" t="s">
        <v>5155</v>
      </c>
      <c r="G177">
        <v>10000000</v>
      </c>
      <c r="H177">
        <v>7200000</v>
      </c>
      <c r="I177">
        <v>0</v>
      </c>
      <c r="J177">
        <v>7200000</v>
      </c>
      <c r="K177" t="s">
        <v>5156</v>
      </c>
      <c r="L177">
        <v>2800000</v>
      </c>
      <c r="M177" t="s">
        <v>5157</v>
      </c>
      <c r="N177" t="s">
        <v>5158</v>
      </c>
      <c r="O177" t="s">
        <v>485</v>
      </c>
      <c r="P177" t="s">
        <v>492</v>
      </c>
    </row>
    <row r="178" spans="1:16" x14ac:dyDescent="0.25">
      <c r="A178" t="s">
        <v>419</v>
      </c>
      <c r="B178" t="s">
        <v>616</v>
      </c>
      <c r="C178" t="s">
        <v>526</v>
      </c>
      <c r="D178" t="s">
        <v>5150</v>
      </c>
      <c r="E178" t="s">
        <v>503</v>
      </c>
      <c r="F178" t="s">
        <v>5159</v>
      </c>
      <c r="G178">
        <v>3000000</v>
      </c>
      <c r="H178">
        <v>2995000</v>
      </c>
      <c r="I178">
        <v>0</v>
      </c>
      <c r="J178">
        <v>2995000</v>
      </c>
      <c r="K178" t="s">
        <v>5160</v>
      </c>
      <c r="L178">
        <v>5000</v>
      </c>
      <c r="M178" t="s">
        <v>5161</v>
      </c>
      <c r="N178" t="s">
        <v>4679</v>
      </c>
      <c r="O178" t="s">
        <v>485</v>
      </c>
      <c r="P178" t="s">
        <v>486</v>
      </c>
    </row>
    <row r="179" spans="1:16" x14ac:dyDescent="0.25">
      <c r="A179" t="s">
        <v>419</v>
      </c>
      <c r="B179" t="s">
        <v>616</v>
      </c>
      <c r="C179" t="s">
        <v>526</v>
      </c>
      <c r="D179" t="s">
        <v>5150</v>
      </c>
      <c r="E179" t="s">
        <v>503</v>
      </c>
      <c r="F179" t="s">
        <v>5162</v>
      </c>
      <c r="G179">
        <v>2000000</v>
      </c>
      <c r="H179">
        <v>1996500</v>
      </c>
      <c r="I179">
        <v>0</v>
      </c>
      <c r="J179">
        <v>1996500</v>
      </c>
      <c r="K179" t="s">
        <v>5163</v>
      </c>
      <c r="L179">
        <v>3500</v>
      </c>
      <c r="M179" t="s">
        <v>5164</v>
      </c>
      <c r="N179" t="s">
        <v>4627</v>
      </c>
      <c r="O179" t="s">
        <v>485</v>
      </c>
      <c r="P179" t="s">
        <v>486</v>
      </c>
    </row>
    <row r="180" spans="1:16" x14ac:dyDescent="0.25">
      <c r="A180" t="s">
        <v>419</v>
      </c>
      <c r="B180" t="s">
        <v>616</v>
      </c>
      <c r="C180" t="s">
        <v>526</v>
      </c>
      <c r="D180" t="s">
        <v>5150</v>
      </c>
      <c r="E180" t="s">
        <v>503</v>
      </c>
      <c r="F180" t="s">
        <v>5165</v>
      </c>
      <c r="G180">
        <v>5900000</v>
      </c>
      <c r="H180">
        <v>1500000</v>
      </c>
      <c r="I180">
        <v>0</v>
      </c>
      <c r="J180">
        <v>1500000</v>
      </c>
      <c r="K180" t="s">
        <v>5166</v>
      </c>
      <c r="L180">
        <v>4400000</v>
      </c>
      <c r="M180" t="s">
        <v>5167</v>
      </c>
      <c r="N180" t="s">
        <v>5168</v>
      </c>
      <c r="O180" t="s">
        <v>485</v>
      </c>
      <c r="P180" t="s">
        <v>486</v>
      </c>
    </row>
    <row r="181" spans="1:16" x14ac:dyDescent="0.25">
      <c r="A181" t="s">
        <v>419</v>
      </c>
      <c r="B181" t="s">
        <v>616</v>
      </c>
      <c r="C181" t="s">
        <v>526</v>
      </c>
      <c r="D181" t="s">
        <v>5150</v>
      </c>
      <c r="E181" t="s">
        <v>503</v>
      </c>
      <c r="F181" t="s">
        <v>5169</v>
      </c>
      <c r="G181">
        <v>3000000</v>
      </c>
      <c r="H181">
        <v>2999250</v>
      </c>
      <c r="I181">
        <v>0</v>
      </c>
      <c r="J181">
        <v>2999250</v>
      </c>
      <c r="K181" t="s">
        <v>5170</v>
      </c>
      <c r="L181">
        <v>750</v>
      </c>
      <c r="M181" t="s">
        <v>5171</v>
      </c>
      <c r="N181" t="s">
        <v>4714</v>
      </c>
      <c r="O181" t="s">
        <v>485</v>
      </c>
      <c r="P181" t="s">
        <v>486</v>
      </c>
    </row>
    <row r="182" spans="1:16" x14ac:dyDescent="0.25">
      <c r="A182" t="s">
        <v>419</v>
      </c>
      <c r="B182" t="s">
        <v>616</v>
      </c>
      <c r="C182" t="s">
        <v>523</v>
      </c>
      <c r="D182" t="s">
        <v>4663</v>
      </c>
      <c r="E182" t="s">
        <v>518</v>
      </c>
      <c r="F182" t="s">
        <v>5172</v>
      </c>
      <c r="G182">
        <v>2000000</v>
      </c>
      <c r="H182">
        <v>365000</v>
      </c>
      <c r="I182">
        <v>0</v>
      </c>
      <c r="J182">
        <v>365000</v>
      </c>
      <c r="K182" t="s">
        <v>5173</v>
      </c>
      <c r="L182">
        <v>1635000</v>
      </c>
      <c r="M182" t="s">
        <v>5174</v>
      </c>
      <c r="N182" t="s">
        <v>5175</v>
      </c>
      <c r="O182" t="s">
        <v>469</v>
      </c>
      <c r="P182" t="s">
        <v>480</v>
      </c>
    </row>
    <row r="183" spans="1:16" x14ac:dyDescent="0.25">
      <c r="A183" t="s">
        <v>419</v>
      </c>
      <c r="B183" t="s">
        <v>616</v>
      </c>
      <c r="C183" t="s">
        <v>523</v>
      </c>
      <c r="D183" t="s">
        <v>4663</v>
      </c>
      <c r="E183" t="s">
        <v>516</v>
      </c>
      <c r="F183" t="s">
        <v>5176</v>
      </c>
      <c r="G183">
        <v>16200000</v>
      </c>
      <c r="H183">
        <v>6300000</v>
      </c>
      <c r="I183">
        <v>0</v>
      </c>
      <c r="J183">
        <v>6300000</v>
      </c>
      <c r="K183" t="s">
        <v>5177</v>
      </c>
      <c r="L183">
        <v>9900000</v>
      </c>
      <c r="M183" t="s">
        <v>5178</v>
      </c>
      <c r="N183" t="s">
        <v>5158</v>
      </c>
      <c r="O183" t="s">
        <v>469</v>
      </c>
      <c r="P183" t="s">
        <v>478</v>
      </c>
    </row>
    <row r="184" spans="1:16" x14ac:dyDescent="0.25">
      <c r="A184" t="s">
        <v>419</v>
      </c>
      <c r="B184" t="s">
        <v>616</v>
      </c>
      <c r="C184" t="s">
        <v>523</v>
      </c>
      <c r="D184" t="s">
        <v>4663</v>
      </c>
      <c r="E184" t="s">
        <v>537</v>
      </c>
      <c r="F184" t="s">
        <v>5179</v>
      </c>
      <c r="G184">
        <v>9000000</v>
      </c>
      <c r="H184">
        <v>1470000</v>
      </c>
      <c r="I184">
        <v>0</v>
      </c>
      <c r="J184">
        <v>1470000</v>
      </c>
      <c r="K184" t="s">
        <v>5180</v>
      </c>
      <c r="L184">
        <v>7530000</v>
      </c>
      <c r="M184" t="s">
        <v>5181</v>
      </c>
      <c r="N184" t="s">
        <v>4679</v>
      </c>
      <c r="O184" t="s">
        <v>469</v>
      </c>
      <c r="P184" t="s">
        <v>475</v>
      </c>
    </row>
    <row r="185" spans="1:16" x14ac:dyDescent="0.25">
      <c r="A185" t="s">
        <v>419</v>
      </c>
      <c r="B185" t="s">
        <v>616</v>
      </c>
      <c r="C185" t="s">
        <v>523</v>
      </c>
      <c r="D185" t="s">
        <v>4663</v>
      </c>
      <c r="E185" t="s">
        <v>537</v>
      </c>
      <c r="F185" t="s">
        <v>5182</v>
      </c>
      <c r="G185">
        <v>6000000</v>
      </c>
      <c r="H185">
        <v>983500</v>
      </c>
      <c r="I185">
        <v>0</v>
      </c>
      <c r="J185">
        <v>983500</v>
      </c>
      <c r="K185" t="s">
        <v>5183</v>
      </c>
      <c r="L185">
        <v>5016500</v>
      </c>
      <c r="M185" t="s">
        <v>5184</v>
      </c>
      <c r="N185" t="s">
        <v>4627</v>
      </c>
      <c r="O185" t="s">
        <v>469</v>
      </c>
      <c r="P185" t="s">
        <v>475</v>
      </c>
    </row>
    <row r="186" spans="1:16" x14ac:dyDescent="0.25">
      <c r="A186" t="s">
        <v>419</v>
      </c>
      <c r="B186" t="s">
        <v>616</v>
      </c>
      <c r="C186" t="s">
        <v>523</v>
      </c>
      <c r="D186" t="s">
        <v>4663</v>
      </c>
      <c r="E186" t="s">
        <v>533</v>
      </c>
      <c r="F186" t="s">
        <v>5185</v>
      </c>
      <c r="G186">
        <v>4000000</v>
      </c>
      <c r="H186">
        <v>3960000</v>
      </c>
      <c r="I186">
        <v>0</v>
      </c>
      <c r="J186">
        <v>3960000</v>
      </c>
      <c r="K186" t="s">
        <v>5186</v>
      </c>
      <c r="L186">
        <v>40000</v>
      </c>
      <c r="M186" t="s">
        <v>5187</v>
      </c>
      <c r="N186" t="s">
        <v>5188</v>
      </c>
      <c r="O186" t="s">
        <v>469</v>
      </c>
      <c r="P186" t="s">
        <v>473</v>
      </c>
    </row>
    <row r="187" spans="1:16" x14ac:dyDescent="0.25">
      <c r="A187" t="s">
        <v>419</v>
      </c>
      <c r="B187" t="s">
        <v>616</v>
      </c>
      <c r="C187" t="s">
        <v>523</v>
      </c>
      <c r="D187" t="s">
        <v>4663</v>
      </c>
      <c r="E187" t="s">
        <v>533</v>
      </c>
      <c r="F187" t="s">
        <v>5189</v>
      </c>
      <c r="G187">
        <v>1000000</v>
      </c>
      <c r="H187">
        <v>302850</v>
      </c>
      <c r="I187">
        <v>0</v>
      </c>
      <c r="J187">
        <v>302850</v>
      </c>
      <c r="K187" t="s">
        <v>5190</v>
      </c>
      <c r="L187">
        <v>697150</v>
      </c>
      <c r="M187" t="s">
        <v>5191</v>
      </c>
      <c r="N187" t="s">
        <v>5050</v>
      </c>
      <c r="O187" t="s">
        <v>469</v>
      </c>
      <c r="P187" t="s">
        <v>473</v>
      </c>
    </row>
    <row r="188" spans="1:16" x14ac:dyDescent="0.25">
      <c r="A188" t="s">
        <v>419</v>
      </c>
      <c r="B188" t="s">
        <v>616</v>
      </c>
      <c r="C188" t="s">
        <v>523</v>
      </c>
      <c r="D188" t="s">
        <v>4663</v>
      </c>
      <c r="E188" t="s">
        <v>503</v>
      </c>
      <c r="F188" t="s">
        <v>5192</v>
      </c>
      <c r="G188">
        <v>6000000</v>
      </c>
      <c r="H188">
        <v>1468550</v>
      </c>
      <c r="I188">
        <v>0</v>
      </c>
      <c r="J188">
        <v>1468550</v>
      </c>
      <c r="K188" t="s">
        <v>5193</v>
      </c>
      <c r="L188">
        <v>4531450</v>
      </c>
      <c r="M188" t="s">
        <v>5194</v>
      </c>
      <c r="N188" t="s">
        <v>4714</v>
      </c>
      <c r="O188" t="s">
        <v>469</v>
      </c>
      <c r="P188" t="s">
        <v>470</v>
      </c>
    </row>
    <row r="189" spans="1:16" x14ac:dyDescent="0.25">
      <c r="A189" t="s">
        <v>419</v>
      </c>
      <c r="B189" t="s">
        <v>616</v>
      </c>
      <c r="C189" t="s">
        <v>523</v>
      </c>
      <c r="D189" t="s">
        <v>4663</v>
      </c>
      <c r="E189" t="s">
        <v>503</v>
      </c>
      <c r="F189" t="s">
        <v>5195</v>
      </c>
      <c r="G189">
        <v>15456000</v>
      </c>
      <c r="H189">
        <v>8970000</v>
      </c>
      <c r="I189">
        <v>0</v>
      </c>
      <c r="J189">
        <v>8970000</v>
      </c>
      <c r="K189" t="s">
        <v>5196</v>
      </c>
      <c r="L189">
        <v>6486000</v>
      </c>
      <c r="M189" t="s">
        <v>5197</v>
      </c>
      <c r="N189" t="s">
        <v>4852</v>
      </c>
      <c r="O189" t="s">
        <v>469</v>
      </c>
      <c r="P189" t="s">
        <v>470</v>
      </c>
    </row>
    <row r="190" spans="1:16" x14ac:dyDescent="0.25">
      <c r="A190" t="s">
        <v>419</v>
      </c>
      <c r="B190" t="s">
        <v>616</v>
      </c>
      <c r="C190" t="s">
        <v>523</v>
      </c>
      <c r="D190" t="s">
        <v>5198</v>
      </c>
      <c r="E190" t="s">
        <v>513</v>
      </c>
      <c r="F190" t="s">
        <v>5199</v>
      </c>
      <c r="G190">
        <v>253324000</v>
      </c>
      <c r="H190">
        <v>33228650</v>
      </c>
      <c r="I190">
        <v>0</v>
      </c>
      <c r="J190">
        <v>33228650</v>
      </c>
      <c r="K190" t="s">
        <v>5200</v>
      </c>
      <c r="L190">
        <v>220095350</v>
      </c>
      <c r="M190" t="s">
        <v>5201</v>
      </c>
      <c r="N190" t="s">
        <v>5202</v>
      </c>
      <c r="O190" t="s">
        <v>451</v>
      </c>
      <c r="P190" t="s">
        <v>465</v>
      </c>
    </row>
    <row r="191" spans="1:16" x14ac:dyDescent="0.25">
      <c r="A191" t="s">
        <v>419</v>
      </c>
      <c r="B191" t="s">
        <v>616</v>
      </c>
      <c r="C191" t="s">
        <v>523</v>
      </c>
      <c r="D191" t="s">
        <v>5198</v>
      </c>
      <c r="E191" t="s">
        <v>516</v>
      </c>
      <c r="F191" t="s">
        <v>5203</v>
      </c>
      <c r="G191">
        <v>25200000</v>
      </c>
      <c r="H191">
        <v>9000000</v>
      </c>
      <c r="I191">
        <v>0</v>
      </c>
      <c r="J191">
        <v>9000000</v>
      </c>
      <c r="K191" t="s">
        <v>5204</v>
      </c>
      <c r="L191">
        <v>16200000</v>
      </c>
      <c r="M191" t="s">
        <v>5205</v>
      </c>
      <c r="N191" t="s">
        <v>5158</v>
      </c>
      <c r="O191" t="s">
        <v>451</v>
      </c>
      <c r="P191" t="s">
        <v>461</v>
      </c>
    </row>
    <row r="192" spans="1:16" x14ac:dyDescent="0.25">
      <c r="A192" t="s">
        <v>419</v>
      </c>
      <c r="B192" t="s">
        <v>616</v>
      </c>
      <c r="C192" t="s">
        <v>523</v>
      </c>
      <c r="D192" t="s">
        <v>5198</v>
      </c>
      <c r="E192" t="s">
        <v>537</v>
      </c>
      <c r="F192" t="s">
        <v>5206</v>
      </c>
      <c r="G192">
        <v>18000000</v>
      </c>
      <c r="H192">
        <v>5615000</v>
      </c>
      <c r="I192">
        <v>0</v>
      </c>
      <c r="J192">
        <v>5615000</v>
      </c>
      <c r="K192" t="s">
        <v>5207</v>
      </c>
      <c r="L192">
        <v>12385000</v>
      </c>
      <c r="M192" t="s">
        <v>5208</v>
      </c>
      <c r="N192" t="s">
        <v>4679</v>
      </c>
      <c r="O192" t="s">
        <v>451</v>
      </c>
      <c r="P192" t="s">
        <v>458</v>
      </c>
    </row>
    <row r="193" spans="1:16" x14ac:dyDescent="0.25">
      <c r="A193" t="s">
        <v>419</v>
      </c>
      <c r="B193" t="s">
        <v>616</v>
      </c>
      <c r="C193" t="s">
        <v>523</v>
      </c>
      <c r="D193" t="s">
        <v>5198</v>
      </c>
      <c r="E193" t="s">
        <v>537</v>
      </c>
      <c r="F193" t="s">
        <v>5209</v>
      </c>
      <c r="G193">
        <v>12000000</v>
      </c>
      <c r="H193">
        <v>3922000</v>
      </c>
      <c r="I193">
        <v>0</v>
      </c>
      <c r="J193">
        <v>3922000</v>
      </c>
      <c r="K193" t="s">
        <v>5210</v>
      </c>
      <c r="L193">
        <v>8078000</v>
      </c>
      <c r="M193" t="s">
        <v>5211</v>
      </c>
      <c r="N193" t="s">
        <v>4627</v>
      </c>
      <c r="O193" t="s">
        <v>451</v>
      </c>
      <c r="P193" t="s">
        <v>458</v>
      </c>
    </row>
    <row r="194" spans="1:16" x14ac:dyDescent="0.25">
      <c r="A194" t="s">
        <v>419</v>
      </c>
      <c r="B194" t="s">
        <v>616</v>
      </c>
      <c r="C194" t="s">
        <v>523</v>
      </c>
      <c r="D194" t="s">
        <v>5198</v>
      </c>
      <c r="E194" t="s">
        <v>533</v>
      </c>
      <c r="F194" t="s">
        <v>5212</v>
      </c>
      <c r="G194">
        <v>1000000</v>
      </c>
      <c r="H194">
        <v>963000</v>
      </c>
      <c r="I194">
        <v>0</v>
      </c>
      <c r="J194">
        <v>963000</v>
      </c>
      <c r="K194" t="s">
        <v>5213</v>
      </c>
      <c r="L194">
        <v>37000</v>
      </c>
      <c r="M194" t="s">
        <v>5214</v>
      </c>
      <c r="N194" t="s">
        <v>5050</v>
      </c>
      <c r="O194" t="s">
        <v>451</v>
      </c>
      <c r="P194" t="s">
        <v>455</v>
      </c>
    </row>
    <row r="195" spans="1:16" x14ac:dyDescent="0.25">
      <c r="A195" t="s">
        <v>419</v>
      </c>
      <c r="B195" t="s">
        <v>616</v>
      </c>
      <c r="C195" t="s">
        <v>523</v>
      </c>
      <c r="D195" t="s">
        <v>5198</v>
      </c>
      <c r="E195" t="s">
        <v>503</v>
      </c>
      <c r="F195" t="s">
        <v>5215</v>
      </c>
      <c r="G195">
        <v>6900000</v>
      </c>
      <c r="H195">
        <v>440000</v>
      </c>
      <c r="I195">
        <v>0</v>
      </c>
      <c r="J195">
        <v>440000</v>
      </c>
      <c r="K195" t="s">
        <v>5216</v>
      </c>
      <c r="L195">
        <v>6460000</v>
      </c>
      <c r="M195" t="s">
        <v>5217</v>
      </c>
      <c r="N195" t="s">
        <v>4852</v>
      </c>
      <c r="O195" t="s">
        <v>451</v>
      </c>
      <c r="P195" t="s">
        <v>452</v>
      </c>
    </row>
    <row r="196" spans="1:16" x14ac:dyDescent="0.25">
      <c r="A196" t="s">
        <v>419</v>
      </c>
      <c r="B196" t="s">
        <v>616</v>
      </c>
      <c r="C196" t="s">
        <v>523</v>
      </c>
      <c r="D196" t="s">
        <v>5198</v>
      </c>
      <c r="E196" t="s">
        <v>503</v>
      </c>
      <c r="F196" t="s">
        <v>5218</v>
      </c>
      <c r="G196">
        <v>18000000</v>
      </c>
      <c r="H196">
        <v>5755000</v>
      </c>
      <c r="I196">
        <v>0</v>
      </c>
      <c r="J196">
        <v>5755000</v>
      </c>
      <c r="K196" t="s">
        <v>5219</v>
      </c>
      <c r="L196">
        <v>12245000</v>
      </c>
      <c r="M196" t="s">
        <v>5220</v>
      </c>
      <c r="N196" t="s">
        <v>4714</v>
      </c>
      <c r="O196" t="s">
        <v>451</v>
      </c>
      <c r="P196" t="s">
        <v>452</v>
      </c>
    </row>
    <row r="197" spans="1:16" x14ac:dyDescent="0.25">
      <c r="A197" t="s">
        <v>419</v>
      </c>
      <c r="B197" t="s">
        <v>616</v>
      </c>
      <c r="C197" t="s">
        <v>520</v>
      </c>
      <c r="D197" t="s">
        <v>4668</v>
      </c>
      <c r="E197" t="s">
        <v>503</v>
      </c>
      <c r="F197" t="s">
        <v>5221</v>
      </c>
      <c r="G197">
        <v>3000000</v>
      </c>
      <c r="H197">
        <v>1470000</v>
      </c>
      <c r="I197">
        <v>0</v>
      </c>
      <c r="J197">
        <v>1470000</v>
      </c>
      <c r="K197" t="s">
        <v>5222</v>
      </c>
      <c r="L197">
        <v>1530000</v>
      </c>
      <c r="M197" t="s">
        <v>5223</v>
      </c>
      <c r="N197" t="s">
        <v>4679</v>
      </c>
      <c r="O197" t="s">
        <v>440</v>
      </c>
      <c r="P197" t="s">
        <v>441</v>
      </c>
    </row>
    <row r="198" spans="1:16" x14ac:dyDescent="0.25">
      <c r="A198" t="s">
        <v>419</v>
      </c>
      <c r="B198" t="s">
        <v>616</v>
      </c>
      <c r="C198" t="s">
        <v>520</v>
      </c>
      <c r="D198" t="s">
        <v>4668</v>
      </c>
      <c r="E198" t="s">
        <v>503</v>
      </c>
      <c r="F198" t="s">
        <v>5224</v>
      </c>
      <c r="G198">
        <v>2000000</v>
      </c>
      <c r="H198">
        <v>990000</v>
      </c>
      <c r="I198">
        <v>0</v>
      </c>
      <c r="J198">
        <v>990000</v>
      </c>
      <c r="K198" t="s">
        <v>5225</v>
      </c>
      <c r="L198">
        <v>1010000</v>
      </c>
      <c r="M198" t="s">
        <v>5226</v>
      </c>
      <c r="N198" t="s">
        <v>4627</v>
      </c>
      <c r="O198" t="s">
        <v>440</v>
      </c>
      <c r="P198" t="s">
        <v>441</v>
      </c>
    </row>
    <row r="199" spans="1:16" x14ac:dyDescent="0.25">
      <c r="A199" t="s">
        <v>419</v>
      </c>
      <c r="B199" t="s">
        <v>616</v>
      </c>
      <c r="C199" t="s">
        <v>520</v>
      </c>
      <c r="D199" t="s">
        <v>4668</v>
      </c>
      <c r="E199" t="s">
        <v>503</v>
      </c>
      <c r="F199" t="s">
        <v>5227</v>
      </c>
      <c r="G199">
        <v>3750000</v>
      </c>
      <c r="H199">
        <v>660000</v>
      </c>
      <c r="I199">
        <v>0</v>
      </c>
      <c r="J199">
        <v>660000</v>
      </c>
      <c r="K199" t="s">
        <v>5228</v>
      </c>
      <c r="L199">
        <v>3090000</v>
      </c>
      <c r="M199" t="s">
        <v>5229</v>
      </c>
      <c r="N199" t="s">
        <v>4653</v>
      </c>
      <c r="O199" t="s">
        <v>440</v>
      </c>
      <c r="P199" t="s">
        <v>441</v>
      </c>
    </row>
    <row r="200" spans="1:16" x14ac:dyDescent="0.25">
      <c r="A200" t="s">
        <v>419</v>
      </c>
      <c r="B200" t="s">
        <v>616</v>
      </c>
      <c r="C200" t="s">
        <v>502</v>
      </c>
      <c r="D200" t="s">
        <v>5230</v>
      </c>
      <c r="E200" t="s">
        <v>513</v>
      </c>
      <c r="F200" t="s">
        <v>5231</v>
      </c>
      <c r="G200">
        <v>17465000</v>
      </c>
      <c r="H200">
        <v>16620000</v>
      </c>
      <c r="I200">
        <v>0</v>
      </c>
      <c r="J200">
        <v>16620000</v>
      </c>
      <c r="K200" t="s">
        <v>5232</v>
      </c>
      <c r="L200">
        <v>845000</v>
      </c>
      <c r="M200" t="s">
        <v>5233</v>
      </c>
      <c r="N200" t="s">
        <v>5234</v>
      </c>
      <c r="O200" t="s">
        <v>431</v>
      </c>
      <c r="P200" t="s">
        <v>437</v>
      </c>
    </row>
    <row r="201" spans="1:16" x14ac:dyDescent="0.25">
      <c r="A201" t="s">
        <v>419</v>
      </c>
      <c r="B201" t="s">
        <v>616</v>
      </c>
      <c r="C201" t="s">
        <v>502</v>
      </c>
      <c r="D201" t="s">
        <v>5230</v>
      </c>
      <c r="E201" t="s">
        <v>516</v>
      </c>
      <c r="F201" t="s">
        <v>5235</v>
      </c>
      <c r="G201">
        <v>4000000</v>
      </c>
      <c r="H201">
        <v>900000</v>
      </c>
      <c r="I201">
        <v>0</v>
      </c>
      <c r="J201">
        <v>900000</v>
      </c>
      <c r="K201" t="s">
        <v>5236</v>
      </c>
      <c r="L201">
        <v>3100000</v>
      </c>
      <c r="M201" t="s">
        <v>5237</v>
      </c>
      <c r="N201" t="s">
        <v>5158</v>
      </c>
      <c r="O201" t="s">
        <v>431</v>
      </c>
      <c r="P201" t="s">
        <v>777</v>
      </c>
    </row>
    <row r="202" spans="1:16" x14ac:dyDescent="0.25">
      <c r="A202" t="s">
        <v>419</v>
      </c>
      <c r="B202" t="s">
        <v>616</v>
      </c>
      <c r="C202" t="s">
        <v>502</v>
      </c>
      <c r="D202" t="s">
        <v>5230</v>
      </c>
      <c r="E202" t="s">
        <v>503</v>
      </c>
      <c r="F202" t="s">
        <v>5238</v>
      </c>
      <c r="G202">
        <v>4500000</v>
      </c>
      <c r="H202">
        <v>1480000</v>
      </c>
      <c r="I202">
        <v>0</v>
      </c>
      <c r="J202">
        <v>1480000</v>
      </c>
      <c r="K202" t="s">
        <v>5239</v>
      </c>
      <c r="L202">
        <v>3020000</v>
      </c>
      <c r="M202" t="s">
        <v>5240</v>
      </c>
      <c r="N202" t="s">
        <v>4679</v>
      </c>
      <c r="O202" t="s">
        <v>431</v>
      </c>
      <c r="P202" t="s">
        <v>432</v>
      </c>
    </row>
    <row r="203" spans="1:16" x14ac:dyDescent="0.25">
      <c r="A203" t="s">
        <v>419</v>
      </c>
      <c r="B203" t="s">
        <v>616</v>
      </c>
      <c r="C203" t="s">
        <v>502</v>
      </c>
      <c r="D203" t="s">
        <v>5230</v>
      </c>
      <c r="E203" t="s">
        <v>503</v>
      </c>
      <c r="F203" t="s">
        <v>5241</v>
      </c>
      <c r="G203">
        <v>3000000</v>
      </c>
      <c r="H203">
        <v>997000</v>
      </c>
      <c r="I203">
        <v>0</v>
      </c>
      <c r="J203">
        <v>997000</v>
      </c>
      <c r="K203" t="s">
        <v>5242</v>
      </c>
      <c r="L203">
        <v>2003000</v>
      </c>
      <c r="M203" t="s">
        <v>5243</v>
      </c>
      <c r="N203" t="s">
        <v>4627</v>
      </c>
      <c r="O203" t="s">
        <v>431</v>
      </c>
      <c r="P203" t="s">
        <v>432</v>
      </c>
    </row>
    <row r="204" spans="1:16" x14ac:dyDescent="0.25">
      <c r="A204" t="s">
        <v>419</v>
      </c>
      <c r="B204" t="s">
        <v>616</v>
      </c>
      <c r="C204" t="s">
        <v>502</v>
      </c>
      <c r="D204" t="s">
        <v>5230</v>
      </c>
      <c r="E204" t="s">
        <v>503</v>
      </c>
      <c r="F204" t="s">
        <v>5244</v>
      </c>
      <c r="G204">
        <v>9000000</v>
      </c>
      <c r="H204">
        <v>1564000</v>
      </c>
      <c r="I204">
        <v>0</v>
      </c>
      <c r="J204">
        <v>1564000</v>
      </c>
      <c r="K204" t="s">
        <v>5245</v>
      </c>
      <c r="L204">
        <v>7436000</v>
      </c>
      <c r="M204" t="s">
        <v>5246</v>
      </c>
      <c r="N204" t="s">
        <v>4653</v>
      </c>
      <c r="O204" t="s">
        <v>431</v>
      </c>
      <c r="P204" t="s">
        <v>432</v>
      </c>
    </row>
    <row r="205" spans="1:16" x14ac:dyDescent="0.25">
      <c r="A205" t="s">
        <v>419</v>
      </c>
      <c r="B205" t="s">
        <v>616</v>
      </c>
      <c r="C205" t="s">
        <v>502</v>
      </c>
      <c r="D205" t="s">
        <v>5247</v>
      </c>
      <c r="E205" t="s">
        <v>513</v>
      </c>
      <c r="F205" t="s">
        <v>5248</v>
      </c>
      <c r="G205">
        <v>43260000</v>
      </c>
      <c r="H205">
        <v>24466000</v>
      </c>
      <c r="I205">
        <v>0</v>
      </c>
      <c r="J205">
        <v>24466000</v>
      </c>
      <c r="K205" t="s">
        <v>5249</v>
      </c>
      <c r="L205">
        <v>18794000</v>
      </c>
      <c r="M205" t="s">
        <v>5250</v>
      </c>
      <c r="N205" t="s">
        <v>5251</v>
      </c>
      <c r="O205" t="s">
        <v>423</v>
      </c>
      <c r="P205" t="s">
        <v>429</v>
      </c>
    </row>
    <row r="206" spans="1:16" x14ac:dyDescent="0.25">
      <c r="A206" t="s">
        <v>419</v>
      </c>
      <c r="B206" t="s">
        <v>616</v>
      </c>
      <c r="C206" t="s">
        <v>502</v>
      </c>
      <c r="D206" t="s">
        <v>5247</v>
      </c>
      <c r="E206" t="s">
        <v>516</v>
      </c>
      <c r="F206" t="s">
        <v>5252</v>
      </c>
      <c r="G206">
        <v>20000000</v>
      </c>
      <c r="H206">
        <v>900000</v>
      </c>
      <c r="I206">
        <v>0</v>
      </c>
      <c r="J206">
        <v>900000</v>
      </c>
      <c r="K206" t="s">
        <v>5253</v>
      </c>
      <c r="L206">
        <v>19100000</v>
      </c>
      <c r="M206" t="s">
        <v>5254</v>
      </c>
      <c r="N206" t="s">
        <v>5158</v>
      </c>
      <c r="O206" t="s">
        <v>423</v>
      </c>
      <c r="P206" t="s">
        <v>772</v>
      </c>
    </row>
    <row r="207" spans="1:16" x14ac:dyDescent="0.25">
      <c r="A207" t="s">
        <v>419</v>
      </c>
      <c r="B207" t="s">
        <v>616</v>
      </c>
      <c r="C207" t="s">
        <v>502</v>
      </c>
      <c r="D207" t="s">
        <v>5247</v>
      </c>
      <c r="E207" t="s">
        <v>503</v>
      </c>
      <c r="F207" t="s">
        <v>5255</v>
      </c>
      <c r="G207">
        <v>4500000</v>
      </c>
      <c r="H207">
        <v>1485000</v>
      </c>
      <c r="I207">
        <v>0</v>
      </c>
      <c r="J207">
        <v>1485000</v>
      </c>
      <c r="K207" t="s">
        <v>4975</v>
      </c>
      <c r="L207">
        <v>3015000</v>
      </c>
      <c r="M207" t="s">
        <v>5256</v>
      </c>
      <c r="N207" t="s">
        <v>4679</v>
      </c>
      <c r="O207" t="s">
        <v>423</v>
      </c>
      <c r="P207" t="s">
        <v>424</v>
      </c>
    </row>
    <row r="208" spans="1:16" x14ac:dyDescent="0.25">
      <c r="A208" t="s">
        <v>419</v>
      </c>
      <c r="B208" t="s">
        <v>616</v>
      </c>
      <c r="C208" t="s">
        <v>502</v>
      </c>
      <c r="D208" t="s">
        <v>5247</v>
      </c>
      <c r="E208" t="s">
        <v>503</v>
      </c>
      <c r="F208" t="s">
        <v>5257</v>
      </c>
      <c r="G208">
        <v>3000000</v>
      </c>
      <c r="H208">
        <v>990000</v>
      </c>
      <c r="I208">
        <v>0</v>
      </c>
      <c r="J208">
        <v>990000</v>
      </c>
      <c r="K208" t="s">
        <v>4975</v>
      </c>
      <c r="L208">
        <v>2010000</v>
      </c>
      <c r="M208" t="s">
        <v>5258</v>
      </c>
      <c r="N208" t="s">
        <v>4627</v>
      </c>
      <c r="O208" t="s">
        <v>423</v>
      </c>
      <c r="P208" t="s">
        <v>424</v>
      </c>
    </row>
    <row r="209" spans="1:16" x14ac:dyDescent="0.25">
      <c r="A209" t="s">
        <v>419</v>
      </c>
      <c r="B209" t="s">
        <v>616</v>
      </c>
      <c r="C209" t="s">
        <v>502</v>
      </c>
      <c r="D209" t="s">
        <v>5247</v>
      </c>
      <c r="E209" t="s">
        <v>503</v>
      </c>
      <c r="F209" t="s">
        <v>5259</v>
      </c>
      <c r="G209">
        <v>9375000</v>
      </c>
      <c r="H209">
        <v>3106000</v>
      </c>
      <c r="I209">
        <v>0</v>
      </c>
      <c r="J209">
        <v>3106000</v>
      </c>
      <c r="K209" t="s">
        <v>5260</v>
      </c>
      <c r="L209">
        <v>6269000</v>
      </c>
      <c r="M209" t="s">
        <v>5261</v>
      </c>
      <c r="N209" t="s">
        <v>4653</v>
      </c>
      <c r="O209" t="s">
        <v>423</v>
      </c>
      <c r="P209" t="s">
        <v>424</v>
      </c>
    </row>
    <row r="210" spans="1:16" x14ac:dyDescent="0.25">
      <c r="A210" t="s">
        <v>495</v>
      </c>
      <c r="B210" t="s">
        <v>3476</v>
      </c>
      <c r="C210" t="s">
        <v>3090</v>
      </c>
      <c r="D210" t="s">
        <v>4715</v>
      </c>
      <c r="E210" t="s">
        <v>513</v>
      </c>
      <c r="F210" t="s">
        <v>5262</v>
      </c>
      <c r="G210">
        <v>54200000</v>
      </c>
      <c r="H210">
        <v>0</v>
      </c>
      <c r="I210">
        <v>0</v>
      </c>
      <c r="J210">
        <v>0</v>
      </c>
      <c r="K210" t="s">
        <v>5263</v>
      </c>
      <c r="L210">
        <v>54200000</v>
      </c>
      <c r="M210" t="s">
        <v>5264</v>
      </c>
      <c r="N210" t="s">
        <v>5265</v>
      </c>
      <c r="O210" t="s">
        <v>3539</v>
      </c>
      <c r="P210" t="s">
        <v>3546</v>
      </c>
    </row>
    <row r="211" spans="1:16" x14ac:dyDescent="0.25">
      <c r="A211" t="s">
        <v>495</v>
      </c>
      <c r="B211" t="s">
        <v>3476</v>
      </c>
      <c r="C211" t="s">
        <v>3090</v>
      </c>
      <c r="D211" t="s">
        <v>4715</v>
      </c>
      <c r="E211" t="s">
        <v>503</v>
      </c>
      <c r="F211" t="s">
        <v>5266</v>
      </c>
      <c r="G211">
        <v>7000000</v>
      </c>
      <c r="H211">
        <v>0</v>
      </c>
      <c r="I211">
        <v>0</v>
      </c>
      <c r="J211">
        <v>0</v>
      </c>
      <c r="K211" t="s">
        <v>5263</v>
      </c>
      <c r="L211">
        <v>7000000</v>
      </c>
      <c r="M211" t="s">
        <v>5267</v>
      </c>
      <c r="N211" t="s">
        <v>4653</v>
      </c>
      <c r="O211" t="s">
        <v>3539</v>
      </c>
      <c r="P211" t="s">
        <v>3540</v>
      </c>
    </row>
    <row r="212" spans="1:16" x14ac:dyDescent="0.25">
      <c r="A212" t="s">
        <v>495</v>
      </c>
      <c r="B212" t="s">
        <v>3476</v>
      </c>
      <c r="C212" t="s">
        <v>833</v>
      </c>
      <c r="D212" t="s">
        <v>4691</v>
      </c>
      <c r="E212" t="s">
        <v>1150</v>
      </c>
      <c r="F212" t="s">
        <v>5268</v>
      </c>
      <c r="G212">
        <v>142041000</v>
      </c>
      <c r="H212">
        <v>0</v>
      </c>
      <c r="I212">
        <v>0</v>
      </c>
      <c r="J212">
        <v>0</v>
      </c>
      <c r="K212" t="s">
        <v>5263</v>
      </c>
      <c r="L212">
        <v>142041000</v>
      </c>
      <c r="M212" t="s">
        <v>5269</v>
      </c>
      <c r="N212" t="s">
        <v>5270</v>
      </c>
      <c r="O212" t="s">
        <v>3522</v>
      </c>
      <c r="P212" t="s">
        <v>3530</v>
      </c>
    </row>
    <row r="213" spans="1:16" x14ac:dyDescent="0.25">
      <c r="A213" t="s">
        <v>495</v>
      </c>
      <c r="B213" t="s">
        <v>3476</v>
      </c>
      <c r="C213" t="s">
        <v>833</v>
      </c>
      <c r="D213" t="s">
        <v>4691</v>
      </c>
      <c r="E213" t="s">
        <v>533</v>
      </c>
      <c r="F213" t="s">
        <v>5271</v>
      </c>
      <c r="G213">
        <v>20000000</v>
      </c>
      <c r="H213">
        <v>0</v>
      </c>
      <c r="I213">
        <v>0</v>
      </c>
      <c r="J213">
        <v>0</v>
      </c>
      <c r="K213" t="s">
        <v>5263</v>
      </c>
      <c r="L213">
        <v>20000000</v>
      </c>
      <c r="M213" t="s">
        <v>5272</v>
      </c>
      <c r="N213" t="s">
        <v>5273</v>
      </c>
      <c r="O213" t="s">
        <v>3522</v>
      </c>
      <c r="P213" t="s">
        <v>3527</v>
      </c>
    </row>
    <row r="214" spans="1:16" x14ac:dyDescent="0.25">
      <c r="A214" t="s">
        <v>495</v>
      </c>
      <c r="B214" t="s">
        <v>3476</v>
      </c>
      <c r="C214" t="s">
        <v>833</v>
      </c>
      <c r="D214" t="s">
        <v>4691</v>
      </c>
      <c r="E214" t="s">
        <v>503</v>
      </c>
      <c r="F214" t="s">
        <v>5274</v>
      </c>
      <c r="G214">
        <v>4500000</v>
      </c>
      <c r="H214">
        <v>0</v>
      </c>
      <c r="I214">
        <v>0</v>
      </c>
      <c r="J214">
        <v>0</v>
      </c>
      <c r="K214" t="s">
        <v>5263</v>
      </c>
      <c r="L214">
        <v>4500000</v>
      </c>
      <c r="M214" t="s">
        <v>5275</v>
      </c>
      <c r="N214" t="s">
        <v>4627</v>
      </c>
      <c r="O214" t="s">
        <v>3522</v>
      </c>
      <c r="P214" t="s">
        <v>3523</v>
      </c>
    </row>
    <row r="215" spans="1:16" x14ac:dyDescent="0.25">
      <c r="A215" t="s">
        <v>495</v>
      </c>
      <c r="B215" t="s">
        <v>3476</v>
      </c>
      <c r="C215" t="s">
        <v>833</v>
      </c>
      <c r="D215" t="s">
        <v>4691</v>
      </c>
      <c r="E215" t="s">
        <v>503</v>
      </c>
      <c r="F215" t="s">
        <v>5276</v>
      </c>
      <c r="G215">
        <v>3000000</v>
      </c>
      <c r="H215">
        <v>0</v>
      </c>
      <c r="I215">
        <v>0</v>
      </c>
      <c r="J215">
        <v>0</v>
      </c>
      <c r="K215" t="s">
        <v>5263</v>
      </c>
      <c r="L215">
        <v>3000000</v>
      </c>
      <c r="M215" t="s">
        <v>5277</v>
      </c>
      <c r="N215" t="s">
        <v>4679</v>
      </c>
      <c r="O215" t="s">
        <v>3522</v>
      </c>
      <c r="P215" t="s">
        <v>3523</v>
      </c>
    </row>
    <row r="216" spans="1:16" x14ac:dyDescent="0.25">
      <c r="A216" t="s">
        <v>495</v>
      </c>
      <c r="B216" t="s">
        <v>3476</v>
      </c>
      <c r="C216" t="s">
        <v>833</v>
      </c>
      <c r="D216" t="s">
        <v>4691</v>
      </c>
      <c r="E216" t="s">
        <v>503</v>
      </c>
      <c r="F216" t="s">
        <v>5278</v>
      </c>
      <c r="G216">
        <v>4500000</v>
      </c>
      <c r="H216">
        <v>0</v>
      </c>
      <c r="I216">
        <v>0</v>
      </c>
      <c r="J216">
        <v>0</v>
      </c>
      <c r="K216" t="s">
        <v>5263</v>
      </c>
      <c r="L216">
        <v>4500000</v>
      </c>
      <c r="M216" t="s">
        <v>5279</v>
      </c>
      <c r="N216" t="s">
        <v>4635</v>
      </c>
      <c r="O216" t="s">
        <v>3522</v>
      </c>
      <c r="P216" t="s">
        <v>3523</v>
      </c>
    </row>
    <row r="217" spans="1:16" x14ac:dyDescent="0.25">
      <c r="A217" t="s">
        <v>495</v>
      </c>
      <c r="B217" t="s">
        <v>3476</v>
      </c>
      <c r="C217" t="s">
        <v>833</v>
      </c>
      <c r="D217" t="s">
        <v>4623</v>
      </c>
      <c r="E217" t="s">
        <v>513</v>
      </c>
      <c r="F217" t="s">
        <v>5280</v>
      </c>
      <c r="G217">
        <v>60000000</v>
      </c>
      <c r="H217">
        <v>0</v>
      </c>
      <c r="I217">
        <v>0</v>
      </c>
      <c r="J217">
        <v>0</v>
      </c>
      <c r="K217" t="s">
        <v>5263</v>
      </c>
      <c r="L217">
        <v>60000000</v>
      </c>
      <c r="M217" t="s">
        <v>5281</v>
      </c>
      <c r="N217" t="s">
        <v>5282</v>
      </c>
      <c r="O217" t="s">
        <v>3505</v>
      </c>
      <c r="P217" t="s">
        <v>3519</v>
      </c>
    </row>
    <row r="218" spans="1:16" x14ac:dyDescent="0.25">
      <c r="A218" t="s">
        <v>495</v>
      </c>
      <c r="B218" t="s">
        <v>3476</v>
      </c>
      <c r="C218" t="s">
        <v>833</v>
      </c>
      <c r="D218" t="s">
        <v>4623</v>
      </c>
      <c r="E218" t="s">
        <v>516</v>
      </c>
      <c r="F218" t="s">
        <v>5283</v>
      </c>
      <c r="G218">
        <v>6000000</v>
      </c>
      <c r="H218">
        <v>0</v>
      </c>
      <c r="I218">
        <v>0</v>
      </c>
      <c r="J218">
        <v>0</v>
      </c>
      <c r="K218" t="s">
        <v>5263</v>
      </c>
      <c r="L218">
        <v>6000000</v>
      </c>
      <c r="M218" t="s">
        <v>5284</v>
      </c>
      <c r="N218" t="s">
        <v>5158</v>
      </c>
      <c r="O218" t="s">
        <v>3505</v>
      </c>
      <c r="P218" t="s">
        <v>3517</v>
      </c>
    </row>
    <row r="219" spans="1:16" x14ac:dyDescent="0.25">
      <c r="A219" t="s">
        <v>495</v>
      </c>
      <c r="B219" t="s">
        <v>3476</v>
      </c>
      <c r="C219" t="s">
        <v>833</v>
      </c>
      <c r="D219" t="s">
        <v>4623</v>
      </c>
      <c r="E219" t="s">
        <v>533</v>
      </c>
      <c r="F219" t="s">
        <v>5285</v>
      </c>
      <c r="G219">
        <v>7500000</v>
      </c>
      <c r="H219">
        <v>0</v>
      </c>
      <c r="I219">
        <v>0</v>
      </c>
      <c r="J219">
        <v>0</v>
      </c>
      <c r="K219" t="s">
        <v>5263</v>
      </c>
      <c r="L219">
        <v>7500000</v>
      </c>
      <c r="M219" t="s">
        <v>5286</v>
      </c>
      <c r="N219" t="s">
        <v>5287</v>
      </c>
      <c r="O219" t="s">
        <v>3505</v>
      </c>
      <c r="P219" t="s">
        <v>3509</v>
      </c>
    </row>
    <row r="220" spans="1:16" x14ac:dyDescent="0.25">
      <c r="A220" t="s">
        <v>495</v>
      </c>
      <c r="B220" t="s">
        <v>3476</v>
      </c>
      <c r="C220" t="s">
        <v>833</v>
      </c>
      <c r="D220" t="s">
        <v>4623</v>
      </c>
      <c r="E220" t="s">
        <v>533</v>
      </c>
      <c r="F220" t="s">
        <v>5288</v>
      </c>
      <c r="G220">
        <v>750000</v>
      </c>
      <c r="H220">
        <v>0</v>
      </c>
      <c r="I220">
        <v>0</v>
      </c>
      <c r="J220">
        <v>0</v>
      </c>
      <c r="K220" t="s">
        <v>5263</v>
      </c>
      <c r="L220">
        <v>750000</v>
      </c>
      <c r="M220" t="s">
        <v>5289</v>
      </c>
      <c r="N220" t="s">
        <v>5050</v>
      </c>
      <c r="O220" t="s">
        <v>3505</v>
      </c>
      <c r="P220" t="s">
        <v>3509</v>
      </c>
    </row>
    <row r="221" spans="1:16" x14ac:dyDescent="0.25">
      <c r="A221" t="s">
        <v>495</v>
      </c>
      <c r="B221" t="s">
        <v>3476</v>
      </c>
      <c r="C221" t="s">
        <v>833</v>
      </c>
      <c r="D221" t="s">
        <v>4623</v>
      </c>
      <c r="E221" t="s">
        <v>503</v>
      </c>
      <c r="F221" t="s">
        <v>5290</v>
      </c>
      <c r="G221">
        <v>7000000</v>
      </c>
      <c r="H221">
        <v>0</v>
      </c>
      <c r="I221">
        <v>0</v>
      </c>
      <c r="J221">
        <v>0</v>
      </c>
      <c r="K221" t="s">
        <v>5263</v>
      </c>
      <c r="L221">
        <v>7000000</v>
      </c>
      <c r="M221" t="s">
        <v>5291</v>
      </c>
      <c r="N221" t="s">
        <v>4653</v>
      </c>
      <c r="O221" t="s">
        <v>3505</v>
      </c>
      <c r="P221" t="s">
        <v>3506</v>
      </c>
    </row>
    <row r="222" spans="1:16" x14ac:dyDescent="0.25">
      <c r="A222" t="s">
        <v>495</v>
      </c>
      <c r="B222" t="s">
        <v>3476</v>
      </c>
      <c r="C222" t="s">
        <v>833</v>
      </c>
      <c r="D222" t="s">
        <v>4636</v>
      </c>
      <c r="E222" t="s">
        <v>513</v>
      </c>
      <c r="F222" t="s">
        <v>5292</v>
      </c>
      <c r="G222">
        <v>60000000</v>
      </c>
      <c r="H222">
        <v>0</v>
      </c>
      <c r="I222">
        <v>0</v>
      </c>
      <c r="J222">
        <v>0</v>
      </c>
      <c r="K222" t="s">
        <v>5263</v>
      </c>
      <c r="L222">
        <v>60000000</v>
      </c>
      <c r="M222" t="s">
        <v>5293</v>
      </c>
      <c r="N222" t="s">
        <v>5282</v>
      </c>
      <c r="O222" t="s">
        <v>3479</v>
      </c>
      <c r="P222" t="s">
        <v>3500</v>
      </c>
    </row>
    <row r="223" spans="1:16" x14ac:dyDescent="0.25">
      <c r="A223" t="s">
        <v>495</v>
      </c>
      <c r="B223" t="s">
        <v>3476</v>
      </c>
      <c r="C223" t="s">
        <v>833</v>
      </c>
      <c r="D223" t="s">
        <v>4636</v>
      </c>
      <c r="E223" t="s">
        <v>517</v>
      </c>
      <c r="F223" t="s">
        <v>5294</v>
      </c>
      <c r="G223">
        <v>102600000</v>
      </c>
      <c r="H223">
        <v>0</v>
      </c>
      <c r="I223">
        <v>0</v>
      </c>
      <c r="J223">
        <v>0</v>
      </c>
      <c r="K223" t="s">
        <v>5263</v>
      </c>
      <c r="L223">
        <v>102600000</v>
      </c>
      <c r="M223" t="s">
        <v>5295</v>
      </c>
      <c r="N223" t="s">
        <v>5296</v>
      </c>
      <c r="O223" t="s">
        <v>3479</v>
      </c>
      <c r="P223" t="s">
        <v>3497</v>
      </c>
    </row>
    <row r="224" spans="1:16" x14ac:dyDescent="0.25">
      <c r="A224" t="s">
        <v>495</v>
      </c>
      <c r="B224" t="s">
        <v>3476</v>
      </c>
      <c r="C224" t="s">
        <v>833</v>
      </c>
      <c r="D224" t="s">
        <v>4636</v>
      </c>
      <c r="E224" t="s">
        <v>516</v>
      </c>
      <c r="F224" t="s">
        <v>5297</v>
      </c>
      <c r="G224">
        <v>15000000</v>
      </c>
      <c r="H224">
        <v>0</v>
      </c>
      <c r="I224">
        <v>0</v>
      </c>
      <c r="J224">
        <v>0</v>
      </c>
      <c r="K224" t="s">
        <v>5263</v>
      </c>
      <c r="L224">
        <v>15000000</v>
      </c>
      <c r="M224" t="s">
        <v>5298</v>
      </c>
      <c r="N224" t="s">
        <v>5158</v>
      </c>
      <c r="O224" t="s">
        <v>3479</v>
      </c>
      <c r="P224" t="s">
        <v>3495</v>
      </c>
    </row>
    <row r="225" spans="1:16" x14ac:dyDescent="0.25">
      <c r="A225" t="s">
        <v>495</v>
      </c>
      <c r="B225" t="s">
        <v>3476</v>
      </c>
      <c r="C225" t="s">
        <v>833</v>
      </c>
      <c r="D225" t="s">
        <v>4636</v>
      </c>
      <c r="E225" t="s">
        <v>533</v>
      </c>
      <c r="F225" t="s">
        <v>5299</v>
      </c>
      <c r="G225">
        <v>250000</v>
      </c>
      <c r="H225">
        <v>0</v>
      </c>
      <c r="I225">
        <v>0</v>
      </c>
      <c r="J225">
        <v>0</v>
      </c>
      <c r="K225" t="s">
        <v>5263</v>
      </c>
      <c r="L225">
        <v>250000</v>
      </c>
      <c r="M225" t="s">
        <v>5300</v>
      </c>
      <c r="N225" t="s">
        <v>5050</v>
      </c>
      <c r="O225" t="s">
        <v>3479</v>
      </c>
      <c r="P225" t="s">
        <v>3488</v>
      </c>
    </row>
    <row r="226" spans="1:16" x14ac:dyDescent="0.25">
      <c r="A226" t="s">
        <v>495</v>
      </c>
      <c r="B226" t="s">
        <v>3476</v>
      </c>
      <c r="C226" t="s">
        <v>833</v>
      </c>
      <c r="D226" t="s">
        <v>4636</v>
      </c>
      <c r="E226" t="s">
        <v>533</v>
      </c>
      <c r="F226" t="s">
        <v>5301</v>
      </c>
      <c r="G226">
        <v>1333614000</v>
      </c>
      <c r="H226">
        <v>0</v>
      </c>
      <c r="I226">
        <v>0</v>
      </c>
      <c r="J226">
        <v>0</v>
      </c>
      <c r="K226" t="s">
        <v>5263</v>
      </c>
      <c r="L226">
        <v>1333614000</v>
      </c>
      <c r="M226" t="s">
        <v>5302</v>
      </c>
      <c r="N226" t="s">
        <v>4631</v>
      </c>
      <c r="O226" t="s">
        <v>3479</v>
      </c>
      <c r="P226" t="s">
        <v>3488</v>
      </c>
    </row>
    <row r="227" spans="1:16" x14ac:dyDescent="0.25">
      <c r="A227" t="s">
        <v>495</v>
      </c>
      <c r="B227" t="s">
        <v>3476</v>
      </c>
      <c r="C227" t="s">
        <v>833</v>
      </c>
      <c r="D227" t="s">
        <v>4636</v>
      </c>
      <c r="E227" t="s">
        <v>503</v>
      </c>
      <c r="F227" t="s">
        <v>5303</v>
      </c>
      <c r="G227">
        <v>22500000</v>
      </c>
      <c r="H227">
        <v>0</v>
      </c>
      <c r="I227">
        <v>0</v>
      </c>
      <c r="J227">
        <v>0</v>
      </c>
      <c r="K227" t="s">
        <v>5263</v>
      </c>
      <c r="L227">
        <v>22500000</v>
      </c>
      <c r="M227" t="s">
        <v>5304</v>
      </c>
      <c r="N227" t="s">
        <v>5305</v>
      </c>
      <c r="O227" t="s">
        <v>3479</v>
      </c>
      <c r="P227" t="s">
        <v>3480</v>
      </c>
    </row>
    <row r="228" spans="1:16" x14ac:dyDescent="0.25">
      <c r="A228" t="s">
        <v>495</v>
      </c>
      <c r="B228" t="s">
        <v>3476</v>
      </c>
      <c r="C228" t="s">
        <v>833</v>
      </c>
      <c r="D228" t="s">
        <v>4636</v>
      </c>
      <c r="E228" t="s">
        <v>503</v>
      </c>
      <c r="F228" t="s">
        <v>5306</v>
      </c>
      <c r="G228">
        <v>33600000</v>
      </c>
      <c r="H228">
        <v>0</v>
      </c>
      <c r="I228">
        <v>0</v>
      </c>
      <c r="J228">
        <v>0</v>
      </c>
      <c r="K228" t="s">
        <v>5263</v>
      </c>
      <c r="L228">
        <v>33600000</v>
      </c>
      <c r="M228" t="s">
        <v>5307</v>
      </c>
      <c r="N228" t="s">
        <v>5308</v>
      </c>
      <c r="O228" t="s">
        <v>3479</v>
      </c>
      <c r="P228" t="s">
        <v>3480</v>
      </c>
    </row>
    <row r="229" spans="1:16" x14ac:dyDescent="0.25">
      <c r="A229" t="s">
        <v>495</v>
      </c>
      <c r="B229" t="s">
        <v>3476</v>
      </c>
      <c r="C229" t="s">
        <v>833</v>
      </c>
      <c r="D229" t="s">
        <v>4636</v>
      </c>
      <c r="E229" t="s">
        <v>503</v>
      </c>
      <c r="F229" t="s">
        <v>5309</v>
      </c>
      <c r="G229">
        <v>15000000</v>
      </c>
      <c r="H229">
        <v>0</v>
      </c>
      <c r="I229">
        <v>0</v>
      </c>
      <c r="J229">
        <v>0</v>
      </c>
      <c r="K229" t="s">
        <v>5263</v>
      </c>
      <c r="L229">
        <v>15000000</v>
      </c>
      <c r="M229" t="s">
        <v>5310</v>
      </c>
      <c r="N229" t="s">
        <v>4635</v>
      </c>
      <c r="O229" t="s">
        <v>3479</v>
      </c>
      <c r="P229" t="s">
        <v>3480</v>
      </c>
    </row>
    <row r="230" spans="1:16" x14ac:dyDescent="0.25">
      <c r="A230" t="s">
        <v>495</v>
      </c>
      <c r="B230" t="s">
        <v>3476</v>
      </c>
      <c r="C230" t="s">
        <v>833</v>
      </c>
      <c r="D230" t="s">
        <v>4636</v>
      </c>
      <c r="E230" t="s">
        <v>503</v>
      </c>
      <c r="F230" t="s">
        <v>5311</v>
      </c>
      <c r="G230">
        <v>28000000</v>
      </c>
      <c r="H230">
        <v>0</v>
      </c>
      <c r="I230">
        <v>0</v>
      </c>
      <c r="J230">
        <v>0</v>
      </c>
      <c r="K230" t="s">
        <v>5263</v>
      </c>
      <c r="L230">
        <v>28000000</v>
      </c>
      <c r="M230" t="s">
        <v>5312</v>
      </c>
      <c r="N230" t="s">
        <v>4653</v>
      </c>
      <c r="O230" t="s">
        <v>3479</v>
      </c>
      <c r="P230" t="s">
        <v>3480</v>
      </c>
    </row>
    <row r="231" spans="1:16" x14ac:dyDescent="0.25">
      <c r="A231" t="s">
        <v>494</v>
      </c>
      <c r="B231" t="s">
        <v>3105</v>
      </c>
      <c r="C231" t="s">
        <v>833</v>
      </c>
      <c r="D231" t="s">
        <v>4641</v>
      </c>
      <c r="E231" t="s">
        <v>503</v>
      </c>
      <c r="F231" t="s">
        <v>5313</v>
      </c>
      <c r="G231">
        <v>4800000</v>
      </c>
      <c r="H231">
        <v>0</v>
      </c>
      <c r="I231">
        <v>0</v>
      </c>
      <c r="J231">
        <v>0</v>
      </c>
      <c r="K231" t="s">
        <v>5263</v>
      </c>
      <c r="L231">
        <v>4800000</v>
      </c>
      <c r="M231" t="s">
        <v>5314</v>
      </c>
      <c r="N231" t="s">
        <v>5315</v>
      </c>
      <c r="O231" t="s">
        <v>3377</v>
      </c>
      <c r="P231" t="s">
        <v>3378</v>
      </c>
    </row>
    <row r="232" spans="1:16" x14ac:dyDescent="0.25">
      <c r="A232" t="s">
        <v>494</v>
      </c>
      <c r="B232" t="s">
        <v>2785</v>
      </c>
      <c r="C232" t="s">
        <v>3090</v>
      </c>
      <c r="D232" t="s">
        <v>4715</v>
      </c>
      <c r="E232" t="s">
        <v>533</v>
      </c>
      <c r="F232" t="s">
        <v>5316</v>
      </c>
      <c r="G232">
        <v>2000000</v>
      </c>
      <c r="H232">
        <v>0</v>
      </c>
      <c r="I232">
        <v>0</v>
      </c>
      <c r="J232">
        <v>0</v>
      </c>
      <c r="K232" t="s">
        <v>5263</v>
      </c>
      <c r="L232">
        <v>2000000</v>
      </c>
      <c r="M232" t="s">
        <v>5317</v>
      </c>
      <c r="N232" t="s">
        <v>5031</v>
      </c>
      <c r="O232" t="s">
        <v>3092</v>
      </c>
      <c r="P232" t="s">
        <v>3100</v>
      </c>
    </row>
    <row r="233" spans="1:16" x14ac:dyDescent="0.25">
      <c r="A233" t="s">
        <v>494</v>
      </c>
      <c r="B233" t="s">
        <v>2785</v>
      </c>
      <c r="C233" t="s">
        <v>833</v>
      </c>
      <c r="D233" t="s">
        <v>4636</v>
      </c>
      <c r="E233" t="s">
        <v>513</v>
      </c>
      <c r="F233" t="s">
        <v>5318</v>
      </c>
      <c r="G233">
        <v>18539000</v>
      </c>
      <c r="H233">
        <v>0</v>
      </c>
      <c r="I233">
        <v>0</v>
      </c>
      <c r="J233">
        <v>0</v>
      </c>
      <c r="K233" t="s">
        <v>5263</v>
      </c>
      <c r="L233">
        <v>18539000</v>
      </c>
      <c r="M233" t="s">
        <v>5319</v>
      </c>
      <c r="N233" t="s">
        <v>5320</v>
      </c>
      <c r="O233" t="s">
        <v>3054</v>
      </c>
      <c r="P233" t="s">
        <v>3064</v>
      </c>
    </row>
    <row r="234" spans="1:16" x14ac:dyDescent="0.25">
      <c r="A234" t="s">
        <v>494</v>
      </c>
      <c r="B234" t="s">
        <v>2785</v>
      </c>
      <c r="C234" t="s">
        <v>833</v>
      </c>
      <c r="D234" t="s">
        <v>4636</v>
      </c>
      <c r="E234" t="s">
        <v>503</v>
      </c>
      <c r="F234" t="s">
        <v>5321</v>
      </c>
      <c r="G234">
        <v>4500000</v>
      </c>
      <c r="H234">
        <v>0</v>
      </c>
      <c r="I234">
        <v>0</v>
      </c>
      <c r="J234">
        <v>0</v>
      </c>
      <c r="K234" t="s">
        <v>5263</v>
      </c>
      <c r="L234">
        <v>4500000</v>
      </c>
      <c r="M234" t="s">
        <v>5322</v>
      </c>
      <c r="N234" t="s">
        <v>4714</v>
      </c>
      <c r="O234" t="s">
        <v>3054</v>
      </c>
      <c r="P234" t="s">
        <v>3055</v>
      </c>
    </row>
    <row r="235" spans="1:16" x14ac:dyDescent="0.25">
      <c r="A235" t="s">
        <v>494</v>
      </c>
      <c r="B235" t="s">
        <v>2469</v>
      </c>
      <c r="C235" t="s">
        <v>833</v>
      </c>
      <c r="D235" t="s">
        <v>4623</v>
      </c>
      <c r="E235" t="s">
        <v>533</v>
      </c>
      <c r="F235" t="s">
        <v>5323</v>
      </c>
      <c r="G235">
        <v>1000000</v>
      </c>
      <c r="H235">
        <v>0</v>
      </c>
      <c r="I235">
        <v>0</v>
      </c>
      <c r="J235">
        <v>0</v>
      </c>
      <c r="K235" t="s">
        <v>5263</v>
      </c>
      <c r="L235">
        <v>1000000</v>
      </c>
      <c r="M235" t="s">
        <v>5324</v>
      </c>
      <c r="N235" t="s">
        <v>5050</v>
      </c>
      <c r="O235" t="s">
        <v>2756</v>
      </c>
      <c r="P235" t="s">
        <v>2761</v>
      </c>
    </row>
    <row r="236" spans="1:16" x14ac:dyDescent="0.25">
      <c r="A236" t="s">
        <v>494</v>
      </c>
      <c r="B236" t="s">
        <v>1700</v>
      </c>
      <c r="C236" t="s">
        <v>557</v>
      </c>
      <c r="D236" t="s">
        <v>4914</v>
      </c>
      <c r="E236" t="s">
        <v>570</v>
      </c>
      <c r="F236" t="s">
        <v>5325</v>
      </c>
      <c r="G236">
        <v>300000</v>
      </c>
      <c r="H236">
        <v>0</v>
      </c>
      <c r="I236">
        <v>0</v>
      </c>
      <c r="J236">
        <v>0</v>
      </c>
      <c r="K236" t="s">
        <v>5263</v>
      </c>
      <c r="L236">
        <v>300000</v>
      </c>
      <c r="M236" t="s">
        <v>5326</v>
      </c>
      <c r="N236" t="s">
        <v>5327</v>
      </c>
      <c r="O236" t="s">
        <v>2238</v>
      </c>
      <c r="P236" t="s">
        <v>2247</v>
      </c>
    </row>
    <row r="237" spans="1:16" x14ac:dyDescent="0.25">
      <c r="A237" t="s">
        <v>494</v>
      </c>
      <c r="B237" t="s">
        <v>1700</v>
      </c>
      <c r="C237" t="s">
        <v>557</v>
      </c>
      <c r="D237" t="s">
        <v>4914</v>
      </c>
      <c r="E237" t="s">
        <v>570</v>
      </c>
      <c r="F237" t="s">
        <v>5328</v>
      </c>
      <c r="G237">
        <v>400000</v>
      </c>
      <c r="H237">
        <v>0</v>
      </c>
      <c r="I237">
        <v>0</v>
      </c>
      <c r="J237">
        <v>0</v>
      </c>
      <c r="K237" t="s">
        <v>5263</v>
      </c>
      <c r="L237">
        <v>400000</v>
      </c>
      <c r="M237" t="s">
        <v>5329</v>
      </c>
      <c r="N237" t="s">
        <v>5330</v>
      </c>
      <c r="O237" t="s">
        <v>2238</v>
      </c>
      <c r="P237" t="s">
        <v>2247</v>
      </c>
    </row>
    <row r="238" spans="1:16" x14ac:dyDescent="0.25">
      <c r="A238" t="s">
        <v>494</v>
      </c>
      <c r="B238" t="s">
        <v>1700</v>
      </c>
      <c r="C238" t="s">
        <v>557</v>
      </c>
      <c r="D238" t="s">
        <v>4914</v>
      </c>
      <c r="E238" t="s">
        <v>570</v>
      </c>
      <c r="F238" t="s">
        <v>5331</v>
      </c>
      <c r="G238">
        <v>900000</v>
      </c>
      <c r="H238">
        <v>0</v>
      </c>
      <c r="I238">
        <v>0</v>
      </c>
      <c r="J238">
        <v>0</v>
      </c>
      <c r="K238" t="s">
        <v>5263</v>
      </c>
      <c r="L238">
        <v>900000</v>
      </c>
      <c r="M238" t="s">
        <v>5332</v>
      </c>
      <c r="N238" t="s">
        <v>5333</v>
      </c>
      <c r="O238" t="s">
        <v>2238</v>
      </c>
      <c r="P238" t="s">
        <v>2247</v>
      </c>
    </row>
    <row r="239" spans="1:16" x14ac:dyDescent="0.25">
      <c r="A239" t="s">
        <v>494</v>
      </c>
      <c r="B239" t="s">
        <v>1700</v>
      </c>
      <c r="C239" t="s">
        <v>557</v>
      </c>
      <c r="D239" t="s">
        <v>4914</v>
      </c>
      <c r="E239" t="s">
        <v>559</v>
      </c>
      <c r="F239" t="s">
        <v>5334</v>
      </c>
      <c r="G239">
        <v>15340000</v>
      </c>
      <c r="H239">
        <v>0</v>
      </c>
      <c r="I239">
        <v>0</v>
      </c>
      <c r="J239">
        <v>0</v>
      </c>
      <c r="K239" t="s">
        <v>5263</v>
      </c>
      <c r="L239">
        <v>15340000</v>
      </c>
      <c r="M239" t="s">
        <v>5335</v>
      </c>
      <c r="N239" t="s">
        <v>5336</v>
      </c>
      <c r="O239" t="s">
        <v>2238</v>
      </c>
      <c r="P239" t="s">
        <v>2241</v>
      </c>
    </row>
    <row r="240" spans="1:16" x14ac:dyDescent="0.25">
      <c r="A240" t="s">
        <v>494</v>
      </c>
      <c r="B240" t="s">
        <v>1700</v>
      </c>
      <c r="C240" t="s">
        <v>557</v>
      </c>
      <c r="D240" t="s">
        <v>4941</v>
      </c>
      <c r="E240" t="s">
        <v>567</v>
      </c>
      <c r="F240" t="s">
        <v>5337</v>
      </c>
      <c r="G240">
        <v>52250000</v>
      </c>
      <c r="H240">
        <v>0</v>
      </c>
      <c r="I240">
        <v>0</v>
      </c>
      <c r="J240">
        <v>0</v>
      </c>
      <c r="K240" t="s">
        <v>5263</v>
      </c>
      <c r="L240">
        <v>52250000</v>
      </c>
      <c r="M240" t="s">
        <v>5338</v>
      </c>
      <c r="N240" t="s">
        <v>5339</v>
      </c>
      <c r="O240" t="s">
        <v>2218</v>
      </c>
      <c r="P240" t="s">
        <v>2221</v>
      </c>
    </row>
    <row r="241" spans="1:16" x14ac:dyDescent="0.25">
      <c r="A241" t="s">
        <v>494</v>
      </c>
      <c r="B241" t="s">
        <v>1700</v>
      </c>
      <c r="C241" t="s">
        <v>557</v>
      </c>
      <c r="D241" t="s">
        <v>4941</v>
      </c>
      <c r="E241" t="s">
        <v>567</v>
      </c>
      <c r="F241" t="s">
        <v>5340</v>
      </c>
      <c r="G241">
        <v>29200000</v>
      </c>
      <c r="H241">
        <v>0</v>
      </c>
      <c r="I241">
        <v>0</v>
      </c>
      <c r="J241">
        <v>0</v>
      </c>
      <c r="K241" t="s">
        <v>5263</v>
      </c>
      <c r="L241">
        <v>29200000</v>
      </c>
      <c r="M241" t="s">
        <v>5341</v>
      </c>
      <c r="N241" t="s">
        <v>5342</v>
      </c>
      <c r="O241" t="s">
        <v>2218</v>
      </c>
      <c r="P241" t="s">
        <v>2221</v>
      </c>
    </row>
    <row r="242" spans="1:16" x14ac:dyDescent="0.25">
      <c r="A242" t="s">
        <v>494</v>
      </c>
      <c r="B242" t="s">
        <v>1700</v>
      </c>
      <c r="C242" t="s">
        <v>557</v>
      </c>
      <c r="D242" t="s">
        <v>4973</v>
      </c>
      <c r="E242" t="s">
        <v>564</v>
      </c>
      <c r="F242" t="s">
        <v>5343</v>
      </c>
      <c r="G242">
        <v>58852000</v>
      </c>
      <c r="H242">
        <v>0</v>
      </c>
      <c r="I242">
        <v>0</v>
      </c>
      <c r="J242">
        <v>0</v>
      </c>
      <c r="K242" t="s">
        <v>5263</v>
      </c>
      <c r="L242">
        <v>58852000</v>
      </c>
      <c r="M242" t="s">
        <v>5344</v>
      </c>
      <c r="N242" t="s">
        <v>5345</v>
      </c>
      <c r="O242" t="s">
        <v>2207</v>
      </c>
      <c r="P242" t="s">
        <v>2213</v>
      </c>
    </row>
    <row r="243" spans="1:16" x14ac:dyDescent="0.25">
      <c r="A243" t="s">
        <v>494</v>
      </c>
      <c r="B243" t="s">
        <v>1700</v>
      </c>
      <c r="C243" t="s">
        <v>557</v>
      </c>
      <c r="D243" t="s">
        <v>4880</v>
      </c>
      <c r="E243" t="s">
        <v>537</v>
      </c>
      <c r="F243" t="s">
        <v>5346</v>
      </c>
      <c r="G243">
        <v>20000000</v>
      </c>
      <c r="H243">
        <v>0</v>
      </c>
      <c r="I243">
        <v>0</v>
      </c>
      <c r="J243">
        <v>0</v>
      </c>
      <c r="K243" t="s">
        <v>5263</v>
      </c>
      <c r="L243">
        <v>20000000</v>
      </c>
      <c r="M243" t="s">
        <v>5347</v>
      </c>
      <c r="N243" t="s">
        <v>5348</v>
      </c>
      <c r="O243" t="s">
        <v>2170</v>
      </c>
      <c r="P243" t="s">
        <v>2189</v>
      </c>
    </row>
    <row r="244" spans="1:16" x14ac:dyDescent="0.25">
      <c r="A244" t="s">
        <v>494</v>
      </c>
      <c r="B244" t="s">
        <v>1700</v>
      </c>
      <c r="C244" t="s">
        <v>557</v>
      </c>
      <c r="D244" t="s">
        <v>4880</v>
      </c>
      <c r="E244" t="s">
        <v>559</v>
      </c>
      <c r="F244" t="s">
        <v>5349</v>
      </c>
      <c r="G244">
        <v>67000000</v>
      </c>
      <c r="H244">
        <v>0</v>
      </c>
      <c r="I244">
        <v>0</v>
      </c>
      <c r="J244">
        <v>0</v>
      </c>
      <c r="K244" t="s">
        <v>5263</v>
      </c>
      <c r="L244">
        <v>67000000</v>
      </c>
      <c r="M244" t="s">
        <v>5350</v>
      </c>
      <c r="N244" t="s">
        <v>5351</v>
      </c>
      <c r="O244" t="s">
        <v>2170</v>
      </c>
      <c r="P244" t="s">
        <v>2172</v>
      </c>
    </row>
    <row r="245" spans="1:16" x14ac:dyDescent="0.25">
      <c r="A245" t="s">
        <v>494</v>
      </c>
      <c r="B245" t="s">
        <v>1700</v>
      </c>
      <c r="C245" t="s">
        <v>501</v>
      </c>
      <c r="D245" t="s">
        <v>5431</v>
      </c>
      <c r="E245" t="s">
        <v>555</v>
      </c>
      <c r="F245" t="s">
        <v>5508</v>
      </c>
      <c r="G245">
        <v>6100000</v>
      </c>
      <c r="H245">
        <v>0</v>
      </c>
      <c r="I245">
        <v>0</v>
      </c>
      <c r="J245">
        <v>0</v>
      </c>
      <c r="K245" t="s">
        <v>5263</v>
      </c>
      <c r="L245">
        <v>6100000</v>
      </c>
      <c r="M245" t="s">
        <v>5509</v>
      </c>
      <c r="N245" t="s">
        <v>5510</v>
      </c>
      <c r="O245" t="s">
        <v>1806</v>
      </c>
      <c r="P245" t="s">
        <v>1841</v>
      </c>
    </row>
    <row r="246" spans="1:16" x14ac:dyDescent="0.25">
      <c r="A246" t="s">
        <v>494</v>
      </c>
      <c r="B246" t="s">
        <v>1700</v>
      </c>
      <c r="C246" t="s">
        <v>501</v>
      </c>
      <c r="D246" t="s">
        <v>5431</v>
      </c>
      <c r="E246" t="s">
        <v>552</v>
      </c>
      <c r="F246" t="s">
        <v>5511</v>
      </c>
      <c r="G246">
        <v>3366000</v>
      </c>
      <c r="H246">
        <v>0</v>
      </c>
      <c r="I246">
        <v>0</v>
      </c>
      <c r="J246">
        <v>0</v>
      </c>
      <c r="K246" t="s">
        <v>5263</v>
      </c>
      <c r="L246">
        <v>3366000</v>
      </c>
      <c r="M246" t="s">
        <v>5512</v>
      </c>
      <c r="N246" t="s">
        <v>5513</v>
      </c>
      <c r="O246" t="s">
        <v>1806</v>
      </c>
      <c r="P246" t="s">
        <v>1833</v>
      </c>
    </row>
    <row r="247" spans="1:16" x14ac:dyDescent="0.25">
      <c r="A247" t="s">
        <v>494</v>
      </c>
      <c r="B247" t="s">
        <v>1700</v>
      </c>
      <c r="C247" t="s">
        <v>501</v>
      </c>
      <c r="D247" t="s">
        <v>5431</v>
      </c>
      <c r="E247" t="s">
        <v>551</v>
      </c>
      <c r="F247" t="s">
        <v>5514</v>
      </c>
      <c r="G247">
        <v>2000000</v>
      </c>
      <c r="H247">
        <v>0</v>
      </c>
      <c r="I247">
        <v>0</v>
      </c>
      <c r="J247">
        <v>0</v>
      </c>
      <c r="K247" t="s">
        <v>5263</v>
      </c>
      <c r="L247">
        <v>2000000</v>
      </c>
      <c r="M247" t="s">
        <v>5515</v>
      </c>
      <c r="N247" t="s">
        <v>5516</v>
      </c>
      <c r="O247" t="s">
        <v>1806</v>
      </c>
      <c r="P247" t="s">
        <v>1829</v>
      </c>
    </row>
    <row r="248" spans="1:16" x14ac:dyDescent="0.25">
      <c r="A248" t="s">
        <v>494</v>
      </c>
      <c r="B248" t="s">
        <v>1700</v>
      </c>
      <c r="C248" t="s">
        <v>501</v>
      </c>
      <c r="D248" t="s">
        <v>5431</v>
      </c>
      <c r="E248" t="s">
        <v>550</v>
      </c>
      <c r="F248" t="s">
        <v>5517</v>
      </c>
      <c r="G248">
        <v>12070000</v>
      </c>
      <c r="H248">
        <v>0</v>
      </c>
      <c r="I248">
        <v>0</v>
      </c>
      <c r="J248">
        <v>0</v>
      </c>
      <c r="K248" t="s">
        <v>5263</v>
      </c>
      <c r="L248">
        <v>12070000</v>
      </c>
      <c r="M248" t="s">
        <v>5518</v>
      </c>
      <c r="N248" t="s">
        <v>5519</v>
      </c>
      <c r="O248" t="s">
        <v>1806</v>
      </c>
      <c r="P248" t="s">
        <v>1825</v>
      </c>
    </row>
    <row r="249" spans="1:16" x14ac:dyDescent="0.25">
      <c r="A249" t="s">
        <v>494</v>
      </c>
      <c r="B249" t="s">
        <v>1700</v>
      </c>
      <c r="C249" t="s">
        <v>501</v>
      </c>
      <c r="D249" t="s">
        <v>5431</v>
      </c>
      <c r="E249" t="s">
        <v>549</v>
      </c>
      <c r="F249" t="s">
        <v>5520</v>
      </c>
      <c r="G249">
        <v>3338000</v>
      </c>
      <c r="H249">
        <v>0</v>
      </c>
      <c r="I249">
        <v>0</v>
      </c>
      <c r="J249">
        <v>0</v>
      </c>
      <c r="K249" t="s">
        <v>5263</v>
      </c>
      <c r="L249">
        <v>3338000</v>
      </c>
      <c r="M249" t="s">
        <v>5521</v>
      </c>
      <c r="N249" t="s">
        <v>5522</v>
      </c>
      <c r="O249" t="s">
        <v>1806</v>
      </c>
      <c r="P249" t="s">
        <v>1821</v>
      </c>
    </row>
    <row r="250" spans="1:16" x14ac:dyDescent="0.25">
      <c r="A250" t="s">
        <v>494</v>
      </c>
      <c r="B250" t="s">
        <v>1700</v>
      </c>
      <c r="C250" t="s">
        <v>501</v>
      </c>
      <c r="D250" t="s">
        <v>5431</v>
      </c>
      <c r="E250" t="s">
        <v>548</v>
      </c>
      <c r="F250" t="s">
        <v>5523</v>
      </c>
      <c r="G250">
        <v>12494000</v>
      </c>
      <c r="H250">
        <v>0</v>
      </c>
      <c r="I250">
        <v>0</v>
      </c>
      <c r="J250">
        <v>0</v>
      </c>
      <c r="K250" t="s">
        <v>5263</v>
      </c>
      <c r="L250">
        <v>12494000</v>
      </c>
      <c r="M250" t="s">
        <v>5524</v>
      </c>
      <c r="N250" t="s">
        <v>5525</v>
      </c>
      <c r="O250" t="s">
        <v>1806</v>
      </c>
      <c r="P250" t="s">
        <v>1817</v>
      </c>
    </row>
    <row r="251" spans="1:16" x14ac:dyDescent="0.25">
      <c r="A251" t="s">
        <v>494</v>
      </c>
      <c r="B251" t="s">
        <v>1700</v>
      </c>
      <c r="C251" t="s">
        <v>501</v>
      </c>
      <c r="D251" t="s">
        <v>5431</v>
      </c>
      <c r="E251" t="s">
        <v>547</v>
      </c>
      <c r="F251" t="s">
        <v>5526</v>
      </c>
      <c r="G251">
        <v>3000</v>
      </c>
      <c r="H251">
        <v>0</v>
      </c>
      <c r="I251">
        <v>0</v>
      </c>
      <c r="J251">
        <v>0</v>
      </c>
      <c r="K251" t="s">
        <v>5263</v>
      </c>
      <c r="L251">
        <v>3000</v>
      </c>
      <c r="M251" t="s">
        <v>5527</v>
      </c>
      <c r="N251" t="s">
        <v>5528</v>
      </c>
      <c r="O251" t="s">
        <v>1806</v>
      </c>
      <c r="P251" t="s">
        <v>1813</v>
      </c>
    </row>
    <row r="252" spans="1:16" x14ac:dyDescent="0.25">
      <c r="A252" t="s">
        <v>494</v>
      </c>
      <c r="B252" t="s">
        <v>1700</v>
      </c>
      <c r="C252" t="s">
        <v>501</v>
      </c>
      <c r="D252" t="s">
        <v>5431</v>
      </c>
      <c r="E252" t="s">
        <v>544</v>
      </c>
      <c r="F252" t="s">
        <v>5529</v>
      </c>
      <c r="G252">
        <v>180000000</v>
      </c>
      <c r="H252">
        <v>0</v>
      </c>
      <c r="I252">
        <v>0</v>
      </c>
      <c r="J252">
        <v>0</v>
      </c>
      <c r="K252" t="s">
        <v>5263</v>
      </c>
      <c r="L252">
        <v>180000000</v>
      </c>
      <c r="M252" t="s">
        <v>5530</v>
      </c>
      <c r="N252" t="s">
        <v>5531</v>
      </c>
      <c r="O252" t="s">
        <v>1806</v>
      </c>
      <c r="P252" t="s">
        <v>1809</v>
      </c>
    </row>
    <row r="253" spans="1:16" x14ac:dyDescent="0.25">
      <c r="A253" t="s">
        <v>494</v>
      </c>
      <c r="B253" t="s">
        <v>1269</v>
      </c>
      <c r="C253" t="s">
        <v>833</v>
      </c>
      <c r="D253" t="s">
        <v>4762</v>
      </c>
      <c r="E253" t="s">
        <v>533</v>
      </c>
      <c r="F253" t="s">
        <v>5352</v>
      </c>
      <c r="G253">
        <v>24651000</v>
      </c>
      <c r="H253">
        <v>0</v>
      </c>
      <c r="I253">
        <v>0</v>
      </c>
      <c r="J253">
        <v>0</v>
      </c>
      <c r="K253" t="s">
        <v>5263</v>
      </c>
      <c r="L253">
        <v>24651000</v>
      </c>
      <c r="M253" t="s">
        <v>5353</v>
      </c>
      <c r="N253" t="s">
        <v>5354</v>
      </c>
      <c r="O253" t="s">
        <v>1536</v>
      </c>
      <c r="P253" t="s">
        <v>1549</v>
      </c>
    </row>
    <row r="254" spans="1:16" x14ac:dyDescent="0.25">
      <c r="A254" t="s">
        <v>494</v>
      </c>
      <c r="B254" t="s">
        <v>1269</v>
      </c>
      <c r="C254" t="s">
        <v>833</v>
      </c>
      <c r="D254" t="s">
        <v>4762</v>
      </c>
      <c r="E254" t="s">
        <v>503</v>
      </c>
      <c r="F254" t="s">
        <v>5355</v>
      </c>
      <c r="G254">
        <v>2500000</v>
      </c>
      <c r="H254">
        <v>0</v>
      </c>
      <c r="I254">
        <v>0</v>
      </c>
      <c r="J254">
        <v>0</v>
      </c>
      <c r="K254" t="s">
        <v>5263</v>
      </c>
      <c r="L254">
        <v>2500000</v>
      </c>
      <c r="M254" t="s">
        <v>5356</v>
      </c>
      <c r="N254" t="s">
        <v>5357</v>
      </c>
      <c r="O254" t="s">
        <v>1536</v>
      </c>
      <c r="P254" t="s">
        <v>1538</v>
      </c>
    </row>
    <row r="255" spans="1:16" x14ac:dyDescent="0.25">
      <c r="A255" t="s">
        <v>494</v>
      </c>
      <c r="B255" t="s">
        <v>1269</v>
      </c>
      <c r="C255" t="s">
        <v>833</v>
      </c>
      <c r="D255" t="s">
        <v>4762</v>
      </c>
      <c r="E255" t="s">
        <v>503</v>
      </c>
      <c r="F255" t="s">
        <v>5358</v>
      </c>
      <c r="G255">
        <v>2000000</v>
      </c>
      <c r="H255">
        <v>0</v>
      </c>
      <c r="I255">
        <v>0</v>
      </c>
      <c r="J255">
        <v>0</v>
      </c>
      <c r="K255" t="s">
        <v>5263</v>
      </c>
      <c r="L255">
        <v>2000000</v>
      </c>
      <c r="M255" t="s">
        <v>5359</v>
      </c>
      <c r="N255" t="s">
        <v>4714</v>
      </c>
      <c r="O255" t="s">
        <v>1536</v>
      </c>
      <c r="P255" t="s">
        <v>1538</v>
      </c>
    </row>
    <row r="256" spans="1:16" x14ac:dyDescent="0.25">
      <c r="A256" t="s">
        <v>494</v>
      </c>
      <c r="B256" t="s">
        <v>1269</v>
      </c>
      <c r="C256" t="s">
        <v>833</v>
      </c>
      <c r="D256" t="s">
        <v>4672</v>
      </c>
      <c r="E256" t="s">
        <v>517</v>
      </c>
      <c r="F256" t="s">
        <v>5360</v>
      </c>
      <c r="G256">
        <v>1606000</v>
      </c>
      <c r="H256">
        <v>0</v>
      </c>
      <c r="I256">
        <v>0</v>
      </c>
      <c r="J256">
        <v>0</v>
      </c>
      <c r="K256" t="s">
        <v>5263</v>
      </c>
      <c r="L256">
        <v>1606000</v>
      </c>
      <c r="M256" t="s">
        <v>5361</v>
      </c>
      <c r="N256" t="s">
        <v>5362</v>
      </c>
      <c r="O256" t="s">
        <v>1448</v>
      </c>
      <c r="P256" t="s">
        <v>4022</v>
      </c>
    </row>
    <row r="257" spans="1:16" x14ac:dyDescent="0.25">
      <c r="A257" t="s">
        <v>494</v>
      </c>
      <c r="B257" t="s">
        <v>1269</v>
      </c>
      <c r="C257" t="s">
        <v>833</v>
      </c>
      <c r="D257" t="s">
        <v>4691</v>
      </c>
      <c r="E257" t="s">
        <v>564</v>
      </c>
      <c r="F257" t="s">
        <v>5363</v>
      </c>
      <c r="G257">
        <v>3000000</v>
      </c>
      <c r="H257">
        <v>0</v>
      </c>
      <c r="I257">
        <v>0</v>
      </c>
      <c r="J257">
        <v>0</v>
      </c>
      <c r="K257" t="s">
        <v>5263</v>
      </c>
      <c r="L257">
        <v>3000000</v>
      </c>
      <c r="M257" t="s">
        <v>5364</v>
      </c>
      <c r="N257" t="s">
        <v>5365</v>
      </c>
      <c r="O257" t="s">
        <v>1417</v>
      </c>
      <c r="P257" t="s">
        <v>1428</v>
      </c>
    </row>
    <row r="258" spans="1:16" x14ac:dyDescent="0.25">
      <c r="A258" t="s">
        <v>419</v>
      </c>
      <c r="B258" t="s">
        <v>616</v>
      </c>
      <c r="C258" t="s">
        <v>526</v>
      </c>
      <c r="D258" t="s">
        <v>5150</v>
      </c>
      <c r="E258" t="s">
        <v>518</v>
      </c>
      <c r="F258" t="s">
        <v>5366</v>
      </c>
      <c r="G258">
        <v>5000000</v>
      </c>
      <c r="H258">
        <v>0</v>
      </c>
      <c r="I258">
        <v>0</v>
      </c>
      <c r="J258">
        <v>0</v>
      </c>
      <c r="K258" t="s">
        <v>5263</v>
      </c>
      <c r="L258">
        <v>5000000</v>
      </c>
      <c r="M258" t="s">
        <v>5367</v>
      </c>
      <c r="N258" t="s">
        <v>5368</v>
      </c>
      <c r="O258" t="s">
        <v>485</v>
      </c>
      <c r="P258" t="s">
        <v>813</v>
      </c>
    </row>
    <row r="259" spans="1:16" x14ac:dyDescent="0.25">
      <c r="A259" t="s">
        <v>419</v>
      </c>
      <c r="B259" t="s">
        <v>616</v>
      </c>
      <c r="C259" t="s">
        <v>526</v>
      </c>
      <c r="D259" t="s">
        <v>5150</v>
      </c>
      <c r="E259" t="s">
        <v>533</v>
      </c>
      <c r="F259" t="s">
        <v>5369</v>
      </c>
      <c r="G259">
        <v>8784000</v>
      </c>
      <c r="H259">
        <v>0</v>
      </c>
      <c r="I259">
        <v>0</v>
      </c>
      <c r="J259">
        <v>0</v>
      </c>
      <c r="K259" t="s">
        <v>5263</v>
      </c>
      <c r="L259">
        <v>8784000</v>
      </c>
      <c r="M259" t="s">
        <v>5370</v>
      </c>
      <c r="N259" t="s">
        <v>5371</v>
      </c>
      <c r="O259" t="s">
        <v>485</v>
      </c>
      <c r="P259" t="s">
        <v>490</v>
      </c>
    </row>
    <row r="260" spans="1:16" x14ac:dyDescent="0.25">
      <c r="A260" t="s">
        <v>419</v>
      </c>
      <c r="B260" t="s">
        <v>616</v>
      </c>
      <c r="C260" t="s">
        <v>523</v>
      </c>
      <c r="D260" t="s">
        <v>5372</v>
      </c>
      <c r="E260" t="s">
        <v>513</v>
      </c>
      <c r="F260" t="s">
        <v>5373</v>
      </c>
      <c r="G260">
        <v>23030000</v>
      </c>
      <c r="H260">
        <v>0</v>
      </c>
      <c r="I260">
        <v>0</v>
      </c>
      <c r="J260">
        <v>0</v>
      </c>
      <c r="K260" t="s">
        <v>5263</v>
      </c>
      <c r="L260">
        <v>23030000</v>
      </c>
      <c r="M260" t="s">
        <v>5374</v>
      </c>
      <c r="N260" t="s">
        <v>5375</v>
      </c>
      <c r="O260" t="s">
        <v>794</v>
      </c>
      <c r="P260" t="s">
        <v>805</v>
      </c>
    </row>
    <row r="261" spans="1:16" x14ac:dyDescent="0.25">
      <c r="A261" t="s">
        <v>419</v>
      </c>
      <c r="B261" t="s">
        <v>616</v>
      </c>
      <c r="C261" t="s">
        <v>523</v>
      </c>
      <c r="D261" t="s">
        <v>5372</v>
      </c>
      <c r="E261" t="s">
        <v>516</v>
      </c>
      <c r="F261" t="s">
        <v>5376</v>
      </c>
      <c r="G261">
        <v>7200000</v>
      </c>
      <c r="H261">
        <v>0</v>
      </c>
      <c r="I261">
        <v>0</v>
      </c>
      <c r="J261">
        <v>0</v>
      </c>
      <c r="K261" t="s">
        <v>5263</v>
      </c>
      <c r="L261">
        <v>7200000</v>
      </c>
      <c r="M261" t="s">
        <v>5377</v>
      </c>
      <c r="N261" t="s">
        <v>5158</v>
      </c>
      <c r="O261" t="s">
        <v>794</v>
      </c>
      <c r="P261" t="s">
        <v>803</v>
      </c>
    </row>
    <row r="262" spans="1:16" x14ac:dyDescent="0.25">
      <c r="A262" t="s">
        <v>419</v>
      </c>
      <c r="B262" t="s">
        <v>616</v>
      </c>
      <c r="C262" t="s">
        <v>523</v>
      </c>
      <c r="D262" t="s">
        <v>5372</v>
      </c>
      <c r="E262" t="s">
        <v>533</v>
      </c>
      <c r="F262" t="s">
        <v>5378</v>
      </c>
      <c r="G262">
        <v>500000</v>
      </c>
      <c r="H262">
        <v>0</v>
      </c>
      <c r="I262">
        <v>0</v>
      </c>
      <c r="J262">
        <v>0</v>
      </c>
      <c r="K262" t="s">
        <v>5263</v>
      </c>
      <c r="L262">
        <v>500000</v>
      </c>
      <c r="M262" t="s">
        <v>5379</v>
      </c>
      <c r="N262" t="s">
        <v>5050</v>
      </c>
      <c r="O262" t="s">
        <v>794</v>
      </c>
      <c r="P262" t="s">
        <v>801</v>
      </c>
    </row>
    <row r="263" spans="1:16" x14ac:dyDescent="0.25">
      <c r="A263" t="s">
        <v>419</v>
      </c>
      <c r="B263" t="s">
        <v>616</v>
      </c>
      <c r="C263" t="s">
        <v>523</v>
      </c>
      <c r="D263" t="s">
        <v>5372</v>
      </c>
      <c r="E263" t="s">
        <v>503</v>
      </c>
      <c r="F263" t="s">
        <v>5380</v>
      </c>
      <c r="G263">
        <v>6000000</v>
      </c>
      <c r="H263">
        <v>0</v>
      </c>
      <c r="I263">
        <v>0</v>
      </c>
      <c r="J263">
        <v>0</v>
      </c>
      <c r="K263" t="s">
        <v>5263</v>
      </c>
      <c r="L263">
        <v>6000000</v>
      </c>
      <c r="M263" t="s">
        <v>5381</v>
      </c>
      <c r="N263" t="s">
        <v>4714</v>
      </c>
      <c r="O263" t="s">
        <v>794</v>
      </c>
      <c r="P263" t="s">
        <v>796</v>
      </c>
    </row>
    <row r="264" spans="1:16" x14ac:dyDescent="0.25">
      <c r="A264" t="s">
        <v>419</v>
      </c>
      <c r="B264" t="s">
        <v>616</v>
      </c>
      <c r="C264" t="s">
        <v>523</v>
      </c>
      <c r="D264" t="s">
        <v>5372</v>
      </c>
      <c r="E264" t="s">
        <v>503</v>
      </c>
      <c r="F264" t="s">
        <v>5382</v>
      </c>
      <c r="G264">
        <v>4830000</v>
      </c>
      <c r="H264">
        <v>0</v>
      </c>
      <c r="I264">
        <v>0</v>
      </c>
      <c r="J264">
        <v>0</v>
      </c>
      <c r="K264" t="s">
        <v>5263</v>
      </c>
      <c r="L264">
        <v>4830000</v>
      </c>
      <c r="M264" t="s">
        <v>5383</v>
      </c>
      <c r="N264" t="s">
        <v>4852</v>
      </c>
      <c r="O264" t="s">
        <v>794</v>
      </c>
      <c r="P264" t="s">
        <v>796</v>
      </c>
    </row>
    <row r="265" spans="1:16" x14ac:dyDescent="0.25">
      <c r="A265" t="s">
        <v>419</v>
      </c>
      <c r="B265" t="s">
        <v>616</v>
      </c>
      <c r="C265" t="s">
        <v>523</v>
      </c>
      <c r="D265" t="s">
        <v>5372</v>
      </c>
      <c r="E265" t="s">
        <v>503</v>
      </c>
      <c r="F265" t="s">
        <v>5384</v>
      </c>
      <c r="G265">
        <v>6000000</v>
      </c>
      <c r="H265">
        <v>0</v>
      </c>
      <c r="I265">
        <v>0</v>
      </c>
      <c r="J265">
        <v>0</v>
      </c>
      <c r="K265" t="s">
        <v>5263</v>
      </c>
      <c r="L265">
        <v>6000000</v>
      </c>
      <c r="M265" t="s">
        <v>5385</v>
      </c>
      <c r="N265" t="s">
        <v>4679</v>
      </c>
      <c r="O265" t="s">
        <v>794</v>
      </c>
      <c r="P265" t="s">
        <v>796</v>
      </c>
    </row>
    <row r="266" spans="1:16" x14ac:dyDescent="0.25">
      <c r="A266" t="s">
        <v>419</v>
      </c>
      <c r="B266" t="s">
        <v>616</v>
      </c>
      <c r="C266" t="s">
        <v>523</v>
      </c>
      <c r="D266" t="s">
        <v>5372</v>
      </c>
      <c r="E266" t="s">
        <v>503</v>
      </c>
      <c r="F266" t="s">
        <v>5386</v>
      </c>
      <c r="G266">
        <v>4000000</v>
      </c>
      <c r="H266">
        <v>0</v>
      </c>
      <c r="I266">
        <v>0</v>
      </c>
      <c r="J266">
        <v>0</v>
      </c>
      <c r="K266" t="s">
        <v>5263</v>
      </c>
      <c r="L266">
        <v>4000000</v>
      </c>
      <c r="M266" t="s">
        <v>5387</v>
      </c>
      <c r="N266" t="s">
        <v>4627</v>
      </c>
      <c r="O266" t="s">
        <v>794</v>
      </c>
      <c r="P266" t="s">
        <v>796</v>
      </c>
    </row>
    <row r="267" spans="1:16" x14ac:dyDescent="0.25">
      <c r="A267" t="s">
        <v>419</v>
      </c>
      <c r="B267" t="s">
        <v>616</v>
      </c>
      <c r="C267" t="s">
        <v>523</v>
      </c>
      <c r="D267" t="s">
        <v>4663</v>
      </c>
      <c r="E267" t="s">
        <v>503</v>
      </c>
      <c r="F267" t="s">
        <v>5388</v>
      </c>
      <c r="G267">
        <v>50000000</v>
      </c>
      <c r="H267">
        <v>0</v>
      </c>
      <c r="I267">
        <v>0</v>
      </c>
      <c r="J267">
        <v>0</v>
      </c>
      <c r="K267" t="s">
        <v>5263</v>
      </c>
      <c r="L267">
        <v>50000000</v>
      </c>
      <c r="M267" t="s">
        <v>5389</v>
      </c>
      <c r="N267" t="s">
        <v>5390</v>
      </c>
      <c r="O267" t="s">
        <v>469</v>
      </c>
      <c r="P267" t="s">
        <v>470</v>
      </c>
    </row>
    <row r="268" spans="1:16" x14ac:dyDescent="0.25">
      <c r="A268" t="s">
        <v>419</v>
      </c>
      <c r="B268" t="s">
        <v>616</v>
      </c>
      <c r="C268" t="s">
        <v>523</v>
      </c>
      <c r="D268" t="s">
        <v>5198</v>
      </c>
      <c r="E268" t="s">
        <v>507</v>
      </c>
      <c r="F268" t="s">
        <v>5391</v>
      </c>
      <c r="G268">
        <v>1500000</v>
      </c>
      <c r="H268">
        <v>0</v>
      </c>
      <c r="I268">
        <v>0</v>
      </c>
      <c r="J268">
        <v>0</v>
      </c>
      <c r="K268" t="s">
        <v>5263</v>
      </c>
      <c r="L268">
        <v>1500000</v>
      </c>
      <c r="M268" t="s">
        <v>5392</v>
      </c>
      <c r="N268" t="s">
        <v>5393</v>
      </c>
      <c r="O268" t="s">
        <v>451</v>
      </c>
      <c r="P268" t="s">
        <v>467</v>
      </c>
    </row>
    <row r="269" spans="1:16" x14ac:dyDescent="0.25">
      <c r="A269" t="s">
        <v>419</v>
      </c>
      <c r="B269" t="s">
        <v>616</v>
      </c>
      <c r="C269" t="s">
        <v>523</v>
      </c>
      <c r="D269" t="s">
        <v>5198</v>
      </c>
      <c r="E269" t="s">
        <v>518</v>
      </c>
      <c r="F269" t="s">
        <v>5394</v>
      </c>
      <c r="G269">
        <v>6000000</v>
      </c>
      <c r="H269">
        <v>0</v>
      </c>
      <c r="I269">
        <v>0</v>
      </c>
      <c r="J269">
        <v>0</v>
      </c>
      <c r="K269" t="s">
        <v>5263</v>
      </c>
      <c r="L269">
        <v>6000000</v>
      </c>
      <c r="M269" t="s">
        <v>5395</v>
      </c>
      <c r="N269" t="s">
        <v>5175</v>
      </c>
      <c r="O269" t="s">
        <v>451</v>
      </c>
      <c r="P269" t="s">
        <v>463</v>
      </c>
    </row>
    <row r="270" spans="1:16" x14ac:dyDescent="0.25">
      <c r="A270" t="s">
        <v>419</v>
      </c>
      <c r="B270" t="s">
        <v>616</v>
      </c>
      <c r="C270" t="s">
        <v>523</v>
      </c>
      <c r="D270" t="s">
        <v>5198</v>
      </c>
      <c r="E270" t="s">
        <v>533</v>
      </c>
      <c r="F270" t="s">
        <v>5396</v>
      </c>
      <c r="G270">
        <v>5000000</v>
      </c>
      <c r="H270">
        <v>0</v>
      </c>
      <c r="I270">
        <v>0</v>
      </c>
      <c r="J270">
        <v>0</v>
      </c>
      <c r="K270" t="s">
        <v>5263</v>
      </c>
      <c r="L270">
        <v>5000000</v>
      </c>
      <c r="M270" t="s">
        <v>5397</v>
      </c>
      <c r="N270" t="s">
        <v>5188</v>
      </c>
      <c r="O270" t="s">
        <v>451</v>
      </c>
      <c r="P270" t="s">
        <v>455</v>
      </c>
    </row>
    <row r="271" spans="1:16" x14ac:dyDescent="0.25">
      <c r="A271" t="s">
        <v>419</v>
      </c>
      <c r="B271" t="s">
        <v>616</v>
      </c>
      <c r="C271" t="s">
        <v>523</v>
      </c>
      <c r="D271" t="s">
        <v>5198</v>
      </c>
      <c r="E271" t="s">
        <v>503</v>
      </c>
      <c r="F271" t="s">
        <v>5398</v>
      </c>
      <c r="G271">
        <v>40000000</v>
      </c>
      <c r="H271">
        <v>0</v>
      </c>
      <c r="I271">
        <v>0</v>
      </c>
      <c r="J271">
        <v>0</v>
      </c>
      <c r="K271" t="s">
        <v>5263</v>
      </c>
      <c r="L271">
        <v>40000000</v>
      </c>
      <c r="M271" t="s">
        <v>5399</v>
      </c>
      <c r="N271" t="s">
        <v>5400</v>
      </c>
      <c r="O271" t="s">
        <v>451</v>
      </c>
      <c r="P271" t="s">
        <v>452</v>
      </c>
    </row>
    <row r="272" spans="1:16" x14ac:dyDescent="0.25">
      <c r="A272" t="s">
        <v>419</v>
      </c>
      <c r="B272" t="s">
        <v>616</v>
      </c>
      <c r="C272" t="s">
        <v>520</v>
      </c>
      <c r="D272" t="s">
        <v>4668</v>
      </c>
      <c r="E272" t="s">
        <v>503</v>
      </c>
      <c r="F272" t="s">
        <v>5401</v>
      </c>
      <c r="G272">
        <v>5750000</v>
      </c>
      <c r="H272">
        <v>0</v>
      </c>
      <c r="I272">
        <v>0</v>
      </c>
      <c r="J272">
        <v>0</v>
      </c>
      <c r="K272" t="s">
        <v>5263</v>
      </c>
      <c r="L272">
        <v>5750000</v>
      </c>
      <c r="M272" t="s">
        <v>5402</v>
      </c>
      <c r="N272" t="s">
        <v>5403</v>
      </c>
      <c r="O272" t="s">
        <v>440</v>
      </c>
      <c r="P272" t="s">
        <v>441</v>
      </c>
    </row>
    <row r="273" spans="1:16" x14ac:dyDescent="0.25">
      <c r="A273" t="s">
        <v>419</v>
      </c>
      <c r="B273" t="s">
        <v>616</v>
      </c>
      <c r="C273" t="s">
        <v>520</v>
      </c>
      <c r="D273" t="s">
        <v>4668</v>
      </c>
      <c r="E273" t="s">
        <v>503</v>
      </c>
      <c r="F273" t="s">
        <v>5404</v>
      </c>
      <c r="G273">
        <v>5750000</v>
      </c>
      <c r="H273">
        <v>0</v>
      </c>
      <c r="I273">
        <v>0</v>
      </c>
      <c r="J273">
        <v>0</v>
      </c>
      <c r="K273" t="s">
        <v>5263</v>
      </c>
      <c r="L273">
        <v>5750000</v>
      </c>
      <c r="M273" t="s">
        <v>5405</v>
      </c>
      <c r="N273" t="s">
        <v>5406</v>
      </c>
      <c r="O273" t="s">
        <v>440</v>
      </c>
      <c r="P273" t="s">
        <v>441</v>
      </c>
    </row>
    <row r="274" spans="1:16" x14ac:dyDescent="0.25">
      <c r="A274" t="s">
        <v>419</v>
      </c>
      <c r="B274" t="s">
        <v>616</v>
      </c>
      <c r="C274" t="s">
        <v>520</v>
      </c>
      <c r="D274" t="s">
        <v>4668</v>
      </c>
      <c r="E274" t="s">
        <v>503</v>
      </c>
      <c r="F274" t="s">
        <v>5407</v>
      </c>
      <c r="G274">
        <v>1000000</v>
      </c>
      <c r="H274">
        <v>0</v>
      </c>
      <c r="I274">
        <v>0</v>
      </c>
      <c r="J274">
        <v>0</v>
      </c>
      <c r="K274" t="s">
        <v>5263</v>
      </c>
      <c r="L274">
        <v>1000000</v>
      </c>
      <c r="M274" t="s">
        <v>5408</v>
      </c>
      <c r="N274" t="s">
        <v>4714</v>
      </c>
      <c r="O274" t="s">
        <v>440</v>
      </c>
      <c r="P274" t="s">
        <v>441</v>
      </c>
    </row>
    <row r="275" spans="1:16" x14ac:dyDescent="0.25">
      <c r="A275" t="s">
        <v>419</v>
      </c>
      <c r="B275" t="s">
        <v>616</v>
      </c>
      <c r="C275" t="s">
        <v>502</v>
      </c>
      <c r="D275" t="s">
        <v>5230</v>
      </c>
      <c r="E275" t="s">
        <v>503</v>
      </c>
      <c r="F275" t="s">
        <v>5409</v>
      </c>
      <c r="G275">
        <v>3000000</v>
      </c>
      <c r="H275">
        <v>0</v>
      </c>
      <c r="I275">
        <v>0</v>
      </c>
      <c r="J275">
        <v>0</v>
      </c>
      <c r="K275" t="s">
        <v>5263</v>
      </c>
      <c r="L275">
        <v>3000000</v>
      </c>
      <c r="M275" t="s">
        <v>5410</v>
      </c>
      <c r="N275" t="s">
        <v>4714</v>
      </c>
      <c r="O275" t="s">
        <v>431</v>
      </c>
      <c r="P275" t="s">
        <v>432</v>
      </c>
    </row>
    <row r="276" spans="1:16" x14ac:dyDescent="0.25">
      <c r="A276" t="s">
        <v>419</v>
      </c>
      <c r="B276" t="s">
        <v>616</v>
      </c>
      <c r="C276" t="s">
        <v>502</v>
      </c>
      <c r="D276" t="s">
        <v>5247</v>
      </c>
      <c r="E276" t="s">
        <v>503</v>
      </c>
      <c r="F276" t="s">
        <v>5411</v>
      </c>
      <c r="G276">
        <v>3000000</v>
      </c>
      <c r="H276">
        <v>0</v>
      </c>
      <c r="I276">
        <v>0</v>
      </c>
      <c r="J276">
        <v>0</v>
      </c>
      <c r="K276" t="s">
        <v>5263</v>
      </c>
      <c r="L276">
        <v>3000000</v>
      </c>
      <c r="M276" t="s">
        <v>5412</v>
      </c>
      <c r="N276" t="s">
        <v>4714</v>
      </c>
      <c r="O276" t="s">
        <v>423</v>
      </c>
      <c r="P276" t="s">
        <v>424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38</vt:i4>
      </vt:variant>
    </vt:vector>
  </HeadingPairs>
  <TitlesOfParts>
    <vt:vector size="56" baseType="lpstr">
      <vt:lpstr>DIPA4_PUSDIK (2)</vt:lpstr>
      <vt:lpstr>GAJI</vt:lpstr>
      <vt:lpstr>non 51</vt:lpstr>
      <vt:lpstr>Cetak_Pusdik (2)</vt:lpstr>
      <vt:lpstr>Cetak_Pusdik</vt:lpstr>
      <vt:lpstr>Eselon2</vt:lpstr>
      <vt:lpstr>SP2D ON</vt:lpstr>
      <vt:lpstr>PERAKUN</vt:lpstr>
      <vt:lpstr>GUP TUP</vt:lpstr>
      <vt:lpstr>SP2D</vt:lpstr>
      <vt:lpstr>SP2D Gaji</vt:lpstr>
      <vt:lpstr>PER BULAN</vt:lpstr>
      <vt:lpstr>Sheet2</vt:lpstr>
      <vt:lpstr>PERSUBBID - Gaji</vt:lpstr>
      <vt:lpstr>TANPA GAJI</vt:lpstr>
      <vt:lpstr>PERSUBBID + GAJI</vt:lpstr>
      <vt:lpstr>DENGAN GAJI</vt:lpstr>
      <vt:lpstr>DIPA2</vt:lpstr>
      <vt:lpstr>'DIPA4_PUSDIK (2)'!cAkun</vt:lpstr>
      <vt:lpstr>'DIPA4_PUSDIK (2)'!chkAkun</vt:lpstr>
      <vt:lpstr>'DIPA4_PUSDIK (2)'!chkKegiatan</vt:lpstr>
      <vt:lpstr>'DIPA4_PUSDIK (2)'!chkKomponen</vt:lpstr>
      <vt:lpstr>'DIPA4_PUSDIK (2)'!chkKRO</vt:lpstr>
      <vt:lpstr>'DIPA4_PUSDIK (2)'!chkProgram</vt:lpstr>
      <vt:lpstr>'DIPA4_PUSDIK (2)'!chkRO</vt:lpstr>
      <vt:lpstr>'DIPA4_PUSDIK (2)'!chksKomponen</vt:lpstr>
      <vt:lpstr>'DIPA4_PUSDIK (2)'!cKegiatan</vt:lpstr>
      <vt:lpstr>'DIPA4_PUSDIK (2)'!cKomponen</vt:lpstr>
      <vt:lpstr>'DIPA4_PUSDIK (2)'!cKRO</vt:lpstr>
      <vt:lpstr>'DIPA4_PUSDIK (2)'!cProgram</vt:lpstr>
      <vt:lpstr>'DIPA4_PUSDIK (2)'!cRO</vt:lpstr>
      <vt:lpstr>'DIPA4_PUSDIK (2)'!cSKomponen</vt:lpstr>
      <vt:lpstr>Cetak_Pusdik!Print_Area</vt:lpstr>
      <vt:lpstr>'Cetak_Pusdik (2)'!Print_Area</vt:lpstr>
      <vt:lpstr>'DENGAN GAJI'!Print_Area</vt:lpstr>
      <vt:lpstr>'DIPA4_PUSDIK (2)'!Print_Area</vt:lpstr>
      <vt:lpstr>GAJI!Print_Area</vt:lpstr>
      <vt:lpstr>'GUP TUP'!Print_Area</vt:lpstr>
      <vt:lpstr>'non 51'!Print_Area</vt:lpstr>
      <vt:lpstr>'PER BULAN'!Print_Area</vt:lpstr>
      <vt:lpstr>PERAKUN!Print_Area</vt:lpstr>
      <vt:lpstr>'PERSUBBID - Gaji'!Print_Area</vt:lpstr>
      <vt:lpstr>'PERSUBBID + GAJI'!Print_Area</vt:lpstr>
      <vt:lpstr>'TANPA GAJI'!Print_Area</vt:lpstr>
      <vt:lpstr>Cetak_Pusdik!Print_Titles</vt:lpstr>
      <vt:lpstr>'Cetak_Pusdik (2)'!Print_Titles</vt:lpstr>
      <vt:lpstr>'DIPA4_PUSDIK (2)'!Print_Titles</vt:lpstr>
      <vt:lpstr>GAJI!Print_Titles</vt:lpstr>
      <vt:lpstr>'non 51'!Print_Titles</vt:lpstr>
      <vt:lpstr>'PER BULAN'!Print_Titles</vt:lpstr>
      <vt:lpstr>PERAKUN!Print_Titles</vt:lpstr>
      <vt:lpstr>Cetak_Pusdik!Start_Jadi</vt:lpstr>
      <vt:lpstr>'Cetak_Pusdik (2)'!Start_Jadi</vt:lpstr>
      <vt:lpstr>'DIPA4_PUSDIK (2)'!Start_Jadi</vt:lpstr>
      <vt:lpstr>GAJI!Start_Jadi</vt:lpstr>
      <vt:lpstr>'non 51'!Start_Jadi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PUSDIKKP</cp:lastModifiedBy>
  <cp:lastPrinted>2022-06-16T03:38:01Z</cp:lastPrinted>
  <dcterms:created xsi:type="dcterms:W3CDTF">2021-07-27T04:05:22Z</dcterms:created>
  <dcterms:modified xsi:type="dcterms:W3CDTF">2022-06-16T10:09:03Z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